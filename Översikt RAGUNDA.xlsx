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45912</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45912</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45912</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45912</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45912</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45912</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45912</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45912</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45912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45912</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45912</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45912</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45912</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45912</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45912</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45912</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45912</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45248-2020</t>
        </is>
      </c>
      <c r="B22" s="1" t="n">
        <v>44088</v>
      </c>
      <c r="C22" s="1" t="n">
        <v>45912</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59762-2024</t>
        </is>
      </c>
      <c r="B23" s="1" t="n">
        <v>45639.55269675926</v>
      </c>
      <c r="C23" s="1" t="n">
        <v>45912</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45912</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45912</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45912</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45912</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45912</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31839-2022</t>
        </is>
      </c>
      <c r="B29" s="1" t="n">
        <v>44776</v>
      </c>
      <c r="C29" s="1" t="n">
        <v>45912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45912</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9347-2024</t>
        </is>
      </c>
      <c r="B31" s="1" t="n">
        <v>45358.99375</v>
      </c>
      <c r="C31" s="1" t="n">
        <v>45912</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45912</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45912</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45912</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45912</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4591-2024</t>
        </is>
      </c>
      <c r="B36" s="1" t="n">
        <v>45327</v>
      </c>
      <c r="C36" s="1" t="n">
        <v>45912</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13483-2022</t>
        </is>
      </c>
      <c r="B37" s="1" t="n">
        <v>44645.99859953704</v>
      </c>
      <c r="C37" s="1" t="n">
        <v>45912</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21244-2025</t>
        </is>
      </c>
      <c r="B38" s="1" t="n">
        <v>45779.57335648148</v>
      </c>
      <c r="C38" s="1" t="n">
        <v>45912</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45912</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4146-2025</t>
        </is>
      </c>
      <c r="B40" s="1" t="n">
        <v>45685.36501157407</v>
      </c>
      <c r="C40" s="1" t="n">
        <v>45912</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33822-2023</t>
        </is>
      </c>
      <c r="B41" s="1" t="n">
        <v>45121</v>
      </c>
      <c r="C41" s="1" t="n">
        <v>45912</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25016-2025</t>
        </is>
      </c>
      <c r="B42" s="1" t="n">
        <v>45799.63574074074</v>
      </c>
      <c r="C42" s="1" t="n">
        <v>45912</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45912</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45912</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45912</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45008-2023</t>
        </is>
      </c>
      <c r="B46" s="1" t="n">
        <v>45190.96092592592</v>
      </c>
      <c r="C46" s="1" t="n">
        <v>45912</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45912</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45912</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12372-2024</t>
        </is>
      </c>
      <c r="B49" s="1" t="n">
        <v>45378</v>
      </c>
      <c r="C49" s="1" t="n">
        <v>45912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45912</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45912</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45912</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10982-2025</t>
        </is>
      </c>
      <c r="B53" s="1" t="n">
        <v>45723.40688657408</v>
      </c>
      <c r="C53" s="1" t="n">
        <v>45912</v>
      </c>
      <c r="D53" t="inlineStr">
        <is>
          <t>JÄMTLANDS LÄN</t>
        </is>
      </c>
      <c r="E53" t="inlineStr">
        <is>
          <t>RAGUNDA</t>
        </is>
      </c>
      <c r="F53" t="inlineStr">
        <is>
          <t>SCA</t>
        </is>
      </c>
      <c r="G53" t="n">
        <v>6.4</v>
      </c>
      <c r="H53" t="n">
        <v>0</v>
      </c>
      <c r="I53" t="n">
        <v>6</v>
      </c>
      <c r="J53" t="n">
        <v>2</v>
      </c>
      <c r="K53" t="n">
        <v>0</v>
      </c>
      <c r="L53" t="n">
        <v>0</v>
      </c>
      <c r="M53" t="n">
        <v>0</v>
      </c>
      <c r="N53" t="n">
        <v>0</v>
      </c>
      <c r="O53" t="n">
        <v>2</v>
      </c>
      <c r="P53" t="n">
        <v>0</v>
      </c>
      <c r="Q53" t="n">
        <v>8</v>
      </c>
      <c r="R53" s="2" t="inlineStr">
        <is>
          <t>Orange taggsvamp
Skrovlig taggsvamp
Barrfagerspindling
Bårdlav
Dropptaggsvamp
Skarp dropptaggsvamp
Stuplav
Svart trolldruva</t>
        </is>
      </c>
      <c r="S53">
        <f>HYPERLINK("https://klasma.github.io/Logging_2303/artfynd/A 10982-2025 artfynd.xlsx", "A 10982-2025")</f>
        <v/>
      </c>
      <c r="T53">
        <f>HYPERLINK("https://klasma.github.io/Logging_2303/kartor/A 10982-2025 karta.png", "A 10982-2025")</f>
        <v/>
      </c>
      <c r="V53">
        <f>HYPERLINK("https://klasma.github.io/Logging_2303/klagomål/A 10982-2025 FSC-klagomål.docx", "A 10982-2025")</f>
        <v/>
      </c>
      <c r="W53">
        <f>HYPERLINK("https://klasma.github.io/Logging_2303/klagomålsmail/A 10982-2025 FSC-klagomål mail.docx", "A 10982-2025")</f>
        <v/>
      </c>
      <c r="X53">
        <f>HYPERLINK("https://klasma.github.io/Logging_2303/tillsyn/A 10982-2025 tillsynsbegäran.docx", "A 10982-2025")</f>
        <v/>
      </c>
      <c r="Y53">
        <f>HYPERLINK("https://klasma.github.io/Logging_2303/tillsynsmail/A 10982-2025 tillsynsbegäran mail.docx", "A 10982-2025")</f>
        <v/>
      </c>
    </row>
    <row r="54" ht="15" customHeight="1">
      <c r="A54" t="inlineStr">
        <is>
          <t>A 30335-2025</t>
        </is>
      </c>
      <c r="B54" s="1" t="n">
        <v>45827.5110300926</v>
      </c>
      <c r="C54" s="1" t="n">
        <v>45912</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32475-2023</t>
        </is>
      </c>
      <c r="B55" s="1" t="n">
        <v>45120</v>
      </c>
      <c r="C55" s="1" t="n">
        <v>45912</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45912</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55465-2024</t>
        </is>
      </c>
      <c r="B57" s="1" t="n">
        <v>45622</v>
      </c>
      <c r="C57" s="1" t="n">
        <v>45912</v>
      </c>
      <c r="D57" t="inlineStr">
        <is>
          <t>JÄMTLANDS LÄN</t>
        </is>
      </c>
      <c r="E57" t="inlineStr">
        <is>
          <t>RAGUNDA</t>
        </is>
      </c>
      <c r="G57" t="n">
        <v>3.9</v>
      </c>
      <c r="H57" t="n">
        <v>2</v>
      </c>
      <c r="I57" t="n">
        <v>1</v>
      </c>
      <c r="J57" t="n">
        <v>6</v>
      </c>
      <c r="K57" t="n">
        <v>1</v>
      </c>
      <c r="L57" t="n">
        <v>0</v>
      </c>
      <c r="M57" t="n">
        <v>0</v>
      </c>
      <c r="N57" t="n">
        <v>0</v>
      </c>
      <c r="O57" t="n">
        <v>7</v>
      </c>
      <c r="P57" t="n">
        <v>1</v>
      </c>
      <c r="Q57" t="n">
        <v>8</v>
      </c>
      <c r="R57" s="2" t="inlineStr">
        <is>
          <t>Knärot
Garnlav
Liten svartspik
Lunglav
Skrovellav
Tretåig hackspett
Vitgrynig nållav
Gulnål</t>
        </is>
      </c>
      <c r="S57">
        <f>HYPERLINK("https://klasma.github.io/Logging_2303/artfynd/A 55465-2024 artfynd.xlsx", "A 55465-2024")</f>
        <v/>
      </c>
      <c r="T57">
        <f>HYPERLINK("https://klasma.github.io/Logging_2303/kartor/A 55465-2024 karta.png", "A 55465-2024")</f>
        <v/>
      </c>
      <c r="U57">
        <f>HYPERLINK("https://klasma.github.io/Logging_2303/knärot/A 55465-2024 karta knärot.png", "A 55465-2024")</f>
        <v/>
      </c>
      <c r="V57">
        <f>HYPERLINK("https://klasma.github.io/Logging_2303/klagomål/A 55465-2024 FSC-klagomål.docx", "A 55465-2024")</f>
        <v/>
      </c>
      <c r="W57">
        <f>HYPERLINK("https://klasma.github.io/Logging_2303/klagomålsmail/A 55465-2024 FSC-klagomål mail.docx", "A 55465-2024")</f>
        <v/>
      </c>
      <c r="X57">
        <f>HYPERLINK("https://klasma.github.io/Logging_2303/tillsyn/A 55465-2024 tillsynsbegäran.docx", "A 55465-2024")</f>
        <v/>
      </c>
      <c r="Y57">
        <f>HYPERLINK("https://klasma.github.io/Logging_2303/tillsynsmail/A 55465-2024 tillsynsbegäran mail.docx", "A 55465-2024")</f>
        <v/>
      </c>
      <c r="Z57">
        <f>HYPERLINK("https://klasma.github.io/Logging_2303/fåglar/A 55465-2024 prioriterade fågelarter.docx", "A 55465-2024")</f>
        <v/>
      </c>
    </row>
    <row r="58" ht="15" customHeight="1">
      <c r="A58" t="inlineStr">
        <is>
          <t>A 56211-2020</t>
        </is>
      </c>
      <c r="B58" s="1" t="n">
        <v>44133</v>
      </c>
      <c r="C58" s="1" t="n">
        <v>45912</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45912</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45912</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45912</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11829-2023</t>
        </is>
      </c>
      <c r="B62" s="1" t="n">
        <v>44994</v>
      </c>
      <c r="C62" s="1" t="n">
        <v>45912</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26750-2025</t>
        </is>
      </c>
      <c r="B63" s="1" t="n">
        <v>45810.55061342593</v>
      </c>
      <c r="C63" s="1" t="n">
        <v>45912</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24169-2021</t>
        </is>
      </c>
      <c r="B64" s="1" t="n">
        <v>44336</v>
      </c>
      <c r="C64" s="1" t="n">
        <v>45912</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33806-2023</t>
        </is>
      </c>
      <c r="B65" s="1" t="n">
        <v>45121</v>
      </c>
      <c r="C65" s="1" t="n">
        <v>45912</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19399-2025</t>
        </is>
      </c>
      <c r="B66" s="1" t="n">
        <v>45769.67740740741</v>
      </c>
      <c r="C66" s="1" t="n">
        <v>45912</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37237-2023</t>
        </is>
      </c>
      <c r="B67" s="1" t="n">
        <v>45155</v>
      </c>
      <c r="C67" s="1" t="n">
        <v>45912</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61386-2022</t>
        </is>
      </c>
      <c r="B68" s="1" t="n">
        <v>44915</v>
      </c>
      <c r="C68" s="1" t="n">
        <v>45912</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45912</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22466-2025</t>
        </is>
      </c>
      <c r="B70" s="1" t="n">
        <v>45786.61517361111</v>
      </c>
      <c r="C70" s="1" t="n">
        <v>45912</v>
      </c>
      <c r="D70" t="inlineStr">
        <is>
          <t>JÄMTLANDS LÄN</t>
        </is>
      </c>
      <c r="E70" t="inlineStr">
        <is>
          <t>RAGUNDA</t>
        </is>
      </c>
      <c r="F70" t="inlineStr">
        <is>
          <t>SCA</t>
        </is>
      </c>
      <c r="G70" t="n">
        <v>3.2</v>
      </c>
      <c r="H70" t="n">
        <v>3</v>
      </c>
      <c r="I70" t="n">
        <v>1</v>
      </c>
      <c r="J70" t="n">
        <v>4</v>
      </c>
      <c r="K70" t="n">
        <v>0</v>
      </c>
      <c r="L70" t="n">
        <v>0</v>
      </c>
      <c r="M70" t="n">
        <v>0</v>
      </c>
      <c r="N70" t="n">
        <v>0</v>
      </c>
      <c r="O70" t="n">
        <v>4</v>
      </c>
      <c r="P70" t="n">
        <v>0</v>
      </c>
      <c r="Q70" t="n">
        <v>7</v>
      </c>
      <c r="R70" s="2" t="inlineStr">
        <is>
          <t>Gammelgransskål
Garnlav
Lunglav
Tretåig hackspett
Stuplav
Kungsfågel
Revlummer</t>
        </is>
      </c>
      <c r="S70">
        <f>HYPERLINK("https://klasma.github.io/Logging_2303/artfynd/A 22466-2025 artfynd.xlsx", "A 22466-2025")</f>
        <v/>
      </c>
      <c r="T70">
        <f>HYPERLINK("https://klasma.github.io/Logging_2303/kartor/A 22466-2025 karta.png", "A 22466-2025")</f>
        <v/>
      </c>
      <c r="V70">
        <f>HYPERLINK("https://klasma.github.io/Logging_2303/klagomål/A 22466-2025 FSC-klagomål.docx", "A 22466-2025")</f>
        <v/>
      </c>
      <c r="W70">
        <f>HYPERLINK("https://klasma.github.io/Logging_2303/klagomålsmail/A 22466-2025 FSC-klagomål mail.docx", "A 22466-2025")</f>
        <v/>
      </c>
      <c r="X70">
        <f>HYPERLINK("https://klasma.github.io/Logging_2303/tillsyn/A 22466-2025 tillsynsbegäran.docx", "A 22466-2025")</f>
        <v/>
      </c>
      <c r="Y70">
        <f>HYPERLINK("https://klasma.github.io/Logging_2303/tillsynsmail/A 22466-2025 tillsynsbegäran mail.docx", "A 22466-2025")</f>
        <v/>
      </c>
      <c r="Z70">
        <f>HYPERLINK("https://klasma.github.io/Logging_2303/fåglar/A 22466-2025 prioriterade fågelarter.docx", "A 22466-2025")</f>
        <v/>
      </c>
    </row>
    <row r="71" ht="15" customHeight="1">
      <c r="A71" t="inlineStr">
        <is>
          <t>A 41929-2023</t>
        </is>
      </c>
      <c r="B71" s="1" t="n">
        <v>45176</v>
      </c>
      <c r="C71" s="1" t="n">
        <v>45912</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45405.57392361111</v>
      </c>
      <c r="C72" s="1" t="n">
        <v>45912</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50987-2020</t>
        </is>
      </c>
      <c r="B73" s="1" t="n">
        <v>44111</v>
      </c>
      <c r="C73" s="1" t="n">
        <v>45912</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45912</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11828-2023</t>
        </is>
      </c>
      <c r="B75" s="1" t="n">
        <v>44994</v>
      </c>
      <c r="C75" s="1" t="n">
        <v>45912</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933-2023</t>
        </is>
      </c>
      <c r="B76" s="1" t="n">
        <v>44932</v>
      </c>
      <c r="C76" s="1" t="n">
        <v>45912</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24431-2024</t>
        </is>
      </c>
      <c r="B77" s="1" t="n">
        <v>45457</v>
      </c>
      <c r="C77" s="1" t="n">
        <v>45912</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12040-2025</t>
        </is>
      </c>
      <c r="B78" s="1" t="n">
        <v>45728.65684027778</v>
      </c>
      <c r="C78" s="1" t="n">
        <v>45912</v>
      </c>
      <c r="D78" t="inlineStr">
        <is>
          <t>JÄMTLANDS LÄN</t>
        </is>
      </c>
      <c r="E78" t="inlineStr">
        <is>
          <t>RAGUNDA</t>
        </is>
      </c>
      <c r="F78" t="inlineStr">
        <is>
          <t>SCA</t>
        </is>
      </c>
      <c r="G78" t="n">
        <v>28.5</v>
      </c>
      <c r="H78" t="n">
        <v>0</v>
      </c>
      <c r="I78" t="n">
        <v>2</v>
      </c>
      <c r="J78" t="n">
        <v>4</v>
      </c>
      <c r="K78" t="n">
        <v>0</v>
      </c>
      <c r="L78" t="n">
        <v>0</v>
      </c>
      <c r="M78" t="n">
        <v>0</v>
      </c>
      <c r="N78" t="n">
        <v>0</v>
      </c>
      <c r="O78" t="n">
        <v>4</v>
      </c>
      <c r="P78" t="n">
        <v>0</v>
      </c>
      <c r="Q78" t="n">
        <v>6</v>
      </c>
      <c r="R78" s="2" t="inlineStr">
        <is>
          <t>Blå taggsvamp
Skrovlig taggsvamp
Tallriska
Äggvaxskivling
Dropptaggsvamp
Skarp dropptaggsvamp</t>
        </is>
      </c>
      <c r="S78">
        <f>HYPERLINK("https://klasma.github.io/Logging_2303/artfynd/A 12040-2025 artfynd.xlsx", "A 12040-2025")</f>
        <v/>
      </c>
      <c r="T78">
        <f>HYPERLINK("https://klasma.github.io/Logging_2303/kartor/A 12040-2025 karta.png", "A 12040-2025")</f>
        <v/>
      </c>
      <c r="V78">
        <f>HYPERLINK("https://klasma.github.io/Logging_2303/klagomål/A 12040-2025 FSC-klagomål.docx", "A 12040-2025")</f>
        <v/>
      </c>
      <c r="W78">
        <f>HYPERLINK("https://klasma.github.io/Logging_2303/klagomålsmail/A 12040-2025 FSC-klagomål mail.docx", "A 12040-2025")</f>
        <v/>
      </c>
      <c r="X78">
        <f>HYPERLINK("https://klasma.github.io/Logging_2303/tillsyn/A 12040-2025 tillsynsbegäran.docx", "A 12040-2025")</f>
        <v/>
      </c>
      <c r="Y78">
        <f>HYPERLINK("https://klasma.github.io/Logging_2303/tillsynsmail/A 12040-2025 tillsynsbegäran mail.docx", "A 12040-2025")</f>
        <v/>
      </c>
    </row>
    <row r="79" ht="15" customHeight="1">
      <c r="A79" t="inlineStr">
        <is>
          <t>A 55646-2023</t>
        </is>
      </c>
      <c r="B79" s="1" t="n">
        <v>45238</v>
      </c>
      <c r="C79" s="1" t="n">
        <v>45912</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19402-2025</t>
        </is>
      </c>
      <c r="B80" s="1" t="n">
        <v>45769.67778935185</v>
      </c>
      <c r="C80" s="1" t="n">
        <v>45912</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30884-2025</t>
        </is>
      </c>
      <c r="B81" s="1" t="n">
        <v>45832.34564814815</v>
      </c>
      <c r="C81" s="1" t="n">
        <v>45912</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53021-2022</t>
        </is>
      </c>
      <c r="B82" s="1" t="n">
        <v>44875</v>
      </c>
      <c r="C82" s="1" t="n">
        <v>45912</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26326-2024</t>
        </is>
      </c>
      <c r="B83" s="1" t="n">
        <v>45468.97528935185</v>
      </c>
      <c r="C83" s="1" t="n">
        <v>45912</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30637-2024</t>
        </is>
      </c>
      <c r="B84" s="1" t="n">
        <v>45495.56244212963</v>
      </c>
      <c r="C84" s="1" t="n">
        <v>45912</v>
      </c>
      <c r="D84" t="inlineStr">
        <is>
          <t>JÄMTLANDS LÄN</t>
        </is>
      </c>
      <c r="E84" t="inlineStr">
        <is>
          <t>RAGUNDA</t>
        </is>
      </c>
      <c r="G84" t="n">
        <v>4.1</v>
      </c>
      <c r="H84" t="n">
        <v>5</v>
      </c>
      <c r="I84" t="n">
        <v>0</v>
      </c>
      <c r="J84" t="n">
        <v>4</v>
      </c>
      <c r="K84" t="n">
        <v>1</v>
      </c>
      <c r="L84" t="n">
        <v>0</v>
      </c>
      <c r="M84" t="n">
        <v>0</v>
      </c>
      <c r="N84" t="n">
        <v>0</v>
      </c>
      <c r="O84" t="n">
        <v>5</v>
      </c>
      <c r="P84" t="n">
        <v>1</v>
      </c>
      <c r="Q84" t="n">
        <v>6</v>
      </c>
      <c r="R84" s="2" t="inlineStr">
        <is>
          <t>Knärot
Lunglav
Spillkråka
Talltita
Tretåig hackspett
Vanlig groda</t>
        </is>
      </c>
      <c r="S84">
        <f>HYPERLINK("https://klasma.github.io/Logging_2303/artfynd/A 30637-2024 artfynd.xlsx", "A 30637-2024")</f>
        <v/>
      </c>
      <c r="T84">
        <f>HYPERLINK("https://klasma.github.io/Logging_2303/kartor/A 30637-2024 karta.png", "A 30637-2024")</f>
        <v/>
      </c>
      <c r="U84">
        <f>HYPERLINK("https://klasma.github.io/Logging_2303/knärot/A 30637-2024 karta knärot.png", "A 30637-2024")</f>
        <v/>
      </c>
      <c r="V84">
        <f>HYPERLINK("https://klasma.github.io/Logging_2303/klagomål/A 30637-2024 FSC-klagomål.docx", "A 30637-2024")</f>
        <v/>
      </c>
      <c r="W84">
        <f>HYPERLINK("https://klasma.github.io/Logging_2303/klagomålsmail/A 30637-2024 FSC-klagomål mail.docx", "A 30637-2024")</f>
        <v/>
      </c>
      <c r="X84">
        <f>HYPERLINK("https://klasma.github.io/Logging_2303/tillsyn/A 30637-2024 tillsynsbegäran.docx", "A 30637-2024")</f>
        <v/>
      </c>
      <c r="Y84">
        <f>HYPERLINK("https://klasma.github.io/Logging_2303/tillsynsmail/A 30637-2024 tillsynsbegäran mail.docx", "A 30637-2024")</f>
        <v/>
      </c>
      <c r="Z84">
        <f>HYPERLINK("https://klasma.github.io/Logging_2303/fåglar/A 30637-2024 prioriterade fågelarter.docx", "A 30637-2024")</f>
        <v/>
      </c>
    </row>
    <row r="85" ht="15" customHeight="1">
      <c r="A85" t="inlineStr">
        <is>
          <t>A 39973-2025</t>
        </is>
      </c>
      <c r="B85" s="1" t="n">
        <v>45893.38584490741</v>
      </c>
      <c r="C85" s="1" t="n">
        <v>45912</v>
      </c>
      <c r="D85" t="inlineStr">
        <is>
          <t>JÄMTLANDS LÄN</t>
        </is>
      </c>
      <c r="E85" t="inlineStr">
        <is>
          <t>RAGUNDA</t>
        </is>
      </c>
      <c r="F85" t="inlineStr">
        <is>
          <t>Naturvårdsverket</t>
        </is>
      </c>
      <c r="G85" t="n">
        <v>8</v>
      </c>
      <c r="H85" t="n">
        <v>0</v>
      </c>
      <c r="I85" t="n">
        <v>1</v>
      </c>
      <c r="J85" t="n">
        <v>5</v>
      </c>
      <c r="K85" t="n">
        <v>0</v>
      </c>
      <c r="L85" t="n">
        <v>0</v>
      </c>
      <c r="M85" t="n">
        <v>0</v>
      </c>
      <c r="N85" t="n">
        <v>0</v>
      </c>
      <c r="O85" t="n">
        <v>5</v>
      </c>
      <c r="P85" t="n">
        <v>0</v>
      </c>
      <c r="Q85" t="n">
        <v>6</v>
      </c>
      <c r="R85" s="2" t="inlineStr">
        <is>
          <t>Granticka
Lunglav
Mörk kolflarnlav
Tallticka
Vedskivlav
Skinnlav</t>
        </is>
      </c>
      <c r="S85">
        <f>HYPERLINK("https://klasma.github.io/Logging_2303/artfynd/A 39973-2025 artfynd.xlsx", "A 39973-2025")</f>
        <v/>
      </c>
      <c r="T85">
        <f>HYPERLINK("https://klasma.github.io/Logging_2303/kartor/A 39973-2025 karta.png", "A 39973-2025")</f>
        <v/>
      </c>
      <c r="V85">
        <f>HYPERLINK("https://klasma.github.io/Logging_2303/klagomål/A 39973-2025 FSC-klagomål.docx", "A 39973-2025")</f>
        <v/>
      </c>
      <c r="W85">
        <f>HYPERLINK("https://klasma.github.io/Logging_2303/klagomålsmail/A 39973-2025 FSC-klagomål mail.docx", "A 39973-2025")</f>
        <v/>
      </c>
      <c r="X85">
        <f>HYPERLINK("https://klasma.github.io/Logging_2303/tillsyn/A 39973-2025 tillsynsbegäran.docx", "A 39973-2025")</f>
        <v/>
      </c>
      <c r="Y85">
        <f>HYPERLINK("https://klasma.github.io/Logging_2303/tillsynsmail/A 39973-2025 tillsynsbegäran mail.docx", "A 39973-2025")</f>
        <v/>
      </c>
    </row>
    <row r="86" ht="15" customHeight="1">
      <c r="A86" t="inlineStr">
        <is>
          <t>A 34317-2025</t>
        </is>
      </c>
      <c r="B86" s="1" t="n">
        <v>45846.41361111111</v>
      </c>
      <c r="C86" s="1" t="n">
        <v>45912</v>
      </c>
      <c r="D86" t="inlineStr">
        <is>
          <t>JÄMTLANDS LÄN</t>
        </is>
      </c>
      <c r="E86" t="inlineStr">
        <is>
          <t>RAGUNDA</t>
        </is>
      </c>
      <c r="G86" t="n">
        <v>8.300000000000001</v>
      </c>
      <c r="H86" t="n">
        <v>2</v>
      </c>
      <c r="I86" t="n">
        <v>1</v>
      </c>
      <c r="J86" t="n">
        <v>4</v>
      </c>
      <c r="K86" t="n">
        <v>1</v>
      </c>
      <c r="L86" t="n">
        <v>0</v>
      </c>
      <c r="M86" t="n">
        <v>0</v>
      </c>
      <c r="N86" t="n">
        <v>0</v>
      </c>
      <c r="O86" t="n">
        <v>5</v>
      </c>
      <c r="P86" t="n">
        <v>1</v>
      </c>
      <c r="Q86" t="n">
        <v>6</v>
      </c>
      <c r="R86" s="2" t="inlineStr">
        <is>
          <t>Knärot
Garnlav
Lunglav
Nordtagging
Talltita
Skinnlav</t>
        </is>
      </c>
      <c r="S86">
        <f>HYPERLINK("https://klasma.github.io/Logging_2303/artfynd/A 34317-2025 artfynd.xlsx", "A 34317-2025")</f>
        <v/>
      </c>
      <c r="T86">
        <f>HYPERLINK("https://klasma.github.io/Logging_2303/kartor/A 34317-2025 karta.png", "A 34317-2025")</f>
        <v/>
      </c>
      <c r="U86">
        <f>HYPERLINK("https://klasma.github.io/Logging_2303/knärot/A 34317-2025 karta knärot.png", "A 34317-2025")</f>
        <v/>
      </c>
      <c r="V86">
        <f>HYPERLINK("https://klasma.github.io/Logging_2303/klagomål/A 34317-2025 FSC-klagomål.docx", "A 34317-2025")</f>
        <v/>
      </c>
      <c r="W86">
        <f>HYPERLINK("https://klasma.github.io/Logging_2303/klagomålsmail/A 34317-2025 FSC-klagomål mail.docx", "A 34317-2025")</f>
        <v/>
      </c>
      <c r="X86">
        <f>HYPERLINK("https://klasma.github.io/Logging_2303/tillsyn/A 34317-2025 tillsynsbegäran.docx", "A 34317-2025")</f>
        <v/>
      </c>
      <c r="Y86">
        <f>HYPERLINK("https://klasma.github.io/Logging_2303/tillsynsmail/A 34317-2025 tillsynsbegäran mail.docx", "A 34317-2025")</f>
        <v/>
      </c>
      <c r="Z86">
        <f>HYPERLINK("https://klasma.github.io/Logging_2303/fåglar/A 34317-2025 prioriterade fågelarter.docx", "A 34317-2025")</f>
        <v/>
      </c>
    </row>
    <row r="87" ht="15" customHeight="1">
      <c r="A87" t="inlineStr">
        <is>
          <t>A 27322-2024</t>
        </is>
      </c>
      <c r="B87" s="1" t="n">
        <v>45471.94783564815</v>
      </c>
      <c r="C87" s="1" t="n">
        <v>45912</v>
      </c>
      <c r="D87" t="inlineStr">
        <is>
          <t>JÄMTLANDS LÄN</t>
        </is>
      </c>
      <c r="E87" t="inlineStr">
        <is>
          <t>RAGUNDA</t>
        </is>
      </c>
      <c r="G87" t="n">
        <v>2.3</v>
      </c>
      <c r="H87" t="n">
        <v>1</v>
      </c>
      <c r="I87" t="n">
        <v>0</v>
      </c>
      <c r="J87" t="n">
        <v>5</v>
      </c>
      <c r="K87" t="n">
        <v>1</v>
      </c>
      <c r="L87" t="n">
        <v>0</v>
      </c>
      <c r="M87" t="n">
        <v>0</v>
      </c>
      <c r="N87" t="n">
        <v>0</v>
      </c>
      <c r="O87" t="n">
        <v>6</v>
      </c>
      <c r="P87" t="n">
        <v>1</v>
      </c>
      <c r="Q87" t="n">
        <v>6</v>
      </c>
      <c r="R87" s="2" t="inlineStr">
        <is>
          <t>Knärot
Gammelgransskål
Garnlav
Lunglav
Skrovellav
Vedtrappmossa</t>
        </is>
      </c>
      <c r="S87">
        <f>HYPERLINK("https://klasma.github.io/Logging_2303/artfynd/A 27322-2024 artfynd.xlsx", "A 27322-2024")</f>
        <v/>
      </c>
      <c r="T87">
        <f>HYPERLINK("https://klasma.github.io/Logging_2303/kartor/A 27322-2024 karta.png", "A 27322-2024")</f>
        <v/>
      </c>
      <c r="U87">
        <f>HYPERLINK("https://klasma.github.io/Logging_2303/knärot/A 27322-2024 karta knärot.png", "A 27322-2024")</f>
        <v/>
      </c>
      <c r="V87">
        <f>HYPERLINK("https://klasma.github.io/Logging_2303/klagomål/A 27322-2024 FSC-klagomål.docx", "A 27322-2024")</f>
        <v/>
      </c>
      <c r="W87">
        <f>HYPERLINK("https://klasma.github.io/Logging_2303/klagomålsmail/A 27322-2024 FSC-klagomål mail.docx", "A 27322-2024")</f>
        <v/>
      </c>
      <c r="X87">
        <f>HYPERLINK("https://klasma.github.io/Logging_2303/tillsyn/A 27322-2024 tillsynsbegäran.docx", "A 27322-2024")</f>
        <v/>
      </c>
      <c r="Y87">
        <f>HYPERLINK("https://klasma.github.io/Logging_2303/tillsynsmail/A 27322-2024 tillsynsbegäran mail.docx", "A 27322-2024")</f>
        <v/>
      </c>
    </row>
    <row r="88" ht="15" customHeight="1">
      <c r="A88" t="inlineStr">
        <is>
          <t>A 49239-2024</t>
        </is>
      </c>
      <c r="B88" s="1" t="n">
        <v>45595.44886574074</v>
      </c>
      <c r="C88" s="1" t="n">
        <v>45912</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36276-2025</t>
        </is>
      </c>
      <c r="B89" s="1" t="n">
        <v>45867.63619212963</v>
      </c>
      <c r="C89" s="1" t="n">
        <v>45912</v>
      </c>
      <c r="D89" t="inlineStr">
        <is>
          <t>JÄMTLANDS LÄN</t>
        </is>
      </c>
      <c r="E89" t="inlineStr">
        <is>
          <t>RAGUNDA</t>
        </is>
      </c>
      <c r="F89" t="inlineStr">
        <is>
          <t>SCA</t>
        </is>
      </c>
      <c r="G89" t="n">
        <v>3.2</v>
      </c>
      <c r="H89" t="n">
        <v>1</v>
      </c>
      <c r="I89" t="n">
        <v>2</v>
      </c>
      <c r="J89" t="n">
        <v>3</v>
      </c>
      <c r="K89" t="n">
        <v>1</v>
      </c>
      <c r="L89" t="n">
        <v>0</v>
      </c>
      <c r="M89" t="n">
        <v>0</v>
      </c>
      <c r="N89" t="n">
        <v>0</v>
      </c>
      <c r="O89" t="n">
        <v>4</v>
      </c>
      <c r="P89" t="n">
        <v>1</v>
      </c>
      <c r="Q89" t="n">
        <v>6</v>
      </c>
      <c r="R89" s="2" t="inlineStr">
        <is>
          <t>Knärot
Garnlav
Lunglav
Ullticka
Grovticka
Stuplav</t>
        </is>
      </c>
      <c r="S89">
        <f>HYPERLINK("https://klasma.github.io/Logging_2303/artfynd/A 36276-2025 artfynd.xlsx", "A 36276-2025")</f>
        <v/>
      </c>
      <c r="T89">
        <f>HYPERLINK("https://klasma.github.io/Logging_2303/kartor/A 36276-2025 karta.png", "A 36276-2025")</f>
        <v/>
      </c>
      <c r="U89">
        <f>HYPERLINK("https://klasma.github.io/Logging_2303/knärot/A 36276-2025 karta knärot.png", "A 36276-2025")</f>
        <v/>
      </c>
      <c r="V89">
        <f>HYPERLINK("https://klasma.github.io/Logging_2303/klagomål/A 36276-2025 FSC-klagomål.docx", "A 36276-2025")</f>
        <v/>
      </c>
      <c r="W89">
        <f>HYPERLINK("https://klasma.github.io/Logging_2303/klagomålsmail/A 36276-2025 FSC-klagomål mail.docx", "A 36276-2025")</f>
        <v/>
      </c>
      <c r="X89">
        <f>HYPERLINK("https://klasma.github.io/Logging_2303/tillsyn/A 36276-2025 tillsynsbegäran.docx", "A 36276-2025")</f>
        <v/>
      </c>
      <c r="Y89">
        <f>HYPERLINK("https://klasma.github.io/Logging_2303/tillsynsmail/A 36276-2025 tillsynsbegäran mail.docx", "A 36276-2025")</f>
        <v/>
      </c>
    </row>
    <row r="90" ht="15" customHeight="1">
      <c r="A90" t="inlineStr">
        <is>
          <t>A 14908-2022</t>
        </is>
      </c>
      <c r="B90" s="1" t="n">
        <v>44656</v>
      </c>
      <c r="C90" s="1" t="n">
        <v>45912</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15379-2024</t>
        </is>
      </c>
      <c r="B91" s="1" t="n">
        <v>45400.94002314815</v>
      </c>
      <c r="C91" s="1" t="n">
        <v>45912</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45969-2023</t>
        </is>
      </c>
      <c r="B92" s="1" t="n">
        <v>45195</v>
      </c>
      <c r="C92" s="1" t="n">
        <v>45912</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43106-2023</t>
        </is>
      </c>
      <c r="B93" s="1" t="n">
        <v>45182</v>
      </c>
      <c r="C93" s="1" t="n">
        <v>45912</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39365-2024</t>
        </is>
      </c>
      <c r="B94" s="1" t="n">
        <v>45551.46912037037</v>
      </c>
      <c r="C94" s="1" t="n">
        <v>45912</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15244-2025</t>
        </is>
      </c>
      <c r="B95" s="1" t="n">
        <v>45744.61550925926</v>
      </c>
      <c r="C95" s="1" t="n">
        <v>45912</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27313-2024</t>
        </is>
      </c>
      <c r="B96" s="1" t="n">
        <v>45471.94623842592</v>
      </c>
      <c r="C96" s="1" t="n">
        <v>45912</v>
      </c>
      <c r="D96" t="inlineStr">
        <is>
          <t>JÄMTLANDS LÄN</t>
        </is>
      </c>
      <c r="E96" t="inlineStr">
        <is>
          <t>RAGUNDA</t>
        </is>
      </c>
      <c r="G96" t="n">
        <v>2.1</v>
      </c>
      <c r="H96" t="n">
        <v>2</v>
      </c>
      <c r="I96" t="n">
        <v>0</v>
      </c>
      <c r="J96" t="n">
        <v>3</v>
      </c>
      <c r="K96" t="n">
        <v>1</v>
      </c>
      <c r="L96" t="n">
        <v>0</v>
      </c>
      <c r="M96" t="n">
        <v>0</v>
      </c>
      <c r="N96" t="n">
        <v>0</v>
      </c>
      <c r="O96" t="n">
        <v>4</v>
      </c>
      <c r="P96" t="n">
        <v>1</v>
      </c>
      <c r="Q96" t="n">
        <v>5</v>
      </c>
      <c r="R96" s="2" t="inlineStr">
        <is>
          <t>Knärot
Gammelgransskål
Garnlav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30886-2025</t>
        </is>
      </c>
      <c r="B97" s="1" t="n">
        <v>45832.34578703704</v>
      </c>
      <c r="C97" s="1" t="n">
        <v>45912</v>
      </c>
      <c r="D97" t="inlineStr">
        <is>
          <t>JÄMTLANDS LÄN</t>
        </is>
      </c>
      <c r="E97" t="inlineStr">
        <is>
          <t>RAGUNDA</t>
        </is>
      </c>
      <c r="F97" t="inlineStr">
        <is>
          <t>SCA</t>
        </is>
      </c>
      <c r="G97" t="n">
        <v>4.4</v>
      </c>
      <c r="H97" t="n">
        <v>3</v>
      </c>
      <c r="I97" t="n">
        <v>1</v>
      </c>
      <c r="J97" t="n">
        <v>2</v>
      </c>
      <c r="K97" t="n">
        <v>1</v>
      </c>
      <c r="L97" t="n">
        <v>0</v>
      </c>
      <c r="M97" t="n">
        <v>0</v>
      </c>
      <c r="N97" t="n">
        <v>0</v>
      </c>
      <c r="O97" t="n">
        <v>3</v>
      </c>
      <c r="P97" t="n">
        <v>1</v>
      </c>
      <c r="Q97" t="n">
        <v>5</v>
      </c>
      <c r="R97" s="2" t="inlineStr">
        <is>
          <t>Knärot
Järpe
Lunglav
Ögonpyrola
Nattviol</t>
        </is>
      </c>
      <c r="S97">
        <f>HYPERLINK("https://klasma.github.io/Logging_2303/artfynd/A 30886-2025 artfynd.xlsx", "A 30886-2025")</f>
        <v/>
      </c>
      <c r="T97">
        <f>HYPERLINK("https://klasma.github.io/Logging_2303/kartor/A 30886-2025 karta.png", "A 30886-2025")</f>
        <v/>
      </c>
      <c r="U97">
        <f>HYPERLINK("https://klasma.github.io/Logging_2303/knärot/A 30886-2025 karta knärot.png", "A 30886-2025")</f>
        <v/>
      </c>
      <c r="V97">
        <f>HYPERLINK("https://klasma.github.io/Logging_2303/klagomål/A 30886-2025 FSC-klagomål.docx", "A 30886-2025")</f>
        <v/>
      </c>
      <c r="W97">
        <f>HYPERLINK("https://klasma.github.io/Logging_2303/klagomålsmail/A 30886-2025 FSC-klagomål mail.docx", "A 30886-2025")</f>
        <v/>
      </c>
      <c r="X97">
        <f>HYPERLINK("https://klasma.github.io/Logging_2303/tillsyn/A 30886-2025 tillsynsbegäran.docx", "A 30886-2025")</f>
        <v/>
      </c>
      <c r="Y97">
        <f>HYPERLINK("https://klasma.github.io/Logging_2303/tillsynsmail/A 30886-2025 tillsynsbegäran mail.docx", "A 30886-2025")</f>
        <v/>
      </c>
      <c r="Z97">
        <f>HYPERLINK("https://klasma.github.io/Logging_2303/fåglar/A 30886-2025 prioriterade fågelarter.docx", "A 30886-2025")</f>
        <v/>
      </c>
    </row>
    <row r="98" ht="15" customHeight="1">
      <c r="A98" t="inlineStr">
        <is>
          <t>A 57073-2023</t>
        </is>
      </c>
      <c r="B98" s="1" t="n">
        <v>45244</v>
      </c>
      <c r="C98" s="1" t="n">
        <v>45912</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60683-2022</t>
        </is>
      </c>
      <c r="B99" s="1" t="n">
        <v>44911</v>
      </c>
      <c r="C99" s="1" t="n">
        <v>45912</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39974-2025</t>
        </is>
      </c>
      <c r="B100" s="1" t="n">
        <v>45893.38599537037</v>
      </c>
      <c r="C100" s="1" t="n">
        <v>45912</v>
      </c>
      <c r="D100" t="inlineStr">
        <is>
          <t>JÄMTLANDS LÄN</t>
        </is>
      </c>
      <c r="E100" t="inlineStr">
        <is>
          <t>RAGUNDA</t>
        </is>
      </c>
      <c r="F100" t="inlineStr">
        <is>
          <t>SCA</t>
        </is>
      </c>
      <c r="G100" t="n">
        <v>2.5</v>
      </c>
      <c r="H100" t="n">
        <v>0</v>
      </c>
      <c r="I100" t="n">
        <v>2</v>
      </c>
      <c r="J100" t="n">
        <v>3</v>
      </c>
      <c r="K100" t="n">
        <v>0</v>
      </c>
      <c r="L100" t="n">
        <v>0</v>
      </c>
      <c r="M100" t="n">
        <v>0</v>
      </c>
      <c r="N100" t="n">
        <v>0</v>
      </c>
      <c r="O100" t="n">
        <v>3</v>
      </c>
      <c r="P100" t="n">
        <v>0</v>
      </c>
      <c r="Q100" t="n">
        <v>5</v>
      </c>
      <c r="R100" s="2" t="inlineStr">
        <is>
          <t>Garnlav
Lunglav
Skrovellav
Dropptaggsvamp
Luddlav</t>
        </is>
      </c>
      <c r="S100">
        <f>HYPERLINK("https://klasma.github.io/Logging_2303/artfynd/A 39974-2025 artfynd.xlsx", "A 39974-2025")</f>
        <v/>
      </c>
      <c r="T100">
        <f>HYPERLINK("https://klasma.github.io/Logging_2303/kartor/A 39974-2025 karta.png", "A 39974-2025")</f>
        <v/>
      </c>
      <c r="V100">
        <f>HYPERLINK("https://klasma.github.io/Logging_2303/klagomål/A 39974-2025 FSC-klagomål.docx", "A 39974-2025")</f>
        <v/>
      </c>
      <c r="W100">
        <f>HYPERLINK("https://klasma.github.io/Logging_2303/klagomålsmail/A 39974-2025 FSC-klagomål mail.docx", "A 39974-2025")</f>
        <v/>
      </c>
      <c r="X100">
        <f>HYPERLINK("https://klasma.github.io/Logging_2303/tillsyn/A 39974-2025 tillsynsbegäran.docx", "A 39974-2025")</f>
        <v/>
      </c>
      <c r="Y100">
        <f>HYPERLINK("https://klasma.github.io/Logging_2303/tillsynsmail/A 39974-2025 tillsynsbegäran mail.docx", "A 39974-2025")</f>
        <v/>
      </c>
    </row>
    <row r="101" ht="15" customHeight="1">
      <c r="A101" t="inlineStr">
        <is>
          <t>A 2579-2025</t>
        </is>
      </c>
      <c r="B101" s="1" t="n">
        <v>45674.67744212963</v>
      </c>
      <c r="C101" s="1" t="n">
        <v>45912</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18629-2024</t>
        </is>
      </c>
      <c r="B102" s="1" t="n">
        <v>45425.96472222222</v>
      </c>
      <c r="C102" s="1" t="n">
        <v>45912</v>
      </c>
      <c r="D102" t="inlineStr">
        <is>
          <t>JÄMTLANDS LÄN</t>
        </is>
      </c>
      <c r="E102" t="inlineStr">
        <is>
          <t>RAGUNDA</t>
        </is>
      </c>
      <c r="F102" t="inlineStr">
        <is>
          <t>SCA</t>
        </is>
      </c>
      <c r="G102" t="n">
        <v>1.6</v>
      </c>
      <c r="H102" t="n">
        <v>2</v>
      </c>
      <c r="I102" t="n">
        <v>1</v>
      </c>
      <c r="J102" t="n">
        <v>3</v>
      </c>
      <c r="K102" t="n">
        <v>0</v>
      </c>
      <c r="L102" t="n">
        <v>0</v>
      </c>
      <c r="M102" t="n">
        <v>0</v>
      </c>
      <c r="N102" t="n">
        <v>0</v>
      </c>
      <c r="O102" t="n">
        <v>3</v>
      </c>
      <c r="P102" t="n">
        <v>0</v>
      </c>
      <c r="Q102" t="n">
        <v>5</v>
      </c>
      <c r="R102" s="2" t="inlineStr">
        <is>
          <t>Garnlav
Lunglav
Tretåig hackspett
Stuplav
Fläcknycklar</t>
        </is>
      </c>
      <c r="S102">
        <f>HYPERLINK("https://klasma.github.io/Logging_2303/artfynd/A 18629-2024 artfynd.xlsx", "A 18629-2024")</f>
        <v/>
      </c>
      <c r="T102">
        <f>HYPERLINK("https://klasma.github.io/Logging_2303/kartor/A 18629-2024 karta.png", "A 18629-2024")</f>
        <v/>
      </c>
      <c r="V102">
        <f>HYPERLINK("https://klasma.github.io/Logging_2303/klagomål/A 18629-2024 FSC-klagomål.docx", "A 18629-2024")</f>
        <v/>
      </c>
      <c r="W102">
        <f>HYPERLINK("https://klasma.github.io/Logging_2303/klagomålsmail/A 18629-2024 FSC-klagomål mail.docx", "A 18629-2024")</f>
        <v/>
      </c>
      <c r="X102">
        <f>HYPERLINK("https://klasma.github.io/Logging_2303/tillsyn/A 18629-2024 tillsynsbegäran.docx", "A 18629-2024")</f>
        <v/>
      </c>
      <c r="Y102">
        <f>HYPERLINK("https://klasma.github.io/Logging_2303/tillsynsmail/A 18629-2024 tillsynsbegäran mail.docx", "A 18629-2024")</f>
        <v/>
      </c>
      <c r="Z102">
        <f>HYPERLINK("https://klasma.github.io/Logging_2303/fåglar/A 18629-2024 prioriterade fågelarter.docx", "A 18629-2024")</f>
        <v/>
      </c>
    </row>
    <row r="103" ht="15" customHeight="1">
      <c r="A103" t="inlineStr">
        <is>
          <t>A 13266-2023</t>
        </is>
      </c>
      <c r="B103" s="1" t="n">
        <v>45002.94356481481</v>
      </c>
      <c r="C103" s="1" t="n">
        <v>45912</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38169-2024</t>
        </is>
      </c>
      <c r="B104" s="1" t="n">
        <v>45545.45748842593</v>
      </c>
      <c r="C104" s="1" t="n">
        <v>45912</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22469-2024</t>
        </is>
      </c>
      <c r="B105" s="1" t="n">
        <v>45446.95087962963</v>
      </c>
      <c r="C105" s="1" t="n">
        <v>45912</v>
      </c>
      <c r="D105" t="inlineStr">
        <is>
          <t>JÄMTLANDS LÄN</t>
        </is>
      </c>
      <c r="E105" t="inlineStr">
        <is>
          <t>RAGUNDA</t>
        </is>
      </c>
      <c r="F105" t="inlineStr">
        <is>
          <t>SCA</t>
        </is>
      </c>
      <c r="G105" t="n">
        <v>5.2</v>
      </c>
      <c r="H105" t="n">
        <v>1</v>
      </c>
      <c r="I105" t="n">
        <v>2</v>
      </c>
      <c r="J105" t="n">
        <v>3</v>
      </c>
      <c r="K105" t="n">
        <v>0</v>
      </c>
      <c r="L105" t="n">
        <v>0</v>
      </c>
      <c r="M105" t="n">
        <v>0</v>
      </c>
      <c r="N105" t="n">
        <v>0</v>
      </c>
      <c r="O105" t="n">
        <v>3</v>
      </c>
      <c r="P105" t="n">
        <v>0</v>
      </c>
      <c r="Q105" t="n">
        <v>5</v>
      </c>
      <c r="R105" s="2" t="inlineStr">
        <is>
          <t>Gammelgransskål
Garnlav
Lunglav
Gytterlav
Tvåblad</t>
        </is>
      </c>
      <c r="S105">
        <f>HYPERLINK("https://klasma.github.io/Logging_2303/artfynd/A 22469-2024 artfynd.xlsx", "A 22469-2024")</f>
        <v/>
      </c>
      <c r="T105">
        <f>HYPERLINK("https://klasma.github.io/Logging_2303/kartor/A 22469-2024 karta.png", "A 22469-2024")</f>
        <v/>
      </c>
      <c r="V105">
        <f>HYPERLINK("https://klasma.github.io/Logging_2303/klagomål/A 22469-2024 FSC-klagomål.docx", "A 22469-2024")</f>
        <v/>
      </c>
      <c r="W105">
        <f>HYPERLINK("https://klasma.github.io/Logging_2303/klagomålsmail/A 22469-2024 FSC-klagomål mail.docx", "A 22469-2024")</f>
        <v/>
      </c>
      <c r="X105">
        <f>HYPERLINK("https://klasma.github.io/Logging_2303/tillsyn/A 22469-2024 tillsynsbegäran.docx", "A 22469-2024")</f>
        <v/>
      </c>
      <c r="Y105">
        <f>HYPERLINK("https://klasma.github.io/Logging_2303/tillsynsmail/A 22469-2024 tillsynsbegäran mail.docx", "A 22469-2024")</f>
        <v/>
      </c>
    </row>
    <row r="106" ht="15" customHeight="1">
      <c r="A106" t="inlineStr">
        <is>
          <t>A 8636-2021</t>
        </is>
      </c>
      <c r="B106" s="1" t="n">
        <v>44245</v>
      </c>
      <c r="C106" s="1" t="n">
        <v>45912</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45912</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45912</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45912</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45912</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45912</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60670-2022</t>
        </is>
      </c>
      <c r="B112" s="1" t="n">
        <v>44911</v>
      </c>
      <c r="C112" s="1" t="n">
        <v>45912</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21372-2025</t>
        </is>
      </c>
      <c r="B113" s="1" t="n">
        <v>45782.44871527778</v>
      </c>
      <c r="C113" s="1" t="n">
        <v>45912</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45912</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52644-2024</t>
        </is>
      </c>
      <c r="B115" s="1" t="n">
        <v>45610.34415509259</v>
      </c>
      <c r="C115" s="1" t="n">
        <v>45912</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12268-2024</t>
        </is>
      </c>
      <c r="B116" s="1" t="n">
        <v>45378</v>
      </c>
      <c r="C116" s="1" t="n">
        <v>45912</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43960-2023</t>
        </is>
      </c>
      <c r="B117" s="1" t="n">
        <v>45187</v>
      </c>
      <c r="C117" s="1" t="n">
        <v>45912</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30483-2024</t>
        </is>
      </c>
      <c r="B118" s="1" t="n">
        <v>45491</v>
      </c>
      <c r="C118" s="1" t="n">
        <v>45912</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26082-2025</t>
        </is>
      </c>
      <c r="B119" s="1" t="n">
        <v>45805.34415509259</v>
      </c>
      <c r="C119" s="1" t="n">
        <v>45912</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23931-2024</t>
        </is>
      </c>
      <c r="B120" s="1" t="n">
        <v>45455.96195601852</v>
      </c>
      <c r="C120" s="1" t="n">
        <v>45912</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51686-2020</t>
        </is>
      </c>
      <c r="B121" s="1" t="n">
        <v>44113</v>
      </c>
      <c r="C121" s="1" t="n">
        <v>45912</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32067-2024</t>
        </is>
      </c>
      <c r="B122" s="1" t="n">
        <v>45510</v>
      </c>
      <c r="C122" s="1" t="n">
        <v>45912</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45912</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30465-2024</t>
        </is>
      </c>
      <c r="B124" s="1" t="n">
        <v>45491</v>
      </c>
      <c r="C124" s="1" t="n">
        <v>45912</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40653-2025</t>
        </is>
      </c>
      <c r="B125" s="1" t="n">
        <v>45896.63618055556</v>
      </c>
      <c r="C125" s="1" t="n">
        <v>45912</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45912</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17092-2022</t>
        </is>
      </c>
      <c r="B127" s="1" t="n">
        <v>44677</v>
      </c>
      <c r="C127" s="1" t="n">
        <v>45912</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45912</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45912</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58368-2024</t>
        </is>
      </c>
      <c r="B130" s="1" t="n">
        <v>45632.69822916666</v>
      </c>
      <c r="C130" s="1" t="n">
        <v>45912</v>
      </c>
      <c r="D130" t="inlineStr">
        <is>
          <t>JÄMTLANDS LÄN</t>
        </is>
      </c>
      <c r="E130" t="inlineStr">
        <is>
          <t>RAGUNDA</t>
        </is>
      </c>
      <c r="F130" t="inlineStr">
        <is>
          <t>SCA</t>
        </is>
      </c>
      <c r="G130" t="n">
        <v>4.1</v>
      </c>
      <c r="H130" t="n">
        <v>2</v>
      </c>
      <c r="I130" t="n">
        <v>0</v>
      </c>
      <c r="J130" t="n">
        <v>3</v>
      </c>
      <c r="K130" t="n">
        <v>0</v>
      </c>
      <c r="L130" t="n">
        <v>0</v>
      </c>
      <c r="M130" t="n">
        <v>0</v>
      </c>
      <c r="N130" t="n">
        <v>0</v>
      </c>
      <c r="O130" t="n">
        <v>3</v>
      </c>
      <c r="P130" t="n">
        <v>0</v>
      </c>
      <c r="Q130" t="n">
        <v>3</v>
      </c>
      <c r="R130" s="2" t="inlineStr">
        <is>
          <t>Järpe
Lunglav
Tretåig hackspett</t>
        </is>
      </c>
      <c r="S130">
        <f>HYPERLINK("https://klasma.github.io/Logging_2303/artfynd/A 58368-2024 artfynd.xlsx", "A 58368-2024")</f>
        <v/>
      </c>
      <c r="T130">
        <f>HYPERLINK("https://klasma.github.io/Logging_2303/kartor/A 58368-2024 karta.png", "A 58368-2024")</f>
        <v/>
      </c>
      <c r="V130">
        <f>HYPERLINK("https://klasma.github.io/Logging_2303/klagomål/A 58368-2024 FSC-klagomål.docx", "A 58368-2024")</f>
        <v/>
      </c>
      <c r="W130">
        <f>HYPERLINK("https://klasma.github.io/Logging_2303/klagomålsmail/A 58368-2024 FSC-klagomål mail.docx", "A 58368-2024")</f>
        <v/>
      </c>
      <c r="X130">
        <f>HYPERLINK("https://klasma.github.io/Logging_2303/tillsyn/A 58368-2024 tillsynsbegäran.docx", "A 58368-2024")</f>
        <v/>
      </c>
      <c r="Y130">
        <f>HYPERLINK("https://klasma.github.io/Logging_2303/tillsynsmail/A 58368-2024 tillsynsbegäran mail.docx", "A 58368-2024")</f>
        <v/>
      </c>
      <c r="Z130">
        <f>HYPERLINK("https://klasma.github.io/Logging_2303/fåglar/A 58368-2024 prioriterade fågelarter.docx", "A 58368-2024")</f>
        <v/>
      </c>
    </row>
    <row r="131" ht="15" customHeight="1">
      <c r="A131" t="inlineStr">
        <is>
          <t>A 18616-2024</t>
        </is>
      </c>
      <c r="B131" s="1" t="n">
        <v>45425.96285879629</v>
      </c>
      <c r="C131" s="1" t="n">
        <v>45912</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21248-2025</t>
        </is>
      </c>
      <c r="B132" s="1" t="n">
        <v>45779.57392361111</v>
      </c>
      <c r="C132" s="1" t="n">
        <v>45912</v>
      </c>
      <c r="D132" t="inlineStr">
        <is>
          <t>JÄMTLANDS LÄN</t>
        </is>
      </c>
      <c r="E132" t="inlineStr">
        <is>
          <t>RAGUNDA</t>
        </is>
      </c>
      <c r="F132" t="inlineStr">
        <is>
          <t>SCA</t>
        </is>
      </c>
      <c r="G132" t="n">
        <v>2.9</v>
      </c>
      <c r="H132" t="n">
        <v>1</v>
      </c>
      <c r="I132" t="n">
        <v>1</v>
      </c>
      <c r="J132" t="n">
        <v>2</v>
      </c>
      <c r="K132" t="n">
        <v>0</v>
      </c>
      <c r="L132" t="n">
        <v>0</v>
      </c>
      <c r="M132" t="n">
        <v>0</v>
      </c>
      <c r="N132" t="n">
        <v>0</v>
      </c>
      <c r="O132" t="n">
        <v>2</v>
      </c>
      <c r="P132" t="n">
        <v>0</v>
      </c>
      <c r="Q132" t="n">
        <v>3</v>
      </c>
      <c r="R132" s="2" t="inlineStr">
        <is>
          <t>Garnlav
Tretåig hackspett
Vedticka</t>
        </is>
      </c>
      <c r="S132">
        <f>HYPERLINK("https://klasma.github.io/Logging_2303/artfynd/A 21248-2025 artfynd.xlsx", "A 21248-2025")</f>
        <v/>
      </c>
      <c r="T132">
        <f>HYPERLINK("https://klasma.github.io/Logging_2303/kartor/A 21248-2025 karta.png", "A 21248-2025")</f>
        <v/>
      </c>
      <c r="V132">
        <f>HYPERLINK("https://klasma.github.io/Logging_2303/klagomål/A 21248-2025 FSC-klagomål.docx", "A 21248-2025")</f>
        <v/>
      </c>
      <c r="W132">
        <f>HYPERLINK("https://klasma.github.io/Logging_2303/klagomålsmail/A 21248-2025 FSC-klagomål mail.docx", "A 21248-2025")</f>
        <v/>
      </c>
      <c r="X132">
        <f>HYPERLINK("https://klasma.github.io/Logging_2303/tillsyn/A 21248-2025 tillsynsbegäran.docx", "A 21248-2025")</f>
        <v/>
      </c>
      <c r="Y132">
        <f>HYPERLINK("https://klasma.github.io/Logging_2303/tillsynsmail/A 21248-2025 tillsynsbegäran mail.docx", "A 21248-2025")</f>
        <v/>
      </c>
      <c r="Z132">
        <f>HYPERLINK("https://klasma.github.io/Logging_2303/fåglar/A 21248-2025 prioriterade fågelarter.docx", "A 21248-2025")</f>
        <v/>
      </c>
    </row>
    <row r="133" ht="15" customHeight="1">
      <c r="A133" t="inlineStr">
        <is>
          <t>A 61790-2023</t>
        </is>
      </c>
      <c r="B133" s="1" t="n">
        <v>45265</v>
      </c>
      <c r="C133" s="1" t="n">
        <v>45912</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32903-2024</t>
        </is>
      </c>
      <c r="B134" s="1" t="n">
        <v>45516.94723379629</v>
      </c>
      <c r="C134" s="1" t="n">
        <v>45912</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53022-2022</t>
        </is>
      </c>
      <c r="B135" s="1" t="n">
        <v>44875</v>
      </c>
      <c r="C135" s="1" t="n">
        <v>45912</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57941-2024</t>
        </is>
      </c>
      <c r="B136" s="1" t="n">
        <v>45631</v>
      </c>
      <c r="C136" s="1" t="n">
        <v>45912</v>
      </c>
      <c r="D136" t="inlineStr">
        <is>
          <t>JÄMTLANDS LÄN</t>
        </is>
      </c>
      <c r="E136" t="inlineStr">
        <is>
          <t>RAGUNDA</t>
        </is>
      </c>
      <c r="F136" t="inlineStr">
        <is>
          <t>SCA</t>
        </is>
      </c>
      <c r="G136" t="n">
        <v>4.2</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57941-2024 artfynd.xlsx", "A 57941-2024")</f>
        <v/>
      </c>
      <c r="T136">
        <f>HYPERLINK("https://klasma.github.io/Logging_2303/kartor/A 57941-2024 karta.png", "A 57941-2024")</f>
        <v/>
      </c>
      <c r="V136">
        <f>HYPERLINK("https://klasma.github.io/Logging_2303/klagomål/A 57941-2024 FSC-klagomål.docx", "A 57941-2024")</f>
        <v/>
      </c>
      <c r="W136">
        <f>HYPERLINK("https://klasma.github.io/Logging_2303/klagomålsmail/A 57941-2024 FSC-klagomål mail.docx", "A 57941-2024")</f>
        <v/>
      </c>
      <c r="X136">
        <f>HYPERLINK("https://klasma.github.io/Logging_2303/tillsyn/A 57941-2024 tillsynsbegäran.docx", "A 57941-2024")</f>
        <v/>
      </c>
      <c r="Y136">
        <f>HYPERLINK("https://klasma.github.io/Logging_2303/tillsynsmail/A 57941-2024 tillsynsbegäran mail.docx", "A 57941-2024")</f>
        <v/>
      </c>
      <c r="Z136">
        <f>HYPERLINK("https://klasma.github.io/Logging_2303/fåglar/A 57941-2024 prioriterade fågelarter.docx", "A 57941-2024")</f>
        <v/>
      </c>
    </row>
    <row r="137" ht="15" customHeight="1">
      <c r="A137" t="inlineStr">
        <is>
          <t>A 48054-2022</t>
        </is>
      </c>
      <c r="B137" s="1" t="n">
        <v>44855</v>
      </c>
      <c r="C137" s="1" t="n">
        <v>45912</v>
      </c>
      <c r="D137" t="inlineStr">
        <is>
          <t>JÄMTLANDS LÄN</t>
        </is>
      </c>
      <c r="E137" t="inlineStr">
        <is>
          <t>RAGUNDA</t>
        </is>
      </c>
      <c r="F137" t="inlineStr">
        <is>
          <t>SCA</t>
        </is>
      </c>
      <c r="G137" t="n">
        <v>1.5</v>
      </c>
      <c r="H137" t="n">
        <v>2</v>
      </c>
      <c r="I137" t="n">
        <v>0</v>
      </c>
      <c r="J137" t="n">
        <v>1</v>
      </c>
      <c r="K137" t="n">
        <v>1</v>
      </c>
      <c r="L137" t="n">
        <v>0</v>
      </c>
      <c r="M137" t="n">
        <v>0</v>
      </c>
      <c r="N137" t="n">
        <v>0</v>
      </c>
      <c r="O137" t="n">
        <v>2</v>
      </c>
      <c r="P137" t="n">
        <v>1</v>
      </c>
      <c r="Q137" t="n">
        <v>3</v>
      </c>
      <c r="R137" s="2" t="inlineStr">
        <is>
          <t>Knärot
Lunglav
Blåsippa</t>
        </is>
      </c>
      <c r="S137">
        <f>HYPERLINK("https://klasma.github.io/Logging_2303/artfynd/A 48054-2022 artfynd.xlsx", "A 48054-2022")</f>
        <v/>
      </c>
      <c r="T137">
        <f>HYPERLINK("https://klasma.github.io/Logging_2303/kartor/A 48054-2022 karta.png", "A 48054-2022")</f>
        <v/>
      </c>
      <c r="U137">
        <f>HYPERLINK("https://klasma.github.io/Logging_2303/knärot/A 48054-2022 karta knärot.png", "A 48054-2022")</f>
        <v/>
      </c>
      <c r="V137">
        <f>HYPERLINK("https://klasma.github.io/Logging_2303/klagomål/A 48054-2022 FSC-klagomål.docx", "A 48054-2022")</f>
        <v/>
      </c>
      <c r="W137">
        <f>HYPERLINK("https://klasma.github.io/Logging_2303/klagomålsmail/A 48054-2022 FSC-klagomål mail.docx", "A 48054-2022")</f>
        <v/>
      </c>
      <c r="X137">
        <f>HYPERLINK("https://klasma.github.io/Logging_2303/tillsyn/A 48054-2022 tillsynsbegäran.docx", "A 48054-2022")</f>
        <v/>
      </c>
      <c r="Y137">
        <f>HYPERLINK("https://klasma.github.io/Logging_2303/tillsynsmail/A 48054-2022 tillsynsbegäran mail.docx", "A 48054-2022")</f>
        <v/>
      </c>
    </row>
    <row r="138" ht="15" customHeight="1">
      <c r="A138" t="inlineStr">
        <is>
          <t>A 25769-2025</t>
        </is>
      </c>
      <c r="B138" s="1" t="n">
        <v>45804.34474537037</v>
      </c>
      <c r="C138" s="1" t="n">
        <v>45912</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30470-2024</t>
        </is>
      </c>
      <c r="B139" s="1" t="n">
        <v>45491.94715277778</v>
      </c>
      <c r="C139" s="1" t="n">
        <v>45912</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20776-2024</t>
        </is>
      </c>
      <c r="B140" s="1" t="n">
        <v>45436.94686342592</v>
      </c>
      <c r="C140" s="1" t="n">
        <v>45912</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58737-2022</t>
        </is>
      </c>
      <c r="B141" s="1" t="n">
        <v>44902</v>
      </c>
      <c r="C141" s="1" t="n">
        <v>45912</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36504-2023</t>
        </is>
      </c>
      <c r="B142" s="1" t="n">
        <v>45152</v>
      </c>
      <c r="C142" s="1" t="n">
        <v>45912</v>
      </c>
      <c r="D142" t="inlineStr">
        <is>
          <t>JÄMTLANDS LÄN</t>
        </is>
      </c>
      <c r="E142" t="inlineStr">
        <is>
          <t>RAGUNDA</t>
        </is>
      </c>
      <c r="F142" t="inlineStr">
        <is>
          <t>SCA</t>
        </is>
      </c>
      <c r="G142" t="n">
        <v>2</v>
      </c>
      <c r="H142" t="n">
        <v>0</v>
      </c>
      <c r="I142" t="n">
        <v>0</v>
      </c>
      <c r="J142" t="n">
        <v>3</v>
      </c>
      <c r="K142" t="n">
        <v>0</v>
      </c>
      <c r="L142" t="n">
        <v>0</v>
      </c>
      <c r="M142" t="n">
        <v>0</v>
      </c>
      <c r="N142" t="n">
        <v>0</v>
      </c>
      <c r="O142" t="n">
        <v>3</v>
      </c>
      <c r="P142" t="n">
        <v>0</v>
      </c>
      <c r="Q142" t="n">
        <v>3</v>
      </c>
      <c r="R142" s="2" t="inlineStr">
        <is>
          <t>Gammelgransskål
Garnlav
Granticka</t>
        </is>
      </c>
      <c r="S142">
        <f>HYPERLINK("https://klasma.github.io/Logging_2303/artfynd/A 36504-2023 artfynd.xlsx", "A 36504-2023")</f>
        <v/>
      </c>
      <c r="T142">
        <f>HYPERLINK("https://klasma.github.io/Logging_2303/kartor/A 36504-2023 karta.png", "A 36504-2023")</f>
        <v/>
      </c>
      <c r="V142">
        <f>HYPERLINK("https://klasma.github.io/Logging_2303/klagomål/A 36504-2023 FSC-klagomål.docx", "A 36504-2023")</f>
        <v/>
      </c>
      <c r="W142">
        <f>HYPERLINK("https://klasma.github.io/Logging_2303/klagomålsmail/A 36504-2023 FSC-klagomål mail.docx", "A 36504-2023")</f>
        <v/>
      </c>
      <c r="X142">
        <f>HYPERLINK("https://klasma.github.io/Logging_2303/tillsyn/A 36504-2023 tillsynsbegäran.docx", "A 36504-2023")</f>
        <v/>
      </c>
      <c r="Y142">
        <f>HYPERLINK("https://klasma.github.io/Logging_2303/tillsynsmail/A 36504-2023 tillsynsbegäran mail.docx", "A 36504-2023")</f>
        <v/>
      </c>
    </row>
    <row r="143" ht="15" customHeight="1">
      <c r="A143" t="inlineStr">
        <is>
          <t>A 22571-2025</t>
        </is>
      </c>
      <c r="B143" s="1" t="n">
        <v>45789.36503472222</v>
      </c>
      <c r="C143" s="1" t="n">
        <v>45912</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28178-2023</t>
        </is>
      </c>
      <c r="B144" s="1" t="n">
        <v>45093</v>
      </c>
      <c r="C144" s="1" t="n">
        <v>45912</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16305-2025</t>
        </is>
      </c>
      <c r="B145" s="1" t="n">
        <v>45751.34650462963</v>
      </c>
      <c r="C145" s="1" t="n">
        <v>45912</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22730-2023</t>
        </is>
      </c>
      <c r="B146" s="1" t="n">
        <v>45071</v>
      </c>
      <c r="C146" s="1" t="n">
        <v>45912</v>
      </c>
      <c r="D146" t="inlineStr">
        <is>
          <t>JÄMTLANDS LÄN</t>
        </is>
      </c>
      <c r="E146" t="inlineStr">
        <is>
          <t>RAGUNDA</t>
        </is>
      </c>
      <c r="G146" t="n">
        <v>3.6</v>
      </c>
      <c r="H146" t="n">
        <v>0</v>
      </c>
      <c r="I146" t="n">
        <v>0</v>
      </c>
      <c r="J146" t="n">
        <v>3</v>
      </c>
      <c r="K146" t="n">
        <v>0</v>
      </c>
      <c r="L146" t="n">
        <v>0</v>
      </c>
      <c r="M146" t="n">
        <v>0</v>
      </c>
      <c r="N146" t="n">
        <v>0</v>
      </c>
      <c r="O146" t="n">
        <v>3</v>
      </c>
      <c r="P146" t="n">
        <v>0</v>
      </c>
      <c r="Q146" t="n">
        <v>3</v>
      </c>
      <c r="R146" s="2" t="inlineStr">
        <is>
          <t>Garnlav
Lunglav
Vitgrynig nållav</t>
        </is>
      </c>
      <c r="S146">
        <f>HYPERLINK("https://klasma.github.io/Logging_2303/artfynd/A 22730-2023 artfynd.xlsx", "A 22730-2023")</f>
        <v/>
      </c>
      <c r="T146">
        <f>HYPERLINK("https://klasma.github.io/Logging_2303/kartor/A 22730-2023 karta.png", "A 22730-2023")</f>
        <v/>
      </c>
      <c r="V146">
        <f>HYPERLINK("https://klasma.github.io/Logging_2303/klagomål/A 22730-2023 FSC-klagomål.docx", "A 22730-2023")</f>
        <v/>
      </c>
      <c r="W146">
        <f>HYPERLINK("https://klasma.github.io/Logging_2303/klagomålsmail/A 22730-2023 FSC-klagomål mail.docx", "A 22730-2023")</f>
        <v/>
      </c>
      <c r="X146">
        <f>HYPERLINK("https://klasma.github.io/Logging_2303/tillsyn/A 22730-2023 tillsynsbegäran.docx", "A 22730-2023")</f>
        <v/>
      </c>
      <c r="Y146">
        <f>HYPERLINK("https://klasma.github.io/Logging_2303/tillsynsmail/A 22730-2023 tillsynsbegäran mail.docx", "A 22730-2023")</f>
        <v/>
      </c>
    </row>
    <row r="147" ht="15" customHeight="1">
      <c r="A147" t="inlineStr">
        <is>
          <t>A 49047-2023</t>
        </is>
      </c>
      <c r="B147" s="1" t="n">
        <v>45209</v>
      </c>
      <c r="C147" s="1" t="n">
        <v>45912</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34585-2025</t>
        </is>
      </c>
      <c r="B148" s="1" t="n">
        <v>45847.61498842593</v>
      </c>
      <c r="C148" s="1" t="n">
        <v>45912</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32416-2025</t>
        </is>
      </c>
      <c r="B149" s="1" t="n">
        <v>45838</v>
      </c>
      <c r="C149" s="1" t="n">
        <v>45912</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51010-2020</t>
        </is>
      </c>
      <c r="B150" s="1" t="n">
        <v>44111</v>
      </c>
      <c r="C150" s="1" t="n">
        <v>45912</v>
      </c>
      <c r="D150" t="inlineStr">
        <is>
          <t>JÄMTLANDS LÄN</t>
        </is>
      </c>
      <c r="E150" t="inlineStr">
        <is>
          <t>RAGUNDA</t>
        </is>
      </c>
      <c r="F150" t="inlineStr">
        <is>
          <t>SCA</t>
        </is>
      </c>
      <c r="G150" t="n">
        <v>4.1</v>
      </c>
      <c r="H150" t="n">
        <v>0</v>
      </c>
      <c r="I150" t="n">
        <v>0</v>
      </c>
      <c r="J150" t="n">
        <v>3</v>
      </c>
      <c r="K150" t="n">
        <v>0</v>
      </c>
      <c r="L150" t="n">
        <v>0</v>
      </c>
      <c r="M150" t="n">
        <v>0</v>
      </c>
      <c r="N150" t="n">
        <v>0</v>
      </c>
      <c r="O150" t="n">
        <v>3</v>
      </c>
      <c r="P150" t="n">
        <v>0</v>
      </c>
      <c r="Q150" t="n">
        <v>3</v>
      </c>
      <c r="R150" s="2" t="inlineStr">
        <is>
          <t>Garnlav
Lunglav
Ullticka</t>
        </is>
      </c>
      <c r="S150">
        <f>HYPERLINK("https://klasma.github.io/Logging_2303/artfynd/A 51010-2020 artfynd.xlsx", "A 51010-2020")</f>
        <v/>
      </c>
      <c r="T150">
        <f>HYPERLINK("https://klasma.github.io/Logging_2303/kartor/A 51010-2020 karta.png", "A 51010-2020")</f>
        <v/>
      </c>
      <c r="V150">
        <f>HYPERLINK("https://klasma.github.io/Logging_2303/klagomål/A 51010-2020 FSC-klagomål.docx", "A 51010-2020")</f>
        <v/>
      </c>
      <c r="W150">
        <f>HYPERLINK("https://klasma.github.io/Logging_2303/klagomålsmail/A 51010-2020 FSC-klagomål mail.docx", "A 51010-2020")</f>
        <v/>
      </c>
      <c r="X150">
        <f>HYPERLINK("https://klasma.github.io/Logging_2303/tillsyn/A 51010-2020 tillsynsbegäran.docx", "A 51010-2020")</f>
        <v/>
      </c>
      <c r="Y150">
        <f>HYPERLINK("https://klasma.github.io/Logging_2303/tillsynsmail/A 51010-2020 tillsynsbegäran mail.docx", "A 51010-2020")</f>
        <v/>
      </c>
    </row>
    <row r="151" ht="15" customHeight="1">
      <c r="A151" t="inlineStr">
        <is>
          <t>A 14814-2024</t>
        </is>
      </c>
      <c r="B151" s="1" t="n">
        <v>45397.95748842593</v>
      </c>
      <c r="C151" s="1" t="n">
        <v>45912</v>
      </c>
      <c r="D151" t="inlineStr">
        <is>
          <t>JÄMTLANDS LÄN</t>
        </is>
      </c>
      <c r="E151" t="inlineStr">
        <is>
          <t>RAGUNDA</t>
        </is>
      </c>
      <c r="F151" t="inlineStr">
        <is>
          <t>SCA</t>
        </is>
      </c>
      <c r="G151" t="n">
        <v>10.5</v>
      </c>
      <c r="H151" t="n">
        <v>0</v>
      </c>
      <c r="I151" t="n">
        <v>2</v>
      </c>
      <c r="J151" t="n">
        <v>1</v>
      </c>
      <c r="K151" t="n">
        <v>0</v>
      </c>
      <c r="L151" t="n">
        <v>0</v>
      </c>
      <c r="M151" t="n">
        <v>0</v>
      </c>
      <c r="N151" t="n">
        <v>0</v>
      </c>
      <c r="O151" t="n">
        <v>1</v>
      </c>
      <c r="P151" t="n">
        <v>0</v>
      </c>
      <c r="Q151" t="n">
        <v>3</v>
      </c>
      <c r="R151" s="2" t="inlineStr">
        <is>
          <t>Rosenticka
Svart trolldruva
Tibast</t>
        </is>
      </c>
      <c r="S151">
        <f>HYPERLINK("https://klasma.github.io/Logging_2303/artfynd/A 14814-2024 artfynd.xlsx", "A 14814-2024")</f>
        <v/>
      </c>
      <c r="T151">
        <f>HYPERLINK("https://klasma.github.io/Logging_2303/kartor/A 14814-2024 karta.png", "A 14814-2024")</f>
        <v/>
      </c>
      <c r="V151">
        <f>HYPERLINK("https://klasma.github.io/Logging_2303/klagomål/A 14814-2024 FSC-klagomål.docx", "A 14814-2024")</f>
        <v/>
      </c>
      <c r="W151">
        <f>HYPERLINK("https://klasma.github.io/Logging_2303/klagomålsmail/A 14814-2024 FSC-klagomål mail.docx", "A 14814-2024")</f>
        <v/>
      </c>
      <c r="X151">
        <f>HYPERLINK("https://klasma.github.io/Logging_2303/tillsyn/A 14814-2024 tillsynsbegäran.docx", "A 14814-2024")</f>
        <v/>
      </c>
      <c r="Y151">
        <f>HYPERLINK("https://klasma.github.io/Logging_2303/tillsynsmail/A 14814-2024 tillsynsbegäran mail.docx", "A 14814-2024")</f>
        <v/>
      </c>
    </row>
    <row r="152" ht="15" customHeight="1">
      <c r="A152" t="inlineStr">
        <is>
          <t>A 41877-2025</t>
        </is>
      </c>
      <c r="B152" s="1" t="n">
        <v>45903.345625</v>
      </c>
      <c r="C152" s="1" t="n">
        <v>45912</v>
      </c>
      <c r="D152" t="inlineStr">
        <is>
          <t>JÄMTLANDS LÄN</t>
        </is>
      </c>
      <c r="E152" t="inlineStr">
        <is>
          <t>RAGUNDA</t>
        </is>
      </c>
      <c r="G152" t="n">
        <v>27.7</v>
      </c>
      <c r="H152" t="n">
        <v>1</v>
      </c>
      <c r="I152" t="n">
        <v>0</v>
      </c>
      <c r="J152" t="n">
        <v>2</v>
      </c>
      <c r="K152" t="n">
        <v>1</v>
      </c>
      <c r="L152" t="n">
        <v>0</v>
      </c>
      <c r="M152" t="n">
        <v>0</v>
      </c>
      <c r="N152" t="n">
        <v>0</v>
      </c>
      <c r="O152" t="n">
        <v>3</v>
      </c>
      <c r="P152" t="n">
        <v>1</v>
      </c>
      <c r="Q152" t="n">
        <v>3</v>
      </c>
      <c r="R152" s="2" t="inlineStr">
        <is>
          <t>Knärot
Garnlav
Mörk kolflarnlav</t>
        </is>
      </c>
      <c r="S152">
        <f>HYPERLINK("https://klasma.github.io/Logging_2303/artfynd/A 41877-2025 artfynd.xlsx", "A 41877-2025")</f>
        <v/>
      </c>
      <c r="T152">
        <f>HYPERLINK("https://klasma.github.io/Logging_2303/kartor/A 41877-2025 karta.png", "A 41877-2025")</f>
        <v/>
      </c>
      <c r="U152">
        <f>HYPERLINK("https://klasma.github.io/Logging_2303/knärot/A 41877-2025 karta knärot.png", "A 41877-2025")</f>
        <v/>
      </c>
      <c r="V152">
        <f>HYPERLINK("https://klasma.github.io/Logging_2303/klagomål/A 41877-2025 FSC-klagomål.docx", "A 41877-2025")</f>
        <v/>
      </c>
      <c r="W152">
        <f>HYPERLINK("https://klasma.github.io/Logging_2303/klagomålsmail/A 41877-2025 FSC-klagomål mail.docx", "A 41877-2025")</f>
        <v/>
      </c>
      <c r="X152">
        <f>HYPERLINK("https://klasma.github.io/Logging_2303/tillsyn/A 41877-2025 tillsynsbegäran.docx", "A 41877-2025")</f>
        <v/>
      </c>
      <c r="Y152">
        <f>HYPERLINK("https://klasma.github.io/Logging_2303/tillsynsmail/A 41877-2025 tillsynsbegäran mail.docx", "A 41877-2025")</f>
        <v/>
      </c>
    </row>
    <row r="153" ht="15" customHeight="1">
      <c r="A153" t="inlineStr">
        <is>
          <t>A 33278-2022</t>
        </is>
      </c>
      <c r="B153" s="1" t="n">
        <v>44788</v>
      </c>
      <c r="C153" s="1" t="n">
        <v>45912</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7519-2023</t>
        </is>
      </c>
      <c r="B154" s="1" t="n">
        <v>44971</v>
      </c>
      <c r="C154" s="1" t="n">
        <v>45912</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12737-2025</t>
        </is>
      </c>
      <c r="B155" s="1" t="n">
        <v>45733</v>
      </c>
      <c r="C155" s="1" t="n">
        <v>45912</v>
      </c>
      <c r="D155" t="inlineStr">
        <is>
          <t>JÄMTLANDS LÄN</t>
        </is>
      </c>
      <c r="E155" t="inlineStr">
        <is>
          <t>RAGUNDA</t>
        </is>
      </c>
      <c r="G155" t="n">
        <v>16.1</v>
      </c>
      <c r="H155" t="n">
        <v>2</v>
      </c>
      <c r="I155" t="n">
        <v>2</v>
      </c>
      <c r="J155" t="n">
        <v>0</v>
      </c>
      <c r="K155" t="n">
        <v>1</v>
      </c>
      <c r="L155" t="n">
        <v>0</v>
      </c>
      <c r="M155" t="n">
        <v>0</v>
      </c>
      <c r="N155" t="n">
        <v>0</v>
      </c>
      <c r="O155" t="n">
        <v>1</v>
      </c>
      <c r="P155" t="n">
        <v>1</v>
      </c>
      <c r="Q155" t="n">
        <v>3</v>
      </c>
      <c r="R155" s="2" t="inlineStr">
        <is>
          <t>Knärot
Plattlummer
Skarp dropptaggsvamp</t>
        </is>
      </c>
      <c r="S155">
        <f>HYPERLINK("https://klasma.github.io/Logging_2303/artfynd/A 12737-2025 artfynd.xlsx", "A 12737-2025")</f>
        <v/>
      </c>
      <c r="T155">
        <f>HYPERLINK("https://klasma.github.io/Logging_2303/kartor/A 12737-2025 karta.png", "A 12737-2025")</f>
        <v/>
      </c>
      <c r="U155">
        <f>HYPERLINK("https://klasma.github.io/Logging_2303/knärot/A 12737-2025 karta knärot.png", "A 12737-2025")</f>
        <v/>
      </c>
      <c r="V155">
        <f>HYPERLINK("https://klasma.github.io/Logging_2303/klagomål/A 12737-2025 FSC-klagomål.docx", "A 12737-2025")</f>
        <v/>
      </c>
      <c r="W155">
        <f>HYPERLINK("https://klasma.github.io/Logging_2303/klagomålsmail/A 12737-2025 FSC-klagomål mail.docx", "A 12737-2025")</f>
        <v/>
      </c>
      <c r="X155">
        <f>HYPERLINK("https://klasma.github.io/Logging_2303/tillsyn/A 12737-2025 tillsynsbegäran.docx", "A 12737-2025")</f>
        <v/>
      </c>
      <c r="Y155">
        <f>HYPERLINK("https://klasma.github.io/Logging_2303/tillsynsmail/A 12737-2025 tillsynsbegäran mail.docx", "A 12737-2025")</f>
        <v/>
      </c>
    </row>
    <row r="156" ht="15" customHeight="1">
      <c r="A156" t="inlineStr">
        <is>
          <t>A 5048-2025</t>
        </is>
      </c>
      <c r="B156" s="1" t="n">
        <v>45691.44769675926</v>
      </c>
      <c r="C156" s="1" t="n">
        <v>45912</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45912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45912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10866-2025</t>
        </is>
      </c>
      <c r="B159" s="1" t="n">
        <v>45722.61543981481</v>
      </c>
      <c r="C159" s="1" t="n">
        <v>45912</v>
      </c>
      <c r="D159" t="inlineStr">
        <is>
          <t>JÄMTLANDS LÄN</t>
        </is>
      </c>
      <c r="E159" t="inlineStr">
        <is>
          <t>RAGUNDA</t>
        </is>
      </c>
      <c r="F159" t="inlineStr">
        <is>
          <t>SCA</t>
        </is>
      </c>
      <c r="G159" t="n">
        <v>15.9</v>
      </c>
      <c r="H159" t="n">
        <v>0</v>
      </c>
      <c r="I159" t="n">
        <v>1</v>
      </c>
      <c r="J159" t="n">
        <v>1</v>
      </c>
      <c r="K159" t="n">
        <v>0</v>
      </c>
      <c r="L159" t="n">
        <v>0</v>
      </c>
      <c r="M159" t="n">
        <v>0</v>
      </c>
      <c r="N159" t="n">
        <v>0</v>
      </c>
      <c r="O159" t="n">
        <v>1</v>
      </c>
      <c r="P159" t="n">
        <v>0</v>
      </c>
      <c r="Q159" t="n">
        <v>2</v>
      </c>
      <c r="R159" s="2" t="inlineStr">
        <is>
          <t>Garnlav
Norrlandslav</t>
        </is>
      </c>
      <c r="S159">
        <f>HYPERLINK("https://klasma.github.io/Logging_2303/artfynd/A 10866-2025 artfynd.xlsx", "A 10866-2025")</f>
        <v/>
      </c>
      <c r="T159">
        <f>HYPERLINK("https://klasma.github.io/Logging_2303/kartor/A 10866-2025 karta.png", "A 10866-2025")</f>
        <v/>
      </c>
      <c r="V159">
        <f>HYPERLINK("https://klasma.github.io/Logging_2303/klagomål/A 10866-2025 FSC-klagomål.docx", "A 10866-2025")</f>
        <v/>
      </c>
      <c r="W159">
        <f>HYPERLINK("https://klasma.github.io/Logging_2303/klagomålsmail/A 10866-2025 FSC-klagomål mail.docx", "A 10866-2025")</f>
        <v/>
      </c>
      <c r="X159">
        <f>HYPERLINK("https://klasma.github.io/Logging_2303/tillsyn/A 10866-2025 tillsynsbegäran.docx", "A 10866-2025")</f>
        <v/>
      </c>
      <c r="Y159">
        <f>HYPERLINK("https://klasma.github.io/Logging_2303/tillsynsmail/A 10866-2025 tillsynsbegäran mail.docx", "A 10866-2025")</f>
        <v/>
      </c>
    </row>
    <row r="160" ht="15" customHeight="1">
      <c r="A160" t="inlineStr">
        <is>
          <t>A 21245-2025</t>
        </is>
      </c>
      <c r="B160" s="1" t="n">
        <v>45779.57350694444</v>
      </c>
      <c r="C160" s="1" t="n">
        <v>45912</v>
      </c>
      <c r="D160" t="inlineStr">
        <is>
          <t>JÄMTLANDS LÄN</t>
        </is>
      </c>
      <c r="E160" t="inlineStr">
        <is>
          <t>RAGUNDA</t>
        </is>
      </c>
      <c r="F160" t="inlineStr">
        <is>
          <t>SCA</t>
        </is>
      </c>
      <c r="G160" t="n">
        <v>3.7</v>
      </c>
      <c r="H160" t="n">
        <v>1</v>
      </c>
      <c r="I160" t="n">
        <v>0</v>
      </c>
      <c r="J160" t="n">
        <v>1</v>
      </c>
      <c r="K160" t="n">
        <v>0</v>
      </c>
      <c r="L160" t="n">
        <v>0</v>
      </c>
      <c r="M160" t="n">
        <v>0</v>
      </c>
      <c r="N160" t="n">
        <v>0</v>
      </c>
      <c r="O160" t="n">
        <v>1</v>
      </c>
      <c r="P160" t="n">
        <v>0</v>
      </c>
      <c r="Q160" t="n">
        <v>2</v>
      </c>
      <c r="R160" s="2" t="inlineStr">
        <is>
          <t>Garnlav
Tjäder</t>
        </is>
      </c>
      <c r="S160">
        <f>HYPERLINK("https://klasma.github.io/Logging_2303/artfynd/A 21245-2025 artfynd.xlsx", "A 21245-2025")</f>
        <v/>
      </c>
      <c r="T160">
        <f>HYPERLINK("https://klasma.github.io/Logging_2303/kartor/A 21245-2025 karta.png", "A 21245-2025")</f>
        <v/>
      </c>
      <c r="V160">
        <f>HYPERLINK("https://klasma.github.io/Logging_2303/klagomål/A 21245-2025 FSC-klagomål.docx", "A 21245-2025")</f>
        <v/>
      </c>
      <c r="W160">
        <f>HYPERLINK("https://klasma.github.io/Logging_2303/klagomålsmail/A 21245-2025 FSC-klagomål mail.docx", "A 21245-2025")</f>
        <v/>
      </c>
      <c r="X160">
        <f>HYPERLINK("https://klasma.github.io/Logging_2303/tillsyn/A 21245-2025 tillsynsbegäran.docx", "A 21245-2025")</f>
        <v/>
      </c>
      <c r="Y160">
        <f>HYPERLINK("https://klasma.github.io/Logging_2303/tillsynsmail/A 21245-2025 tillsynsbegäran mail.docx", "A 21245-2025")</f>
        <v/>
      </c>
      <c r="Z160">
        <f>HYPERLINK("https://klasma.github.io/Logging_2303/fåglar/A 21245-2025 prioriterade fågelarter.docx", "A 21245-2025")</f>
        <v/>
      </c>
    </row>
    <row r="161" ht="15" customHeight="1">
      <c r="A161" t="inlineStr">
        <is>
          <t>A 19384-2025</t>
        </is>
      </c>
      <c r="B161" s="1" t="n">
        <v>45769.65692129629</v>
      </c>
      <c r="C161" s="1" t="n">
        <v>45912</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3838-2024</t>
        </is>
      </c>
      <c r="B162" s="1" t="n">
        <v>45321</v>
      </c>
      <c r="C162" s="1" t="n">
        <v>45912</v>
      </c>
      <c r="D162" t="inlineStr">
        <is>
          <t>JÄMTLANDS LÄN</t>
        </is>
      </c>
      <c r="E162" t="inlineStr">
        <is>
          <t>RAGUNDA</t>
        </is>
      </c>
      <c r="F162" t="inlineStr">
        <is>
          <t>SCA</t>
        </is>
      </c>
      <c r="G162" t="n">
        <v>2</v>
      </c>
      <c r="H162" t="n">
        <v>1</v>
      </c>
      <c r="I162" t="n">
        <v>1</v>
      </c>
      <c r="J162" t="n">
        <v>1</v>
      </c>
      <c r="K162" t="n">
        <v>0</v>
      </c>
      <c r="L162" t="n">
        <v>0</v>
      </c>
      <c r="M162" t="n">
        <v>0</v>
      </c>
      <c r="N162" t="n">
        <v>0</v>
      </c>
      <c r="O162" t="n">
        <v>1</v>
      </c>
      <c r="P162" t="n">
        <v>0</v>
      </c>
      <c r="Q162" t="n">
        <v>2</v>
      </c>
      <c r="R162" s="2" t="inlineStr">
        <is>
          <t>Garnlav
Guckusko</t>
        </is>
      </c>
      <c r="S162">
        <f>HYPERLINK("https://klasma.github.io/Logging_2303/artfynd/A 3838-2024 artfynd.xlsx", "A 3838-2024")</f>
        <v/>
      </c>
      <c r="T162">
        <f>HYPERLINK("https://klasma.github.io/Logging_2303/kartor/A 3838-2024 karta.png", "A 3838-2024")</f>
        <v/>
      </c>
      <c r="V162">
        <f>HYPERLINK("https://klasma.github.io/Logging_2303/klagomål/A 3838-2024 FSC-klagomål.docx", "A 3838-2024")</f>
        <v/>
      </c>
      <c r="W162">
        <f>HYPERLINK("https://klasma.github.io/Logging_2303/klagomålsmail/A 3838-2024 FSC-klagomål mail.docx", "A 3838-2024")</f>
        <v/>
      </c>
      <c r="X162">
        <f>HYPERLINK("https://klasma.github.io/Logging_2303/tillsyn/A 3838-2024 tillsynsbegäran.docx", "A 3838-2024")</f>
        <v/>
      </c>
      <c r="Y162">
        <f>HYPERLINK("https://klasma.github.io/Logging_2303/tillsynsmail/A 3838-2024 tillsynsbegäran mail.docx", "A 3838-2024")</f>
        <v/>
      </c>
    </row>
    <row r="163" ht="15" customHeight="1">
      <c r="A163" t="inlineStr">
        <is>
          <t>A 57940-2024</t>
        </is>
      </c>
      <c r="B163" s="1" t="n">
        <v>45631</v>
      </c>
      <c r="C163" s="1" t="n">
        <v>45912</v>
      </c>
      <c r="D163" t="inlineStr">
        <is>
          <t>JÄMTLANDS LÄN</t>
        </is>
      </c>
      <c r="E163" t="inlineStr">
        <is>
          <t>RAGUNDA</t>
        </is>
      </c>
      <c r="F163" t="inlineStr">
        <is>
          <t>SCA</t>
        </is>
      </c>
      <c r="G163" t="n">
        <v>1.9</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HYPERLINK("https://klasma.github.io/Logging_2303/artfynd/A 57940-2024 artfynd.xlsx", "A 57940-2024")</f>
        <v/>
      </c>
      <c r="T163">
        <f>HYPERLINK("https://klasma.github.io/Logging_2303/kartor/A 57940-2024 karta.png", "A 57940-2024")</f>
        <v/>
      </c>
      <c r="V163">
        <f>HYPERLINK("https://klasma.github.io/Logging_2303/klagomål/A 57940-2024 FSC-klagomål.docx", "A 57940-2024")</f>
        <v/>
      </c>
      <c r="W163">
        <f>HYPERLINK("https://klasma.github.io/Logging_2303/klagomålsmail/A 57940-2024 FSC-klagomål mail.docx", "A 57940-2024")</f>
        <v/>
      </c>
      <c r="X163">
        <f>HYPERLINK("https://klasma.github.io/Logging_2303/tillsyn/A 57940-2024 tillsynsbegäran.docx", "A 57940-2024")</f>
        <v/>
      </c>
      <c r="Y163">
        <f>HYPERLINK("https://klasma.github.io/Logging_2303/tillsynsmail/A 57940-2024 tillsynsbegäran mail.docx", "A 57940-2024")</f>
        <v/>
      </c>
      <c r="Z163">
        <f>HYPERLINK("https://klasma.github.io/Logging_2303/fåglar/A 57940-2024 prioriterade fågelarter.docx", "A 57940-2024")</f>
        <v/>
      </c>
    </row>
    <row r="164" ht="15" customHeight="1">
      <c r="A164" t="inlineStr">
        <is>
          <t>A 36756-2023</t>
        </is>
      </c>
      <c r="B164" s="1" t="n">
        <v>45153</v>
      </c>
      <c r="C164" s="1" t="n">
        <v>45912</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56285-2023</t>
        </is>
      </c>
      <c r="B165" s="1" t="n">
        <v>45241</v>
      </c>
      <c r="C165" s="1" t="n">
        <v>45912</v>
      </c>
      <c r="D165" t="inlineStr">
        <is>
          <t>JÄMTLANDS LÄN</t>
        </is>
      </c>
      <c r="E165" t="inlineStr">
        <is>
          <t>RAGUNDA</t>
        </is>
      </c>
      <c r="F165" t="inlineStr">
        <is>
          <t>SCA</t>
        </is>
      </c>
      <c r="G165" t="n">
        <v>5.5</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56285-2023 artfynd.xlsx", "A 56285-2023")</f>
        <v/>
      </c>
      <c r="T165">
        <f>HYPERLINK("https://klasma.github.io/Logging_2303/kartor/A 56285-2023 karta.png", "A 56285-2023")</f>
        <v/>
      </c>
      <c r="V165">
        <f>HYPERLINK("https://klasma.github.io/Logging_2303/klagomål/A 56285-2023 FSC-klagomål.docx", "A 56285-2023")</f>
        <v/>
      </c>
      <c r="W165">
        <f>HYPERLINK("https://klasma.github.io/Logging_2303/klagomålsmail/A 56285-2023 FSC-klagomål mail.docx", "A 56285-2023")</f>
        <v/>
      </c>
      <c r="X165">
        <f>HYPERLINK("https://klasma.github.io/Logging_2303/tillsyn/A 56285-2023 tillsynsbegäran.docx", "A 56285-2023")</f>
        <v/>
      </c>
      <c r="Y165">
        <f>HYPERLINK("https://klasma.github.io/Logging_2303/tillsynsmail/A 56285-2023 tillsynsbegäran mail.docx", "A 56285-2023")</f>
        <v/>
      </c>
    </row>
    <row r="166" ht="15" customHeight="1">
      <c r="A166" t="inlineStr">
        <is>
          <t>A 25155-2025</t>
        </is>
      </c>
      <c r="B166" s="1" t="n">
        <v>45800.42782407408</v>
      </c>
      <c r="C166" s="1" t="n">
        <v>45912</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Leptoporus mollis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32736-2023</t>
        </is>
      </c>
      <c r="B167" s="1" t="n">
        <v>45121</v>
      </c>
      <c r="C167" s="1" t="n">
        <v>45912</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39495-2024</t>
        </is>
      </c>
      <c r="B168" s="1" t="n">
        <v>45551.65726851852</v>
      </c>
      <c r="C168" s="1" t="n">
        <v>45912</v>
      </c>
      <c r="D168" t="inlineStr">
        <is>
          <t>JÄMTLANDS LÄN</t>
        </is>
      </c>
      <c r="E168" t="inlineStr">
        <is>
          <t>RAGUNDA</t>
        </is>
      </c>
      <c r="F168" t="inlineStr">
        <is>
          <t>SCA</t>
        </is>
      </c>
      <c r="G168" t="n">
        <v>6.6</v>
      </c>
      <c r="H168" t="n">
        <v>0</v>
      </c>
      <c r="I168" t="n">
        <v>0</v>
      </c>
      <c r="J168" t="n">
        <v>2</v>
      </c>
      <c r="K168" t="n">
        <v>0</v>
      </c>
      <c r="L168" t="n">
        <v>0</v>
      </c>
      <c r="M168" t="n">
        <v>0</v>
      </c>
      <c r="N168" t="n">
        <v>0</v>
      </c>
      <c r="O168" t="n">
        <v>2</v>
      </c>
      <c r="P168" t="n">
        <v>0</v>
      </c>
      <c r="Q168" t="n">
        <v>2</v>
      </c>
      <c r="R168" s="2" t="inlineStr">
        <is>
          <t>Garnlav
Ullticka</t>
        </is>
      </c>
      <c r="S168">
        <f>HYPERLINK("https://klasma.github.io/Logging_2303/artfynd/A 39495-2024 artfynd.xlsx", "A 39495-2024")</f>
        <v/>
      </c>
      <c r="T168">
        <f>HYPERLINK("https://klasma.github.io/Logging_2303/kartor/A 39495-2024 karta.png", "A 39495-2024")</f>
        <v/>
      </c>
      <c r="V168">
        <f>HYPERLINK("https://klasma.github.io/Logging_2303/klagomål/A 39495-2024 FSC-klagomål.docx", "A 39495-2024")</f>
        <v/>
      </c>
      <c r="W168">
        <f>HYPERLINK("https://klasma.github.io/Logging_2303/klagomålsmail/A 39495-2024 FSC-klagomål mail.docx", "A 39495-2024")</f>
        <v/>
      </c>
      <c r="X168">
        <f>HYPERLINK("https://klasma.github.io/Logging_2303/tillsyn/A 39495-2024 tillsynsbegäran.docx", "A 39495-2024")</f>
        <v/>
      </c>
      <c r="Y168">
        <f>HYPERLINK("https://klasma.github.io/Logging_2303/tillsynsmail/A 39495-2024 tillsynsbegäran mail.docx", "A 39495-2024")</f>
        <v/>
      </c>
    </row>
    <row r="169" ht="15" customHeight="1">
      <c r="A169" t="inlineStr">
        <is>
          <t>A 55647-2023</t>
        </is>
      </c>
      <c r="B169" s="1" t="n">
        <v>45238</v>
      </c>
      <c r="C169" s="1" t="n">
        <v>45912</v>
      </c>
      <c r="D169" t="inlineStr">
        <is>
          <t>JÄMTLANDS LÄN</t>
        </is>
      </c>
      <c r="E169" t="inlineStr">
        <is>
          <t>RAGUNDA</t>
        </is>
      </c>
      <c r="F169" t="inlineStr">
        <is>
          <t>SCA</t>
        </is>
      </c>
      <c r="G169" t="n">
        <v>3.7</v>
      </c>
      <c r="H169" t="n">
        <v>0</v>
      </c>
      <c r="I169" t="n">
        <v>1</v>
      </c>
      <c r="J169" t="n">
        <v>1</v>
      </c>
      <c r="K169" t="n">
        <v>0</v>
      </c>
      <c r="L169" t="n">
        <v>0</v>
      </c>
      <c r="M169" t="n">
        <v>0</v>
      </c>
      <c r="N169" t="n">
        <v>0</v>
      </c>
      <c r="O169" t="n">
        <v>1</v>
      </c>
      <c r="P169" t="n">
        <v>0</v>
      </c>
      <c r="Q169" t="n">
        <v>2</v>
      </c>
      <c r="R169" s="2" t="inlineStr">
        <is>
          <t>Granticka
Trådticka</t>
        </is>
      </c>
      <c r="S169">
        <f>HYPERLINK("https://klasma.github.io/Logging_2303/artfynd/A 55647-2023 artfynd.xlsx", "A 55647-2023")</f>
        <v/>
      </c>
      <c r="T169">
        <f>HYPERLINK("https://klasma.github.io/Logging_2303/kartor/A 55647-2023 karta.png", "A 55647-2023")</f>
        <v/>
      </c>
      <c r="V169">
        <f>HYPERLINK("https://klasma.github.io/Logging_2303/klagomål/A 55647-2023 FSC-klagomål.docx", "A 55647-2023")</f>
        <v/>
      </c>
      <c r="W169">
        <f>HYPERLINK("https://klasma.github.io/Logging_2303/klagomålsmail/A 55647-2023 FSC-klagomål mail.docx", "A 55647-2023")</f>
        <v/>
      </c>
      <c r="X169">
        <f>HYPERLINK("https://klasma.github.io/Logging_2303/tillsyn/A 55647-2023 tillsynsbegäran.docx", "A 55647-2023")</f>
        <v/>
      </c>
      <c r="Y169">
        <f>HYPERLINK("https://klasma.github.io/Logging_2303/tillsynsmail/A 55647-2023 tillsynsbegäran mail.docx", "A 55647-2023")</f>
        <v/>
      </c>
    </row>
    <row r="170" ht="15" customHeight="1">
      <c r="A170" t="inlineStr">
        <is>
          <t>A 47267-2022</t>
        </is>
      </c>
      <c r="B170" s="1" t="n">
        <v>44852</v>
      </c>
      <c r="C170" s="1" t="n">
        <v>45912</v>
      </c>
      <c r="D170" t="inlineStr">
        <is>
          <t>JÄMTLANDS LÄN</t>
        </is>
      </c>
      <c r="E170" t="inlineStr">
        <is>
          <t>RAGUNDA</t>
        </is>
      </c>
      <c r="F170" t="inlineStr">
        <is>
          <t>SCA</t>
        </is>
      </c>
      <c r="G170" t="n">
        <v>82.8</v>
      </c>
      <c r="H170" t="n">
        <v>0</v>
      </c>
      <c r="I170" t="n">
        <v>0</v>
      </c>
      <c r="J170" t="n">
        <v>2</v>
      </c>
      <c r="K170" t="n">
        <v>0</v>
      </c>
      <c r="L170" t="n">
        <v>0</v>
      </c>
      <c r="M170" t="n">
        <v>0</v>
      </c>
      <c r="N170" t="n">
        <v>0</v>
      </c>
      <c r="O170" t="n">
        <v>2</v>
      </c>
      <c r="P170" t="n">
        <v>0</v>
      </c>
      <c r="Q170" t="n">
        <v>2</v>
      </c>
      <c r="R170" s="2" t="inlineStr">
        <is>
          <t>Dvärgbägarlav
Garnlav</t>
        </is>
      </c>
      <c r="S170">
        <f>HYPERLINK("https://klasma.github.io/Logging_2303/artfynd/A 47267-2022 artfynd.xlsx", "A 47267-2022")</f>
        <v/>
      </c>
      <c r="T170">
        <f>HYPERLINK("https://klasma.github.io/Logging_2303/kartor/A 47267-2022 karta.png", "A 47267-2022")</f>
        <v/>
      </c>
      <c r="V170">
        <f>HYPERLINK("https://klasma.github.io/Logging_2303/klagomål/A 47267-2022 FSC-klagomål.docx", "A 47267-2022")</f>
        <v/>
      </c>
      <c r="W170">
        <f>HYPERLINK("https://klasma.github.io/Logging_2303/klagomålsmail/A 47267-2022 FSC-klagomål mail.docx", "A 47267-2022")</f>
        <v/>
      </c>
      <c r="X170">
        <f>HYPERLINK("https://klasma.github.io/Logging_2303/tillsyn/A 47267-2022 tillsynsbegäran.docx", "A 47267-2022")</f>
        <v/>
      </c>
      <c r="Y170">
        <f>HYPERLINK("https://klasma.github.io/Logging_2303/tillsynsmail/A 47267-2022 tillsynsbegäran mail.docx", "A 47267-2022")</f>
        <v/>
      </c>
    </row>
    <row r="171" ht="15" customHeight="1">
      <c r="A171" t="inlineStr">
        <is>
          <t>A 45021-2023</t>
        </is>
      </c>
      <c r="B171" s="1" t="n">
        <v>45190</v>
      </c>
      <c r="C171" s="1" t="n">
        <v>45912</v>
      </c>
      <c r="D171" t="inlineStr">
        <is>
          <t>JÄMTLANDS LÄN</t>
        </is>
      </c>
      <c r="E171" t="inlineStr">
        <is>
          <t>RAGUNDA</t>
        </is>
      </c>
      <c r="F171" t="inlineStr">
        <is>
          <t>SCA</t>
        </is>
      </c>
      <c r="G171" t="n">
        <v>1.6</v>
      </c>
      <c r="H171" t="n">
        <v>1</v>
      </c>
      <c r="I171" t="n">
        <v>0</v>
      </c>
      <c r="J171" t="n">
        <v>1</v>
      </c>
      <c r="K171" t="n">
        <v>0</v>
      </c>
      <c r="L171" t="n">
        <v>0</v>
      </c>
      <c r="M171" t="n">
        <v>0</v>
      </c>
      <c r="N171" t="n">
        <v>0</v>
      </c>
      <c r="O171" t="n">
        <v>1</v>
      </c>
      <c r="P171" t="n">
        <v>0</v>
      </c>
      <c r="Q171" t="n">
        <v>2</v>
      </c>
      <c r="R171" s="2" t="inlineStr">
        <is>
          <t>Lunglav
Fläcknycklar</t>
        </is>
      </c>
      <c r="S171">
        <f>HYPERLINK("https://klasma.github.io/Logging_2303/artfynd/A 45021-2023 artfynd.xlsx", "A 45021-2023")</f>
        <v/>
      </c>
      <c r="T171">
        <f>HYPERLINK("https://klasma.github.io/Logging_2303/kartor/A 45021-2023 karta.png", "A 45021-2023")</f>
        <v/>
      </c>
      <c r="V171">
        <f>HYPERLINK("https://klasma.github.io/Logging_2303/klagomål/A 45021-2023 FSC-klagomål.docx", "A 45021-2023")</f>
        <v/>
      </c>
      <c r="W171">
        <f>HYPERLINK("https://klasma.github.io/Logging_2303/klagomålsmail/A 45021-2023 FSC-klagomål mail.docx", "A 45021-2023")</f>
        <v/>
      </c>
      <c r="X171">
        <f>HYPERLINK("https://klasma.github.io/Logging_2303/tillsyn/A 45021-2023 tillsynsbegäran.docx", "A 45021-2023")</f>
        <v/>
      </c>
      <c r="Y171">
        <f>HYPERLINK("https://klasma.github.io/Logging_2303/tillsynsmail/A 45021-2023 tillsynsbegäran mail.docx", "A 45021-2023")</f>
        <v/>
      </c>
    </row>
    <row r="172" ht="15" customHeight="1">
      <c r="A172" t="inlineStr">
        <is>
          <t>A 45035-2023</t>
        </is>
      </c>
      <c r="B172" s="1" t="n">
        <v>45191</v>
      </c>
      <c r="C172" s="1" t="n">
        <v>45912</v>
      </c>
      <c r="D172" t="inlineStr">
        <is>
          <t>JÄMTLANDS LÄN</t>
        </is>
      </c>
      <c r="E172" t="inlineStr">
        <is>
          <t>RAGUNDA</t>
        </is>
      </c>
      <c r="G172" t="n">
        <v>2.9</v>
      </c>
      <c r="H172" t="n">
        <v>0</v>
      </c>
      <c r="I172" t="n">
        <v>1</v>
      </c>
      <c r="J172" t="n">
        <v>1</v>
      </c>
      <c r="K172" t="n">
        <v>0</v>
      </c>
      <c r="L172" t="n">
        <v>0</v>
      </c>
      <c r="M172" t="n">
        <v>0</v>
      </c>
      <c r="N172" t="n">
        <v>0</v>
      </c>
      <c r="O172" t="n">
        <v>1</v>
      </c>
      <c r="P172" t="n">
        <v>0</v>
      </c>
      <c r="Q172" t="n">
        <v>2</v>
      </c>
      <c r="R172" s="2" t="inlineStr">
        <is>
          <t>Lunglav
Korallblylav</t>
        </is>
      </c>
      <c r="S172">
        <f>HYPERLINK("https://klasma.github.io/Logging_2303/artfynd/A 45035-2023 artfynd.xlsx", "A 45035-2023")</f>
        <v/>
      </c>
      <c r="T172">
        <f>HYPERLINK("https://klasma.github.io/Logging_2303/kartor/A 45035-2023 karta.png", "A 45035-2023")</f>
        <v/>
      </c>
      <c r="V172">
        <f>HYPERLINK("https://klasma.github.io/Logging_2303/klagomål/A 45035-2023 FSC-klagomål.docx", "A 45035-2023")</f>
        <v/>
      </c>
      <c r="W172">
        <f>HYPERLINK("https://klasma.github.io/Logging_2303/klagomålsmail/A 45035-2023 FSC-klagomål mail.docx", "A 45035-2023")</f>
        <v/>
      </c>
      <c r="X172">
        <f>HYPERLINK("https://klasma.github.io/Logging_2303/tillsyn/A 45035-2023 tillsynsbegäran.docx", "A 45035-2023")</f>
        <v/>
      </c>
      <c r="Y172">
        <f>HYPERLINK("https://klasma.github.io/Logging_2303/tillsynsmail/A 45035-2023 tillsynsbegäran mail.docx", "A 45035-2023")</f>
        <v/>
      </c>
    </row>
    <row r="173" ht="15" customHeight="1">
      <c r="A173" t="inlineStr">
        <is>
          <t>A 11544-2024</t>
        </is>
      </c>
      <c r="B173" s="1" t="n">
        <v>45372.95680555556</v>
      </c>
      <c r="C173" s="1" t="n">
        <v>45912</v>
      </c>
      <c r="D173" t="inlineStr">
        <is>
          <t>JÄMTLANDS LÄN</t>
        </is>
      </c>
      <c r="E173" t="inlineStr">
        <is>
          <t>RAGUNDA</t>
        </is>
      </c>
      <c r="F173" t="inlineStr">
        <is>
          <t>SCA</t>
        </is>
      </c>
      <c r="G173" t="n">
        <v>15.5</v>
      </c>
      <c r="H173" t="n">
        <v>0</v>
      </c>
      <c r="I173" t="n">
        <v>0</v>
      </c>
      <c r="J173" t="n">
        <v>2</v>
      </c>
      <c r="K173" t="n">
        <v>0</v>
      </c>
      <c r="L173" t="n">
        <v>0</v>
      </c>
      <c r="M173" t="n">
        <v>0</v>
      </c>
      <c r="N173" t="n">
        <v>0</v>
      </c>
      <c r="O173" t="n">
        <v>2</v>
      </c>
      <c r="P173" t="n">
        <v>0</v>
      </c>
      <c r="Q173" t="n">
        <v>2</v>
      </c>
      <c r="R173" s="2" t="inlineStr">
        <is>
          <t>Granticka
Mörk kolflarnlav</t>
        </is>
      </c>
      <c r="S173">
        <f>HYPERLINK("https://klasma.github.io/Logging_2303/artfynd/A 11544-2024 artfynd.xlsx", "A 11544-2024")</f>
        <v/>
      </c>
      <c r="T173">
        <f>HYPERLINK("https://klasma.github.io/Logging_2303/kartor/A 11544-2024 karta.png", "A 11544-2024")</f>
        <v/>
      </c>
      <c r="V173">
        <f>HYPERLINK("https://klasma.github.io/Logging_2303/klagomål/A 11544-2024 FSC-klagomål.docx", "A 11544-2024")</f>
        <v/>
      </c>
      <c r="W173">
        <f>HYPERLINK("https://klasma.github.io/Logging_2303/klagomålsmail/A 11544-2024 FSC-klagomål mail.docx", "A 11544-2024")</f>
        <v/>
      </c>
      <c r="X173">
        <f>HYPERLINK("https://klasma.github.io/Logging_2303/tillsyn/A 11544-2024 tillsynsbegäran.docx", "A 11544-2024")</f>
        <v/>
      </c>
      <c r="Y173">
        <f>HYPERLINK("https://klasma.github.io/Logging_2303/tillsynsmail/A 11544-2024 tillsynsbegäran mail.docx", "A 11544-2024")</f>
        <v/>
      </c>
    </row>
    <row r="174" ht="15" customHeight="1">
      <c r="A174" t="inlineStr">
        <is>
          <t>A 48427-2023</t>
        </is>
      </c>
      <c r="B174" s="1" t="n">
        <v>45205</v>
      </c>
      <c r="C174" s="1" t="n">
        <v>45912</v>
      </c>
      <c r="D174" t="inlineStr">
        <is>
          <t>JÄMTLANDS LÄN</t>
        </is>
      </c>
      <c r="E174" t="inlineStr">
        <is>
          <t>RAGUNDA</t>
        </is>
      </c>
      <c r="F174" t="inlineStr">
        <is>
          <t>SCA</t>
        </is>
      </c>
      <c r="G174" t="n">
        <v>10.1</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48427-2023 artfynd.xlsx", "A 48427-2023")</f>
        <v/>
      </c>
      <c r="T174">
        <f>HYPERLINK("https://klasma.github.io/Logging_2303/kartor/A 48427-2023 karta.png", "A 48427-2023")</f>
        <v/>
      </c>
      <c r="V174">
        <f>HYPERLINK("https://klasma.github.io/Logging_2303/klagomål/A 48427-2023 FSC-klagomål.docx", "A 48427-2023")</f>
        <v/>
      </c>
      <c r="W174">
        <f>HYPERLINK("https://klasma.github.io/Logging_2303/klagomålsmail/A 48427-2023 FSC-klagomål mail.docx", "A 48427-2023")</f>
        <v/>
      </c>
      <c r="X174">
        <f>HYPERLINK("https://klasma.github.io/Logging_2303/tillsyn/A 48427-2023 tillsynsbegäran.docx", "A 48427-2023")</f>
        <v/>
      </c>
      <c r="Y174">
        <f>HYPERLINK("https://klasma.github.io/Logging_2303/tillsynsmail/A 48427-2023 tillsynsbegäran mail.docx", "A 48427-2023")</f>
        <v/>
      </c>
    </row>
    <row r="175" ht="15" customHeight="1">
      <c r="A175" t="inlineStr">
        <is>
          <t>A 31960-2025</t>
        </is>
      </c>
      <c r="B175" s="1" t="n">
        <v>45835.344375</v>
      </c>
      <c r="C175" s="1" t="n">
        <v>45912</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11843-2023</t>
        </is>
      </c>
      <c r="B176" s="1" t="n">
        <v>44993</v>
      </c>
      <c r="C176" s="1" t="n">
        <v>45912</v>
      </c>
      <c r="D176" t="inlineStr">
        <is>
          <t>JÄMTLANDS LÄN</t>
        </is>
      </c>
      <c r="E176" t="inlineStr">
        <is>
          <t>RAGUNDA</t>
        </is>
      </c>
      <c r="G176" t="n">
        <v>6.4</v>
      </c>
      <c r="H176" t="n">
        <v>2</v>
      </c>
      <c r="I176" t="n">
        <v>0</v>
      </c>
      <c r="J176" t="n">
        <v>1</v>
      </c>
      <c r="K176" t="n">
        <v>0</v>
      </c>
      <c r="L176" t="n">
        <v>0</v>
      </c>
      <c r="M176" t="n">
        <v>0</v>
      </c>
      <c r="N176" t="n">
        <v>0</v>
      </c>
      <c r="O176" t="n">
        <v>1</v>
      </c>
      <c r="P176" t="n">
        <v>0</v>
      </c>
      <c r="Q176" t="n">
        <v>2</v>
      </c>
      <c r="R176" s="2" t="inlineStr">
        <is>
          <t>Spillkråka
Revlummer</t>
        </is>
      </c>
      <c r="S176">
        <f>HYPERLINK("https://klasma.github.io/Logging_2303/artfynd/A 11843-2023 artfynd.xlsx", "A 11843-2023")</f>
        <v/>
      </c>
      <c r="T176">
        <f>HYPERLINK("https://klasma.github.io/Logging_2303/kartor/A 11843-2023 karta.png", "A 11843-2023")</f>
        <v/>
      </c>
      <c r="V176">
        <f>HYPERLINK("https://klasma.github.io/Logging_2303/klagomål/A 11843-2023 FSC-klagomål.docx", "A 11843-2023")</f>
        <v/>
      </c>
      <c r="W176">
        <f>HYPERLINK("https://klasma.github.io/Logging_2303/klagomålsmail/A 11843-2023 FSC-klagomål mail.docx", "A 11843-2023")</f>
        <v/>
      </c>
      <c r="X176">
        <f>HYPERLINK("https://klasma.github.io/Logging_2303/tillsyn/A 11843-2023 tillsynsbegäran.docx", "A 11843-2023")</f>
        <v/>
      </c>
      <c r="Y176">
        <f>HYPERLINK("https://klasma.github.io/Logging_2303/tillsynsmail/A 11843-2023 tillsynsbegäran mail.docx", "A 11843-2023")</f>
        <v/>
      </c>
      <c r="Z176">
        <f>HYPERLINK("https://klasma.github.io/Logging_2303/fåglar/A 11843-2023 prioriterade fågelarter.docx", "A 11843-2023")</f>
        <v/>
      </c>
    </row>
    <row r="177" ht="15" customHeight="1">
      <c r="A177" t="inlineStr">
        <is>
          <t>A 17733-2022</t>
        </is>
      </c>
      <c r="B177" s="1" t="n">
        <v>44680</v>
      </c>
      <c r="C177" s="1" t="n">
        <v>45912</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50089-2022</t>
        </is>
      </c>
      <c r="B178" s="1" t="n">
        <v>44865</v>
      </c>
      <c r="C178" s="1" t="n">
        <v>45912</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35131-2025</t>
        </is>
      </c>
      <c r="B179" s="1" t="n">
        <v>45852.63597222222</v>
      </c>
      <c r="C179" s="1" t="n">
        <v>45912</v>
      </c>
      <c r="D179" t="inlineStr">
        <is>
          <t>JÄMTLANDS LÄN</t>
        </is>
      </c>
      <c r="E179" t="inlineStr">
        <is>
          <t>RAGUNDA</t>
        </is>
      </c>
      <c r="F179" t="inlineStr">
        <is>
          <t>SCA</t>
        </is>
      </c>
      <c r="G179" t="n">
        <v>6.9</v>
      </c>
      <c r="H179" t="n">
        <v>1</v>
      </c>
      <c r="I179" t="n">
        <v>1</v>
      </c>
      <c r="J179" t="n">
        <v>0</v>
      </c>
      <c r="K179" t="n">
        <v>0</v>
      </c>
      <c r="L179" t="n">
        <v>0</v>
      </c>
      <c r="M179" t="n">
        <v>0</v>
      </c>
      <c r="N179" t="n">
        <v>0</v>
      </c>
      <c r="O179" t="n">
        <v>0</v>
      </c>
      <c r="P179" t="n">
        <v>0</v>
      </c>
      <c r="Q179" t="n">
        <v>2</v>
      </c>
      <c r="R179" s="2" t="inlineStr">
        <is>
          <t>Ögonpyrola
Nattviol</t>
        </is>
      </c>
      <c r="S179">
        <f>HYPERLINK("https://klasma.github.io/Logging_2303/artfynd/A 35131-2025 artfynd.xlsx", "A 35131-2025")</f>
        <v/>
      </c>
      <c r="T179">
        <f>HYPERLINK("https://klasma.github.io/Logging_2303/kartor/A 35131-2025 karta.png", "A 35131-2025")</f>
        <v/>
      </c>
      <c r="V179">
        <f>HYPERLINK("https://klasma.github.io/Logging_2303/klagomål/A 35131-2025 FSC-klagomål.docx", "A 35131-2025")</f>
        <v/>
      </c>
      <c r="W179">
        <f>HYPERLINK("https://klasma.github.io/Logging_2303/klagomålsmail/A 35131-2025 FSC-klagomål mail.docx", "A 35131-2025")</f>
        <v/>
      </c>
      <c r="X179">
        <f>HYPERLINK("https://klasma.github.io/Logging_2303/tillsyn/A 35131-2025 tillsynsbegäran.docx", "A 35131-2025")</f>
        <v/>
      </c>
      <c r="Y179">
        <f>HYPERLINK("https://klasma.github.io/Logging_2303/tillsynsmail/A 35131-2025 tillsynsbegäran mail.docx", "A 35131-2025")</f>
        <v/>
      </c>
    </row>
    <row r="180" ht="15" customHeight="1">
      <c r="A180" t="inlineStr">
        <is>
          <t>A 35344-2025</t>
        </is>
      </c>
      <c r="B180" s="1" t="n">
        <v>45854.61494212963</v>
      </c>
      <c r="C180" s="1" t="n">
        <v>45912</v>
      </c>
      <c r="D180" t="inlineStr">
        <is>
          <t>JÄMTLANDS LÄN</t>
        </is>
      </c>
      <c r="E180" t="inlineStr">
        <is>
          <t>RAGUNDA</t>
        </is>
      </c>
      <c r="F180" t="inlineStr">
        <is>
          <t>SCA</t>
        </is>
      </c>
      <c r="G180" t="n">
        <v>6.1</v>
      </c>
      <c r="H180" t="n">
        <v>0</v>
      </c>
      <c r="I180" t="n">
        <v>0</v>
      </c>
      <c r="J180" t="n">
        <v>2</v>
      </c>
      <c r="K180" t="n">
        <v>0</v>
      </c>
      <c r="L180" t="n">
        <v>0</v>
      </c>
      <c r="M180" t="n">
        <v>0</v>
      </c>
      <c r="N180" t="n">
        <v>0</v>
      </c>
      <c r="O180" t="n">
        <v>2</v>
      </c>
      <c r="P180" t="n">
        <v>0</v>
      </c>
      <c r="Q180" t="n">
        <v>2</v>
      </c>
      <c r="R180" s="2" t="inlineStr">
        <is>
          <t>Svart taggsvamp
Vedtrappmossa</t>
        </is>
      </c>
      <c r="S180">
        <f>HYPERLINK("https://klasma.github.io/Logging_2303/artfynd/A 35344-2025 artfynd.xlsx", "A 35344-2025")</f>
        <v/>
      </c>
      <c r="T180">
        <f>HYPERLINK("https://klasma.github.io/Logging_2303/kartor/A 35344-2025 karta.png", "A 35344-2025")</f>
        <v/>
      </c>
      <c r="V180">
        <f>HYPERLINK("https://klasma.github.io/Logging_2303/klagomål/A 35344-2025 FSC-klagomål.docx", "A 35344-2025")</f>
        <v/>
      </c>
      <c r="W180">
        <f>HYPERLINK("https://klasma.github.io/Logging_2303/klagomålsmail/A 35344-2025 FSC-klagomål mail.docx", "A 35344-2025")</f>
        <v/>
      </c>
      <c r="X180">
        <f>HYPERLINK("https://klasma.github.io/Logging_2303/tillsyn/A 35344-2025 tillsynsbegäran.docx", "A 35344-2025")</f>
        <v/>
      </c>
      <c r="Y180">
        <f>HYPERLINK("https://klasma.github.io/Logging_2303/tillsynsmail/A 35344-2025 tillsynsbegäran mail.docx", "A 35344-2025")</f>
        <v/>
      </c>
    </row>
    <row r="181" ht="15" customHeight="1">
      <c r="A181" t="inlineStr">
        <is>
          <t>A 11086-2025</t>
        </is>
      </c>
      <c r="B181" s="1" t="n">
        <v>45723.57329861111</v>
      </c>
      <c r="C181" s="1" t="n">
        <v>45912</v>
      </c>
      <c r="D181" t="inlineStr">
        <is>
          <t>JÄMTLANDS LÄN</t>
        </is>
      </c>
      <c r="E181" t="inlineStr">
        <is>
          <t>RAGUNDA</t>
        </is>
      </c>
      <c r="F181" t="inlineStr">
        <is>
          <t>SCA</t>
        </is>
      </c>
      <c r="G181" t="n">
        <v>10.8</v>
      </c>
      <c r="H181" t="n">
        <v>0</v>
      </c>
      <c r="I181" t="n">
        <v>0</v>
      </c>
      <c r="J181" t="n">
        <v>1</v>
      </c>
      <c r="K181" t="n">
        <v>1</v>
      </c>
      <c r="L181" t="n">
        <v>0</v>
      </c>
      <c r="M181" t="n">
        <v>0</v>
      </c>
      <c r="N181" t="n">
        <v>0</v>
      </c>
      <c r="O181" t="n">
        <v>2</v>
      </c>
      <c r="P181" t="n">
        <v>1</v>
      </c>
      <c r="Q181" t="n">
        <v>2</v>
      </c>
      <c r="R181" s="2" t="inlineStr">
        <is>
          <t>Gräddporing
Dvärgbägarlav</t>
        </is>
      </c>
      <c r="S181">
        <f>HYPERLINK("https://klasma.github.io/Logging_2303/artfynd/A 11086-2025 artfynd.xlsx", "A 11086-2025")</f>
        <v/>
      </c>
      <c r="T181">
        <f>HYPERLINK("https://klasma.github.io/Logging_2303/kartor/A 11086-2025 karta.png", "A 11086-2025")</f>
        <v/>
      </c>
      <c r="V181">
        <f>HYPERLINK("https://klasma.github.io/Logging_2303/klagomål/A 11086-2025 FSC-klagomål.docx", "A 11086-2025")</f>
        <v/>
      </c>
      <c r="W181">
        <f>HYPERLINK("https://klasma.github.io/Logging_2303/klagomålsmail/A 11086-2025 FSC-klagomål mail.docx", "A 11086-2025")</f>
        <v/>
      </c>
      <c r="X181">
        <f>HYPERLINK("https://klasma.github.io/Logging_2303/tillsyn/A 11086-2025 tillsynsbegäran.docx", "A 11086-2025")</f>
        <v/>
      </c>
      <c r="Y181">
        <f>HYPERLINK("https://klasma.github.io/Logging_2303/tillsynsmail/A 11086-2025 tillsynsbegäran mail.docx", "A 11086-2025")</f>
        <v/>
      </c>
    </row>
    <row r="182" ht="15" customHeight="1">
      <c r="A182" t="inlineStr">
        <is>
          <t>A 40826-2023</t>
        </is>
      </c>
      <c r="B182" s="1" t="n">
        <v>45171</v>
      </c>
      <c r="C182" s="1" t="n">
        <v>45912</v>
      </c>
      <c r="D182" t="inlineStr">
        <is>
          <t>JÄMTLANDS LÄN</t>
        </is>
      </c>
      <c r="E182" t="inlineStr">
        <is>
          <t>RAGUNDA</t>
        </is>
      </c>
      <c r="F182" t="inlineStr">
        <is>
          <t>SCA</t>
        </is>
      </c>
      <c r="G182" t="n">
        <v>4.5</v>
      </c>
      <c r="H182" t="n">
        <v>0</v>
      </c>
      <c r="I182" t="n">
        <v>1</v>
      </c>
      <c r="J182" t="n">
        <v>1</v>
      </c>
      <c r="K182" t="n">
        <v>0</v>
      </c>
      <c r="L182" t="n">
        <v>0</v>
      </c>
      <c r="M182" t="n">
        <v>0</v>
      </c>
      <c r="N182" t="n">
        <v>0</v>
      </c>
      <c r="O182" t="n">
        <v>1</v>
      </c>
      <c r="P182" t="n">
        <v>0</v>
      </c>
      <c r="Q182" t="n">
        <v>2</v>
      </c>
      <c r="R182" s="2" t="inlineStr">
        <is>
          <t>Lunglav
Stuplav</t>
        </is>
      </c>
      <c r="S182">
        <f>HYPERLINK("https://klasma.github.io/Logging_2303/artfynd/A 40826-2023 artfynd.xlsx", "A 40826-2023")</f>
        <v/>
      </c>
      <c r="T182">
        <f>HYPERLINK("https://klasma.github.io/Logging_2303/kartor/A 40826-2023 karta.png", "A 40826-2023")</f>
        <v/>
      </c>
      <c r="V182">
        <f>HYPERLINK("https://klasma.github.io/Logging_2303/klagomål/A 40826-2023 FSC-klagomål.docx", "A 40826-2023")</f>
        <v/>
      </c>
      <c r="W182">
        <f>HYPERLINK("https://klasma.github.io/Logging_2303/klagomålsmail/A 40826-2023 FSC-klagomål mail.docx", "A 40826-2023")</f>
        <v/>
      </c>
      <c r="X182">
        <f>HYPERLINK("https://klasma.github.io/Logging_2303/tillsyn/A 40826-2023 tillsynsbegäran.docx", "A 40826-2023")</f>
        <v/>
      </c>
      <c r="Y182">
        <f>HYPERLINK("https://klasma.github.io/Logging_2303/tillsynsmail/A 40826-2023 tillsynsbegäran mail.docx", "A 40826-2023")</f>
        <v/>
      </c>
    </row>
    <row r="183" ht="15" customHeight="1">
      <c r="A183" t="inlineStr">
        <is>
          <t>A 26482-2023</t>
        </is>
      </c>
      <c r="B183" s="1" t="n">
        <v>45089</v>
      </c>
      <c r="C183" s="1" t="n">
        <v>45912</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41490-2022</t>
        </is>
      </c>
      <c r="B184" s="1" t="n">
        <v>44826.94976851852</v>
      </c>
      <c r="C184" s="1" t="n">
        <v>45912</v>
      </c>
      <c r="D184" t="inlineStr">
        <is>
          <t>JÄMTLANDS LÄN</t>
        </is>
      </c>
      <c r="E184" t="inlineStr">
        <is>
          <t>RAGUNDA</t>
        </is>
      </c>
      <c r="F184" t="inlineStr">
        <is>
          <t>SCA</t>
        </is>
      </c>
      <c r="G184" t="n">
        <v>2.7</v>
      </c>
      <c r="H184" t="n">
        <v>0</v>
      </c>
      <c r="I184" t="n">
        <v>1</v>
      </c>
      <c r="J184" t="n">
        <v>1</v>
      </c>
      <c r="K184" t="n">
        <v>0</v>
      </c>
      <c r="L184" t="n">
        <v>0</v>
      </c>
      <c r="M184" t="n">
        <v>0</v>
      </c>
      <c r="N184" t="n">
        <v>0</v>
      </c>
      <c r="O184" t="n">
        <v>1</v>
      </c>
      <c r="P184" t="n">
        <v>0</v>
      </c>
      <c r="Q184" t="n">
        <v>2</v>
      </c>
      <c r="R184" s="2" t="inlineStr">
        <is>
          <t>Lunglav
Skinnlav</t>
        </is>
      </c>
      <c r="S184">
        <f>HYPERLINK("https://klasma.github.io/Logging_2303/artfynd/A 41490-2022 artfynd.xlsx", "A 41490-2022")</f>
        <v/>
      </c>
      <c r="T184">
        <f>HYPERLINK("https://klasma.github.io/Logging_2303/kartor/A 41490-2022 karta.png", "A 41490-2022")</f>
        <v/>
      </c>
      <c r="V184">
        <f>HYPERLINK("https://klasma.github.io/Logging_2303/klagomål/A 41490-2022 FSC-klagomål.docx", "A 41490-2022")</f>
        <v/>
      </c>
      <c r="W184">
        <f>HYPERLINK("https://klasma.github.io/Logging_2303/klagomålsmail/A 41490-2022 FSC-klagomål mail.docx", "A 41490-2022")</f>
        <v/>
      </c>
      <c r="X184">
        <f>HYPERLINK("https://klasma.github.io/Logging_2303/tillsyn/A 41490-2022 tillsynsbegäran.docx", "A 41490-2022")</f>
        <v/>
      </c>
      <c r="Y184">
        <f>HYPERLINK("https://klasma.github.io/Logging_2303/tillsynsmail/A 41490-2022 tillsynsbegäran mail.docx", "A 41490-2022")</f>
        <v/>
      </c>
    </row>
    <row r="185" ht="15" customHeight="1">
      <c r="A185" t="inlineStr">
        <is>
          <t>A 14502-2024</t>
        </is>
      </c>
      <c r="B185" s="1" t="n">
        <v>45394</v>
      </c>
      <c r="C185" s="1" t="n">
        <v>45912</v>
      </c>
      <c r="D185" t="inlineStr">
        <is>
          <t>JÄMTLANDS LÄN</t>
        </is>
      </c>
      <c r="E185" t="inlineStr">
        <is>
          <t>RAGUNDA</t>
        </is>
      </c>
      <c r="G185" t="n">
        <v>11.6</v>
      </c>
      <c r="H185" t="n">
        <v>0</v>
      </c>
      <c r="I185" t="n">
        <v>0</v>
      </c>
      <c r="J185" t="n">
        <v>2</v>
      </c>
      <c r="K185" t="n">
        <v>0</v>
      </c>
      <c r="L185" t="n">
        <v>0</v>
      </c>
      <c r="M185" t="n">
        <v>0</v>
      </c>
      <c r="N185" t="n">
        <v>0</v>
      </c>
      <c r="O185" t="n">
        <v>2</v>
      </c>
      <c r="P185" t="n">
        <v>0</v>
      </c>
      <c r="Q185" t="n">
        <v>2</v>
      </c>
      <c r="R185" s="2" t="inlineStr">
        <is>
          <t>Garnlav
Stjärntagging</t>
        </is>
      </c>
      <c r="S185">
        <f>HYPERLINK("https://klasma.github.io/Logging_2303/artfynd/A 14502-2024 artfynd.xlsx", "A 14502-2024")</f>
        <v/>
      </c>
      <c r="T185">
        <f>HYPERLINK("https://klasma.github.io/Logging_2303/kartor/A 14502-2024 karta.png", "A 14502-2024")</f>
        <v/>
      </c>
      <c r="V185">
        <f>HYPERLINK("https://klasma.github.io/Logging_2303/klagomål/A 14502-2024 FSC-klagomål.docx", "A 14502-2024")</f>
        <v/>
      </c>
      <c r="W185">
        <f>HYPERLINK("https://klasma.github.io/Logging_2303/klagomålsmail/A 14502-2024 FSC-klagomål mail.docx", "A 14502-2024")</f>
        <v/>
      </c>
      <c r="X185">
        <f>HYPERLINK("https://klasma.github.io/Logging_2303/tillsyn/A 14502-2024 tillsynsbegäran.docx", "A 14502-2024")</f>
        <v/>
      </c>
      <c r="Y185">
        <f>HYPERLINK("https://klasma.github.io/Logging_2303/tillsynsmail/A 14502-2024 tillsynsbegäran mail.docx", "A 14502-2024")</f>
        <v/>
      </c>
    </row>
    <row r="186" ht="15" customHeight="1">
      <c r="A186" t="inlineStr">
        <is>
          <t>A 48084-2022</t>
        </is>
      </c>
      <c r="B186" s="1" t="n">
        <v>44855</v>
      </c>
      <c r="C186" s="1" t="n">
        <v>45912</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46771-2024</t>
        </is>
      </c>
      <c r="B187" s="1" t="n">
        <v>45583.49642361111</v>
      </c>
      <c r="C187" s="1" t="n">
        <v>45912</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44409-2023</t>
        </is>
      </c>
      <c r="B188" s="1" t="n">
        <v>45188</v>
      </c>
      <c r="C188" s="1" t="n">
        <v>45912</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26324-2024</t>
        </is>
      </c>
      <c r="B189" s="1" t="n">
        <v>45468.97495370371</v>
      </c>
      <c r="C189" s="1" t="n">
        <v>45912</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Knärot
Vedtrappmossa</t>
        </is>
      </c>
      <c r="S189">
        <f>HYPERLINK("https://klasma.github.io/Logging_2303/artfynd/A 26324-2024 artfynd.xlsx", "A 26324-2024")</f>
        <v/>
      </c>
      <c r="T189">
        <f>HYPERLINK("https://klasma.github.io/Logging_2303/kartor/A 26324-2024 karta.png", "A 26324-2024")</f>
        <v/>
      </c>
      <c r="U189">
        <f>HYPERLINK("https://klasma.github.io/Logging_2303/knärot/A 26324-2024 karta knärot.png", "A 26324-2024")</f>
        <v/>
      </c>
      <c r="V189">
        <f>HYPERLINK("https://klasma.github.io/Logging_2303/klagomål/A 26324-2024 FSC-klagomål.docx", "A 26324-2024")</f>
        <v/>
      </c>
      <c r="W189">
        <f>HYPERLINK("https://klasma.github.io/Logging_2303/klagomålsmail/A 26324-2024 FSC-klagomål mail.docx", "A 26324-2024")</f>
        <v/>
      </c>
      <c r="X189">
        <f>HYPERLINK("https://klasma.github.io/Logging_2303/tillsyn/A 26324-2024 tillsynsbegäran.docx", "A 26324-2024")</f>
        <v/>
      </c>
      <c r="Y189">
        <f>HYPERLINK("https://klasma.github.io/Logging_2303/tillsynsmail/A 26324-2024 tillsynsbegäran mail.docx", "A 26324-2024")</f>
        <v/>
      </c>
    </row>
    <row r="190" ht="15" customHeight="1">
      <c r="A190" t="inlineStr">
        <is>
          <t>A 12271-2024</t>
        </is>
      </c>
      <c r="B190" s="1" t="n">
        <v>45378</v>
      </c>
      <c r="C190" s="1" t="n">
        <v>45912</v>
      </c>
      <c r="D190" t="inlineStr">
        <is>
          <t>JÄMTLANDS LÄN</t>
        </is>
      </c>
      <c r="E190" t="inlineStr">
        <is>
          <t>RAGUNDA</t>
        </is>
      </c>
      <c r="F190" t="inlineStr">
        <is>
          <t>Kommuner</t>
        </is>
      </c>
      <c r="G190" t="n">
        <v>6.1</v>
      </c>
      <c r="H190" t="n">
        <v>0</v>
      </c>
      <c r="I190" t="n">
        <v>0</v>
      </c>
      <c r="J190" t="n">
        <v>2</v>
      </c>
      <c r="K190" t="n">
        <v>0</v>
      </c>
      <c r="L190" t="n">
        <v>0</v>
      </c>
      <c r="M190" t="n">
        <v>0</v>
      </c>
      <c r="N190" t="n">
        <v>0</v>
      </c>
      <c r="O190" t="n">
        <v>2</v>
      </c>
      <c r="P190" t="n">
        <v>0</v>
      </c>
      <c r="Q190" t="n">
        <v>2</v>
      </c>
      <c r="R190" s="2" t="inlineStr">
        <is>
          <t>Garnlav
Lunglav</t>
        </is>
      </c>
      <c r="S190">
        <f>HYPERLINK("https://klasma.github.io/Logging_2303/artfynd/A 12271-2024 artfynd.xlsx", "A 12271-2024")</f>
        <v/>
      </c>
      <c r="T190">
        <f>HYPERLINK("https://klasma.github.io/Logging_2303/kartor/A 12271-2024 karta.png", "A 12271-2024")</f>
        <v/>
      </c>
      <c r="V190">
        <f>HYPERLINK("https://klasma.github.io/Logging_2303/klagomål/A 12271-2024 FSC-klagomål.docx", "A 12271-2024")</f>
        <v/>
      </c>
      <c r="W190">
        <f>HYPERLINK("https://klasma.github.io/Logging_2303/klagomålsmail/A 12271-2024 FSC-klagomål mail.docx", "A 12271-2024")</f>
        <v/>
      </c>
      <c r="X190">
        <f>HYPERLINK("https://klasma.github.io/Logging_2303/tillsyn/A 12271-2024 tillsynsbegäran.docx", "A 12271-2024")</f>
        <v/>
      </c>
      <c r="Y190">
        <f>HYPERLINK("https://klasma.github.io/Logging_2303/tillsynsmail/A 12271-2024 tillsynsbegäran mail.docx", "A 12271-2024")</f>
        <v/>
      </c>
    </row>
    <row r="191" ht="15" customHeight="1">
      <c r="A191" t="inlineStr">
        <is>
          <t>A 34715-2024</t>
        </is>
      </c>
      <c r="B191" s="1" t="n">
        <v>45526.56393518519</v>
      </c>
      <c r="C191" s="1" t="n">
        <v>45912</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51916-2021</t>
        </is>
      </c>
      <c r="B192" s="1" t="n">
        <v>44462</v>
      </c>
      <c r="C192" s="1" t="n">
        <v>45912</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45912</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45912</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45912</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45912</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45912</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45912</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42899-2022</t>
        </is>
      </c>
      <c r="B199" s="1" t="n">
        <v>44832</v>
      </c>
      <c r="C199" s="1" t="n">
        <v>45912</v>
      </c>
      <c r="D199" t="inlineStr">
        <is>
          <t>JÄMTLANDS LÄN</t>
        </is>
      </c>
      <c r="E199" t="inlineStr">
        <is>
          <t>RAGUNDA</t>
        </is>
      </c>
      <c r="F199" t="inlineStr">
        <is>
          <t>SCA</t>
        </is>
      </c>
      <c r="G199" t="n">
        <v>2.3</v>
      </c>
      <c r="H199" t="n">
        <v>0</v>
      </c>
      <c r="I199" t="n">
        <v>0</v>
      </c>
      <c r="J199" t="n">
        <v>1</v>
      </c>
      <c r="K199" t="n">
        <v>0</v>
      </c>
      <c r="L199" t="n">
        <v>0</v>
      </c>
      <c r="M199" t="n">
        <v>0</v>
      </c>
      <c r="N199" t="n">
        <v>0</v>
      </c>
      <c r="O199" t="n">
        <v>1</v>
      </c>
      <c r="P199" t="n">
        <v>0</v>
      </c>
      <c r="Q199" t="n">
        <v>1</v>
      </c>
      <c r="R199" s="2" t="inlineStr">
        <is>
          <t>Ullticka</t>
        </is>
      </c>
      <c r="S199">
        <f>HYPERLINK("https://klasma.github.io/Logging_2303/artfynd/A 42899-2022 artfynd.xlsx", "A 42899-2022")</f>
        <v/>
      </c>
      <c r="T199">
        <f>HYPERLINK("https://klasma.github.io/Logging_2303/kartor/A 42899-2022 karta.png", "A 42899-2022")</f>
        <v/>
      </c>
      <c r="V199">
        <f>HYPERLINK("https://klasma.github.io/Logging_2303/klagomål/A 42899-2022 FSC-klagomål.docx", "A 42899-2022")</f>
        <v/>
      </c>
      <c r="W199">
        <f>HYPERLINK("https://klasma.github.io/Logging_2303/klagomålsmail/A 42899-2022 FSC-klagomål mail.docx", "A 42899-2022")</f>
        <v/>
      </c>
      <c r="X199">
        <f>HYPERLINK("https://klasma.github.io/Logging_2303/tillsyn/A 42899-2022 tillsynsbegäran.docx", "A 42899-2022")</f>
        <v/>
      </c>
      <c r="Y199">
        <f>HYPERLINK("https://klasma.github.io/Logging_2303/tillsynsmail/A 42899-2022 tillsynsbegäran mail.docx", "A 42899-2022")</f>
        <v/>
      </c>
    </row>
    <row r="200" ht="15" customHeight="1">
      <c r="A200" t="inlineStr">
        <is>
          <t>A 6703-2024</t>
        </is>
      </c>
      <c r="B200" s="1" t="n">
        <v>45341</v>
      </c>
      <c r="C200" s="1" t="n">
        <v>45912</v>
      </c>
      <c r="D200" t="inlineStr">
        <is>
          <t>JÄMTLANDS LÄN</t>
        </is>
      </c>
      <c r="E200" t="inlineStr">
        <is>
          <t>RAGUNDA</t>
        </is>
      </c>
      <c r="F200" t="inlineStr">
        <is>
          <t>SCA</t>
        </is>
      </c>
      <c r="G200" t="n">
        <v>2.4</v>
      </c>
      <c r="H200" t="n">
        <v>0</v>
      </c>
      <c r="I200" t="n">
        <v>0</v>
      </c>
      <c r="J200" t="n">
        <v>1</v>
      </c>
      <c r="K200" t="n">
        <v>0</v>
      </c>
      <c r="L200" t="n">
        <v>0</v>
      </c>
      <c r="M200" t="n">
        <v>0</v>
      </c>
      <c r="N200" t="n">
        <v>0</v>
      </c>
      <c r="O200" t="n">
        <v>1</v>
      </c>
      <c r="P200" t="n">
        <v>0</v>
      </c>
      <c r="Q200" t="n">
        <v>1</v>
      </c>
      <c r="R200" s="2" t="inlineStr">
        <is>
          <t>Vitgrynig nållav</t>
        </is>
      </c>
      <c r="S200">
        <f>HYPERLINK("https://klasma.github.io/Logging_2303/artfynd/A 6703-2024 artfynd.xlsx", "A 6703-2024")</f>
        <v/>
      </c>
      <c r="T200">
        <f>HYPERLINK("https://klasma.github.io/Logging_2303/kartor/A 6703-2024 karta.png", "A 6703-2024")</f>
        <v/>
      </c>
      <c r="V200">
        <f>HYPERLINK("https://klasma.github.io/Logging_2303/klagomål/A 6703-2024 FSC-klagomål.docx", "A 6703-2024")</f>
        <v/>
      </c>
      <c r="W200">
        <f>HYPERLINK("https://klasma.github.io/Logging_2303/klagomålsmail/A 6703-2024 FSC-klagomål mail.docx", "A 6703-2024")</f>
        <v/>
      </c>
      <c r="X200">
        <f>HYPERLINK("https://klasma.github.io/Logging_2303/tillsyn/A 6703-2024 tillsynsbegäran.docx", "A 6703-2024")</f>
        <v/>
      </c>
      <c r="Y200">
        <f>HYPERLINK("https://klasma.github.io/Logging_2303/tillsynsmail/A 6703-2024 tillsynsbegäran mail.docx", "A 6703-2024")</f>
        <v/>
      </c>
    </row>
    <row r="201" ht="15" customHeight="1">
      <c r="A201" t="inlineStr">
        <is>
          <t>A 25694-2023</t>
        </is>
      </c>
      <c r="B201" s="1" t="n">
        <v>45089</v>
      </c>
      <c r="C201" s="1" t="n">
        <v>45912</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16316-2025</t>
        </is>
      </c>
      <c r="B202" s="1" t="n">
        <v>45751.34795138889</v>
      </c>
      <c r="C202" s="1" t="n">
        <v>45912</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20575-2025</t>
        </is>
      </c>
      <c r="B203" s="1" t="n">
        <v>45775.67769675926</v>
      </c>
      <c r="C203" s="1" t="n">
        <v>45912</v>
      </c>
      <c r="D203" t="inlineStr">
        <is>
          <t>JÄMTLANDS LÄN</t>
        </is>
      </c>
      <c r="E203" t="inlineStr">
        <is>
          <t>RAGUNDA</t>
        </is>
      </c>
      <c r="F203" t="inlineStr">
        <is>
          <t>SCA</t>
        </is>
      </c>
      <c r="G203" t="n">
        <v>8.1</v>
      </c>
      <c r="H203" t="n">
        <v>1</v>
      </c>
      <c r="I203" t="n">
        <v>0</v>
      </c>
      <c r="J203" t="n">
        <v>1</v>
      </c>
      <c r="K203" t="n">
        <v>0</v>
      </c>
      <c r="L203" t="n">
        <v>0</v>
      </c>
      <c r="M203" t="n">
        <v>0</v>
      </c>
      <c r="N203" t="n">
        <v>0</v>
      </c>
      <c r="O203" t="n">
        <v>1</v>
      </c>
      <c r="P203" t="n">
        <v>0</v>
      </c>
      <c r="Q203" t="n">
        <v>1</v>
      </c>
      <c r="R203" s="2" t="inlineStr">
        <is>
          <t>Skogsfru</t>
        </is>
      </c>
      <c r="S203">
        <f>HYPERLINK("https://klasma.github.io/Logging_2303/artfynd/A 20575-2025 artfynd.xlsx", "A 20575-2025")</f>
        <v/>
      </c>
      <c r="T203">
        <f>HYPERLINK("https://klasma.github.io/Logging_2303/kartor/A 20575-2025 karta.png", "A 20575-2025")</f>
        <v/>
      </c>
      <c r="V203">
        <f>HYPERLINK("https://klasma.github.io/Logging_2303/klagomål/A 20575-2025 FSC-klagomål.docx", "A 20575-2025")</f>
        <v/>
      </c>
      <c r="W203">
        <f>HYPERLINK("https://klasma.github.io/Logging_2303/klagomålsmail/A 20575-2025 FSC-klagomål mail.docx", "A 20575-2025")</f>
        <v/>
      </c>
      <c r="X203">
        <f>HYPERLINK("https://klasma.github.io/Logging_2303/tillsyn/A 20575-2025 tillsynsbegäran.docx", "A 20575-2025")</f>
        <v/>
      </c>
      <c r="Y203">
        <f>HYPERLINK("https://klasma.github.io/Logging_2303/tillsynsmail/A 20575-2025 tillsynsbegäran mail.docx", "A 20575-2025")</f>
        <v/>
      </c>
    </row>
    <row r="204" ht="15" customHeight="1">
      <c r="A204" t="inlineStr">
        <is>
          <t>A 10884-2025</t>
        </is>
      </c>
      <c r="B204" s="1" t="n">
        <v>45722.65670138889</v>
      </c>
      <c r="C204" s="1" t="n">
        <v>45912</v>
      </c>
      <c r="D204" t="inlineStr">
        <is>
          <t>JÄMTLANDS LÄN</t>
        </is>
      </c>
      <c r="E204" t="inlineStr">
        <is>
          <t>RAGUNDA</t>
        </is>
      </c>
      <c r="F204" t="inlineStr">
        <is>
          <t>SCA</t>
        </is>
      </c>
      <c r="G204" t="n">
        <v>5.4</v>
      </c>
      <c r="H204" t="n">
        <v>0</v>
      </c>
      <c r="I204" t="n">
        <v>1</v>
      </c>
      <c r="J204" t="n">
        <v>0</v>
      </c>
      <c r="K204" t="n">
        <v>0</v>
      </c>
      <c r="L204" t="n">
        <v>0</v>
      </c>
      <c r="M204" t="n">
        <v>0</v>
      </c>
      <c r="N204" t="n">
        <v>0</v>
      </c>
      <c r="O204" t="n">
        <v>0</v>
      </c>
      <c r="P204" t="n">
        <v>0</v>
      </c>
      <c r="Q204" t="n">
        <v>1</v>
      </c>
      <c r="R204" s="2" t="inlineStr">
        <is>
          <t>Dropptaggsvamp</t>
        </is>
      </c>
      <c r="S204">
        <f>HYPERLINK("https://klasma.github.io/Logging_2303/artfynd/A 10884-2025 artfynd.xlsx", "A 10884-2025")</f>
        <v/>
      </c>
      <c r="T204">
        <f>HYPERLINK("https://klasma.github.io/Logging_2303/kartor/A 10884-2025 karta.png", "A 10884-2025")</f>
        <v/>
      </c>
      <c r="V204">
        <f>HYPERLINK("https://klasma.github.io/Logging_2303/klagomål/A 10884-2025 FSC-klagomål.docx", "A 10884-2025")</f>
        <v/>
      </c>
      <c r="W204">
        <f>HYPERLINK("https://klasma.github.io/Logging_2303/klagomålsmail/A 10884-2025 FSC-klagomål mail.docx", "A 10884-2025")</f>
        <v/>
      </c>
      <c r="X204">
        <f>HYPERLINK("https://klasma.github.io/Logging_2303/tillsyn/A 10884-2025 tillsynsbegäran.docx", "A 10884-2025")</f>
        <v/>
      </c>
      <c r="Y204">
        <f>HYPERLINK("https://klasma.github.io/Logging_2303/tillsynsmail/A 10884-2025 tillsynsbegäran mail.docx", "A 10884-2025")</f>
        <v/>
      </c>
    </row>
    <row r="205" ht="15" customHeight="1">
      <c r="A205" t="inlineStr">
        <is>
          <t>A 36757-2023</t>
        </is>
      </c>
      <c r="B205" s="1" t="n">
        <v>45153</v>
      </c>
      <c r="C205" s="1" t="n">
        <v>45912</v>
      </c>
      <c r="D205" t="inlineStr">
        <is>
          <t>JÄMTLANDS LÄN</t>
        </is>
      </c>
      <c r="E205" t="inlineStr">
        <is>
          <t>RAGUNDA</t>
        </is>
      </c>
      <c r="G205" t="n">
        <v>0.7</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36757-2023 artfynd.xlsx", "A 36757-2023")</f>
        <v/>
      </c>
      <c r="T205">
        <f>HYPERLINK("https://klasma.github.io/Logging_2303/kartor/A 36757-2023 karta.png", "A 36757-2023")</f>
        <v/>
      </c>
      <c r="V205">
        <f>HYPERLINK("https://klasma.github.io/Logging_2303/klagomål/A 36757-2023 FSC-klagomål.docx", "A 36757-2023")</f>
        <v/>
      </c>
      <c r="W205">
        <f>HYPERLINK("https://klasma.github.io/Logging_2303/klagomålsmail/A 36757-2023 FSC-klagomål mail.docx", "A 36757-2023")</f>
        <v/>
      </c>
      <c r="X205">
        <f>HYPERLINK("https://klasma.github.io/Logging_2303/tillsyn/A 36757-2023 tillsynsbegäran.docx", "A 36757-2023")</f>
        <v/>
      </c>
      <c r="Y205">
        <f>HYPERLINK("https://klasma.github.io/Logging_2303/tillsynsmail/A 36757-2023 tillsynsbegäran mail.docx", "A 36757-2023")</f>
        <v/>
      </c>
      <c r="Z205">
        <f>HYPERLINK("https://klasma.github.io/Logging_2303/fåglar/A 36757-2023 prioriterade fågelarter.docx", "A 36757-2023")</f>
        <v/>
      </c>
    </row>
    <row r="206" ht="15" customHeight="1">
      <c r="A206" t="inlineStr">
        <is>
          <t>A 59104-2023</t>
        </is>
      </c>
      <c r="B206" s="1" t="n">
        <v>45252</v>
      </c>
      <c r="C206" s="1" t="n">
        <v>45912</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11040-2023</t>
        </is>
      </c>
      <c r="B207" s="1" t="n">
        <v>44991</v>
      </c>
      <c r="C207" s="1" t="n">
        <v>45912</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61324-2024</t>
        </is>
      </c>
      <c r="B208" s="1" t="n">
        <v>45646.34438657408</v>
      </c>
      <c r="C208" s="1" t="n">
        <v>45912</v>
      </c>
      <c r="D208" t="inlineStr">
        <is>
          <t>JÄMTLANDS LÄN</t>
        </is>
      </c>
      <c r="E208" t="inlineStr">
        <is>
          <t>RAGUNDA</t>
        </is>
      </c>
      <c r="F208" t="inlineStr">
        <is>
          <t>SCA</t>
        </is>
      </c>
      <c r="G208" t="n">
        <v>11.2</v>
      </c>
      <c r="H208" t="n">
        <v>1</v>
      </c>
      <c r="I208" t="n">
        <v>0</v>
      </c>
      <c r="J208" t="n">
        <v>0</v>
      </c>
      <c r="K208" t="n">
        <v>0</v>
      </c>
      <c r="L208" t="n">
        <v>0</v>
      </c>
      <c r="M208" t="n">
        <v>0</v>
      </c>
      <c r="N208" t="n">
        <v>0</v>
      </c>
      <c r="O208" t="n">
        <v>0</v>
      </c>
      <c r="P208" t="n">
        <v>0</v>
      </c>
      <c r="Q208" t="n">
        <v>1</v>
      </c>
      <c r="R208" s="2" t="inlineStr">
        <is>
          <t>Trana</t>
        </is>
      </c>
      <c r="S208">
        <f>HYPERLINK("https://klasma.github.io/Logging_2303/artfynd/A 61324-2024 artfynd.xlsx", "A 61324-2024")</f>
        <v/>
      </c>
      <c r="T208">
        <f>HYPERLINK("https://klasma.github.io/Logging_2303/kartor/A 61324-2024 karta.png", "A 61324-2024")</f>
        <v/>
      </c>
      <c r="V208">
        <f>HYPERLINK("https://klasma.github.io/Logging_2303/klagomål/A 61324-2024 FSC-klagomål.docx", "A 61324-2024")</f>
        <v/>
      </c>
      <c r="W208">
        <f>HYPERLINK("https://klasma.github.io/Logging_2303/klagomålsmail/A 61324-2024 FSC-klagomål mail.docx", "A 61324-2024")</f>
        <v/>
      </c>
      <c r="X208">
        <f>HYPERLINK("https://klasma.github.io/Logging_2303/tillsyn/A 61324-2024 tillsynsbegäran.docx", "A 61324-2024")</f>
        <v/>
      </c>
      <c r="Y208">
        <f>HYPERLINK("https://klasma.github.io/Logging_2303/tillsynsmail/A 61324-2024 tillsynsbegäran mail.docx", "A 61324-2024")</f>
        <v/>
      </c>
      <c r="Z208">
        <f>HYPERLINK("https://klasma.github.io/Logging_2303/fåglar/A 61324-2024 prioriterade fågelarter.docx", "A 61324-2024")</f>
        <v/>
      </c>
    </row>
    <row r="209" ht="15" customHeight="1">
      <c r="A209" t="inlineStr">
        <is>
          <t>A 21212-2025</t>
        </is>
      </c>
      <c r="B209" s="1" t="n">
        <v>45779.48993055556</v>
      </c>
      <c r="C209" s="1" t="n">
        <v>45912</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29921-2024</t>
        </is>
      </c>
      <c r="B210" s="1" t="n">
        <v>45487.92863425926</v>
      </c>
      <c r="C210" s="1" t="n">
        <v>45912</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36975-2023</t>
        </is>
      </c>
      <c r="B211" s="1" t="n">
        <v>45154</v>
      </c>
      <c r="C211" s="1" t="n">
        <v>45912</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50233-2024</t>
        </is>
      </c>
      <c r="B212" s="1" t="n">
        <v>45600.55265046296</v>
      </c>
      <c r="C212" s="1" t="n">
        <v>45912</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32069-2024</t>
        </is>
      </c>
      <c r="B213" s="1" t="n">
        <v>45510</v>
      </c>
      <c r="C213" s="1" t="n">
        <v>45912</v>
      </c>
      <c r="D213" t="inlineStr">
        <is>
          <t>JÄMTLANDS LÄN</t>
        </is>
      </c>
      <c r="E213" t="inlineStr">
        <is>
          <t>RAGUNDA</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HYPERLINK("https://klasma.github.io/Logging_2303/artfynd/A 32069-2024 artfynd.xlsx", "A 32069-2024")</f>
        <v/>
      </c>
      <c r="T213">
        <f>HYPERLINK("https://klasma.github.io/Logging_2303/kartor/A 32069-2024 karta.png", "A 32069-2024")</f>
        <v/>
      </c>
      <c r="V213">
        <f>HYPERLINK("https://klasma.github.io/Logging_2303/klagomål/A 32069-2024 FSC-klagomål.docx", "A 32069-2024")</f>
        <v/>
      </c>
      <c r="W213">
        <f>HYPERLINK("https://klasma.github.io/Logging_2303/klagomålsmail/A 32069-2024 FSC-klagomål mail.docx", "A 32069-2024")</f>
        <v/>
      </c>
      <c r="X213">
        <f>HYPERLINK("https://klasma.github.io/Logging_2303/tillsyn/A 32069-2024 tillsynsbegäran.docx", "A 32069-2024")</f>
        <v/>
      </c>
      <c r="Y213">
        <f>HYPERLINK("https://klasma.github.io/Logging_2303/tillsynsmail/A 32069-2024 tillsynsbegäran mail.docx", "A 32069-2024")</f>
        <v/>
      </c>
    </row>
    <row r="214" ht="15" customHeight="1">
      <c r="A214" t="inlineStr">
        <is>
          <t>A 19751-2025</t>
        </is>
      </c>
      <c r="B214" s="1" t="n">
        <v>45771.3859837963</v>
      </c>
      <c r="C214" s="1" t="n">
        <v>45912</v>
      </c>
      <c r="D214" t="inlineStr">
        <is>
          <t>JÄMTLANDS LÄN</t>
        </is>
      </c>
      <c r="E214" t="inlineStr">
        <is>
          <t>RAGUNDA</t>
        </is>
      </c>
      <c r="F214" t="inlineStr">
        <is>
          <t>SCA</t>
        </is>
      </c>
      <c r="G214" t="n">
        <v>1.1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19751-2025 artfynd.xlsx", "A 19751-2025")</f>
        <v/>
      </c>
      <c r="T214">
        <f>HYPERLINK("https://klasma.github.io/Logging_2303/kartor/A 19751-2025 karta.png", "A 19751-2025")</f>
        <v/>
      </c>
      <c r="V214">
        <f>HYPERLINK("https://klasma.github.io/Logging_2303/klagomål/A 19751-2025 FSC-klagomål.docx", "A 19751-2025")</f>
        <v/>
      </c>
      <c r="W214">
        <f>HYPERLINK("https://klasma.github.io/Logging_2303/klagomålsmail/A 19751-2025 FSC-klagomål mail.docx", "A 19751-2025")</f>
        <v/>
      </c>
      <c r="X214">
        <f>HYPERLINK("https://klasma.github.io/Logging_2303/tillsyn/A 19751-2025 tillsynsbegäran.docx", "A 19751-2025")</f>
        <v/>
      </c>
      <c r="Y214">
        <f>HYPERLINK("https://klasma.github.io/Logging_2303/tillsynsmail/A 19751-2025 tillsynsbegäran mail.docx", "A 19751-2025")</f>
        <v/>
      </c>
      <c r="Z214">
        <f>HYPERLINK("https://klasma.github.io/Logging_2303/fåglar/A 19751-2025 prioriterade fågelarter.docx", "A 19751-2025")</f>
        <v/>
      </c>
    </row>
    <row r="215" ht="15" customHeight="1">
      <c r="A215" t="inlineStr">
        <is>
          <t>A 36224-2023</t>
        </is>
      </c>
      <c r="B215" s="1" t="n">
        <v>45149</v>
      </c>
      <c r="C215" s="1" t="n">
        <v>45912</v>
      </c>
      <c r="D215" t="inlineStr">
        <is>
          <t>JÄMTLANDS LÄN</t>
        </is>
      </c>
      <c r="E215" t="inlineStr">
        <is>
          <t>RAGUNDA</t>
        </is>
      </c>
      <c r="F215" t="inlineStr">
        <is>
          <t>SCA</t>
        </is>
      </c>
      <c r="G215" t="n">
        <v>8.1</v>
      </c>
      <c r="H215" t="n">
        <v>0</v>
      </c>
      <c r="I215" t="n">
        <v>0</v>
      </c>
      <c r="J215" t="n">
        <v>1</v>
      </c>
      <c r="K215" t="n">
        <v>0</v>
      </c>
      <c r="L215" t="n">
        <v>0</v>
      </c>
      <c r="M215" t="n">
        <v>0</v>
      </c>
      <c r="N215" t="n">
        <v>0</v>
      </c>
      <c r="O215" t="n">
        <v>1</v>
      </c>
      <c r="P215" t="n">
        <v>0</v>
      </c>
      <c r="Q215" t="n">
        <v>1</v>
      </c>
      <c r="R215" s="2" t="inlineStr">
        <is>
          <t>Garnlav</t>
        </is>
      </c>
      <c r="S215">
        <f>HYPERLINK("https://klasma.github.io/Logging_2303/artfynd/A 36224-2023 artfynd.xlsx", "A 36224-2023")</f>
        <v/>
      </c>
      <c r="T215">
        <f>HYPERLINK("https://klasma.github.io/Logging_2303/kartor/A 36224-2023 karta.png", "A 36224-2023")</f>
        <v/>
      </c>
      <c r="V215">
        <f>HYPERLINK("https://klasma.github.io/Logging_2303/klagomål/A 36224-2023 FSC-klagomål.docx", "A 36224-2023")</f>
        <v/>
      </c>
      <c r="W215">
        <f>HYPERLINK("https://klasma.github.io/Logging_2303/klagomålsmail/A 36224-2023 FSC-klagomål mail.docx", "A 36224-2023")</f>
        <v/>
      </c>
      <c r="X215">
        <f>HYPERLINK("https://klasma.github.io/Logging_2303/tillsyn/A 36224-2023 tillsynsbegäran.docx", "A 36224-2023")</f>
        <v/>
      </c>
      <c r="Y215">
        <f>HYPERLINK("https://klasma.github.io/Logging_2303/tillsynsmail/A 36224-2023 tillsynsbegäran mail.docx", "A 36224-2023")</f>
        <v/>
      </c>
    </row>
    <row r="216" ht="15" customHeight="1">
      <c r="A216" t="inlineStr">
        <is>
          <t>A 52898-2020</t>
        </is>
      </c>
      <c r="B216" s="1" t="n">
        <v>44119</v>
      </c>
      <c r="C216" s="1" t="n">
        <v>45912</v>
      </c>
      <c r="D216" t="inlineStr">
        <is>
          <t>JÄMTLANDS LÄN</t>
        </is>
      </c>
      <c r="E216" t="inlineStr">
        <is>
          <t>RAGUNDA</t>
        </is>
      </c>
      <c r="G216" t="n">
        <v>1.4</v>
      </c>
      <c r="H216" t="n">
        <v>1</v>
      </c>
      <c r="I216" t="n">
        <v>0</v>
      </c>
      <c r="J216" t="n">
        <v>0</v>
      </c>
      <c r="K216" t="n">
        <v>0</v>
      </c>
      <c r="L216" t="n">
        <v>0</v>
      </c>
      <c r="M216" t="n">
        <v>0</v>
      </c>
      <c r="N216" t="n">
        <v>0</v>
      </c>
      <c r="O216" t="n">
        <v>0</v>
      </c>
      <c r="P216" t="n">
        <v>0</v>
      </c>
      <c r="Q216" t="n">
        <v>1</v>
      </c>
      <c r="R216" s="2" t="inlineStr">
        <is>
          <t>Revlummer</t>
        </is>
      </c>
      <c r="S216">
        <f>HYPERLINK("https://klasma.github.io/Logging_2303/artfynd/A 52898-2020 artfynd.xlsx", "A 52898-2020")</f>
        <v/>
      </c>
      <c r="T216">
        <f>HYPERLINK("https://klasma.github.io/Logging_2303/kartor/A 52898-2020 karta.png", "A 52898-2020")</f>
        <v/>
      </c>
      <c r="V216">
        <f>HYPERLINK("https://klasma.github.io/Logging_2303/klagomål/A 52898-2020 FSC-klagomål.docx", "A 52898-2020")</f>
        <v/>
      </c>
      <c r="W216">
        <f>HYPERLINK("https://klasma.github.io/Logging_2303/klagomålsmail/A 52898-2020 FSC-klagomål mail.docx", "A 52898-2020")</f>
        <v/>
      </c>
      <c r="X216">
        <f>HYPERLINK("https://klasma.github.io/Logging_2303/tillsyn/A 52898-2020 tillsynsbegäran.docx", "A 52898-2020")</f>
        <v/>
      </c>
      <c r="Y216">
        <f>HYPERLINK("https://klasma.github.io/Logging_2303/tillsynsmail/A 52898-2020 tillsynsbegäran mail.docx", "A 52898-2020")</f>
        <v/>
      </c>
    </row>
    <row r="217" ht="15" customHeight="1">
      <c r="A217" t="inlineStr">
        <is>
          <t>A 19387-2025</t>
        </is>
      </c>
      <c r="B217" s="1" t="n">
        <v>45769.65736111111</v>
      </c>
      <c r="C217" s="1" t="n">
        <v>45912</v>
      </c>
      <c r="D217" t="inlineStr">
        <is>
          <t>JÄMTLANDS LÄN</t>
        </is>
      </c>
      <c r="E217" t="inlineStr">
        <is>
          <t>RAGUNDA</t>
        </is>
      </c>
      <c r="F217" t="inlineStr">
        <is>
          <t>SCA</t>
        </is>
      </c>
      <c r="G217" t="n">
        <v>16.4</v>
      </c>
      <c r="H217" t="n">
        <v>1</v>
      </c>
      <c r="I217" t="n">
        <v>0</v>
      </c>
      <c r="J217" t="n">
        <v>0</v>
      </c>
      <c r="K217" t="n">
        <v>1</v>
      </c>
      <c r="L217" t="n">
        <v>0</v>
      </c>
      <c r="M217" t="n">
        <v>0</v>
      </c>
      <c r="N217" t="n">
        <v>0</v>
      </c>
      <c r="O217" t="n">
        <v>1</v>
      </c>
      <c r="P217" t="n">
        <v>1</v>
      </c>
      <c r="Q217" t="n">
        <v>1</v>
      </c>
      <c r="R217" s="2" t="inlineStr">
        <is>
          <t>Norna</t>
        </is>
      </c>
      <c r="S217">
        <f>HYPERLINK("https://klasma.github.io/Logging_2303/artfynd/A 19387-2025 artfynd.xlsx", "A 19387-2025")</f>
        <v/>
      </c>
      <c r="T217">
        <f>HYPERLINK("https://klasma.github.io/Logging_2303/kartor/A 19387-2025 karta.png", "A 19387-2025")</f>
        <v/>
      </c>
      <c r="V217">
        <f>HYPERLINK("https://klasma.github.io/Logging_2303/klagomål/A 19387-2025 FSC-klagomål.docx", "A 19387-2025")</f>
        <v/>
      </c>
      <c r="W217">
        <f>HYPERLINK("https://klasma.github.io/Logging_2303/klagomålsmail/A 19387-2025 FSC-klagomål mail.docx", "A 19387-2025")</f>
        <v/>
      </c>
      <c r="X217">
        <f>HYPERLINK("https://klasma.github.io/Logging_2303/tillsyn/A 19387-2025 tillsynsbegäran.docx", "A 19387-2025")</f>
        <v/>
      </c>
      <c r="Y217">
        <f>HYPERLINK("https://klasma.github.io/Logging_2303/tillsynsmail/A 19387-2025 tillsynsbegäran mail.docx", "A 19387-2025")</f>
        <v/>
      </c>
    </row>
    <row r="218" ht="15" customHeight="1">
      <c r="A218" t="inlineStr">
        <is>
          <t>A 43404-2023</t>
        </is>
      </c>
      <c r="B218" s="1" t="n">
        <v>45183</v>
      </c>
      <c r="C218" s="1" t="n">
        <v>45912</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2929-2024</t>
        </is>
      </c>
      <c r="B219" s="1" t="n">
        <v>45315</v>
      </c>
      <c r="C219" s="1" t="n">
        <v>45912</v>
      </c>
      <c r="D219" t="inlineStr">
        <is>
          <t>JÄMTLANDS LÄN</t>
        </is>
      </c>
      <c r="E219" t="inlineStr">
        <is>
          <t>RAGUNDA</t>
        </is>
      </c>
      <c r="G219" t="n">
        <v>1</v>
      </c>
      <c r="H219" t="n">
        <v>0</v>
      </c>
      <c r="I219" t="n">
        <v>0</v>
      </c>
      <c r="J219" t="n">
        <v>1</v>
      </c>
      <c r="K219" t="n">
        <v>0</v>
      </c>
      <c r="L219" t="n">
        <v>0</v>
      </c>
      <c r="M219" t="n">
        <v>0</v>
      </c>
      <c r="N219" t="n">
        <v>0</v>
      </c>
      <c r="O219" t="n">
        <v>1</v>
      </c>
      <c r="P219" t="n">
        <v>0</v>
      </c>
      <c r="Q219" t="n">
        <v>1</v>
      </c>
      <c r="R219" s="2" t="inlineStr">
        <is>
          <t>Klådris</t>
        </is>
      </c>
      <c r="S219">
        <f>HYPERLINK("https://klasma.github.io/Logging_2303/artfynd/A 2929-2024 artfynd.xlsx", "A 2929-2024")</f>
        <v/>
      </c>
      <c r="T219">
        <f>HYPERLINK("https://klasma.github.io/Logging_2303/kartor/A 2929-2024 karta.png", "A 2929-2024")</f>
        <v/>
      </c>
      <c r="V219">
        <f>HYPERLINK("https://klasma.github.io/Logging_2303/klagomål/A 2929-2024 FSC-klagomål.docx", "A 2929-2024")</f>
        <v/>
      </c>
      <c r="W219">
        <f>HYPERLINK("https://klasma.github.io/Logging_2303/klagomålsmail/A 2929-2024 FSC-klagomål mail.docx", "A 2929-2024")</f>
        <v/>
      </c>
      <c r="X219">
        <f>HYPERLINK("https://klasma.github.io/Logging_2303/tillsyn/A 2929-2024 tillsynsbegäran.docx", "A 2929-2024")</f>
        <v/>
      </c>
      <c r="Y219">
        <f>HYPERLINK("https://klasma.github.io/Logging_2303/tillsynsmail/A 2929-2024 tillsynsbegäran mail.docx", "A 2929-2024")</f>
        <v/>
      </c>
    </row>
    <row r="220" ht="15" customHeight="1">
      <c r="A220" t="inlineStr">
        <is>
          <t>A 24443-2024</t>
        </is>
      </c>
      <c r="B220" s="1" t="n">
        <v>45457.9640625</v>
      </c>
      <c r="C220" s="1" t="n">
        <v>45912</v>
      </c>
      <c r="D220" t="inlineStr">
        <is>
          <t>JÄMTLANDS LÄN</t>
        </is>
      </c>
      <c r="E220" t="inlineStr">
        <is>
          <t>RAGUNDA</t>
        </is>
      </c>
      <c r="F220" t="inlineStr">
        <is>
          <t>SCA</t>
        </is>
      </c>
      <c r="G220" t="n">
        <v>2.1</v>
      </c>
      <c r="H220" t="n">
        <v>0</v>
      </c>
      <c r="I220" t="n">
        <v>0</v>
      </c>
      <c r="J220" t="n">
        <v>1</v>
      </c>
      <c r="K220" t="n">
        <v>0</v>
      </c>
      <c r="L220" t="n">
        <v>0</v>
      </c>
      <c r="M220" t="n">
        <v>0</v>
      </c>
      <c r="N220" t="n">
        <v>0</v>
      </c>
      <c r="O220" t="n">
        <v>1</v>
      </c>
      <c r="P220" t="n">
        <v>0</v>
      </c>
      <c r="Q220" t="n">
        <v>1</v>
      </c>
      <c r="R220" s="2" t="inlineStr">
        <is>
          <t>Lunglav</t>
        </is>
      </c>
      <c r="S220">
        <f>HYPERLINK("https://klasma.github.io/Logging_2303/artfynd/A 24443-2024 artfynd.xlsx", "A 24443-2024")</f>
        <v/>
      </c>
      <c r="T220">
        <f>HYPERLINK("https://klasma.github.io/Logging_2303/kartor/A 24443-2024 karta.png", "A 24443-2024")</f>
        <v/>
      </c>
      <c r="U220">
        <f>HYPERLINK("https://klasma.github.io/Logging_2303/knärot/A 24443-2024 karta knärot.png", "A 24443-2024")</f>
        <v/>
      </c>
      <c r="V220">
        <f>HYPERLINK("https://klasma.github.io/Logging_2303/klagomål/A 24443-2024 FSC-klagomål.docx", "A 24443-2024")</f>
        <v/>
      </c>
      <c r="W220">
        <f>HYPERLINK("https://klasma.github.io/Logging_2303/klagomålsmail/A 24443-2024 FSC-klagomål mail.docx", "A 24443-2024")</f>
        <v/>
      </c>
      <c r="X220">
        <f>HYPERLINK("https://klasma.github.io/Logging_2303/tillsyn/A 24443-2024 tillsynsbegäran.docx", "A 24443-2024")</f>
        <v/>
      </c>
      <c r="Y220">
        <f>HYPERLINK("https://klasma.github.io/Logging_2303/tillsynsmail/A 24443-2024 tillsynsbegäran mail.docx", "A 24443-2024")</f>
        <v/>
      </c>
    </row>
    <row r="221" ht="15" customHeight="1">
      <c r="A221" t="inlineStr">
        <is>
          <t>A 23930-2024</t>
        </is>
      </c>
      <c r="B221" s="1" t="n">
        <v>45455.96184027778</v>
      </c>
      <c r="C221" s="1" t="n">
        <v>45912</v>
      </c>
      <c r="D221" t="inlineStr">
        <is>
          <t>JÄMTLANDS LÄN</t>
        </is>
      </c>
      <c r="E221" t="inlineStr">
        <is>
          <t>RAGUNDA</t>
        </is>
      </c>
      <c r="F221" t="inlineStr">
        <is>
          <t>SCA</t>
        </is>
      </c>
      <c r="G221" t="n">
        <v>4.2</v>
      </c>
      <c r="H221" t="n">
        <v>1</v>
      </c>
      <c r="I221" t="n">
        <v>1</v>
      </c>
      <c r="J221" t="n">
        <v>0</v>
      </c>
      <c r="K221" t="n">
        <v>0</v>
      </c>
      <c r="L221" t="n">
        <v>0</v>
      </c>
      <c r="M221" t="n">
        <v>0</v>
      </c>
      <c r="N221" t="n">
        <v>0</v>
      </c>
      <c r="O221" t="n">
        <v>0</v>
      </c>
      <c r="P221" t="n">
        <v>0</v>
      </c>
      <c r="Q221" t="n">
        <v>1</v>
      </c>
      <c r="R221" s="2" t="inlineStr">
        <is>
          <t>Guckusko</t>
        </is>
      </c>
      <c r="S221">
        <f>HYPERLINK("https://klasma.github.io/Logging_2303/artfynd/A 23930-2024 artfynd.xlsx", "A 23930-2024")</f>
        <v/>
      </c>
      <c r="T221">
        <f>HYPERLINK("https://klasma.github.io/Logging_2303/kartor/A 23930-2024 karta.png", "A 23930-2024")</f>
        <v/>
      </c>
      <c r="V221">
        <f>HYPERLINK("https://klasma.github.io/Logging_2303/klagomål/A 23930-2024 FSC-klagomål.docx", "A 23930-2024")</f>
        <v/>
      </c>
      <c r="W221">
        <f>HYPERLINK("https://klasma.github.io/Logging_2303/klagomålsmail/A 23930-2024 FSC-klagomål mail.docx", "A 23930-2024")</f>
        <v/>
      </c>
      <c r="X221">
        <f>HYPERLINK("https://klasma.github.io/Logging_2303/tillsyn/A 23930-2024 tillsynsbegäran.docx", "A 23930-2024")</f>
        <v/>
      </c>
      <c r="Y221">
        <f>HYPERLINK("https://klasma.github.io/Logging_2303/tillsynsmail/A 23930-2024 tillsynsbegäran mail.docx", "A 23930-2024")</f>
        <v/>
      </c>
    </row>
    <row r="222" ht="15" customHeight="1">
      <c r="A222" t="inlineStr">
        <is>
          <t>A 19728-2025</t>
        </is>
      </c>
      <c r="B222" s="1" t="n">
        <v>45771.36548611111</v>
      </c>
      <c r="C222" s="1" t="n">
        <v>45912</v>
      </c>
      <c r="D222" t="inlineStr">
        <is>
          <t>JÄMTLANDS LÄN</t>
        </is>
      </c>
      <c r="E222" t="inlineStr">
        <is>
          <t>RAGUNDA</t>
        </is>
      </c>
      <c r="F222" t="inlineStr">
        <is>
          <t>SCA</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19728-2025 artfynd.xlsx", "A 19728-2025")</f>
        <v/>
      </c>
      <c r="T222">
        <f>HYPERLINK("https://klasma.github.io/Logging_2303/kartor/A 19728-2025 karta.png", "A 19728-2025")</f>
        <v/>
      </c>
      <c r="V222">
        <f>HYPERLINK("https://klasma.github.io/Logging_2303/klagomål/A 19728-2025 FSC-klagomål.docx", "A 19728-2025")</f>
        <v/>
      </c>
      <c r="W222">
        <f>HYPERLINK("https://klasma.github.io/Logging_2303/klagomålsmail/A 19728-2025 FSC-klagomål mail.docx", "A 19728-2025")</f>
        <v/>
      </c>
      <c r="X222">
        <f>HYPERLINK("https://klasma.github.io/Logging_2303/tillsyn/A 19728-2025 tillsynsbegäran.docx", "A 19728-2025")</f>
        <v/>
      </c>
      <c r="Y222">
        <f>HYPERLINK("https://klasma.github.io/Logging_2303/tillsynsmail/A 19728-2025 tillsynsbegäran mail.docx", "A 19728-2025")</f>
        <v/>
      </c>
      <c r="Z222">
        <f>HYPERLINK("https://klasma.github.io/Logging_2303/fåglar/A 19728-2025 prioriterade fågelarter.docx", "A 19728-2025")</f>
        <v/>
      </c>
    </row>
    <row r="223" ht="15" customHeight="1">
      <c r="A223" t="inlineStr">
        <is>
          <t>A 58846-2024</t>
        </is>
      </c>
      <c r="B223" s="1" t="n">
        <v>45636.3863425926</v>
      </c>
      <c r="C223" s="1" t="n">
        <v>45912</v>
      </c>
      <c r="D223" t="inlineStr">
        <is>
          <t>JÄMTLANDS LÄN</t>
        </is>
      </c>
      <c r="E223" t="inlineStr">
        <is>
          <t>RAGUNDA</t>
        </is>
      </c>
      <c r="F223" t="inlineStr">
        <is>
          <t>SCA</t>
        </is>
      </c>
      <c r="G223" t="n">
        <v>1.5</v>
      </c>
      <c r="H223" t="n">
        <v>0</v>
      </c>
      <c r="I223" t="n">
        <v>0</v>
      </c>
      <c r="J223" t="n">
        <v>0</v>
      </c>
      <c r="K223" t="n">
        <v>1</v>
      </c>
      <c r="L223" t="n">
        <v>0</v>
      </c>
      <c r="M223" t="n">
        <v>0</v>
      </c>
      <c r="N223" t="n">
        <v>0</v>
      </c>
      <c r="O223" t="n">
        <v>1</v>
      </c>
      <c r="P223" t="n">
        <v>1</v>
      </c>
      <c r="Q223" t="n">
        <v>1</v>
      </c>
      <c r="R223" s="2" t="inlineStr">
        <is>
          <t>Rynkskinn</t>
        </is>
      </c>
      <c r="S223">
        <f>HYPERLINK("https://klasma.github.io/Logging_2303/artfynd/A 58846-2024 artfynd.xlsx", "A 58846-2024")</f>
        <v/>
      </c>
      <c r="T223">
        <f>HYPERLINK("https://klasma.github.io/Logging_2303/kartor/A 58846-2024 karta.png", "A 58846-2024")</f>
        <v/>
      </c>
      <c r="V223">
        <f>HYPERLINK("https://klasma.github.io/Logging_2303/klagomål/A 58846-2024 FSC-klagomål.docx", "A 58846-2024")</f>
        <v/>
      </c>
      <c r="W223">
        <f>HYPERLINK("https://klasma.github.io/Logging_2303/klagomålsmail/A 58846-2024 FSC-klagomål mail.docx", "A 58846-2024")</f>
        <v/>
      </c>
      <c r="X223">
        <f>HYPERLINK("https://klasma.github.io/Logging_2303/tillsyn/A 58846-2024 tillsynsbegäran.docx", "A 58846-2024")</f>
        <v/>
      </c>
      <c r="Y223">
        <f>HYPERLINK("https://klasma.github.io/Logging_2303/tillsynsmail/A 58846-2024 tillsynsbegäran mail.docx", "A 58846-2024")</f>
        <v/>
      </c>
    </row>
    <row r="224" ht="15" customHeight="1">
      <c r="A224" t="inlineStr">
        <is>
          <t>A 27573-2025</t>
        </is>
      </c>
      <c r="B224" s="1" t="n">
        <v>45813.49061342593</v>
      </c>
      <c r="C224" s="1" t="n">
        <v>45912</v>
      </c>
      <c r="D224" t="inlineStr">
        <is>
          <t>JÄMTLANDS LÄN</t>
        </is>
      </c>
      <c r="E224" t="inlineStr">
        <is>
          <t>RAGUNDA</t>
        </is>
      </c>
      <c r="F224" t="inlineStr">
        <is>
          <t>SCA</t>
        </is>
      </c>
      <c r="G224" t="n">
        <v>14.9</v>
      </c>
      <c r="H224" t="n">
        <v>0</v>
      </c>
      <c r="I224" t="n">
        <v>1</v>
      </c>
      <c r="J224" t="n">
        <v>0</v>
      </c>
      <c r="K224" t="n">
        <v>0</v>
      </c>
      <c r="L224" t="n">
        <v>0</v>
      </c>
      <c r="M224" t="n">
        <v>0</v>
      </c>
      <c r="N224" t="n">
        <v>0</v>
      </c>
      <c r="O224" t="n">
        <v>0</v>
      </c>
      <c r="P224" t="n">
        <v>0</v>
      </c>
      <c r="Q224" t="n">
        <v>1</v>
      </c>
      <c r="R224" s="2" t="inlineStr">
        <is>
          <t>Skinnlav</t>
        </is>
      </c>
      <c r="S224">
        <f>HYPERLINK("https://klasma.github.io/Logging_2303/artfynd/A 27573-2025 artfynd.xlsx", "A 27573-2025")</f>
        <v/>
      </c>
      <c r="T224">
        <f>HYPERLINK("https://klasma.github.io/Logging_2303/kartor/A 27573-2025 karta.png", "A 27573-2025")</f>
        <v/>
      </c>
      <c r="U224">
        <f>HYPERLINK("https://klasma.github.io/Logging_2303/knärot/A 27573-2025 karta knärot.png", "A 27573-2025")</f>
        <v/>
      </c>
      <c r="V224">
        <f>HYPERLINK("https://klasma.github.io/Logging_2303/klagomål/A 27573-2025 FSC-klagomål.docx", "A 27573-2025")</f>
        <v/>
      </c>
      <c r="W224">
        <f>HYPERLINK("https://klasma.github.io/Logging_2303/klagomålsmail/A 27573-2025 FSC-klagomål mail.docx", "A 27573-2025")</f>
        <v/>
      </c>
      <c r="X224">
        <f>HYPERLINK("https://klasma.github.io/Logging_2303/tillsyn/A 27573-2025 tillsynsbegäran.docx", "A 27573-2025")</f>
        <v/>
      </c>
      <c r="Y224">
        <f>HYPERLINK("https://klasma.github.io/Logging_2303/tillsynsmail/A 27573-2025 tillsynsbegäran mail.docx", "A 27573-2025")</f>
        <v/>
      </c>
    </row>
    <row r="225" ht="15" customHeight="1">
      <c r="A225" t="inlineStr">
        <is>
          <t>A 36854-2023</t>
        </is>
      </c>
      <c r="B225" s="1" t="n">
        <v>45153</v>
      </c>
      <c r="C225" s="1" t="n">
        <v>45912</v>
      </c>
      <c r="D225" t="inlineStr">
        <is>
          <t>JÄMTLANDS LÄN</t>
        </is>
      </c>
      <c r="E225" t="inlineStr">
        <is>
          <t>RAGUNDA</t>
        </is>
      </c>
      <c r="G225" t="n">
        <v>4</v>
      </c>
      <c r="H225" t="n">
        <v>1</v>
      </c>
      <c r="I225" t="n">
        <v>0</v>
      </c>
      <c r="J225" t="n">
        <v>1</v>
      </c>
      <c r="K225" t="n">
        <v>0</v>
      </c>
      <c r="L225" t="n">
        <v>0</v>
      </c>
      <c r="M225" t="n">
        <v>0</v>
      </c>
      <c r="N225" t="n">
        <v>0</v>
      </c>
      <c r="O225" t="n">
        <v>1</v>
      </c>
      <c r="P225" t="n">
        <v>0</v>
      </c>
      <c r="Q225" t="n">
        <v>1</v>
      </c>
      <c r="R225" s="2" t="inlineStr">
        <is>
          <t>Talltita</t>
        </is>
      </c>
      <c r="S225">
        <f>HYPERLINK("https://klasma.github.io/Logging_2303/artfynd/A 36854-2023 artfynd.xlsx", "A 36854-2023")</f>
        <v/>
      </c>
      <c r="T225">
        <f>HYPERLINK("https://klasma.github.io/Logging_2303/kartor/A 36854-2023 karta.png", "A 36854-2023")</f>
        <v/>
      </c>
      <c r="V225">
        <f>HYPERLINK("https://klasma.github.io/Logging_2303/klagomål/A 36854-2023 FSC-klagomål.docx", "A 36854-2023")</f>
        <v/>
      </c>
      <c r="W225">
        <f>HYPERLINK("https://klasma.github.io/Logging_2303/klagomålsmail/A 36854-2023 FSC-klagomål mail.docx", "A 36854-2023")</f>
        <v/>
      </c>
      <c r="X225">
        <f>HYPERLINK("https://klasma.github.io/Logging_2303/tillsyn/A 36854-2023 tillsynsbegäran.docx", "A 36854-2023")</f>
        <v/>
      </c>
      <c r="Y225">
        <f>HYPERLINK("https://klasma.github.io/Logging_2303/tillsynsmail/A 36854-2023 tillsynsbegäran mail.docx", "A 36854-2023")</f>
        <v/>
      </c>
      <c r="Z225">
        <f>HYPERLINK("https://klasma.github.io/Logging_2303/fåglar/A 36854-2023 prioriterade fågelarter.docx", "A 36854-2023")</f>
        <v/>
      </c>
    </row>
    <row r="226" ht="15" customHeight="1">
      <c r="A226" t="inlineStr">
        <is>
          <t>A 18985-2023</t>
        </is>
      </c>
      <c r="B226" s="1" t="n">
        <v>45044</v>
      </c>
      <c r="C226" s="1" t="n">
        <v>45912</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30485-2024</t>
        </is>
      </c>
      <c r="B227" s="1" t="n">
        <v>45491.95008101852</v>
      </c>
      <c r="C227" s="1" t="n">
        <v>45912</v>
      </c>
      <c r="D227" t="inlineStr">
        <is>
          <t>JÄMTLANDS LÄN</t>
        </is>
      </c>
      <c r="E227" t="inlineStr">
        <is>
          <t>RAGUNDA</t>
        </is>
      </c>
      <c r="F227" t="inlineStr">
        <is>
          <t>SCA</t>
        </is>
      </c>
      <c r="G227" t="n">
        <v>2</v>
      </c>
      <c r="H227" t="n">
        <v>0</v>
      </c>
      <c r="I227" t="n">
        <v>0</v>
      </c>
      <c r="J227" t="n">
        <v>1</v>
      </c>
      <c r="K227" t="n">
        <v>0</v>
      </c>
      <c r="L227" t="n">
        <v>0</v>
      </c>
      <c r="M227" t="n">
        <v>0</v>
      </c>
      <c r="N227" t="n">
        <v>0</v>
      </c>
      <c r="O227" t="n">
        <v>1</v>
      </c>
      <c r="P227" t="n">
        <v>0</v>
      </c>
      <c r="Q227" t="n">
        <v>1</v>
      </c>
      <c r="R227" s="2" t="inlineStr">
        <is>
          <t>Garnlav</t>
        </is>
      </c>
      <c r="S227">
        <f>HYPERLINK("https://klasma.github.io/Logging_2303/artfynd/A 30485-2024 artfynd.xlsx", "A 30485-2024")</f>
        <v/>
      </c>
      <c r="T227">
        <f>HYPERLINK("https://klasma.github.io/Logging_2303/kartor/A 30485-2024 karta.png", "A 30485-2024")</f>
        <v/>
      </c>
      <c r="V227">
        <f>HYPERLINK("https://klasma.github.io/Logging_2303/klagomål/A 30485-2024 FSC-klagomål.docx", "A 30485-2024")</f>
        <v/>
      </c>
      <c r="W227">
        <f>HYPERLINK("https://klasma.github.io/Logging_2303/klagomålsmail/A 30485-2024 FSC-klagomål mail.docx", "A 30485-2024")</f>
        <v/>
      </c>
      <c r="X227">
        <f>HYPERLINK("https://klasma.github.io/Logging_2303/tillsyn/A 30485-2024 tillsynsbegäran.docx", "A 30485-2024")</f>
        <v/>
      </c>
      <c r="Y227">
        <f>HYPERLINK("https://klasma.github.io/Logging_2303/tillsynsmail/A 30485-2024 tillsynsbegäran mail.docx", "A 30485-2024")</f>
        <v/>
      </c>
    </row>
    <row r="228" ht="15" customHeight="1">
      <c r="A228" t="inlineStr">
        <is>
          <t>A 978-2024</t>
        </is>
      </c>
      <c r="B228" s="1" t="n">
        <v>45301</v>
      </c>
      <c r="C228" s="1" t="n">
        <v>45912</v>
      </c>
      <c r="D228" t="inlineStr">
        <is>
          <t>JÄMTLANDS LÄN</t>
        </is>
      </c>
      <c r="E228" t="inlineStr">
        <is>
          <t>RAGUNDA</t>
        </is>
      </c>
      <c r="G228" t="n">
        <v>3.1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978-2024 artfynd.xlsx", "A 978-2024")</f>
        <v/>
      </c>
      <c r="T228">
        <f>HYPERLINK("https://klasma.github.io/Logging_2303/kartor/A 978-2024 karta.png", "A 978-2024")</f>
        <v/>
      </c>
      <c r="V228">
        <f>HYPERLINK("https://klasma.github.io/Logging_2303/klagomål/A 978-2024 FSC-klagomål.docx", "A 978-2024")</f>
        <v/>
      </c>
      <c r="W228">
        <f>HYPERLINK("https://klasma.github.io/Logging_2303/klagomålsmail/A 978-2024 FSC-klagomål mail.docx", "A 978-2024")</f>
        <v/>
      </c>
      <c r="X228">
        <f>HYPERLINK("https://klasma.github.io/Logging_2303/tillsyn/A 978-2024 tillsynsbegäran.docx", "A 978-2024")</f>
        <v/>
      </c>
      <c r="Y228">
        <f>HYPERLINK("https://klasma.github.io/Logging_2303/tillsynsmail/A 978-2024 tillsynsbegäran mail.docx", "A 978-2024")</f>
        <v/>
      </c>
      <c r="Z228">
        <f>HYPERLINK("https://klasma.github.io/Logging_2303/fåglar/A 978-2024 prioriterade fågelarter.docx", "A 978-2024")</f>
        <v/>
      </c>
    </row>
    <row r="229" ht="15" customHeight="1">
      <c r="A229" t="inlineStr">
        <is>
          <t>A 1057-2024</t>
        </is>
      </c>
      <c r="B229" s="1" t="n">
        <v>45301</v>
      </c>
      <c r="C229" s="1" t="n">
        <v>45912</v>
      </c>
      <c r="D229" t="inlineStr">
        <is>
          <t>JÄMTLANDS LÄN</t>
        </is>
      </c>
      <c r="E229" t="inlineStr">
        <is>
          <t>RAGUNDA</t>
        </is>
      </c>
      <c r="F229" t="inlineStr">
        <is>
          <t>SCA</t>
        </is>
      </c>
      <c r="G229" t="n">
        <v>6.8</v>
      </c>
      <c r="H229" t="n">
        <v>0</v>
      </c>
      <c r="I229" t="n">
        <v>1</v>
      </c>
      <c r="J229" t="n">
        <v>0</v>
      </c>
      <c r="K229" t="n">
        <v>0</v>
      </c>
      <c r="L229" t="n">
        <v>0</v>
      </c>
      <c r="M229" t="n">
        <v>0</v>
      </c>
      <c r="N229" t="n">
        <v>0</v>
      </c>
      <c r="O229" t="n">
        <v>0</v>
      </c>
      <c r="P229" t="n">
        <v>0</v>
      </c>
      <c r="Q229" t="n">
        <v>1</v>
      </c>
      <c r="R229" s="2" t="inlineStr">
        <is>
          <t>Stor aspticka</t>
        </is>
      </c>
      <c r="S229">
        <f>HYPERLINK("https://klasma.github.io/Logging_2303/artfynd/A 1057-2024 artfynd.xlsx", "A 1057-2024")</f>
        <v/>
      </c>
      <c r="T229">
        <f>HYPERLINK("https://klasma.github.io/Logging_2303/kartor/A 1057-2024 karta.png", "A 1057-2024")</f>
        <v/>
      </c>
      <c r="V229">
        <f>HYPERLINK("https://klasma.github.io/Logging_2303/klagomål/A 1057-2024 FSC-klagomål.docx", "A 1057-2024")</f>
        <v/>
      </c>
      <c r="W229">
        <f>HYPERLINK("https://klasma.github.io/Logging_2303/klagomålsmail/A 1057-2024 FSC-klagomål mail.docx", "A 1057-2024")</f>
        <v/>
      </c>
      <c r="X229">
        <f>HYPERLINK("https://klasma.github.io/Logging_2303/tillsyn/A 1057-2024 tillsynsbegäran.docx", "A 1057-2024")</f>
        <v/>
      </c>
      <c r="Y229">
        <f>HYPERLINK("https://klasma.github.io/Logging_2303/tillsynsmail/A 1057-2024 tillsynsbegäran mail.docx", "A 1057-2024")</f>
        <v/>
      </c>
    </row>
    <row r="230" ht="15" customHeight="1">
      <c r="A230" t="inlineStr">
        <is>
          <t>A 35750-2023</t>
        </is>
      </c>
      <c r="B230" s="1" t="n">
        <v>45147</v>
      </c>
      <c r="C230" s="1" t="n">
        <v>45912</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30390-2025</t>
        </is>
      </c>
      <c r="B231" s="1" t="n">
        <v>45827.57371527778</v>
      </c>
      <c r="C231" s="1" t="n">
        <v>45912</v>
      </c>
      <c r="D231" t="inlineStr">
        <is>
          <t>JÄMTLANDS LÄN</t>
        </is>
      </c>
      <c r="E231" t="inlineStr">
        <is>
          <t>RAGUNDA</t>
        </is>
      </c>
      <c r="F231" t="inlineStr">
        <is>
          <t>SCA</t>
        </is>
      </c>
      <c r="G231" t="n">
        <v>11.2</v>
      </c>
      <c r="H231" t="n">
        <v>0</v>
      </c>
      <c r="I231" t="n">
        <v>0</v>
      </c>
      <c r="J231" t="n">
        <v>1</v>
      </c>
      <c r="K231" t="n">
        <v>0</v>
      </c>
      <c r="L231" t="n">
        <v>0</v>
      </c>
      <c r="M231" t="n">
        <v>0</v>
      </c>
      <c r="N231" t="n">
        <v>0</v>
      </c>
      <c r="O231" t="n">
        <v>1</v>
      </c>
      <c r="P231" t="n">
        <v>0</v>
      </c>
      <c r="Q231" t="n">
        <v>1</v>
      </c>
      <c r="R231" s="2" t="inlineStr">
        <is>
          <t>Lunglav</t>
        </is>
      </c>
      <c r="S231">
        <f>HYPERLINK("https://klasma.github.io/Logging_2303/artfynd/A 30390-2025 artfynd.xlsx", "A 30390-2025")</f>
        <v/>
      </c>
      <c r="T231">
        <f>HYPERLINK("https://klasma.github.io/Logging_2303/kartor/A 30390-2025 karta.png", "A 30390-2025")</f>
        <v/>
      </c>
      <c r="U231">
        <f>HYPERLINK("https://klasma.github.io/Logging_2303/knärot/A 30390-2025 karta knärot.png", "A 30390-2025")</f>
        <v/>
      </c>
      <c r="V231">
        <f>HYPERLINK("https://klasma.github.io/Logging_2303/klagomål/A 30390-2025 FSC-klagomål.docx", "A 30390-2025")</f>
        <v/>
      </c>
      <c r="W231">
        <f>HYPERLINK("https://klasma.github.io/Logging_2303/klagomålsmail/A 30390-2025 FSC-klagomål mail.docx", "A 30390-2025")</f>
        <v/>
      </c>
      <c r="X231">
        <f>HYPERLINK("https://klasma.github.io/Logging_2303/tillsyn/A 30390-2025 tillsynsbegäran.docx", "A 30390-2025")</f>
        <v/>
      </c>
      <c r="Y231">
        <f>HYPERLINK("https://klasma.github.io/Logging_2303/tillsynsmail/A 30390-2025 tillsynsbegäran mail.docx", "A 30390-2025")</f>
        <v/>
      </c>
    </row>
    <row r="232" ht="15" customHeight="1">
      <c r="A232" t="inlineStr">
        <is>
          <t>A 22054-2025</t>
        </is>
      </c>
      <c r="B232" s="1" t="n">
        <v>45785.36525462963</v>
      </c>
      <c r="C232" s="1" t="n">
        <v>45912</v>
      </c>
      <c r="D232" t="inlineStr">
        <is>
          <t>JÄMTLANDS LÄN</t>
        </is>
      </c>
      <c r="E232" t="inlineStr">
        <is>
          <t>RAGUNDA</t>
        </is>
      </c>
      <c r="F232" t="inlineStr">
        <is>
          <t>SCA</t>
        </is>
      </c>
      <c r="G232" t="n">
        <v>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22054-2025 artfynd.xlsx", "A 22054-2025")</f>
        <v/>
      </c>
      <c r="T232">
        <f>HYPERLINK("https://klasma.github.io/Logging_2303/kartor/A 22054-2025 karta.png", "A 22054-2025")</f>
        <v/>
      </c>
      <c r="V232">
        <f>HYPERLINK("https://klasma.github.io/Logging_2303/klagomål/A 22054-2025 FSC-klagomål.docx", "A 22054-2025")</f>
        <v/>
      </c>
      <c r="W232">
        <f>HYPERLINK("https://klasma.github.io/Logging_2303/klagomålsmail/A 22054-2025 FSC-klagomål mail.docx", "A 22054-2025")</f>
        <v/>
      </c>
      <c r="X232">
        <f>HYPERLINK("https://klasma.github.io/Logging_2303/tillsyn/A 22054-2025 tillsynsbegäran.docx", "A 22054-2025")</f>
        <v/>
      </c>
      <c r="Y232">
        <f>HYPERLINK("https://klasma.github.io/Logging_2303/tillsynsmail/A 22054-2025 tillsynsbegäran mail.docx", "A 22054-2025")</f>
        <v/>
      </c>
      <c r="Z232">
        <f>HYPERLINK("https://klasma.github.io/Logging_2303/fåglar/A 22054-2025 prioriterade fågelarter.docx", "A 22054-2025")</f>
        <v/>
      </c>
    </row>
    <row r="233" ht="15" customHeight="1">
      <c r="A233" t="inlineStr">
        <is>
          <t>A 31773-2021</t>
        </is>
      </c>
      <c r="B233" s="1" t="n">
        <v>44369</v>
      </c>
      <c r="C233" s="1" t="n">
        <v>45912</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32445-2025</t>
        </is>
      </c>
      <c r="B234" s="1" t="n">
        <v>45838.38627314815</v>
      </c>
      <c r="C234" s="1" t="n">
        <v>45912</v>
      </c>
      <c r="D234" t="inlineStr">
        <is>
          <t>JÄMTLANDS LÄN</t>
        </is>
      </c>
      <c r="E234" t="inlineStr">
        <is>
          <t>RAGUNDA</t>
        </is>
      </c>
      <c r="F234" t="inlineStr">
        <is>
          <t>SCA</t>
        </is>
      </c>
      <c r="G234" t="n">
        <v>1.6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32445-2025 artfynd.xlsx", "A 32445-2025")</f>
        <v/>
      </c>
      <c r="T234">
        <f>HYPERLINK("https://klasma.github.io/Logging_2303/kartor/A 32445-2025 karta.png", "A 32445-2025")</f>
        <v/>
      </c>
      <c r="V234">
        <f>HYPERLINK("https://klasma.github.io/Logging_2303/klagomål/A 32445-2025 FSC-klagomål.docx", "A 32445-2025")</f>
        <v/>
      </c>
      <c r="W234">
        <f>HYPERLINK("https://klasma.github.io/Logging_2303/klagomålsmail/A 32445-2025 FSC-klagomål mail.docx", "A 32445-2025")</f>
        <v/>
      </c>
      <c r="X234">
        <f>HYPERLINK("https://klasma.github.io/Logging_2303/tillsyn/A 32445-2025 tillsynsbegäran.docx", "A 32445-2025")</f>
        <v/>
      </c>
      <c r="Y234">
        <f>HYPERLINK("https://klasma.github.io/Logging_2303/tillsynsmail/A 32445-2025 tillsynsbegäran mail.docx", "A 32445-2025")</f>
        <v/>
      </c>
      <c r="Z234">
        <f>HYPERLINK("https://klasma.github.io/Logging_2303/fåglar/A 32445-2025 prioriterade fågelarter.docx", "A 32445-2025")</f>
        <v/>
      </c>
    </row>
    <row r="235" ht="15" customHeight="1">
      <c r="A235" t="inlineStr">
        <is>
          <t>A 26317-2024</t>
        </is>
      </c>
      <c r="B235" s="1" t="n">
        <v>45468</v>
      </c>
      <c r="C235" s="1" t="n">
        <v>45912</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49091-2022</t>
        </is>
      </c>
      <c r="B236" s="1" t="n">
        <v>44860</v>
      </c>
      <c r="C236" s="1" t="n">
        <v>45912</v>
      </c>
      <c r="D236" t="inlineStr">
        <is>
          <t>JÄMTLANDS LÄN</t>
        </is>
      </c>
      <c r="E236" t="inlineStr">
        <is>
          <t>RAGUNDA</t>
        </is>
      </c>
      <c r="G236" t="n">
        <v>3.5</v>
      </c>
      <c r="H236" t="n">
        <v>1</v>
      </c>
      <c r="I236" t="n">
        <v>0</v>
      </c>
      <c r="J236" t="n">
        <v>0</v>
      </c>
      <c r="K236" t="n">
        <v>1</v>
      </c>
      <c r="L236" t="n">
        <v>0</v>
      </c>
      <c r="M236" t="n">
        <v>0</v>
      </c>
      <c r="N236" t="n">
        <v>0</v>
      </c>
      <c r="O236" t="n">
        <v>1</v>
      </c>
      <c r="P236" t="n">
        <v>1</v>
      </c>
      <c r="Q236" t="n">
        <v>1</v>
      </c>
      <c r="R236" s="2" t="inlineStr">
        <is>
          <t>Doftticka</t>
        </is>
      </c>
      <c r="S236">
        <f>HYPERLINK("https://klasma.github.io/Logging_2303/artfynd/A 49091-2022 artfynd.xlsx", "A 49091-2022")</f>
        <v/>
      </c>
      <c r="T236">
        <f>HYPERLINK("https://klasma.github.io/Logging_2303/kartor/A 49091-2022 karta.png", "A 49091-2022")</f>
        <v/>
      </c>
      <c r="V236">
        <f>HYPERLINK("https://klasma.github.io/Logging_2303/klagomål/A 49091-2022 FSC-klagomål.docx", "A 49091-2022")</f>
        <v/>
      </c>
      <c r="W236">
        <f>HYPERLINK("https://klasma.github.io/Logging_2303/klagomålsmail/A 49091-2022 FSC-klagomål mail.docx", "A 49091-2022")</f>
        <v/>
      </c>
      <c r="X236">
        <f>HYPERLINK("https://klasma.github.io/Logging_2303/tillsyn/A 49091-2022 tillsynsbegäran.docx", "A 49091-2022")</f>
        <v/>
      </c>
      <c r="Y236">
        <f>HYPERLINK("https://klasma.github.io/Logging_2303/tillsynsmail/A 49091-2022 tillsynsbegäran mail.docx", "A 49091-2022")</f>
        <v/>
      </c>
    </row>
    <row r="237" ht="15" customHeight="1">
      <c r="A237" t="inlineStr">
        <is>
          <t>A 34474-2025</t>
        </is>
      </c>
      <c r="B237" s="1" t="n">
        <v>45847.36528935185</v>
      </c>
      <c r="C237" s="1" t="n">
        <v>45912</v>
      </c>
      <c r="D237" t="inlineStr">
        <is>
          <t>JÄMTLANDS LÄN</t>
        </is>
      </c>
      <c r="E237" t="inlineStr">
        <is>
          <t>RAGUNDA</t>
        </is>
      </c>
      <c r="F237" t="inlineStr">
        <is>
          <t>SCA</t>
        </is>
      </c>
      <c r="G237" t="n">
        <v>9.699999999999999</v>
      </c>
      <c r="H237" t="n">
        <v>1</v>
      </c>
      <c r="I237" t="n">
        <v>0</v>
      </c>
      <c r="J237" t="n">
        <v>1</v>
      </c>
      <c r="K237" t="n">
        <v>0</v>
      </c>
      <c r="L237" t="n">
        <v>0</v>
      </c>
      <c r="M237" t="n">
        <v>0</v>
      </c>
      <c r="N237" t="n">
        <v>0</v>
      </c>
      <c r="O237" t="n">
        <v>1</v>
      </c>
      <c r="P237" t="n">
        <v>0</v>
      </c>
      <c r="Q237" t="n">
        <v>1</v>
      </c>
      <c r="R237" s="2" t="inlineStr">
        <is>
          <t>Fjällvråk</t>
        </is>
      </c>
      <c r="S237">
        <f>HYPERLINK("https://klasma.github.io/Logging_2303/artfynd/A 34474-2025 artfynd.xlsx", "A 34474-2025")</f>
        <v/>
      </c>
      <c r="T237">
        <f>HYPERLINK("https://klasma.github.io/Logging_2303/kartor/A 34474-2025 karta.png", "A 34474-2025")</f>
        <v/>
      </c>
      <c r="V237">
        <f>HYPERLINK("https://klasma.github.io/Logging_2303/klagomål/A 34474-2025 FSC-klagomål.docx", "A 34474-2025")</f>
        <v/>
      </c>
      <c r="W237">
        <f>HYPERLINK("https://klasma.github.io/Logging_2303/klagomålsmail/A 34474-2025 FSC-klagomål mail.docx", "A 34474-2025")</f>
        <v/>
      </c>
      <c r="X237">
        <f>HYPERLINK("https://klasma.github.io/Logging_2303/tillsyn/A 34474-2025 tillsynsbegäran.docx", "A 34474-2025")</f>
        <v/>
      </c>
      <c r="Y237">
        <f>HYPERLINK("https://klasma.github.io/Logging_2303/tillsynsmail/A 34474-2025 tillsynsbegäran mail.docx", "A 34474-2025")</f>
        <v/>
      </c>
      <c r="Z237">
        <f>HYPERLINK("https://klasma.github.io/Logging_2303/fåglar/A 34474-2025 prioriterade fågelarter.docx", "A 34474-2025")</f>
        <v/>
      </c>
    </row>
    <row r="238" ht="15" customHeight="1">
      <c r="A238" t="inlineStr">
        <is>
          <t>A 50164-2023</t>
        </is>
      </c>
      <c r="B238" s="1" t="n">
        <v>45208</v>
      </c>
      <c r="C238" s="1" t="n">
        <v>45912</v>
      </c>
      <c r="D238" t="inlineStr">
        <is>
          <t>JÄMTLANDS LÄN</t>
        </is>
      </c>
      <c r="E238" t="inlineStr">
        <is>
          <t>RAGUNDA</t>
        </is>
      </c>
      <c r="G238" t="n">
        <v>2.9</v>
      </c>
      <c r="H238" t="n">
        <v>0</v>
      </c>
      <c r="I238" t="n">
        <v>0</v>
      </c>
      <c r="J238" t="n">
        <v>0</v>
      </c>
      <c r="K238" t="n">
        <v>1</v>
      </c>
      <c r="L238" t="n">
        <v>0</v>
      </c>
      <c r="M238" t="n">
        <v>0</v>
      </c>
      <c r="N238" t="n">
        <v>0</v>
      </c>
      <c r="O238" t="n">
        <v>1</v>
      </c>
      <c r="P238" t="n">
        <v>1</v>
      </c>
      <c r="Q238" t="n">
        <v>1</v>
      </c>
      <c r="R238" s="2" t="inlineStr">
        <is>
          <t>Mindre barkplattbagge</t>
        </is>
      </c>
      <c r="S238">
        <f>HYPERLINK("https://klasma.github.io/Logging_2303/artfynd/A 50164-2023 artfynd.xlsx", "A 50164-2023")</f>
        <v/>
      </c>
      <c r="T238">
        <f>HYPERLINK("https://klasma.github.io/Logging_2303/kartor/A 50164-2023 karta.png", "A 50164-2023")</f>
        <v/>
      </c>
      <c r="V238">
        <f>HYPERLINK("https://klasma.github.io/Logging_2303/klagomål/A 50164-2023 FSC-klagomål.docx", "A 50164-2023")</f>
        <v/>
      </c>
      <c r="W238">
        <f>HYPERLINK("https://klasma.github.io/Logging_2303/klagomålsmail/A 50164-2023 FSC-klagomål mail.docx", "A 50164-2023")</f>
        <v/>
      </c>
      <c r="X238">
        <f>HYPERLINK("https://klasma.github.io/Logging_2303/tillsyn/A 50164-2023 tillsynsbegäran.docx", "A 50164-2023")</f>
        <v/>
      </c>
      <c r="Y238">
        <f>HYPERLINK("https://klasma.github.io/Logging_2303/tillsynsmail/A 50164-2023 tillsynsbegäran mail.docx", "A 50164-2023")</f>
        <v/>
      </c>
    </row>
    <row r="239" ht="15" customHeight="1">
      <c r="A239" t="inlineStr">
        <is>
          <t>A 48429-2023</t>
        </is>
      </c>
      <c r="B239" s="1" t="n">
        <v>45205</v>
      </c>
      <c r="C239" s="1" t="n">
        <v>45912</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48429-2023 artfynd.xlsx", "A 48429-2023")</f>
        <v/>
      </c>
      <c r="T239">
        <f>HYPERLINK("https://klasma.github.io/Logging_2303/kartor/A 48429-2023 karta.png", "A 48429-2023")</f>
        <v/>
      </c>
      <c r="V239">
        <f>HYPERLINK("https://klasma.github.io/Logging_2303/klagomål/A 48429-2023 FSC-klagomål.docx", "A 48429-2023")</f>
        <v/>
      </c>
      <c r="W239">
        <f>HYPERLINK("https://klasma.github.io/Logging_2303/klagomålsmail/A 48429-2023 FSC-klagomål mail.docx", "A 48429-2023")</f>
        <v/>
      </c>
      <c r="X239">
        <f>HYPERLINK("https://klasma.github.io/Logging_2303/tillsyn/A 48429-2023 tillsynsbegäran.docx", "A 48429-2023")</f>
        <v/>
      </c>
      <c r="Y239">
        <f>HYPERLINK("https://klasma.github.io/Logging_2303/tillsynsmail/A 48429-2023 tillsynsbegäran mail.docx", "A 48429-2023")</f>
        <v/>
      </c>
    </row>
    <row r="240" ht="15" customHeight="1">
      <c r="A240" t="inlineStr">
        <is>
          <t>A 40841-2025</t>
        </is>
      </c>
      <c r="B240" s="1" t="n">
        <v>45897.531875</v>
      </c>
      <c r="C240" s="1" t="n">
        <v>45912</v>
      </c>
      <c r="D240" t="inlineStr">
        <is>
          <t>JÄMTLANDS LÄN</t>
        </is>
      </c>
      <c r="E240" t="inlineStr">
        <is>
          <t>RAGUNDA</t>
        </is>
      </c>
      <c r="F240" t="inlineStr">
        <is>
          <t>SCA</t>
        </is>
      </c>
      <c r="G240" t="n">
        <v>1.1</v>
      </c>
      <c r="H240" t="n">
        <v>0</v>
      </c>
      <c r="I240" t="n">
        <v>0</v>
      </c>
      <c r="J240" t="n">
        <v>1</v>
      </c>
      <c r="K240" t="n">
        <v>0</v>
      </c>
      <c r="L240" t="n">
        <v>0</v>
      </c>
      <c r="M240" t="n">
        <v>0</v>
      </c>
      <c r="N240" t="n">
        <v>0</v>
      </c>
      <c r="O240" t="n">
        <v>1</v>
      </c>
      <c r="P240" t="n">
        <v>0</v>
      </c>
      <c r="Q240" t="n">
        <v>1</v>
      </c>
      <c r="R240" s="2" t="inlineStr">
        <is>
          <t>Garnlav</t>
        </is>
      </c>
      <c r="S240">
        <f>HYPERLINK("https://klasma.github.io/Logging_2303/artfynd/A 40841-2025 artfynd.xlsx", "A 40841-2025")</f>
        <v/>
      </c>
      <c r="T240">
        <f>HYPERLINK("https://klasma.github.io/Logging_2303/kartor/A 40841-2025 karta.png", "A 40841-2025")</f>
        <v/>
      </c>
      <c r="V240">
        <f>HYPERLINK("https://klasma.github.io/Logging_2303/klagomål/A 40841-2025 FSC-klagomål.docx", "A 40841-2025")</f>
        <v/>
      </c>
      <c r="W240">
        <f>HYPERLINK("https://klasma.github.io/Logging_2303/klagomålsmail/A 40841-2025 FSC-klagomål mail.docx", "A 40841-2025")</f>
        <v/>
      </c>
      <c r="X240">
        <f>HYPERLINK("https://klasma.github.io/Logging_2303/tillsyn/A 40841-2025 tillsynsbegäran.docx", "A 40841-2025")</f>
        <v/>
      </c>
      <c r="Y240">
        <f>HYPERLINK("https://klasma.github.io/Logging_2303/tillsynsmail/A 40841-2025 tillsynsbegäran mail.docx", "A 40841-2025")</f>
        <v/>
      </c>
    </row>
    <row r="241" ht="15" customHeight="1">
      <c r="A241" t="inlineStr">
        <is>
          <t>A 62072-2023</t>
        </is>
      </c>
      <c r="B241" s="1" t="n">
        <v>45266</v>
      </c>
      <c r="C241" s="1" t="n">
        <v>45912</v>
      </c>
      <c r="D241" t="inlineStr">
        <is>
          <t>JÄMTLANDS LÄN</t>
        </is>
      </c>
      <c r="E241" t="inlineStr">
        <is>
          <t>RAGUNDA</t>
        </is>
      </c>
      <c r="G241" t="n">
        <v>4.5</v>
      </c>
      <c r="H241" t="n">
        <v>1</v>
      </c>
      <c r="I241" t="n">
        <v>0</v>
      </c>
      <c r="J241" t="n">
        <v>0</v>
      </c>
      <c r="K241" t="n">
        <v>1</v>
      </c>
      <c r="L241" t="n">
        <v>0</v>
      </c>
      <c r="M241" t="n">
        <v>0</v>
      </c>
      <c r="N241" t="n">
        <v>0</v>
      </c>
      <c r="O241" t="n">
        <v>1</v>
      </c>
      <c r="P241" t="n">
        <v>1</v>
      </c>
      <c r="Q241" t="n">
        <v>1</v>
      </c>
      <c r="R241" s="2" t="inlineStr">
        <is>
          <t>Lappuggla</t>
        </is>
      </c>
      <c r="S241">
        <f>HYPERLINK("https://klasma.github.io/Logging_2303/artfynd/A 62072-2023 artfynd.xlsx", "A 62072-2023")</f>
        <v/>
      </c>
      <c r="T241">
        <f>HYPERLINK("https://klasma.github.io/Logging_2303/kartor/A 62072-2023 karta.png", "A 62072-2023")</f>
        <v/>
      </c>
      <c r="V241">
        <f>HYPERLINK("https://klasma.github.io/Logging_2303/klagomål/A 62072-2023 FSC-klagomål.docx", "A 62072-2023")</f>
        <v/>
      </c>
      <c r="W241">
        <f>HYPERLINK("https://klasma.github.io/Logging_2303/klagomålsmail/A 62072-2023 FSC-klagomål mail.docx", "A 62072-2023")</f>
        <v/>
      </c>
      <c r="X241">
        <f>HYPERLINK("https://klasma.github.io/Logging_2303/tillsyn/A 62072-2023 tillsynsbegäran.docx", "A 62072-2023")</f>
        <v/>
      </c>
      <c r="Y241">
        <f>HYPERLINK("https://klasma.github.io/Logging_2303/tillsynsmail/A 62072-2023 tillsynsbegäran mail.docx", "A 62072-2023")</f>
        <v/>
      </c>
      <c r="Z241">
        <f>HYPERLINK("https://klasma.github.io/Logging_2303/fåglar/A 62072-2023 prioriterade fågelarter.docx", "A 62072-2023")</f>
        <v/>
      </c>
    </row>
    <row r="242" ht="15" customHeight="1">
      <c r="A242" t="inlineStr">
        <is>
          <t>A 17340-2023</t>
        </is>
      </c>
      <c r="B242" s="1" t="n">
        <v>45033</v>
      </c>
      <c r="C242" s="1" t="n">
        <v>45912</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26322-2024</t>
        </is>
      </c>
      <c r="B243" s="1" t="n">
        <v>45468.97461805555</v>
      </c>
      <c r="C243" s="1" t="n">
        <v>45912</v>
      </c>
      <c r="D243" t="inlineStr">
        <is>
          <t>JÄMTLANDS LÄN</t>
        </is>
      </c>
      <c r="E243" t="inlineStr">
        <is>
          <t>RAGUNDA</t>
        </is>
      </c>
      <c r="F243" t="inlineStr">
        <is>
          <t>SCA</t>
        </is>
      </c>
      <c r="G243" t="n">
        <v>9.6</v>
      </c>
      <c r="H243" t="n">
        <v>0</v>
      </c>
      <c r="I243" t="n">
        <v>0</v>
      </c>
      <c r="J243" t="n">
        <v>1</v>
      </c>
      <c r="K243" t="n">
        <v>0</v>
      </c>
      <c r="L243" t="n">
        <v>0</v>
      </c>
      <c r="M243" t="n">
        <v>0</v>
      </c>
      <c r="N243" t="n">
        <v>0</v>
      </c>
      <c r="O243" t="n">
        <v>1</v>
      </c>
      <c r="P243" t="n">
        <v>0</v>
      </c>
      <c r="Q243" t="n">
        <v>1</v>
      </c>
      <c r="R243" s="2" t="inlineStr">
        <is>
          <t>Rosenticka</t>
        </is>
      </c>
      <c r="S243">
        <f>HYPERLINK("https://klasma.github.io/Logging_2303/artfynd/A 26322-2024 artfynd.xlsx", "A 26322-2024")</f>
        <v/>
      </c>
      <c r="T243">
        <f>HYPERLINK("https://klasma.github.io/Logging_2303/kartor/A 26322-2024 karta.png", "A 26322-2024")</f>
        <v/>
      </c>
      <c r="U243">
        <f>HYPERLINK("https://klasma.github.io/Logging_2303/knärot/A 26322-2024 karta knärot.png", "A 26322-2024")</f>
        <v/>
      </c>
      <c r="V243">
        <f>HYPERLINK("https://klasma.github.io/Logging_2303/klagomål/A 26322-2024 FSC-klagomål.docx", "A 26322-2024")</f>
        <v/>
      </c>
      <c r="W243">
        <f>HYPERLINK("https://klasma.github.io/Logging_2303/klagomålsmail/A 26322-2024 FSC-klagomål mail.docx", "A 26322-2024")</f>
        <v/>
      </c>
      <c r="X243">
        <f>HYPERLINK("https://klasma.github.io/Logging_2303/tillsyn/A 26322-2024 tillsynsbegäran.docx", "A 26322-2024")</f>
        <v/>
      </c>
      <c r="Y243">
        <f>HYPERLINK("https://klasma.github.io/Logging_2303/tillsynsmail/A 26322-2024 tillsynsbegäran mail.docx", "A 26322-2024")</f>
        <v/>
      </c>
    </row>
    <row r="244" ht="15" customHeight="1">
      <c r="A244" t="inlineStr">
        <is>
          <t>A 48477-2023</t>
        </is>
      </c>
      <c r="B244" s="1" t="n">
        <v>45206</v>
      </c>
      <c r="C244" s="1" t="n">
        <v>45912</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16724-2025</t>
        </is>
      </c>
      <c r="B245" s="1" t="n">
        <v>45754.51064814815</v>
      </c>
      <c r="C245" s="1" t="n">
        <v>45912</v>
      </c>
      <c r="D245" t="inlineStr">
        <is>
          <t>JÄMTLANDS LÄN</t>
        </is>
      </c>
      <c r="E245" t="inlineStr">
        <is>
          <t>RAGUNDA</t>
        </is>
      </c>
      <c r="G245" t="n">
        <v>3.5</v>
      </c>
      <c r="H245" t="n">
        <v>0</v>
      </c>
      <c r="I245" t="n">
        <v>0</v>
      </c>
      <c r="J245" t="n">
        <v>1</v>
      </c>
      <c r="K245" t="n">
        <v>0</v>
      </c>
      <c r="L245" t="n">
        <v>0</v>
      </c>
      <c r="M245" t="n">
        <v>0</v>
      </c>
      <c r="N245" t="n">
        <v>0</v>
      </c>
      <c r="O245" t="n">
        <v>1</v>
      </c>
      <c r="P245" t="n">
        <v>0</v>
      </c>
      <c r="Q245" t="n">
        <v>1</v>
      </c>
      <c r="R245" s="2" t="inlineStr">
        <is>
          <t>Kolflarnlav</t>
        </is>
      </c>
      <c r="S245">
        <f>HYPERLINK("https://klasma.github.io/Logging_2303/artfynd/A 16724-2025 artfynd.xlsx", "A 16724-2025")</f>
        <v/>
      </c>
      <c r="T245">
        <f>HYPERLINK("https://klasma.github.io/Logging_2303/kartor/A 16724-2025 karta.png", "A 16724-2025")</f>
        <v/>
      </c>
      <c r="V245">
        <f>HYPERLINK("https://klasma.github.io/Logging_2303/klagomål/A 16724-2025 FSC-klagomål.docx", "A 16724-2025")</f>
        <v/>
      </c>
      <c r="W245">
        <f>HYPERLINK("https://klasma.github.io/Logging_2303/klagomålsmail/A 16724-2025 FSC-klagomål mail.docx", "A 16724-2025")</f>
        <v/>
      </c>
      <c r="X245">
        <f>HYPERLINK("https://klasma.github.io/Logging_2303/tillsyn/A 16724-2025 tillsynsbegäran.docx", "A 16724-2025")</f>
        <v/>
      </c>
      <c r="Y245">
        <f>HYPERLINK("https://klasma.github.io/Logging_2303/tillsynsmail/A 16724-2025 tillsynsbegäran mail.docx", "A 16724-2025")</f>
        <v/>
      </c>
    </row>
    <row r="246" ht="15" customHeight="1">
      <c r="A246" t="inlineStr">
        <is>
          <t>A 49770-2024</t>
        </is>
      </c>
      <c r="B246" s="1" t="n">
        <v>45597.34461805555</v>
      </c>
      <c r="C246" s="1" t="n">
        <v>45912</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20774-2024</t>
        </is>
      </c>
      <c r="B247" s="1" t="n">
        <v>45436.94644675926</v>
      </c>
      <c r="C247" s="1" t="n">
        <v>45912</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33432-2023</t>
        </is>
      </c>
      <c r="B248" s="1" t="n">
        <v>45128</v>
      </c>
      <c r="C248" s="1" t="n">
        <v>45912</v>
      </c>
      <c r="D248" t="inlineStr">
        <is>
          <t>JÄMTLANDS LÄN</t>
        </is>
      </c>
      <c r="E248" t="inlineStr">
        <is>
          <t>RAGUNDA</t>
        </is>
      </c>
      <c r="F248" t="inlineStr">
        <is>
          <t>SCA</t>
        </is>
      </c>
      <c r="G248" t="n">
        <v>10</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33432-2023 artfynd.xlsx", "A 33432-2023")</f>
        <v/>
      </c>
      <c r="T248">
        <f>HYPERLINK("https://klasma.github.io/Logging_2303/kartor/A 33432-2023 karta.png", "A 33432-2023")</f>
        <v/>
      </c>
      <c r="V248">
        <f>HYPERLINK("https://klasma.github.io/Logging_2303/klagomål/A 33432-2023 FSC-klagomål.docx", "A 33432-2023")</f>
        <v/>
      </c>
      <c r="W248">
        <f>HYPERLINK("https://klasma.github.io/Logging_2303/klagomålsmail/A 33432-2023 FSC-klagomål mail.docx", "A 33432-2023")</f>
        <v/>
      </c>
      <c r="X248">
        <f>HYPERLINK("https://klasma.github.io/Logging_2303/tillsyn/A 33432-2023 tillsynsbegäran.docx", "A 33432-2023")</f>
        <v/>
      </c>
      <c r="Y248">
        <f>HYPERLINK("https://klasma.github.io/Logging_2303/tillsynsmail/A 33432-2023 tillsynsbegäran mail.docx", "A 33432-2023")</f>
        <v/>
      </c>
      <c r="Z248">
        <f>HYPERLINK("https://klasma.github.io/Logging_2303/fåglar/A 33432-2023 prioriterade fågelarter.docx", "A 33432-2023")</f>
        <v/>
      </c>
    </row>
    <row r="249" ht="15" customHeight="1">
      <c r="A249" t="inlineStr">
        <is>
          <t>A 57941-2020</t>
        </is>
      </c>
      <c r="B249" s="1" t="n">
        <v>44141</v>
      </c>
      <c r="C249" s="1" t="n">
        <v>45912</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45912</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45912</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45912</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45912</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45912</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45912</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45912</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45912</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45912</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53951-2022</t>
        </is>
      </c>
      <c r="B259" s="1" t="n">
        <v>44880.95712962963</v>
      </c>
      <c r="C259" s="1" t="n">
        <v>45912</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53952-2022</t>
        </is>
      </c>
      <c r="B260" s="1" t="n">
        <v>44880.95719907407</v>
      </c>
      <c r="C260" s="1" t="n">
        <v>45912</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45912</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45912</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45912</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45912</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45912</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45912</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45912</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45912</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45912</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45912</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45912</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45912</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45912</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45912</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45912</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45912</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45912</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45912</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45912</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51016-2020</t>
        </is>
      </c>
      <c r="B280" s="1" t="n">
        <v>44111</v>
      </c>
      <c r="C280" s="1" t="n">
        <v>45912</v>
      </c>
      <c r="D280" t="inlineStr">
        <is>
          <t>JÄMTLANDS LÄN</t>
        </is>
      </c>
      <c r="E280" t="inlineStr">
        <is>
          <t>RAGUNDA</t>
        </is>
      </c>
      <c r="G280" t="n">
        <v>1</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45912</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45912</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45912</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45912</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45912</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45912</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45912</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45912</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45912</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45912</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45912</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45912</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45912</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45912</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45912</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45912</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45912</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45912</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45912</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54580-2020</t>
        </is>
      </c>
      <c r="B300" s="1" t="n">
        <v>44126</v>
      </c>
      <c r="C300" s="1" t="n">
        <v>45912</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45912</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45912</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45912</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45912</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45912</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45912</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45912</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45912</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45912</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45912</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45912</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45912</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45912</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45912</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45912</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45912</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45912</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45912</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45912</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45912</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45912</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45912</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45912</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45912</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45912</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45912</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45912</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45912</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45912</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45912</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45912</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45912</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45912</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45912</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45912</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45912</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45912</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45912</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45912</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45912</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15664-2022</t>
        </is>
      </c>
      <c r="B341" s="1" t="n">
        <v>44662</v>
      </c>
      <c r="C341" s="1" t="n">
        <v>45912</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26948-2021</t>
        </is>
      </c>
      <c r="B342" s="1" t="n">
        <v>44349.92013888889</v>
      </c>
      <c r="C342" s="1" t="n">
        <v>45912</v>
      </c>
      <c r="D342" t="inlineStr">
        <is>
          <t>JÄMTLANDS LÄN</t>
        </is>
      </c>
      <c r="E342" t="inlineStr">
        <is>
          <t>RAGUNDA</t>
        </is>
      </c>
      <c r="G342" t="n">
        <v>2.5</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45912</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45912</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26945-2021</t>
        </is>
      </c>
      <c r="B345" s="1" t="n">
        <v>44349.91995370371</v>
      </c>
      <c r="C345" s="1" t="n">
        <v>45912</v>
      </c>
      <c r="D345" t="inlineStr">
        <is>
          <t>JÄMTLANDS LÄN</t>
        </is>
      </c>
      <c r="E345" t="inlineStr">
        <is>
          <t>RAGUNDA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19600-2021</t>
        </is>
      </c>
      <c r="B346" s="1" t="n">
        <v>44308</v>
      </c>
      <c r="C346" s="1" t="n">
        <v>45912</v>
      </c>
      <c r="D346" t="inlineStr">
        <is>
          <t>JÄMTLANDS LÄN</t>
        </is>
      </c>
      <c r="E346" t="inlineStr">
        <is>
          <t>RAGUNDA</t>
        </is>
      </c>
      <c r="G346" t="n">
        <v>4.3</v>
      </c>
      <c r="H346" t="n">
        <v>0</v>
      </c>
      <c r="I346" t="n">
        <v>0</v>
      </c>
      <c r="J346" t="n">
        <v>0</v>
      </c>
      <c r="K346" t="n">
        <v>0</v>
      </c>
      <c r="L346" t="n">
        <v>0</v>
      </c>
      <c r="M346" t="n">
        <v>0</v>
      </c>
      <c r="N346" t="n">
        <v>0</v>
      </c>
      <c r="O346" t="n">
        <v>0</v>
      </c>
      <c r="P346" t="n">
        <v>0</v>
      </c>
      <c r="Q346" t="n">
        <v>0</v>
      </c>
      <c r="R346" s="2" t="inlineStr"/>
    </row>
    <row r="347" ht="15" customHeight="1">
      <c r="A347" t="inlineStr">
        <is>
          <t>A 9185-2022</t>
        </is>
      </c>
      <c r="B347" s="1" t="n">
        <v>44615</v>
      </c>
      <c r="C347" s="1" t="n">
        <v>45912</v>
      </c>
      <c r="D347" t="inlineStr">
        <is>
          <t>JÄMTLANDS LÄN</t>
        </is>
      </c>
      <c r="E347" t="inlineStr">
        <is>
          <t>RAGUNDA</t>
        </is>
      </c>
      <c r="G347" t="n">
        <v>1.1</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44824.94635416667</v>
      </c>
      <c r="C348" s="1" t="n">
        <v>45912</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16460-2022</t>
        </is>
      </c>
      <c r="B349" s="1" t="n">
        <v>44671</v>
      </c>
      <c r="C349" s="1" t="n">
        <v>45912</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44851.95488425926</v>
      </c>
      <c r="C350" s="1" t="n">
        <v>45912</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34348-2021</t>
        </is>
      </c>
      <c r="B351" s="1" t="n">
        <v>44379</v>
      </c>
      <c r="C351" s="1" t="n">
        <v>45912</v>
      </c>
      <c r="D351" t="inlineStr">
        <is>
          <t>JÄMTLANDS LÄN</t>
        </is>
      </c>
      <c r="E351" t="inlineStr">
        <is>
          <t>RAGUNDA</t>
        </is>
      </c>
      <c r="G351" t="n">
        <v>8.1</v>
      </c>
      <c r="H351" t="n">
        <v>0</v>
      </c>
      <c r="I351" t="n">
        <v>0</v>
      </c>
      <c r="J351" t="n">
        <v>0</v>
      </c>
      <c r="K351" t="n">
        <v>0</v>
      </c>
      <c r="L351" t="n">
        <v>0</v>
      </c>
      <c r="M351" t="n">
        <v>0</v>
      </c>
      <c r="N351" t="n">
        <v>0</v>
      </c>
      <c r="O351" t="n">
        <v>0</v>
      </c>
      <c r="P351" t="n">
        <v>0</v>
      </c>
      <c r="Q351" t="n">
        <v>0</v>
      </c>
      <c r="R351" s="2" t="inlineStr"/>
    </row>
    <row r="352" ht="15" customHeight="1">
      <c r="A352" t="inlineStr">
        <is>
          <t>A 44241-2021</t>
        </is>
      </c>
      <c r="B352" s="1" t="n">
        <v>44434.94517361111</v>
      </c>
      <c r="C352" s="1" t="n">
        <v>45912</v>
      </c>
      <c r="D352" t="inlineStr">
        <is>
          <t>JÄMTLANDS LÄN</t>
        </is>
      </c>
      <c r="E352" t="inlineStr">
        <is>
          <t>RAGUNDA</t>
        </is>
      </c>
      <c r="G352" t="n">
        <v>0.8</v>
      </c>
      <c r="H352" t="n">
        <v>0</v>
      </c>
      <c r="I352" t="n">
        <v>0</v>
      </c>
      <c r="J352" t="n">
        <v>0</v>
      </c>
      <c r="K352" t="n">
        <v>0</v>
      </c>
      <c r="L352" t="n">
        <v>0</v>
      </c>
      <c r="M352" t="n">
        <v>0</v>
      </c>
      <c r="N352" t="n">
        <v>0</v>
      </c>
      <c r="O352" t="n">
        <v>0</v>
      </c>
      <c r="P352" t="n">
        <v>0</v>
      </c>
      <c r="Q352" t="n">
        <v>0</v>
      </c>
      <c r="R352" s="2" t="inlineStr"/>
    </row>
    <row r="353" ht="15" customHeight="1">
      <c r="A353" t="inlineStr">
        <is>
          <t>A 21195-2022</t>
        </is>
      </c>
      <c r="B353" s="1" t="n">
        <v>44704.94229166667</v>
      </c>
      <c r="C353" s="1" t="n">
        <v>45912</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49531-2022</t>
        </is>
      </c>
      <c r="B354" s="1" t="n">
        <v>44861</v>
      </c>
      <c r="C354" s="1" t="n">
        <v>45912</v>
      </c>
      <c r="D354" t="inlineStr">
        <is>
          <t>JÄMTLANDS LÄN</t>
        </is>
      </c>
      <c r="E354" t="inlineStr">
        <is>
          <t>RAGUNDA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39698-2022</t>
        </is>
      </c>
      <c r="B355" s="1" t="n">
        <v>44818</v>
      </c>
      <c r="C355" s="1" t="n">
        <v>45912</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45912</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25253-2022</t>
        </is>
      </c>
      <c r="B357" s="1" t="n">
        <v>44729.94136574074</v>
      </c>
      <c r="C357" s="1" t="n">
        <v>45912</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43147-2022</t>
        </is>
      </c>
      <c r="B358" s="1" t="n">
        <v>44833.9519212963</v>
      </c>
      <c r="C358" s="1" t="n">
        <v>45912</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45912</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48056-2020</t>
        </is>
      </c>
      <c r="B360" s="1" t="n">
        <v>44099</v>
      </c>
      <c r="C360" s="1" t="n">
        <v>45912</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57246-2020</t>
        </is>
      </c>
      <c r="B361" s="1" t="n">
        <v>44138</v>
      </c>
      <c r="C361" s="1" t="n">
        <v>45912</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40213-2021</t>
        </is>
      </c>
      <c r="B362" s="1" t="n">
        <v>44418.9369212963</v>
      </c>
      <c r="C362" s="1" t="n">
        <v>45912</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10120-2022</t>
        </is>
      </c>
      <c r="B363" s="1" t="n">
        <v>44621</v>
      </c>
      <c r="C363" s="1" t="n">
        <v>45912</v>
      </c>
      <c r="D363" t="inlineStr">
        <is>
          <t>JÄMTLANDS LÄN</t>
        </is>
      </c>
      <c r="E363" t="inlineStr">
        <is>
          <t>RAGUNDA</t>
        </is>
      </c>
      <c r="G363" t="n">
        <v>0.4</v>
      </c>
      <c r="H363" t="n">
        <v>0</v>
      </c>
      <c r="I363" t="n">
        <v>0</v>
      </c>
      <c r="J363" t="n">
        <v>0</v>
      </c>
      <c r="K363" t="n">
        <v>0</v>
      </c>
      <c r="L363" t="n">
        <v>0</v>
      </c>
      <c r="M363" t="n">
        <v>0</v>
      </c>
      <c r="N363" t="n">
        <v>0</v>
      </c>
      <c r="O363" t="n">
        <v>0</v>
      </c>
      <c r="P363" t="n">
        <v>0</v>
      </c>
      <c r="Q363" t="n">
        <v>0</v>
      </c>
      <c r="R363" s="2" t="inlineStr"/>
    </row>
    <row r="364" ht="15" customHeight="1">
      <c r="A364" t="inlineStr">
        <is>
          <t>A 13964-2022</t>
        </is>
      </c>
      <c r="B364" s="1" t="n">
        <v>44650</v>
      </c>
      <c r="C364" s="1" t="n">
        <v>45912</v>
      </c>
      <c r="D364" t="inlineStr">
        <is>
          <t>JÄMTLANDS LÄN</t>
        </is>
      </c>
      <c r="E364" t="inlineStr">
        <is>
          <t>RAGUNDA</t>
        </is>
      </c>
      <c r="G364" t="n">
        <v>2.6</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45912</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45912</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45912</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45912</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57730-2020</t>
        </is>
      </c>
      <c r="B369" s="1" t="n">
        <v>44140</v>
      </c>
      <c r="C369" s="1" t="n">
        <v>45912</v>
      </c>
      <c r="D369" t="inlineStr">
        <is>
          <t>JÄMTLANDS LÄN</t>
        </is>
      </c>
      <c r="E369" t="inlineStr">
        <is>
          <t>RAGUNDA</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35749-2022</t>
        </is>
      </c>
      <c r="B370" s="1" t="n">
        <v>44799.94394675926</v>
      </c>
      <c r="C370" s="1" t="n">
        <v>45912</v>
      </c>
      <c r="D370" t="inlineStr">
        <is>
          <t>JÄMTLANDS LÄN</t>
        </is>
      </c>
      <c r="E370" t="inlineStr">
        <is>
          <t>RAGUNDA</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1858-2022</t>
        </is>
      </c>
      <c r="B371" s="1" t="n">
        <v>44574</v>
      </c>
      <c r="C371" s="1" t="n">
        <v>45912</v>
      </c>
      <c r="D371" t="inlineStr">
        <is>
          <t>JÄMTLANDS LÄN</t>
        </is>
      </c>
      <c r="E371" t="inlineStr">
        <is>
          <t>RAGUNDA</t>
        </is>
      </c>
      <c r="G371" t="n">
        <v>5.7</v>
      </c>
      <c r="H371" t="n">
        <v>0</v>
      </c>
      <c r="I371" t="n">
        <v>0</v>
      </c>
      <c r="J371" t="n">
        <v>0</v>
      </c>
      <c r="K371" t="n">
        <v>0</v>
      </c>
      <c r="L371" t="n">
        <v>0</v>
      </c>
      <c r="M371" t="n">
        <v>0</v>
      </c>
      <c r="N371" t="n">
        <v>0</v>
      </c>
      <c r="O371" t="n">
        <v>0</v>
      </c>
      <c r="P371" t="n">
        <v>0</v>
      </c>
      <c r="Q371" t="n">
        <v>0</v>
      </c>
      <c r="R371" s="2" t="inlineStr"/>
    </row>
    <row r="372" ht="15" customHeight="1">
      <c r="A372" t="inlineStr">
        <is>
          <t>A 38733-2022</t>
        </is>
      </c>
      <c r="B372" s="1" t="n">
        <v>44815</v>
      </c>
      <c r="C372" s="1" t="n">
        <v>45912</v>
      </c>
      <c r="D372" t="inlineStr">
        <is>
          <t>JÄMTLANDS LÄN</t>
        </is>
      </c>
      <c r="E372" t="inlineStr">
        <is>
          <t>RAGUNDA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54836-2022</t>
        </is>
      </c>
      <c r="B373" s="1" t="n">
        <v>44883.94918981481</v>
      </c>
      <c r="C373" s="1" t="n">
        <v>45912</v>
      </c>
      <c r="D373" t="inlineStr">
        <is>
          <t>JÄMTLANDS LÄN</t>
        </is>
      </c>
      <c r="E373" t="inlineStr">
        <is>
          <t>RAGUNDA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53522-2020</t>
        </is>
      </c>
      <c r="B374" s="1" t="n">
        <v>44124</v>
      </c>
      <c r="C374" s="1" t="n">
        <v>45912</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2336-2022</t>
        </is>
      </c>
      <c r="B375" s="1" t="n">
        <v>44578.92284722222</v>
      </c>
      <c r="C375" s="1" t="n">
        <v>45912</v>
      </c>
      <c r="D375" t="inlineStr">
        <is>
          <t>JÄMTLANDS LÄN</t>
        </is>
      </c>
      <c r="E375" t="inlineStr">
        <is>
          <t>RAGUNDA</t>
        </is>
      </c>
      <c r="G375" t="n">
        <v>0.5</v>
      </c>
      <c r="H375" t="n">
        <v>0</v>
      </c>
      <c r="I375" t="n">
        <v>0</v>
      </c>
      <c r="J375" t="n">
        <v>0</v>
      </c>
      <c r="K375" t="n">
        <v>0</v>
      </c>
      <c r="L375" t="n">
        <v>0</v>
      </c>
      <c r="M375" t="n">
        <v>0</v>
      </c>
      <c r="N375" t="n">
        <v>0</v>
      </c>
      <c r="O375" t="n">
        <v>0</v>
      </c>
      <c r="P375" t="n">
        <v>0</v>
      </c>
      <c r="Q375" t="n">
        <v>0</v>
      </c>
      <c r="R375" s="2" t="inlineStr"/>
    </row>
    <row r="376" ht="15" customHeight="1">
      <c r="A376" t="inlineStr">
        <is>
          <t>A 58984-2021</t>
        </is>
      </c>
      <c r="B376" s="1" t="n">
        <v>44489.94711805556</v>
      </c>
      <c r="C376" s="1" t="n">
        <v>45912</v>
      </c>
      <c r="D376" t="inlineStr">
        <is>
          <t>JÄMTLANDS LÄN</t>
        </is>
      </c>
      <c r="E376" t="inlineStr">
        <is>
          <t>RAGUNDA</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45912</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40978-2022</t>
        </is>
      </c>
      <c r="B378" s="1" t="n">
        <v>44823</v>
      </c>
      <c r="C378" s="1" t="n">
        <v>45912</v>
      </c>
      <c r="D378" t="inlineStr">
        <is>
          <t>JÄMTLANDS LÄN</t>
        </is>
      </c>
      <c r="E378" t="inlineStr">
        <is>
          <t>RAGUNDA</t>
        </is>
      </c>
      <c r="G378" t="n">
        <v>1.5</v>
      </c>
      <c r="H378" t="n">
        <v>0</v>
      </c>
      <c r="I378" t="n">
        <v>0</v>
      </c>
      <c r="J378" t="n">
        <v>0</v>
      </c>
      <c r="K378" t="n">
        <v>0</v>
      </c>
      <c r="L378" t="n">
        <v>0</v>
      </c>
      <c r="M378" t="n">
        <v>0</v>
      </c>
      <c r="N378" t="n">
        <v>0</v>
      </c>
      <c r="O378" t="n">
        <v>0</v>
      </c>
      <c r="P378" t="n">
        <v>0</v>
      </c>
      <c r="Q378" t="n">
        <v>0</v>
      </c>
      <c r="R378" s="2" t="inlineStr"/>
    </row>
    <row r="379" ht="15" customHeight="1">
      <c r="A379" t="inlineStr">
        <is>
          <t>A 9187-2022</t>
        </is>
      </c>
      <c r="B379" s="1" t="n">
        <v>44615</v>
      </c>
      <c r="C379" s="1" t="n">
        <v>45912</v>
      </c>
      <c r="D379" t="inlineStr">
        <is>
          <t>JÄMTLANDS LÄN</t>
        </is>
      </c>
      <c r="E379" t="inlineStr">
        <is>
          <t>RAGUNDA</t>
        </is>
      </c>
      <c r="G379" t="n">
        <v>2</v>
      </c>
      <c r="H379" t="n">
        <v>0</v>
      </c>
      <c r="I379" t="n">
        <v>0</v>
      </c>
      <c r="J379" t="n">
        <v>0</v>
      </c>
      <c r="K379" t="n">
        <v>0</v>
      </c>
      <c r="L379" t="n">
        <v>0</v>
      </c>
      <c r="M379" t="n">
        <v>0</v>
      </c>
      <c r="N379" t="n">
        <v>0</v>
      </c>
      <c r="O379" t="n">
        <v>0</v>
      </c>
      <c r="P379" t="n">
        <v>0</v>
      </c>
      <c r="Q379" t="n">
        <v>0</v>
      </c>
      <c r="R379" s="2" t="inlineStr"/>
    </row>
    <row r="380" ht="15" customHeight="1">
      <c r="A380" t="inlineStr">
        <is>
          <t>A 57713-2020</t>
        </is>
      </c>
      <c r="B380" s="1" t="n">
        <v>44140</v>
      </c>
      <c r="C380" s="1" t="n">
        <v>45912</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24741-2022</t>
        </is>
      </c>
      <c r="B381" s="1" t="n">
        <v>44727</v>
      </c>
      <c r="C381" s="1" t="n">
        <v>45912</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45912</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48536-2022</t>
        </is>
      </c>
      <c r="B383" s="1" t="n">
        <v>44858</v>
      </c>
      <c r="C383" s="1" t="n">
        <v>45912</v>
      </c>
      <c r="D383" t="inlineStr">
        <is>
          <t>JÄMTLANDS LÄN</t>
        </is>
      </c>
      <c r="E383" t="inlineStr">
        <is>
          <t>RAGUNDA</t>
        </is>
      </c>
      <c r="F383" t="inlineStr">
        <is>
          <t>SCA</t>
        </is>
      </c>
      <c r="G383" t="n">
        <v>9.5</v>
      </c>
      <c r="H383" t="n">
        <v>0</v>
      </c>
      <c r="I383" t="n">
        <v>0</v>
      </c>
      <c r="J383" t="n">
        <v>0</v>
      </c>
      <c r="K383" t="n">
        <v>0</v>
      </c>
      <c r="L383" t="n">
        <v>0</v>
      </c>
      <c r="M383" t="n">
        <v>0</v>
      </c>
      <c r="N383" t="n">
        <v>0</v>
      </c>
      <c r="O383" t="n">
        <v>0</v>
      </c>
      <c r="P383" t="n">
        <v>0</v>
      </c>
      <c r="Q383" t="n">
        <v>0</v>
      </c>
      <c r="R383" s="2" t="inlineStr"/>
    </row>
    <row r="384" ht="15" customHeight="1">
      <c r="A384" t="inlineStr">
        <is>
          <t>A 41613-2021</t>
        </is>
      </c>
      <c r="B384" s="1" t="n">
        <v>44425</v>
      </c>
      <c r="C384" s="1" t="n">
        <v>45912</v>
      </c>
      <c r="D384" t="inlineStr">
        <is>
          <t>JÄMTLANDS LÄN</t>
        </is>
      </c>
      <c r="E384" t="inlineStr">
        <is>
          <t>RAGUNDA</t>
        </is>
      </c>
      <c r="F384" t="inlineStr">
        <is>
          <t>Kommuner</t>
        </is>
      </c>
      <c r="G384" t="n">
        <v>1.5</v>
      </c>
      <c r="H384" t="n">
        <v>0</v>
      </c>
      <c r="I384" t="n">
        <v>0</v>
      </c>
      <c r="J384" t="n">
        <v>0</v>
      </c>
      <c r="K384" t="n">
        <v>0</v>
      </c>
      <c r="L384" t="n">
        <v>0</v>
      </c>
      <c r="M384" t="n">
        <v>0</v>
      </c>
      <c r="N384" t="n">
        <v>0</v>
      </c>
      <c r="O384" t="n">
        <v>0</v>
      </c>
      <c r="P384" t="n">
        <v>0</v>
      </c>
      <c r="Q384" t="n">
        <v>0</v>
      </c>
      <c r="R384" s="2" t="inlineStr"/>
    </row>
    <row r="385" ht="15" customHeight="1">
      <c r="A385" t="inlineStr">
        <is>
          <t>A 46048-2022</t>
        </is>
      </c>
      <c r="B385" s="1" t="n">
        <v>44846</v>
      </c>
      <c r="C385" s="1" t="n">
        <v>45912</v>
      </c>
      <c r="D385" t="inlineStr">
        <is>
          <t>JÄMTLANDS LÄN</t>
        </is>
      </c>
      <c r="E385" t="inlineStr">
        <is>
          <t>RAGUNDA</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32288-2022</t>
        </is>
      </c>
      <c r="B386" s="1" t="n">
        <v>44781</v>
      </c>
      <c r="C386" s="1" t="n">
        <v>45912</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22655-2021</t>
        </is>
      </c>
      <c r="B387" s="1" t="n">
        <v>44322</v>
      </c>
      <c r="C387" s="1" t="n">
        <v>45912</v>
      </c>
      <c r="D387" t="inlineStr">
        <is>
          <t>JÄMTLANDS LÄN</t>
        </is>
      </c>
      <c r="E387" t="inlineStr">
        <is>
          <t>RAGUNDA</t>
        </is>
      </c>
      <c r="G387" t="n">
        <v>5.8</v>
      </c>
      <c r="H387" t="n">
        <v>0</v>
      </c>
      <c r="I387" t="n">
        <v>0</v>
      </c>
      <c r="J387" t="n">
        <v>0</v>
      </c>
      <c r="K387" t="n">
        <v>0</v>
      </c>
      <c r="L387" t="n">
        <v>0</v>
      </c>
      <c r="M387" t="n">
        <v>0</v>
      </c>
      <c r="N387" t="n">
        <v>0</v>
      </c>
      <c r="O387" t="n">
        <v>0</v>
      </c>
      <c r="P387" t="n">
        <v>0</v>
      </c>
      <c r="Q387" t="n">
        <v>0</v>
      </c>
      <c r="R387" s="2" t="inlineStr"/>
    </row>
    <row r="388" ht="15" customHeight="1">
      <c r="A388" t="inlineStr">
        <is>
          <t>A 29409-2021</t>
        </is>
      </c>
      <c r="B388" s="1" t="n">
        <v>44361.55445601852</v>
      </c>
      <c r="C388" s="1" t="n">
        <v>45912</v>
      </c>
      <c r="D388" t="inlineStr">
        <is>
          <t>JÄMTLANDS LÄN</t>
        </is>
      </c>
      <c r="E388" t="inlineStr">
        <is>
          <t>RAGUNDA</t>
        </is>
      </c>
      <c r="G388" t="n">
        <v>0.3</v>
      </c>
      <c r="H388" t="n">
        <v>0</v>
      </c>
      <c r="I388" t="n">
        <v>0</v>
      </c>
      <c r="J388" t="n">
        <v>0</v>
      </c>
      <c r="K388" t="n">
        <v>0</v>
      </c>
      <c r="L388" t="n">
        <v>0</v>
      </c>
      <c r="M388" t="n">
        <v>0</v>
      </c>
      <c r="N388" t="n">
        <v>0</v>
      </c>
      <c r="O388" t="n">
        <v>0</v>
      </c>
      <c r="P388" t="n">
        <v>0</v>
      </c>
      <c r="Q388" t="n">
        <v>0</v>
      </c>
      <c r="R388" s="2" t="inlineStr"/>
    </row>
    <row r="389" ht="15" customHeight="1">
      <c r="A389" t="inlineStr">
        <is>
          <t>A 47803-2022</t>
        </is>
      </c>
      <c r="B389" s="1" t="n">
        <v>44854.95390046296</v>
      </c>
      <c r="C389" s="1" t="n">
        <v>45912</v>
      </c>
      <c r="D389" t="inlineStr">
        <is>
          <t>JÄMTLANDS LÄN</t>
        </is>
      </c>
      <c r="E389" t="inlineStr">
        <is>
          <t>RAGUNDA</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21194-2022</t>
        </is>
      </c>
      <c r="B390" s="1" t="n">
        <v>44704.9422337963</v>
      </c>
      <c r="C390" s="1" t="n">
        <v>45912</v>
      </c>
      <c r="D390" t="inlineStr">
        <is>
          <t>JÄMTLANDS LÄN</t>
        </is>
      </c>
      <c r="E390" t="inlineStr">
        <is>
          <t>RAGUNDA</t>
        </is>
      </c>
      <c r="F390" t="inlineStr">
        <is>
          <t>SCA</t>
        </is>
      </c>
      <c r="G390" t="n">
        <v>10.6</v>
      </c>
      <c r="H390" t="n">
        <v>0</v>
      </c>
      <c r="I390" t="n">
        <v>0</v>
      </c>
      <c r="J390" t="n">
        <v>0</v>
      </c>
      <c r="K390" t="n">
        <v>0</v>
      </c>
      <c r="L390" t="n">
        <v>0</v>
      </c>
      <c r="M390" t="n">
        <v>0</v>
      </c>
      <c r="N390" t="n">
        <v>0</v>
      </c>
      <c r="O390" t="n">
        <v>0</v>
      </c>
      <c r="P390" t="n">
        <v>0</v>
      </c>
      <c r="Q390" t="n">
        <v>0</v>
      </c>
      <c r="R390" s="2" t="inlineStr"/>
    </row>
    <row r="391" ht="15" customHeight="1">
      <c r="A391" t="inlineStr">
        <is>
          <t>A 42652-2022</t>
        </is>
      </c>
      <c r="B391" s="1" t="n">
        <v>44831.94846064815</v>
      </c>
      <c r="C391" s="1" t="n">
        <v>45912</v>
      </c>
      <c r="D391" t="inlineStr">
        <is>
          <t>JÄMTLANDS LÄN</t>
        </is>
      </c>
      <c r="E391" t="inlineStr">
        <is>
          <t>RAGUNDA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42653-2022</t>
        </is>
      </c>
      <c r="B392" s="1" t="n">
        <v>44831.9485300926</v>
      </c>
      <c r="C392" s="1" t="n">
        <v>45912</v>
      </c>
      <c r="D392" t="inlineStr">
        <is>
          <t>JÄMTLANDS LÄN</t>
        </is>
      </c>
      <c r="E392" t="inlineStr">
        <is>
          <t>RAGUNDA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37806-2021</t>
        </is>
      </c>
      <c r="B393" s="1" t="n">
        <v>44402.42243055555</v>
      </c>
      <c r="C393" s="1" t="n">
        <v>45912</v>
      </c>
      <c r="D393" t="inlineStr">
        <is>
          <t>JÄMTLANDS LÄN</t>
        </is>
      </c>
      <c r="E393" t="inlineStr">
        <is>
          <t>RAGUNDA</t>
        </is>
      </c>
      <c r="G393" t="n">
        <v>0.3</v>
      </c>
      <c r="H393" t="n">
        <v>0</v>
      </c>
      <c r="I393" t="n">
        <v>0</v>
      </c>
      <c r="J393" t="n">
        <v>0</v>
      </c>
      <c r="K393" t="n">
        <v>0</v>
      </c>
      <c r="L393" t="n">
        <v>0</v>
      </c>
      <c r="M393" t="n">
        <v>0</v>
      </c>
      <c r="N393" t="n">
        <v>0</v>
      </c>
      <c r="O393" t="n">
        <v>0</v>
      </c>
      <c r="P393" t="n">
        <v>0</v>
      </c>
      <c r="Q393" t="n">
        <v>0</v>
      </c>
      <c r="R393" s="2" t="inlineStr"/>
    </row>
    <row r="394" ht="15" customHeight="1">
      <c r="A394" t="inlineStr">
        <is>
          <t>A 32986-2022</t>
        </is>
      </c>
      <c r="B394" s="1" t="n">
        <v>44784.94157407407</v>
      </c>
      <c r="C394" s="1" t="n">
        <v>45912</v>
      </c>
      <c r="D394" t="inlineStr">
        <is>
          <t>JÄMTLANDS LÄN</t>
        </is>
      </c>
      <c r="E394" t="inlineStr">
        <is>
          <t>RAGUNDA</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25027-2022</t>
        </is>
      </c>
      <c r="B395" s="1" t="n">
        <v>44728.94392361111</v>
      </c>
      <c r="C395" s="1" t="n">
        <v>45912</v>
      </c>
      <c r="D395" t="inlineStr">
        <is>
          <t>JÄMTLANDS LÄN</t>
        </is>
      </c>
      <c r="E395" t="inlineStr">
        <is>
          <t>RAGUNDA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60313-2021</t>
        </is>
      </c>
      <c r="B396" s="1" t="n">
        <v>44495</v>
      </c>
      <c r="C396" s="1" t="n">
        <v>45912</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31854-2022</t>
        </is>
      </c>
      <c r="B397" s="1" t="n">
        <v>44776</v>
      </c>
      <c r="C397" s="1" t="n">
        <v>45912</v>
      </c>
      <c r="D397" t="inlineStr">
        <is>
          <t>JÄMTLANDS LÄN</t>
        </is>
      </c>
      <c r="E397" t="inlineStr">
        <is>
          <t>RAGUNDA</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45912</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45912</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28597-2021</t>
        </is>
      </c>
      <c r="B400" s="1" t="n">
        <v>44356.91935185185</v>
      </c>
      <c r="C400" s="1" t="n">
        <v>45912</v>
      </c>
      <c r="D400" t="inlineStr">
        <is>
          <t>JÄMTLANDS LÄN</t>
        </is>
      </c>
      <c r="E400" t="inlineStr">
        <is>
          <t>RAGUNDA</t>
        </is>
      </c>
      <c r="G400" t="n">
        <v>3.1</v>
      </c>
      <c r="H400" t="n">
        <v>0</v>
      </c>
      <c r="I400" t="n">
        <v>0</v>
      </c>
      <c r="J400" t="n">
        <v>0</v>
      </c>
      <c r="K400" t="n">
        <v>0</v>
      </c>
      <c r="L400" t="n">
        <v>0</v>
      </c>
      <c r="M400" t="n">
        <v>0</v>
      </c>
      <c r="N400" t="n">
        <v>0</v>
      </c>
      <c r="O400" t="n">
        <v>0</v>
      </c>
      <c r="P400" t="n">
        <v>0</v>
      </c>
      <c r="Q400" t="n">
        <v>0</v>
      </c>
      <c r="R400" s="2" t="inlineStr"/>
    </row>
    <row r="401" ht="15" customHeight="1">
      <c r="A401" t="inlineStr">
        <is>
          <t>A 42882-2022</t>
        </is>
      </c>
      <c r="B401" s="1" t="n">
        <v>44832.95300925926</v>
      </c>
      <c r="C401" s="1" t="n">
        <v>45912</v>
      </c>
      <c r="D401" t="inlineStr">
        <is>
          <t>JÄMTLANDS LÄN</t>
        </is>
      </c>
      <c r="E401" t="inlineStr">
        <is>
          <t>RAGUNDA</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42267-2022</t>
        </is>
      </c>
      <c r="B402" s="1" t="n">
        <v>44830</v>
      </c>
      <c r="C402" s="1" t="n">
        <v>45912</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45912</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26122-2022</t>
        </is>
      </c>
      <c r="B404" s="1" t="n">
        <v>44734.94193287037</v>
      </c>
      <c r="C404" s="1" t="n">
        <v>45912</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65017-2021</t>
        </is>
      </c>
      <c r="B405" s="1" t="n">
        <v>44512</v>
      </c>
      <c r="C405" s="1" t="n">
        <v>45912</v>
      </c>
      <c r="D405" t="inlineStr">
        <is>
          <t>JÄMTLANDS LÄN</t>
        </is>
      </c>
      <c r="E405" t="inlineStr">
        <is>
          <t>RAGUNDA</t>
        </is>
      </c>
      <c r="G405" t="n">
        <v>2.3</v>
      </c>
      <c r="H405" t="n">
        <v>0</v>
      </c>
      <c r="I405" t="n">
        <v>0</v>
      </c>
      <c r="J405" t="n">
        <v>0</v>
      </c>
      <c r="K405" t="n">
        <v>0</v>
      </c>
      <c r="L405" t="n">
        <v>0</v>
      </c>
      <c r="M405" t="n">
        <v>0</v>
      </c>
      <c r="N405" t="n">
        <v>0</v>
      </c>
      <c r="O405" t="n">
        <v>0</v>
      </c>
      <c r="P405" t="n">
        <v>0</v>
      </c>
      <c r="Q405" t="n">
        <v>0</v>
      </c>
      <c r="R405" s="2" t="inlineStr"/>
    </row>
    <row r="406" ht="15" customHeight="1">
      <c r="A406" t="inlineStr">
        <is>
          <t>A 21193-2022</t>
        </is>
      </c>
      <c r="B406" s="1" t="n">
        <v>44704.94217592593</v>
      </c>
      <c r="C406" s="1" t="n">
        <v>45912</v>
      </c>
      <c r="D406" t="inlineStr">
        <is>
          <t>JÄMTLANDS LÄN</t>
        </is>
      </c>
      <c r="E406" t="inlineStr">
        <is>
          <t>RAGUNDA</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36941-2022</t>
        </is>
      </c>
      <c r="B407" s="1" t="n">
        <v>44805</v>
      </c>
      <c r="C407" s="1" t="n">
        <v>45912</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20548-2021</t>
        </is>
      </c>
      <c r="B408" s="1" t="n">
        <v>44315</v>
      </c>
      <c r="C408" s="1" t="n">
        <v>45912</v>
      </c>
      <c r="D408" t="inlineStr">
        <is>
          <t>JÄMTLANDS LÄN</t>
        </is>
      </c>
      <c r="E408" t="inlineStr">
        <is>
          <t>RAGUNDA</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49530-2022</t>
        </is>
      </c>
      <c r="B409" s="1" t="n">
        <v>44861</v>
      </c>
      <c r="C409" s="1" t="n">
        <v>45912</v>
      </c>
      <c r="D409" t="inlineStr">
        <is>
          <t>JÄMTLANDS LÄN</t>
        </is>
      </c>
      <c r="E409" t="inlineStr">
        <is>
          <t>RAGUNDA</t>
        </is>
      </c>
      <c r="F409" t="inlineStr">
        <is>
          <t>SCA</t>
        </is>
      </c>
      <c r="G409" t="n">
        <v>13.4</v>
      </c>
      <c r="H409" t="n">
        <v>0</v>
      </c>
      <c r="I409" t="n">
        <v>0</v>
      </c>
      <c r="J409" t="n">
        <v>0</v>
      </c>
      <c r="K409" t="n">
        <v>0</v>
      </c>
      <c r="L409" t="n">
        <v>0</v>
      </c>
      <c r="M409" t="n">
        <v>0</v>
      </c>
      <c r="N409" t="n">
        <v>0</v>
      </c>
      <c r="O409" t="n">
        <v>0</v>
      </c>
      <c r="P409" t="n">
        <v>0</v>
      </c>
      <c r="Q409" t="n">
        <v>0</v>
      </c>
      <c r="R409" s="2" t="inlineStr"/>
    </row>
    <row r="410" ht="15" customHeight="1">
      <c r="A410" t="inlineStr">
        <is>
          <t>A 53144-2024</t>
        </is>
      </c>
      <c r="B410" s="1" t="n">
        <v>45611</v>
      </c>
      <c r="C410" s="1" t="n">
        <v>45912</v>
      </c>
      <c r="D410" t="inlineStr">
        <is>
          <t>JÄMTLANDS LÄN</t>
        </is>
      </c>
      <c r="E410" t="inlineStr">
        <is>
          <t>RAGUNDA</t>
        </is>
      </c>
      <c r="F410" t="inlineStr">
        <is>
          <t>SCA</t>
        </is>
      </c>
      <c r="G410" t="n">
        <v>5.4</v>
      </c>
      <c r="H410" t="n">
        <v>0</v>
      </c>
      <c r="I410" t="n">
        <v>0</v>
      </c>
      <c r="J410" t="n">
        <v>0</v>
      </c>
      <c r="K410" t="n">
        <v>0</v>
      </c>
      <c r="L410" t="n">
        <v>0</v>
      </c>
      <c r="M410" t="n">
        <v>0</v>
      </c>
      <c r="N410" t="n">
        <v>0</v>
      </c>
      <c r="O410" t="n">
        <v>0</v>
      </c>
      <c r="P410" t="n">
        <v>0</v>
      </c>
      <c r="Q410" t="n">
        <v>0</v>
      </c>
      <c r="R410" s="2" t="inlineStr"/>
    </row>
    <row r="411" ht="15" customHeight="1">
      <c r="A411" t="inlineStr">
        <is>
          <t>A 4882-2023</t>
        </is>
      </c>
      <c r="B411" s="1" t="n">
        <v>44957.94075231482</v>
      </c>
      <c r="C411" s="1" t="n">
        <v>45912</v>
      </c>
      <c r="D411" t="inlineStr">
        <is>
          <t>JÄMTLANDS LÄN</t>
        </is>
      </c>
      <c r="E411" t="inlineStr">
        <is>
          <t>RAGUNDA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15554-2025</t>
        </is>
      </c>
      <c r="B412" s="1" t="n">
        <v>45747.67739583334</v>
      </c>
      <c r="C412" s="1" t="n">
        <v>45912</v>
      </c>
      <c r="D412" t="inlineStr">
        <is>
          <t>JÄMTLANDS LÄN</t>
        </is>
      </c>
      <c r="E412" t="inlineStr">
        <is>
          <t>RAGUNDA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24197-2024</t>
        </is>
      </c>
      <c r="B413" s="1" t="n">
        <v>45456.96601851852</v>
      </c>
      <c r="C413" s="1" t="n">
        <v>45912</v>
      </c>
      <c r="D413" t="inlineStr">
        <is>
          <t>JÄMTLANDS LÄN</t>
        </is>
      </c>
      <c r="E413" t="inlineStr">
        <is>
          <t>RAGUNDA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65216-2023</t>
        </is>
      </c>
      <c r="B414" s="1" t="n">
        <v>45289</v>
      </c>
      <c r="C414" s="1" t="n">
        <v>45912</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52148-2024</t>
        </is>
      </c>
      <c r="B415" s="1" t="n">
        <v>45608.52354166667</v>
      </c>
      <c r="C415" s="1" t="n">
        <v>45912</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47568-2022</t>
        </is>
      </c>
      <c r="B416" s="1" t="n">
        <v>44853.9499537037</v>
      </c>
      <c r="C416" s="1" t="n">
        <v>45912</v>
      </c>
      <c r="D416" t="inlineStr">
        <is>
          <t>JÄMTLANDS LÄN</t>
        </is>
      </c>
      <c r="E416" t="inlineStr">
        <is>
          <t>RAGUNDA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22311-2024</t>
        </is>
      </c>
      <c r="B417" s="1" t="n">
        <v>45446.57052083333</v>
      </c>
      <c r="C417" s="1" t="n">
        <v>45912</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5175-2023</t>
        </is>
      </c>
      <c r="B418" s="1" t="n">
        <v>44958.94298611111</v>
      </c>
      <c r="C418" s="1" t="n">
        <v>45912</v>
      </c>
      <c r="D418" t="inlineStr">
        <is>
          <t>JÄMTLANDS LÄN</t>
        </is>
      </c>
      <c r="E418" t="inlineStr">
        <is>
          <t>RAGUNDA</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14896-2022</t>
        </is>
      </c>
      <c r="B419" s="1" t="n">
        <v>44656</v>
      </c>
      <c r="C419" s="1" t="n">
        <v>45912</v>
      </c>
      <c r="D419" t="inlineStr">
        <is>
          <t>JÄMTLANDS LÄN</t>
        </is>
      </c>
      <c r="E419" t="inlineStr">
        <is>
          <t>RAGUNDA</t>
        </is>
      </c>
      <c r="F419" t="inlineStr">
        <is>
          <t>SCA</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20574-2025</t>
        </is>
      </c>
      <c r="B420" s="1" t="n">
        <v>45775.67747685185</v>
      </c>
      <c r="C420" s="1" t="n">
        <v>45912</v>
      </c>
      <c r="D420" t="inlineStr">
        <is>
          <t>JÄMTLANDS LÄN</t>
        </is>
      </c>
      <c r="E420" t="inlineStr">
        <is>
          <t>RAGUNDA</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13276-2025</t>
        </is>
      </c>
      <c r="B421" s="1" t="n">
        <v>45735.5517824074</v>
      </c>
      <c r="C421" s="1" t="n">
        <v>45912</v>
      </c>
      <c r="D421" t="inlineStr">
        <is>
          <t>JÄMTLANDS LÄN</t>
        </is>
      </c>
      <c r="E421" t="inlineStr">
        <is>
          <t>RAGUNDA</t>
        </is>
      </c>
      <c r="G421" t="n">
        <v>16.6</v>
      </c>
      <c r="H421" t="n">
        <v>0</v>
      </c>
      <c r="I421" t="n">
        <v>0</v>
      </c>
      <c r="J421" t="n">
        <v>0</v>
      </c>
      <c r="K421" t="n">
        <v>0</v>
      </c>
      <c r="L421" t="n">
        <v>0</v>
      </c>
      <c r="M421" t="n">
        <v>0</v>
      </c>
      <c r="N421" t="n">
        <v>0</v>
      </c>
      <c r="O421" t="n">
        <v>0</v>
      </c>
      <c r="P421" t="n">
        <v>0</v>
      </c>
      <c r="Q421" t="n">
        <v>0</v>
      </c>
      <c r="R421" s="2" t="inlineStr"/>
    </row>
    <row r="422" ht="15" customHeight="1">
      <c r="A422" t="inlineStr">
        <is>
          <t>A 16635-2025</t>
        </is>
      </c>
      <c r="B422" s="1" t="n">
        <v>45754</v>
      </c>
      <c r="C422" s="1" t="n">
        <v>45912</v>
      </c>
      <c r="D422" t="inlineStr">
        <is>
          <t>JÄMTLANDS LÄN</t>
        </is>
      </c>
      <c r="E422" t="inlineStr">
        <is>
          <t>RAGUNDA</t>
        </is>
      </c>
      <c r="F422" t="inlineStr">
        <is>
          <t>SCA</t>
        </is>
      </c>
      <c r="G422" t="n">
        <v>55.4</v>
      </c>
      <c r="H422" t="n">
        <v>0</v>
      </c>
      <c r="I422" t="n">
        <v>0</v>
      </c>
      <c r="J422" t="n">
        <v>0</v>
      </c>
      <c r="K422" t="n">
        <v>0</v>
      </c>
      <c r="L422" t="n">
        <v>0</v>
      </c>
      <c r="M422" t="n">
        <v>0</v>
      </c>
      <c r="N422" t="n">
        <v>0</v>
      </c>
      <c r="O422" t="n">
        <v>0</v>
      </c>
      <c r="P422" t="n">
        <v>0</v>
      </c>
      <c r="Q422" t="n">
        <v>0</v>
      </c>
      <c r="R422" s="2" t="inlineStr"/>
    </row>
    <row r="423" ht="15" customHeight="1">
      <c r="A423" t="inlineStr">
        <is>
          <t>A 4014-2022</t>
        </is>
      </c>
      <c r="B423" s="1" t="n">
        <v>44587.92144675926</v>
      </c>
      <c r="C423" s="1" t="n">
        <v>45912</v>
      </c>
      <c r="D423" t="inlineStr">
        <is>
          <t>JÄMTLANDS LÄN</t>
        </is>
      </c>
      <c r="E423" t="inlineStr">
        <is>
          <t>RAGUNDA</t>
        </is>
      </c>
      <c r="G423" t="n">
        <v>3.6</v>
      </c>
      <c r="H423" t="n">
        <v>0</v>
      </c>
      <c r="I423" t="n">
        <v>0</v>
      </c>
      <c r="J423" t="n">
        <v>0</v>
      </c>
      <c r="K423" t="n">
        <v>0</v>
      </c>
      <c r="L423" t="n">
        <v>0</v>
      </c>
      <c r="M423" t="n">
        <v>0</v>
      </c>
      <c r="N423" t="n">
        <v>0</v>
      </c>
      <c r="O423" t="n">
        <v>0</v>
      </c>
      <c r="P423" t="n">
        <v>0</v>
      </c>
      <c r="Q423" t="n">
        <v>0</v>
      </c>
      <c r="R423" s="2" t="inlineStr"/>
    </row>
    <row r="424" ht="15" customHeight="1">
      <c r="A424" t="inlineStr">
        <is>
          <t>A 58537-2022</t>
        </is>
      </c>
      <c r="B424" s="1" t="n">
        <v>44894</v>
      </c>
      <c r="C424" s="1" t="n">
        <v>45912</v>
      </c>
      <c r="D424" t="inlineStr">
        <is>
          <t>JÄMTLANDS LÄN</t>
        </is>
      </c>
      <c r="E424" t="inlineStr">
        <is>
          <t>RAGUNDA</t>
        </is>
      </c>
      <c r="G424" t="n">
        <v>1.2</v>
      </c>
      <c r="H424" t="n">
        <v>0</v>
      </c>
      <c r="I424" t="n">
        <v>0</v>
      </c>
      <c r="J424" t="n">
        <v>0</v>
      </c>
      <c r="K424" t="n">
        <v>0</v>
      </c>
      <c r="L424" t="n">
        <v>0</v>
      </c>
      <c r="M424" t="n">
        <v>0</v>
      </c>
      <c r="N424" t="n">
        <v>0</v>
      </c>
      <c r="O424" t="n">
        <v>0</v>
      </c>
      <c r="P424" t="n">
        <v>0</v>
      </c>
      <c r="Q424" t="n">
        <v>0</v>
      </c>
      <c r="R424" s="2" t="inlineStr"/>
    </row>
    <row r="425" ht="15" customHeight="1">
      <c r="A425" t="inlineStr">
        <is>
          <t>A 35153-2024</t>
        </is>
      </c>
      <c r="B425" s="1" t="n">
        <v>45530</v>
      </c>
      <c r="C425" s="1" t="n">
        <v>45912</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19403-2025</t>
        </is>
      </c>
      <c r="B426" s="1" t="n">
        <v>45769.67790509259</v>
      </c>
      <c r="C426" s="1" t="n">
        <v>45912</v>
      </c>
      <c r="D426" t="inlineStr">
        <is>
          <t>JÄMTLANDS LÄN</t>
        </is>
      </c>
      <c r="E426" t="inlineStr">
        <is>
          <t>RAGUNDA</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45335-2023</t>
        </is>
      </c>
      <c r="B427" s="1" t="n">
        <v>45191</v>
      </c>
      <c r="C427" s="1" t="n">
        <v>45912</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36246-2024</t>
        </is>
      </c>
      <c r="B428" s="1" t="n">
        <v>45534</v>
      </c>
      <c r="C428" s="1" t="n">
        <v>45912</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1554-2024</t>
        </is>
      </c>
      <c r="B429" s="1" t="n">
        <v>45306</v>
      </c>
      <c r="C429" s="1" t="n">
        <v>45912</v>
      </c>
      <c r="D429" t="inlineStr">
        <is>
          <t>JÄMTLANDS LÄN</t>
        </is>
      </c>
      <c r="E429" t="inlineStr">
        <is>
          <t>RAGUNDA</t>
        </is>
      </c>
      <c r="G429" t="n">
        <v>4.3</v>
      </c>
      <c r="H429" t="n">
        <v>0</v>
      </c>
      <c r="I429" t="n">
        <v>0</v>
      </c>
      <c r="J429" t="n">
        <v>0</v>
      </c>
      <c r="K429" t="n">
        <v>0</v>
      </c>
      <c r="L429" t="n">
        <v>0</v>
      </c>
      <c r="M429" t="n">
        <v>0</v>
      </c>
      <c r="N429" t="n">
        <v>0</v>
      </c>
      <c r="O429" t="n">
        <v>0</v>
      </c>
      <c r="P429" t="n">
        <v>0</v>
      </c>
      <c r="Q429" t="n">
        <v>0</v>
      </c>
      <c r="R429" s="2" t="inlineStr"/>
    </row>
    <row r="430" ht="15" customHeight="1">
      <c r="A430" t="inlineStr">
        <is>
          <t>A 55487-2023</t>
        </is>
      </c>
      <c r="B430" s="1" t="n">
        <v>45238</v>
      </c>
      <c r="C430" s="1" t="n">
        <v>45912</v>
      </c>
      <c r="D430" t="inlineStr">
        <is>
          <t>JÄMTLANDS LÄN</t>
        </is>
      </c>
      <c r="E430" t="inlineStr">
        <is>
          <t>RAGUNDA</t>
        </is>
      </c>
      <c r="G430" t="n">
        <v>3</v>
      </c>
      <c r="H430" t="n">
        <v>0</v>
      </c>
      <c r="I430" t="n">
        <v>0</v>
      </c>
      <c r="J430" t="n">
        <v>0</v>
      </c>
      <c r="K430" t="n">
        <v>0</v>
      </c>
      <c r="L430" t="n">
        <v>0</v>
      </c>
      <c r="M430" t="n">
        <v>0</v>
      </c>
      <c r="N430" t="n">
        <v>0</v>
      </c>
      <c r="O430" t="n">
        <v>0</v>
      </c>
      <c r="P430" t="n">
        <v>0</v>
      </c>
      <c r="Q430" t="n">
        <v>0</v>
      </c>
      <c r="R430" s="2" t="inlineStr"/>
    </row>
    <row r="431" ht="15" customHeight="1">
      <c r="A431" t="inlineStr">
        <is>
          <t>A 18454-2021</t>
        </is>
      </c>
      <c r="B431" s="1" t="n">
        <v>44305.92047453704</v>
      </c>
      <c r="C431" s="1" t="n">
        <v>45912</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24196-2024</t>
        </is>
      </c>
      <c r="B432" s="1" t="n">
        <v>45456.96569444444</v>
      </c>
      <c r="C432" s="1" t="n">
        <v>45912</v>
      </c>
      <c r="D432" t="inlineStr">
        <is>
          <t>JÄMTLANDS LÄN</t>
        </is>
      </c>
      <c r="E432" t="inlineStr">
        <is>
          <t>RAGUNDA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38782-2021</t>
        </is>
      </c>
      <c r="B433" s="1" t="n">
        <v>44410</v>
      </c>
      <c r="C433" s="1" t="n">
        <v>45912</v>
      </c>
      <c r="D433" t="inlineStr">
        <is>
          <t>JÄMTLANDS LÄN</t>
        </is>
      </c>
      <c r="E433" t="inlineStr">
        <is>
          <t>RAGUNDA</t>
        </is>
      </c>
      <c r="G433" t="n">
        <v>3.2</v>
      </c>
      <c r="H433" t="n">
        <v>0</v>
      </c>
      <c r="I433" t="n">
        <v>0</v>
      </c>
      <c r="J433" t="n">
        <v>0</v>
      </c>
      <c r="K433" t="n">
        <v>0</v>
      </c>
      <c r="L433" t="n">
        <v>0</v>
      </c>
      <c r="M433" t="n">
        <v>0</v>
      </c>
      <c r="N433" t="n">
        <v>0</v>
      </c>
      <c r="O433" t="n">
        <v>0</v>
      </c>
      <c r="P433" t="n">
        <v>0</v>
      </c>
      <c r="Q433" t="n">
        <v>0</v>
      </c>
      <c r="R433" s="2" t="inlineStr"/>
    </row>
    <row r="434" ht="15" customHeight="1">
      <c r="A434" t="inlineStr">
        <is>
          <t>A 11558-2023</t>
        </is>
      </c>
      <c r="B434" s="1" t="n">
        <v>44993.94958333333</v>
      </c>
      <c r="C434" s="1" t="n">
        <v>45912</v>
      </c>
      <c r="D434" t="inlineStr">
        <is>
          <t>JÄMTLANDS LÄN</t>
        </is>
      </c>
      <c r="E434" t="inlineStr">
        <is>
          <t>RAGUNDA</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9360-2023</t>
        </is>
      </c>
      <c r="B435" s="1" t="n">
        <v>44980.93865740741</v>
      </c>
      <c r="C435" s="1" t="n">
        <v>45912</v>
      </c>
      <c r="D435" t="inlineStr">
        <is>
          <t>JÄMTLANDS LÄN</t>
        </is>
      </c>
      <c r="E435" t="inlineStr">
        <is>
          <t>RAGUNDA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13767-2022</t>
        </is>
      </c>
      <c r="B436" s="1" t="n">
        <v>44649.47048611111</v>
      </c>
      <c r="C436" s="1" t="n">
        <v>45912</v>
      </c>
      <c r="D436" t="inlineStr">
        <is>
          <t>JÄMTLANDS LÄN</t>
        </is>
      </c>
      <c r="E436" t="inlineStr">
        <is>
          <t>RAGUNDA</t>
        </is>
      </c>
      <c r="F436" t="inlineStr">
        <is>
          <t>Kommuner</t>
        </is>
      </c>
      <c r="G436" t="n">
        <v>3.1</v>
      </c>
      <c r="H436" t="n">
        <v>0</v>
      </c>
      <c r="I436" t="n">
        <v>0</v>
      </c>
      <c r="J436" t="n">
        <v>0</v>
      </c>
      <c r="K436" t="n">
        <v>0</v>
      </c>
      <c r="L436" t="n">
        <v>0</v>
      </c>
      <c r="M436" t="n">
        <v>0</v>
      </c>
      <c r="N436" t="n">
        <v>0</v>
      </c>
      <c r="O436" t="n">
        <v>0</v>
      </c>
      <c r="P436" t="n">
        <v>0</v>
      </c>
      <c r="Q436" t="n">
        <v>0</v>
      </c>
      <c r="R436" s="2" t="inlineStr"/>
    </row>
    <row r="437" ht="15" customHeight="1">
      <c r="A437" t="inlineStr">
        <is>
          <t>A 20728-2025</t>
        </is>
      </c>
      <c r="B437" s="1" t="n">
        <v>45776.51130787037</v>
      </c>
      <c r="C437" s="1" t="n">
        <v>45912</v>
      </c>
      <c r="D437" t="inlineStr">
        <is>
          <t>JÄMTLANDS LÄN</t>
        </is>
      </c>
      <c r="E437" t="inlineStr">
        <is>
          <t>RAGUNDA</t>
        </is>
      </c>
      <c r="F437" t="inlineStr">
        <is>
          <t>Kommuner</t>
        </is>
      </c>
      <c r="G437" t="n">
        <v>1.1</v>
      </c>
      <c r="H437" t="n">
        <v>0</v>
      </c>
      <c r="I437" t="n">
        <v>0</v>
      </c>
      <c r="J437" t="n">
        <v>0</v>
      </c>
      <c r="K437" t="n">
        <v>0</v>
      </c>
      <c r="L437" t="n">
        <v>0</v>
      </c>
      <c r="M437" t="n">
        <v>0</v>
      </c>
      <c r="N437" t="n">
        <v>0</v>
      </c>
      <c r="O437" t="n">
        <v>0</v>
      </c>
      <c r="P437" t="n">
        <v>0</v>
      </c>
      <c r="Q437" t="n">
        <v>0</v>
      </c>
      <c r="R437" s="2" t="inlineStr"/>
    </row>
    <row r="438" ht="15" customHeight="1">
      <c r="A438" t="inlineStr">
        <is>
          <t>A 11147-2025</t>
        </is>
      </c>
      <c r="B438" s="1" t="n">
        <v>45723.67777777778</v>
      </c>
      <c r="C438" s="1" t="n">
        <v>45912</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1308-2025</t>
        </is>
      </c>
      <c r="B439" s="1" t="n">
        <v>45667.55239583334</v>
      </c>
      <c r="C439" s="1" t="n">
        <v>45912</v>
      </c>
      <c r="D439" t="inlineStr">
        <is>
          <t>JÄMTLANDS LÄN</t>
        </is>
      </c>
      <c r="E439" t="inlineStr">
        <is>
          <t>RAGUNDA</t>
        </is>
      </c>
      <c r="F439" t="inlineStr">
        <is>
          <t>SCA</t>
        </is>
      </c>
      <c r="G439" t="n">
        <v>6.4</v>
      </c>
      <c r="H439" t="n">
        <v>0</v>
      </c>
      <c r="I439" t="n">
        <v>0</v>
      </c>
      <c r="J439" t="n">
        <v>0</v>
      </c>
      <c r="K439" t="n">
        <v>0</v>
      </c>
      <c r="L439" t="n">
        <v>0</v>
      </c>
      <c r="M439" t="n">
        <v>0</v>
      </c>
      <c r="N439" t="n">
        <v>0</v>
      </c>
      <c r="O439" t="n">
        <v>0</v>
      </c>
      <c r="P439" t="n">
        <v>0</v>
      </c>
      <c r="Q439" t="n">
        <v>0</v>
      </c>
      <c r="R439" s="2" t="inlineStr"/>
    </row>
    <row r="440" ht="15" customHeight="1">
      <c r="A440" t="inlineStr">
        <is>
          <t>A 9847-2025</t>
        </is>
      </c>
      <c r="B440" s="1" t="n">
        <v>45716.61487268518</v>
      </c>
      <c r="C440" s="1" t="n">
        <v>45912</v>
      </c>
      <c r="D440" t="inlineStr">
        <is>
          <t>JÄMTLANDS LÄN</t>
        </is>
      </c>
      <c r="E440" t="inlineStr">
        <is>
          <t>RAGUNDA</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11252-2025</t>
        </is>
      </c>
      <c r="B441" s="1" t="n">
        <v>45726.38615740741</v>
      </c>
      <c r="C441" s="1" t="n">
        <v>45912</v>
      </c>
      <c r="D441" t="inlineStr">
        <is>
          <t>JÄMTLANDS LÄN</t>
        </is>
      </c>
      <c r="E441" t="inlineStr">
        <is>
          <t>RAGUNDA</t>
        </is>
      </c>
      <c r="G441" t="n">
        <v>1.9</v>
      </c>
      <c r="H441" t="n">
        <v>0</v>
      </c>
      <c r="I441" t="n">
        <v>0</v>
      </c>
      <c r="J441" t="n">
        <v>0</v>
      </c>
      <c r="K441" t="n">
        <v>0</v>
      </c>
      <c r="L441" t="n">
        <v>0</v>
      </c>
      <c r="M441" t="n">
        <v>0</v>
      </c>
      <c r="N441" t="n">
        <v>0</v>
      </c>
      <c r="O441" t="n">
        <v>0</v>
      </c>
      <c r="P441" t="n">
        <v>0</v>
      </c>
      <c r="Q441" t="n">
        <v>0</v>
      </c>
      <c r="R441" s="2" t="inlineStr"/>
    </row>
    <row r="442" ht="15" customHeight="1">
      <c r="A442" t="inlineStr">
        <is>
          <t>A 11253-2025</t>
        </is>
      </c>
      <c r="B442" s="1" t="n">
        <v>45726.3862037037</v>
      </c>
      <c r="C442" s="1" t="n">
        <v>45912</v>
      </c>
      <c r="D442" t="inlineStr">
        <is>
          <t>JÄMTLANDS LÄN</t>
        </is>
      </c>
      <c r="E442" t="inlineStr">
        <is>
          <t>RAGUNDA</t>
        </is>
      </c>
      <c r="G442" t="n">
        <v>1.5</v>
      </c>
      <c r="H442" t="n">
        <v>0</v>
      </c>
      <c r="I442" t="n">
        <v>0</v>
      </c>
      <c r="J442" t="n">
        <v>0</v>
      </c>
      <c r="K442" t="n">
        <v>0</v>
      </c>
      <c r="L442" t="n">
        <v>0</v>
      </c>
      <c r="M442" t="n">
        <v>0</v>
      </c>
      <c r="N442" t="n">
        <v>0</v>
      </c>
      <c r="O442" t="n">
        <v>0</v>
      </c>
      <c r="P442" t="n">
        <v>0</v>
      </c>
      <c r="Q442" t="n">
        <v>0</v>
      </c>
      <c r="R442" s="2" t="inlineStr"/>
    </row>
    <row r="443" ht="15" customHeight="1">
      <c r="A443" t="inlineStr">
        <is>
          <t>A 44630-2023</t>
        </is>
      </c>
      <c r="B443" s="1" t="n">
        <v>45184</v>
      </c>
      <c r="C443" s="1" t="n">
        <v>45912</v>
      </c>
      <c r="D443" t="inlineStr">
        <is>
          <t>JÄMTLANDS LÄN</t>
        </is>
      </c>
      <c r="E443" t="inlineStr">
        <is>
          <t>RAGUNDA</t>
        </is>
      </c>
      <c r="G443" t="n">
        <v>3.4</v>
      </c>
      <c r="H443" t="n">
        <v>0</v>
      </c>
      <c r="I443" t="n">
        <v>0</v>
      </c>
      <c r="J443" t="n">
        <v>0</v>
      </c>
      <c r="K443" t="n">
        <v>0</v>
      </c>
      <c r="L443" t="n">
        <v>0</v>
      </c>
      <c r="M443" t="n">
        <v>0</v>
      </c>
      <c r="N443" t="n">
        <v>0</v>
      </c>
      <c r="O443" t="n">
        <v>0</v>
      </c>
      <c r="P443" t="n">
        <v>0</v>
      </c>
      <c r="Q443" t="n">
        <v>0</v>
      </c>
      <c r="R443" s="2" t="inlineStr"/>
    </row>
    <row r="444" ht="15" customHeight="1">
      <c r="A444" t="inlineStr">
        <is>
          <t>A 22569-2023</t>
        </is>
      </c>
      <c r="B444" s="1" t="n">
        <v>45069</v>
      </c>
      <c r="C444" s="1" t="n">
        <v>45912</v>
      </c>
      <c r="D444" t="inlineStr">
        <is>
          <t>JÄMTLANDS LÄN</t>
        </is>
      </c>
      <c r="E444" t="inlineStr">
        <is>
          <t>RAGUNDA</t>
        </is>
      </c>
      <c r="G444" t="n">
        <v>6.6</v>
      </c>
      <c r="H444" t="n">
        <v>0</v>
      </c>
      <c r="I444" t="n">
        <v>0</v>
      </c>
      <c r="J444" t="n">
        <v>0</v>
      </c>
      <c r="K444" t="n">
        <v>0</v>
      </c>
      <c r="L444" t="n">
        <v>0</v>
      </c>
      <c r="M444" t="n">
        <v>0</v>
      </c>
      <c r="N444" t="n">
        <v>0</v>
      </c>
      <c r="O444" t="n">
        <v>0</v>
      </c>
      <c r="P444" t="n">
        <v>0</v>
      </c>
      <c r="Q444" t="n">
        <v>0</v>
      </c>
      <c r="R444" s="2" t="inlineStr"/>
    </row>
    <row r="445" ht="15" customHeight="1">
      <c r="A445" t="inlineStr">
        <is>
          <t>A 20653-2025</t>
        </is>
      </c>
      <c r="B445" s="1" t="n">
        <v>45776.40311342593</v>
      </c>
      <c r="C445" s="1" t="n">
        <v>45912</v>
      </c>
      <c r="D445" t="inlineStr">
        <is>
          <t>JÄMTLANDS LÄN</t>
        </is>
      </c>
      <c r="E445" t="inlineStr">
        <is>
          <t>RAGUNDA</t>
        </is>
      </c>
      <c r="G445" t="n">
        <v>10.8</v>
      </c>
      <c r="H445" t="n">
        <v>0</v>
      </c>
      <c r="I445" t="n">
        <v>0</v>
      </c>
      <c r="J445" t="n">
        <v>0</v>
      </c>
      <c r="K445" t="n">
        <v>0</v>
      </c>
      <c r="L445" t="n">
        <v>0</v>
      </c>
      <c r="M445" t="n">
        <v>0</v>
      </c>
      <c r="N445" t="n">
        <v>0</v>
      </c>
      <c r="O445" t="n">
        <v>0</v>
      </c>
      <c r="P445" t="n">
        <v>0</v>
      </c>
      <c r="Q445" t="n">
        <v>0</v>
      </c>
      <c r="R445" s="2" t="inlineStr"/>
    </row>
    <row r="446" ht="15" customHeight="1">
      <c r="A446" t="inlineStr">
        <is>
          <t>A 28173-2024</t>
        </is>
      </c>
      <c r="B446" s="1" t="n">
        <v>45476.94533564815</v>
      </c>
      <c r="C446" s="1" t="n">
        <v>45912</v>
      </c>
      <c r="D446" t="inlineStr">
        <is>
          <t>JÄMTLANDS LÄN</t>
        </is>
      </c>
      <c r="E446" t="inlineStr">
        <is>
          <t>RAGUNDA</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20722-2025</t>
        </is>
      </c>
      <c r="B447" s="1" t="n">
        <v>45776.50651620371</v>
      </c>
      <c r="C447" s="1" t="n">
        <v>45912</v>
      </c>
      <c r="D447" t="inlineStr">
        <is>
          <t>JÄMTLANDS LÄN</t>
        </is>
      </c>
      <c r="E447" t="inlineStr">
        <is>
          <t>RAGUNDA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23734-2024</t>
        </is>
      </c>
      <c r="B448" s="1" t="n">
        <v>45454.95960648148</v>
      </c>
      <c r="C448" s="1" t="n">
        <v>45912</v>
      </c>
      <c r="D448" t="inlineStr">
        <is>
          <t>JÄMTLANDS LÄN</t>
        </is>
      </c>
      <c r="E448" t="inlineStr">
        <is>
          <t>RAGUNDA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38425-2022</t>
        </is>
      </c>
      <c r="B449" s="1" t="n">
        <v>44812.94709490741</v>
      </c>
      <c r="C449" s="1" t="n">
        <v>45912</v>
      </c>
      <c r="D449" t="inlineStr">
        <is>
          <t>JÄMTLANDS LÄN</t>
        </is>
      </c>
      <c r="E449" t="inlineStr">
        <is>
          <t>RAGUNDA</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11048-2023</t>
        </is>
      </c>
      <c r="B450" s="1" t="n">
        <v>44991</v>
      </c>
      <c r="C450" s="1" t="n">
        <v>45912</v>
      </c>
      <c r="D450" t="inlineStr">
        <is>
          <t>JÄMTLANDS LÄN</t>
        </is>
      </c>
      <c r="E450" t="inlineStr">
        <is>
          <t>RAGUNDA</t>
        </is>
      </c>
      <c r="F450" t="inlineStr">
        <is>
          <t>SCA</t>
        </is>
      </c>
      <c r="G450" t="n">
        <v>13.5</v>
      </c>
      <c r="H450" t="n">
        <v>0</v>
      </c>
      <c r="I450" t="n">
        <v>0</v>
      </c>
      <c r="J450" t="n">
        <v>0</v>
      </c>
      <c r="K450" t="n">
        <v>0</v>
      </c>
      <c r="L450" t="n">
        <v>0</v>
      </c>
      <c r="M450" t="n">
        <v>0</v>
      </c>
      <c r="N450" t="n">
        <v>0</v>
      </c>
      <c r="O450" t="n">
        <v>0</v>
      </c>
      <c r="P450" t="n">
        <v>0</v>
      </c>
      <c r="Q450" t="n">
        <v>0</v>
      </c>
      <c r="R450" s="2" t="inlineStr"/>
    </row>
    <row r="451" ht="15" customHeight="1">
      <c r="A451" t="inlineStr">
        <is>
          <t>A 11062-2023</t>
        </is>
      </c>
      <c r="B451" s="1" t="n">
        <v>44991</v>
      </c>
      <c r="C451" s="1" t="n">
        <v>45912</v>
      </c>
      <c r="D451" t="inlineStr">
        <is>
          <t>JÄMTLANDS LÄN</t>
        </is>
      </c>
      <c r="E451" t="inlineStr">
        <is>
          <t>RAGUNDA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20777-2025</t>
        </is>
      </c>
      <c r="B452" s="1" t="n">
        <v>45776.59422453704</v>
      </c>
      <c r="C452" s="1" t="n">
        <v>45912</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12995-2023</t>
        </is>
      </c>
      <c r="B453" s="1" t="n">
        <v>45002.0328125</v>
      </c>
      <c r="C453" s="1" t="n">
        <v>45912</v>
      </c>
      <c r="D453" t="inlineStr">
        <is>
          <t>JÄMTLANDS LÄN</t>
        </is>
      </c>
      <c r="E453" t="inlineStr">
        <is>
          <t>RAGUNDA</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21150-2025</t>
        </is>
      </c>
      <c r="B454" s="1" t="n">
        <v>45779.34417824074</v>
      </c>
      <c r="C454" s="1" t="n">
        <v>45912</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21177-2025</t>
        </is>
      </c>
      <c r="B455" s="1" t="n">
        <v>45779.4281712963</v>
      </c>
      <c r="C455" s="1" t="n">
        <v>45912</v>
      </c>
      <c r="D455" t="inlineStr">
        <is>
          <t>JÄMTLANDS LÄN</t>
        </is>
      </c>
      <c r="E455" t="inlineStr">
        <is>
          <t>RAGUNDA</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21214-2025</t>
        </is>
      </c>
      <c r="B456" s="1" t="n">
        <v>45779.49025462963</v>
      </c>
      <c r="C456" s="1" t="n">
        <v>45912</v>
      </c>
      <c r="D456" t="inlineStr">
        <is>
          <t>JÄMTLANDS LÄN</t>
        </is>
      </c>
      <c r="E456" t="inlineStr">
        <is>
          <t>RAGUNDA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44755-2024</t>
        </is>
      </c>
      <c r="B457" s="1" t="n">
        <v>45574.61184027778</v>
      </c>
      <c r="C457" s="1" t="n">
        <v>45912</v>
      </c>
      <c r="D457" t="inlineStr">
        <is>
          <t>JÄMTLANDS LÄN</t>
        </is>
      </c>
      <c r="E457" t="inlineStr">
        <is>
          <t>RAGUNDA</t>
        </is>
      </c>
      <c r="G457" t="n">
        <v>4.4</v>
      </c>
      <c r="H457" t="n">
        <v>0</v>
      </c>
      <c r="I457" t="n">
        <v>0</v>
      </c>
      <c r="J457" t="n">
        <v>0</v>
      </c>
      <c r="K457" t="n">
        <v>0</v>
      </c>
      <c r="L457" t="n">
        <v>0</v>
      </c>
      <c r="M457" t="n">
        <v>0</v>
      </c>
      <c r="N457" t="n">
        <v>0</v>
      </c>
      <c r="O457" t="n">
        <v>0</v>
      </c>
      <c r="P457" t="n">
        <v>0</v>
      </c>
      <c r="Q457" t="n">
        <v>0</v>
      </c>
      <c r="R457" s="2" t="inlineStr"/>
    </row>
    <row r="458" ht="15" customHeight="1">
      <c r="A458" t="inlineStr">
        <is>
          <t>A 44766-2024</t>
        </is>
      </c>
      <c r="B458" s="1" t="n">
        <v>45574.62297453704</v>
      </c>
      <c r="C458" s="1" t="n">
        <v>45912</v>
      </c>
      <c r="D458" t="inlineStr">
        <is>
          <t>JÄMTLANDS LÄN</t>
        </is>
      </c>
      <c r="E458" t="inlineStr">
        <is>
          <t>RAGUNDA</t>
        </is>
      </c>
      <c r="G458" t="n">
        <v>3.2</v>
      </c>
      <c r="H458" t="n">
        <v>0</v>
      </c>
      <c r="I458" t="n">
        <v>0</v>
      </c>
      <c r="J458" t="n">
        <v>0</v>
      </c>
      <c r="K458" t="n">
        <v>0</v>
      </c>
      <c r="L458" t="n">
        <v>0</v>
      </c>
      <c r="M458" t="n">
        <v>0</v>
      </c>
      <c r="N458" t="n">
        <v>0</v>
      </c>
      <c r="O458" t="n">
        <v>0</v>
      </c>
      <c r="P458" t="n">
        <v>0</v>
      </c>
      <c r="Q458" t="n">
        <v>0</v>
      </c>
      <c r="R458" s="2" t="inlineStr"/>
    </row>
    <row r="459" ht="15" customHeight="1">
      <c r="A459" t="inlineStr">
        <is>
          <t>A 57064-2024</t>
        </is>
      </c>
      <c r="B459" s="1" t="n">
        <v>45629.35326388889</v>
      </c>
      <c r="C459" s="1" t="n">
        <v>45912</v>
      </c>
      <c r="D459" t="inlineStr">
        <is>
          <t>JÄMTLANDS LÄN</t>
        </is>
      </c>
      <c r="E459" t="inlineStr">
        <is>
          <t>RAGUNDA</t>
        </is>
      </c>
      <c r="F459" t="inlineStr">
        <is>
          <t>Naturvårdsverket</t>
        </is>
      </c>
      <c r="G459" t="n">
        <v>0.5</v>
      </c>
      <c r="H459" t="n">
        <v>0</v>
      </c>
      <c r="I459" t="n">
        <v>0</v>
      </c>
      <c r="J459" t="n">
        <v>0</v>
      </c>
      <c r="K459" t="n">
        <v>0</v>
      </c>
      <c r="L459" t="n">
        <v>0</v>
      </c>
      <c r="M459" t="n">
        <v>0</v>
      </c>
      <c r="N459" t="n">
        <v>0</v>
      </c>
      <c r="O459" t="n">
        <v>0</v>
      </c>
      <c r="P459" t="n">
        <v>0</v>
      </c>
      <c r="Q459" t="n">
        <v>0</v>
      </c>
      <c r="R459" s="2" t="inlineStr"/>
    </row>
    <row r="460" ht="15" customHeight="1">
      <c r="A460" t="inlineStr">
        <is>
          <t>A 22941-2024</t>
        </is>
      </c>
      <c r="B460" s="1" t="n">
        <v>45448.94520833333</v>
      </c>
      <c r="C460" s="1" t="n">
        <v>45912</v>
      </c>
      <c r="D460" t="inlineStr">
        <is>
          <t>JÄMTLANDS LÄN</t>
        </is>
      </c>
      <c r="E460" t="inlineStr">
        <is>
          <t>RAGUNDA</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16676-2022</t>
        </is>
      </c>
      <c r="B461" s="1" t="n">
        <v>44672.94018518519</v>
      </c>
      <c r="C461" s="1" t="n">
        <v>45912</v>
      </c>
      <c r="D461" t="inlineStr">
        <is>
          <t>JÄMTLANDS LÄN</t>
        </is>
      </c>
      <c r="E461" t="inlineStr">
        <is>
          <t>RAGUNDA</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21430-2025</t>
        </is>
      </c>
      <c r="B462" s="1" t="n">
        <v>45782.51099537037</v>
      </c>
      <c r="C462" s="1" t="n">
        <v>45912</v>
      </c>
      <c r="D462" t="inlineStr">
        <is>
          <t>JÄMTLANDS LÄN</t>
        </is>
      </c>
      <c r="E462" t="inlineStr">
        <is>
          <t>RAGUNDA</t>
        </is>
      </c>
      <c r="F462" t="inlineStr">
        <is>
          <t>SCA</t>
        </is>
      </c>
      <c r="G462" t="n">
        <v>7.1</v>
      </c>
      <c r="H462" t="n">
        <v>0</v>
      </c>
      <c r="I462" t="n">
        <v>0</v>
      </c>
      <c r="J462" t="n">
        <v>0</v>
      </c>
      <c r="K462" t="n">
        <v>0</v>
      </c>
      <c r="L462" t="n">
        <v>0</v>
      </c>
      <c r="M462" t="n">
        <v>0</v>
      </c>
      <c r="N462" t="n">
        <v>0</v>
      </c>
      <c r="O462" t="n">
        <v>0</v>
      </c>
      <c r="P462" t="n">
        <v>0</v>
      </c>
      <c r="Q462" t="n">
        <v>0</v>
      </c>
      <c r="R462" s="2" t="inlineStr"/>
    </row>
    <row r="463" ht="15" customHeight="1">
      <c r="A463" t="inlineStr">
        <is>
          <t>A 44881-2023</t>
        </is>
      </c>
      <c r="B463" s="1" t="n">
        <v>45187</v>
      </c>
      <c r="C463" s="1" t="n">
        <v>45912</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21451-2025</t>
        </is>
      </c>
      <c r="B464" s="1" t="n">
        <v>45782.55287037037</v>
      </c>
      <c r="C464" s="1" t="n">
        <v>45912</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21332-2025</t>
        </is>
      </c>
      <c r="B465" s="1" t="n">
        <v>45782.36506944444</v>
      </c>
      <c r="C465" s="1" t="n">
        <v>45912</v>
      </c>
      <c r="D465" t="inlineStr">
        <is>
          <t>JÄMTLANDS LÄN</t>
        </is>
      </c>
      <c r="E465" t="inlineStr">
        <is>
          <t>RAGUNDA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55536-2024</t>
        </is>
      </c>
      <c r="B466" s="1" t="n">
        <v>45622</v>
      </c>
      <c r="C466" s="1" t="n">
        <v>45912</v>
      </c>
      <c r="D466" t="inlineStr">
        <is>
          <t>JÄMTLANDS LÄN</t>
        </is>
      </c>
      <c r="E466" t="inlineStr">
        <is>
          <t>RAGUNDA</t>
        </is>
      </c>
      <c r="G466" t="n">
        <v>0.8</v>
      </c>
      <c r="H466" t="n">
        <v>0</v>
      </c>
      <c r="I466" t="n">
        <v>0</v>
      </c>
      <c r="J466" t="n">
        <v>0</v>
      </c>
      <c r="K466" t="n">
        <v>0</v>
      </c>
      <c r="L466" t="n">
        <v>0</v>
      </c>
      <c r="M466" t="n">
        <v>0</v>
      </c>
      <c r="N466" t="n">
        <v>0</v>
      </c>
      <c r="O466" t="n">
        <v>0</v>
      </c>
      <c r="P466" t="n">
        <v>0</v>
      </c>
      <c r="Q466" t="n">
        <v>0</v>
      </c>
      <c r="R466" s="2" t="inlineStr"/>
    </row>
    <row r="467" ht="15" customHeight="1">
      <c r="A467" t="inlineStr">
        <is>
          <t>A 44597-2024</t>
        </is>
      </c>
      <c r="B467" s="1" t="n">
        <v>45574.51087962963</v>
      </c>
      <c r="C467" s="1" t="n">
        <v>45912</v>
      </c>
      <c r="D467" t="inlineStr">
        <is>
          <t>JÄMTLANDS LÄN</t>
        </is>
      </c>
      <c r="E467" t="inlineStr">
        <is>
          <t>RAGUNDA</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44598-2024</t>
        </is>
      </c>
      <c r="B468" s="1" t="n">
        <v>45574.51090277778</v>
      </c>
      <c r="C468" s="1" t="n">
        <v>45912</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14156-2024</t>
        </is>
      </c>
      <c r="B469" s="1" t="n">
        <v>45392</v>
      </c>
      <c r="C469" s="1" t="n">
        <v>45912</v>
      </c>
      <c r="D469" t="inlineStr">
        <is>
          <t>JÄMTLANDS LÄN</t>
        </is>
      </c>
      <c r="E469" t="inlineStr">
        <is>
          <t>RAGUNDA</t>
        </is>
      </c>
      <c r="G469" t="n">
        <v>0.6</v>
      </c>
      <c r="H469" t="n">
        <v>0</v>
      </c>
      <c r="I469" t="n">
        <v>0</v>
      </c>
      <c r="J469" t="n">
        <v>0</v>
      </c>
      <c r="K469" t="n">
        <v>0</v>
      </c>
      <c r="L469" t="n">
        <v>0</v>
      </c>
      <c r="M469" t="n">
        <v>0</v>
      </c>
      <c r="N469" t="n">
        <v>0</v>
      </c>
      <c r="O469" t="n">
        <v>0</v>
      </c>
      <c r="P469" t="n">
        <v>0</v>
      </c>
      <c r="Q469" t="n">
        <v>0</v>
      </c>
      <c r="R469" s="2" t="inlineStr"/>
    </row>
    <row r="470" ht="15" customHeight="1">
      <c r="A470" t="inlineStr">
        <is>
          <t>A 14157-2024</t>
        </is>
      </c>
      <c r="B470" s="1" t="n">
        <v>45392.92903935185</v>
      </c>
      <c r="C470" s="1" t="n">
        <v>45912</v>
      </c>
      <c r="D470" t="inlineStr">
        <is>
          <t>JÄMTLANDS LÄN</t>
        </is>
      </c>
      <c r="E470" t="inlineStr">
        <is>
          <t>RAGUNDA</t>
        </is>
      </c>
      <c r="G470" t="n">
        <v>1.7</v>
      </c>
      <c r="H470" t="n">
        <v>0</v>
      </c>
      <c r="I470" t="n">
        <v>0</v>
      </c>
      <c r="J470" t="n">
        <v>0</v>
      </c>
      <c r="K470" t="n">
        <v>0</v>
      </c>
      <c r="L470" t="n">
        <v>0</v>
      </c>
      <c r="M470" t="n">
        <v>0</v>
      </c>
      <c r="N470" t="n">
        <v>0</v>
      </c>
      <c r="O470" t="n">
        <v>0</v>
      </c>
      <c r="P470" t="n">
        <v>0</v>
      </c>
      <c r="Q470" t="n">
        <v>0</v>
      </c>
      <c r="R470" s="2" t="inlineStr"/>
    </row>
    <row r="471" ht="15" customHeight="1">
      <c r="A471" t="inlineStr">
        <is>
          <t>A 55524-2024</t>
        </is>
      </c>
      <c r="B471" s="1" t="n">
        <v>45622.47435185185</v>
      </c>
      <c r="C471" s="1" t="n">
        <v>45912</v>
      </c>
      <c r="D471" t="inlineStr">
        <is>
          <t>JÄMTLANDS LÄN</t>
        </is>
      </c>
      <c r="E471" t="inlineStr">
        <is>
          <t>RAGUNDA</t>
        </is>
      </c>
      <c r="G471" t="n">
        <v>1.4</v>
      </c>
      <c r="H471" t="n">
        <v>0</v>
      </c>
      <c r="I471" t="n">
        <v>0</v>
      </c>
      <c r="J471" t="n">
        <v>0</v>
      </c>
      <c r="K471" t="n">
        <v>0</v>
      </c>
      <c r="L471" t="n">
        <v>0</v>
      </c>
      <c r="M471" t="n">
        <v>0</v>
      </c>
      <c r="N471" t="n">
        <v>0</v>
      </c>
      <c r="O471" t="n">
        <v>0</v>
      </c>
      <c r="P471" t="n">
        <v>0</v>
      </c>
      <c r="Q471" t="n">
        <v>0</v>
      </c>
      <c r="R471" s="2" t="inlineStr"/>
    </row>
    <row r="472" ht="15" customHeight="1">
      <c r="A472" t="inlineStr">
        <is>
          <t>A 21432-2025</t>
        </is>
      </c>
      <c r="B472" s="1" t="n">
        <v>45782.51109953703</v>
      </c>
      <c r="C472" s="1" t="n">
        <v>45912</v>
      </c>
      <c r="D472" t="inlineStr">
        <is>
          <t>JÄMTLANDS LÄN</t>
        </is>
      </c>
      <c r="E472" t="inlineStr">
        <is>
          <t>RAGUNDA</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21331-2025</t>
        </is>
      </c>
      <c r="B473" s="1" t="n">
        <v>45782.36494212963</v>
      </c>
      <c r="C473" s="1" t="n">
        <v>45912</v>
      </c>
      <c r="D473" t="inlineStr">
        <is>
          <t>JÄMTLANDS LÄN</t>
        </is>
      </c>
      <c r="E473" t="inlineStr">
        <is>
          <t>RAGUNDA</t>
        </is>
      </c>
      <c r="F473" t="inlineStr">
        <is>
          <t>SCA</t>
        </is>
      </c>
      <c r="G473" t="n">
        <v>23.1</v>
      </c>
      <c r="H473" t="n">
        <v>0</v>
      </c>
      <c r="I473" t="n">
        <v>0</v>
      </c>
      <c r="J473" t="n">
        <v>0</v>
      </c>
      <c r="K473" t="n">
        <v>0</v>
      </c>
      <c r="L473" t="n">
        <v>0</v>
      </c>
      <c r="M473" t="n">
        <v>0</v>
      </c>
      <c r="N473" t="n">
        <v>0</v>
      </c>
      <c r="O473" t="n">
        <v>0</v>
      </c>
      <c r="P473" t="n">
        <v>0</v>
      </c>
      <c r="Q473" t="n">
        <v>0</v>
      </c>
      <c r="R473" s="2" t="inlineStr"/>
    </row>
    <row r="474" ht="15" customHeight="1">
      <c r="A474" t="inlineStr">
        <is>
          <t>A 25332-2023</t>
        </is>
      </c>
      <c r="B474" s="1" t="n">
        <v>45086.94010416666</v>
      </c>
      <c r="C474" s="1" t="n">
        <v>45912</v>
      </c>
      <c r="D474" t="inlineStr">
        <is>
          <t>JÄMTLANDS LÄN</t>
        </is>
      </c>
      <c r="E474" t="inlineStr">
        <is>
          <t>RAGUNDA</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29920-2024</t>
        </is>
      </c>
      <c r="B475" s="1" t="n">
        <v>45487.92856481481</v>
      </c>
      <c r="C475" s="1" t="n">
        <v>45912</v>
      </c>
      <c r="D475" t="inlineStr">
        <is>
          <t>JÄMTLANDS LÄN</t>
        </is>
      </c>
      <c r="E475" t="inlineStr">
        <is>
          <t>RAGUNDA</t>
        </is>
      </c>
      <c r="G475" t="n">
        <v>3.4</v>
      </c>
      <c r="H475" t="n">
        <v>0</v>
      </c>
      <c r="I475" t="n">
        <v>0</v>
      </c>
      <c r="J475" t="n">
        <v>0</v>
      </c>
      <c r="K475" t="n">
        <v>0</v>
      </c>
      <c r="L475" t="n">
        <v>0</v>
      </c>
      <c r="M475" t="n">
        <v>0</v>
      </c>
      <c r="N475" t="n">
        <v>0</v>
      </c>
      <c r="O475" t="n">
        <v>0</v>
      </c>
      <c r="P475" t="n">
        <v>0</v>
      </c>
      <c r="Q475" t="n">
        <v>0</v>
      </c>
      <c r="R475" s="2" t="inlineStr"/>
    </row>
    <row r="476" ht="15" customHeight="1">
      <c r="A476" t="inlineStr">
        <is>
          <t>A 21550-2025</t>
        </is>
      </c>
      <c r="B476" s="1" t="n">
        <v>45782.67758101852</v>
      </c>
      <c r="C476" s="1" t="n">
        <v>45912</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3767-2025</t>
        </is>
      </c>
      <c r="B477" s="1" t="n">
        <v>45681.60203703704</v>
      </c>
      <c r="C477" s="1" t="n">
        <v>45912</v>
      </c>
      <c r="D477" t="inlineStr">
        <is>
          <t>JÄMTLANDS LÄN</t>
        </is>
      </c>
      <c r="E477" t="inlineStr">
        <is>
          <t>RAGUNDA</t>
        </is>
      </c>
      <c r="G477" t="n">
        <v>4.9</v>
      </c>
      <c r="H477" t="n">
        <v>0</v>
      </c>
      <c r="I477" t="n">
        <v>0</v>
      </c>
      <c r="J477" t="n">
        <v>0</v>
      </c>
      <c r="K477" t="n">
        <v>0</v>
      </c>
      <c r="L477" t="n">
        <v>0</v>
      </c>
      <c r="M477" t="n">
        <v>0</v>
      </c>
      <c r="N477" t="n">
        <v>0</v>
      </c>
      <c r="O477" t="n">
        <v>0</v>
      </c>
      <c r="P477" t="n">
        <v>0</v>
      </c>
      <c r="Q477" t="n">
        <v>0</v>
      </c>
      <c r="R477" s="2" t="inlineStr"/>
    </row>
    <row r="478" ht="15" customHeight="1">
      <c r="A478" t="inlineStr">
        <is>
          <t>A 7280-2024</t>
        </is>
      </c>
      <c r="B478" s="1" t="n">
        <v>45344</v>
      </c>
      <c r="C478" s="1" t="n">
        <v>45912</v>
      </c>
      <c r="D478" t="inlineStr">
        <is>
          <t>JÄMTLANDS LÄN</t>
        </is>
      </c>
      <c r="E478" t="inlineStr">
        <is>
          <t>RAGUNDA</t>
        </is>
      </c>
      <c r="G478" t="n">
        <v>1.6</v>
      </c>
      <c r="H478" t="n">
        <v>0</v>
      </c>
      <c r="I478" t="n">
        <v>0</v>
      </c>
      <c r="J478" t="n">
        <v>0</v>
      </c>
      <c r="K478" t="n">
        <v>0</v>
      </c>
      <c r="L478" t="n">
        <v>0</v>
      </c>
      <c r="M478" t="n">
        <v>0</v>
      </c>
      <c r="N478" t="n">
        <v>0</v>
      </c>
      <c r="O478" t="n">
        <v>0</v>
      </c>
      <c r="P478" t="n">
        <v>0</v>
      </c>
      <c r="Q478" t="n">
        <v>0</v>
      </c>
      <c r="R478" s="2" t="inlineStr"/>
    </row>
    <row r="479" ht="15" customHeight="1">
      <c r="A479" t="inlineStr">
        <is>
          <t>A 44778-2024</t>
        </is>
      </c>
      <c r="B479" s="1" t="n">
        <v>45574.63355324074</v>
      </c>
      <c r="C479" s="1" t="n">
        <v>45912</v>
      </c>
      <c r="D479" t="inlineStr">
        <is>
          <t>JÄMTLANDS LÄN</t>
        </is>
      </c>
      <c r="E479" t="inlineStr">
        <is>
          <t>RAGUNDA</t>
        </is>
      </c>
      <c r="G479" t="n">
        <v>5.5</v>
      </c>
      <c r="H479" t="n">
        <v>0</v>
      </c>
      <c r="I479" t="n">
        <v>0</v>
      </c>
      <c r="J479" t="n">
        <v>0</v>
      </c>
      <c r="K479" t="n">
        <v>0</v>
      </c>
      <c r="L479" t="n">
        <v>0</v>
      </c>
      <c r="M479" t="n">
        <v>0</v>
      </c>
      <c r="N479" t="n">
        <v>0</v>
      </c>
      <c r="O479" t="n">
        <v>0</v>
      </c>
      <c r="P479" t="n">
        <v>0</v>
      </c>
      <c r="Q479" t="n">
        <v>0</v>
      </c>
      <c r="R479" s="2" t="inlineStr"/>
    </row>
    <row r="480" ht="15" customHeight="1">
      <c r="A480" t="inlineStr">
        <is>
          <t>A 18610-2024</t>
        </is>
      </c>
      <c r="B480" s="1" t="n">
        <v>45425.96230324074</v>
      </c>
      <c r="C480" s="1" t="n">
        <v>45912</v>
      </c>
      <c r="D480" t="inlineStr">
        <is>
          <t>JÄMTLANDS LÄN</t>
        </is>
      </c>
      <c r="E480" t="inlineStr">
        <is>
          <t>RAGUNDA</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2673-2024</t>
        </is>
      </c>
      <c r="B481" s="1" t="n">
        <v>45314</v>
      </c>
      <c r="C481" s="1" t="n">
        <v>45912</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57116-2024</t>
        </is>
      </c>
      <c r="B482" s="1" t="n">
        <v>45629.36513888889</v>
      </c>
      <c r="C482" s="1" t="n">
        <v>45912</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64492-2023</t>
        </is>
      </c>
      <c r="B483" s="1" t="n">
        <v>45280.92645833334</v>
      </c>
      <c r="C483" s="1" t="n">
        <v>45912</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3104-2025</t>
        </is>
      </c>
      <c r="B484" s="1" t="n">
        <v>45678.67761574074</v>
      </c>
      <c r="C484" s="1" t="n">
        <v>45912</v>
      </c>
      <c r="D484" t="inlineStr">
        <is>
          <t>JÄMTLANDS LÄN</t>
        </is>
      </c>
      <c r="E484" t="inlineStr">
        <is>
          <t>RAGUNDA</t>
        </is>
      </c>
      <c r="F484" t="inlineStr">
        <is>
          <t>SCA</t>
        </is>
      </c>
      <c r="G484" t="n">
        <v>46.2</v>
      </c>
      <c r="H484" t="n">
        <v>0</v>
      </c>
      <c r="I484" t="n">
        <v>0</v>
      </c>
      <c r="J484" t="n">
        <v>0</v>
      </c>
      <c r="K484" t="n">
        <v>0</v>
      </c>
      <c r="L484" t="n">
        <v>0</v>
      </c>
      <c r="M484" t="n">
        <v>0</v>
      </c>
      <c r="N484" t="n">
        <v>0</v>
      </c>
      <c r="O484" t="n">
        <v>0</v>
      </c>
      <c r="P484" t="n">
        <v>0</v>
      </c>
      <c r="Q484" t="n">
        <v>0</v>
      </c>
      <c r="R484" s="2" t="inlineStr"/>
    </row>
    <row r="485" ht="15" customHeight="1">
      <c r="A485" t="inlineStr">
        <is>
          <t>A 20088-2023</t>
        </is>
      </c>
      <c r="B485" s="1" t="n">
        <v>45054</v>
      </c>
      <c r="C485" s="1" t="n">
        <v>45912</v>
      </c>
      <c r="D485" t="inlineStr">
        <is>
          <t>JÄMTLANDS LÄN</t>
        </is>
      </c>
      <c r="E485" t="inlineStr">
        <is>
          <t>RAGUNDA</t>
        </is>
      </c>
      <c r="F485" t="inlineStr">
        <is>
          <t>SCA</t>
        </is>
      </c>
      <c r="G485" t="n">
        <v>23.4</v>
      </c>
      <c r="H485" t="n">
        <v>0</v>
      </c>
      <c r="I485" t="n">
        <v>0</v>
      </c>
      <c r="J485" t="n">
        <v>0</v>
      </c>
      <c r="K485" t="n">
        <v>0</v>
      </c>
      <c r="L485" t="n">
        <v>0</v>
      </c>
      <c r="M485" t="n">
        <v>0</v>
      </c>
      <c r="N485" t="n">
        <v>0</v>
      </c>
      <c r="O485" t="n">
        <v>0</v>
      </c>
      <c r="P485" t="n">
        <v>0</v>
      </c>
      <c r="Q485" t="n">
        <v>0</v>
      </c>
      <c r="R485" s="2" t="inlineStr"/>
    </row>
    <row r="486" ht="15" customHeight="1">
      <c r="A486" t="inlineStr">
        <is>
          <t>A 14368-2024</t>
        </is>
      </c>
      <c r="B486" s="1" t="n">
        <v>45393.94431712963</v>
      </c>
      <c r="C486" s="1" t="n">
        <v>45912</v>
      </c>
      <c r="D486" t="inlineStr">
        <is>
          <t>JÄMTLANDS LÄN</t>
        </is>
      </c>
      <c r="E486" t="inlineStr">
        <is>
          <t>RAGUNDA</t>
        </is>
      </c>
      <c r="F486" t="inlineStr">
        <is>
          <t>Naturvårdsverket</t>
        </is>
      </c>
      <c r="G486" t="n">
        <v>1.6</v>
      </c>
      <c r="H486" t="n">
        <v>0</v>
      </c>
      <c r="I486" t="n">
        <v>0</v>
      </c>
      <c r="J486" t="n">
        <v>0</v>
      </c>
      <c r="K486" t="n">
        <v>0</v>
      </c>
      <c r="L486" t="n">
        <v>0</v>
      </c>
      <c r="M486" t="n">
        <v>0</v>
      </c>
      <c r="N486" t="n">
        <v>0</v>
      </c>
      <c r="O486" t="n">
        <v>0</v>
      </c>
      <c r="P486" t="n">
        <v>0</v>
      </c>
      <c r="Q486" t="n">
        <v>0</v>
      </c>
      <c r="R486" s="2" t="inlineStr"/>
    </row>
    <row r="487" ht="15" customHeight="1">
      <c r="A487" t="inlineStr">
        <is>
          <t>A 19438-2023</t>
        </is>
      </c>
      <c r="B487" s="1" t="n">
        <v>45049</v>
      </c>
      <c r="C487" s="1" t="n">
        <v>45912</v>
      </c>
      <c r="D487" t="inlineStr">
        <is>
          <t>JÄMTLANDS LÄN</t>
        </is>
      </c>
      <c r="E487" t="inlineStr">
        <is>
          <t>RAGUNDA</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40246-2024</t>
        </is>
      </c>
      <c r="B488" s="1" t="n">
        <v>45554.61583333334</v>
      </c>
      <c r="C488" s="1" t="n">
        <v>45912</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4878-2022</t>
        </is>
      </c>
      <c r="B489" s="1" t="n">
        <v>44593</v>
      </c>
      <c r="C489" s="1" t="n">
        <v>45912</v>
      </c>
      <c r="D489" t="inlineStr">
        <is>
          <t>JÄMTLANDS LÄN</t>
        </is>
      </c>
      <c r="E489" t="inlineStr">
        <is>
          <t>RAGUNDA</t>
        </is>
      </c>
      <c r="G489" t="n">
        <v>21.7</v>
      </c>
      <c r="H489" t="n">
        <v>0</v>
      </c>
      <c r="I489" t="n">
        <v>0</v>
      </c>
      <c r="J489" t="n">
        <v>0</v>
      </c>
      <c r="K489" t="n">
        <v>0</v>
      </c>
      <c r="L489" t="n">
        <v>0</v>
      </c>
      <c r="M489" t="n">
        <v>0</v>
      </c>
      <c r="N489" t="n">
        <v>0</v>
      </c>
      <c r="O489" t="n">
        <v>0</v>
      </c>
      <c r="P489" t="n">
        <v>0</v>
      </c>
      <c r="Q489" t="n">
        <v>0</v>
      </c>
      <c r="R489" s="2" t="inlineStr"/>
    </row>
    <row r="490" ht="15" customHeight="1">
      <c r="A490" t="inlineStr">
        <is>
          <t>A 57237-2022</t>
        </is>
      </c>
      <c r="B490" s="1" t="n">
        <v>44889</v>
      </c>
      <c r="C490" s="1" t="n">
        <v>45912</v>
      </c>
      <c r="D490" t="inlineStr">
        <is>
          <t>JÄMTLANDS LÄN</t>
        </is>
      </c>
      <c r="E490" t="inlineStr">
        <is>
          <t>RAGUNDA</t>
        </is>
      </c>
      <c r="G490" t="n">
        <v>2.2</v>
      </c>
      <c r="H490" t="n">
        <v>0</v>
      </c>
      <c r="I490" t="n">
        <v>0</v>
      </c>
      <c r="J490" t="n">
        <v>0</v>
      </c>
      <c r="K490" t="n">
        <v>0</v>
      </c>
      <c r="L490" t="n">
        <v>0</v>
      </c>
      <c r="M490" t="n">
        <v>0</v>
      </c>
      <c r="N490" t="n">
        <v>0</v>
      </c>
      <c r="O490" t="n">
        <v>0</v>
      </c>
      <c r="P490" t="n">
        <v>0</v>
      </c>
      <c r="Q490" t="n">
        <v>0</v>
      </c>
      <c r="R490" s="2" t="inlineStr"/>
    </row>
    <row r="491" ht="15" customHeight="1">
      <c r="A491" t="inlineStr">
        <is>
          <t>A 12783-2023</t>
        </is>
      </c>
      <c r="B491" s="1" t="n">
        <v>45000</v>
      </c>
      <c r="C491" s="1" t="n">
        <v>45912</v>
      </c>
      <c r="D491" t="inlineStr">
        <is>
          <t>JÄMTLANDS LÄN</t>
        </is>
      </c>
      <c r="E491" t="inlineStr">
        <is>
          <t>RAGUNDA</t>
        </is>
      </c>
      <c r="G491" t="n">
        <v>0.9</v>
      </c>
      <c r="H491" t="n">
        <v>0</v>
      </c>
      <c r="I491" t="n">
        <v>0</v>
      </c>
      <c r="J491" t="n">
        <v>0</v>
      </c>
      <c r="K491" t="n">
        <v>0</v>
      </c>
      <c r="L491" t="n">
        <v>0</v>
      </c>
      <c r="M491" t="n">
        <v>0</v>
      </c>
      <c r="N491" t="n">
        <v>0</v>
      </c>
      <c r="O491" t="n">
        <v>0</v>
      </c>
      <c r="P491" t="n">
        <v>0</v>
      </c>
      <c r="Q491" t="n">
        <v>0</v>
      </c>
      <c r="R491" s="2" t="inlineStr"/>
    </row>
    <row r="492" ht="15" customHeight="1">
      <c r="A492" t="inlineStr">
        <is>
          <t>A 53171-2024</t>
        </is>
      </c>
      <c r="B492" s="1" t="n">
        <v>45611.65679398148</v>
      </c>
      <c r="C492" s="1" t="n">
        <v>45912</v>
      </c>
      <c r="D492" t="inlineStr">
        <is>
          <t>JÄMTLANDS LÄN</t>
        </is>
      </c>
      <c r="E492" t="inlineStr">
        <is>
          <t>RAGUNDA</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7279-2024</t>
        </is>
      </c>
      <c r="B493" s="1" t="n">
        <v>45344.92822916667</v>
      </c>
      <c r="C493" s="1" t="n">
        <v>45912</v>
      </c>
      <c r="D493" t="inlineStr">
        <is>
          <t>JÄMTLANDS LÄN</t>
        </is>
      </c>
      <c r="E493" t="inlineStr">
        <is>
          <t>RAGUNDA</t>
        </is>
      </c>
      <c r="G493" t="n">
        <v>2.1</v>
      </c>
      <c r="H493" t="n">
        <v>0</v>
      </c>
      <c r="I493" t="n">
        <v>0</v>
      </c>
      <c r="J493" t="n">
        <v>0</v>
      </c>
      <c r="K493" t="n">
        <v>0</v>
      </c>
      <c r="L493" t="n">
        <v>0</v>
      </c>
      <c r="M493" t="n">
        <v>0</v>
      </c>
      <c r="N493" t="n">
        <v>0</v>
      </c>
      <c r="O493" t="n">
        <v>0</v>
      </c>
      <c r="P493" t="n">
        <v>0</v>
      </c>
      <c r="Q493" t="n">
        <v>0</v>
      </c>
      <c r="R493" s="2" t="inlineStr"/>
    </row>
    <row r="494" ht="15" customHeight="1">
      <c r="A494" t="inlineStr">
        <is>
          <t>A 2133-2023</t>
        </is>
      </c>
      <c r="B494" s="1" t="n">
        <v>44939</v>
      </c>
      <c r="C494" s="1" t="n">
        <v>45912</v>
      </c>
      <c r="D494" t="inlineStr">
        <is>
          <t>JÄMTLANDS LÄN</t>
        </is>
      </c>
      <c r="E494" t="inlineStr">
        <is>
          <t>RAGUNDA</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19419-2024</t>
        </is>
      </c>
      <c r="B495" s="1" t="n">
        <v>45429</v>
      </c>
      <c r="C495" s="1" t="n">
        <v>45912</v>
      </c>
      <c r="D495" t="inlineStr">
        <is>
          <t>JÄMTLANDS LÄN</t>
        </is>
      </c>
      <c r="E495" t="inlineStr">
        <is>
          <t>RAGUNDA</t>
        </is>
      </c>
      <c r="G495" t="n">
        <v>3.5</v>
      </c>
      <c r="H495" t="n">
        <v>0</v>
      </c>
      <c r="I495" t="n">
        <v>0</v>
      </c>
      <c r="J495" t="n">
        <v>0</v>
      </c>
      <c r="K495" t="n">
        <v>0</v>
      </c>
      <c r="L495" t="n">
        <v>0</v>
      </c>
      <c r="M495" t="n">
        <v>0</v>
      </c>
      <c r="N495" t="n">
        <v>0</v>
      </c>
      <c r="O495" t="n">
        <v>0</v>
      </c>
      <c r="P495" t="n">
        <v>0</v>
      </c>
      <c r="Q495" t="n">
        <v>0</v>
      </c>
      <c r="R495" s="2" t="inlineStr"/>
    </row>
    <row r="496" ht="15" customHeight="1">
      <c r="A496" t="inlineStr">
        <is>
          <t>A 54599-2023</t>
        </is>
      </c>
      <c r="B496" s="1" t="n">
        <v>45233.92591435185</v>
      </c>
      <c r="C496" s="1" t="n">
        <v>45912</v>
      </c>
      <c r="D496" t="inlineStr">
        <is>
          <t>JÄMTLANDS LÄN</t>
        </is>
      </c>
      <c r="E496" t="inlineStr">
        <is>
          <t>RAGUNDA</t>
        </is>
      </c>
      <c r="G496" t="n">
        <v>3.7</v>
      </c>
      <c r="H496" t="n">
        <v>0</v>
      </c>
      <c r="I496" t="n">
        <v>0</v>
      </c>
      <c r="J496" t="n">
        <v>0</v>
      </c>
      <c r="K496" t="n">
        <v>0</v>
      </c>
      <c r="L496" t="n">
        <v>0</v>
      </c>
      <c r="M496" t="n">
        <v>0</v>
      </c>
      <c r="N496" t="n">
        <v>0</v>
      </c>
      <c r="O496" t="n">
        <v>0</v>
      </c>
      <c r="P496" t="n">
        <v>0</v>
      </c>
      <c r="Q496" t="n">
        <v>0</v>
      </c>
      <c r="R496" s="2" t="inlineStr"/>
    </row>
    <row r="497" ht="15" customHeight="1">
      <c r="A497" t="inlineStr">
        <is>
          <t>A 57889-2024</t>
        </is>
      </c>
      <c r="B497" s="1" t="n">
        <v>45631.46665509259</v>
      </c>
      <c r="C497" s="1" t="n">
        <v>45912</v>
      </c>
      <c r="D497" t="inlineStr">
        <is>
          <t>JÄMTLANDS LÄN</t>
        </is>
      </c>
      <c r="E497" t="inlineStr">
        <is>
          <t>RAGUNDA</t>
        </is>
      </c>
      <c r="G497" t="n">
        <v>11.1</v>
      </c>
      <c r="H497" t="n">
        <v>0</v>
      </c>
      <c r="I497" t="n">
        <v>0</v>
      </c>
      <c r="J497" t="n">
        <v>0</v>
      </c>
      <c r="K497" t="n">
        <v>0</v>
      </c>
      <c r="L497" t="n">
        <v>0</v>
      </c>
      <c r="M497" t="n">
        <v>0</v>
      </c>
      <c r="N497" t="n">
        <v>0</v>
      </c>
      <c r="O497" t="n">
        <v>0</v>
      </c>
      <c r="P497" t="n">
        <v>0</v>
      </c>
      <c r="Q497" t="n">
        <v>0</v>
      </c>
      <c r="R497" s="2" t="inlineStr"/>
    </row>
    <row r="498" ht="15" customHeight="1">
      <c r="A498" t="inlineStr">
        <is>
          <t>A 12660-2024</t>
        </is>
      </c>
      <c r="B498" s="1" t="n">
        <v>45384</v>
      </c>
      <c r="C498" s="1" t="n">
        <v>45912</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19383-2025</t>
        </is>
      </c>
      <c r="B499" s="1" t="n">
        <v>45769.65688657408</v>
      </c>
      <c r="C499" s="1" t="n">
        <v>45912</v>
      </c>
      <c r="D499" t="inlineStr">
        <is>
          <t>JÄMTLANDS LÄN</t>
        </is>
      </c>
      <c r="E499" t="inlineStr">
        <is>
          <t>RAGUNDA</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55649-2023</t>
        </is>
      </c>
      <c r="B500" s="1" t="n">
        <v>45238</v>
      </c>
      <c r="C500" s="1" t="n">
        <v>45912</v>
      </c>
      <c r="D500" t="inlineStr">
        <is>
          <t>JÄMTLANDS LÄN</t>
        </is>
      </c>
      <c r="E500" t="inlineStr">
        <is>
          <t>RAGUNDA</t>
        </is>
      </c>
      <c r="F500" t="inlineStr">
        <is>
          <t>SCA</t>
        </is>
      </c>
      <c r="G500" t="n">
        <v>6</v>
      </c>
      <c r="H500" t="n">
        <v>0</v>
      </c>
      <c r="I500" t="n">
        <v>0</v>
      </c>
      <c r="J500" t="n">
        <v>0</v>
      </c>
      <c r="K500" t="n">
        <v>0</v>
      </c>
      <c r="L500" t="n">
        <v>0</v>
      </c>
      <c r="M500" t="n">
        <v>0</v>
      </c>
      <c r="N500" t="n">
        <v>0</v>
      </c>
      <c r="O500" t="n">
        <v>0</v>
      </c>
      <c r="P500" t="n">
        <v>0</v>
      </c>
      <c r="Q500" t="n">
        <v>0</v>
      </c>
      <c r="R500" s="2" t="inlineStr"/>
    </row>
    <row r="501" ht="15" customHeight="1">
      <c r="A501" t="inlineStr">
        <is>
          <t>A 49229-2024</t>
        </is>
      </c>
      <c r="B501" s="1" t="n">
        <v>45595.42738425926</v>
      </c>
      <c r="C501" s="1" t="n">
        <v>45912</v>
      </c>
      <c r="D501" t="inlineStr">
        <is>
          <t>JÄMTLANDS LÄN</t>
        </is>
      </c>
      <c r="E501" t="inlineStr">
        <is>
          <t>RAGUNDA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13700-2023</t>
        </is>
      </c>
      <c r="B502" s="1" t="n">
        <v>45006</v>
      </c>
      <c r="C502" s="1" t="n">
        <v>45912</v>
      </c>
      <c r="D502" t="inlineStr">
        <is>
          <t>JÄMTLANDS LÄN</t>
        </is>
      </c>
      <c r="E502" t="inlineStr">
        <is>
          <t>RAGUNDA</t>
        </is>
      </c>
      <c r="F502" t="inlineStr">
        <is>
          <t>SCA</t>
        </is>
      </c>
      <c r="G502" t="n">
        <v>50.3</v>
      </c>
      <c r="H502" t="n">
        <v>0</v>
      </c>
      <c r="I502" t="n">
        <v>0</v>
      </c>
      <c r="J502" t="n">
        <v>0</v>
      </c>
      <c r="K502" t="n">
        <v>0</v>
      </c>
      <c r="L502" t="n">
        <v>0</v>
      </c>
      <c r="M502" t="n">
        <v>0</v>
      </c>
      <c r="N502" t="n">
        <v>0</v>
      </c>
      <c r="O502" t="n">
        <v>0</v>
      </c>
      <c r="P502" t="n">
        <v>0</v>
      </c>
      <c r="Q502" t="n">
        <v>0</v>
      </c>
      <c r="R502" s="2" t="inlineStr"/>
    </row>
    <row r="503" ht="15" customHeight="1">
      <c r="A503" t="inlineStr">
        <is>
          <t>A 51389-2024</t>
        </is>
      </c>
      <c r="B503" s="1" t="n">
        <v>45604.40540509259</v>
      </c>
      <c r="C503" s="1" t="n">
        <v>45912</v>
      </c>
      <c r="D503" t="inlineStr">
        <is>
          <t>JÄMTLANDS LÄN</t>
        </is>
      </c>
      <c r="E503" t="inlineStr">
        <is>
          <t>RAGUNDA</t>
        </is>
      </c>
      <c r="G503" t="n">
        <v>1.7</v>
      </c>
      <c r="H503" t="n">
        <v>0</v>
      </c>
      <c r="I503" t="n">
        <v>0</v>
      </c>
      <c r="J503" t="n">
        <v>0</v>
      </c>
      <c r="K503" t="n">
        <v>0</v>
      </c>
      <c r="L503" t="n">
        <v>0</v>
      </c>
      <c r="M503" t="n">
        <v>0</v>
      </c>
      <c r="N503" t="n">
        <v>0</v>
      </c>
      <c r="O503" t="n">
        <v>0</v>
      </c>
      <c r="P503" t="n">
        <v>0</v>
      </c>
      <c r="Q503" t="n">
        <v>0</v>
      </c>
      <c r="R503" s="2" t="inlineStr"/>
    </row>
    <row r="504" ht="15" customHeight="1">
      <c r="A504" t="inlineStr">
        <is>
          <t>A 51393-2024</t>
        </is>
      </c>
      <c r="B504" s="1" t="n">
        <v>45604.41625</v>
      </c>
      <c r="C504" s="1" t="n">
        <v>45912</v>
      </c>
      <c r="D504" t="inlineStr">
        <is>
          <t>JÄMTLANDS LÄN</t>
        </is>
      </c>
      <c r="E504" t="inlineStr">
        <is>
          <t>RAGUNDA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60629-2023</t>
        </is>
      </c>
      <c r="B505" s="1" t="n">
        <v>45259</v>
      </c>
      <c r="C505" s="1" t="n">
        <v>45912</v>
      </c>
      <c r="D505" t="inlineStr">
        <is>
          <t>JÄMTLANDS LÄN</t>
        </is>
      </c>
      <c r="E505" t="inlineStr">
        <is>
          <t>RAGUNDA</t>
        </is>
      </c>
      <c r="G505" t="n">
        <v>3.4</v>
      </c>
      <c r="H505" t="n">
        <v>0</v>
      </c>
      <c r="I505" t="n">
        <v>0</v>
      </c>
      <c r="J505" t="n">
        <v>0</v>
      </c>
      <c r="K505" t="n">
        <v>0</v>
      </c>
      <c r="L505" t="n">
        <v>0</v>
      </c>
      <c r="M505" t="n">
        <v>0</v>
      </c>
      <c r="N505" t="n">
        <v>0</v>
      </c>
      <c r="O505" t="n">
        <v>0</v>
      </c>
      <c r="P505" t="n">
        <v>0</v>
      </c>
      <c r="Q505" t="n">
        <v>0</v>
      </c>
      <c r="R505" s="2" t="inlineStr"/>
    </row>
    <row r="506" ht="15" customHeight="1">
      <c r="A506" t="inlineStr">
        <is>
          <t>A 44066-2024</t>
        </is>
      </c>
      <c r="B506" s="1" t="n">
        <v>45572.60363425926</v>
      </c>
      <c r="C506" s="1" t="n">
        <v>45912</v>
      </c>
      <c r="D506" t="inlineStr">
        <is>
          <t>JÄMTLANDS LÄN</t>
        </is>
      </c>
      <c r="E506" t="inlineStr">
        <is>
          <t>RAGUNDA</t>
        </is>
      </c>
      <c r="G506" t="n">
        <v>6.4</v>
      </c>
      <c r="H506" t="n">
        <v>0</v>
      </c>
      <c r="I506" t="n">
        <v>0</v>
      </c>
      <c r="J506" t="n">
        <v>0</v>
      </c>
      <c r="K506" t="n">
        <v>0</v>
      </c>
      <c r="L506" t="n">
        <v>0</v>
      </c>
      <c r="M506" t="n">
        <v>0</v>
      </c>
      <c r="N506" t="n">
        <v>0</v>
      </c>
      <c r="O506" t="n">
        <v>0</v>
      </c>
      <c r="P506" t="n">
        <v>0</v>
      </c>
      <c r="Q506" t="n">
        <v>0</v>
      </c>
      <c r="R506" s="2" t="inlineStr"/>
    </row>
    <row r="507" ht="15" customHeight="1">
      <c r="A507" t="inlineStr">
        <is>
          <t>A 52345-2024</t>
        </is>
      </c>
      <c r="B507" s="1" t="n">
        <v>45609.34412037037</v>
      </c>
      <c r="C507" s="1" t="n">
        <v>45912</v>
      </c>
      <c r="D507" t="inlineStr">
        <is>
          <t>JÄMTLANDS LÄN</t>
        </is>
      </c>
      <c r="E507" t="inlineStr">
        <is>
          <t>RAGUNDA</t>
        </is>
      </c>
      <c r="F507" t="inlineStr">
        <is>
          <t>SCA</t>
        </is>
      </c>
      <c r="G507" t="n">
        <v>10.3</v>
      </c>
      <c r="H507" t="n">
        <v>0</v>
      </c>
      <c r="I507" t="n">
        <v>0</v>
      </c>
      <c r="J507" t="n">
        <v>0</v>
      </c>
      <c r="K507" t="n">
        <v>0</v>
      </c>
      <c r="L507" t="n">
        <v>0</v>
      </c>
      <c r="M507" t="n">
        <v>0</v>
      </c>
      <c r="N507" t="n">
        <v>0</v>
      </c>
      <c r="O507" t="n">
        <v>0</v>
      </c>
      <c r="P507" t="n">
        <v>0</v>
      </c>
      <c r="Q507" t="n">
        <v>0</v>
      </c>
      <c r="R507" s="2" t="inlineStr"/>
    </row>
    <row r="508" ht="15" customHeight="1">
      <c r="A508" t="inlineStr">
        <is>
          <t>A 12521-2023</t>
        </is>
      </c>
      <c r="B508" s="1" t="n">
        <v>45000</v>
      </c>
      <c r="C508" s="1" t="n">
        <v>45912</v>
      </c>
      <c r="D508" t="inlineStr">
        <is>
          <t>JÄMTLANDS LÄN</t>
        </is>
      </c>
      <c r="E508" t="inlineStr">
        <is>
          <t>RAGUNDA</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20987-2023</t>
        </is>
      </c>
      <c r="B509" s="1" t="n">
        <v>45056</v>
      </c>
      <c r="C509" s="1" t="n">
        <v>45912</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20994-2023</t>
        </is>
      </c>
      <c r="B510" s="1" t="n">
        <v>45056</v>
      </c>
      <c r="C510" s="1" t="n">
        <v>45912</v>
      </c>
      <c r="D510" t="inlineStr">
        <is>
          <t>JÄMTLANDS LÄN</t>
        </is>
      </c>
      <c r="E510" t="inlineStr">
        <is>
          <t>RAGUNDA</t>
        </is>
      </c>
      <c r="G510" t="n">
        <v>1.3</v>
      </c>
      <c r="H510" t="n">
        <v>0</v>
      </c>
      <c r="I510" t="n">
        <v>0</v>
      </c>
      <c r="J510" t="n">
        <v>0</v>
      </c>
      <c r="K510" t="n">
        <v>0</v>
      </c>
      <c r="L510" t="n">
        <v>0</v>
      </c>
      <c r="M510" t="n">
        <v>0</v>
      </c>
      <c r="N510" t="n">
        <v>0</v>
      </c>
      <c r="O510" t="n">
        <v>0</v>
      </c>
      <c r="P510" t="n">
        <v>0</v>
      </c>
      <c r="Q510" t="n">
        <v>0</v>
      </c>
      <c r="R510" s="2" t="inlineStr"/>
    </row>
    <row r="511" ht="15" customHeight="1">
      <c r="A511" t="inlineStr">
        <is>
          <t>A 55669-2023</t>
        </is>
      </c>
      <c r="B511" s="1" t="n">
        <v>45238.96797453704</v>
      </c>
      <c r="C511" s="1" t="n">
        <v>45912</v>
      </c>
      <c r="D511" t="inlineStr">
        <is>
          <t>JÄMTLANDS LÄN</t>
        </is>
      </c>
      <c r="E511" t="inlineStr">
        <is>
          <t>RAGUNDA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32063-2024</t>
        </is>
      </c>
      <c r="B512" s="1" t="n">
        <v>45510</v>
      </c>
      <c r="C512" s="1" t="n">
        <v>45912</v>
      </c>
      <c r="D512" t="inlineStr">
        <is>
          <t>JÄMTLANDS LÄN</t>
        </is>
      </c>
      <c r="E512" t="inlineStr">
        <is>
          <t>RAGUNDA</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10641-2024</t>
        </is>
      </c>
      <c r="B513" s="1" t="n">
        <v>45367.69850694444</v>
      </c>
      <c r="C513" s="1" t="n">
        <v>45912</v>
      </c>
      <c r="D513" t="inlineStr">
        <is>
          <t>JÄMTLANDS LÄN</t>
        </is>
      </c>
      <c r="E513" t="inlineStr">
        <is>
          <t>RAGUNDA</t>
        </is>
      </c>
      <c r="G513" t="n">
        <v>0.9</v>
      </c>
      <c r="H513" t="n">
        <v>0</v>
      </c>
      <c r="I513" t="n">
        <v>0</v>
      </c>
      <c r="J513" t="n">
        <v>0</v>
      </c>
      <c r="K513" t="n">
        <v>0</v>
      </c>
      <c r="L513" t="n">
        <v>0</v>
      </c>
      <c r="M513" t="n">
        <v>0</v>
      </c>
      <c r="N513" t="n">
        <v>0</v>
      </c>
      <c r="O513" t="n">
        <v>0</v>
      </c>
      <c r="P513" t="n">
        <v>0</v>
      </c>
      <c r="Q513" t="n">
        <v>0</v>
      </c>
      <c r="R513" s="2" t="inlineStr"/>
    </row>
    <row r="514" ht="15" customHeight="1">
      <c r="A514" t="inlineStr">
        <is>
          <t>A 10644-2024</t>
        </is>
      </c>
      <c r="B514" s="1" t="n">
        <v>45367.71348379629</v>
      </c>
      <c r="C514" s="1" t="n">
        <v>45912</v>
      </c>
      <c r="D514" t="inlineStr">
        <is>
          <t>JÄMTLANDS LÄN</t>
        </is>
      </c>
      <c r="E514" t="inlineStr">
        <is>
          <t>RAGUNDA</t>
        </is>
      </c>
      <c r="G514" t="n">
        <v>2</v>
      </c>
      <c r="H514" t="n">
        <v>0</v>
      </c>
      <c r="I514" t="n">
        <v>0</v>
      </c>
      <c r="J514" t="n">
        <v>0</v>
      </c>
      <c r="K514" t="n">
        <v>0</v>
      </c>
      <c r="L514" t="n">
        <v>0</v>
      </c>
      <c r="M514" t="n">
        <v>0</v>
      </c>
      <c r="N514" t="n">
        <v>0</v>
      </c>
      <c r="O514" t="n">
        <v>0</v>
      </c>
      <c r="P514" t="n">
        <v>0</v>
      </c>
      <c r="Q514" t="n">
        <v>0</v>
      </c>
      <c r="R514" s="2" t="inlineStr"/>
    </row>
    <row r="515" ht="15" customHeight="1">
      <c r="A515" t="inlineStr">
        <is>
          <t>A 20426-2024</t>
        </is>
      </c>
      <c r="B515" s="1" t="n">
        <v>45435</v>
      </c>
      <c r="C515" s="1" t="n">
        <v>45912</v>
      </c>
      <c r="D515" t="inlineStr">
        <is>
          <t>JÄMTLANDS LÄN</t>
        </is>
      </c>
      <c r="E515" t="inlineStr">
        <is>
          <t>RAGUNDA</t>
        </is>
      </c>
      <c r="G515" t="n">
        <v>2.1</v>
      </c>
      <c r="H515" t="n">
        <v>0</v>
      </c>
      <c r="I515" t="n">
        <v>0</v>
      </c>
      <c r="J515" t="n">
        <v>0</v>
      </c>
      <c r="K515" t="n">
        <v>0</v>
      </c>
      <c r="L515" t="n">
        <v>0</v>
      </c>
      <c r="M515" t="n">
        <v>0</v>
      </c>
      <c r="N515" t="n">
        <v>0</v>
      </c>
      <c r="O515" t="n">
        <v>0</v>
      </c>
      <c r="P515" t="n">
        <v>0</v>
      </c>
      <c r="Q515" t="n">
        <v>0</v>
      </c>
      <c r="R515" s="2" t="inlineStr"/>
    </row>
    <row r="516" ht="15" customHeight="1">
      <c r="A516" t="inlineStr">
        <is>
          <t>A 22388-2025</t>
        </is>
      </c>
      <c r="B516" s="1" t="n">
        <v>45786.51077546296</v>
      </c>
      <c r="C516" s="1" t="n">
        <v>45912</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17742-2022</t>
        </is>
      </c>
      <c r="B517" s="1" t="n">
        <v>44680.95246527778</v>
      </c>
      <c r="C517" s="1" t="n">
        <v>45912</v>
      </c>
      <c r="D517" t="inlineStr">
        <is>
          <t>JÄMTLANDS LÄN</t>
        </is>
      </c>
      <c r="E517" t="inlineStr">
        <is>
          <t>RAGUNDA</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29319-2023</t>
        </is>
      </c>
      <c r="B518" s="1" t="n">
        <v>45105</v>
      </c>
      <c r="C518" s="1" t="n">
        <v>45912</v>
      </c>
      <c r="D518" t="inlineStr">
        <is>
          <t>JÄMTLANDS LÄN</t>
        </is>
      </c>
      <c r="E518" t="inlineStr">
        <is>
          <t>RAGUNDA</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18612-2024</t>
        </is>
      </c>
      <c r="B519" s="1" t="n">
        <v>45425.96239583333</v>
      </c>
      <c r="C519" s="1" t="n">
        <v>45912</v>
      </c>
      <c r="D519" t="inlineStr">
        <is>
          <t>JÄMTLANDS LÄN</t>
        </is>
      </c>
      <c r="E519" t="inlineStr">
        <is>
          <t>RAGUNDA</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464-2023</t>
        </is>
      </c>
      <c r="B520" s="1" t="n">
        <v>44929.92489583333</v>
      </c>
      <c r="C520" s="1" t="n">
        <v>45912</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53769-2023</t>
        </is>
      </c>
      <c r="B521" s="1" t="n">
        <v>45230</v>
      </c>
      <c r="C521" s="1" t="n">
        <v>45912</v>
      </c>
      <c r="D521" t="inlineStr">
        <is>
          <t>JÄMTLANDS LÄN</t>
        </is>
      </c>
      <c r="E521" t="inlineStr">
        <is>
          <t>RAGUNDA</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52228-2024</t>
        </is>
      </c>
      <c r="B522" s="1" t="n">
        <v>45608.6078587963</v>
      </c>
      <c r="C522" s="1" t="n">
        <v>45912</v>
      </c>
      <c r="D522" t="inlineStr">
        <is>
          <t>JÄMTLANDS LÄN</t>
        </is>
      </c>
      <c r="E522" t="inlineStr">
        <is>
          <t>RAGUNDA</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30825-2023</t>
        </is>
      </c>
      <c r="B523" s="1" t="n">
        <v>45112.94310185185</v>
      </c>
      <c r="C523" s="1" t="n">
        <v>45912</v>
      </c>
      <c r="D523" t="inlineStr">
        <is>
          <t>JÄMTLANDS LÄN</t>
        </is>
      </c>
      <c r="E523" t="inlineStr">
        <is>
          <t>RAGUNDA</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2242-2024</t>
        </is>
      </c>
      <c r="B524" s="1" t="n">
        <v>45309</v>
      </c>
      <c r="C524" s="1" t="n">
        <v>45912</v>
      </c>
      <c r="D524" t="inlineStr">
        <is>
          <t>JÄMTLANDS LÄN</t>
        </is>
      </c>
      <c r="E524" t="inlineStr">
        <is>
          <t>RAGUNDA</t>
        </is>
      </c>
      <c r="G524" t="n">
        <v>0.9</v>
      </c>
      <c r="H524" t="n">
        <v>0</v>
      </c>
      <c r="I524" t="n">
        <v>0</v>
      </c>
      <c r="J524" t="n">
        <v>0</v>
      </c>
      <c r="K524" t="n">
        <v>0</v>
      </c>
      <c r="L524" t="n">
        <v>0</v>
      </c>
      <c r="M524" t="n">
        <v>0</v>
      </c>
      <c r="N524" t="n">
        <v>0</v>
      </c>
      <c r="O524" t="n">
        <v>0</v>
      </c>
      <c r="P524" t="n">
        <v>0</v>
      </c>
      <c r="Q524" t="n">
        <v>0</v>
      </c>
      <c r="R524" s="2" t="inlineStr"/>
    </row>
    <row r="525" ht="15" customHeight="1">
      <c r="A525" t="inlineStr">
        <is>
          <t>A 2248-2024</t>
        </is>
      </c>
      <c r="B525" s="1" t="n">
        <v>45309</v>
      </c>
      <c r="C525" s="1" t="n">
        <v>45912</v>
      </c>
      <c r="D525" t="inlineStr">
        <is>
          <t>JÄMTLANDS LÄN</t>
        </is>
      </c>
      <c r="E525" t="inlineStr">
        <is>
          <t>RAGUNDA</t>
        </is>
      </c>
      <c r="G525" t="n">
        <v>4.2</v>
      </c>
      <c r="H525" t="n">
        <v>0</v>
      </c>
      <c r="I525" t="n">
        <v>0</v>
      </c>
      <c r="J525" t="n">
        <v>0</v>
      </c>
      <c r="K525" t="n">
        <v>0</v>
      </c>
      <c r="L525" t="n">
        <v>0</v>
      </c>
      <c r="M525" t="n">
        <v>0</v>
      </c>
      <c r="N525" t="n">
        <v>0</v>
      </c>
      <c r="O525" t="n">
        <v>0</v>
      </c>
      <c r="P525" t="n">
        <v>0</v>
      </c>
      <c r="Q525" t="n">
        <v>0</v>
      </c>
      <c r="R525" s="2" t="inlineStr"/>
    </row>
    <row r="526" ht="15" customHeight="1">
      <c r="A526" t="inlineStr">
        <is>
          <t>A 22898-2025</t>
        </is>
      </c>
      <c r="B526" s="1" t="n">
        <v>45790.40670138889</v>
      </c>
      <c r="C526" s="1" t="n">
        <v>45912</v>
      </c>
      <c r="D526" t="inlineStr">
        <is>
          <t>JÄMTLANDS LÄN</t>
        </is>
      </c>
      <c r="E526" t="inlineStr">
        <is>
          <t>RAGUNDA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9084-2023</t>
        </is>
      </c>
      <c r="B527" s="1" t="n">
        <v>44979</v>
      </c>
      <c r="C527" s="1" t="n">
        <v>45912</v>
      </c>
      <c r="D527" t="inlineStr">
        <is>
          <t>JÄMTLANDS LÄN</t>
        </is>
      </c>
      <c r="E527" t="inlineStr">
        <is>
          <t>RAGUNDA</t>
        </is>
      </c>
      <c r="G527" t="n">
        <v>1.9</v>
      </c>
      <c r="H527" t="n">
        <v>0</v>
      </c>
      <c r="I527" t="n">
        <v>0</v>
      </c>
      <c r="J527" t="n">
        <v>0</v>
      </c>
      <c r="K527" t="n">
        <v>0</v>
      </c>
      <c r="L527" t="n">
        <v>0</v>
      </c>
      <c r="M527" t="n">
        <v>0</v>
      </c>
      <c r="N527" t="n">
        <v>0</v>
      </c>
      <c r="O527" t="n">
        <v>0</v>
      </c>
      <c r="P527" t="n">
        <v>0</v>
      </c>
      <c r="Q527" t="n">
        <v>0</v>
      </c>
      <c r="R527" s="2" t="inlineStr"/>
    </row>
    <row r="528" ht="15" customHeight="1">
      <c r="A528" t="inlineStr">
        <is>
          <t>A 19264-2025</t>
        </is>
      </c>
      <c r="B528" s="1" t="n">
        <v>45769.51087962963</v>
      </c>
      <c r="C528" s="1" t="n">
        <v>45912</v>
      </c>
      <c r="D528" t="inlineStr">
        <is>
          <t>JÄMTLANDS LÄN</t>
        </is>
      </c>
      <c r="E528" t="inlineStr">
        <is>
          <t>RAGUNDA</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9326-2024</t>
        </is>
      </c>
      <c r="B529" s="1" t="n">
        <v>45358.95818287037</v>
      </c>
      <c r="C529" s="1" t="n">
        <v>45912</v>
      </c>
      <c r="D529" t="inlineStr">
        <is>
          <t>JÄMTLANDS LÄN</t>
        </is>
      </c>
      <c r="E529" t="inlineStr">
        <is>
          <t>RAGUNDA</t>
        </is>
      </c>
      <c r="G529" t="n">
        <v>0.7</v>
      </c>
      <c r="H529" t="n">
        <v>0</v>
      </c>
      <c r="I529" t="n">
        <v>0</v>
      </c>
      <c r="J529" t="n">
        <v>0</v>
      </c>
      <c r="K529" t="n">
        <v>0</v>
      </c>
      <c r="L529" t="n">
        <v>0</v>
      </c>
      <c r="M529" t="n">
        <v>0</v>
      </c>
      <c r="N529" t="n">
        <v>0</v>
      </c>
      <c r="O529" t="n">
        <v>0</v>
      </c>
      <c r="P529" t="n">
        <v>0</v>
      </c>
      <c r="Q529" t="n">
        <v>0</v>
      </c>
      <c r="R529" s="2" t="inlineStr"/>
    </row>
    <row r="530" ht="15" customHeight="1">
      <c r="A530" t="inlineStr">
        <is>
          <t>A 23253-2025</t>
        </is>
      </c>
      <c r="B530" s="1" t="n">
        <v>45791.53238425926</v>
      </c>
      <c r="C530" s="1" t="n">
        <v>45912</v>
      </c>
      <c r="D530" t="inlineStr">
        <is>
          <t>JÄMTLANDS LÄN</t>
        </is>
      </c>
      <c r="E530" t="inlineStr">
        <is>
          <t>RAGUNDA</t>
        </is>
      </c>
      <c r="G530" t="n">
        <v>0.7</v>
      </c>
      <c r="H530" t="n">
        <v>0</v>
      </c>
      <c r="I530" t="n">
        <v>0</v>
      </c>
      <c r="J530" t="n">
        <v>0</v>
      </c>
      <c r="K530" t="n">
        <v>0</v>
      </c>
      <c r="L530" t="n">
        <v>0</v>
      </c>
      <c r="M530" t="n">
        <v>0</v>
      </c>
      <c r="N530" t="n">
        <v>0</v>
      </c>
      <c r="O530" t="n">
        <v>0</v>
      </c>
      <c r="P530" t="n">
        <v>0</v>
      </c>
      <c r="Q530" t="n">
        <v>0</v>
      </c>
      <c r="R530" s="2" t="inlineStr"/>
    </row>
    <row r="531" ht="15" customHeight="1">
      <c r="A531" t="inlineStr">
        <is>
          <t>A 29263-2024</t>
        </is>
      </c>
      <c r="B531" s="1" t="n">
        <v>45482.94891203703</v>
      </c>
      <c r="C531" s="1" t="n">
        <v>45912</v>
      </c>
      <c r="D531" t="inlineStr">
        <is>
          <t>JÄMTLANDS LÄN</t>
        </is>
      </c>
      <c r="E531" t="inlineStr">
        <is>
          <t>RAGUNDA</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7520-2023</t>
        </is>
      </c>
      <c r="B532" s="1" t="n">
        <v>44971</v>
      </c>
      <c r="C532" s="1" t="n">
        <v>45912</v>
      </c>
      <c r="D532" t="inlineStr">
        <is>
          <t>JÄMTLANDS LÄN</t>
        </is>
      </c>
      <c r="E532" t="inlineStr">
        <is>
          <t>RAGUNDA</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8800-2025</t>
        </is>
      </c>
      <c r="B533" s="1" t="n">
        <v>45712.65671296296</v>
      </c>
      <c r="C533" s="1" t="n">
        <v>45912</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23413-2025</t>
        </is>
      </c>
      <c r="B534" s="1" t="n">
        <v>45792.34606481482</v>
      </c>
      <c r="C534" s="1" t="n">
        <v>45912</v>
      </c>
      <c r="D534" t="inlineStr">
        <is>
          <t>JÄMTLANDS LÄN</t>
        </is>
      </c>
      <c r="E534" t="inlineStr">
        <is>
          <t>RAGUNDA</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23586-2025</t>
        </is>
      </c>
      <c r="B535" s="1" t="n">
        <v>45792.63584490741</v>
      </c>
      <c r="C535" s="1" t="n">
        <v>45912</v>
      </c>
      <c r="D535" t="inlineStr">
        <is>
          <t>JÄMTLANDS LÄN</t>
        </is>
      </c>
      <c r="E535" t="inlineStr">
        <is>
          <t>RAGUNDA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21662-2023</t>
        </is>
      </c>
      <c r="B536" s="1" t="n">
        <v>45063</v>
      </c>
      <c r="C536" s="1" t="n">
        <v>45912</v>
      </c>
      <c r="D536" t="inlineStr">
        <is>
          <t>JÄMTLANDS LÄN</t>
        </is>
      </c>
      <c r="E536" t="inlineStr">
        <is>
          <t>RAGUNDA</t>
        </is>
      </c>
      <c r="G536" t="n">
        <v>1.8</v>
      </c>
      <c r="H536" t="n">
        <v>0</v>
      </c>
      <c r="I536" t="n">
        <v>0</v>
      </c>
      <c r="J536" t="n">
        <v>0</v>
      </c>
      <c r="K536" t="n">
        <v>0</v>
      </c>
      <c r="L536" t="n">
        <v>0</v>
      </c>
      <c r="M536" t="n">
        <v>0</v>
      </c>
      <c r="N536" t="n">
        <v>0</v>
      </c>
      <c r="O536" t="n">
        <v>0</v>
      </c>
      <c r="P536" t="n">
        <v>0</v>
      </c>
      <c r="Q536" t="n">
        <v>0</v>
      </c>
      <c r="R536" s="2" t="inlineStr"/>
    </row>
    <row r="537" ht="15" customHeight="1">
      <c r="A537" t="inlineStr">
        <is>
          <t>A 23841-2025</t>
        </is>
      </c>
      <c r="B537" s="1" t="n">
        <v>45793.61523148148</v>
      </c>
      <c r="C537" s="1" t="n">
        <v>45912</v>
      </c>
      <c r="D537" t="inlineStr">
        <is>
          <t>JÄMTLANDS LÄN</t>
        </is>
      </c>
      <c r="E537" t="inlineStr">
        <is>
          <t>RAGUNDA</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29265-2024</t>
        </is>
      </c>
      <c r="B538" s="1" t="n">
        <v>45482.9491087963</v>
      </c>
      <c r="C538" s="1" t="n">
        <v>45912</v>
      </c>
      <c r="D538" t="inlineStr">
        <is>
          <t>JÄMTLANDS LÄN</t>
        </is>
      </c>
      <c r="E538" t="inlineStr">
        <is>
          <t>RAGUNDA</t>
        </is>
      </c>
      <c r="F538" t="inlineStr">
        <is>
          <t>SCA</t>
        </is>
      </c>
      <c r="G538" t="n">
        <v>11.6</v>
      </c>
      <c r="H538" t="n">
        <v>0</v>
      </c>
      <c r="I538" t="n">
        <v>0</v>
      </c>
      <c r="J538" t="n">
        <v>0</v>
      </c>
      <c r="K538" t="n">
        <v>0</v>
      </c>
      <c r="L538" t="n">
        <v>0</v>
      </c>
      <c r="M538" t="n">
        <v>0</v>
      </c>
      <c r="N538" t="n">
        <v>0</v>
      </c>
      <c r="O538" t="n">
        <v>0</v>
      </c>
      <c r="P538" t="n">
        <v>0</v>
      </c>
      <c r="Q538" t="n">
        <v>0</v>
      </c>
      <c r="R538" s="2" t="inlineStr"/>
    </row>
    <row r="539" ht="15" customHeight="1">
      <c r="A539" t="inlineStr">
        <is>
          <t>A 27291-2022</t>
        </is>
      </c>
      <c r="B539" s="1" t="n">
        <v>44741.94070601852</v>
      </c>
      <c r="C539" s="1" t="n">
        <v>45912</v>
      </c>
      <c r="D539" t="inlineStr">
        <is>
          <t>JÄMTLANDS LÄN</t>
        </is>
      </c>
      <c r="E539" t="inlineStr">
        <is>
          <t>RAGUNDA</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23507-2025</t>
        </is>
      </c>
      <c r="B540" s="1" t="n">
        <v>45792.49023148148</v>
      </c>
      <c r="C540" s="1" t="n">
        <v>45912</v>
      </c>
      <c r="D540" t="inlineStr">
        <is>
          <t>JÄMTLANDS LÄN</t>
        </is>
      </c>
      <c r="E540" t="inlineStr">
        <is>
          <t>RAGUNDA</t>
        </is>
      </c>
      <c r="F540" t="inlineStr">
        <is>
          <t>SCA</t>
        </is>
      </c>
      <c r="G540" t="n">
        <v>16.4</v>
      </c>
      <c r="H540" t="n">
        <v>0</v>
      </c>
      <c r="I540" t="n">
        <v>0</v>
      </c>
      <c r="J540" t="n">
        <v>0</v>
      </c>
      <c r="K540" t="n">
        <v>0</v>
      </c>
      <c r="L540" t="n">
        <v>0</v>
      </c>
      <c r="M540" t="n">
        <v>0</v>
      </c>
      <c r="N540" t="n">
        <v>0</v>
      </c>
      <c r="O540" t="n">
        <v>0</v>
      </c>
      <c r="P540" t="n">
        <v>0</v>
      </c>
      <c r="Q540" t="n">
        <v>0</v>
      </c>
      <c r="R540" s="2" t="inlineStr"/>
    </row>
    <row r="541" ht="15" customHeight="1">
      <c r="A541" t="inlineStr">
        <is>
          <t>A 23840-2025</t>
        </is>
      </c>
      <c r="B541" s="1" t="n">
        <v>45793</v>
      </c>
      <c r="C541" s="1" t="n">
        <v>45912</v>
      </c>
      <c r="D541" t="inlineStr">
        <is>
          <t>JÄMTLANDS LÄN</t>
        </is>
      </c>
      <c r="E541" t="inlineStr">
        <is>
          <t>RAGUNDA</t>
        </is>
      </c>
      <c r="G541" t="n">
        <v>0.8</v>
      </c>
      <c r="H541" t="n">
        <v>0</v>
      </c>
      <c r="I541" t="n">
        <v>0</v>
      </c>
      <c r="J541" t="n">
        <v>0</v>
      </c>
      <c r="K541" t="n">
        <v>0</v>
      </c>
      <c r="L541" t="n">
        <v>0</v>
      </c>
      <c r="M541" t="n">
        <v>0</v>
      </c>
      <c r="N541" t="n">
        <v>0</v>
      </c>
      <c r="O541" t="n">
        <v>0</v>
      </c>
      <c r="P541" t="n">
        <v>0</v>
      </c>
      <c r="Q541" t="n">
        <v>0</v>
      </c>
      <c r="R541" s="2" t="inlineStr"/>
    </row>
    <row r="542" ht="15" customHeight="1">
      <c r="A542" t="inlineStr">
        <is>
          <t>A 8776-2025</t>
        </is>
      </c>
      <c r="B542" s="1" t="n">
        <v>45712.61510416667</v>
      </c>
      <c r="C542" s="1" t="n">
        <v>45912</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23654-2025</t>
        </is>
      </c>
      <c r="B543" s="1" t="n">
        <v>45792.71905092592</v>
      </c>
      <c r="C543" s="1" t="n">
        <v>45912</v>
      </c>
      <c r="D543" t="inlineStr">
        <is>
          <t>JÄMTLANDS LÄN</t>
        </is>
      </c>
      <c r="E543" t="inlineStr">
        <is>
          <t>RAGUNDA</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44727-2024</t>
        </is>
      </c>
      <c r="B544" s="1" t="n">
        <v>45574.57967592592</v>
      </c>
      <c r="C544" s="1" t="n">
        <v>45912</v>
      </c>
      <c r="D544" t="inlineStr">
        <is>
          <t>JÄMTLANDS LÄN</t>
        </is>
      </c>
      <c r="E544" t="inlineStr">
        <is>
          <t>RAGUNDA</t>
        </is>
      </c>
      <c r="G544" t="n">
        <v>4.7</v>
      </c>
      <c r="H544" t="n">
        <v>0</v>
      </c>
      <c r="I544" t="n">
        <v>0</v>
      </c>
      <c r="J544" t="n">
        <v>0</v>
      </c>
      <c r="K544" t="n">
        <v>0</v>
      </c>
      <c r="L544" t="n">
        <v>0</v>
      </c>
      <c r="M544" t="n">
        <v>0</v>
      </c>
      <c r="N544" t="n">
        <v>0</v>
      </c>
      <c r="O544" t="n">
        <v>0</v>
      </c>
      <c r="P544" t="n">
        <v>0</v>
      </c>
      <c r="Q544" t="n">
        <v>0</v>
      </c>
      <c r="R544" s="2" t="inlineStr"/>
    </row>
    <row r="545" ht="15" customHeight="1">
      <c r="A545" t="inlineStr">
        <is>
          <t>A 23405-2025</t>
        </is>
      </c>
      <c r="B545" s="1" t="n">
        <v>45792.34527777778</v>
      </c>
      <c r="C545" s="1" t="n">
        <v>45912</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14821-2025</t>
        </is>
      </c>
      <c r="B546" s="1" t="n">
        <v>45743.36</v>
      </c>
      <c r="C546" s="1" t="n">
        <v>45912</v>
      </c>
      <c r="D546" t="inlineStr">
        <is>
          <t>JÄMTLANDS LÄN</t>
        </is>
      </c>
      <c r="E546" t="inlineStr">
        <is>
          <t>RAGUNDA</t>
        </is>
      </c>
      <c r="F546" t="inlineStr">
        <is>
          <t>Kyrkan</t>
        </is>
      </c>
      <c r="G546" t="n">
        <v>6.4</v>
      </c>
      <c r="H546" t="n">
        <v>0</v>
      </c>
      <c r="I546" t="n">
        <v>0</v>
      </c>
      <c r="J546" t="n">
        <v>0</v>
      </c>
      <c r="K546" t="n">
        <v>0</v>
      </c>
      <c r="L546" t="n">
        <v>0</v>
      </c>
      <c r="M546" t="n">
        <v>0</v>
      </c>
      <c r="N546" t="n">
        <v>0</v>
      </c>
      <c r="O546" t="n">
        <v>0</v>
      </c>
      <c r="P546" t="n">
        <v>0</v>
      </c>
      <c r="Q546" t="n">
        <v>0</v>
      </c>
      <c r="R546" s="2" t="inlineStr"/>
    </row>
    <row r="547" ht="15" customHeight="1">
      <c r="A547" t="inlineStr">
        <is>
          <t>A 36375-2022</t>
        </is>
      </c>
      <c r="B547" s="1" t="n">
        <v>44803.94351851852</v>
      </c>
      <c r="C547" s="1" t="n">
        <v>45912</v>
      </c>
      <c r="D547" t="inlineStr">
        <is>
          <t>JÄMTLANDS LÄN</t>
        </is>
      </c>
      <c r="E547" t="inlineStr">
        <is>
          <t>RAGUNDA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8679-2023</t>
        </is>
      </c>
      <c r="B548" s="1" t="n">
        <v>44977.98670138889</v>
      </c>
      <c r="C548" s="1" t="n">
        <v>45912</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21083-2024</t>
        </is>
      </c>
      <c r="B549" s="1" t="n">
        <v>45439.92752314815</v>
      </c>
      <c r="C549" s="1" t="n">
        <v>45912</v>
      </c>
      <c r="D549" t="inlineStr">
        <is>
          <t>JÄMTLANDS LÄN</t>
        </is>
      </c>
      <c r="E549" t="inlineStr">
        <is>
          <t>RAGUNDA</t>
        </is>
      </c>
      <c r="G549" t="n">
        <v>1.5</v>
      </c>
      <c r="H549" t="n">
        <v>0</v>
      </c>
      <c r="I549" t="n">
        <v>0</v>
      </c>
      <c r="J549" t="n">
        <v>0</v>
      </c>
      <c r="K549" t="n">
        <v>0</v>
      </c>
      <c r="L549" t="n">
        <v>0</v>
      </c>
      <c r="M549" t="n">
        <v>0</v>
      </c>
      <c r="N549" t="n">
        <v>0</v>
      </c>
      <c r="O549" t="n">
        <v>0</v>
      </c>
      <c r="P549" t="n">
        <v>0</v>
      </c>
      <c r="Q549" t="n">
        <v>0</v>
      </c>
      <c r="R549" s="2" t="inlineStr"/>
    </row>
    <row r="550" ht="15" customHeight="1">
      <c r="A550" t="inlineStr">
        <is>
          <t>A 462-2023</t>
        </is>
      </c>
      <c r="B550" s="1" t="n">
        <v>44929</v>
      </c>
      <c r="C550" s="1" t="n">
        <v>45912</v>
      </c>
      <c r="D550" t="inlineStr">
        <is>
          <t>JÄMTLANDS LÄN</t>
        </is>
      </c>
      <c r="E550" t="inlineStr">
        <is>
          <t>RAGUNDA</t>
        </is>
      </c>
      <c r="G550" t="n">
        <v>4.5</v>
      </c>
      <c r="H550" t="n">
        <v>0</v>
      </c>
      <c r="I550" t="n">
        <v>0</v>
      </c>
      <c r="J550" t="n">
        <v>0</v>
      </c>
      <c r="K550" t="n">
        <v>0</v>
      </c>
      <c r="L550" t="n">
        <v>0</v>
      </c>
      <c r="M550" t="n">
        <v>0</v>
      </c>
      <c r="N550" t="n">
        <v>0</v>
      </c>
      <c r="O550" t="n">
        <v>0</v>
      </c>
      <c r="P550" t="n">
        <v>0</v>
      </c>
      <c r="Q550" t="n">
        <v>0</v>
      </c>
      <c r="R550" s="2" t="inlineStr"/>
    </row>
    <row r="551" ht="15" customHeight="1">
      <c r="A551" t="inlineStr">
        <is>
          <t>A 12050-2023</t>
        </is>
      </c>
      <c r="B551" s="1" t="n">
        <v>44995.98644675926</v>
      </c>
      <c r="C551" s="1" t="n">
        <v>45912</v>
      </c>
      <c r="D551" t="inlineStr">
        <is>
          <t>JÄMTLANDS LÄN</t>
        </is>
      </c>
      <c r="E551" t="inlineStr">
        <is>
          <t>RAGUNDA</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9325-2024</t>
        </is>
      </c>
      <c r="B552" s="1" t="n">
        <v>45358.95813657407</v>
      </c>
      <c r="C552" s="1" t="n">
        <v>45912</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5930-2025</t>
        </is>
      </c>
      <c r="B553" s="1" t="n">
        <v>45695.44724537037</v>
      </c>
      <c r="C553" s="1" t="n">
        <v>45912</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62358-2023</t>
        </is>
      </c>
      <c r="B554" s="1" t="n">
        <v>45267</v>
      </c>
      <c r="C554" s="1" t="n">
        <v>45912</v>
      </c>
      <c r="D554" t="inlineStr">
        <is>
          <t>JÄMTLANDS LÄN</t>
        </is>
      </c>
      <c r="E554" t="inlineStr">
        <is>
          <t>RAGUNDA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18284-2025</t>
        </is>
      </c>
      <c r="B555" s="1" t="n">
        <v>45762.39876157408</v>
      </c>
      <c r="C555" s="1" t="n">
        <v>45912</v>
      </c>
      <c r="D555" t="inlineStr">
        <is>
          <t>JÄMTLANDS LÄN</t>
        </is>
      </c>
      <c r="E555" t="inlineStr">
        <is>
          <t>RAGUNDA</t>
        </is>
      </c>
      <c r="G555" t="n">
        <v>0.2</v>
      </c>
      <c r="H555" t="n">
        <v>0</v>
      </c>
      <c r="I555" t="n">
        <v>0</v>
      </c>
      <c r="J555" t="n">
        <v>0</v>
      </c>
      <c r="K555" t="n">
        <v>0</v>
      </c>
      <c r="L555" t="n">
        <v>0</v>
      </c>
      <c r="M555" t="n">
        <v>0</v>
      </c>
      <c r="N555" t="n">
        <v>0</v>
      </c>
      <c r="O555" t="n">
        <v>0</v>
      </c>
      <c r="P555" t="n">
        <v>0</v>
      </c>
      <c r="Q555" t="n">
        <v>0</v>
      </c>
      <c r="R555" s="2" t="inlineStr"/>
      <c r="U555">
        <f>HYPERLINK("https://klasma.github.io/Logging_2303/knärot/A 18284-2025 karta knärot.png", "A 18284-2025")</f>
        <v/>
      </c>
      <c r="V555">
        <f>HYPERLINK("https://klasma.github.io/Logging_2303/klagomål/A 18284-2025 FSC-klagomål.docx", "A 18284-2025")</f>
        <v/>
      </c>
      <c r="W555">
        <f>HYPERLINK("https://klasma.github.io/Logging_2303/klagomålsmail/A 18284-2025 FSC-klagomål mail.docx", "A 18284-2025")</f>
        <v/>
      </c>
      <c r="X555">
        <f>HYPERLINK("https://klasma.github.io/Logging_2303/tillsyn/A 18284-2025 tillsynsbegäran.docx", "A 18284-2025")</f>
        <v/>
      </c>
      <c r="Y555">
        <f>HYPERLINK("https://klasma.github.io/Logging_2303/tillsynsmail/A 18284-2025 tillsynsbegäran mail.docx", "A 18284-2025")</f>
        <v/>
      </c>
    </row>
    <row r="556" ht="15" customHeight="1">
      <c r="A556" t="inlineStr">
        <is>
          <t>A 57170-2024</t>
        </is>
      </c>
      <c r="B556" s="1" t="n">
        <v>45629.42759259259</v>
      </c>
      <c r="C556" s="1" t="n">
        <v>45912</v>
      </c>
      <c r="D556" t="inlineStr">
        <is>
          <t>JÄMTLANDS LÄN</t>
        </is>
      </c>
      <c r="E556" t="inlineStr">
        <is>
          <t>RAGUNDA</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45912</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18820-2023</t>
        </is>
      </c>
      <c r="B558" s="1" t="n">
        <v>45042</v>
      </c>
      <c r="C558" s="1" t="n">
        <v>45912</v>
      </c>
      <c r="D558" t="inlineStr">
        <is>
          <t>JÄMTLANDS LÄN</t>
        </is>
      </c>
      <c r="E558" t="inlineStr">
        <is>
          <t>RAGUNDA</t>
        </is>
      </c>
      <c r="G558" t="n">
        <v>18.8</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45912</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45912</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49648-2023</t>
        </is>
      </c>
      <c r="B561" s="1" t="n">
        <v>45211.95061342593</v>
      </c>
      <c r="C561" s="1" t="n">
        <v>45912</v>
      </c>
      <c r="D561" t="inlineStr">
        <is>
          <t>JÄMTLANDS LÄN</t>
        </is>
      </c>
      <c r="E561" t="inlineStr">
        <is>
          <t>RAGUNDA</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51537-2022</t>
        </is>
      </c>
      <c r="B562" s="1" t="n">
        <v>44869</v>
      </c>
      <c r="C562" s="1" t="n">
        <v>45912</v>
      </c>
      <c r="D562" t="inlineStr">
        <is>
          <t>JÄMTLANDS LÄN</t>
        </is>
      </c>
      <c r="E562" t="inlineStr">
        <is>
          <t>RAGUNDA</t>
        </is>
      </c>
      <c r="G562" t="n">
        <v>1.8</v>
      </c>
      <c r="H562" t="n">
        <v>0</v>
      </c>
      <c r="I562" t="n">
        <v>0</v>
      </c>
      <c r="J562" t="n">
        <v>0</v>
      </c>
      <c r="K562" t="n">
        <v>0</v>
      </c>
      <c r="L562" t="n">
        <v>0</v>
      </c>
      <c r="M562" t="n">
        <v>0</v>
      </c>
      <c r="N562" t="n">
        <v>0</v>
      </c>
      <c r="O562" t="n">
        <v>0</v>
      </c>
      <c r="P562" t="n">
        <v>0</v>
      </c>
      <c r="Q562" t="n">
        <v>0</v>
      </c>
      <c r="R562" s="2" t="inlineStr"/>
    </row>
    <row r="563" ht="15" customHeight="1">
      <c r="A563" t="inlineStr">
        <is>
          <t>A 59044-2022</t>
        </is>
      </c>
      <c r="B563" s="1" t="n">
        <v>44903</v>
      </c>
      <c r="C563" s="1" t="n">
        <v>45912</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65341-2020</t>
        </is>
      </c>
      <c r="B564" s="1" t="n">
        <v>44173</v>
      </c>
      <c r="C564" s="1" t="n">
        <v>45912</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5958-2023</t>
        </is>
      </c>
      <c r="B565" s="1" t="n">
        <v>44963</v>
      </c>
      <c r="C565" s="1" t="n">
        <v>45912</v>
      </c>
      <c r="D565" t="inlineStr">
        <is>
          <t>JÄMTLANDS LÄN</t>
        </is>
      </c>
      <c r="E565" t="inlineStr">
        <is>
          <t>RAGUNDA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24159-2025</t>
        </is>
      </c>
      <c r="B566" s="1" t="n">
        <v>45796</v>
      </c>
      <c r="C566" s="1" t="n">
        <v>45912</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24391-2025</t>
        </is>
      </c>
      <c r="B567" s="1" t="n">
        <v>45797.63627314815</v>
      </c>
      <c r="C567" s="1" t="n">
        <v>45912</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8795-2022</t>
        </is>
      </c>
      <c r="B568" s="1" t="n">
        <v>44614</v>
      </c>
      <c r="C568" s="1" t="n">
        <v>45912</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8779-2025</t>
        </is>
      </c>
      <c r="B569" s="1" t="n">
        <v>45712.61552083334</v>
      </c>
      <c r="C569" s="1" t="n">
        <v>45912</v>
      </c>
      <c r="D569" t="inlineStr">
        <is>
          <t>JÄMTLANDS LÄN</t>
        </is>
      </c>
      <c r="E569" t="inlineStr">
        <is>
          <t>RAGUNDA</t>
        </is>
      </c>
      <c r="F569" t="inlineStr">
        <is>
          <t>SCA</t>
        </is>
      </c>
      <c r="G569" t="n">
        <v>4.9</v>
      </c>
      <c r="H569" t="n">
        <v>0</v>
      </c>
      <c r="I569" t="n">
        <v>0</v>
      </c>
      <c r="J569" t="n">
        <v>0</v>
      </c>
      <c r="K569" t="n">
        <v>0</v>
      </c>
      <c r="L569" t="n">
        <v>0</v>
      </c>
      <c r="M569" t="n">
        <v>0</v>
      </c>
      <c r="N569" t="n">
        <v>0</v>
      </c>
      <c r="O569" t="n">
        <v>0</v>
      </c>
      <c r="P569" t="n">
        <v>0</v>
      </c>
      <c r="Q569" t="n">
        <v>0</v>
      </c>
      <c r="R569" s="2" t="inlineStr"/>
    </row>
    <row r="570" ht="15" customHeight="1">
      <c r="A570" t="inlineStr">
        <is>
          <t>A 61400-2022</t>
        </is>
      </c>
      <c r="B570" s="1" t="n">
        <v>44915</v>
      </c>
      <c r="C570" s="1" t="n">
        <v>45912</v>
      </c>
      <c r="D570" t="inlineStr">
        <is>
          <t>JÄMTLANDS LÄN</t>
        </is>
      </c>
      <c r="E570" t="inlineStr">
        <is>
          <t>RAGUNDA</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35265-2023</t>
        </is>
      </c>
      <c r="B571" s="1" t="n">
        <v>45145.95326388889</v>
      </c>
      <c r="C571" s="1" t="n">
        <v>45912</v>
      </c>
      <c r="D571" t="inlineStr">
        <is>
          <t>JÄMTLANDS LÄN</t>
        </is>
      </c>
      <c r="E571" t="inlineStr">
        <is>
          <t>RAGUNDA</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5148-2023</t>
        </is>
      </c>
      <c r="B572" s="1" t="n">
        <v>44958</v>
      </c>
      <c r="C572" s="1" t="n">
        <v>45912</v>
      </c>
      <c r="D572" t="inlineStr">
        <is>
          <t>JÄMTLANDS LÄN</t>
        </is>
      </c>
      <c r="E572" t="inlineStr">
        <is>
          <t>RAGUNDA</t>
        </is>
      </c>
      <c r="G572" t="n">
        <v>2.9</v>
      </c>
      <c r="H572" t="n">
        <v>0</v>
      </c>
      <c r="I572" t="n">
        <v>0</v>
      </c>
      <c r="J572" t="n">
        <v>0</v>
      </c>
      <c r="K572" t="n">
        <v>0</v>
      </c>
      <c r="L572" t="n">
        <v>0</v>
      </c>
      <c r="M572" t="n">
        <v>0</v>
      </c>
      <c r="N572" t="n">
        <v>0</v>
      </c>
      <c r="O572" t="n">
        <v>0</v>
      </c>
      <c r="P572" t="n">
        <v>0</v>
      </c>
      <c r="Q572" t="n">
        <v>0</v>
      </c>
      <c r="R572" s="2" t="inlineStr"/>
    </row>
    <row r="573" ht="15" customHeight="1">
      <c r="A573" t="inlineStr">
        <is>
          <t>A 4348-2023</t>
        </is>
      </c>
      <c r="B573" s="1" t="n">
        <v>44953</v>
      </c>
      <c r="C573" s="1" t="n">
        <v>45912</v>
      </c>
      <c r="D573" t="inlineStr">
        <is>
          <t>JÄMTLANDS LÄN</t>
        </is>
      </c>
      <c r="E573" t="inlineStr">
        <is>
          <t>RAGUNDA</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66471-2021</t>
        </is>
      </c>
      <c r="B574" s="1" t="n">
        <v>44518</v>
      </c>
      <c r="C574" s="1" t="n">
        <v>45912</v>
      </c>
      <c r="D574" t="inlineStr">
        <is>
          <t>JÄMTLANDS LÄN</t>
        </is>
      </c>
      <c r="E574" t="inlineStr">
        <is>
          <t>RAGUNDA</t>
        </is>
      </c>
      <c r="G574" t="n">
        <v>13.4</v>
      </c>
      <c r="H574" t="n">
        <v>0</v>
      </c>
      <c r="I574" t="n">
        <v>0</v>
      </c>
      <c r="J574" t="n">
        <v>0</v>
      </c>
      <c r="K574" t="n">
        <v>0</v>
      </c>
      <c r="L574" t="n">
        <v>0</v>
      </c>
      <c r="M574" t="n">
        <v>0</v>
      </c>
      <c r="N574" t="n">
        <v>0</v>
      </c>
      <c r="O574" t="n">
        <v>0</v>
      </c>
      <c r="P574" t="n">
        <v>0</v>
      </c>
      <c r="Q574" t="n">
        <v>0</v>
      </c>
      <c r="R574" s="2" t="inlineStr"/>
    </row>
    <row r="575" ht="15" customHeight="1">
      <c r="A575" t="inlineStr">
        <is>
          <t>A 18778-2024</t>
        </is>
      </c>
      <c r="B575" s="1" t="n">
        <v>45426</v>
      </c>
      <c r="C575" s="1" t="n">
        <v>45912</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59556-2024</t>
        </is>
      </c>
      <c r="B576" s="1" t="n">
        <v>45638.63600694444</v>
      </c>
      <c r="C576" s="1" t="n">
        <v>45912</v>
      </c>
      <c r="D576" t="inlineStr">
        <is>
          <t>JÄMTLANDS LÄN</t>
        </is>
      </c>
      <c r="E576" t="inlineStr">
        <is>
          <t>RAGUNDA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62407-2023</t>
        </is>
      </c>
      <c r="B577" s="1" t="n">
        <v>45266</v>
      </c>
      <c r="C577" s="1" t="n">
        <v>45912</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56286-2023</t>
        </is>
      </c>
      <c r="B578" s="1" t="n">
        <v>45241.95741898148</v>
      </c>
      <c r="C578" s="1" t="n">
        <v>45912</v>
      </c>
      <c r="D578" t="inlineStr">
        <is>
          <t>JÄMTLANDS LÄN</t>
        </is>
      </c>
      <c r="E578" t="inlineStr">
        <is>
          <t>RAGUNDA</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56287-2023</t>
        </is>
      </c>
      <c r="B579" s="1" t="n">
        <v>45241</v>
      </c>
      <c r="C579" s="1" t="n">
        <v>45912</v>
      </c>
      <c r="D579" t="inlineStr">
        <is>
          <t>JÄMTLANDS LÄN</t>
        </is>
      </c>
      <c r="E579" t="inlineStr">
        <is>
          <t>RAGUNDA</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62135-2024</t>
        </is>
      </c>
      <c r="B580" s="1" t="n">
        <v>45656.64223379629</v>
      </c>
      <c r="C580" s="1" t="n">
        <v>45912</v>
      </c>
      <c r="D580" t="inlineStr">
        <is>
          <t>JÄMTLANDS LÄN</t>
        </is>
      </c>
      <c r="E580" t="inlineStr">
        <is>
          <t>RAGUNDA</t>
        </is>
      </c>
      <c r="G580" t="n">
        <v>1.5</v>
      </c>
      <c r="H580" t="n">
        <v>0</v>
      </c>
      <c r="I580" t="n">
        <v>0</v>
      </c>
      <c r="J580" t="n">
        <v>0</v>
      </c>
      <c r="K580" t="n">
        <v>0</v>
      </c>
      <c r="L580" t="n">
        <v>0</v>
      </c>
      <c r="M580" t="n">
        <v>0</v>
      </c>
      <c r="N580" t="n">
        <v>0</v>
      </c>
      <c r="O580" t="n">
        <v>0</v>
      </c>
      <c r="P580" t="n">
        <v>0</v>
      </c>
      <c r="Q580" t="n">
        <v>0</v>
      </c>
      <c r="R580" s="2" t="inlineStr"/>
    </row>
    <row r="581" ht="15" customHeight="1">
      <c r="A581" t="inlineStr">
        <is>
          <t>A 16529-2022</t>
        </is>
      </c>
      <c r="B581" s="1" t="n">
        <v>44671</v>
      </c>
      <c r="C581" s="1" t="n">
        <v>45912</v>
      </c>
      <c r="D581" t="inlineStr">
        <is>
          <t>JÄMTLANDS LÄN</t>
        </is>
      </c>
      <c r="E581" t="inlineStr">
        <is>
          <t>RAGUNDA</t>
        </is>
      </c>
      <c r="G581" t="n">
        <v>1.5</v>
      </c>
      <c r="H581" t="n">
        <v>0</v>
      </c>
      <c r="I581" t="n">
        <v>0</v>
      </c>
      <c r="J581" t="n">
        <v>0</v>
      </c>
      <c r="K581" t="n">
        <v>0</v>
      </c>
      <c r="L581" t="n">
        <v>0</v>
      </c>
      <c r="M581" t="n">
        <v>0</v>
      </c>
      <c r="N581" t="n">
        <v>0</v>
      </c>
      <c r="O581" t="n">
        <v>0</v>
      </c>
      <c r="P581" t="n">
        <v>0</v>
      </c>
      <c r="Q581" t="n">
        <v>0</v>
      </c>
      <c r="R581" s="2" t="inlineStr"/>
    </row>
    <row r="582" ht="15" customHeight="1">
      <c r="A582" t="inlineStr">
        <is>
          <t>A 21524-2024</t>
        </is>
      </c>
      <c r="B582" s="1" t="n">
        <v>45441</v>
      </c>
      <c r="C582" s="1" t="n">
        <v>45912</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24732-2025</t>
        </is>
      </c>
      <c r="B583" s="1" t="n">
        <v>45799.34421296296</v>
      </c>
      <c r="C583" s="1" t="n">
        <v>45912</v>
      </c>
      <c r="D583" t="inlineStr">
        <is>
          <t>JÄMTLANDS LÄN</t>
        </is>
      </c>
      <c r="E583" t="inlineStr">
        <is>
          <t>RAGUNDA</t>
        </is>
      </c>
      <c r="F583" t="inlineStr">
        <is>
          <t>SCA</t>
        </is>
      </c>
      <c r="G583" t="n">
        <v>16.2</v>
      </c>
      <c r="H583" t="n">
        <v>0</v>
      </c>
      <c r="I583" t="n">
        <v>0</v>
      </c>
      <c r="J583" t="n">
        <v>0</v>
      </c>
      <c r="K583" t="n">
        <v>0</v>
      </c>
      <c r="L583" t="n">
        <v>0</v>
      </c>
      <c r="M583" t="n">
        <v>0</v>
      </c>
      <c r="N583" t="n">
        <v>0</v>
      </c>
      <c r="O583" t="n">
        <v>0</v>
      </c>
      <c r="P583" t="n">
        <v>0</v>
      </c>
      <c r="Q583" t="n">
        <v>0</v>
      </c>
      <c r="R583" s="2" t="inlineStr"/>
    </row>
    <row r="584" ht="15" customHeight="1">
      <c r="A584" t="inlineStr">
        <is>
          <t>A 18248-2023</t>
        </is>
      </c>
      <c r="B584" s="1" t="n">
        <v>45040</v>
      </c>
      <c r="C584" s="1" t="n">
        <v>45912</v>
      </c>
      <c r="D584" t="inlineStr">
        <is>
          <t>JÄMTLANDS LÄN</t>
        </is>
      </c>
      <c r="E584" t="inlineStr">
        <is>
          <t>RAGUNDA</t>
        </is>
      </c>
      <c r="G584" t="n">
        <v>4.3</v>
      </c>
      <c r="H584" t="n">
        <v>0</v>
      </c>
      <c r="I584" t="n">
        <v>0</v>
      </c>
      <c r="J584" t="n">
        <v>0</v>
      </c>
      <c r="K584" t="n">
        <v>0</v>
      </c>
      <c r="L584" t="n">
        <v>0</v>
      </c>
      <c r="M584" t="n">
        <v>0</v>
      </c>
      <c r="N584" t="n">
        <v>0</v>
      </c>
      <c r="O584" t="n">
        <v>0</v>
      </c>
      <c r="P584" t="n">
        <v>0</v>
      </c>
      <c r="Q584" t="n">
        <v>0</v>
      </c>
      <c r="R584" s="2" t="inlineStr"/>
    </row>
    <row r="585" ht="15" customHeight="1">
      <c r="A585" t="inlineStr">
        <is>
          <t>A 8802-2022</t>
        </is>
      </c>
      <c r="B585" s="1" t="n">
        <v>44614</v>
      </c>
      <c r="C585" s="1" t="n">
        <v>45912</v>
      </c>
      <c r="D585" t="inlineStr">
        <is>
          <t>JÄMTLANDS LÄN</t>
        </is>
      </c>
      <c r="E585" t="inlineStr">
        <is>
          <t>RAGUNDA</t>
        </is>
      </c>
      <c r="G585" t="n">
        <v>2.8</v>
      </c>
      <c r="H585" t="n">
        <v>0</v>
      </c>
      <c r="I585" t="n">
        <v>0</v>
      </c>
      <c r="J585" t="n">
        <v>0</v>
      </c>
      <c r="K585" t="n">
        <v>0</v>
      </c>
      <c r="L585" t="n">
        <v>0</v>
      </c>
      <c r="M585" t="n">
        <v>0</v>
      </c>
      <c r="N585" t="n">
        <v>0</v>
      </c>
      <c r="O585" t="n">
        <v>0</v>
      </c>
      <c r="P585" t="n">
        <v>0</v>
      </c>
      <c r="Q585" t="n">
        <v>0</v>
      </c>
      <c r="R585" s="2" t="inlineStr"/>
    </row>
    <row r="586" ht="15" customHeight="1">
      <c r="A586" t="inlineStr">
        <is>
          <t>A 38191-2024</t>
        </is>
      </c>
      <c r="B586" s="1" t="n">
        <v>45545.49078703704</v>
      </c>
      <c r="C586" s="1" t="n">
        <v>45912</v>
      </c>
      <c r="D586" t="inlineStr">
        <is>
          <t>JÄMTLANDS LÄN</t>
        </is>
      </c>
      <c r="E586" t="inlineStr">
        <is>
          <t>RAGUNDA</t>
        </is>
      </c>
      <c r="G586" t="n">
        <v>1.6</v>
      </c>
      <c r="H586" t="n">
        <v>0</v>
      </c>
      <c r="I586" t="n">
        <v>0</v>
      </c>
      <c r="J586" t="n">
        <v>0</v>
      </c>
      <c r="K586" t="n">
        <v>0</v>
      </c>
      <c r="L586" t="n">
        <v>0</v>
      </c>
      <c r="M586" t="n">
        <v>0</v>
      </c>
      <c r="N586" t="n">
        <v>0</v>
      </c>
      <c r="O586" t="n">
        <v>0</v>
      </c>
      <c r="P586" t="n">
        <v>0</v>
      </c>
      <c r="Q586" t="n">
        <v>0</v>
      </c>
      <c r="R586" s="2" t="inlineStr"/>
    </row>
    <row r="587" ht="15" customHeight="1">
      <c r="A587" t="inlineStr">
        <is>
          <t>A 39489-2023</t>
        </is>
      </c>
      <c r="B587" s="1" t="n">
        <v>45166</v>
      </c>
      <c r="C587" s="1" t="n">
        <v>45912</v>
      </c>
      <c r="D587" t="inlineStr">
        <is>
          <t>JÄMTLANDS LÄN</t>
        </is>
      </c>
      <c r="E587" t="inlineStr">
        <is>
          <t>RAGUNDA</t>
        </is>
      </c>
      <c r="G587" t="n">
        <v>5</v>
      </c>
      <c r="H587" t="n">
        <v>0</v>
      </c>
      <c r="I587" t="n">
        <v>0</v>
      </c>
      <c r="J587" t="n">
        <v>0</v>
      </c>
      <c r="K587" t="n">
        <v>0</v>
      </c>
      <c r="L587" t="n">
        <v>0</v>
      </c>
      <c r="M587" t="n">
        <v>0</v>
      </c>
      <c r="N587" t="n">
        <v>0</v>
      </c>
      <c r="O587" t="n">
        <v>0</v>
      </c>
      <c r="P587" t="n">
        <v>0</v>
      </c>
      <c r="Q587" t="n">
        <v>0</v>
      </c>
      <c r="R587" s="2" t="inlineStr"/>
    </row>
    <row r="588" ht="15" customHeight="1">
      <c r="A588" t="inlineStr">
        <is>
          <t>A 61934-2022</t>
        </is>
      </c>
      <c r="B588" s="1" t="n">
        <v>44917</v>
      </c>
      <c r="C588" s="1" t="n">
        <v>45912</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8678-2023</t>
        </is>
      </c>
      <c r="B589" s="1" t="n">
        <v>44977.98660879629</v>
      </c>
      <c r="C589" s="1" t="n">
        <v>45912</v>
      </c>
      <c r="D589" t="inlineStr">
        <is>
          <t>JÄMTLANDS LÄN</t>
        </is>
      </c>
      <c r="E589" t="inlineStr">
        <is>
          <t>RAGUNDA</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55214-2022</t>
        </is>
      </c>
      <c r="B590" s="1" t="n">
        <v>44886</v>
      </c>
      <c r="C590" s="1" t="n">
        <v>45912</v>
      </c>
      <c r="D590" t="inlineStr">
        <is>
          <t>JÄMTLANDS LÄN</t>
        </is>
      </c>
      <c r="E590" t="inlineStr">
        <is>
          <t>RAGUNDA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28742-2023</t>
        </is>
      </c>
      <c r="B591" s="1" t="n">
        <v>45103</v>
      </c>
      <c r="C591" s="1" t="n">
        <v>45912</v>
      </c>
      <c r="D591" t="inlineStr">
        <is>
          <t>JÄMTLANDS LÄN</t>
        </is>
      </c>
      <c r="E591" t="inlineStr">
        <is>
          <t>RAGUNDA</t>
        </is>
      </c>
      <c r="G591" t="n">
        <v>1.8</v>
      </c>
      <c r="H591" t="n">
        <v>0</v>
      </c>
      <c r="I591" t="n">
        <v>0</v>
      </c>
      <c r="J591" t="n">
        <v>0</v>
      </c>
      <c r="K591" t="n">
        <v>0</v>
      </c>
      <c r="L591" t="n">
        <v>0</v>
      </c>
      <c r="M591" t="n">
        <v>0</v>
      </c>
      <c r="N591" t="n">
        <v>0</v>
      </c>
      <c r="O591" t="n">
        <v>0</v>
      </c>
      <c r="P591" t="n">
        <v>0</v>
      </c>
      <c r="Q591" t="n">
        <v>0</v>
      </c>
      <c r="R591" s="2" t="inlineStr"/>
    </row>
    <row r="592" ht="15" customHeight="1">
      <c r="A592" t="inlineStr">
        <is>
          <t>A 17323-2025</t>
        </is>
      </c>
      <c r="B592" s="1" t="n">
        <v>45756.63601851852</v>
      </c>
      <c r="C592" s="1" t="n">
        <v>45912</v>
      </c>
      <c r="D592" t="inlineStr">
        <is>
          <t>JÄMTLANDS LÄN</t>
        </is>
      </c>
      <c r="E592" t="inlineStr">
        <is>
          <t>RAGUNDA</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25631-2025</t>
        </is>
      </c>
      <c r="B593" s="1" t="n">
        <v>45803.5946875</v>
      </c>
      <c r="C593" s="1" t="n">
        <v>45912</v>
      </c>
      <c r="D593" t="inlineStr">
        <is>
          <t>JÄMTLANDS LÄN</t>
        </is>
      </c>
      <c r="E593" t="inlineStr">
        <is>
          <t>RAGUNDA</t>
        </is>
      </c>
      <c r="G593" t="n">
        <v>1.1</v>
      </c>
      <c r="H593" t="n">
        <v>0</v>
      </c>
      <c r="I593" t="n">
        <v>0</v>
      </c>
      <c r="J593" t="n">
        <v>0</v>
      </c>
      <c r="K593" t="n">
        <v>0</v>
      </c>
      <c r="L593" t="n">
        <v>0</v>
      </c>
      <c r="M593" t="n">
        <v>0</v>
      </c>
      <c r="N593" t="n">
        <v>0</v>
      </c>
      <c r="O593" t="n">
        <v>0</v>
      </c>
      <c r="P593" t="n">
        <v>0</v>
      </c>
      <c r="Q593" t="n">
        <v>0</v>
      </c>
      <c r="R593" s="2" t="inlineStr"/>
    </row>
    <row r="594" ht="15" customHeight="1">
      <c r="A594" t="inlineStr">
        <is>
          <t>A 16364-2023</t>
        </is>
      </c>
      <c r="B594" s="1" t="n">
        <v>45028</v>
      </c>
      <c r="C594" s="1" t="n">
        <v>45912</v>
      </c>
      <c r="D594" t="inlineStr">
        <is>
          <t>JÄMTLANDS LÄN</t>
        </is>
      </c>
      <c r="E594" t="inlineStr">
        <is>
          <t>RAGUNDA</t>
        </is>
      </c>
      <c r="G594" t="n">
        <v>0.5</v>
      </c>
      <c r="H594" t="n">
        <v>0</v>
      </c>
      <c r="I594" t="n">
        <v>0</v>
      </c>
      <c r="J594" t="n">
        <v>0</v>
      </c>
      <c r="K594" t="n">
        <v>0</v>
      </c>
      <c r="L594" t="n">
        <v>0</v>
      </c>
      <c r="M594" t="n">
        <v>0</v>
      </c>
      <c r="N594" t="n">
        <v>0</v>
      </c>
      <c r="O594" t="n">
        <v>0</v>
      </c>
      <c r="P594" t="n">
        <v>0</v>
      </c>
      <c r="Q594" t="n">
        <v>0</v>
      </c>
      <c r="R594" s="2" t="inlineStr"/>
    </row>
    <row r="595" ht="15" customHeight="1">
      <c r="A595" t="inlineStr">
        <is>
          <t>A 25630-2025</t>
        </is>
      </c>
      <c r="B595" s="1" t="n">
        <v>45803.59417824074</v>
      </c>
      <c r="C595" s="1" t="n">
        <v>45912</v>
      </c>
      <c r="D595" t="inlineStr">
        <is>
          <t>JÄMTLANDS LÄN</t>
        </is>
      </c>
      <c r="E595" t="inlineStr">
        <is>
          <t>RAGUNDA</t>
        </is>
      </c>
      <c r="G595" t="n">
        <v>6.9</v>
      </c>
      <c r="H595" t="n">
        <v>0</v>
      </c>
      <c r="I595" t="n">
        <v>0</v>
      </c>
      <c r="J595" t="n">
        <v>0</v>
      </c>
      <c r="K595" t="n">
        <v>0</v>
      </c>
      <c r="L595" t="n">
        <v>0</v>
      </c>
      <c r="M595" t="n">
        <v>0</v>
      </c>
      <c r="N595" t="n">
        <v>0</v>
      </c>
      <c r="O595" t="n">
        <v>0</v>
      </c>
      <c r="P595" t="n">
        <v>0</v>
      </c>
      <c r="Q595" t="n">
        <v>0</v>
      </c>
      <c r="R595" s="2" t="inlineStr"/>
    </row>
    <row r="596" ht="15" customHeight="1">
      <c r="A596" t="inlineStr">
        <is>
          <t>A 59136-2023</t>
        </is>
      </c>
      <c r="B596" s="1" t="n">
        <v>45251</v>
      </c>
      <c r="C596" s="1" t="n">
        <v>45912</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25376-2025</t>
        </is>
      </c>
      <c r="B597" s="1" t="n">
        <v>45800.63619212963</v>
      </c>
      <c r="C597" s="1" t="n">
        <v>45912</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45912</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45912</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25659-2025</t>
        </is>
      </c>
      <c r="B600" s="1" t="n">
        <v>45803.61552083334</v>
      </c>
      <c r="C600" s="1" t="n">
        <v>45912</v>
      </c>
      <c r="D600" t="inlineStr">
        <is>
          <t>JÄMTLANDS LÄN</t>
        </is>
      </c>
      <c r="E600" t="inlineStr">
        <is>
          <t>RAGUNDA</t>
        </is>
      </c>
      <c r="G600" t="n">
        <v>1.5</v>
      </c>
      <c r="H600" t="n">
        <v>0</v>
      </c>
      <c r="I600" t="n">
        <v>0</v>
      </c>
      <c r="J600" t="n">
        <v>0</v>
      </c>
      <c r="K600" t="n">
        <v>0</v>
      </c>
      <c r="L600" t="n">
        <v>0</v>
      </c>
      <c r="M600" t="n">
        <v>0</v>
      </c>
      <c r="N600" t="n">
        <v>0</v>
      </c>
      <c r="O600" t="n">
        <v>0</v>
      </c>
      <c r="P600" t="n">
        <v>0</v>
      </c>
      <c r="Q600" t="n">
        <v>0</v>
      </c>
      <c r="R600" s="2" t="inlineStr"/>
    </row>
    <row r="601" ht="15" customHeight="1">
      <c r="A601" t="inlineStr">
        <is>
          <t>A 25661-2025</t>
        </is>
      </c>
      <c r="B601" s="1" t="n">
        <v>45803.61557870371</v>
      </c>
      <c r="C601" s="1" t="n">
        <v>45912</v>
      </c>
      <c r="D601" t="inlineStr">
        <is>
          <t>JÄMTLANDS LÄN</t>
        </is>
      </c>
      <c r="E601" t="inlineStr">
        <is>
          <t>RAGUNDA</t>
        </is>
      </c>
      <c r="G601" t="n">
        <v>1.4</v>
      </c>
      <c r="H601" t="n">
        <v>0</v>
      </c>
      <c r="I601" t="n">
        <v>0</v>
      </c>
      <c r="J601" t="n">
        <v>0</v>
      </c>
      <c r="K601" t="n">
        <v>0</v>
      </c>
      <c r="L601" t="n">
        <v>0</v>
      </c>
      <c r="M601" t="n">
        <v>0</v>
      </c>
      <c r="N601" t="n">
        <v>0</v>
      </c>
      <c r="O601" t="n">
        <v>0</v>
      </c>
      <c r="P601" t="n">
        <v>0</v>
      </c>
      <c r="Q601" t="n">
        <v>0</v>
      </c>
      <c r="R601" s="2" t="inlineStr"/>
    </row>
    <row r="602" ht="15" customHeight="1">
      <c r="A602" t="inlineStr">
        <is>
          <t>A 49659-2023</t>
        </is>
      </c>
      <c r="B602" s="1" t="n">
        <v>45211.95134259259</v>
      </c>
      <c r="C602" s="1" t="n">
        <v>45912</v>
      </c>
      <c r="D602" t="inlineStr">
        <is>
          <t>JÄMTLANDS LÄN</t>
        </is>
      </c>
      <c r="E602" t="inlineStr">
        <is>
          <t>RAGUNDA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7722-2023</t>
        </is>
      </c>
      <c r="B603" s="1" t="n">
        <v>44972.94140046297</v>
      </c>
      <c r="C603" s="1" t="n">
        <v>45912</v>
      </c>
      <c r="D603" t="inlineStr">
        <is>
          <t>JÄMTLANDS LÄN</t>
        </is>
      </c>
      <c r="E603" t="inlineStr">
        <is>
          <t>RAGUNDA</t>
        </is>
      </c>
      <c r="F603" t="inlineStr">
        <is>
          <t>SCA</t>
        </is>
      </c>
      <c r="G603" t="n">
        <v>5.4</v>
      </c>
      <c r="H603" t="n">
        <v>0</v>
      </c>
      <c r="I603" t="n">
        <v>0</v>
      </c>
      <c r="J603" t="n">
        <v>0</v>
      </c>
      <c r="K603" t="n">
        <v>0</v>
      </c>
      <c r="L603" t="n">
        <v>0</v>
      </c>
      <c r="M603" t="n">
        <v>0</v>
      </c>
      <c r="N603" t="n">
        <v>0</v>
      </c>
      <c r="O603" t="n">
        <v>0</v>
      </c>
      <c r="P603" t="n">
        <v>0</v>
      </c>
      <c r="Q603" t="n">
        <v>0</v>
      </c>
      <c r="R603" s="2" t="inlineStr"/>
    </row>
    <row r="604" ht="15" customHeight="1">
      <c r="A604" t="inlineStr">
        <is>
          <t>A 12204-2025</t>
        </is>
      </c>
      <c r="B604" s="1" t="n">
        <v>45729.51074074074</v>
      </c>
      <c r="C604" s="1" t="n">
        <v>45912</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25350-2025</t>
        </is>
      </c>
      <c r="B605" s="1" t="n">
        <v>45800</v>
      </c>
      <c r="C605" s="1" t="n">
        <v>45912</v>
      </c>
      <c r="D605" t="inlineStr">
        <is>
          <t>JÄMTLANDS LÄN</t>
        </is>
      </c>
      <c r="E605" t="inlineStr">
        <is>
          <t>RAGUNDA</t>
        </is>
      </c>
      <c r="G605" t="n">
        <v>2.4</v>
      </c>
      <c r="H605" t="n">
        <v>0</v>
      </c>
      <c r="I605" t="n">
        <v>0</v>
      </c>
      <c r="J605" t="n">
        <v>0</v>
      </c>
      <c r="K605" t="n">
        <v>0</v>
      </c>
      <c r="L605" t="n">
        <v>0</v>
      </c>
      <c r="M605" t="n">
        <v>0</v>
      </c>
      <c r="N605" t="n">
        <v>0</v>
      </c>
      <c r="O605" t="n">
        <v>0</v>
      </c>
      <c r="P605" t="n">
        <v>0</v>
      </c>
      <c r="Q605" t="n">
        <v>0</v>
      </c>
      <c r="R605" s="2" t="inlineStr"/>
    </row>
    <row r="606" ht="15" customHeight="1">
      <c r="A606" t="inlineStr">
        <is>
          <t>A 25152-2025</t>
        </is>
      </c>
      <c r="B606" s="1" t="n">
        <v>45800.42743055556</v>
      </c>
      <c r="C606" s="1" t="n">
        <v>45912</v>
      </c>
      <c r="D606" t="inlineStr">
        <is>
          <t>JÄMTLANDS LÄN</t>
        </is>
      </c>
      <c r="E606" t="inlineStr">
        <is>
          <t>RAGUNDA</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19613-2023</t>
        </is>
      </c>
      <c r="B607" s="1" t="n">
        <v>45050.94020833333</v>
      </c>
      <c r="C607" s="1" t="n">
        <v>45912</v>
      </c>
      <c r="D607" t="inlineStr">
        <is>
          <t>JÄMTLANDS LÄN</t>
        </is>
      </c>
      <c r="E607" t="inlineStr">
        <is>
          <t>RAGUNDA</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50521-2024</t>
        </is>
      </c>
      <c r="B608" s="1" t="n">
        <v>45601.55331018518</v>
      </c>
      <c r="C608" s="1" t="n">
        <v>45912</v>
      </c>
      <c r="D608" t="inlineStr">
        <is>
          <t>JÄMTLANDS LÄN</t>
        </is>
      </c>
      <c r="E608" t="inlineStr">
        <is>
          <t>RAGUNDA</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25814-2025</t>
        </is>
      </c>
      <c r="B609" s="1" t="n">
        <v>45804.42642361111</v>
      </c>
      <c r="C609" s="1" t="n">
        <v>45912</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13299-2024</t>
        </is>
      </c>
      <c r="B610" s="1" t="n">
        <v>45386.68003472222</v>
      </c>
      <c r="C610" s="1" t="n">
        <v>45912</v>
      </c>
      <c r="D610" t="inlineStr">
        <is>
          <t>JÄMTLANDS LÄN</t>
        </is>
      </c>
      <c r="E610" t="inlineStr">
        <is>
          <t>RAGUNDA</t>
        </is>
      </c>
      <c r="G610" t="n">
        <v>1.9</v>
      </c>
      <c r="H610" t="n">
        <v>0</v>
      </c>
      <c r="I610" t="n">
        <v>0</v>
      </c>
      <c r="J610" t="n">
        <v>0</v>
      </c>
      <c r="K610" t="n">
        <v>0</v>
      </c>
      <c r="L610" t="n">
        <v>0</v>
      </c>
      <c r="M610" t="n">
        <v>0</v>
      </c>
      <c r="N610" t="n">
        <v>0</v>
      </c>
      <c r="O610" t="n">
        <v>0</v>
      </c>
      <c r="P610" t="n">
        <v>0</v>
      </c>
      <c r="Q610" t="n">
        <v>0</v>
      </c>
      <c r="R610" s="2" t="inlineStr"/>
    </row>
    <row r="611" ht="15" customHeight="1">
      <c r="A611" t="inlineStr">
        <is>
          <t>A 4916-2025</t>
        </is>
      </c>
      <c r="B611" s="1" t="n">
        <v>45688.68196759259</v>
      </c>
      <c r="C611" s="1" t="n">
        <v>45912</v>
      </c>
      <c r="D611" t="inlineStr">
        <is>
          <t>JÄMTLANDS LÄN</t>
        </is>
      </c>
      <c r="E611" t="inlineStr">
        <is>
          <t>RAGUNDA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15024-2022</t>
        </is>
      </c>
      <c r="B612" s="1" t="n">
        <v>44657</v>
      </c>
      <c r="C612" s="1" t="n">
        <v>45912</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25944-2025</t>
        </is>
      </c>
      <c r="B613" s="1" t="n">
        <v>45804.59487268519</v>
      </c>
      <c r="C613" s="1" t="n">
        <v>45912</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891-2022</t>
        </is>
      </c>
      <c r="B614" s="1" t="n">
        <v>44571</v>
      </c>
      <c r="C614" s="1" t="n">
        <v>45912</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59557-2023</t>
        </is>
      </c>
      <c r="B615" s="1" t="n">
        <v>45253</v>
      </c>
      <c r="C615" s="1" t="n">
        <v>45912</v>
      </c>
      <c r="D615" t="inlineStr">
        <is>
          <t>JÄMTLANDS LÄN</t>
        </is>
      </c>
      <c r="E615" t="inlineStr">
        <is>
          <t>RAGUNDA</t>
        </is>
      </c>
      <c r="G615" t="n">
        <v>1</v>
      </c>
      <c r="H615" t="n">
        <v>0</v>
      </c>
      <c r="I615" t="n">
        <v>0</v>
      </c>
      <c r="J615" t="n">
        <v>0</v>
      </c>
      <c r="K615" t="n">
        <v>0</v>
      </c>
      <c r="L615" t="n">
        <v>0</v>
      </c>
      <c r="M615" t="n">
        <v>0</v>
      </c>
      <c r="N615" t="n">
        <v>0</v>
      </c>
      <c r="O615" t="n">
        <v>0</v>
      </c>
      <c r="P615" t="n">
        <v>0</v>
      </c>
      <c r="Q615" t="n">
        <v>0</v>
      </c>
      <c r="R615" s="2" t="inlineStr"/>
    </row>
    <row r="616" ht="15" customHeight="1">
      <c r="A616" t="inlineStr">
        <is>
          <t>A 26283-2025</t>
        </is>
      </c>
      <c r="B616" s="1" t="n">
        <v>45805.61495370371</v>
      </c>
      <c r="C616" s="1" t="n">
        <v>45912</v>
      </c>
      <c r="D616" t="inlineStr">
        <is>
          <t>JÄMTLANDS LÄN</t>
        </is>
      </c>
      <c r="E616" t="inlineStr">
        <is>
          <t>RAGUNDA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10788-2025</t>
        </is>
      </c>
      <c r="B617" s="1" t="n">
        <v>45722.48982638889</v>
      </c>
      <c r="C617" s="1" t="n">
        <v>45912</v>
      </c>
      <c r="D617" t="inlineStr">
        <is>
          <t>JÄMTLANDS LÄN</t>
        </is>
      </c>
      <c r="E617" t="inlineStr">
        <is>
          <t>RAGUNDA</t>
        </is>
      </c>
      <c r="G617" t="n">
        <v>3.5</v>
      </c>
      <c r="H617" t="n">
        <v>0</v>
      </c>
      <c r="I617" t="n">
        <v>0</v>
      </c>
      <c r="J617" t="n">
        <v>0</v>
      </c>
      <c r="K617" t="n">
        <v>0</v>
      </c>
      <c r="L617" t="n">
        <v>0</v>
      </c>
      <c r="M617" t="n">
        <v>0</v>
      </c>
      <c r="N617" t="n">
        <v>0</v>
      </c>
      <c r="O617" t="n">
        <v>0</v>
      </c>
      <c r="P617" t="n">
        <v>0</v>
      </c>
      <c r="Q617" t="n">
        <v>0</v>
      </c>
      <c r="R617" s="2" t="inlineStr"/>
    </row>
    <row r="618" ht="15" customHeight="1">
      <c r="A618" t="inlineStr">
        <is>
          <t>A 57112-2024</t>
        </is>
      </c>
      <c r="B618" s="1" t="n">
        <v>45629.36486111111</v>
      </c>
      <c r="C618" s="1" t="n">
        <v>45912</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53136-2024</t>
        </is>
      </c>
      <c r="B619" s="1" t="n">
        <v>45611.5953125</v>
      </c>
      <c r="C619" s="1" t="n">
        <v>45912</v>
      </c>
      <c r="D619" t="inlineStr">
        <is>
          <t>JÄMTLANDS LÄN</t>
        </is>
      </c>
      <c r="E619" t="inlineStr">
        <is>
          <t>RAGUNDA</t>
        </is>
      </c>
      <c r="G619" t="n">
        <v>3.8</v>
      </c>
      <c r="H619" t="n">
        <v>0</v>
      </c>
      <c r="I619" t="n">
        <v>0</v>
      </c>
      <c r="J619" t="n">
        <v>0</v>
      </c>
      <c r="K619" t="n">
        <v>0</v>
      </c>
      <c r="L619" t="n">
        <v>0</v>
      </c>
      <c r="M619" t="n">
        <v>0</v>
      </c>
      <c r="N619" t="n">
        <v>0</v>
      </c>
      <c r="O619" t="n">
        <v>0</v>
      </c>
      <c r="P619" t="n">
        <v>0</v>
      </c>
      <c r="Q619" t="n">
        <v>0</v>
      </c>
      <c r="R619" s="2" t="inlineStr"/>
    </row>
    <row r="620" ht="15" customHeight="1">
      <c r="A620" t="inlineStr">
        <is>
          <t>A 36371-2023</t>
        </is>
      </c>
      <c r="B620" s="1" t="n">
        <v>45149</v>
      </c>
      <c r="C620" s="1" t="n">
        <v>45912</v>
      </c>
      <c r="D620" t="inlineStr">
        <is>
          <t>JÄMTLANDS LÄN</t>
        </is>
      </c>
      <c r="E620" t="inlineStr">
        <is>
          <t>RAGUNDA</t>
        </is>
      </c>
      <c r="G620" t="n">
        <v>25.7</v>
      </c>
      <c r="H620" t="n">
        <v>0</v>
      </c>
      <c r="I620" t="n">
        <v>0</v>
      </c>
      <c r="J620" t="n">
        <v>0</v>
      </c>
      <c r="K620" t="n">
        <v>0</v>
      </c>
      <c r="L620" t="n">
        <v>0</v>
      </c>
      <c r="M620" t="n">
        <v>0</v>
      </c>
      <c r="N620" t="n">
        <v>0</v>
      </c>
      <c r="O620" t="n">
        <v>0</v>
      </c>
      <c r="P620" t="n">
        <v>0</v>
      </c>
      <c r="Q620" t="n">
        <v>0</v>
      </c>
      <c r="R620" s="2" t="inlineStr"/>
    </row>
    <row r="621" ht="15" customHeight="1">
      <c r="A621" t="inlineStr">
        <is>
          <t>A 56702-2023</t>
        </is>
      </c>
      <c r="B621" s="1" t="n">
        <v>45243</v>
      </c>
      <c r="C621" s="1" t="n">
        <v>45912</v>
      </c>
      <c r="D621" t="inlineStr">
        <is>
          <t>JÄMTLANDS LÄN</t>
        </is>
      </c>
      <c r="E621" t="inlineStr">
        <is>
          <t>RAGUNDA</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33621-2023</t>
        </is>
      </c>
      <c r="B622" s="1" t="n">
        <v>45119</v>
      </c>
      <c r="C622" s="1" t="n">
        <v>45912</v>
      </c>
      <c r="D622" t="inlineStr">
        <is>
          <t>JÄMTLANDS LÄN</t>
        </is>
      </c>
      <c r="E622" t="inlineStr">
        <is>
          <t>RAGUNDA</t>
        </is>
      </c>
      <c r="G622" t="n">
        <v>0.5</v>
      </c>
      <c r="H622" t="n">
        <v>0</v>
      </c>
      <c r="I622" t="n">
        <v>0</v>
      </c>
      <c r="J622" t="n">
        <v>0</v>
      </c>
      <c r="K622" t="n">
        <v>0</v>
      </c>
      <c r="L622" t="n">
        <v>0</v>
      </c>
      <c r="M622" t="n">
        <v>0</v>
      </c>
      <c r="N622" t="n">
        <v>0</v>
      </c>
      <c r="O622" t="n">
        <v>0</v>
      </c>
      <c r="P622" t="n">
        <v>0</v>
      </c>
      <c r="Q622" t="n">
        <v>0</v>
      </c>
      <c r="R622" s="2" t="inlineStr"/>
    </row>
    <row r="623" ht="15" customHeight="1">
      <c r="A623" t="inlineStr">
        <is>
          <t>A 6694-2024</t>
        </is>
      </c>
      <c r="B623" s="1" t="n">
        <v>45341.95381944445</v>
      </c>
      <c r="C623" s="1" t="n">
        <v>45912</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45912</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1537-2024</t>
        </is>
      </c>
      <c r="B625" s="1" t="n">
        <v>45306</v>
      </c>
      <c r="C625" s="1" t="n">
        <v>45912</v>
      </c>
      <c r="D625" t="inlineStr">
        <is>
          <t>JÄMTLANDS LÄN</t>
        </is>
      </c>
      <c r="E625" t="inlineStr">
        <is>
          <t>RAGUNDA</t>
        </is>
      </c>
      <c r="G625" t="n">
        <v>0.2</v>
      </c>
      <c r="H625" t="n">
        <v>0</v>
      </c>
      <c r="I625" t="n">
        <v>0</v>
      </c>
      <c r="J625" t="n">
        <v>0</v>
      </c>
      <c r="K625" t="n">
        <v>0</v>
      </c>
      <c r="L625" t="n">
        <v>0</v>
      </c>
      <c r="M625" t="n">
        <v>0</v>
      </c>
      <c r="N625" t="n">
        <v>0</v>
      </c>
      <c r="O625" t="n">
        <v>0</v>
      </c>
      <c r="P625" t="n">
        <v>0</v>
      </c>
      <c r="Q625" t="n">
        <v>0</v>
      </c>
      <c r="R625" s="2" t="inlineStr"/>
    </row>
    <row r="626" ht="15" customHeight="1">
      <c r="A626" t="inlineStr">
        <is>
          <t>A 25994-2025</t>
        </is>
      </c>
      <c r="B626" s="1" t="n">
        <v>45804.65672453704</v>
      </c>
      <c r="C626" s="1" t="n">
        <v>45912</v>
      </c>
      <c r="D626" t="inlineStr">
        <is>
          <t>JÄMTLANDS LÄN</t>
        </is>
      </c>
      <c r="E626" t="inlineStr">
        <is>
          <t>RAGUNDA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60935-2024</t>
        </is>
      </c>
      <c r="B627" s="1" t="n">
        <v>45645.36740740741</v>
      </c>
      <c r="C627" s="1" t="n">
        <v>45912</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55309-2020</t>
        </is>
      </c>
      <c r="B628" s="1" t="n">
        <v>44130.9416550926</v>
      </c>
      <c r="C628" s="1" t="n">
        <v>45912</v>
      </c>
      <c r="D628" t="inlineStr">
        <is>
          <t>JÄMTLANDS LÄN</t>
        </is>
      </c>
      <c r="E628" t="inlineStr">
        <is>
          <t>RAGUNDA</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32259-2024</t>
        </is>
      </c>
      <c r="B629" s="1" t="n">
        <v>45511</v>
      </c>
      <c r="C629" s="1" t="n">
        <v>45912</v>
      </c>
      <c r="D629" t="inlineStr">
        <is>
          <t>JÄMTLANDS LÄN</t>
        </is>
      </c>
      <c r="E629" t="inlineStr">
        <is>
          <t>RAGUNDA</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6257-2025</t>
        </is>
      </c>
      <c r="B630" s="1" t="n">
        <v>45698.59409722222</v>
      </c>
      <c r="C630" s="1" t="n">
        <v>45912</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26172-2025</t>
        </is>
      </c>
      <c r="B631" s="1" t="n">
        <v>45805.46613425926</v>
      </c>
      <c r="C631" s="1" t="n">
        <v>45912</v>
      </c>
      <c r="D631" t="inlineStr">
        <is>
          <t>JÄMTLANDS LÄN</t>
        </is>
      </c>
      <c r="E631" t="inlineStr">
        <is>
          <t>RAGUNDA</t>
        </is>
      </c>
      <c r="G631" t="n">
        <v>2.1</v>
      </c>
      <c r="H631" t="n">
        <v>0</v>
      </c>
      <c r="I631" t="n">
        <v>0</v>
      </c>
      <c r="J631" t="n">
        <v>0</v>
      </c>
      <c r="K631" t="n">
        <v>0</v>
      </c>
      <c r="L631" t="n">
        <v>0</v>
      </c>
      <c r="M631" t="n">
        <v>0</v>
      </c>
      <c r="N631" t="n">
        <v>0</v>
      </c>
      <c r="O631" t="n">
        <v>0</v>
      </c>
      <c r="P631" t="n">
        <v>0</v>
      </c>
      <c r="Q631" t="n">
        <v>0</v>
      </c>
      <c r="R631" s="2" t="inlineStr"/>
    </row>
    <row r="632" ht="15" customHeight="1">
      <c r="A632" t="inlineStr">
        <is>
          <t>A 14074-2023</t>
        </is>
      </c>
      <c r="B632" s="1" t="n">
        <v>45009.089375</v>
      </c>
      <c r="C632" s="1" t="n">
        <v>45912</v>
      </c>
      <c r="D632" t="inlineStr">
        <is>
          <t>JÄMTLANDS LÄN</t>
        </is>
      </c>
      <c r="E632" t="inlineStr">
        <is>
          <t>RAGUNDA</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37265-2024</t>
        </is>
      </c>
      <c r="B633" s="1" t="n">
        <v>45540.38564814815</v>
      </c>
      <c r="C633" s="1" t="n">
        <v>45912</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26246-2025</t>
        </is>
      </c>
      <c r="B634" s="1" t="n">
        <v>45805.57390046296</v>
      </c>
      <c r="C634" s="1" t="n">
        <v>45912</v>
      </c>
      <c r="D634" t="inlineStr">
        <is>
          <t>JÄMTLANDS LÄN</t>
        </is>
      </c>
      <c r="E634" t="inlineStr">
        <is>
          <t>RAGUNDA</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5313-2025</t>
        </is>
      </c>
      <c r="B635" s="1" t="n">
        <v>45692.51069444444</v>
      </c>
      <c r="C635" s="1" t="n">
        <v>45912</v>
      </c>
      <c r="D635" t="inlineStr">
        <is>
          <t>JÄMTLANDS LÄN</t>
        </is>
      </c>
      <c r="E635" t="inlineStr">
        <is>
          <t>RAGUNDA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5357-2025</t>
        </is>
      </c>
      <c r="B636" s="1" t="n">
        <v>45692.57326388889</v>
      </c>
      <c r="C636" s="1" t="n">
        <v>45912</v>
      </c>
      <c r="D636" t="inlineStr">
        <is>
          <t>JÄMTLANDS LÄN</t>
        </is>
      </c>
      <c r="E636" t="inlineStr">
        <is>
          <t>RAGUNDA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3018-2024</t>
        </is>
      </c>
      <c r="B637" s="1" t="n">
        <v>45315.9492824074</v>
      </c>
      <c r="C637" s="1" t="n">
        <v>45912</v>
      </c>
      <c r="D637" t="inlineStr">
        <is>
          <t>JÄMTLANDS LÄN</t>
        </is>
      </c>
      <c r="E637" t="inlineStr">
        <is>
          <t>RAGUNDA</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44605-2024</t>
        </is>
      </c>
      <c r="B638" s="1" t="n">
        <v>45574.51185185185</v>
      </c>
      <c r="C638" s="1" t="n">
        <v>45912</v>
      </c>
      <c r="D638" t="inlineStr">
        <is>
          <t>JÄMTLANDS LÄN</t>
        </is>
      </c>
      <c r="E638" t="inlineStr">
        <is>
          <t>RAGUNDA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20773-2024</t>
        </is>
      </c>
      <c r="B639" s="1" t="n">
        <v>45436.94636574074</v>
      </c>
      <c r="C639" s="1" t="n">
        <v>45912</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34323-2023</t>
        </is>
      </c>
      <c r="B640" s="1" t="n">
        <v>45138.94925925926</v>
      </c>
      <c r="C640" s="1" t="n">
        <v>45912</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50486-2023</t>
        </is>
      </c>
      <c r="B641" s="1" t="n">
        <v>45216.92424768519</v>
      </c>
      <c r="C641" s="1" t="n">
        <v>45912</v>
      </c>
      <c r="D641" t="inlineStr">
        <is>
          <t>JÄMTLANDS LÄN</t>
        </is>
      </c>
      <c r="E641" t="inlineStr">
        <is>
          <t>RAGUNDA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18777-2024</t>
        </is>
      </c>
      <c r="B642" s="1" t="n">
        <v>45426</v>
      </c>
      <c r="C642" s="1" t="n">
        <v>45912</v>
      </c>
      <c r="D642" t="inlineStr">
        <is>
          <t>JÄMTLANDS LÄN</t>
        </is>
      </c>
      <c r="E642" t="inlineStr">
        <is>
          <t>RAGUNDA</t>
        </is>
      </c>
      <c r="G642" t="n">
        <v>1.9</v>
      </c>
      <c r="H642" t="n">
        <v>0</v>
      </c>
      <c r="I642" t="n">
        <v>0</v>
      </c>
      <c r="J642" t="n">
        <v>0</v>
      </c>
      <c r="K642" t="n">
        <v>0</v>
      </c>
      <c r="L642" t="n">
        <v>0</v>
      </c>
      <c r="M642" t="n">
        <v>0</v>
      </c>
      <c r="N642" t="n">
        <v>0</v>
      </c>
      <c r="O642" t="n">
        <v>0</v>
      </c>
      <c r="P642" t="n">
        <v>0</v>
      </c>
      <c r="Q642" t="n">
        <v>0</v>
      </c>
      <c r="R642" s="2" t="inlineStr"/>
    </row>
    <row r="643" ht="15" customHeight="1">
      <c r="A643" t="inlineStr">
        <is>
          <t>A 73278-2021</t>
        </is>
      </c>
      <c r="B643" s="1" t="n">
        <v>44550.92168981482</v>
      </c>
      <c r="C643" s="1" t="n">
        <v>45912</v>
      </c>
      <c r="D643" t="inlineStr">
        <is>
          <t>JÄMTLANDS LÄN</t>
        </is>
      </c>
      <c r="E643" t="inlineStr">
        <is>
          <t>RAGUNDA</t>
        </is>
      </c>
      <c r="G643" t="n">
        <v>4.4</v>
      </c>
      <c r="H643" t="n">
        <v>0</v>
      </c>
      <c r="I643" t="n">
        <v>0</v>
      </c>
      <c r="J643" t="n">
        <v>0</v>
      </c>
      <c r="K643" t="n">
        <v>0</v>
      </c>
      <c r="L643" t="n">
        <v>0</v>
      </c>
      <c r="M643" t="n">
        <v>0</v>
      </c>
      <c r="N643" t="n">
        <v>0</v>
      </c>
      <c r="O643" t="n">
        <v>0</v>
      </c>
      <c r="P643" t="n">
        <v>0</v>
      </c>
      <c r="Q643" t="n">
        <v>0</v>
      </c>
      <c r="R643" s="2" t="inlineStr"/>
    </row>
    <row r="644" ht="15" customHeight="1">
      <c r="A644" t="inlineStr">
        <is>
          <t>A 51396-2024</t>
        </is>
      </c>
      <c r="B644" s="1" t="n">
        <v>45604.4190625</v>
      </c>
      <c r="C644" s="1" t="n">
        <v>45912</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51538-2022</t>
        </is>
      </c>
      <c r="B645" s="1" t="n">
        <v>44869</v>
      </c>
      <c r="C645" s="1" t="n">
        <v>45912</v>
      </c>
      <c r="D645" t="inlineStr">
        <is>
          <t>JÄMTLANDS LÄN</t>
        </is>
      </c>
      <c r="E645" t="inlineStr">
        <is>
          <t>RAGUNDA</t>
        </is>
      </c>
      <c r="G645" t="n">
        <v>6.8</v>
      </c>
      <c r="H645" t="n">
        <v>0</v>
      </c>
      <c r="I645" t="n">
        <v>0</v>
      </c>
      <c r="J645" t="n">
        <v>0</v>
      </c>
      <c r="K645" t="n">
        <v>0</v>
      </c>
      <c r="L645" t="n">
        <v>0</v>
      </c>
      <c r="M645" t="n">
        <v>0</v>
      </c>
      <c r="N645" t="n">
        <v>0</v>
      </c>
      <c r="O645" t="n">
        <v>0</v>
      </c>
      <c r="P645" t="n">
        <v>0</v>
      </c>
      <c r="Q645" t="n">
        <v>0</v>
      </c>
      <c r="R645" s="2" t="inlineStr"/>
    </row>
    <row r="646" ht="15" customHeight="1">
      <c r="A646" t="inlineStr">
        <is>
          <t>A 58564-2024</t>
        </is>
      </c>
      <c r="B646" s="1" t="n">
        <v>45635.47243055556</v>
      </c>
      <c r="C646" s="1" t="n">
        <v>45912</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26640-2025</t>
        </is>
      </c>
      <c r="B647" s="1" t="n">
        <v>45810.36495370371</v>
      </c>
      <c r="C647" s="1" t="n">
        <v>45912</v>
      </c>
      <c r="D647" t="inlineStr">
        <is>
          <t>JÄMTLANDS LÄN</t>
        </is>
      </c>
      <c r="E647" t="inlineStr">
        <is>
          <t>RAGUNDA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19727-2025</t>
        </is>
      </c>
      <c r="B648" s="1" t="n">
        <v>45771.36538194444</v>
      </c>
      <c r="C648" s="1" t="n">
        <v>45912</v>
      </c>
      <c r="D648" t="inlineStr">
        <is>
          <t>JÄMTLANDS LÄN</t>
        </is>
      </c>
      <c r="E648" t="inlineStr">
        <is>
          <t>RAGUNDA</t>
        </is>
      </c>
      <c r="F648" t="inlineStr">
        <is>
          <t>SCA</t>
        </is>
      </c>
      <c r="G648" t="n">
        <v>9</v>
      </c>
      <c r="H648" t="n">
        <v>0</v>
      </c>
      <c r="I648" t="n">
        <v>0</v>
      </c>
      <c r="J648" t="n">
        <v>0</v>
      </c>
      <c r="K648" t="n">
        <v>0</v>
      </c>
      <c r="L648" t="n">
        <v>0</v>
      </c>
      <c r="M648" t="n">
        <v>0</v>
      </c>
      <c r="N648" t="n">
        <v>0</v>
      </c>
      <c r="O648" t="n">
        <v>0</v>
      </c>
      <c r="P648" t="n">
        <v>0</v>
      </c>
      <c r="Q648" t="n">
        <v>0</v>
      </c>
      <c r="R648" s="2" t="inlineStr"/>
    </row>
    <row r="649" ht="15" customHeight="1">
      <c r="A649" t="inlineStr">
        <is>
          <t>A 19854-2025</t>
        </is>
      </c>
      <c r="B649" s="1" t="n">
        <v>45771.51074074074</v>
      </c>
      <c r="C649" s="1" t="n">
        <v>45912</v>
      </c>
      <c r="D649" t="inlineStr">
        <is>
          <t>JÄMTLANDS LÄN</t>
        </is>
      </c>
      <c r="E649" t="inlineStr">
        <is>
          <t>RAGUNDA</t>
        </is>
      </c>
      <c r="F649" t="inlineStr">
        <is>
          <t>SCA</t>
        </is>
      </c>
      <c r="G649" t="n">
        <v>8.4</v>
      </c>
      <c r="H649" t="n">
        <v>0</v>
      </c>
      <c r="I649" t="n">
        <v>0</v>
      </c>
      <c r="J649" t="n">
        <v>0</v>
      </c>
      <c r="K649" t="n">
        <v>0</v>
      </c>
      <c r="L649" t="n">
        <v>0</v>
      </c>
      <c r="M649" t="n">
        <v>0</v>
      </c>
      <c r="N649" t="n">
        <v>0</v>
      </c>
      <c r="O649" t="n">
        <v>0</v>
      </c>
      <c r="P649" t="n">
        <v>0</v>
      </c>
      <c r="Q649" t="n">
        <v>0</v>
      </c>
      <c r="R649" s="2" t="inlineStr"/>
    </row>
    <row r="650" ht="15" customHeight="1">
      <c r="A650" t="inlineStr">
        <is>
          <t>A 8243-2024</t>
        </is>
      </c>
      <c r="B650" s="1" t="n">
        <v>45351.98532407408</v>
      </c>
      <c r="C650" s="1" t="n">
        <v>45912</v>
      </c>
      <c r="D650" t="inlineStr">
        <is>
          <t>JÄMTLANDS LÄN</t>
        </is>
      </c>
      <c r="E650" t="inlineStr">
        <is>
          <t>RAGUNDA</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1325-2025</t>
        </is>
      </c>
      <c r="B651" s="1" t="n">
        <v>45667.57342592593</v>
      </c>
      <c r="C651" s="1" t="n">
        <v>45912</v>
      </c>
      <c r="D651" t="inlineStr">
        <is>
          <t>JÄMTLANDS LÄN</t>
        </is>
      </c>
      <c r="E651" t="inlineStr">
        <is>
          <t>RAGUNDA</t>
        </is>
      </c>
      <c r="F651" t="inlineStr">
        <is>
          <t>SCA</t>
        </is>
      </c>
      <c r="G651" t="n">
        <v>20.2</v>
      </c>
      <c r="H651" t="n">
        <v>0</v>
      </c>
      <c r="I651" t="n">
        <v>0</v>
      </c>
      <c r="J651" t="n">
        <v>0</v>
      </c>
      <c r="K651" t="n">
        <v>0</v>
      </c>
      <c r="L651" t="n">
        <v>0</v>
      </c>
      <c r="M651" t="n">
        <v>0</v>
      </c>
      <c r="N651" t="n">
        <v>0</v>
      </c>
      <c r="O651" t="n">
        <v>0</v>
      </c>
      <c r="P651" t="n">
        <v>0</v>
      </c>
      <c r="Q651" t="n">
        <v>0</v>
      </c>
      <c r="R651" s="2" t="inlineStr"/>
    </row>
    <row r="652" ht="15" customHeight="1">
      <c r="A652" t="inlineStr">
        <is>
          <t>A 50503-2024</t>
        </is>
      </c>
      <c r="B652" s="1" t="n">
        <v>45601.5315625</v>
      </c>
      <c r="C652" s="1" t="n">
        <v>45912</v>
      </c>
      <c r="D652" t="inlineStr">
        <is>
          <t>JÄMTLANDS LÄN</t>
        </is>
      </c>
      <c r="E652" t="inlineStr">
        <is>
          <t>RAGUNDA</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10610-2024</t>
        </is>
      </c>
      <c r="B653" s="1" t="n">
        <v>45367.04693287037</v>
      </c>
      <c r="C653" s="1" t="n">
        <v>45912</v>
      </c>
      <c r="D653" t="inlineStr">
        <is>
          <t>JÄMTLANDS LÄN</t>
        </is>
      </c>
      <c r="E653" t="inlineStr">
        <is>
          <t>RAGUNDA</t>
        </is>
      </c>
      <c r="F653" t="inlineStr">
        <is>
          <t>SCA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18159-2023</t>
        </is>
      </c>
      <c r="B654" s="1" t="n">
        <v>45040.94277777777</v>
      </c>
      <c r="C654" s="1" t="n">
        <v>45912</v>
      </c>
      <c r="D654" t="inlineStr">
        <is>
          <t>JÄMTLANDS LÄN</t>
        </is>
      </c>
      <c r="E654" t="inlineStr">
        <is>
          <t>RAGUNDA</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51685-2020</t>
        </is>
      </c>
      <c r="B655" s="1" t="n">
        <v>44113</v>
      </c>
      <c r="C655" s="1" t="n">
        <v>45912</v>
      </c>
      <c r="D655" t="inlineStr">
        <is>
          <t>JÄMTLANDS LÄN</t>
        </is>
      </c>
      <c r="E655" t="inlineStr">
        <is>
          <t>RAGUNDA</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2001-2025</t>
        </is>
      </c>
      <c r="B656" s="1" t="n">
        <v>45672.44898148148</v>
      </c>
      <c r="C656" s="1" t="n">
        <v>45912</v>
      </c>
      <c r="D656" t="inlineStr">
        <is>
          <t>JÄMTLANDS LÄN</t>
        </is>
      </c>
      <c r="E656" t="inlineStr">
        <is>
          <t>RAGUNDA</t>
        </is>
      </c>
      <c r="F656" t="inlineStr">
        <is>
          <t>SCA</t>
        </is>
      </c>
      <c r="G656" t="n">
        <v>16.2</v>
      </c>
      <c r="H656" t="n">
        <v>0</v>
      </c>
      <c r="I656" t="n">
        <v>0</v>
      </c>
      <c r="J656" t="n">
        <v>0</v>
      </c>
      <c r="K656" t="n">
        <v>0</v>
      </c>
      <c r="L656" t="n">
        <v>0</v>
      </c>
      <c r="M656" t="n">
        <v>0</v>
      </c>
      <c r="N656" t="n">
        <v>0</v>
      </c>
      <c r="O656" t="n">
        <v>0</v>
      </c>
      <c r="P656" t="n">
        <v>0</v>
      </c>
      <c r="Q656" t="n">
        <v>0</v>
      </c>
      <c r="R656" s="2" t="inlineStr"/>
    </row>
    <row r="657" ht="15" customHeight="1">
      <c r="A657" t="inlineStr">
        <is>
          <t>A 10706-2023</t>
        </is>
      </c>
      <c r="B657" s="1" t="n">
        <v>44984</v>
      </c>
      <c r="C657" s="1" t="n">
        <v>45912</v>
      </c>
      <c r="D657" t="inlineStr">
        <is>
          <t>JÄMTLANDS LÄN</t>
        </is>
      </c>
      <c r="E657" t="inlineStr">
        <is>
          <t>RAGUNDA</t>
        </is>
      </c>
      <c r="G657" t="n">
        <v>7.7</v>
      </c>
      <c r="H657" t="n">
        <v>0</v>
      </c>
      <c r="I657" t="n">
        <v>0</v>
      </c>
      <c r="J657" t="n">
        <v>0</v>
      </c>
      <c r="K657" t="n">
        <v>0</v>
      </c>
      <c r="L657" t="n">
        <v>0</v>
      </c>
      <c r="M657" t="n">
        <v>0</v>
      </c>
      <c r="N657" t="n">
        <v>0</v>
      </c>
      <c r="O657" t="n">
        <v>0</v>
      </c>
      <c r="P657" t="n">
        <v>0</v>
      </c>
      <c r="Q657" t="n">
        <v>0</v>
      </c>
      <c r="R657" s="2" t="inlineStr"/>
    </row>
    <row r="658" ht="15" customHeight="1">
      <c r="A658" t="inlineStr">
        <is>
          <t>A 53762-2023</t>
        </is>
      </c>
      <c r="B658" s="1" t="n">
        <v>45230.96376157407</v>
      </c>
      <c r="C658" s="1" t="n">
        <v>45912</v>
      </c>
      <c r="D658" t="inlineStr">
        <is>
          <t>JÄMTLANDS LÄN</t>
        </is>
      </c>
      <c r="E658" t="inlineStr">
        <is>
          <t>RAGUNDA</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63708-2023</t>
        </is>
      </c>
      <c r="B659" s="1" t="n">
        <v>45275.95060185185</v>
      </c>
      <c r="C659" s="1" t="n">
        <v>45912</v>
      </c>
      <c r="D659" t="inlineStr">
        <is>
          <t>JÄMTLANDS LÄN</t>
        </is>
      </c>
      <c r="E659" t="inlineStr">
        <is>
          <t>RAGUNDA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16250-2022</t>
        </is>
      </c>
      <c r="B660" s="1" t="n">
        <v>44670</v>
      </c>
      <c r="C660" s="1" t="n">
        <v>45912</v>
      </c>
      <c r="D660" t="inlineStr">
        <is>
          <t>JÄMTLANDS LÄN</t>
        </is>
      </c>
      <c r="E660" t="inlineStr">
        <is>
          <t>RAGUNDA</t>
        </is>
      </c>
      <c r="G660" t="n">
        <v>1</v>
      </c>
      <c r="H660" t="n">
        <v>0</v>
      </c>
      <c r="I660" t="n">
        <v>0</v>
      </c>
      <c r="J660" t="n">
        <v>0</v>
      </c>
      <c r="K660" t="n">
        <v>0</v>
      </c>
      <c r="L660" t="n">
        <v>0</v>
      </c>
      <c r="M660" t="n">
        <v>0</v>
      </c>
      <c r="N660" t="n">
        <v>0</v>
      </c>
      <c r="O660" t="n">
        <v>0</v>
      </c>
      <c r="P660" t="n">
        <v>0</v>
      </c>
      <c r="Q660" t="n">
        <v>0</v>
      </c>
      <c r="R660" s="2" t="inlineStr"/>
    </row>
    <row r="661" ht="15" customHeight="1">
      <c r="A661" t="inlineStr">
        <is>
          <t>A 19486-2024</t>
        </is>
      </c>
      <c r="B661" s="1" t="n">
        <v>45429</v>
      </c>
      <c r="C661" s="1" t="n">
        <v>45912</v>
      </c>
      <c r="D661" t="inlineStr">
        <is>
          <t>JÄMTLANDS LÄN</t>
        </is>
      </c>
      <c r="E661" t="inlineStr">
        <is>
          <t>RAGUNDA</t>
        </is>
      </c>
      <c r="G661" t="n">
        <v>2.3</v>
      </c>
      <c r="H661" t="n">
        <v>0</v>
      </c>
      <c r="I661" t="n">
        <v>0</v>
      </c>
      <c r="J661" t="n">
        <v>0</v>
      </c>
      <c r="K661" t="n">
        <v>0</v>
      </c>
      <c r="L661" t="n">
        <v>0</v>
      </c>
      <c r="M661" t="n">
        <v>0</v>
      </c>
      <c r="N661" t="n">
        <v>0</v>
      </c>
      <c r="O661" t="n">
        <v>0</v>
      </c>
      <c r="P661" t="n">
        <v>0</v>
      </c>
      <c r="Q661" t="n">
        <v>0</v>
      </c>
      <c r="R661" s="2" t="inlineStr"/>
    </row>
    <row r="662" ht="15" customHeight="1">
      <c r="A662" t="inlineStr">
        <is>
          <t>A 1326-2025</t>
        </is>
      </c>
      <c r="B662" s="1" t="n">
        <v>45667.57347222222</v>
      </c>
      <c r="C662" s="1" t="n">
        <v>45912</v>
      </c>
      <c r="D662" t="inlineStr">
        <is>
          <t>JÄMTLANDS LÄN</t>
        </is>
      </c>
      <c r="E662" t="inlineStr">
        <is>
          <t>RAGUNDA</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30642-2024</t>
        </is>
      </c>
      <c r="B663" s="1" t="n">
        <v>45495.57677083334</v>
      </c>
      <c r="C663" s="1" t="n">
        <v>45912</v>
      </c>
      <c r="D663" t="inlineStr">
        <is>
          <t>JÄMTLANDS LÄN</t>
        </is>
      </c>
      <c r="E663" t="inlineStr">
        <is>
          <t>RAGUNDA</t>
        </is>
      </c>
      <c r="G663" t="n">
        <v>2.7</v>
      </c>
      <c r="H663" t="n">
        <v>0</v>
      </c>
      <c r="I663" t="n">
        <v>0</v>
      </c>
      <c r="J663" t="n">
        <v>0</v>
      </c>
      <c r="K663" t="n">
        <v>0</v>
      </c>
      <c r="L663" t="n">
        <v>0</v>
      </c>
      <c r="M663" t="n">
        <v>0</v>
      </c>
      <c r="N663" t="n">
        <v>0</v>
      </c>
      <c r="O663" t="n">
        <v>0</v>
      </c>
      <c r="P663" t="n">
        <v>0</v>
      </c>
      <c r="Q663" t="n">
        <v>0</v>
      </c>
      <c r="R663" s="2" t="inlineStr"/>
    </row>
    <row r="664" ht="15" customHeight="1">
      <c r="A664" t="inlineStr">
        <is>
          <t>A 60663-2022</t>
        </is>
      </c>
      <c r="B664" s="1" t="n">
        <v>44911.93846064815</v>
      </c>
      <c r="C664" s="1" t="n">
        <v>45912</v>
      </c>
      <c r="D664" t="inlineStr">
        <is>
          <t>JÄMTLANDS LÄN</t>
        </is>
      </c>
      <c r="E664" t="inlineStr">
        <is>
          <t>RAGUNDA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58847-2024</t>
        </is>
      </c>
      <c r="B665" s="1" t="n">
        <v>45636.3864699074</v>
      </c>
      <c r="C665" s="1" t="n">
        <v>45912</v>
      </c>
      <c r="D665" t="inlineStr">
        <is>
          <t>JÄMTLANDS LÄN</t>
        </is>
      </c>
      <c r="E665" t="inlineStr">
        <is>
          <t>RAGUNDA</t>
        </is>
      </c>
      <c r="F665" t="inlineStr">
        <is>
          <t>SCA</t>
        </is>
      </c>
      <c r="G665" t="n">
        <v>8</v>
      </c>
      <c r="H665" t="n">
        <v>0</v>
      </c>
      <c r="I665" t="n">
        <v>0</v>
      </c>
      <c r="J665" t="n">
        <v>0</v>
      </c>
      <c r="K665" t="n">
        <v>0</v>
      </c>
      <c r="L665" t="n">
        <v>0</v>
      </c>
      <c r="M665" t="n">
        <v>0</v>
      </c>
      <c r="N665" t="n">
        <v>0</v>
      </c>
      <c r="O665" t="n">
        <v>0</v>
      </c>
      <c r="P665" t="n">
        <v>0</v>
      </c>
      <c r="Q665" t="n">
        <v>0</v>
      </c>
      <c r="R665" s="2" t="inlineStr"/>
    </row>
    <row r="666" ht="15" customHeight="1">
      <c r="A666" t="inlineStr">
        <is>
          <t>A 993-2025</t>
        </is>
      </c>
      <c r="B666" s="1" t="n">
        <v>45666.44943287037</v>
      </c>
      <c r="C666" s="1" t="n">
        <v>45912</v>
      </c>
      <c r="D666" t="inlineStr">
        <is>
          <t>JÄMTLANDS LÄN</t>
        </is>
      </c>
      <c r="E666" t="inlineStr">
        <is>
          <t>RAGUNDA</t>
        </is>
      </c>
      <c r="G666" t="n">
        <v>11.3</v>
      </c>
      <c r="H666" t="n">
        <v>0</v>
      </c>
      <c r="I666" t="n">
        <v>0</v>
      </c>
      <c r="J666" t="n">
        <v>0</v>
      </c>
      <c r="K666" t="n">
        <v>0</v>
      </c>
      <c r="L666" t="n">
        <v>0</v>
      </c>
      <c r="M666" t="n">
        <v>0</v>
      </c>
      <c r="N666" t="n">
        <v>0</v>
      </c>
      <c r="O666" t="n">
        <v>0</v>
      </c>
      <c r="P666" t="n">
        <v>0</v>
      </c>
      <c r="Q666" t="n">
        <v>0</v>
      </c>
      <c r="R666" s="2" t="inlineStr"/>
    </row>
    <row r="667" ht="15" customHeight="1">
      <c r="A667" t="inlineStr">
        <is>
          <t>A 58193-2022</t>
        </is>
      </c>
      <c r="B667" s="1" t="n">
        <v>44900.95700231481</v>
      </c>
      <c r="C667" s="1" t="n">
        <v>45912</v>
      </c>
      <c r="D667" t="inlineStr">
        <is>
          <t>JÄMTLANDS LÄN</t>
        </is>
      </c>
      <c r="E667" t="inlineStr">
        <is>
          <t>RAGUNDA</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28081-2022</t>
        </is>
      </c>
      <c r="B668" s="1" t="n">
        <v>44746</v>
      </c>
      <c r="C668" s="1" t="n">
        <v>45912</v>
      </c>
      <c r="D668" t="inlineStr">
        <is>
          <t>JÄMTLANDS LÄN</t>
        </is>
      </c>
      <c r="E668" t="inlineStr">
        <is>
          <t>RAGUNDA</t>
        </is>
      </c>
      <c r="G668" t="n">
        <v>7.2</v>
      </c>
      <c r="H668" t="n">
        <v>0</v>
      </c>
      <c r="I668" t="n">
        <v>0</v>
      </c>
      <c r="J668" t="n">
        <v>0</v>
      </c>
      <c r="K668" t="n">
        <v>0</v>
      </c>
      <c r="L668" t="n">
        <v>0</v>
      </c>
      <c r="M668" t="n">
        <v>0</v>
      </c>
      <c r="N668" t="n">
        <v>0</v>
      </c>
      <c r="O668" t="n">
        <v>0</v>
      </c>
      <c r="P668" t="n">
        <v>0</v>
      </c>
      <c r="Q668" t="n">
        <v>0</v>
      </c>
      <c r="R668" s="2" t="inlineStr"/>
    </row>
    <row r="669" ht="15" customHeight="1">
      <c r="A669" t="inlineStr">
        <is>
          <t>A 27777-2022</t>
        </is>
      </c>
      <c r="B669" s="1" t="n">
        <v>44743</v>
      </c>
      <c r="C669" s="1" t="n">
        <v>45912</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19089-2024</t>
        </is>
      </c>
      <c r="B670" s="1" t="n">
        <v>45428.00471064815</v>
      </c>
      <c r="C670" s="1" t="n">
        <v>45912</v>
      </c>
      <c r="D670" t="inlineStr">
        <is>
          <t>JÄMTLANDS LÄN</t>
        </is>
      </c>
      <c r="E670" t="inlineStr">
        <is>
          <t>RAGUNDA</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42875-2024</t>
        </is>
      </c>
      <c r="B671" s="1" t="n">
        <v>45566.68125</v>
      </c>
      <c r="C671" s="1" t="n">
        <v>45912</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53935-2022</t>
        </is>
      </c>
      <c r="B672" s="1" t="n">
        <v>44880</v>
      </c>
      <c r="C672" s="1" t="n">
        <v>45912</v>
      </c>
      <c r="D672" t="inlineStr">
        <is>
          <t>JÄMTLANDS LÄN</t>
        </is>
      </c>
      <c r="E672" t="inlineStr">
        <is>
          <t>RAGUNDA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27510-2025</t>
        </is>
      </c>
      <c r="B673" s="1" t="n">
        <v>45813.42790509259</v>
      </c>
      <c r="C673" s="1" t="n">
        <v>45912</v>
      </c>
      <c r="D673" t="inlineStr">
        <is>
          <t>JÄMTLANDS LÄN</t>
        </is>
      </c>
      <c r="E673" t="inlineStr">
        <is>
          <t>RAGUNDA</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19404-2025</t>
        </is>
      </c>
      <c r="B674" s="1" t="n">
        <v>45769.67802083334</v>
      </c>
      <c r="C674" s="1" t="n">
        <v>45912</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41262-2021</t>
        </is>
      </c>
      <c r="B675" s="1" t="n">
        <v>44424</v>
      </c>
      <c r="C675" s="1" t="n">
        <v>45912</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20221-2025</t>
        </is>
      </c>
      <c r="B676" s="1" t="n">
        <v>45772.6565625</v>
      </c>
      <c r="C676" s="1" t="n">
        <v>45912</v>
      </c>
      <c r="D676" t="inlineStr">
        <is>
          <t>JÄMTLANDS LÄN</t>
        </is>
      </c>
      <c r="E676" t="inlineStr">
        <is>
          <t>RAGUNDA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4015-2022</t>
        </is>
      </c>
      <c r="B677" s="1" t="n">
        <v>44587.92149305555</v>
      </c>
      <c r="C677" s="1" t="n">
        <v>45912</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51049-2024</t>
        </is>
      </c>
      <c r="B678" s="1" t="n">
        <v>45603.44644675926</v>
      </c>
      <c r="C678" s="1" t="n">
        <v>45912</v>
      </c>
      <c r="D678" t="inlineStr">
        <is>
          <t>JÄMTLANDS LÄN</t>
        </is>
      </c>
      <c r="E678" t="inlineStr">
        <is>
          <t>RAGUNDA</t>
        </is>
      </c>
      <c r="F678" t="inlineStr">
        <is>
          <t>SCA</t>
        </is>
      </c>
      <c r="G678" t="n">
        <v>6.9</v>
      </c>
      <c r="H678" t="n">
        <v>0</v>
      </c>
      <c r="I678" t="n">
        <v>0</v>
      </c>
      <c r="J678" t="n">
        <v>0</v>
      </c>
      <c r="K678" t="n">
        <v>0</v>
      </c>
      <c r="L678" t="n">
        <v>0</v>
      </c>
      <c r="M678" t="n">
        <v>0</v>
      </c>
      <c r="N678" t="n">
        <v>0</v>
      </c>
      <c r="O678" t="n">
        <v>0</v>
      </c>
      <c r="P678" t="n">
        <v>0</v>
      </c>
      <c r="Q678" t="n">
        <v>0</v>
      </c>
      <c r="R678" s="2" t="inlineStr"/>
    </row>
    <row r="679" ht="15" customHeight="1">
      <c r="A679" t="inlineStr">
        <is>
          <t>A 44759-2024</t>
        </is>
      </c>
      <c r="B679" s="1" t="n">
        <v>45574.61634259259</v>
      </c>
      <c r="C679" s="1" t="n">
        <v>45912</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37324-2022</t>
        </is>
      </c>
      <c r="B680" s="1" t="n">
        <v>44806</v>
      </c>
      <c r="C680" s="1" t="n">
        <v>45912</v>
      </c>
      <c r="D680" t="inlineStr">
        <is>
          <t>JÄMTLANDS LÄN</t>
        </is>
      </c>
      <c r="E680" t="inlineStr">
        <is>
          <t>RAGUNDA</t>
        </is>
      </c>
      <c r="G680" t="n">
        <v>2.3</v>
      </c>
      <c r="H680" t="n">
        <v>0</v>
      </c>
      <c r="I680" t="n">
        <v>0</v>
      </c>
      <c r="J680" t="n">
        <v>0</v>
      </c>
      <c r="K680" t="n">
        <v>0</v>
      </c>
      <c r="L680" t="n">
        <v>0</v>
      </c>
      <c r="M680" t="n">
        <v>0</v>
      </c>
      <c r="N680" t="n">
        <v>0</v>
      </c>
      <c r="O680" t="n">
        <v>0</v>
      </c>
      <c r="P680" t="n">
        <v>0</v>
      </c>
      <c r="Q680" t="n">
        <v>0</v>
      </c>
      <c r="R680" s="2" t="inlineStr"/>
    </row>
    <row r="681" ht="15" customHeight="1">
      <c r="A681" t="inlineStr">
        <is>
          <t>A 41343-2024</t>
        </is>
      </c>
      <c r="B681" s="1" t="n">
        <v>45559.67745370371</v>
      </c>
      <c r="C681" s="1" t="n">
        <v>45912</v>
      </c>
      <c r="D681" t="inlineStr">
        <is>
          <t>JÄMTLANDS LÄN</t>
        </is>
      </c>
      <c r="E681" t="inlineStr">
        <is>
          <t>RAGUNDA</t>
        </is>
      </c>
      <c r="F681" t="inlineStr">
        <is>
          <t>SCA</t>
        </is>
      </c>
      <c r="G681" t="n">
        <v>25.1</v>
      </c>
      <c r="H681" t="n">
        <v>0</v>
      </c>
      <c r="I681" t="n">
        <v>0</v>
      </c>
      <c r="J681" t="n">
        <v>0</v>
      </c>
      <c r="K681" t="n">
        <v>0</v>
      </c>
      <c r="L681" t="n">
        <v>0</v>
      </c>
      <c r="M681" t="n">
        <v>0</v>
      </c>
      <c r="N681" t="n">
        <v>0</v>
      </c>
      <c r="O681" t="n">
        <v>0</v>
      </c>
      <c r="P681" t="n">
        <v>0</v>
      </c>
      <c r="Q681" t="n">
        <v>0</v>
      </c>
      <c r="R681" s="2" t="inlineStr"/>
    </row>
    <row r="682" ht="15" customHeight="1">
      <c r="A682" t="inlineStr">
        <is>
          <t>A 45953-2023</t>
        </is>
      </c>
      <c r="B682" s="1" t="n">
        <v>45195.94672453704</v>
      </c>
      <c r="C682" s="1" t="n">
        <v>45912</v>
      </c>
      <c r="D682" t="inlineStr">
        <is>
          <t>JÄMTLANDS LÄN</t>
        </is>
      </c>
      <c r="E682" t="inlineStr">
        <is>
          <t>RAGUNDA</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16982-2024</t>
        </is>
      </c>
      <c r="B683" s="1" t="n">
        <v>45412.02506944445</v>
      </c>
      <c r="C683" s="1" t="n">
        <v>45912</v>
      </c>
      <c r="D683" t="inlineStr">
        <is>
          <t>JÄMTLANDS LÄN</t>
        </is>
      </c>
      <c r="E683" t="inlineStr">
        <is>
          <t>RAGUNDA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8416-2023</t>
        </is>
      </c>
      <c r="B684" s="1" t="n">
        <v>44977.44373842593</v>
      </c>
      <c r="C684" s="1" t="n">
        <v>45912</v>
      </c>
      <c r="D684" t="inlineStr">
        <is>
          <t>JÄMTLANDS LÄN</t>
        </is>
      </c>
      <c r="E684" t="inlineStr">
        <is>
          <t>RAGUNDA</t>
        </is>
      </c>
      <c r="G684" t="n">
        <v>0.7</v>
      </c>
      <c r="H684" t="n">
        <v>0</v>
      </c>
      <c r="I684" t="n">
        <v>0</v>
      </c>
      <c r="J684" t="n">
        <v>0</v>
      </c>
      <c r="K684" t="n">
        <v>0</v>
      </c>
      <c r="L684" t="n">
        <v>0</v>
      </c>
      <c r="M684" t="n">
        <v>0</v>
      </c>
      <c r="N684" t="n">
        <v>0</v>
      </c>
      <c r="O684" t="n">
        <v>0</v>
      </c>
      <c r="P684" t="n">
        <v>0</v>
      </c>
      <c r="Q684" t="n">
        <v>0</v>
      </c>
      <c r="R684" s="2" t="inlineStr"/>
    </row>
    <row r="685" ht="15" customHeight="1">
      <c r="A685" t="inlineStr">
        <is>
          <t>A 45253-2023</t>
        </is>
      </c>
      <c r="B685" s="1" t="n">
        <v>45187</v>
      </c>
      <c r="C685" s="1" t="n">
        <v>45912</v>
      </c>
      <c r="D685" t="inlineStr">
        <is>
          <t>JÄMTLANDS LÄN</t>
        </is>
      </c>
      <c r="E685" t="inlineStr">
        <is>
          <t>RAGUNDA</t>
        </is>
      </c>
      <c r="G685" t="n">
        <v>3.3</v>
      </c>
      <c r="H685" t="n">
        <v>0</v>
      </c>
      <c r="I685" t="n">
        <v>0</v>
      </c>
      <c r="J685" t="n">
        <v>0</v>
      </c>
      <c r="K685" t="n">
        <v>0</v>
      </c>
      <c r="L685" t="n">
        <v>0</v>
      </c>
      <c r="M685" t="n">
        <v>0</v>
      </c>
      <c r="N685" t="n">
        <v>0</v>
      </c>
      <c r="O685" t="n">
        <v>0</v>
      </c>
      <c r="P685" t="n">
        <v>0</v>
      </c>
      <c r="Q685" t="n">
        <v>0</v>
      </c>
      <c r="R685" s="2" t="inlineStr"/>
    </row>
    <row r="686" ht="15" customHeight="1">
      <c r="A686" t="inlineStr">
        <is>
          <t>A 14369-2024</t>
        </is>
      </c>
      <c r="B686" s="1" t="n">
        <v>45393.94459490741</v>
      </c>
      <c r="C686" s="1" t="n">
        <v>45912</v>
      </c>
      <c r="D686" t="inlineStr">
        <is>
          <t>JÄMTLANDS LÄN</t>
        </is>
      </c>
      <c r="E686" t="inlineStr">
        <is>
          <t>RAGUNDA</t>
        </is>
      </c>
      <c r="F686" t="inlineStr">
        <is>
          <t>Naturvårdsverket</t>
        </is>
      </c>
      <c r="G686" t="n">
        <v>1.8</v>
      </c>
      <c r="H686" t="n">
        <v>0</v>
      </c>
      <c r="I686" t="n">
        <v>0</v>
      </c>
      <c r="J686" t="n">
        <v>0</v>
      </c>
      <c r="K686" t="n">
        <v>0</v>
      </c>
      <c r="L686" t="n">
        <v>0</v>
      </c>
      <c r="M686" t="n">
        <v>0</v>
      </c>
      <c r="N686" t="n">
        <v>0</v>
      </c>
      <c r="O686" t="n">
        <v>0</v>
      </c>
      <c r="P686" t="n">
        <v>0</v>
      </c>
      <c r="Q686" t="n">
        <v>0</v>
      </c>
      <c r="R686" s="2" t="inlineStr"/>
    </row>
    <row r="687" ht="15" customHeight="1">
      <c r="A687" t="inlineStr">
        <is>
          <t>A 49650-2024</t>
        </is>
      </c>
      <c r="B687" s="1" t="n">
        <v>45596.61569444444</v>
      </c>
      <c r="C687" s="1" t="n">
        <v>45912</v>
      </c>
      <c r="D687" t="inlineStr">
        <is>
          <t>JÄMTLANDS LÄN</t>
        </is>
      </c>
      <c r="E687" t="inlineStr">
        <is>
          <t>RAGUNDA</t>
        </is>
      </c>
      <c r="F687" t="inlineStr">
        <is>
          <t>Naturvårdsverket</t>
        </is>
      </c>
      <c r="G687" t="n">
        <v>3</v>
      </c>
      <c r="H687" t="n">
        <v>0</v>
      </c>
      <c r="I687" t="n">
        <v>0</v>
      </c>
      <c r="J687" t="n">
        <v>0</v>
      </c>
      <c r="K687" t="n">
        <v>0</v>
      </c>
      <c r="L687" t="n">
        <v>0</v>
      </c>
      <c r="M687" t="n">
        <v>0</v>
      </c>
      <c r="N687" t="n">
        <v>0</v>
      </c>
      <c r="O687" t="n">
        <v>0</v>
      </c>
      <c r="P687" t="n">
        <v>0</v>
      </c>
      <c r="Q687" t="n">
        <v>0</v>
      </c>
      <c r="R687" s="2" t="inlineStr"/>
    </row>
    <row r="688" ht="15" customHeight="1">
      <c r="A688" t="inlineStr">
        <is>
          <t>A 49651-2024</t>
        </is>
      </c>
      <c r="B688" s="1" t="n">
        <v>45596.61582175926</v>
      </c>
      <c r="C688" s="1" t="n">
        <v>45912</v>
      </c>
      <c r="D688" t="inlineStr">
        <is>
          <t>JÄMTLANDS LÄN</t>
        </is>
      </c>
      <c r="E688" t="inlineStr">
        <is>
          <t>RAGUNDA</t>
        </is>
      </c>
      <c r="F688" t="inlineStr">
        <is>
          <t>SCA</t>
        </is>
      </c>
      <c r="G688" t="n">
        <v>5.3</v>
      </c>
      <c r="H688" t="n">
        <v>0</v>
      </c>
      <c r="I688" t="n">
        <v>0</v>
      </c>
      <c r="J688" t="n">
        <v>0</v>
      </c>
      <c r="K688" t="n">
        <v>0</v>
      </c>
      <c r="L688" t="n">
        <v>0</v>
      </c>
      <c r="M688" t="n">
        <v>0</v>
      </c>
      <c r="N688" t="n">
        <v>0</v>
      </c>
      <c r="O688" t="n">
        <v>0</v>
      </c>
      <c r="P688" t="n">
        <v>0</v>
      </c>
      <c r="Q688" t="n">
        <v>0</v>
      </c>
      <c r="R688" s="2" t="inlineStr"/>
    </row>
    <row r="689" ht="15" customHeight="1">
      <c r="A689" t="inlineStr">
        <is>
          <t>A 64264-2023</t>
        </is>
      </c>
      <c r="B689" s="1" t="n">
        <v>45279.94564814815</v>
      </c>
      <c r="C689" s="1" t="n">
        <v>45912</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18989-2025</t>
        </is>
      </c>
      <c r="B690" s="1" t="n">
        <v>45764</v>
      </c>
      <c r="C690" s="1" t="n">
        <v>45912</v>
      </c>
      <c r="D690" t="inlineStr">
        <is>
          <t>JÄMTLANDS LÄN</t>
        </is>
      </c>
      <c r="E690" t="inlineStr">
        <is>
          <t>RAGUNDA</t>
        </is>
      </c>
      <c r="G690" t="n">
        <v>0.9</v>
      </c>
      <c r="H690" t="n">
        <v>0</v>
      </c>
      <c r="I690" t="n">
        <v>0</v>
      </c>
      <c r="J690" t="n">
        <v>0</v>
      </c>
      <c r="K690" t="n">
        <v>0</v>
      </c>
      <c r="L690" t="n">
        <v>0</v>
      </c>
      <c r="M690" t="n">
        <v>0</v>
      </c>
      <c r="N690" t="n">
        <v>0</v>
      </c>
      <c r="O690" t="n">
        <v>0</v>
      </c>
      <c r="P690" t="n">
        <v>0</v>
      </c>
      <c r="Q690" t="n">
        <v>0</v>
      </c>
      <c r="R690" s="2" t="inlineStr"/>
    </row>
    <row r="691" ht="15" customHeight="1">
      <c r="A691" t="inlineStr">
        <is>
          <t>A 28216-2025</t>
        </is>
      </c>
      <c r="B691" s="1" t="n">
        <v>45818.46898148148</v>
      </c>
      <c r="C691" s="1" t="n">
        <v>45912</v>
      </c>
      <c r="D691" t="inlineStr">
        <is>
          <t>JÄMTLANDS LÄN</t>
        </is>
      </c>
      <c r="E691" t="inlineStr">
        <is>
          <t>RAGUNDA</t>
        </is>
      </c>
      <c r="G691" t="n">
        <v>6.6</v>
      </c>
      <c r="H691" t="n">
        <v>0</v>
      </c>
      <c r="I691" t="n">
        <v>0</v>
      </c>
      <c r="J691" t="n">
        <v>0</v>
      </c>
      <c r="K691" t="n">
        <v>0</v>
      </c>
      <c r="L691" t="n">
        <v>0</v>
      </c>
      <c r="M691" t="n">
        <v>0</v>
      </c>
      <c r="N691" t="n">
        <v>0</v>
      </c>
      <c r="O691" t="n">
        <v>0</v>
      </c>
      <c r="P691" t="n">
        <v>0</v>
      </c>
      <c r="Q691" t="n">
        <v>0</v>
      </c>
      <c r="R691" s="2" t="inlineStr"/>
    </row>
    <row r="692" ht="15" customHeight="1">
      <c r="A692" t="inlineStr">
        <is>
          <t>A 182-2023</t>
        </is>
      </c>
      <c r="B692" s="1" t="n">
        <v>44922</v>
      </c>
      <c r="C692" s="1" t="n">
        <v>45912</v>
      </c>
      <c r="D692" t="inlineStr">
        <is>
          <t>JÄMTLANDS LÄN</t>
        </is>
      </c>
      <c r="E692" t="inlineStr">
        <is>
          <t>RAGUNDA</t>
        </is>
      </c>
      <c r="G692" t="n">
        <v>1.4</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45912</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6802-2021</t>
        </is>
      </c>
      <c r="B694" s="1" t="n">
        <v>44236</v>
      </c>
      <c r="C694" s="1" t="n">
        <v>45912</v>
      </c>
      <c r="D694" t="inlineStr">
        <is>
          <t>JÄMTLANDS LÄN</t>
        </is>
      </c>
      <c r="E694" t="inlineStr">
        <is>
          <t>RAGUNDA</t>
        </is>
      </c>
      <c r="G694" t="n">
        <v>11.2</v>
      </c>
      <c r="H694" t="n">
        <v>0</v>
      </c>
      <c r="I694" t="n">
        <v>0</v>
      </c>
      <c r="J694" t="n">
        <v>0</v>
      </c>
      <c r="K694" t="n">
        <v>0</v>
      </c>
      <c r="L694" t="n">
        <v>0</v>
      </c>
      <c r="M694" t="n">
        <v>0</v>
      </c>
      <c r="N694" t="n">
        <v>0</v>
      </c>
      <c r="O694" t="n">
        <v>0</v>
      </c>
      <c r="P694" t="n">
        <v>0</v>
      </c>
      <c r="Q694" t="n">
        <v>0</v>
      </c>
      <c r="R694" s="2" t="inlineStr"/>
    </row>
    <row r="695" ht="15" customHeight="1">
      <c r="A695" t="inlineStr">
        <is>
          <t>A 6477-2024</t>
        </is>
      </c>
      <c r="B695" s="1" t="n">
        <v>45338.95405092592</v>
      </c>
      <c r="C695" s="1" t="n">
        <v>45912</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42893-2022</t>
        </is>
      </c>
      <c r="B696" s="1" t="n">
        <v>44832</v>
      </c>
      <c r="C696" s="1" t="n">
        <v>45912</v>
      </c>
      <c r="D696" t="inlineStr">
        <is>
          <t>JÄMTLANDS LÄN</t>
        </is>
      </c>
      <c r="E696" t="inlineStr">
        <is>
          <t>RAGUNDA</t>
        </is>
      </c>
      <c r="F696" t="inlineStr">
        <is>
          <t>SCA</t>
        </is>
      </c>
      <c r="G696" t="n">
        <v>28.4</v>
      </c>
      <c r="H696" t="n">
        <v>0</v>
      </c>
      <c r="I696" t="n">
        <v>0</v>
      </c>
      <c r="J696" t="n">
        <v>0</v>
      </c>
      <c r="K696" t="n">
        <v>0</v>
      </c>
      <c r="L696" t="n">
        <v>0</v>
      </c>
      <c r="M696" t="n">
        <v>0</v>
      </c>
      <c r="N696" t="n">
        <v>0</v>
      </c>
      <c r="O696" t="n">
        <v>0</v>
      </c>
      <c r="P696" t="n">
        <v>0</v>
      </c>
      <c r="Q696" t="n">
        <v>0</v>
      </c>
      <c r="R696" s="2" t="inlineStr"/>
    </row>
    <row r="697" ht="15" customHeight="1">
      <c r="A697" t="inlineStr">
        <is>
          <t>A 29940-2023</t>
        </is>
      </c>
      <c r="B697" s="1" t="n">
        <v>45107</v>
      </c>
      <c r="C697" s="1" t="n">
        <v>45912</v>
      </c>
      <c r="D697" t="inlineStr">
        <is>
          <t>JÄMTLANDS LÄN</t>
        </is>
      </c>
      <c r="E697" t="inlineStr">
        <is>
          <t>RAGUNDA</t>
        </is>
      </c>
      <c r="G697" t="n">
        <v>13.5</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44684.94032407407</v>
      </c>
      <c r="C698" s="1" t="n">
        <v>45912</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11551-2024</t>
        </is>
      </c>
      <c r="B699" s="1" t="n">
        <v>45372.95762731481</v>
      </c>
      <c r="C699" s="1" t="n">
        <v>45912</v>
      </c>
      <c r="D699" t="inlineStr">
        <is>
          <t>JÄMTLANDS LÄN</t>
        </is>
      </c>
      <c r="E699" t="inlineStr">
        <is>
          <t>RAGUNDA</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49647-2024</t>
        </is>
      </c>
      <c r="B700" s="1" t="n">
        <v>45596.61533564814</v>
      </c>
      <c r="C700" s="1" t="n">
        <v>45912</v>
      </c>
      <c r="D700" t="inlineStr">
        <is>
          <t>JÄMTLANDS LÄN</t>
        </is>
      </c>
      <c r="E700" t="inlineStr">
        <is>
          <t>RAGUNDA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53264-2024</t>
        </is>
      </c>
      <c r="B701" s="1" t="n">
        <v>45614.34545138889</v>
      </c>
      <c r="C701" s="1" t="n">
        <v>45912</v>
      </c>
      <c r="D701" t="inlineStr">
        <is>
          <t>JÄMTLANDS LÄN</t>
        </is>
      </c>
      <c r="E701" t="inlineStr">
        <is>
          <t>RAGUNDA</t>
        </is>
      </c>
      <c r="G701" t="n">
        <v>1.4</v>
      </c>
      <c r="H701" t="n">
        <v>0</v>
      </c>
      <c r="I701" t="n">
        <v>0</v>
      </c>
      <c r="J701" t="n">
        <v>0</v>
      </c>
      <c r="K701" t="n">
        <v>0</v>
      </c>
      <c r="L701" t="n">
        <v>0</v>
      </c>
      <c r="M701" t="n">
        <v>0</v>
      </c>
      <c r="N701" t="n">
        <v>0</v>
      </c>
      <c r="O701" t="n">
        <v>0</v>
      </c>
      <c r="P701" t="n">
        <v>0</v>
      </c>
      <c r="Q701" t="n">
        <v>0</v>
      </c>
      <c r="R701" s="2" t="inlineStr"/>
    </row>
    <row r="702" ht="15" customHeight="1">
      <c r="A702" t="inlineStr">
        <is>
          <t>A 28637-2025</t>
        </is>
      </c>
      <c r="B702" s="1" t="n">
        <v>45819.6359375</v>
      </c>
      <c r="C702" s="1" t="n">
        <v>45912</v>
      </c>
      <c r="D702" t="inlineStr">
        <is>
          <t>JÄMTLANDS LÄN</t>
        </is>
      </c>
      <c r="E702" t="inlineStr">
        <is>
          <t>RAGUNDA</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23303-2024</t>
        </is>
      </c>
      <c r="B703" s="1" t="n">
        <v>45453.4444212963</v>
      </c>
      <c r="C703" s="1" t="n">
        <v>45912</v>
      </c>
      <c r="D703" t="inlineStr">
        <is>
          <t>JÄMTLANDS LÄN</t>
        </is>
      </c>
      <c r="E703" t="inlineStr">
        <is>
          <t>RAGUNDA</t>
        </is>
      </c>
      <c r="G703" t="n">
        <v>0.7</v>
      </c>
      <c r="H703" t="n">
        <v>0</v>
      </c>
      <c r="I703" t="n">
        <v>0</v>
      </c>
      <c r="J703" t="n">
        <v>0</v>
      </c>
      <c r="K703" t="n">
        <v>0</v>
      </c>
      <c r="L703" t="n">
        <v>0</v>
      </c>
      <c r="M703" t="n">
        <v>0</v>
      </c>
      <c r="N703" t="n">
        <v>0</v>
      </c>
      <c r="O703" t="n">
        <v>0</v>
      </c>
      <c r="P703" t="n">
        <v>0</v>
      </c>
      <c r="Q703" t="n">
        <v>0</v>
      </c>
      <c r="R703" s="2" t="inlineStr"/>
    </row>
    <row r="704" ht="15" customHeight="1">
      <c r="A704" t="inlineStr">
        <is>
          <t>A 13389-2025</t>
        </is>
      </c>
      <c r="B704" s="1" t="n">
        <v>45735.69842592593</v>
      </c>
      <c r="C704" s="1" t="n">
        <v>45912</v>
      </c>
      <c r="D704" t="inlineStr">
        <is>
          <t>JÄMTLANDS LÄN</t>
        </is>
      </c>
      <c r="E704" t="inlineStr">
        <is>
          <t>RAGUNDA</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179-2025</t>
        </is>
      </c>
      <c r="B705" s="1" t="n">
        <v>45659.69822916666</v>
      </c>
      <c r="C705" s="1" t="n">
        <v>45912</v>
      </c>
      <c r="D705" t="inlineStr">
        <is>
          <t>JÄMTLANDS LÄN</t>
        </is>
      </c>
      <c r="E705" t="inlineStr">
        <is>
          <t>RAGUNDA</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28973-2025</t>
        </is>
      </c>
      <c r="B706" s="1" t="n">
        <v>45821.34513888889</v>
      </c>
      <c r="C706" s="1" t="n">
        <v>45912</v>
      </c>
      <c r="D706" t="inlineStr">
        <is>
          <t>JÄMTLANDS LÄN</t>
        </is>
      </c>
      <c r="E706" t="inlineStr">
        <is>
          <t>RAGUNDA</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22412-2024</t>
        </is>
      </c>
      <c r="B707" s="1" t="n">
        <v>45446.68947916666</v>
      </c>
      <c r="C707" s="1" t="n">
        <v>45912</v>
      </c>
      <c r="D707" t="inlineStr">
        <is>
          <t>JÄMTLANDS LÄN</t>
        </is>
      </c>
      <c r="E707" t="inlineStr">
        <is>
          <t>RAGUNDA</t>
        </is>
      </c>
      <c r="G707" t="n">
        <v>0.8</v>
      </c>
      <c r="H707" t="n">
        <v>0</v>
      </c>
      <c r="I707" t="n">
        <v>0</v>
      </c>
      <c r="J707" t="n">
        <v>0</v>
      </c>
      <c r="K707" t="n">
        <v>0</v>
      </c>
      <c r="L707" t="n">
        <v>0</v>
      </c>
      <c r="M707" t="n">
        <v>0</v>
      </c>
      <c r="N707" t="n">
        <v>0</v>
      </c>
      <c r="O707" t="n">
        <v>0</v>
      </c>
      <c r="P707" t="n">
        <v>0</v>
      </c>
      <c r="Q707" t="n">
        <v>0</v>
      </c>
      <c r="R707" s="2" t="inlineStr"/>
    </row>
    <row r="708" ht="15" customHeight="1">
      <c r="A708" t="inlineStr">
        <is>
          <t>A 13334-2024</t>
        </is>
      </c>
      <c r="B708" s="1" t="n">
        <v>45386</v>
      </c>
      <c r="C708" s="1" t="n">
        <v>45912</v>
      </c>
      <c r="D708" t="inlineStr">
        <is>
          <t>JÄMTLANDS LÄN</t>
        </is>
      </c>
      <c r="E708" t="inlineStr">
        <is>
          <t>RAGUNDA</t>
        </is>
      </c>
      <c r="G708" t="n">
        <v>8.6</v>
      </c>
      <c r="H708" t="n">
        <v>0</v>
      </c>
      <c r="I708" t="n">
        <v>0</v>
      </c>
      <c r="J708" t="n">
        <v>0</v>
      </c>
      <c r="K708" t="n">
        <v>0</v>
      </c>
      <c r="L708" t="n">
        <v>0</v>
      </c>
      <c r="M708" t="n">
        <v>0</v>
      </c>
      <c r="N708" t="n">
        <v>0</v>
      </c>
      <c r="O708" t="n">
        <v>0</v>
      </c>
      <c r="P708" t="n">
        <v>0</v>
      </c>
      <c r="Q708" t="n">
        <v>0</v>
      </c>
      <c r="R708" s="2" t="inlineStr"/>
    </row>
    <row r="709" ht="15" customHeight="1">
      <c r="A709" t="inlineStr">
        <is>
          <t>A 60443-2023</t>
        </is>
      </c>
      <c r="B709" s="1" t="n">
        <v>45258</v>
      </c>
      <c r="C709" s="1" t="n">
        <v>45912</v>
      </c>
      <c r="D709" t="inlineStr">
        <is>
          <t>JÄMTLANDS LÄN</t>
        </is>
      </c>
      <c r="E709" t="inlineStr">
        <is>
          <t>RAGUNDA</t>
        </is>
      </c>
      <c r="G709" t="n">
        <v>2.9</v>
      </c>
      <c r="H709" t="n">
        <v>0</v>
      </c>
      <c r="I709" t="n">
        <v>0</v>
      </c>
      <c r="J709" t="n">
        <v>0</v>
      </c>
      <c r="K709" t="n">
        <v>0</v>
      </c>
      <c r="L709" t="n">
        <v>0</v>
      </c>
      <c r="M709" t="n">
        <v>0</v>
      </c>
      <c r="N709" t="n">
        <v>0</v>
      </c>
      <c r="O709" t="n">
        <v>0</v>
      </c>
      <c r="P709" t="n">
        <v>0</v>
      </c>
      <c r="Q709" t="n">
        <v>0</v>
      </c>
      <c r="R709" s="2" t="inlineStr"/>
    </row>
    <row r="710" ht="15" customHeight="1">
      <c r="A710" t="inlineStr">
        <is>
          <t>A 45631-2024</t>
        </is>
      </c>
      <c r="B710" s="1" t="n">
        <v>45579.47052083333</v>
      </c>
      <c r="C710" s="1" t="n">
        <v>45912</v>
      </c>
      <c r="D710" t="inlineStr">
        <is>
          <t>JÄMTLANDS LÄN</t>
        </is>
      </c>
      <c r="E710" t="inlineStr">
        <is>
          <t>RAGUNDA</t>
        </is>
      </c>
      <c r="G710" t="n">
        <v>15.1</v>
      </c>
      <c r="H710" t="n">
        <v>0</v>
      </c>
      <c r="I710" t="n">
        <v>0</v>
      </c>
      <c r="J710" t="n">
        <v>0</v>
      </c>
      <c r="K710" t="n">
        <v>0</v>
      </c>
      <c r="L710" t="n">
        <v>0</v>
      </c>
      <c r="M710" t="n">
        <v>0</v>
      </c>
      <c r="N710" t="n">
        <v>0</v>
      </c>
      <c r="O710" t="n">
        <v>0</v>
      </c>
      <c r="P710" t="n">
        <v>0</v>
      </c>
      <c r="Q710" t="n">
        <v>0</v>
      </c>
      <c r="R710" s="2" t="inlineStr"/>
    </row>
    <row r="711" ht="15" customHeight="1">
      <c r="A711" t="inlineStr">
        <is>
          <t>A 29714-2025</t>
        </is>
      </c>
      <c r="B711" s="1" t="n">
        <v>45825.56762731481</v>
      </c>
      <c r="C711" s="1" t="n">
        <v>45912</v>
      </c>
      <c r="D711" t="inlineStr">
        <is>
          <t>JÄMTLANDS LÄN</t>
        </is>
      </c>
      <c r="E711" t="inlineStr">
        <is>
          <t>RAGUNDA</t>
        </is>
      </c>
      <c r="G711" t="n">
        <v>2.7</v>
      </c>
      <c r="H711" t="n">
        <v>0</v>
      </c>
      <c r="I711" t="n">
        <v>0</v>
      </c>
      <c r="J711" t="n">
        <v>0</v>
      </c>
      <c r="K711" t="n">
        <v>0</v>
      </c>
      <c r="L711" t="n">
        <v>0</v>
      </c>
      <c r="M711" t="n">
        <v>0</v>
      </c>
      <c r="N711" t="n">
        <v>0</v>
      </c>
      <c r="O711" t="n">
        <v>0</v>
      </c>
      <c r="P711" t="n">
        <v>0</v>
      </c>
      <c r="Q711" t="n">
        <v>0</v>
      </c>
      <c r="R711" s="2" t="inlineStr"/>
    </row>
    <row r="712" ht="15" customHeight="1">
      <c r="A712" t="inlineStr">
        <is>
          <t>A 21726-2023</t>
        </is>
      </c>
      <c r="B712" s="1" t="n">
        <v>45065.42894675926</v>
      </c>
      <c r="C712" s="1" t="n">
        <v>45912</v>
      </c>
      <c r="D712" t="inlineStr">
        <is>
          <t>JÄMTLANDS LÄN</t>
        </is>
      </c>
      <c r="E712" t="inlineStr">
        <is>
          <t>RAGUNDA</t>
        </is>
      </c>
      <c r="G712" t="n">
        <v>0.4</v>
      </c>
      <c r="H712" t="n">
        <v>0</v>
      </c>
      <c r="I712" t="n">
        <v>0</v>
      </c>
      <c r="J712" t="n">
        <v>0</v>
      </c>
      <c r="K712" t="n">
        <v>0</v>
      </c>
      <c r="L712" t="n">
        <v>0</v>
      </c>
      <c r="M712" t="n">
        <v>0</v>
      </c>
      <c r="N712" t="n">
        <v>0</v>
      </c>
      <c r="O712" t="n">
        <v>0</v>
      </c>
      <c r="P712" t="n">
        <v>0</v>
      </c>
      <c r="Q712" t="n">
        <v>0</v>
      </c>
      <c r="R712" s="2" t="inlineStr"/>
    </row>
    <row r="713" ht="15" customHeight="1">
      <c r="A713" t="inlineStr">
        <is>
          <t>A 29731-2025</t>
        </is>
      </c>
      <c r="B713" s="1" t="n">
        <v>45825.58252314815</v>
      </c>
      <c r="C713" s="1" t="n">
        <v>45912</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45952-2023</t>
        </is>
      </c>
      <c r="B714" s="1" t="n">
        <v>45195</v>
      </c>
      <c r="C714" s="1" t="n">
        <v>45912</v>
      </c>
      <c r="D714" t="inlineStr">
        <is>
          <t>JÄMTLANDS LÄN</t>
        </is>
      </c>
      <c r="E714" t="inlineStr">
        <is>
          <t>RAGUNDA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45954-2023</t>
        </is>
      </c>
      <c r="B715" s="1" t="n">
        <v>45195.94679398148</v>
      </c>
      <c r="C715" s="1" t="n">
        <v>45912</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45955-2023</t>
        </is>
      </c>
      <c r="B716" s="1" t="n">
        <v>45195.94685185186</v>
      </c>
      <c r="C716" s="1" t="n">
        <v>45912</v>
      </c>
      <c r="D716" t="inlineStr">
        <is>
          <t>JÄMTLANDS LÄN</t>
        </is>
      </c>
      <c r="E716" t="inlineStr">
        <is>
          <t>RAGUNDA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55701-2021</t>
        </is>
      </c>
      <c r="B717" s="1" t="n">
        <v>44475</v>
      </c>
      <c r="C717" s="1" t="n">
        <v>45912</v>
      </c>
      <c r="D717" t="inlineStr">
        <is>
          <t>JÄMTLANDS LÄN</t>
        </is>
      </c>
      <c r="E717" t="inlineStr">
        <is>
          <t>RAGUNDA</t>
        </is>
      </c>
      <c r="G717" t="n">
        <v>5.6</v>
      </c>
      <c r="H717" t="n">
        <v>0</v>
      </c>
      <c r="I717" t="n">
        <v>0</v>
      </c>
      <c r="J717" t="n">
        <v>0</v>
      </c>
      <c r="K717" t="n">
        <v>0</v>
      </c>
      <c r="L717" t="n">
        <v>0</v>
      </c>
      <c r="M717" t="n">
        <v>0</v>
      </c>
      <c r="N717" t="n">
        <v>0</v>
      </c>
      <c r="O717" t="n">
        <v>0</v>
      </c>
      <c r="P717" t="n">
        <v>0</v>
      </c>
      <c r="Q717" t="n">
        <v>0</v>
      </c>
      <c r="R717" s="2" t="inlineStr"/>
    </row>
    <row r="718" ht="15" customHeight="1">
      <c r="A718" t="inlineStr">
        <is>
          <t>A 29723-2025</t>
        </is>
      </c>
      <c r="B718" s="1" t="n">
        <v>45825.57675925926</v>
      </c>
      <c r="C718" s="1" t="n">
        <v>45912</v>
      </c>
      <c r="D718" t="inlineStr">
        <is>
          <t>JÄMTLANDS LÄN</t>
        </is>
      </c>
      <c r="E718" t="inlineStr">
        <is>
          <t>RAGUNDA</t>
        </is>
      </c>
      <c r="G718" t="n">
        <v>3.1</v>
      </c>
      <c r="H718" t="n">
        <v>0</v>
      </c>
      <c r="I718" t="n">
        <v>0</v>
      </c>
      <c r="J718" t="n">
        <v>0</v>
      </c>
      <c r="K718" t="n">
        <v>0</v>
      </c>
      <c r="L718" t="n">
        <v>0</v>
      </c>
      <c r="M718" t="n">
        <v>0</v>
      </c>
      <c r="N718" t="n">
        <v>0</v>
      </c>
      <c r="O718" t="n">
        <v>0</v>
      </c>
      <c r="P718" t="n">
        <v>0</v>
      </c>
      <c r="Q718" t="n">
        <v>0</v>
      </c>
      <c r="R718" s="2" t="inlineStr"/>
    </row>
    <row r="719" ht="15" customHeight="1">
      <c r="A719" t="inlineStr">
        <is>
          <t>A 60456-2023</t>
        </is>
      </c>
      <c r="B719" s="1" t="n">
        <v>45258</v>
      </c>
      <c r="C719" s="1" t="n">
        <v>45912</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16334-2025</t>
        </is>
      </c>
      <c r="B720" s="1" t="n">
        <v>45751.36490740741</v>
      </c>
      <c r="C720" s="1" t="n">
        <v>45912</v>
      </c>
      <c r="D720" t="inlineStr">
        <is>
          <t>JÄMTLANDS LÄN</t>
        </is>
      </c>
      <c r="E720" t="inlineStr">
        <is>
          <t>RAGUNDA</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58438-2022</t>
        </is>
      </c>
      <c r="B721" s="1" t="n">
        <v>44901</v>
      </c>
      <c r="C721" s="1" t="n">
        <v>45912</v>
      </c>
      <c r="D721" t="inlineStr">
        <is>
          <t>JÄMTLANDS LÄN</t>
        </is>
      </c>
      <c r="E721" t="inlineStr">
        <is>
          <t>RAGUNDA</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58442-2022</t>
        </is>
      </c>
      <c r="B722" s="1" t="n">
        <v>44901</v>
      </c>
      <c r="C722" s="1" t="n">
        <v>45912</v>
      </c>
      <c r="D722" t="inlineStr">
        <is>
          <t>JÄMTLANDS LÄN</t>
        </is>
      </c>
      <c r="E722" t="inlineStr">
        <is>
          <t>RAGUNDA</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5806-2025</t>
        </is>
      </c>
      <c r="B723" s="1" t="n">
        <v>45694.69826388889</v>
      </c>
      <c r="C723" s="1" t="n">
        <v>45912</v>
      </c>
      <c r="D723" t="inlineStr">
        <is>
          <t>JÄMTLANDS LÄN</t>
        </is>
      </c>
      <c r="E723" t="inlineStr">
        <is>
          <t>RAGUNDA</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41179-2022</t>
        </is>
      </c>
      <c r="B724" s="1" t="n">
        <v>44825</v>
      </c>
      <c r="C724" s="1" t="n">
        <v>45912</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30484-2024</t>
        </is>
      </c>
      <c r="B725" s="1" t="n">
        <v>45491</v>
      </c>
      <c r="C725" s="1" t="n">
        <v>45912</v>
      </c>
      <c r="D725" t="inlineStr">
        <is>
          <t>JÄMTLANDS LÄN</t>
        </is>
      </c>
      <c r="E725" t="inlineStr">
        <is>
          <t>RAGUNDA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61598-2024</t>
        </is>
      </c>
      <c r="B726" s="1" t="n">
        <v>45646.63605324074</v>
      </c>
      <c r="C726" s="1" t="n">
        <v>45912</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17667-2025</t>
        </is>
      </c>
      <c r="B727" s="1" t="n">
        <v>45758.36487268518</v>
      </c>
      <c r="C727" s="1" t="n">
        <v>45912</v>
      </c>
      <c r="D727" t="inlineStr">
        <is>
          <t>JÄMTLANDS LÄN</t>
        </is>
      </c>
      <c r="E727" t="inlineStr">
        <is>
          <t>RAGUNDA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30088-2025</t>
        </is>
      </c>
      <c r="B728" s="1" t="n">
        <v>45826.65759259259</v>
      </c>
      <c r="C728" s="1" t="n">
        <v>45912</v>
      </c>
      <c r="D728" t="inlineStr">
        <is>
          <t>JÄMTLANDS LÄN</t>
        </is>
      </c>
      <c r="E728" t="inlineStr">
        <is>
          <t>RAGUNDA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30348-2025</t>
        </is>
      </c>
      <c r="B729" s="1" t="n">
        <v>45827.53178240741</v>
      </c>
      <c r="C729" s="1" t="n">
        <v>45912</v>
      </c>
      <c r="D729" t="inlineStr">
        <is>
          <t>JÄMTLANDS LÄN</t>
        </is>
      </c>
      <c r="E729" t="inlineStr">
        <is>
          <t>RAGUNDA</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50157-2023</t>
        </is>
      </c>
      <c r="B730" s="1" t="n">
        <v>45208</v>
      </c>
      <c r="C730" s="1" t="n">
        <v>45912</v>
      </c>
      <c r="D730" t="inlineStr">
        <is>
          <t>JÄMTLANDS LÄN</t>
        </is>
      </c>
      <c r="E730" t="inlineStr">
        <is>
          <t>RAGUNDA</t>
        </is>
      </c>
      <c r="G730" t="n">
        <v>0.9</v>
      </c>
      <c r="H730" t="n">
        <v>0</v>
      </c>
      <c r="I730" t="n">
        <v>0</v>
      </c>
      <c r="J730" t="n">
        <v>0</v>
      </c>
      <c r="K730" t="n">
        <v>0</v>
      </c>
      <c r="L730" t="n">
        <v>0</v>
      </c>
      <c r="M730" t="n">
        <v>0</v>
      </c>
      <c r="N730" t="n">
        <v>0</v>
      </c>
      <c r="O730" t="n">
        <v>0</v>
      </c>
      <c r="P730" t="n">
        <v>0</v>
      </c>
      <c r="Q730" t="n">
        <v>0</v>
      </c>
      <c r="R730" s="2" t="inlineStr"/>
    </row>
    <row r="731" ht="15" customHeight="1">
      <c r="A731" t="inlineStr">
        <is>
          <t>A 30434-2025</t>
        </is>
      </c>
      <c r="B731" s="1" t="n">
        <v>45827.63582175926</v>
      </c>
      <c r="C731" s="1" t="n">
        <v>45912</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12405-2025</t>
        </is>
      </c>
      <c r="B732" s="1" t="n">
        <v>45730.42738425926</v>
      </c>
      <c r="C732" s="1" t="n">
        <v>45912</v>
      </c>
      <c r="D732" t="inlineStr">
        <is>
          <t>JÄMTLANDS LÄN</t>
        </is>
      </c>
      <c r="E732" t="inlineStr">
        <is>
          <t>RAGUNDA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36986-2023</t>
        </is>
      </c>
      <c r="B733" s="1" t="n">
        <v>45154.95525462963</v>
      </c>
      <c r="C733" s="1" t="n">
        <v>45912</v>
      </c>
      <c r="D733" t="inlineStr">
        <is>
          <t>JÄMTLANDS LÄN</t>
        </is>
      </c>
      <c r="E733" t="inlineStr">
        <is>
          <t>RAGUNDA</t>
        </is>
      </c>
      <c r="F733" t="inlineStr">
        <is>
          <t>SCA</t>
        </is>
      </c>
      <c r="G733" t="n">
        <v>0.2</v>
      </c>
      <c r="H733" t="n">
        <v>0</v>
      </c>
      <c r="I733" t="n">
        <v>0</v>
      </c>
      <c r="J733" t="n">
        <v>0</v>
      </c>
      <c r="K733" t="n">
        <v>0</v>
      </c>
      <c r="L733" t="n">
        <v>0</v>
      </c>
      <c r="M733" t="n">
        <v>0</v>
      </c>
      <c r="N733" t="n">
        <v>0</v>
      </c>
      <c r="O733" t="n">
        <v>0</v>
      </c>
      <c r="P733" t="n">
        <v>0</v>
      </c>
      <c r="Q733" t="n">
        <v>0</v>
      </c>
      <c r="R733" s="2" t="inlineStr"/>
    </row>
    <row r="734" ht="15" customHeight="1">
      <c r="A734" t="inlineStr">
        <is>
          <t>A 14513-2025</t>
        </is>
      </c>
      <c r="B734" s="1" t="n">
        <v>45741.63675925926</v>
      </c>
      <c r="C734" s="1" t="n">
        <v>45912</v>
      </c>
      <c r="D734" t="inlineStr">
        <is>
          <t>JÄMTLANDS LÄN</t>
        </is>
      </c>
      <c r="E734" t="inlineStr">
        <is>
          <t>RAGUNDA</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31463-2024</t>
        </is>
      </c>
      <c r="B735" s="1" t="n">
        <v>45505</v>
      </c>
      <c r="C735" s="1" t="n">
        <v>45912</v>
      </c>
      <c r="D735" t="inlineStr">
        <is>
          <t>JÄMTLANDS LÄN</t>
        </is>
      </c>
      <c r="E735" t="inlineStr">
        <is>
          <t>RAGUNDA</t>
        </is>
      </c>
      <c r="F735" t="inlineStr">
        <is>
          <t>SCA</t>
        </is>
      </c>
      <c r="G735" t="n">
        <v>20.3</v>
      </c>
      <c r="H735" t="n">
        <v>0</v>
      </c>
      <c r="I735" t="n">
        <v>0</v>
      </c>
      <c r="J735" t="n">
        <v>0</v>
      </c>
      <c r="K735" t="n">
        <v>0</v>
      </c>
      <c r="L735" t="n">
        <v>0</v>
      </c>
      <c r="M735" t="n">
        <v>0</v>
      </c>
      <c r="N735" t="n">
        <v>0</v>
      </c>
      <c r="O735" t="n">
        <v>0</v>
      </c>
      <c r="P735" t="n">
        <v>0</v>
      </c>
      <c r="Q735" t="n">
        <v>0</v>
      </c>
      <c r="R735" s="2" t="inlineStr"/>
    </row>
    <row r="736" ht="15" customHeight="1">
      <c r="A736" t="inlineStr">
        <is>
          <t>A 36553-2025</t>
        </is>
      </c>
      <c r="B736" s="1" t="n">
        <v>45870.34439814815</v>
      </c>
      <c r="C736" s="1" t="n">
        <v>45912</v>
      </c>
      <c r="D736" t="inlineStr">
        <is>
          <t>JÄMTLANDS LÄN</t>
        </is>
      </c>
      <c r="E736" t="inlineStr">
        <is>
          <t>RAGUNDA</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55904-2022</t>
        </is>
      </c>
      <c r="B737" s="1" t="n">
        <v>44888</v>
      </c>
      <c r="C737" s="1" t="n">
        <v>45912</v>
      </c>
      <c r="D737" t="inlineStr">
        <is>
          <t>JÄMTLANDS LÄN</t>
        </is>
      </c>
      <c r="E737" t="inlineStr">
        <is>
          <t>RAGUNDA</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7281-2025</t>
        </is>
      </c>
      <c r="B738" s="1" t="n">
        <v>45702.63572916666</v>
      </c>
      <c r="C738" s="1" t="n">
        <v>45912</v>
      </c>
      <c r="D738" t="inlineStr">
        <is>
          <t>JÄMTLANDS LÄN</t>
        </is>
      </c>
      <c r="E738" t="inlineStr">
        <is>
          <t>RAGUNDA</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48192-2024</t>
        </is>
      </c>
      <c r="B739" s="1" t="n">
        <v>45590</v>
      </c>
      <c r="C739" s="1" t="n">
        <v>45912</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2599-2023</t>
        </is>
      </c>
      <c r="B740" s="1" t="n">
        <v>44943.94802083333</v>
      </c>
      <c r="C740" s="1" t="n">
        <v>45912</v>
      </c>
      <c r="D740" t="inlineStr">
        <is>
          <t>JÄMTLANDS LÄN</t>
        </is>
      </c>
      <c r="E740" t="inlineStr">
        <is>
          <t>RAGUNDA</t>
        </is>
      </c>
      <c r="F740" t="inlineStr">
        <is>
          <t>SCA</t>
        </is>
      </c>
      <c r="G740" t="n">
        <v>5.9</v>
      </c>
      <c r="H740" t="n">
        <v>0</v>
      </c>
      <c r="I740" t="n">
        <v>0</v>
      </c>
      <c r="J740" t="n">
        <v>0</v>
      </c>
      <c r="K740" t="n">
        <v>0</v>
      </c>
      <c r="L740" t="n">
        <v>0</v>
      </c>
      <c r="M740" t="n">
        <v>0</v>
      </c>
      <c r="N740" t="n">
        <v>0</v>
      </c>
      <c r="O740" t="n">
        <v>0</v>
      </c>
      <c r="P740" t="n">
        <v>0</v>
      </c>
      <c r="Q740" t="n">
        <v>0</v>
      </c>
      <c r="R740" s="2" t="inlineStr"/>
    </row>
    <row r="741" ht="15" customHeight="1">
      <c r="A741" t="inlineStr">
        <is>
          <t>A 48249-2024</t>
        </is>
      </c>
      <c r="B741" s="1" t="n">
        <v>45590.40675925926</v>
      </c>
      <c r="C741" s="1" t="n">
        <v>45912</v>
      </c>
      <c r="D741" t="inlineStr">
        <is>
          <t>JÄMTLANDS LÄN</t>
        </is>
      </c>
      <c r="E741" t="inlineStr">
        <is>
          <t>RAGUNDA</t>
        </is>
      </c>
      <c r="F741" t="inlineStr">
        <is>
          <t>SCA</t>
        </is>
      </c>
      <c r="G741" t="n">
        <v>14.4</v>
      </c>
      <c r="H741" t="n">
        <v>0</v>
      </c>
      <c r="I741" t="n">
        <v>0</v>
      </c>
      <c r="J741" t="n">
        <v>0</v>
      </c>
      <c r="K741" t="n">
        <v>0</v>
      </c>
      <c r="L741" t="n">
        <v>0</v>
      </c>
      <c r="M741" t="n">
        <v>0</v>
      </c>
      <c r="N741" t="n">
        <v>0</v>
      </c>
      <c r="O741" t="n">
        <v>0</v>
      </c>
      <c r="P741" t="n">
        <v>0</v>
      </c>
      <c r="Q741" t="n">
        <v>0</v>
      </c>
      <c r="R741" s="2" t="inlineStr"/>
    </row>
    <row r="742" ht="15" customHeight="1">
      <c r="A742" t="inlineStr">
        <is>
          <t>A 64265-2023</t>
        </is>
      </c>
      <c r="B742" s="1" t="n">
        <v>45279.94572916667</v>
      </c>
      <c r="C742" s="1" t="n">
        <v>45912</v>
      </c>
      <c r="D742" t="inlineStr">
        <is>
          <t>JÄMTLANDS LÄN</t>
        </is>
      </c>
      <c r="E742" t="inlineStr">
        <is>
          <t>RAGUNDA</t>
        </is>
      </c>
      <c r="F742" t="inlineStr">
        <is>
          <t>SCA</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30887-2025</t>
        </is>
      </c>
      <c r="B743" s="1" t="n">
        <v>45832.3459375</v>
      </c>
      <c r="C743" s="1" t="n">
        <v>45912</v>
      </c>
      <c r="D743" t="inlineStr">
        <is>
          <t>JÄMTLANDS LÄN</t>
        </is>
      </c>
      <c r="E743" t="inlineStr">
        <is>
          <t>RAGUNDA</t>
        </is>
      </c>
      <c r="F743" t="inlineStr">
        <is>
          <t>SCA</t>
        </is>
      </c>
      <c r="G743" t="n">
        <v>10.1</v>
      </c>
      <c r="H743" t="n">
        <v>0</v>
      </c>
      <c r="I743" t="n">
        <v>0</v>
      </c>
      <c r="J743" t="n">
        <v>0</v>
      </c>
      <c r="K743" t="n">
        <v>0</v>
      </c>
      <c r="L743" t="n">
        <v>0</v>
      </c>
      <c r="M743" t="n">
        <v>0</v>
      </c>
      <c r="N743" t="n">
        <v>0</v>
      </c>
      <c r="O743" t="n">
        <v>0</v>
      </c>
      <c r="P743" t="n">
        <v>0</v>
      </c>
      <c r="Q743" t="n">
        <v>0</v>
      </c>
      <c r="R743" s="2" t="inlineStr"/>
    </row>
    <row r="744" ht="15" customHeight="1">
      <c r="A744" t="inlineStr">
        <is>
          <t>A 10754-2025</t>
        </is>
      </c>
      <c r="B744" s="1" t="n">
        <v>45722.44849537037</v>
      </c>
      <c r="C744" s="1" t="n">
        <v>45912</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32874-2025</t>
        </is>
      </c>
      <c r="B745" s="1" t="n">
        <v>45839</v>
      </c>
      <c r="C745" s="1" t="n">
        <v>45912</v>
      </c>
      <c r="D745" t="inlineStr">
        <is>
          <t>JÄMTLANDS LÄN</t>
        </is>
      </c>
      <c r="E745" t="inlineStr">
        <is>
          <t>RAGUNDA</t>
        </is>
      </c>
      <c r="G745" t="n">
        <v>2.3</v>
      </c>
      <c r="H745" t="n">
        <v>0</v>
      </c>
      <c r="I745" t="n">
        <v>0</v>
      </c>
      <c r="J745" t="n">
        <v>0</v>
      </c>
      <c r="K745" t="n">
        <v>0</v>
      </c>
      <c r="L745" t="n">
        <v>0</v>
      </c>
      <c r="M745" t="n">
        <v>0</v>
      </c>
      <c r="N745" t="n">
        <v>0</v>
      </c>
      <c r="O745" t="n">
        <v>0</v>
      </c>
      <c r="P745" t="n">
        <v>0</v>
      </c>
      <c r="Q745" t="n">
        <v>0</v>
      </c>
      <c r="R745" s="2" t="inlineStr"/>
    </row>
    <row r="746" ht="15" customHeight="1">
      <c r="A746" t="inlineStr">
        <is>
          <t>A 30883-2025</t>
        </is>
      </c>
      <c r="B746" s="1" t="n">
        <v>45832.34552083333</v>
      </c>
      <c r="C746" s="1" t="n">
        <v>45912</v>
      </c>
      <c r="D746" t="inlineStr">
        <is>
          <t>JÄMTLANDS LÄN</t>
        </is>
      </c>
      <c r="E746" t="inlineStr">
        <is>
          <t>RAGUNDA</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37008-2025</t>
        </is>
      </c>
      <c r="B747" s="1" t="n">
        <v>45874.69844907407</v>
      </c>
      <c r="C747" s="1" t="n">
        <v>45912</v>
      </c>
      <c r="D747" t="inlineStr">
        <is>
          <t>JÄMTLANDS LÄN</t>
        </is>
      </c>
      <c r="E747" t="inlineStr">
        <is>
          <t>RAGUNDA</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66706-2021</t>
        </is>
      </c>
      <c r="B748" s="1" t="n">
        <v>44519.94440972222</v>
      </c>
      <c r="C748" s="1" t="n">
        <v>45912</v>
      </c>
      <c r="D748" t="inlineStr">
        <is>
          <t>JÄMTLANDS LÄN</t>
        </is>
      </c>
      <c r="E748" t="inlineStr">
        <is>
          <t>RAGUNDA</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2224-2024</t>
        </is>
      </c>
      <c r="B749" s="1" t="n">
        <v>45309.92524305556</v>
      </c>
      <c r="C749" s="1" t="n">
        <v>45912</v>
      </c>
      <c r="D749" t="inlineStr">
        <is>
          <t>JÄMTLANDS LÄN</t>
        </is>
      </c>
      <c r="E749" t="inlineStr">
        <is>
          <t>RAGUNDA</t>
        </is>
      </c>
      <c r="G749" t="n">
        <v>0.9</v>
      </c>
      <c r="H749" t="n">
        <v>0</v>
      </c>
      <c r="I749" t="n">
        <v>0</v>
      </c>
      <c r="J749" t="n">
        <v>0</v>
      </c>
      <c r="K749" t="n">
        <v>0</v>
      </c>
      <c r="L749" t="n">
        <v>0</v>
      </c>
      <c r="M749" t="n">
        <v>0</v>
      </c>
      <c r="N749" t="n">
        <v>0</v>
      </c>
      <c r="O749" t="n">
        <v>0</v>
      </c>
      <c r="P749" t="n">
        <v>0</v>
      </c>
      <c r="Q749" t="n">
        <v>0</v>
      </c>
      <c r="R749" s="2" t="inlineStr"/>
    </row>
    <row r="750" ht="15" customHeight="1">
      <c r="A750" t="inlineStr">
        <is>
          <t>A 1523-2024</t>
        </is>
      </c>
      <c r="B750" s="1" t="n">
        <v>45306</v>
      </c>
      <c r="C750" s="1" t="n">
        <v>45912</v>
      </c>
      <c r="D750" t="inlineStr">
        <is>
          <t>JÄMTLANDS LÄN</t>
        </is>
      </c>
      <c r="E750" t="inlineStr">
        <is>
          <t>RAGUNDA</t>
        </is>
      </c>
      <c r="G750" t="n">
        <v>4.1</v>
      </c>
      <c r="H750" t="n">
        <v>0</v>
      </c>
      <c r="I750" t="n">
        <v>0</v>
      </c>
      <c r="J750" t="n">
        <v>0</v>
      </c>
      <c r="K750" t="n">
        <v>0</v>
      </c>
      <c r="L750" t="n">
        <v>0</v>
      </c>
      <c r="M750" t="n">
        <v>0</v>
      </c>
      <c r="N750" t="n">
        <v>0</v>
      </c>
      <c r="O750" t="n">
        <v>0</v>
      </c>
      <c r="P750" t="n">
        <v>0</v>
      </c>
      <c r="Q750" t="n">
        <v>0</v>
      </c>
      <c r="R750" s="2" t="inlineStr"/>
    </row>
    <row r="751" ht="15" customHeight="1">
      <c r="A751" t="inlineStr">
        <is>
          <t>A 36994-2025</t>
        </is>
      </c>
      <c r="B751" s="1" t="n">
        <v>45874.67746527777</v>
      </c>
      <c r="C751" s="1" t="n">
        <v>45912</v>
      </c>
      <c r="D751" t="inlineStr">
        <is>
          <t>JÄMTLANDS LÄN</t>
        </is>
      </c>
      <c r="E751" t="inlineStr">
        <is>
          <t>RAGUNDA</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55222-2024</t>
        </is>
      </c>
      <c r="B752" s="1" t="n">
        <v>45621.57395833333</v>
      </c>
      <c r="C752" s="1" t="n">
        <v>45912</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46211-2024</t>
        </is>
      </c>
      <c r="B753" s="1" t="n">
        <v>45581.55260416667</v>
      </c>
      <c r="C753" s="1" t="n">
        <v>45912</v>
      </c>
      <c r="D753" t="inlineStr">
        <is>
          <t>JÄMTLANDS LÄN</t>
        </is>
      </c>
      <c r="E753" t="inlineStr">
        <is>
          <t>RAGUNDA</t>
        </is>
      </c>
      <c r="G753" t="n">
        <v>7.3</v>
      </c>
      <c r="H753" t="n">
        <v>0</v>
      </c>
      <c r="I753" t="n">
        <v>0</v>
      </c>
      <c r="J753" t="n">
        <v>0</v>
      </c>
      <c r="K753" t="n">
        <v>0</v>
      </c>
      <c r="L753" t="n">
        <v>0</v>
      </c>
      <c r="M753" t="n">
        <v>0</v>
      </c>
      <c r="N753" t="n">
        <v>0</v>
      </c>
      <c r="O753" t="n">
        <v>0</v>
      </c>
      <c r="P753" t="n">
        <v>0</v>
      </c>
      <c r="Q753" t="n">
        <v>0</v>
      </c>
      <c r="R753" s="2" t="inlineStr"/>
    </row>
    <row r="754" ht="15" customHeight="1">
      <c r="A754" t="inlineStr">
        <is>
          <t>A 58630-2024</t>
        </is>
      </c>
      <c r="B754" s="1" t="n">
        <v>45635.57331018519</v>
      </c>
      <c r="C754" s="1" t="n">
        <v>45912</v>
      </c>
      <c r="D754" t="inlineStr">
        <is>
          <t>JÄMTLANDS LÄN</t>
        </is>
      </c>
      <c r="E754" t="inlineStr">
        <is>
          <t>RAGUNDA</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31435-2022</t>
        </is>
      </c>
      <c r="B755" s="1" t="n">
        <v>44774</v>
      </c>
      <c r="C755" s="1" t="n">
        <v>45912</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46549-2023</t>
        </is>
      </c>
      <c r="B756" s="1" t="n">
        <v>45197.94171296297</v>
      </c>
      <c r="C756" s="1" t="n">
        <v>45912</v>
      </c>
      <c r="D756" t="inlineStr">
        <is>
          <t>JÄMTLANDS LÄN</t>
        </is>
      </c>
      <c r="E756" t="inlineStr">
        <is>
          <t>RAGUNDA</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30880-2025</t>
        </is>
      </c>
      <c r="B757" s="1" t="n">
        <v>45832.34524305556</v>
      </c>
      <c r="C757" s="1" t="n">
        <v>45912</v>
      </c>
      <c r="D757" t="inlineStr">
        <is>
          <t>JÄMTLANDS LÄN</t>
        </is>
      </c>
      <c r="E757" t="inlineStr">
        <is>
          <t>RAGUNDA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39608-2024</t>
        </is>
      </c>
      <c r="B758" s="1" t="n">
        <v>45552.39113425926</v>
      </c>
      <c r="C758" s="1" t="n">
        <v>45912</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39626-2024</t>
        </is>
      </c>
      <c r="B759" s="1" t="n">
        <v>45552.44096064815</v>
      </c>
      <c r="C759" s="1" t="n">
        <v>45912</v>
      </c>
      <c r="D759" t="inlineStr">
        <is>
          <t>JÄMTLANDS LÄN</t>
        </is>
      </c>
      <c r="E759" t="inlineStr">
        <is>
          <t>RAGUNDA</t>
        </is>
      </c>
      <c r="G759" t="n">
        <v>23.5</v>
      </c>
      <c r="H759" t="n">
        <v>0</v>
      </c>
      <c r="I759" t="n">
        <v>0</v>
      </c>
      <c r="J759" t="n">
        <v>0</v>
      </c>
      <c r="K759" t="n">
        <v>0</v>
      </c>
      <c r="L759" t="n">
        <v>0</v>
      </c>
      <c r="M759" t="n">
        <v>0</v>
      </c>
      <c r="N759" t="n">
        <v>0</v>
      </c>
      <c r="O759" t="n">
        <v>0</v>
      </c>
      <c r="P759" t="n">
        <v>0</v>
      </c>
      <c r="Q759" t="n">
        <v>0</v>
      </c>
      <c r="R759" s="2" t="inlineStr"/>
    </row>
    <row r="760" ht="15" customHeight="1">
      <c r="A760" t="inlineStr">
        <is>
          <t>A 32258-2024</t>
        </is>
      </c>
      <c r="B760" s="1" t="n">
        <v>45511</v>
      </c>
      <c r="C760" s="1" t="n">
        <v>45912</v>
      </c>
      <c r="D760" t="inlineStr">
        <is>
          <t>JÄMTLANDS LÄN</t>
        </is>
      </c>
      <c r="E760" t="inlineStr">
        <is>
          <t>RAGUNDA</t>
        </is>
      </c>
      <c r="F760" t="inlineStr">
        <is>
          <t>SCA</t>
        </is>
      </c>
      <c r="G760" t="n">
        <v>5.5</v>
      </c>
      <c r="H760" t="n">
        <v>0</v>
      </c>
      <c r="I760" t="n">
        <v>0</v>
      </c>
      <c r="J760" t="n">
        <v>0</v>
      </c>
      <c r="K760" t="n">
        <v>0</v>
      </c>
      <c r="L760" t="n">
        <v>0</v>
      </c>
      <c r="M760" t="n">
        <v>0</v>
      </c>
      <c r="N760" t="n">
        <v>0</v>
      </c>
      <c r="O760" t="n">
        <v>0</v>
      </c>
      <c r="P760" t="n">
        <v>0</v>
      </c>
      <c r="Q760" t="n">
        <v>0</v>
      </c>
      <c r="R760" s="2" t="inlineStr"/>
    </row>
    <row r="761" ht="15" customHeight="1">
      <c r="A761" t="inlineStr">
        <is>
          <t>A 36947-2025</t>
        </is>
      </c>
      <c r="B761" s="1" t="n">
        <v>45874.59496527778</v>
      </c>
      <c r="C761" s="1" t="n">
        <v>45912</v>
      </c>
      <c r="D761" t="inlineStr">
        <is>
          <t>JÄMTLANDS LÄN</t>
        </is>
      </c>
      <c r="E761" t="inlineStr">
        <is>
          <t>RAGUNDA</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38270-2021</t>
        </is>
      </c>
      <c r="B762" s="1" t="n">
        <v>44405.92065972222</v>
      </c>
      <c r="C762" s="1" t="n">
        <v>45912</v>
      </c>
      <c r="D762" t="inlineStr">
        <is>
          <t>JÄMTLANDS LÄN</t>
        </is>
      </c>
      <c r="E762" t="inlineStr">
        <is>
          <t>RAGUNDA</t>
        </is>
      </c>
      <c r="G762" t="n">
        <v>1.3</v>
      </c>
      <c r="H762" t="n">
        <v>0</v>
      </c>
      <c r="I762" t="n">
        <v>0</v>
      </c>
      <c r="J762" t="n">
        <v>0</v>
      </c>
      <c r="K762" t="n">
        <v>0</v>
      </c>
      <c r="L762" t="n">
        <v>0</v>
      </c>
      <c r="M762" t="n">
        <v>0</v>
      </c>
      <c r="N762" t="n">
        <v>0</v>
      </c>
      <c r="O762" t="n">
        <v>0</v>
      </c>
      <c r="P762" t="n">
        <v>0</v>
      </c>
      <c r="Q762" t="n">
        <v>0</v>
      </c>
      <c r="R762" s="2" t="inlineStr"/>
    </row>
    <row r="763" ht="15" customHeight="1">
      <c r="A763" t="inlineStr">
        <is>
          <t>A 29257-2024</t>
        </is>
      </c>
      <c r="B763" s="1" t="n">
        <v>45482.94815972223</v>
      </c>
      <c r="C763" s="1" t="n">
        <v>45912</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27373-2023</t>
        </is>
      </c>
      <c r="B764" s="1" t="n">
        <v>45096.93866898148</v>
      </c>
      <c r="C764" s="1" t="n">
        <v>45912</v>
      </c>
      <c r="D764" t="inlineStr">
        <is>
          <t>JÄMTLANDS LÄN</t>
        </is>
      </c>
      <c r="E764" t="inlineStr">
        <is>
          <t>RAGUNDA</t>
        </is>
      </c>
      <c r="F764" t="inlineStr">
        <is>
          <t>SCA</t>
        </is>
      </c>
      <c r="G764" t="n">
        <v>6.9</v>
      </c>
      <c r="H764" t="n">
        <v>0</v>
      </c>
      <c r="I764" t="n">
        <v>0</v>
      </c>
      <c r="J764" t="n">
        <v>0</v>
      </c>
      <c r="K764" t="n">
        <v>0</v>
      </c>
      <c r="L764" t="n">
        <v>0</v>
      </c>
      <c r="M764" t="n">
        <v>0</v>
      </c>
      <c r="N764" t="n">
        <v>0</v>
      </c>
      <c r="O764" t="n">
        <v>0</v>
      </c>
      <c r="P764" t="n">
        <v>0</v>
      </c>
      <c r="Q764" t="n">
        <v>0</v>
      </c>
      <c r="R764" s="2" t="inlineStr"/>
    </row>
    <row r="765" ht="15" customHeight="1">
      <c r="A765" t="inlineStr">
        <is>
          <t>A 62115-2024</t>
        </is>
      </c>
      <c r="B765" s="1" t="n">
        <v>45656</v>
      </c>
      <c r="C765" s="1" t="n">
        <v>45912</v>
      </c>
      <c r="D765" t="inlineStr">
        <is>
          <t>JÄMTLANDS LÄN</t>
        </is>
      </c>
      <c r="E765" t="inlineStr">
        <is>
          <t>RAGUNDA</t>
        </is>
      </c>
      <c r="G765" t="n">
        <v>3.3</v>
      </c>
      <c r="H765" t="n">
        <v>0</v>
      </c>
      <c r="I765" t="n">
        <v>0</v>
      </c>
      <c r="J765" t="n">
        <v>0</v>
      </c>
      <c r="K765" t="n">
        <v>0</v>
      </c>
      <c r="L765" t="n">
        <v>0</v>
      </c>
      <c r="M765" t="n">
        <v>0</v>
      </c>
      <c r="N765" t="n">
        <v>0</v>
      </c>
      <c r="O765" t="n">
        <v>0</v>
      </c>
      <c r="P765" t="n">
        <v>0</v>
      </c>
      <c r="Q765" t="n">
        <v>0</v>
      </c>
      <c r="R765" s="2" t="inlineStr"/>
    </row>
    <row r="766" ht="15" customHeight="1">
      <c r="A766" t="inlineStr">
        <is>
          <t>A 56984-2022</t>
        </is>
      </c>
      <c r="B766" s="1" t="n">
        <v>44894.79018518519</v>
      </c>
      <c r="C766" s="1" t="n">
        <v>45912</v>
      </c>
      <c r="D766" t="inlineStr">
        <is>
          <t>JÄMTLANDS LÄN</t>
        </is>
      </c>
      <c r="E766" t="inlineStr">
        <is>
          <t>RAGUNDA</t>
        </is>
      </c>
      <c r="G766" t="n">
        <v>1.4</v>
      </c>
      <c r="H766" t="n">
        <v>0</v>
      </c>
      <c r="I766" t="n">
        <v>0</v>
      </c>
      <c r="J766" t="n">
        <v>0</v>
      </c>
      <c r="K766" t="n">
        <v>0</v>
      </c>
      <c r="L766" t="n">
        <v>0</v>
      </c>
      <c r="M766" t="n">
        <v>0</v>
      </c>
      <c r="N766" t="n">
        <v>0</v>
      </c>
      <c r="O766" t="n">
        <v>0</v>
      </c>
      <c r="P766" t="n">
        <v>0</v>
      </c>
      <c r="Q766" t="n">
        <v>0</v>
      </c>
      <c r="R766" s="2" t="inlineStr"/>
    </row>
    <row r="767" ht="15" customHeight="1">
      <c r="A767" t="inlineStr">
        <is>
          <t>A 32088-2025</t>
        </is>
      </c>
      <c r="B767" s="1" t="n">
        <v>45835.45686342593</v>
      </c>
      <c r="C767" s="1" t="n">
        <v>45912</v>
      </c>
      <c r="D767" t="inlineStr">
        <is>
          <t>JÄMTLANDS LÄN</t>
        </is>
      </c>
      <c r="E767" t="inlineStr">
        <is>
          <t>RAGUNDA</t>
        </is>
      </c>
      <c r="G767" t="n">
        <v>0.8</v>
      </c>
      <c r="H767" t="n">
        <v>0</v>
      </c>
      <c r="I767" t="n">
        <v>0</v>
      </c>
      <c r="J767" t="n">
        <v>0</v>
      </c>
      <c r="K767" t="n">
        <v>0</v>
      </c>
      <c r="L767" t="n">
        <v>0</v>
      </c>
      <c r="M767" t="n">
        <v>0</v>
      </c>
      <c r="N767" t="n">
        <v>0</v>
      </c>
      <c r="O767" t="n">
        <v>0</v>
      </c>
      <c r="P767" t="n">
        <v>0</v>
      </c>
      <c r="Q767" t="n">
        <v>0</v>
      </c>
      <c r="R767" s="2" t="inlineStr"/>
    </row>
    <row r="768" ht="15" customHeight="1">
      <c r="A768" t="inlineStr">
        <is>
          <t>A 32096-2025</t>
        </is>
      </c>
      <c r="B768" s="1" t="n">
        <v>45835.46334490741</v>
      </c>
      <c r="C768" s="1" t="n">
        <v>45912</v>
      </c>
      <c r="D768" t="inlineStr">
        <is>
          <t>JÄMTLANDS LÄN</t>
        </is>
      </c>
      <c r="E768" t="inlineStr">
        <is>
          <t>RAGUNDA</t>
        </is>
      </c>
      <c r="G768" t="n">
        <v>0.9</v>
      </c>
      <c r="H768" t="n">
        <v>0</v>
      </c>
      <c r="I768" t="n">
        <v>0</v>
      </c>
      <c r="J768" t="n">
        <v>0</v>
      </c>
      <c r="K768" t="n">
        <v>0</v>
      </c>
      <c r="L768" t="n">
        <v>0</v>
      </c>
      <c r="M768" t="n">
        <v>0</v>
      </c>
      <c r="N768" t="n">
        <v>0</v>
      </c>
      <c r="O768" t="n">
        <v>0</v>
      </c>
      <c r="P768" t="n">
        <v>0</v>
      </c>
      <c r="Q768" t="n">
        <v>0</v>
      </c>
      <c r="R768" s="2" t="inlineStr"/>
    </row>
    <row r="769" ht="15" customHeight="1">
      <c r="A769" t="inlineStr">
        <is>
          <t>A 32151-2025</t>
        </is>
      </c>
      <c r="B769" s="1" t="n">
        <v>45835.53166666667</v>
      </c>
      <c r="C769" s="1" t="n">
        <v>45912</v>
      </c>
      <c r="D769" t="inlineStr">
        <is>
          <t>JÄMTLANDS LÄN</t>
        </is>
      </c>
      <c r="E769" t="inlineStr">
        <is>
          <t>RAGUNDA</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12653-2024</t>
        </is>
      </c>
      <c r="B770" s="1" t="n">
        <v>45384</v>
      </c>
      <c r="C770" s="1" t="n">
        <v>45912</v>
      </c>
      <c r="D770" t="inlineStr">
        <is>
          <t>JÄMTLANDS LÄN</t>
        </is>
      </c>
      <c r="E770" t="inlineStr">
        <is>
          <t>RAGUNDA</t>
        </is>
      </c>
      <c r="G770" t="n">
        <v>1.1</v>
      </c>
      <c r="H770" t="n">
        <v>0</v>
      </c>
      <c r="I770" t="n">
        <v>0</v>
      </c>
      <c r="J770" t="n">
        <v>0</v>
      </c>
      <c r="K770" t="n">
        <v>0</v>
      </c>
      <c r="L770" t="n">
        <v>0</v>
      </c>
      <c r="M770" t="n">
        <v>0</v>
      </c>
      <c r="N770" t="n">
        <v>0</v>
      </c>
      <c r="O770" t="n">
        <v>0</v>
      </c>
      <c r="P770" t="n">
        <v>0</v>
      </c>
      <c r="Q770" t="n">
        <v>0</v>
      </c>
      <c r="R770" s="2" t="inlineStr"/>
    </row>
    <row r="771" ht="15" customHeight="1">
      <c r="A771" t="inlineStr">
        <is>
          <t>A 32306-2025</t>
        </is>
      </c>
      <c r="B771" s="1" t="n">
        <v>45835.72046296296</v>
      </c>
      <c r="C771" s="1" t="n">
        <v>45912</v>
      </c>
      <c r="D771" t="inlineStr">
        <is>
          <t>JÄMTLANDS LÄN</t>
        </is>
      </c>
      <c r="E771" t="inlineStr">
        <is>
          <t>RAGUNDA</t>
        </is>
      </c>
      <c r="G771" t="n">
        <v>10.2</v>
      </c>
      <c r="H771" t="n">
        <v>0</v>
      </c>
      <c r="I771" t="n">
        <v>0</v>
      </c>
      <c r="J771" t="n">
        <v>0</v>
      </c>
      <c r="K771" t="n">
        <v>0</v>
      </c>
      <c r="L771" t="n">
        <v>0</v>
      </c>
      <c r="M771" t="n">
        <v>0</v>
      </c>
      <c r="N771" t="n">
        <v>0</v>
      </c>
      <c r="O771" t="n">
        <v>0</v>
      </c>
      <c r="P771" t="n">
        <v>0</v>
      </c>
      <c r="Q771" t="n">
        <v>0</v>
      </c>
      <c r="R771" s="2" t="inlineStr"/>
    </row>
    <row r="772" ht="15" customHeight="1">
      <c r="A772" t="inlineStr">
        <is>
          <t>A 50211-2023</t>
        </is>
      </c>
      <c r="B772" s="1" t="n">
        <v>45215.94657407407</v>
      </c>
      <c r="C772" s="1" t="n">
        <v>45912</v>
      </c>
      <c r="D772" t="inlineStr">
        <is>
          <t>JÄMTLANDS LÄN</t>
        </is>
      </c>
      <c r="E772" t="inlineStr">
        <is>
          <t>RAGUNDA</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32021-2025</t>
        </is>
      </c>
      <c r="B773" s="1" t="n">
        <v>45835.40668981482</v>
      </c>
      <c r="C773" s="1" t="n">
        <v>45912</v>
      </c>
      <c r="D773" t="inlineStr">
        <is>
          <t>JÄMTLANDS LÄN</t>
        </is>
      </c>
      <c r="E773" t="inlineStr">
        <is>
          <t>RAGUNDA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32075-2025</t>
        </is>
      </c>
      <c r="B774" s="1" t="n">
        <v>45835.4506712963</v>
      </c>
      <c r="C774" s="1" t="n">
        <v>45912</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31882-2025</t>
        </is>
      </c>
      <c r="B775" s="1" t="n">
        <v>45834.65662037037</v>
      </c>
      <c r="C775" s="1" t="n">
        <v>45912</v>
      </c>
      <c r="D775" t="inlineStr">
        <is>
          <t>JÄMTLANDS LÄN</t>
        </is>
      </c>
      <c r="E775" t="inlineStr">
        <is>
          <t>RAGUNDA</t>
        </is>
      </c>
      <c r="F775" t="inlineStr">
        <is>
          <t>SCA</t>
        </is>
      </c>
      <c r="G775" t="n">
        <v>5.5</v>
      </c>
      <c r="H775" t="n">
        <v>0</v>
      </c>
      <c r="I775" t="n">
        <v>0</v>
      </c>
      <c r="J775" t="n">
        <v>0</v>
      </c>
      <c r="K775" t="n">
        <v>0</v>
      </c>
      <c r="L775" t="n">
        <v>0</v>
      </c>
      <c r="M775" t="n">
        <v>0</v>
      </c>
      <c r="N775" t="n">
        <v>0</v>
      </c>
      <c r="O775" t="n">
        <v>0</v>
      </c>
      <c r="P775" t="n">
        <v>0</v>
      </c>
      <c r="Q775" t="n">
        <v>0</v>
      </c>
      <c r="R775" s="2" t="inlineStr"/>
    </row>
    <row r="776" ht="15" customHeight="1">
      <c r="A776" t="inlineStr">
        <is>
          <t>A 13264-2025</t>
        </is>
      </c>
      <c r="B776" s="1" t="n">
        <v>45735</v>
      </c>
      <c r="C776" s="1" t="n">
        <v>45912</v>
      </c>
      <c r="D776" t="inlineStr">
        <is>
          <t>JÄMTLANDS LÄN</t>
        </is>
      </c>
      <c r="E776" t="inlineStr">
        <is>
          <t>RAGUNDA</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9232-2025</t>
        </is>
      </c>
      <c r="B777" s="1" t="n">
        <v>45714.55064814815</v>
      </c>
      <c r="C777" s="1" t="n">
        <v>45912</v>
      </c>
      <c r="D777" t="inlineStr">
        <is>
          <t>JÄMTLANDS LÄN</t>
        </is>
      </c>
      <c r="E777" t="inlineStr">
        <is>
          <t>RAGUNDA</t>
        </is>
      </c>
      <c r="G777" t="n">
        <v>1.9</v>
      </c>
      <c r="H777" t="n">
        <v>0</v>
      </c>
      <c r="I777" t="n">
        <v>0</v>
      </c>
      <c r="J777" t="n">
        <v>0</v>
      </c>
      <c r="K777" t="n">
        <v>0</v>
      </c>
      <c r="L777" t="n">
        <v>0</v>
      </c>
      <c r="M777" t="n">
        <v>0</v>
      </c>
      <c r="N777" t="n">
        <v>0</v>
      </c>
      <c r="O777" t="n">
        <v>0</v>
      </c>
      <c r="P777" t="n">
        <v>0</v>
      </c>
      <c r="Q777" t="n">
        <v>0</v>
      </c>
      <c r="R777" s="2" t="inlineStr"/>
    </row>
    <row r="778" ht="15" customHeight="1">
      <c r="A778" t="inlineStr">
        <is>
          <t>A 37292-2025</t>
        </is>
      </c>
      <c r="B778" s="1" t="n">
        <v>45876.53188657408</v>
      </c>
      <c r="C778" s="1" t="n">
        <v>45912</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29775-2023</t>
        </is>
      </c>
      <c r="B779" s="1" t="n">
        <v>45098</v>
      </c>
      <c r="C779" s="1" t="n">
        <v>45912</v>
      </c>
      <c r="D779" t="inlineStr">
        <is>
          <t>JÄMTLANDS LÄN</t>
        </is>
      </c>
      <c r="E779" t="inlineStr">
        <is>
          <t>RAGUNDA</t>
        </is>
      </c>
      <c r="G779" t="n">
        <v>3.6</v>
      </c>
      <c r="H779" t="n">
        <v>0</v>
      </c>
      <c r="I779" t="n">
        <v>0</v>
      </c>
      <c r="J779" t="n">
        <v>0</v>
      </c>
      <c r="K779" t="n">
        <v>0</v>
      </c>
      <c r="L779" t="n">
        <v>0</v>
      </c>
      <c r="M779" t="n">
        <v>0</v>
      </c>
      <c r="N779" t="n">
        <v>0</v>
      </c>
      <c r="O779" t="n">
        <v>0</v>
      </c>
      <c r="P779" t="n">
        <v>0</v>
      </c>
      <c r="Q779" t="n">
        <v>0</v>
      </c>
      <c r="R779" s="2" t="inlineStr"/>
    </row>
    <row r="780" ht="15" customHeight="1">
      <c r="A780" t="inlineStr">
        <is>
          <t>A 5307-2025</t>
        </is>
      </c>
      <c r="B780" s="1" t="n">
        <v>45692.48993055556</v>
      </c>
      <c r="C780" s="1" t="n">
        <v>45912</v>
      </c>
      <c r="D780" t="inlineStr">
        <is>
          <t>JÄMTLANDS LÄN</t>
        </is>
      </c>
      <c r="E780" t="inlineStr">
        <is>
          <t>RAGUNDA</t>
        </is>
      </c>
      <c r="F780" t="inlineStr">
        <is>
          <t>SCA</t>
        </is>
      </c>
      <c r="G780" t="n">
        <v>20.9</v>
      </c>
      <c r="H780" t="n">
        <v>0</v>
      </c>
      <c r="I780" t="n">
        <v>0</v>
      </c>
      <c r="J780" t="n">
        <v>0</v>
      </c>
      <c r="K780" t="n">
        <v>0</v>
      </c>
      <c r="L780" t="n">
        <v>0</v>
      </c>
      <c r="M780" t="n">
        <v>0</v>
      </c>
      <c r="N780" t="n">
        <v>0</v>
      </c>
      <c r="O780" t="n">
        <v>0</v>
      </c>
      <c r="P780" t="n">
        <v>0</v>
      </c>
      <c r="Q780" t="n">
        <v>0</v>
      </c>
      <c r="R780" s="2" t="inlineStr"/>
    </row>
    <row r="781" ht="15" customHeight="1">
      <c r="A781" t="inlineStr">
        <is>
          <t>A 44494-2024</t>
        </is>
      </c>
      <c r="B781" s="1" t="n">
        <v>45574.39081018518</v>
      </c>
      <c r="C781" s="1" t="n">
        <v>45912</v>
      </c>
      <c r="D781" t="inlineStr">
        <is>
          <t>JÄMTLANDS LÄN</t>
        </is>
      </c>
      <c r="E781" t="inlineStr">
        <is>
          <t>RAGUNDA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38548-2024</t>
        </is>
      </c>
      <c r="B782" s="1" t="n">
        <v>45546</v>
      </c>
      <c r="C782" s="1" t="n">
        <v>45912</v>
      </c>
      <c r="D782" t="inlineStr">
        <is>
          <t>JÄMTLANDS LÄN</t>
        </is>
      </c>
      <c r="E782" t="inlineStr">
        <is>
          <t>RAGUNDA</t>
        </is>
      </c>
      <c r="G782" t="n">
        <v>1.4</v>
      </c>
      <c r="H782" t="n">
        <v>0</v>
      </c>
      <c r="I782" t="n">
        <v>0</v>
      </c>
      <c r="J782" t="n">
        <v>0</v>
      </c>
      <c r="K782" t="n">
        <v>0</v>
      </c>
      <c r="L782" t="n">
        <v>0</v>
      </c>
      <c r="M782" t="n">
        <v>0</v>
      </c>
      <c r="N782" t="n">
        <v>0</v>
      </c>
      <c r="O782" t="n">
        <v>0</v>
      </c>
      <c r="P782" t="n">
        <v>0</v>
      </c>
      <c r="Q782" t="n">
        <v>0</v>
      </c>
      <c r="R782" s="2" t="inlineStr"/>
    </row>
    <row r="783" ht="15" customHeight="1">
      <c r="A783" t="inlineStr">
        <is>
          <t>A 13898-2023</t>
        </is>
      </c>
      <c r="B783" s="1" t="n">
        <v>45008.01408564814</v>
      </c>
      <c r="C783" s="1" t="n">
        <v>45912</v>
      </c>
      <c r="D783" t="inlineStr">
        <is>
          <t>JÄMTLANDS LÄN</t>
        </is>
      </c>
      <c r="E783" t="inlineStr">
        <is>
          <t>RAGUNDA</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2411-2023</t>
        </is>
      </c>
      <c r="B784" s="1" t="n">
        <v>44942</v>
      </c>
      <c r="C784" s="1" t="n">
        <v>45912</v>
      </c>
      <c r="D784" t="inlineStr">
        <is>
          <t>JÄMTLANDS LÄN</t>
        </is>
      </c>
      <c r="E784" t="inlineStr">
        <is>
          <t>RAGUNDA</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13935-2024</t>
        </is>
      </c>
      <c r="B785" s="1" t="n">
        <v>45391.95329861111</v>
      </c>
      <c r="C785" s="1" t="n">
        <v>45912</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32796-2025</t>
        </is>
      </c>
      <c r="B786" s="1" t="n">
        <v>45839.49082175926</v>
      </c>
      <c r="C786" s="1" t="n">
        <v>45912</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32655-2025</t>
        </is>
      </c>
      <c r="B787" s="1" t="n">
        <v>45838.67800925926</v>
      </c>
      <c r="C787" s="1" t="n">
        <v>45912</v>
      </c>
      <c r="D787" t="inlineStr">
        <is>
          <t>JÄMTLANDS LÄN</t>
        </is>
      </c>
      <c r="E787" t="inlineStr">
        <is>
          <t>RAGUNDA</t>
        </is>
      </c>
      <c r="G787" t="n">
        <v>2.8</v>
      </c>
      <c r="H787" t="n">
        <v>0</v>
      </c>
      <c r="I787" t="n">
        <v>0</v>
      </c>
      <c r="J787" t="n">
        <v>0</v>
      </c>
      <c r="K787" t="n">
        <v>0</v>
      </c>
      <c r="L787" t="n">
        <v>0</v>
      </c>
      <c r="M787" t="n">
        <v>0</v>
      </c>
      <c r="N787" t="n">
        <v>0</v>
      </c>
      <c r="O787" t="n">
        <v>0</v>
      </c>
      <c r="P787" t="n">
        <v>0</v>
      </c>
      <c r="Q787" t="n">
        <v>0</v>
      </c>
      <c r="R787" s="2" t="inlineStr"/>
    </row>
    <row r="788" ht="15" customHeight="1">
      <c r="A788" t="inlineStr">
        <is>
          <t>A 32751-2025</t>
        </is>
      </c>
      <c r="B788" s="1" t="n">
        <v>45839.42864583333</v>
      </c>
      <c r="C788" s="1" t="n">
        <v>45912</v>
      </c>
      <c r="D788" t="inlineStr">
        <is>
          <t>JÄMTLANDS LÄN</t>
        </is>
      </c>
      <c r="E788" t="inlineStr">
        <is>
          <t>RAGUNDA</t>
        </is>
      </c>
      <c r="F788" t="inlineStr">
        <is>
          <t>SCA</t>
        </is>
      </c>
      <c r="G788" t="n">
        <v>10</v>
      </c>
      <c r="H788" t="n">
        <v>0</v>
      </c>
      <c r="I788" t="n">
        <v>0</v>
      </c>
      <c r="J788" t="n">
        <v>0</v>
      </c>
      <c r="K788" t="n">
        <v>0</v>
      </c>
      <c r="L788" t="n">
        <v>0</v>
      </c>
      <c r="M788" t="n">
        <v>0</v>
      </c>
      <c r="N788" t="n">
        <v>0</v>
      </c>
      <c r="O788" t="n">
        <v>0</v>
      </c>
      <c r="P788" t="n">
        <v>0</v>
      </c>
      <c r="Q788" t="n">
        <v>0</v>
      </c>
      <c r="R788" s="2" t="inlineStr"/>
    </row>
    <row r="789" ht="15" customHeight="1">
      <c r="A789" t="inlineStr">
        <is>
          <t>A 5308-2025</t>
        </is>
      </c>
      <c r="B789" s="1" t="n">
        <v>45692.49008101852</v>
      </c>
      <c r="C789" s="1" t="n">
        <v>45912</v>
      </c>
      <c r="D789" t="inlineStr">
        <is>
          <t>JÄMTLANDS LÄN</t>
        </is>
      </c>
      <c r="E789" t="inlineStr">
        <is>
          <t>RAGUNDA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58194-2022</t>
        </is>
      </c>
      <c r="B790" s="1" t="n">
        <v>44900</v>
      </c>
      <c r="C790" s="1" t="n">
        <v>45912</v>
      </c>
      <c r="D790" t="inlineStr">
        <is>
          <t>JÄMTLANDS LÄN</t>
        </is>
      </c>
      <c r="E790" t="inlineStr">
        <is>
          <t>RAGUNDA</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32777-2025</t>
        </is>
      </c>
      <c r="B791" s="1" t="n">
        <v>45839.46915509259</v>
      </c>
      <c r="C791" s="1" t="n">
        <v>45912</v>
      </c>
      <c r="D791" t="inlineStr">
        <is>
          <t>JÄMTLANDS LÄN</t>
        </is>
      </c>
      <c r="E791" t="inlineStr">
        <is>
          <t>RAGUNDA</t>
        </is>
      </c>
      <c r="F791" t="inlineStr">
        <is>
          <t>SCA</t>
        </is>
      </c>
      <c r="G791" t="n">
        <v>21.7</v>
      </c>
      <c r="H791" t="n">
        <v>0</v>
      </c>
      <c r="I791" t="n">
        <v>0</v>
      </c>
      <c r="J791" t="n">
        <v>0</v>
      </c>
      <c r="K791" t="n">
        <v>0</v>
      </c>
      <c r="L791" t="n">
        <v>0</v>
      </c>
      <c r="M791" t="n">
        <v>0</v>
      </c>
      <c r="N791" t="n">
        <v>0</v>
      </c>
      <c r="O791" t="n">
        <v>0</v>
      </c>
      <c r="P791" t="n">
        <v>0</v>
      </c>
      <c r="Q791" t="n">
        <v>0</v>
      </c>
      <c r="R791" s="2" t="inlineStr"/>
    </row>
    <row r="792" ht="15" customHeight="1">
      <c r="A792" t="inlineStr">
        <is>
          <t>A 32430-2025</t>
        </is>
      </c>
      <c r="B792" s="1" t="n">
        <v>45838.36532407408</v>
      </c>
      <c r="C792" s="1" t="n">
        <v>45912</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32747-2025</t>
        </is>
      </c>
      <c r="B793" s="1" t="n">
        <v>45839.42810185185</v>
      </c>
      <c r="C793" s="1" t="n">
        <v>45912</v>
      </c>
      <c r="D793" t="inlineStr">
        <is>
          <t>JÄMTLANDS LÄN</t>
        </is>
      </c>
      <c r="E793" t="inlineStr">
        <is>
          <t>RAGUNDA</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32757-2025</t>
        </is>
      </c>
      <c r="B794" s="1" t="n">
        <v>45838</v>
      </c>
      <c r="C794" s="1" t="n">
        <v>45912</v>
      </c>
      <c r="D794" t="inlineStr">
        <is>
          <t>JÄMTLANDS LÄN</t>
        </is>
      </c>
      <c r="E794" t="inlineStr">
        <is>
          <t>RAGUNDA</t>
        </is>
      </c>
      <c r="G794" t="n">
        <v>4.5</v>
      </c>
      <c r="H794" t="n">
        <v>0</v>
      </c>
      <c r="I794" t="n">
        <v>0</v>
      </c>
      <c r="J794" t="n">
        <v>0</v>
      </c>
      <c r="K794" t="n">
        <v>0</v>
      </c>
      <c r="L794" t="n">
        <v>0</v>
      </c>
      <c r="M794" t="n">
        <v>0</v>
      </c>
      <c r="N794" t="n">
        <v>0</v>
      </c>
      <c r="O794" t="n">
        <v>0</v>
      </c>
      <c r="P794" t="n">
        <v>0</v>
      </c>
      <c r="Q794" t="n">
        <v>0</v>
      </c>
      <c r="R794" s="2" t="inlineStr"/>
    </row>
    <row r="795" ht="15" customHeight="1">
      <c r="A795" t="inlineStr">
        <is>
          <t>A 26026-2024</t>
        </is>
      </c>
      <c r="B795" s="1" t="n">
        <v>45467.96207175926</v>
      </c>
      <c r="C795" s="1" t="n">
        <v>45912</v>
      </c>
      <c r="D795" t="inlineStr">
        <is>
          <t>JÄMTLANDS LÄN</t>
        </is>
      </c>
      <c r="E795" t="inlineStr">
        <is>
          <t>RAGUNDA</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24171-2021</t>
        </is>
      </c>
      <c r="B796" s="1" t="n">
        <v>44336</v>
      </c>
      <c r="C796" s="1" t="n">
        <v>45912</v>
      </c>
      <c r="D796" t="inlineStr">
        <is>
          <t>JÄMTLANDS LÄN</t>
        </is>
      </c>
      <c r="E796" t="inlineStr">
        <is>
          <t>RAGUNDA</t>
        </is>
      </c>
      <c r="G796" t="n">
        <v>3.6</v>
      </c>
      <c r="H796" t="n">
        <v>0</v>
      </c>
      <c r="I796" t="n">
        <v>0</v>
      </c>
      <c r="J796" t="n">
        <v>0</v>
      </c>
      <c r="K796" t="n">
        <v>0</v>
      </c>
      <c r="L796" t="n">
        <v>0</v>
      </c>
      <c r="M796" t="n">
        <v>0</v>
      </c>
      <c r="N796" t="n">
        <v>0</v>
      </c>
      <c r="O796" t="n">
        <v>0</v>
      </c>
      <c r="P796" t="n">
        <v>0</v>
      </c>
      <c r="Q796" t="n">
        <v>0</v>
      </c>
      <c r="R796" s="2" t="inlineStr"/>
    </row>
    <row r="797" ht="15" customHeight="1">
      <c r="A797" t="inlineStr">
        <is>
          <t>A 58843-2024</t>
        </is>
      </c>
      <c r="B797" s="1" t="n">
        <v>45636.38599537037</v>
      </c>
      <c r="C797" s="1" t="n">
        <v>45912</v>
      </c>
      <c r="D797" t="inlineStr">
        <is>
          <t>JÄMTLANDS LÄN</t>
        </is>
      </c>
      <c r="E797" t="inlineStr">
        <is>
          <t>RAGUNDA</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32846-2025</t>
        </is>
      </c>
      <c r="B798" s="1" t="n">
        <v>45839.57331018519</v>
      </c>
      <c r="C798" s="1" t="n">
        <v>45912</v>
      </c>
      <c r="D798" t="inlineStr">
        <is>
          <t>JÄMTLANDS LÄN</t>
        </is>
      </c>
      <c r="E798" t="inlineStr">
        <is>
          <t>RAGUNDA</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5429-2024</t>
        </is>
      </c>
      <c r="B799" s="1" t="n">
        <v>45331.92746527777</v>
      </c>
      <c r="C799" s="1" t="n">
        <v>45912</v>
      </c>
      <c r="D799" t="inlineStr">
        <is>
          <t>JÄMTLANDS LÄN</t>
        </is>
      </c>
      <c r="E799" t="inlineStr">
        <is>
          <t>RAGUNDA</t>
        </is>
      </c>
      <c r="G799" t="n">
        <v>1.1</v>
      </c>
      <c r="H799" t="n">
        <v>0</v>
      </c>
      <c r="I799" t="n">
        <v>0</v>
      </c>
      <c r="J799" t="n">
        <v>0</v>
      </c>
      <c r="K799" t="n">
        <v>0</v>
      </c>
      <c r="L799" t="n">
        <v>0</v>
      </c>
      <c r="M799" t="n">
        <v>0</v>
      </c>
      <c r="N799" t="n">
        <v>0</v>
      </c>
      <c r="O799" t="n">
        <v>0</v>
      </c>
      <c r="P799" t="n">
        <v>0</v>
      </c>
      <c r="Q799" t="n">
        <v>0</v>
      </c>
      <c r="R799" s="2" t="inlineStr"/>
    </row>
    <row r="800" ht="15" customHeight="1">
      <c r="A800" t="inlineStr">
        <is>
          <t>A 32748-2025</t>
        </is>
      </c>
      <c r="B800" s="1" t="n">
        <v>45839.42822916667</v>
      </c>
      <c r="C800" s="1" t="n">
        <v>45912</v>
      </c>
      <c r="D800" t="inlineStr">
        <is>
          <t>JÄMTLANDS LÄN</t>
        </is>
      </c>
      <c r="E800" t="inlineStr">
        <is>
          <t>RAGUNDA</t>
        </is>
      </c>
      <c r="F800" t="inlineStr">
        <is>
          <t>SCA</t>
        </is>
      </c>
      <c r="G800" t="n">
        <v>4.4</v>
      </c>
      <c r="H800" t="n">
        <v>0</v>
      </c>
      <c r="I800" t="n">
        <v>0</v>
      </c>
      <c r="J800" t="n">
        <v>0</v>
      </c>
      <c r="K800" t="n">
        <v>0</v>
      </c>
      <c r="L800" t="n">
        <v>0</v>
      </c>
      <c r="M800" t="n">
        <v>0</v>
      </c>
      <c r="N800" t="n">
        <v>0</v>
      </c>
      <c r="O800" t="n">
        <v>0</v>
      </c>
      <c r="P800" t="n">
        <v>0</v>
      </c>
      <c r="Q800" t="n">
        <v>0</v>
      </c>
      <c r="R800" s="2" t="inlineStr"/>
    </row>
    <row r="801" ht="15" customHeight="1">
      <c r="A801" t="inlineStr">
        <is>
          <t>A 32762-2025</t>
        </is>
      </c>
      <c r="B801" s="1" t="n">
        <v>45838</v>
      </c>
      <c r="C801" s="1" t="n">
        <v>45912</v>
      </c>
      <c r="D801" t="inlineStr">
        <is>
          <t>JÄMTLANDS LÄN</t>
        </is>
      </c>
      <c r="E801" t="inlineStr">
        <is>
          <t>RAGUNDA</t>
        </is>
      </c>
      <c r="G801" t="n">
        <v>0.6</v>
      </c>
      <c r="H801" t="n">
        <v>0</v>
      </c>
      <c r="I801" t="n">
        <v>0</v>
      </c>
      <c r="J801" t="n">
        <v>0</v>
      </c>
      <c r="K801" t="n">
        <v>0</v>
      </c>
      <c r="L801" t="n">
        <v>0</v>
      </c>
      <c r="M801" t="n">
        <v>0</v>
      </c>
      <c r="N801" t="n">
        <v>0</v>
      </c>
      <c r="O801" t="n">
        <v>0</v>
      </c>
      <c r="P801" t="n">
        <v>0</v>
      </c>
      <c r="Q801" t="n">
        <v>0</v>
      </c>
      <c r="R801" s="2" t="inlineStr"/>
    </row>
    <row r="802" ht="15" customHeight="1">
      <c r="A802" t="inlineStr">
        <is>
          <t>A 32660-2025</t>
        </is>
      </c>
      <c r="B802" s="1" t="n">
        <v>45838.67887731481</v>
      </c>
      <c r="C802" s="1" t="n">
        <v>45912</v>
      </c>
      <c r="D802" t="inlineStr">
        <is>
          <t>JÄMTLANDS LÄN</t>
        </is>
      </c>
      <c r="E802" t="inlineStr">
        <is>
          <t>RAGUNDA</t>
        </is>
      </c>
      <c r="F802" t="inlineStr">
        <is>
          <t>SCA</t>
        </is>
      </c>
      <c r="G802" t="n">
        <v>10.3</v>
      </c>
      <c r="H802" t="n">
        <v>0</v>
      </c>
      <c r="I802" t="n">
        <v>0</v>
      </c>
      <c r="J802" t="n">
        <v>0</v>
      </c>
      <c r="K802" t="n">
        <v>0</v>
      </c>
      <c r="L802" t="n">
        <v>0</v>
      </c>
      <c r="M802" t="n">
        <v>0</v>
      </c>
      <c r="N802" t="n">
        <v>0</v>
      </c>
      <c r="O802" t="n">
        <v>0</v>
      </c>
      <c r="P802" t="n">
        <v>0</v>
      </c>
      <c r="Q802" t="n">
        <v>0</v>
      </c>
      <c r="R802" s="2" t="inlineStr"/>
    </row>
    <row r="803" ht="15" customHeight="1">
      <c r="A803" t="inlineStr">
        <is>
          <t>A 32527-2025</t>
        </is>
      </c>
      <c r="B803" s="1" t="n">
        <v>45838.48996527777</v>
      </c>
      <c r="C803" s="1" t="n">
        <v>45912</v>
      </c>
      <c r="D803" t="inlineStr">
        <is>
          <t>JÄMTLANDS LÄN</t>
        </is>
      </c>
      <c r="E803" t="inlineStr">
        <is>
          <t>RAGUNDA</t>
        </is>
      </c>
      <c r="G803" t="n">
        <v>5</v>
      </c>
      <c r="H803" t="n">
        <v>0</v>
      </c>
      <c r="I803" t="n">
        <v>0</v>
      </c>
      <c r="J803" t="n">
        <v>0</v>
      </c>
      <c r="K803" t="n">
        <v>0</v>
      </c>
      <c r="L803" t="n">
        <v>0</v>
      </c>
      <c r="M803" t="n">
        <v>0</v>
      </c>
      <c r="N803" t="n">
        <v>0</v>
      </c>
      <c r="O803" t="n">
        <v>0</v>
      </c>
      <c r="P803" t="n">
        <v>0</v>
      </c>
      <c r="Q803" t="n">
        <v>0</v>
      </c>
      <c r="R803" s="2" t="inlineStr"/>
    </row>
    <row r="804" ht="15" customHeight="1">
      <c r="A804" t="inlineStr">
        <is>
          <t>A 53287-2022</t>
        </is>
      </c>
      <c r="B804" s="1" t="n">
        <v>44876</v>
      </c>
      <c r="C804" s="1" t="n">
        <v>45912</v>
      </c>
      <c r="D804" t="inlineStr">
        <is>
          <t>JÄMTLANDS LÄN</t>
        </is>
      </c>
      <c r="E804" t="inlineStr">
        <is>
          <t>RAGUNDA</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3720-2025</t>
        </is>
      </c>
      <c r="B805" s="1" t="n">
        <v>45681.5315625</v>
      </c>
      <c r="C805" s="1" t="n">
        <v>45912</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3770-2025</t>
        </is>
      </c>
      <c r="B806" s="1" t="n">
        <v>45681.6050925926</v>
      </c>
      <c r="C806" s="1" t="n">
        <v>45912</v>
      </c>
      <c r="D806" t="inlineStr">
        <is>
          <t>JÄMTLANDS LÄN</t>
        </is>
      </c>
      <c r="E806" t="inlineStr">
        <is>
          <t>RAGUNDA</t>
        </is>
      </c>
      <c r="G806" t="n">
        <v>2.7</v>
      </c>
      <c r="H806" t="n">
        <v>0</v>
      </c>
      <c r="I806" t="n">
        <v>0</v>
      </c>
      <c r="J806" t="n">
        <v>0</v>
      </c>
      <c r="K806" t="n">
        <v>0</v>
      </c>
      <c r="L806" t="n">
        <v>0</v>
      </c>
      <c r="M806" t="n">
        <v>0</v>
      </c>
      <c r="N806" t="n">
        <v>0</v>
      </c>
      <c r="O806" t="n">
        <v>0</v>
      </c>
      <c r="P806" t="n">
        <v>0</v>
      </c>
      <c r="Q806" t="n">
        <v>0</v>
      </c>
      <c r="R806" s="2" t="inlineStr"/>
    </row>
    <row r="807" ht="15" customHeight="1">
      <c r="A807" t="inlineStr">
        <is>
          <t>A 16320-2025</t>
        </is>
      </c>
      <c r="B807" s="1" t="n">
        <v>45751.34859953704</v>
      </c>
      <c r="C807" s="1" t="n">
        <v>45912</v>
      </c>
      <c r="D807" t="inlineStr">
        <is>
          <t>JÄMTLANDS LÄN</t>
        </is>
      </c>
      <c r="E807" t="inlineStr">
        <is>
          <t>RAGUNDA</t>
        </is>
      </c>
      <c r="F807" t="inlineStr">
        <is>
          <t>SCA</t>
        </is>
      </c>
      <c r="G807" t="n">
        <v>16.2</v>
      </c>
      <c r="H807" t="n">
        <v>0</v>
      </c>
      <c r="I807" t="n">
        <v>0</v>
      </c>
      <c r="J807" t="n">
        <v>0</v>
      </c>
      <c r="K807" t="n">
        <v>0</v>
      </c>
      <c r="L807" t="n">
        <v>0</v>
      </c>
      <c r="M807" t="n">
        <v>0</v>
      </c>
      <c r="N807" t="n">
        <v>0</v>
      </c>
      <c r="O807" t="n">
        <v>0</v>
      </c>
      <c r="P807" t="n">
        <v>0</v>
      </c>
      <c r="Q807" t="n">
        <v>0</v>
      </c>
      <c r="R807" s="2" t="inlineStr"/>
    </row>
    <row r="808" ht="15" customHeight="1">
      <c r="A808" t="inlineStr">
        <is>
          <t>A 16321-2025</t>
        </is>
      </c>
      <c r="B808" s="1" t="n">
        <v>45751.34873842593</v>
      </c>
      <c r="C808" s="1" t="n">
        <v>45912</v>
      </c>
      <c r="D808" t="inlineStr">
        <is>
          <t>JÄMTLANDS LÄN</t>
        </is>
      </c>
      <c r="E808" t="inlineStr">
        <is>
          <t>RAGUNDA</t>
        </is>
      </c>
      <c r="F808" t="inlineStr">
        <is>
          <t>SCA</t>
        </is>
      </c>
      <c r="G808" t="n">
        <v>63.3</v>
      </c>
      <c r="H808" t="n">
        <v>0</v>
      </c>
      <c r="I808" t="n">
        <v>0</v>
      </c>
      <c r="J808" t="n">
        <v>0</v>
      </c>
      <c r="K808" t="n">
        <v>0</v>
      </c>
      <c r="L808" t="n">
        <v>0</v>
      </c>
      <c r="M808" t="n">
        <v>0</v>
      </c>
      <c r="N808" t="n">
        <v>0</v>
      </c>
      <c r="O808" t="n">
        <v>0</v>
      </c>
      <c r="P808" t="n">
        <v>0</v>
      </c>
      <c r="Q808" t="n">
        <v>0</v>
      </c>
      <c r="R808" s="2" t="inlineStr"/>
    </row>
    <row r="809" ht="15" customHeight="1">
      <c r="A809" t="inlineStr">
        <is>
          <t>A 14696-2022</t>
        </is>
      </c>
      <c r="B809" s="1" t="n">
        <v>44655</v>
      </c>
      <c r="C809" s="1" t="n">
        <v>45912</v>
      </c>
      <c r="D809" t="inlineStr">
        <is>
          <t>JÄMTLANDS LÄN</t>
        </is>
      </c>
      <c r="E809" t="inlineStr">
        <is>
          <t>RAGUNDA</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30053-2024</t>
        </is>
      </c>
      <c r="B810" s="1" t="n">
        <v>45488.94747685185</v>
      </c>
      <c r="C810" s="1" t="n">
        <v>45912</v>
      </c>
      <c r="D810" t="inlineStr">
        <is>
          <t>JÄMTLANDS LÄN</t>
        </is>
      </c>
      <c r="E810" t="inlineStr">
        <is>
          <t>RAGUNDA</t>
        </is>
      </c>
      <c r="F810" t="inlineStr">
        <is>
          <t>SCA</t>
        </is>
      </c>
      <c r="G810" t="n">
        <v>9.6</v>
      </c>
      <c r="H810" t="n">
        <v>0</v>
      </c>
      <c r="I810" t="n">
        <v>0</v>
      </c>
      <c r="J810" t="n">
        <v>0</v>
      </c>
      <c r="K810" t="n">
        <v>0</v>
      </c>
      <c r="L810" t="n">
        <v>0</v>
      </c>
      <c r="M810" t="n">
        <v>0</v>
      </c>
      <c r="N810" t="n">
        <v>0</v>
      </c>
      <c r="O810" t="n">
        <v>0</v>
      </c>
      <c r="P810" t="n">
        <v>0</v>
      </c>
      <c r="Q810" t="n">
        <v>0</v>
      </c>
      <c r="R810" s="2" t="inlineStr"/>
    </row>
    <row r="811" ht="15" customHeight="1">
      <c r="A811" t="inlineStr">
        <is>
          <t>A 55514-2024</t>
        </is>
      </c>
      <c r="B811" s="1" t="n">
        <v>45622.46910879629</v>
      </c>
      <c r="C811" s="1" t="n">
        <v>45912</v>
      </c>
      <c r="D811" t="inlineStr">
        <is>
          <t>JÄMTLANDS LÄN</t>
        </is>
      </c>
      <c r="E811" t="inlineStr">
        <is>
          <t>RAGUNDA</t>
        </is>
      </c>
      <c r="G811" t="n">
        <v>0.9</v>
      </c>
      <c r="H811" t="n">
        <v>0</v>
      </c>
      <c r="I811" t="n">
        <v>0</v>
      </c>
      <c r="J811" t="n">
        <v>0</v>
      </c>
      <c r="K811" t="n">
        <v>0</v>
      </c>
      <c r="L811" t="n">
        <v>0</v>
      </c>
      <c r="M811" t="n">
        <v>0</v>
      </c>
      <c r="N811" t="n">
        <v>0</v>
      </c>
      <c r="O811" t="n">
        <v>0</v>
      </c>
      <c r="P811" t="n">
        <v>0</v>
      </c>
      <c r="Q811" t="n">
        <v>0</v>
      </c>
      <c r="R811" s="2" t="inlineStr"/>
    </row>
    <row r="812" ht="15" customHeight="1">
      <c r="A812" t="inlineStr">
        <is>
          <t>A 18375-2022</t>
        </is>
      </c>
      <c r="B812" s="1" t="n">
        <v>44685</v>
      </c>
      <c r="C812" s="1" t="n">
        <v>45912</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17248-2023</t>
        </is>
      </c>
      <c r="B813" s="1" t="n">
        <v>45033</v>
      </c>
      <c r="C813" s="1" t="n">
        <v>45912</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33140-2025</t>
        </is>
      </c>
      <c r="B814" s="1" t="n">
        <v>45840.52225694444</v>
      </c>
      <c r="C814" s="1" t="n">
        <v>45912</v>
      </c>
      <c r="D814" t="inlineStr">
        <is>
          <t>JÄMTLANDS LÄN</t>
        </is>
      </c>
      <c r="E814" t="inlineStr">
        <is>
          <t>RAGUNDA</t>
        </is>
      </c>
      <c r="G814" t="n">
        <v>2</v>
      </c>
      <c r="H814" t="n">
        <v>0</v>
      </c>
      <c r="I814" t="n">
        <v>0</v>
      </c>
      <c r="J814" t="n">
        <v>0</v>
      </c>
      <c r="K814" t="n">
        <v>0</v>
      </c>
      <c r="L814" t="n">
        <v>0</v>
      </c>
      <c r="M814" t="n">
        <v>0</v>
      </c>
      <c r="N814" t="n">
        <v>0</v>
      </c>
      <c r="O814" t="n">
        <v>0</v>
      </c>
      <c r="P814" t="n">
        <v>0</v>
      </c>
      <c r="Q814" t="n">
        <v>0</v>
      </c>
      <c r="R814" s="2" t="inlineStr"/>
    </row>
    <row r="815" ht="15" customHeight="1">
      <c r="A815" t="inlineStr">
        <is>
          <t>A 62011-2022</t>
        </is>
      </c>
      <c r="B815" s="1" t="n">
        <v>44914</v>
      </c>
      <c r="C815" s="1" t="n">
        <v>45912</v>
      </c>
      <c r="D815" t="inlineStr">
        <is>
          <t>JÄMTLANDS LÄN</t>
        </is>
      </c>
      <c r="E815" t="inlineStr">
        <is>
          <t>RAGUNDA</t>
        </is>
      </c>
      <c r="G815" t="n">
        <v>0.3</v>
      </c>
      <c r="H815" t="n">
        <v>0</v>
      </c>
      <c r="I815" t="n">
        <v>0</v>
      </c>
      <c r="J815" t="n">
        <v>0</v>
      </c>
      <c r="K815" t="n">
        <v>0</v>
      </c>
      <c r="L815" t="n">
        <v>0</v>
      </c>
      <c r="M815" t="n">
        <v>0</v>
      </c>
      <c r="N815" t="n">
        <v>0</v>
      </c>
      <c r="O815" t="n">
        <v>0</v>
      </c>
      <c r="P815" t="n">
        <v>0</v>
      </c>
      <c r="Q815" t="n">
        <v>0</v>
      </c>
      <c r="R815" s="2" t="inlineStr"/>
    </row>
    <row r="816" ht="15" customHeight="1">
      <c r="A816" t="inlineStr">
        <is>
          <t>A 51579-2024</t>
        </is>
      </c>
      <c r="B816" s="1" t="n">
        <v>45604.63575231482</v>
      </c>
      <c r="C816" s="1" t="n">
        <v>45912</v>
      </c>
      <c r="D816" t="inlineStr">
        <is>
          <t>JÄMTLANDS LÄN</t>
        </is>
      </c>
      <c r="E816" t="inlineStr">
        <is>
          <t>RAGUNDA</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11557-2023</t>
        </is>
      </c>
      <c r="B817" s="1" t="n">
        <v>44993.94950231481</v>
      </c>
      <c r="C817" s="1" t="n">
        <v>45912</v>
      </c>
      <c r="D817" t="inlineStr">
        <is>
          <t>JÄMTLANDS LÄN</t>
        </is>
      </c>
      <c r="E817" t="inlineStr">
        <is>
          <t>RAGUNDA</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11562-2023</t>
        </is>
      </c>
      <c r="B818" s="1" t="n">
        <v>44993</v>
      </c>
      <c r="C818" s="1" t="n">
        <v>45912</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22131-2021</t>
        </is>
      </c>
      <c r="B819" s="1" t="n">
        <v>44323</v>
      </c>
      <c r="C819" s="1" t="n">
        <v>45912</v>
      </c>
      <c r="D819" t="inlineStr">
        <is>
          <t>JÄMTLANDS LÄN</t>
        </is>
      </c>
      <c r="E819" t="inlineStr">
        <is>
          <t>RAGUNDA</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8775-2025</t>
        </is>
      </c>
      <c r="B820" s="1" t="n">
        <v>45712.61502314815</v>
      </c>
      <c r="C820" s="1" t="n">
        <v>45912</v>
      </c>
      <c r="D820" t="inlineStr">
        <is>
          <t>JÄMTLANDS LÄN</t>
        </is>
      </c>
      <c r="E820" t="inlineStr">
        <is>
          <t>RAGUNDA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33556-2025</t>
        </is>
      </c>
      <c r="B821" s="1" t="n">
        <v>45841.57427083333</v>
      </c>
      <c r="C821" s="1" t="n">
        <v>45912</v>
      </c>
      <c r="D821" t="inlineStr">
        <is>
          <t>JÄMTLANDS LÄN</t>
        </is>
      </c>
      <c r="E821" t="inlineStr">
        <is>
          <t>RAGUNDA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5971-2025</t>
        </is>
      </c>
      <c r="B822" s="1" t="n">
        <v>45695.51070601852</v>
      </c>
      <c r="C822" s="1" t="n">
        <v>45912</v>
      </c>
      <c r="D822" t="inlineStr">
        <is>
          <t>JÄMTLANDS LÄN</t>
        </is>
      </c>
      <c r="E822" t="inlineStr">
        <is>
          <t>RAGUNDA</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30563-2023</t>
        </is>
      </c>
      <c r="B823" s="1" t="n">
        <v>45111.92793981481</v>
      </c>
      <c r="C823" s="1" t="n">
        <v>45912</v>
      </c>
      <c r="D823" t="inlineStr">
        <is>
          <t>JÄMTLANDS LÄN</t>
        </is>
      </c>
      <c r="E823" t="inlineStr">
        <is>
          <t>RAGUNDA</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36212-2023</t>
        </is>
      </c>
      <c r="B824" s="1" t="n">
        <v>45149.95241898148</v>
      </c>
      <c r="C824" s="1" t="n">
        <v>45912</v>
      </c>
      <c r="D824" t="inlineStr">
        <is>
          <t>JÄMTLANDS LÄN</t>
        </is>
      </c>
      <c r="E824" t="inlineStr">
        <is>
          <t>RAGUNDA</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2339-2025</t>
        </is>
      </c>
      <c r="B825" s="1" t="n">
        <v>45673.66358796296</v>
      </c>
      <c r="C825" s="1" t="n">
        <v>45912</v>
      </c>
      <c r="D825" t="inlineStr">
        <is>
          <t>JÄMTLANDS LÄN</t>
        </is>
      </c>
      <c r="E825" t="inlineStr">
        <is>
          <t>RAGUNDA</t>
        </is>
      </c>
      <c r="G825" t="n">
        <v>5</v>
      </c>
      <c r="H825" t="n">
        <v>0</v>
      </c>
      <c r="I825" t="n">
        <v>0</v>
      </c>
      <c r="J825" t="n">
        <v>0</v>
      </c>
      <c r="K825" t="n">
        <v>0</v>
      </c>
      <c r="L825" t="n">
        <v>0</v>
      </c>
      <c r="M825" t="n">
        <v>0</v>
      </c>
      <c r="N825" t="n">
        <v>0</v>
      </c>
      <c r="O825" t="n">
        <v>0</v>
      </c>
      <c r="P825" t="n">
        <v>0</v>
      </c>
      <c r="Q825" t="n">
        <v>0</v>
      </c>
      <c r="R825" s="2" t="inlineStr"/>
    </row>
    <row r="826" ht="15" customHeight="1">
      <c r="A826" t="inlineStr">
        <is>
          <t>A 27499-2024</t>
        </is>
      </c>
      <c r="B826" s="1" t="n">
        <v>45474.50608796296</v>
      </c>
      <c r="C826" s="1" t="n">
        <v>45912</v>
      </c>
      <c r="D826" t="inlineStr">
        <is>
          <t>JÄMTLANDS LÄN</t>
        </is>
      </c>
      <c r="E826" t="inlineStr">
        <is>
          <t>RAGUNDA</t>
        </is>
      </c>
      <c r="G826" t="n">
        <v>1.3</v>
      </c>
      <c r="H826" t="n">
        <v>0</v>
      </c>
      <c r="I826" t="n">
        <v>0</v>
      </c>
      <c r="J826" t="n">
        <v>0</v>
      </c>
      <c r="K826" t="n">
        <v>0</v>
      </c>
      <c r="L826" t="n">
        <v>0</v>
      </c>
      <c r="M826" t="n">
        <v>0</v>
      </c>
      <c r="N826" t="n">
        <v>0</v>
      </c>
      <c r="O826" t="n">
        <v>0</v>
      </c>
      <c r="P826" t="n">
        <v>0</v>
      </c>
      <c r="Q826" t="n">
        <v>0</v>
      </c>
      <c r="R826" s="2" t="inlineStr"/>
    </row>
    <row r="827" ht="15" customHeight="1">
      <c r="A827" t="inlineStr">
        <is>
          <t>A 57078-2023</t>
        </is>
      </c>
      <c r="B827" s="1" t="n">
        <v>45244.96774305555</v>
      </c>
      <c r="C827" s="1" t="n">
        <v>45912</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12768-2022</t>
        </is>
      </c>
      <c r="B828" s="1" t="n">
        <v>44641</v>
      </c>
      <c r="C828" s="1" t="n">
        <v>45912</v>
      </c>
      <c r="D828" t="inlineStr">
        <is>
          <t>JÄMTLANDS LÄN</t>
        </is>
      </c>
      <c r="E828" t="inlineStr">
        <is>
          <t>RAGUNDA</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12773-2022</t>
        </is>
      </c>
      <c r="B829" s="1" t="n">
        <v>44641</v>
      </c>
      <c r="C829" s="1" t="n">
        <v>45912</v>
      </c>
      <c r="D829" t="inlineStr">
        <is>
          <t>JÄMTLANDS LÄN</t>
        </is>
      </c>
      <c r="E829" t="inlineStr">
        <is>
          <t>RAGUNDA</t>
        </is>
      </c>
      <c r="F829" t="inlineStr">
        <is>
          <t>SCA</t>
        </is>
      </c>
      <c r="G829" t="n">
        <v>14.7</v>
      </c>
      <c r="H829" t="n">
        <v>0</v>
      </c>
      <c r="I829" t="n">
        <v>0</v>
      </c>
      <c r="J829" t="n">
        <v>0</v>
      </c>
      <c r="K829" t="n">
        <v>0</v>
      </c>
      <c r="L829" t="n">
        <v>0</v>
      </c>
      <c r="M829" t="n">
        <v>0</v>
      </c>
      <c r="N829" t="n">
        <v>0</v>
      </c>
      <c r="O829" t="n">
        <v>0</v>
      </c>
      <c r="P829" t="n">
        <v>0</v>
      </c>
      <c r="Q829" t="n">
        <v>0</v>
      </c>
      <c r="R829" s="2" t="inlineStr"/>
    </row>
    <row r="830" ht="15" customHeight="1">
      <c r="A830" t="inlineStr">
        <is>
          <t>A 33650-2025</t>
        </is>
      </c>
      <c r="B830" s="1" t="n">
        <v>45841.6571412037</v>
      </c>
      <c r="C830" s="1" t="n">
        <v>45912</v>
      </c>
      <c r="D830" t="inlineStr">
        <is>
          <t>JÄMTLANDS LÄN</t>
        </is>
      </c>
      <c r="E830" t="inlineStr">
        <is>
          <t>RAGUNDA</t>
        </is>
      </c>
      <c r="G830" t="n">
        <v>1.4</v>
      </c>
      <c r="H830" t="n">
        <v>0</v>
      </c>
      <c r="I830" t="n">
        <v>0</v>
      </c>
      <c r="J830" t="n">
        <v>0</v>
      </c>
      <c r="K830" t="n">
        <v>0</v>
      </c>
      <c r="L830" t="n">
        <v>0</v>
      </c>
      <c r="M830" t="n">
        <v>0</v>
      </c>
      <c r="N830" t="n">
        <v>0</v>
      </c>
      <c r="O830" t="n">
        <v>0</v>
      </c>
      <c r="P830" t="n">
        <v>0</v>
      </c>
      <c r="Q830" t="n">
        <v>0</v>
      </c>
      <c r="R830" s="2" t="inlineStr"/>
    </row>
    <row r="831" ht="15" customHeight="1">
      <c r="A831" t="inlineStr">
        <is>
          <t>A 59368-2022</t>
        </is>
      </c>
      <c r="B831" s="1" t="n">
        <v>44904.94824074074</v>
      </c>
      <c r="C831" s="1" t="n">
        <v>45912</v>
      </c>
      <c r="D831" t="inlineStr">
        <is>
          <t>JÄMTLANDS LÄN</t>
        </is>
      </c>
      <c r="E831" t="inlineStr">
        <is>
          <t>RAGUNDA</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6801-2023</t>
        </is>
      </c>
      <c r="B832" s="1" t="n">
        <v>44966.95328703704</v>
      </c>
      <c r="C832" s="1" t="n">
        <v>45912</v>
      </c>
      <c r="D832" t="inlineStr">
        <is>
          <t>JÄMTLANDS LÄN</t>
        </is>
      </c>
      <c r="E832" t="inlineStr">
        <is>
          <t>RAGUNDA</t>
        </is>
      </c>
      <c r="F832" t="inlineStr">
        <is>
          <t>SCA</t>
        </is>
      </c>
      <c r="G832" t="n">
        <v>10.6</v>
      </c>
      <c r="H832" t="n">
        <v>0</v>
      </c>
      <c r="I832" t="n">
        <v>0</v>
      </c>
      <c r="J832" t="n">
        <v>0</v>
      </c>
      <c r="K832" t="n">
        <v>0</v>
      </c>
      <c r="L832" t="n">
        <v>0</v>
      </c>
      <c r="M832" t="n">
        <v>0</v>
      </c>
      <c r="N832" t="n">
        <v>0</v>
      </c>
      <c r="O832" t="n">
        <v>0</v>
      </c>
      <c r="P832" t="n">
        <v>0</v>
      </c>
      <c r="Q832" t="n">
        <v>0</v>
      </c>
      <c r="R832" s="2" t="inlineStr"/>
    </row>
    <row r="833" ht="15" customHeight="1">
      <c r="A833" t="inlineStr">
        <is>
          <t>A 41656-2023</t>
        </is>
      </c>
      <c r="B833" s="1" t="n">
        <v>45175</v>
      </c>
      <c r="C833" s="1" t="n">
        <v>45912</v>
      </c>
      <c r="D833" t="inlineStr">
        <is>
          <t>JÄMTLANDS LÄN</t>
        </is>
      </c>
      <c r="E833" t="inlineStr">
        <is>
          <t>RAGUNDA</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5067-2024</t>
        </is>
      </c>
      <c r="B834" s="1" t="n">
        <v>45329.95806712963</v>
      </c>
      <c r="C834" s="1" t="n">
        <v>45912</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51646-2023</t>
        </is>
      </c>
      <c r="B835" s="1" t="n">
        <v>45215</v>
      </c>
      <c r="C835" s="1" t="n">
        <v>45912</v>
      </c>
      <c r="D835" t="inlineStr">
        <is>
          <t>JÄMTLANDS LÄN</t>
        </is>
      </c>
      <c r="E835" t="inlineStr">
        <is>
          <t>RAGUNDA</t>
        </is>
      </c>
      <c r="G835" t="n">
        <v>0.7</v>
      </c>
      <c r="H835" t="n">
        <v>0</v>
      </c>
      <c r="I835" t="n">
        <v>0</v>
      </c>
      <c r="J835" t="n">
        <v>0</v>
      </c>
      <c r="K835" t="n">
        <v>0</v>
      </c>
      <c r="L835" t="n">
        <v>0</v>
      </c>
      <c r="M835" t="n">
        <v>0</v>
      </c>
      <c r="N835" t="n">
        <v>0</v>
      </c>
      <c r="O835" t="n">
        <v>0</v>
      </c>
      <c r="P835" t="n">
        <v>0</v>
      </c>
      <c r="Q835" t="n">
        <v>0</v>
      </c>
      <c r="R835" s="2" t="inlineStr"/>
    </row>
    <row r="836" ht="15" customHeight="1">
      <c r="A836" t="inlineStr">
        <is>
          <t>A 37268-2024</t>
        </is>
      </c>
      <c r="B836" s="1" t="n">
        <v>45540.38586805556</v>
      </c>
      <c r="C836" s="1" t="n">
        <v>45912</v>
      </c>
      <c r="D836" t="inlineStr">
        <is>
          <t>JÄMTLANDS LÄN</t>
        </is>
      </c>
      <c r="E836" t="inlineStr">
        <is>
          <t>RAGUNDA</t>
        </is>
      </c>
      <c r="F836" t="inlineStr">
        <is>
          <t>SCA</t>
        </is>
      </c>
      <c r="G836" t="n">
        <v>6.3</v>
      </c>
      <c r="H836" t="n">
        <v>0</v>
      </c>
      <c r="I836" t="n">
        <v>0</v>
      </c>
      <c r="J836" t="n">
        <v>0</v>
      </c>
      <c r="K836" t="n">
        <v>0</v>
      </c>
      <c r="L836" t="n">
        <v>0</v>
      </c>
      <c r="M836" t="n">
        <v>0</v>
      </c>
      <c r="N836" t="n">
        <v>0</v>
      </c>
      <c r="O836" t="n">
        <v>0</v>
      </c>
      <c r="P836" t="n">
        <v>0</v>
      </c>
      <c r="Q836" t="n">
        <v>0</v>
      </c>
      <c r="R836" s="2" t="inlineStr"/>
    </row>
    <row r="837" ht="15" customHeight="1">
      <c r="A837" t="inlineStr">
        <is>
          <t>A 14512-2025</t>
        </is>
      </c>
      <c r="B837" s="1" t="n">
        <v>45741.63659722222</v>
      </c>
      <c r="C837" s="1" t="n">
        <v>45912</v>
      </c>
      <c r="D837" t="inlineStr">
        <is>
          <t>JÄMTLANDS LÄN</t>
        </is>
      </c>
      <c r="E837" t="inlineStr">
        <is>
          <t>RAGUNDA</t>
        </is>
      </c>
      <c r="F837" t="inlineStr">
        <is>
          <t>SCA</t>
        </is>
      </c>
      <c r="G837" t="n">
        <v>8.9</v>
      </c>
      <c r="H837" t="n">
        <v>0</v>
      </c>
      <c r="I837" t="n">
        <v>0</v>
      </c>
      <c r="J837" t="n">
        <v>0</v>
      </c>
      <c r="K837" t="n">
        <v>0</v>
      </c>
      <c r="L837" t="n">
        <v>0</v>
      </c>
      <c r="M837" t="n">
        <v>0</v>
      </c>
      <c r="N837" t="n">
        <v>0</v>
      </c>
      <c r="O837" t="n">
        <v>0</v>
      </c>
      <c r="P837" t="n">
        <v>0</v>
      </c>
      <c r="Q837" t="n">
        <v>0</v>
      </c>
      <c r="R837" s="2" t="inlineStr"/>
    </row>
    <row r="838" ht="15" customHeight="1">
      <c r="A838" t="inlineStr">
        <is>
          <t>A 50649-2022</t>
        </is>
      </c>
      <c r="B838" s="1" t="n">
        <v>44866</v>
      </c>
      <c r="C838" s="1" t="n">
        <v>45912</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33763-2025</t>
        </is>
      </c>
      <c r="B839" s="1" t="n">
        <v>45842.38579861111</v>
      </c>
      <c r="C839" s="1" t="n">
        <v>45912</v>
      </c>
      <c r="D839" t="inlineStr">
        <is>
          <t>JÄMTLANDS LÄN</t>
        </is>
      </c>
      <c r="E839" t="inlineStr">
        <is>
          <t>RAGUNDA</t>
        </is>
      </c>
      <c r="F839" t="inlineStr">
        <is>
          <t>SCA</t>
        </is>
      </c>
      <c r="G839" t="n">
        <v>13.4</v>
      </c>
      <c r="H839" t="n">
        <v>0</v>
      </c>
      <c r="I839" t="n">
        <v>0</v>
      </c>
      <c r="J839" t="n">
        <v>0</v>
      </c>
      <c r="K839" t="n">
        <v>0</v>
      </c>
      <c r="L839" t="n">
        <v>0</v>
      </c>
      <c r="M839" t="n">
        <v>0</v>
      </c>
      <c r="N839" t="n">
        <v>0</v>
      </c>
      <c r="O839" t="n">
        <v>0</v>
      </c>
      <c r="P839" t="n">
        <v>0</v>
      </c>
      <c r="Q839" t="n">
        <v>0</v>
      </c>
      <c r="R839" s="2" t="inlineStr"/>
    </row>
    <row r="840" ht="15" customHeight="1">
      <c r="A840" t="inlineStr">
        <is>
          <t>A 59759-2024</t>
        </is>
      </c>
      <c r="B840" s="1" t="n">
        <v>45639.55240740741</v>
      </c>
      <c r="C840" s="1" t="n">
        <v>45912</v>
      </c>
      <c r="D840" t="inlineStr">
        <is>
          <t>JÄMTLANDS LÄN</t>
        </is>
      </c>
      <c r="E840" t="inlineStr">
        <is>
          <t>RAGUNDA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35537-2021</t>
        </is>
      </c>
      <c r="B841" s="1" t="n">
        <v>44384</v>
      </c>
      <c r="C841" s="1" t="n">
        <v>45912</v>
      </c>
      <c r="D841" t="inlineStr">
        <is>
          <t>JÄMTLANDS LÄN</t>
        </is>
      </c>
      <c r="E841" t="inlineStr">
        <is>
          <t>RAGUNDA</t>
        </is>
      </c>
      <c r="G841" t="n">
        <v>3.1</v>
      </c>
      <c r="H841" t="n">
        <v>0</v>
      </c>
      <c r="I841" t="n">
        <v>0</v>
      </c>
      <c r="J841" t="n">
        <v>0</v>
      </c>
      <c r="K841" t="n">
        <v>0</v>
      </c>
      <c r="L841" t="n">
        <v>0</v>
      </c>
      <c r="M841" t="n">
        <v>0</v>
      </c>
      <c r="N841" t="n">
        <v>0</v>
      </c>
      <c r="O841" t="n">
        <v>0</v>
      </c>
      <c r="P841" t="n">
        <v>0</v>
      </c>
      <c r="Q841" t="n">
        <v>0</v>
      </c>
      <c r="R841" s="2" t="inlineStr"/>
    </row>
    <row r="842" ht="15" customHeight="1">
      <c r="A842" t="inlineStr">
        <is>
          <t>A 2819-2023</t>
        </is>
      </c>
      <c r="B842" s="1" t="n">
        <v>44944</v>
      </c>
      <c r="C842" s="1" t="n">
        <v>45912</v>
      </c>
      <c r="D842" t="inlineStr">
        <is>
          <t>JÄMTLANDS LÄN</t>
        </is>
      </c>
      <c r="E842" t="inlineStr">
        <is>
          <t>RAGUNDA</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44536-2022</t>
        </is>
      </c>
      <c r="B843" s="1" t="n">
        <v>44839</v>
      </c>
      <c r="C843" s="1" t="n">
        <v>45912</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14905-2022</t>
        </is>
      </c>
      <c r="B844" s="1" t="n">
        <v>44656.94708333333</v>
      </c>
      <c r="C844" s="1" t="n">
        <v>45912</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30459-2021</t>
        </is>
      </c>
      <c r="B845" s="1" t="n">
        <v>44362</v>
      </c>
      <c r="C845" s="1" t="n">
        <v>45912</v>
      </c>
      <c r="D845" t="inlineStr">
        <is>
          <t>JÄMTLANDS LÄN</t>
        </is>
      </c>
      <c r="E845" t="inlineStr">
        <is>
          <t>RAGUNDA</t>
        </is>
      </c>
      <c r="G845" t="n">
        <v>1</v>
      </c>
      <c r="H845" t="n">
        <v>0</v>
      </c>
      <c r="I845" t="n">
        <v>0</v>
      </c>
      <c r="J845" t="n">
        <v>0</v>
      </c>
      <c r="K845" t="n">
        <v>0</v>
      </c>
      <c r="L845" t="n">
        <v>0</v>
      </c>
      <c r="M845" t="n">
        <v>0</v>
      </c>
      <c r="N845" t="n">
        <v>0</v>
      </c>
      <c r="O845" t="n">
        <v>0</v>
      </c>
      <c r="P845" t="n">
        <v>0</v>
      </c>
      <c r="Q845" t="n">
        <v>0</v>
      </c>
      <c r="R845" s="2" t="inlineStr"/>
    </row>
    <row r="846" ht="15" customHeight="1">
      <c r="A846" t="inlineStr">
        <is>
          <t>A 29766-2023</t>
        </is>
      </c>
      <c r="B846" s="1" t="n">
        <v>45098</v>
      </c>
      <c r="C846" s="1" t="n">
        <v>45912</v>
      </c>
      <c r="D846" t="inlineStr">
        <is>
          <t>JÄMTLANDS LÄN</t>
        </is>
      </c>
      <c r="E846" t="inlineStr">
        <is>
          <t>RAGUNDA</t>
        </is>
      </c>
      <c r="G846" t="n">
        <v>2.7</v>
      </c>
      <c r="H846" t="n">
        <v>0</v>
      </c>
      <c r="I846" t="n">
        <v>0</v>
      </c>
      <c r="J846" t="n">
        <v>0</v>
      </c>
      <c r="K846" t="n">
        <v>0</v>
      </c>
      <c r="L846" t="n">
        <v>0</v>
      </c>
      <c r="M846" t="n">
        <v>0</v>
      </c>
      <c r="N846" t="n">
        <v>0</v>
      </c>
      <c r="O846" t="n">
        <v>0</v>
      </c>
      <c r="P846" t="n">
        <v>0</v>
      </c>
      <c r="Q846" t="n">
        <v>0</v>
      </c>
      <c r="R846" s="2" t="inlineStr"/>
    </row>
    <row r="847" ht="15" customHeight="1">
      <c r="A847" t="inlineStr">
        <is>
          <t>A 61107-2024</t>
        </is>
      </c>
      <c r="B847" s="1" t="n">
        <v>45645.55665509259</v>
      </c>
      <c r="C847" s="1" t="n">
        <v>45912</v>
      </c>
      <c r="D847" t="inlineStr">
        <is>
          <t>JÄMTLANDS LÄN</t>
        </is>
      </c>
      <c r="E847" t="inlineStr">
        <is>
          <t>RAGUNDA</t>
        </is>
      </c>
      <c r="G847" t="n">
        <v>3.2</v>
      </c>
      <c r="H847" t="n">
        <v>0</v>
      </c>
      <c r="I847" t="n">
        <v>0</v>
      </c>
      <c r="J847" t="n">
        <v>0</v>
      </c>
      <c r="K847" t="n">
        <v>0</v>
      </c>
      <c r="L847" t="n">
        <v>0</v>
      </c>
      <c r="M847" t="n">
        <v>0</v>
      </c>
      <c r="N847" t="n">
        <v>0</v>
      </c>
      <c r="O847" t="n">
        <v>0</v>
      </c>
      <c r="P847" t="n">
        <v>0</v>
      </c>
      <c r="Q847" t="n">
        <v>0</v>
      </c>
      <c r="R847" s="2" t="inlineStr"/>
    </row>
    <row r="848" ht="15" customHeight="1">
      <c r="A848" t="inlineStr">
        <is>
          <t>A 23287-2024</t>
        </is>
      </c>
      <c r="B848" s="1" t="n">
        <v>45453.42041666667</v>
      </c>
      <c r="C848" s="1" t="n">
        <v>45912</v>
      </c>
      <c r="D848" t="inlineStr">
        <is>
          <t>JÄMTLANDS LÄN</t>
        </is>
      </c>
      <c r="E848" t="inlineStr">
        <is>
          <t>RAGUNDA</t>
        </is>
      </c>
      <c r="G848" t="n">
        <v>3.1</v>
      </c>
      <c r="H848" t="n">
        <v>0</v>
      </c>
      <c r="I848" t="n">
        <v>0</v>
      </c>
      <c r="J848" t="n">
        <v>0</v>
      </c>
      <c r="K848" t="n">
        <v>0</v>
      </c>
      <c r="L848" t="n">
        <v>0</v>
      </c>
      <c r="M848" t="n">
        <v>0</v>
      </c>
      <c r="N848" t="n">
        <v>0</v>
      </c>
      <c r="O848" t="n">
        <v>0</v>
      </c>
      <c r="P848" t="n">
        <v>0</v>
      </c>
      <c r="Q848" t="n">
        <v>0</v>
      </c>
      <c r="R848" s="2" t="inlineStr"/>
    </row>
    <row r="849" ht="15" customHeight="1">
      <c r="A849" t="inlineStr">
        <is>
          <t>A 36922-2022</t>
        </is>
      </c>
      <c r="B849" s="1" t="n">
        <v>44805.94592592592</v>
      </c>
      <c r="C849" s="1" t="n">
        <v>45912</v>
      </c>
      <c r="D849" t="inlineStr">
        <is>
          <t>JÄMTLANDS LÄN</t>
        </is>
      </c>
      <c r="E849" t="inlineStr">
        <is>
          <t>RAGUNDA</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26347-2023</t>
        </is>
      </c>
      <c r="B850" s="1" t="n">
        <v>45091</v>
      </c>
      <c r="C850" s="1" t="n">
        <v>45912</v>
      </c>
      <c r="D850" t="inlineStr">
        <is>
          <t>JÄMTLANDS LÄN</t>
        </is>
      </c>
      <c r="E850" t="inlineStr">
        <is>
          <t>RAGUNDA</t>
        </is>
      </c>
      <c r="F850" t="inlineStr">
        <is>
          <t>SCA</t>
        </is>
      </c>
      <c r="G850" t="n">
        <v>6.6</v>
      </c>
      <c r="H850" t="n">
        <v>0</v>
      </c>
      <c r="I850" t="n">
        <v>0</v>
      </c>
      <c r="J850" t="n">
        <v>0</v>
      </c>
      <c r="K850" t="n">
        <v>0</v>
      </c>
      <c r="L850" t="n">
        <v>0</v>
      </c>
      <c r="M850" t="n">
        <v>0</v>
      </c>
      <c r="N850" t="n">
        <v>0</v>
      </c>
      <c r="O850" t="n">
        <v>0</v>
      </c>
      <c r="P850" t="n">
        <v>0</v>
      </c>
      <c r="Q850" t="n">
        <v>0</v>
      </c>
      <c r="R850" s="2" t="inlineStr"/>
    </row>
    <row r="851" ht="15" customHeight="1">
      <c r="A851" t="inlineStr">
        <is>
          <t>A 37543-2023</t>
        </is>
      </c>
      <c r="B851" s="1" t="n">
        <v>45158.94231481481</v>
      </c>
      <c r="C851" s="1" t="n">
        <v>45912</v>
      </c>
      <c r="D851" t="inlineStr">
        <is>
          <t>JÄMTLANDS LÄN</t>
        </is>
      </c>
      <c r="E851" t="inlineStr">
        <is>
          <t>RAGUNDA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34483-2023</t>
        </is>
      </c>
      <c r="B852" s="1" t="n">
        <v>45139.94681712963</v>
      </c>
      <c r="C852" s="1" t="n">
        <v>45912</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33790-2025</t>
        </is>
      </c>
      <c r="B853" s="1" t="n">
        <v>45842.42608796297</v>
      </c>
      <c r="C853" s="1" t="n">
        <v>45912</v>
      </c>
      <c r="D853" t="inlineStr">
        <is>
          <t>JÄMTLANDS LÄN</t>
        </is>
      </c>
      <c r="E853" t="inlineStr">
        <is>
          <t>RAGUNDA</t>
        </is>
      </c>
      <c r="G853" t="n">
        <v>0.3</v>
      </c>
      <c r="H853" t="n">
        <v>0</v>
      </c>
      <c r="I853" t="n">
        <v>0</v>
      </c>
      <c r="J853" t="n">
        <v>0</v>
      </c>
      <c r="K853" t="n">
        <v>0</v>
      </c>
      <c r="L853" t="n">
        <v>0</v>
      </c>
      <c r="M853" t="n">
        <v>0</v>
      </c>
      <c r="N853" t="n">
        <v>0</v>
      </c>
      <c r="O853" t="n">
        <v>0</v>
      </c>
      <c r="P853" t="n">
        <v>0</v>
      </c>
      <c r="Q853" t="n">
        <v>0</v>
      </c>
      <c r="R853" s="2" t="inlineStr"/>
    </row>
    <row r="854" ht="15" customHeight="1">
      <c r="A854" t="inlineStr">
        <is>
          <t>A 22948-2024</t>
        </is>
      </c>
      <c r="B854" s="1" t="n">
        <v>45448.94600694445</v>
      </c>
      <c r="C854" s="1" t="n">
        <v>45912</v>
      </c>
      <c r="D854" t="inlineStr">
        <is>
          <t>JÄMTLANDS LÄN</t>
        </is>
      </c>
      <c r="E854" t="inlineStr">
        <is>
          <t>RAGUNDA</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34607-2025</t>
        </is>
      </c>
      <c r="B855" s="1" t="n">
        <v>45847.65703703704</v>
      </c>
      <c r="C855" s="1" t="n">
        <v>45912</v>
      </c>
      <c r="D855" t="inlineStr">
        <is>
          <t>JÄMTLANDS LÄN</t>
        </is>
      </c>
      <c r="E855" t="inlineStr">
        <is>
          <t>RAGUNDA</t>
        </is>
      </c>
      <c r="F855" t="inlineStr">
        <is>
          <t>SCA</t>
        </is>
      </c>
      <c r="G855" t="n">
        <v>31.4</v>
      </c>
      <c r="H855" t="n">
        <v>0</v>
      </c>
      <c r="I855" t="n">
        <v>0</v>
      </c>
      <c r="J855" t="n">
        <v>0</v>
      </c>
      <c r="K855" t="n">
        <v>0</v>
      </c>
      <c r="L855" t="n">
        <v>0</v>
      </c>
      <c r="M855" t="n">
        <v>0</v>
      </c>
      <c r="N855" t="n">
        <v>0</v>
      </c>
      <c r="O855" t="n">
        <v>0</v>
      </c>
      <c r="P855" t="n">
        <v>0</v>
      </c>
      <c r="Q855" t="n">
        <v>0</v>
      </c>
      <c r="R855" s="2" t="inlineStr"/>
    </row>
    <row r="856" ht="15" customHeight="1">
      <c r="A856" t="inlineStr">
        <is>
          <t>A 34461-2025</t>
        </is>
      </c>
      <c r="B856" s="1" t="n">
        <v>45847.34474537037</v>
      </c>
      <c r="C856" s="1" t="n">
        <v>45912</v>
      </c>
      <c r="D856" t="inlineStr">
        <is>
          <t>JÄMTLANDS LÄN</t>
        </is>
      </c>
      <c r="E856" t="inlineStr">
        <is>
          <t>RAGUNDA</t>
        </is>
      </c>
      <c r="F856" t="inlineStr">
        <is>
          <t>SCA</t>
        </is>
      </c>
      <c r="G856" t="n">
        <v>44.8</v>
      </c>
      <c r="H856" t="n">
        <v>0</v>
      </c>
      <c r="I856" t="n">
        <v>0</v>
      </c>
      <c r="J856" t="n">
        <v>0</v>
      </c>
      <c r="K856" t="n">
        <v>0</v>
      </c>
      <c r="L856" t="n">
        <v>0</v>
      </c>
      <c r="M856" t="n">
        <v>0</v>
      </c>
      <c r="N856" t="n">
        <v>0</v>
      </c>
      <c r="O856" t="n">
        <v>0</v>
      </c>
      <c r="P856" t="n">
        <v>0</v>
      </c>
      <c r="Q856" t="n">
        <v>0</v>
      </c>
      <c r="R856" s="2" t="inlineStr"/>
    </row>
    <row r="857" ht="15" customHeight="1">
      <c r="A857" t="inlineStr">
        <is>
          <t>A 34464-2025</t>
        </is>
      </c>
      <c r="B857" s="1" t="n">
        <v>45847.34528935186</v>
      </c>
      <c r="C857" s="1" t="n">
        <v>45912</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39192-2025</t>
        </is>
      </c>
      <c r="B858" s="1" t="n">
        <v>45888.6775</v>
      </c>
      <c r="C858" s="1" t="n">
        <v>45912</v>
      </c>
      <c r="D858" t="inlineStr">
        <is>
          <t>JÄMTLANDS LÄN</t>
        </is>
      </c>
      <c r="E858" t="inlineStr">
        <is>
          <t>RAGUNDA</t>
        </is>
      </c>
      <c r="F858" t="inlineStr">
        <is>
          <t>Naturvårdsverket</t>
        </is>
      </c>
      <c r="G858" t="n">
        <v>2.3</v>
      </c>
      <c r="H858" t="n">
        <v>0</v>
      </c>
      <c r="I858" t="n">
        <v>0</v>
      </c>
      <c r="J858" t="n">
        <v>0</v>
      </c>
      <c r="K858" t="n">
        <v>0</v>
      </c>
      <c r="L858" t="n">
        <v>0</v>
      </c>
      <c r="M858" t="n">
        <v>0</v>
      </c>
      <c r="N858" t="n">
        <v>0</v>
      </c>
      <c r="O858" t="n">
        <v>0</v>
      </c>
      <c r="P858" t="n">
        <v>0</v>
      </c>
      <c r="Q858" t="n">
        <v>0</v>
      </c>
      <c r="R858" s="2" t="inlineStr"/>
    </row>
    <row r="859" ht="15" customHeight="1">
      <c r="A859" t="inlineStr">
        <is>
          <t>A 7668-2025</t>
        </is>
      </c>
      <c r="B859" s="1" t="n">
        <v>45706.34450231482</v>
      </c>
      <c r="C859" s="1" t="n">
        <v>45912</v>
      </c>
      <c r="D859" t="inlineStr">
        <is>
          <t>JÄMTLANDS LÄN</t>
        </is>
      </c>
      <c r="E859" t="inlineStr">
        <is>
          <t>RAGUNDA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36046-2023</t>
        </is>
      </c>
      <c r="B860" s="1" t="n">
        <v>45148</v>
      </c>
      <c r="C860" s="1" t="n">
        <v>45912</v>
      </c>
      <c r="D860" t="inlineStr">
        <is>
          <t>JÄMTLANDS LÄN</t>
        </is>
      </c>
      <c r="E860" t="inlineStr">
        <is>
          <t>RAGUNDA</t>
        </is>
      </c>
      <c r="G860" t="n">
        <v>1.9</v>
      </c>
      <c r="H860" t="n">
        <v>0</v>
      </c>
      <c r="I860" t="n">
        <v>0</v>
      </c>
      <c r="J860" t="n">
        <v>0</v>
      </c>
      <c r="K860" t="n">
        <v>0</v>
      </c>
      <c r="L860" t="n">
        <v>0</v>
      </c>
      <c r="M860" t="n">
        <v>0</v>
      </c>
      <c r="N860" t="n">
        <v>0</v>
      </c>
      <c r="O860" t="n">
        <v>0</v>
      </c>
      <c r="P860" t="n">
        <v>0</v>
      </c>
      <c r="Q860" t="n">
        <v>0</v>
      </c>
      <c r="R860" s="2" t="inlineStr"/>
    </row>
    <row r="861" ht="15" customHeight="1">
      <c r="A861" t="inlineStr">
        <is>
          <t>A 34468-2025</t>
        </is>
      </c>
      <c r="B861" s="1" t="n">
        <v>45847.34597222223</v>
      </c>
      <c r="C861" s="1" t="n">
        <v>45912</v>
      </c>
      <c r="D861" t="inlineStr">
        <is>
          <t>JÄMTLANDS LÄN</t>
        </is>
      </c>
      <c r="E861" t="inlineStr">
        <is>
          <t>RAGUNDA</t>
        </is>
      </c>
      <c r="F861" t="inlineStr">
        <is>
          <t>SCA</t>
        </is>
      </c>
      <c r="G861" t="n">
        <v>10</v>
      </c>
      <c r="H861" t="n">
        <v>0</v>
      </c>
      <c r="I861" t="n">
        <v>0</v>
      </c>
      <c r="J861" t="n">
        <v>0</v>
      </c>
      <c r="K861" t="n">
        <v>0</v>
      </c>
      <c r="L861" t="n">
        <v>0</v>
      </c>
      <c r="M861" t="n">
        <v>0</v>
      </c>
      <c r="N861" t="n">
        <v>0</v>
      </c>
      <c r="O861" t="n">
        <v>0</v>
      </c>
      <c r="P861" t="n">
        <v>0</v>
      </c>
      <c r="Q861" t="n">
        <v>0</v>
      </c>
      <c r="R861" s="2" t="inlineStr"/>
    </row>
    <row r="862" ht="15" customHeight="1">
      <c r="A862" t="inlineStr">
        <is>
          <t>A 34466-2025</t>
        </is>
      </c>
      <c r="B862" s="1" t="n">
        <v>45847.34565972222</v>
      </c>
      <c r="C862" s="1" t="n">
        <v>45912</v>
      </c>
      <c r="D862" t="inlineStr">
        <is>
          <t>JÄMTLANDS LÄN</t>
        </is>
      </c>
      <c r="E862" t="inlineStr">
        <is>
          <t>RAGUNDA</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34463-2025</t>
        </is>
      </c>
      <c r="B863" s="1" t="n">
        <v>45847.34515046296</v>
      </c>
      <c r="C863" s="1" t="n">
        <v>45912</v>
      </c>
      <c r="D863" t="inlineStr">
        <is>
          <t>JÄMTLANDS LÄN</t>
        </is>
      </c>
      <c r="E863" t="inlineStr">
        <is>
          <t>RAGUNDA</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39384-2025</t>
        </is>
      </c>
      <c r="B864" s="1" t="n">
        <v>45889.61517361111</v>
      </c>
      <c r="C864" s="1" t="n">
        <v>45912</v>
      </c>
      <c r="D864" t="inlineStr">
        <is>
          <t>JÄMTLANDS LÄN</t>
        </is>
      </c>
      <c r="E864" t="inlineStr">
        <is>
          <t>RAGUNDA</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23304-2023</t>
        </is>
      </c>
      <c r="B865" s="1" t="n">
        <v>45075.945</v>
      </c>
      <c r="C865" s="1" t="n">
        <v>45912</v>
      </c>
      <c r="D865" t="inlineStr">
        <is>
          <t>JÄMTLANDS LÄN</t>
        </is>
      </c>
      <c r="E865" t="inlineStr">
        <is>
          <t>RAGUNDA</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34586-2025</t>
        </is>
      </c>
      <c r="B866" s="1" t="n">
        <v>45847.61513888889</v>
      </c>
      <c r="C866" s="1" t="n">
        <v>45912</v>
      </c>
      <c r="D866" t="inlineStr">
        <is>
          <t>JÄMTLANDS LÄN</t>
        </is>
      </c>
      <c r="E866" t="inlineStr">
        <is>
          <t>RAGUNDA</t>
        </is>
      </c>
      <c r="G866" t="n">
        <v>1.6</v>
      </c>
      <c r="H866" t="n">
        <v>0</v>
      </c>
      <c r="I866" t="n">
        <v>0</v>
      </c>
      <c r="J866" t="n">
        <v>0</v>
      </c>
      <c r="K866" t="n">
        <v>0</v>
      </c>
      <c r="L866" t="n">
        <v>0</v>
      </c>
      <c r="M866" t="n">
        <v>0</v>
      </c>
      <c r="N866" t="n">
        <v>0</v>
      </c>
      <c r="O866" t="n">
        <v>0</v>
      </c>
      <c r="P866" t="n">
        <v>0</v>
      </c>
      <c r="Q866" t="n">
        <v>0</v>
      </c>
      <c r="R866" s="2" t="inlineStr"/>
    </row>
    <row r="867" ht="15" customHeight="1">
      <c r="A867" t="inlineStr">
        <is>
          <t>A 34588-2025</t>
        </is>
      </c>
      <c r="B867" s="1" t="n">
        <v>45847.61548611111</v>
      </c>
      <c r="C867" s="1" t="n">
        <v>45912</v>
      </c>
      <c r="D867" t="inlineStr">
        <is>
          <t>JÄMTLANDS LÄN</t>
        </is>
      </c>
      <c r="E867" t="inlineStr">
        <is>
          <t>RAGUNDA</t>
        </is>
      </c>
      <c r="G867" t="n">
        <v>32.3</v>
      </c>
      <c r="H867" t="n">
        <v>0</v>
      </c>
      <c r="I867" t="n">
        <v>0</v>
      </c>
      <c r="J867" t="n">
        <v>0</v>
      </c>
      <c r="K867" t="n">
        <v>0</v>
      </c>
      <c r="L867" t="n">
        <v>0</v>
      </c>
      <c r="M867" t="n">
        <v>0</v>
      </c>
      <c r="N867" t="n">
        <v>0</v>
      </c>
      <c r="O867" t="n">
        <v>0</v>
      </c>
      <c r="P867" t="n">
        <v>0</v>
      </c>
      <c r="Q867" t="n">
        <v>0</v>
      </c>
      <c r="R867" s="2" t="inlineStr"/>
    </row>
    <row r="868" ht="15" customHeight="1">
      <c r="A868" t="inlineStr">
        <is>
          <t>A 34296-2025</t>
        </is>
      </c>
      <c r="B868" s="1" t="n">
        <v>45846.34454861111</v>
      </c>
      <c r="C868" s="1" t="n">
        <v>45912</v>
      </c>
      <c r="D868" t="inlineStr">
        <is>
          <t>JÄMTLANDS LÄN</t>
        </is>
      </c>
      <c r="E868" t="inlineStr">
        <is>
          <t>RAGUNDA</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34709-2025</t>
        </is>
      </c>
      <c r="B869" s="1" t="n">
        <v>45848.49761574074</v>
      </c>
      <c r="C869" s="1" t="n">
        <v>45912</v>
      </c>
      <c r="D869" t="inlineStr">
        <is>
          <t>JÄMTLANDS LÄN</t>
        </is>
      </c>
      <c r="E869" t="inlineStr">
        <is>
          <t>RAGUNDA</t>
        </is>
      </c>
      <c r="G869" t="n">
        <v>3.1</v>
      </c>
      <c r="H869" t="n">
        <v>0</v>
      </c>
      <c r="I869" t="n">
        <v>0</v>
      </c>
      <c r="J869" t="n">
        <v>0</v>
      </c>
      <c r="K869" t="n">
        <v>0</v>
      </c>
      <c r="L869" t="n">
        <v>0</v>
      </c>
      <c r="M869" t="n">
        <v>0</v>
      </c>
      <c r="N869" t="n">
        <v>0</v>
      </c>
      <c r="O869" t="n">
        <v>0</v>
      </c>
      <c r="P869" t="n">
        <v>0</v>
      </c>
      <c r="Q869" t="n">
        <v>0</v>
      </c>
      <c r="R869" s="2" t="inlineStr"/>
    </row>
    <row r="870" ht="15" customHeight="1">
      <c r="A870" t="inlineStr">
        <is>
          <t>A 8654-2024</t>
        </is>
      </c>
      <c r="B870" s="1" t="n">
        <v>45356.03784722222</v>
      </c>
      <c r="C870" s="1" t="n">
        <v>45912</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25304-2023</t>
        </is>
      </c>
      <c r="B871" s="1" t="n">
        <v>45086</v>
      </c>
      <c r="C871" s="1" t="n">
        <v>45912</v>
      </c>
      <c r="D871" t="inlineStr">
        <is>
          <t>JÄMTLANDS LÄN</t>
        </is>
      </c>
      <c r="E871" t="inlineStr">
        <is>
          <t>RAGUNDA</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36226-2023</t>
        </is>
      </c>
      <c r="B872" s="1" t="n">
        <v>45149.95372685185</v>
      </c>
      <c r="C872" s="1" t="n">
        <v>45912</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6902-2024</t>
        </is>
      </c>
      <c r="B873" s="1" t="n">
        <v>45342</v>
      </c>
      <c r="C873" s="1" t="n">
        <v>45912</v>
      </c>
      <c r="D873" t="inlineStr">
        <is>
          <t>JÄMTLANDS LÄN</t>
        </is>
      </c>
      <c r="E873" t="inlineStr">
        <is>
          <t>RAGUNDA</t>
        </is>
      </c>
      <c r="F873" t="inlineStr">
        <is>
          <t>SCA</t>
        </is>
      </c>
      <c r="G873" t="n">
        <v>18.7</v>
      </c>
      <c r="H873" t="n">
        <v>0</v>
      </c>
      <c r="I873" t="n">
        <v>0</v>
      </c>
      <c r="J873" t="n">
        <v>0</v>
      </c>
      <c r="K873" t="n">
        <v>0</v>
      </c>
      <c r="L873" t="n">
        <v>0</v>
      </c>
      <c r="M873" t="n">
        <v>0</v>
      </c>
      <c r="N873" t="n">
        <v>0</v>
      </c>
      <c r="O873" t="n">
        <v>0</v>
      </c>
      <c r="P873" t="n">
        <v>0</v>
      </c>
      <c r="Q873" t="n">
        <v>0</v>
      </c>
      <c r="R873" s="2" t="inlineStr"/>
    </row>
    <row r="874" ht="15" customHeight="1">
      <c r="A874" t="inlineStr">
        <is>
          <t>A 6905-2024</t>
        </is>
      </c>
      <c r="B874" s="1" t="n">
        <v>45342.9462037037</v>
      </c>
      <c r="C874" s="1" t="n">
        <v>45912</v>
      </c>
      <c r="D874" t="inlineStr">
        <is>
          <t>JÄMTLANDS LÄN</t>
        </is>
      </c>
      <c r="E874" t="inlineStr">
        <is>
          <t>RAGUNDA</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18615-2024</t>
        </is>
      </c>
      <c r="B875" s="1" t="n">
        <v>45425.96275462963</v>
      </c>
      <c r="C875" s="1" t="n">
        <v>45912</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40269-2022</t>
        </is>
      </c>
      <c r="B876" s="1" t="n">
        <v>44820</v>
      </c>
      <c r="C876" s="1" t="n">
        <v>45912</v>
      </c>
      <c r="D876" t="inlineStr">
        <is>
          <t>JÄMTLANDS LÄN</t>
        </is>
      </c>
      <c r="E876" t="inlineStr">
        <is>
          <t>RAGUNDA</t>
        </is>
      </c>
      <c r="F876" t="inlineStr">
        <is>
          <t>SCA</t>
        </is>
      </c>
      <c r="G876" t="n">
        <v>77.8</v>
      </c>
      <c r="H876" t="n">
        <v>0</v>
      </c>
      <c r="I876" t="n">
        <v>0</v>
      </c>
      <c r="J876" t="n">
        <v>0</v>
      </c>
      <c r="K876" t="n">
        <v>0</v>
      </c>
      <c r="L876" t="n">
        <v>0</v>
      </c>
      <c r="M876" t="n">
        <v>0</v>
      </c>
      <c r="N876" t="n">
        <v>0</v>
      </c>
      <c r="O876" t="n">
        <v>0</v>
      </c>
      <c r="P876" t="n">
        <v>0</v>
      </c>
      <c r="Q876" t="n">
        <v>0</v>
      </c>
      <c r="R876" s="2" t="inlineStr"/>
    </row>
    <row r="877" ht="15" customHeight="1">
      <c r="A877" t="inlineStr">
        <is>
          <t>A 22731-2023</t>
        </is>
      </c>
      <c r="B877" s="1" t="n">
        <v>45071</v>
      </c>
      <c r="C877" s="1" t="n">
        <v>45912</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37242-2024</t>
        </is>
      </c>
      <c r="B878" s="1" t="n">
        <v>45540.34428240741</v>
      </c>
      <c r="C878" s="1" t="n">
        <v>45912</v>
      </c>
      <c r="D878" t="inlineStr">
        <is>
          <t>JÄMTLANDS LÄN</t>
        </is>
      </c>
      <c r="E878" t="inlineStr">
        <is>
          <t>RAGUNDA</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34772-2025</t>
        </is>
      </c>
      <c r="B879" s="1" t="n">
        <v>45848.65658564815</v>
      </c>
      <c r="C879" s="1" t="n">
        <v>45912</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11245-2025</t>
        </is>
      </c>
      <c r="B880" s="1" t="n">
        <v>45726.38575231482</v>
      </c>
      <c r="C880" s="1" t="n">
        <v>45912</v>
      </c>
      <c r="D880" t="inlineStr">
        <is>
          <t>JÄMTLANDS LÄN</t>
        </is>
      </c>
      <c r="E880" t="inlineStr">
        <is>
          <t>RAGUNDA</t>
        </is>
      </c>
      <c r="G880" t="n">
        <v>2.3</v>
      </c>
      <c r="H880" t="n">
        <v>0</v>
      </c>
      <c r="I880" t="n">
        <v>0</v>
      </c>
      <c r="J880" t="n">
        <v>0</v>
      </c>
      <c r="K880" t="n">
        <v>0</v>
      </c>
      <c r="L880" t="n">
        <v>0</v>
      </c>
      <c r="M880" t="n">
        <v>0</v>
      </c>
      <c r="N880" t="n">
        <v>0</v>
      </c>
      <c r="O880" t="n">
        <v>0</v>
      </c>
      <c r="P880" t="n">
        <v>0</v>
      </c>
      <c r="Q880" t="n">
        <v>0</v>
      </c>
      <c r="R880" s="2" t="inlineStr"/>
    </row>
    <row r="881" ht="15" customHeight="1">
      <c r="A881" t="inlineStr">
        <is>
          <t>A 61923-2024</t>
        </is>
      </c>
      <c r="B881" s="1" t="n">
        <v>45653.44836805556</v>
      </c>
      <c r="C881" s="1" t="n">
        <v>45912</v>
      </c>
      <c r="D881" t="inlineStr">
        <is>
          <t>JÄMTLANDS LÄN</t>
        </is>
      </c>
      <c r="E881" t="inlineStr">
        <is>
          <t>RAGUNDA</t>
        </is>
      </c>
      <c r="F881" t="inlineStr">
        <is>
          <t>SCA</t>
        </is>
      </c>
      <c r="G881" t="n">
        <v>11.1</v>
      </c>
      <c r="H881" t="n">
        <v>0</v>
      </c>
      <c r="I881" t="n">
        <v>0</v>
      </c>
      <c r="J881" t="n">
        <v>0</v>
      </c>
      <c r="K881" t="n">
        <v>0</v>
      </c>
      <c r="L881" t="n">
        <v>0</v>
      </c>
      <c r="M881" t="n">
        <v>0</v>
      </c>
      <c r="N881" t="n">
        <v>0</v>
      </c>
      <c r="O881" t="n">
        <v>0</v>
      </c>
      <c r="P881" t="n">
        <v>0</v>
      </c>
      <c r="Q881" t="n">
        <v>0</v>
      </c>
      <c r="R881" s="2" t="inlineStr"/>
    </row>
    <row r="882" ht="15" customHeight="1">
      <c r="A882" t="inlineStr">
        <is>
          <t>A 23567-2024</t>
        </is>
      </c>
      <c r="B882" s="1" t="n">
        <v>45453.95538194444</v>
      </c>
      <c r="C882" s="1" t="n">
        <v>45912</v>
      </c>
      <c r="D882" t="inlineStr">
        <is>
          <t>JÄMTLANDS LÄN</t>
        </is>
      </c>
      <c r="E882" t="inlineStr">
        <is>
          <t>RAGUNDA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19246-2023</t>
        </is>
      </c>
      <c r="B883" s="1" t="n">
        <v>45048.94340277778</v>
      </c>
      <c r="C883" s="1" t="n">
        <v>45912</v>
      </c>
      <c r="D883" t="inlineStr">
        <is>
          <t>JÄMTLANDS LÄN</t>
        </is>
      </c>
      <c r="E883" t="inlineStr">
        <is>
          <t>RAGUNDA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61109-2024</t>
        </is>
      </c>
      <c r="B884" s="1" t="n">
        <v>45645.55672453704</v>
      </c>
      <c r="C884" s="1" t="n">
        <v>45912</v>
      </c>
      <c r="D884" t="inlineStr">
        <is>
          <t>JÄMTLANDS LÄN</t>
        </is>
      </c>
      <c r="E884" t="inlineStr">
        <is>
          <t>RAGUNDA</t>
        </is>
      </c>
      <c r="G884" t="n">
        <v>4</v>
      </c>
      <c r="H884" t="n">
        <v>0</v>
      </c>
      <c r="I884" t="n">
        <v>0</v>
      </c>
      <c r="J884" t="n">
        <v>0</v>
      </c>
      <c r="K884" t="n">
        <v>0</v>
      </c>
      <c r="L884" t="n">
        <v>0</v>
      </c>
      <c r="M884" t="n">
        <v>0</v>
      </c>
      <c r="N884" t="n">
        <v>0</v>
      </c>
      <c r="O884" t="n">
        <v>0</v>
      </c>
      <c r="P884" t="n">
        <v>0</v>
      </c>
      <c r="Q884" t="n">
        <v>0</v>
      </c>
      <c r="R884" s="2" t="inlineStr"/>
    </row>
    <row r="885" ht="15" customHeight="1">
      <c r="A885" t="inlineStr">
        <is>
          <t>A 58955-2024</t>
        </is>
      </c>
      <c r="B885" s="1" t="n">
        <v>45636.57329861111</v>
      </c>
      <c r="C885" s="1" t="n">
        <v>45912</v>
      </c>
      <c r="D885" t="inlineStr">
        <is>
          <t>JÄMTLANDS LÄN</t>
        </is>
      </c>
      <c r="E885" t="inlineStr">
        <is>
          <t>RAGUNDA</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34710-2025</t>
        </is>
      </c>
      <c r="B886" s="1" t="n">
        <v>45848.49774305556</v>
      </c>
      <c r="C886" s="1" t="n">
        <v>45912</v>
      </c>
      <c r="D886" t="inlineStr">
        <is>
          <t>JÄMTLANDS LÄN</t>
        </is>
      </c>
      <c r="E886" t="inlineStr">
        <is>
          <t>RAGUNDA</t>
        </is>
      </c>
      <c r="G886" t="n">
        <v>4.1</v>
      </c>
      <c r="H886" t="n">
        <v>0</v>
      </c>
      <c r="I886" t="n">
        <v>0</v>
      </c>
      <c r="J886" t="n">
        <v>0</v>
      </c>
      <c r="K886" t="n">
        <v>0</v>
      </c>
      <c r="L886" t="n">
        <v>0</v>
      </c>
      <c r="M886" t="n">
        <v>0</v>
      </c>
      <c r="N886" t="n">
        <v>0</v>
      </c>
      <c r="O886" t="n">
        <v>0</v>
      </c>
      <c r="P886" t="n">
        <v>0</v>
      </c>
      <c r="Q886" t="n">
        <v>0</v>
      </c>
      <c r="R886" s="2" t="inlineStr"/>
    </row>
    <row r="887" ht="15" customHeight="1">
      <c r="A887" t="inlineStr">
        <is>
          <t>A 45438-2022</t>
        </is>
      </c>
      <c r="B887" s="1" t="n">
        <v>44844.95368055555</v>
      </c>
      <c r="C887" s="1" t="n">
        <v>45912</v>
      </c>
      <c r="D887" t="inlineStr">
        <is>
          <t>JÄMTLANDS LÄN</t>
        </is>
      </c>
      <c r="E887" t="inlineStr">
        <is>
          <t>RAGUNDA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56191-2022</t>
        </is>
      </c>
      <c r="B888" s="1" t="n">
        <v>44889.95015046297</v>
      </c>
      <c r="C888" s="1" t="n">
        <v>45912</v>
      </c>
      <c r="D888" t="inlineStr">
        <is>
          <t>JÄMTLANDS LÄN</t>
        </is>
      </c>
      <c r="E888" t="inlineStr">
        <is>
          <t>RAGUNDA</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30823-2023</t>
        </is>
      </c>
      <c r="B889" s="1" t="n">
        <v>45112</v>
      </c>
      <c r="C889" s="1" t="n">
        <v>45912</v>
      </c>
      <c r="D889" t="inlineStr">
        <is>
          <t>JÄMTLANDS LÄN</t>
        </is>
      </c>
      <c r="E889" t="inlineStr">
        <is>
          <t>RAGUNDA</t>
        </is>
      </c>
      <c r="F889" t="inlineStr">
        <is>
          <t>SCA</t>
        </is>
      </c>
      <c r="G889" t="n">
        <v>9</v>
      </c>
      <c r="H889" t="n">
        <v>0</v>
      </c>
      <c r="I889" t="n">
        <v>0</v>
      </c>
      <c r="J889" t="n">
        <v>0</v>
      </c>
      <c r="K889" t="n">
        <v>0</v>
      </c>
      <c r="L889" t="n">
        <v>0</v>
      </c>
      <c r="M889" t="n">
        <v>0</v>
      </c>
      <c r="N889" t="n">
        <v>0</v>
      </c>
      <c r="O889" t="n">
        <v>0</v>
      </c>
      <c r="P889" t="n">
        <v>0</v>
      </c>
      <c r="Q889" t="n">
        <v>0</v>
      </c>
      <c r="R889" s="2" t="inlineStr"/>
    </row>
    <row r="890" ht="15" customHeight="1">
      <c r="A890" t="inlineStr">
        <is>
          <t>A 34968-2025</t>
        </is>
      </c>
      <c r="B890" s="1" t="n">
        <v>45849.65663194445</v>
      </c>
      <c r="C890" s="1" t="n">
        <v>45912</v>
      </c>
      <c r="D890" t="inlineStr">
        <is>
          <t>JÄMTLANDS LÄN</t>
        </is>
      </c>
      <c r="E890" t="inlineStr">
        <is>
          <t>RAGUNDA</t>
        </is>
      </c>
      <c r="F890" t="inlineStr">
        <is>
          <t>SCA</t>
        </is>
      </c>
      <c r="G890" t="n">
        <v>20.2</v>
      </c>
      <c r="H890" t="n">
        <v>0</v>
      </c>
      <c r="I890" t="n">
        <v>0</v>
      </c>
      <c r="J890" t="n">
        <v>0</v>
      </c>
      <c r="K890" t="n">
        <v>0</v>
      </c>
      <c r="L890" t="n">
        <v>0</v>
      </c>
      <c r="M890" t="n">
        <v>0</v>
      </c>
      <c r="N890" t="n">
        <v>0</v>
      </c>
      <c r="O890" t="n">
        <v>0</v>
      </c>
      <c r="P890" t="n">
        <v>0</v>
      </c>
      <c r="Q890" t="n">
        <v>0</v>
      </c>
      <c r="R890" s="2" t="inlineStr"/>
    </row>
    <row r="891" ht="15" customHeight="1">
      <c r="A891" t="inlineStr">
        <is>
          <t>A 43339-2024</t>
        </is>
      </c>
      <c r="B891" s="1" t="n">
        <v>45568.51075231482</v>
      </c>
      <c r="C891" s="1" t="n">
        <v>45912</v>
      </c>
      <c r="D891" t="inlineStr">
        <is>
          <t>JÄMTLANDS LÄN</t>
        </is>
      </c>
      <c r="E891" t="inlineStr">
        <is>
          <t>RAGUNDA</t>
        </is>
      </c>
      <c r="F891" t="inlineStr">
        <is>
          <t>SCA</t>
        </is>
      </c>
      <c r="G891" t="n">
        <v>3</v>
      </c>
      <c r="H891" t="n">
        <v>0</v>
      </c>
      <c r="I891" t="n">
        <v>0</v>
      </c>
      <c r="J891" t="n">
        <v>0</v>
      </c>
      <c r="K891" t="n">
        <v>0</v>
      </c>
      <c r="L891" t="n">
        <v>0</v>
      </c>
      <c r="M891" t="n">
        <v>0</v>
      </c>
      <c r="N891" t="n">
        <v>0</v>
      </c>
      <c r="O891" t="n">
        <v>0</v>
      </c>
      <c r="P891" t="n">
        <v>0</v>
      </c>
      <c r="Q891" t="n">
        <v>0</v>
      </c>
      <c r="R891" s="2" t="inlineStr"/>
    </row>
    <row r="892" ht="15" customHeight="1">
      <c r="A892" t="inlineStr">
        <is>
          <t>A 43102-2023</t>
        </is>
      </c>
      <c r="B892" s="1" t="n">
        <v>45182</v>
      </c>
      <c r="C892" s="1" t="n">
        <v>45912</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33877-2023</t>
        </is>
      </c>
      <c r="B893" s="1" t="n">
        <v>45133</v>
      </c>
      <c r="C893" s="1" t="n">
        <v>45912</v>
      </c>
      <c r="D893" t="inlineStr">
        <is>
          <t>JÄMTLANDS LÄN</t>
        </is>
      </c>
      <c r="E893" t="inlineStr">
        <is>
          <t>RAGUNDA</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39946-2025</t>
        </is>
      </c>
      <c r="B894" s="1" t="n">
        <v>45892.34423611111</v>
      </c>
      <c r="C894" s="1" t="n">
        <v>45912</v>
      </c>
      <c r="D894" t="inlineStr">
        <is>
          <t>JÄMTLANDS LÄN</t>
        </is>
      </c>
      <c r="E894" t="inlineStr">
        <is>
          <t>RAGUNDA</t>
        </is>
      </c>
      <c r="G894" t="n">
        <v>4.7</v>
      </c>
      <c r="H894" t="n">
        <v>0</v>
      </c>
      <c r="I894" t="n">
        <v>0</v>
      </c>
      <c r="J894" t="n">
        <v>0</v>
      </c>
      <c r="K894" t="n">
        <v>0</v>
      </c>
      <c r="L894" t="n">
        <v>0</v>
      </c>
      <c r="M894" t="n">
        <v>0</v>
      </c>
      <c r="N894" t="n">
        <v>0</v>
      </c>
      <c r="O894" t="n">
        <v>0</v>
      </c>
      <c r="P894" t="n">
        <v>0</v>
      </c>
      <c r="Q894" t="n">
        <v>0</v>
      </c>
      <c r="R894" s="2" t="inlineStr"/>
    </row>
    <row r="895" ht="15" customHeight="1">
      <c r="A895" t="inlineStr">
        <is>
          <t>A 39948-2025</t>
        </is>
      </c>
      <c r="B895" s="1" t="n">
        <v>45892.38591435185</v>
      </c>
      <c r="C895" s="1" t="n">
        <v>45912</v>
      </c>
      <c r="D895" t="inlineStr">
        <is>
          <t>JÄMTLANDS LÄN</t>
        </is>
      </c>
      <c r="E895" t="inlineStr">
        <is>
          <t>RAGUNDA</t>
        </is>
      </c>
      <c r="G895" t="n">
        <v>5</v>
      </c>
      <c r="H895" t="n">
        <v>0</v>
      </c>
      <c r="I895" t="n">
        <v>0</v>
      </c>
      <c r="J895" t="n">
        <v>0</v>
      </c>
      <c r="K895" t="n">
        <v>0</v>
      </c>
      <c r="L895" t="n">
        <v>0</v>
      </c>
      <c r="M895" t="n">
        <v>0</v>
      </c>
      <c r="N895" t="n">
        <v>0</v>
      </c>
      <c r="O895" t="n">
        <v>0</v>
      </c>
      <c r="P895" t="n">
        <v>0</v>
      </c>
      <c r="Q895" t="n">
        <v>0</v>
      </c>
      <c r="R895" s="2" t="inlineStr"/>
    </row>
    <row r="896" ht="15" customHeight="1">
      <c r="A896" t="inlineStr">
        <is>
          <t>A 39951-2025</t>
        </is>
      </c>
      <c r="B896" s="1" t="n">
        <v>45892.38657407407</v>
      </c>
      <c r="C896" s="1" t="n">
        <v>45912</v>
      </c>
      <c r="D896" t="inlineStr">
        <is>
          <t>JÄMTLANDS LÄN</t>
        </is>
      </c>
      <c r="E896" t="inlineStr">
        <is>
          <t>RAGUNDA</t>
        </is>
      </c>
      <c r="G896" t="n">
        <v>2.3</v>
      </c>
      <c r="H896" t="n">
        <v>0</v>
      </c>
      <c r="I896" t="n">
        <v>0</v>
      </c>
      <c r="J896" t="n">
        <v>0</v>
      </c>
      <c r="K896" t="n">
        <v>0</v>
      </c>
      <c r="L896" t="n">
        <v>0</v>
      </c>
      <c r="M896" t="n">
        <v>0</v>
      </c>
      <c r="N896" t="n">
        <v>0</v>
      </c>
      <c r="O896" t="n">
        <v>0</v>
      </c>
      <c r="P896" t="n">
        <v>0</v>
      </c>
      <c r="Q896" t="n">
        <v>0</v>
      </c>
      <c r="R896" s="2" t="inlineStr"/>
    </row>
    <row r="897" ht="15" customHeight="1">
      <c r="A897" t="inlineStr">
        <is>
          <t>A 34998-2025</t>
        </is>
      </c>
      <c r="B897" s="1" t="n">
        <v>45850.34434027778</v>
      </c>
      <c r="C897" s="1" t="n">
        <v>45912</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34999-2025</t>
        </is>
      </c>
      <c r="B898" s="1" t="n">
        <v>45850.34450231482</v>
      </c>
      <c r="C898" s="1" t="n">
        <v>45912</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39956-2025</t>
        </is>
      </c>
      <c r="B899" s="1" t="n">
        <v>45892.44840277778</v>
      </c>
      <c r="C899" s="1" t="n">
        <v>45912</v>
      </c>
      <c r="D899" t="inlineStr">
        <is>
          <t>JÄMTLANDS LÄN</t>
        </is>
      </c>
      <c r="E899" t="inlineStr">
        <is>
          <t>RAGUNDA</t>
        </is>
      </c>
      <c r="G899" t="n">
        <v>3.6</v>
      </c>
      <c r="H899" t="n">
        <v>0</v>
      </c>
      <c r="I899" t="n">
        <v>0</v>
      </c>
      <c r="J899" t="n">
        <v>0</v>
      </c>
      <c r="K899" t="n">
        <v>0</v>
      </c>
      <c r="L899" t="n">
        <v>0</v>
      </c>
      <c r="M899" t="n">
        <v>0</v>
      </c>
      <c r="N899" t="n">
        <v>0</v>
      </c>
      <c r="O899" t="n">
        <v>0</v>
      </c>
      <c r="P899" t="n">
        <v>0</v>
      </c>
      <c r="Q899" t="n">
        <v>0</v>
      </c>
      <c r="R899" s="2" t="inlineStr"/>
    </row>
    <row r="900" ht="15" customHeight="1">
      <c r="A900" t="inlineStr">
        <is>
          <t>A 62541-2022</t>
        </is>
      </c>
      <c r="B900" s="1" t="n">
        <v>44917</v>
      </c>
      <c r="C900" s="1" t="n">
        <v>45912</v>
      </c>
      <c r="D900" t="inlineStr">
        <is>
          <t>JÄMTLANDS LÄN</t>
        </is>
      </c>
      <c r="E900" t="inlineStr">
        <is>
          <t>RAGUNDA</t>
        </is>
      </c>
      <c r="G900" t="n">
        <v>2.6</v>
      </c>
      <c r="H900" t="n">
        <v>0</v>
      </c>
      <c r="I900" t="n">
        <v>0</v>
      </c>
      <c r="J900" t="n">
        <v>0</v>
      </c>
      <c r="K900" t="n">
        <v>0</v>
      </c>
      <c r="L900" t="n">
        <v>0</v>
      </c>
      <c r="M900" t="n">
        <v>0</v>
      </c>
      <c r="N900" t="n">
        <v>0</v>
      </c>
      <c r="O900" t="n">
        <v>0</v>
      </c>
      <c r="P900" t="n">
        <v>0</v>
      </c>
      <c r="Q900" t="n">
        <v>0</v>
      </c>
      <c r="R900" s="2" t="inlineStr"/>
    </row>
    <row r="901" ht="15" customHeight="1">
      <c r="A901" t="inlineStr">
        <is>
          <t>A 9567-2025</t>
        </is>
      </c>
      <c r="B901" s="1" t="n">
        <v>45715.61523148148</v>
      </c>
      <c r="C901" s="1" t="n">
        <v>45912</v>
      </c>
      <c r="D901" t="inlineStr">
        <is>
          <t>JÄMTLANDS LÄN</t>
        </is>
      </c>
      <c r="E901" t="inlineStr">
        <is>
          <t>RAGUNDA</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35092-2025</t>
        </is>
      </c>
      <c r="B902" s="1" t="n">
        <v>45852.53185185185</v>
      </c>
      <c r="C902" s="1" t="n">
        <v>45912</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21661-2023</t>
        </is>
      </c>
      <c r="B903" s="1" t="n">
        <v>45063</v>
      </c>
      <c r="C903" s="1" t="n">
        <v>45912</v>
      </c>
      <c r="D903" t="inlineStr">
        <is>
          <t>JÄMTLANDS LÄN</t>
        </is>
      </c>
      <c r="E903" t="inlineStr">
        <is>
          <t>RAGUNDA</t>
        </is>
      </c>
      <c r="G903" t="n">
        <v>1.5</v>
      </c>
      <c r="H903" t="n">
        <v>0</v>
      </c>
      <c r="I903" t="n">
        <v>0</v>
      </c>
      <c r="J903" t="n">
        <v>0</v>
      </c>
      <c r="K903" t="n">
        <v>0</v>
      </c>
      <c r="L903" t="n">
        <v>0</v>
      </c>
      <c r="M903" t="n">
        <v>0</v>
      </c>
      <c r="N903" t="n">
        <v>0</v>
      </c>
      <c r="O903" t="n">
        <v>0</v>
      </c>
      <c r="P903" t="n">
        <v>0</v>
      </c>
      <c r="Q903" t="n">
        <v>0</v>
      </c>
      <c r="R903" s="2" t="inlineStr"/>
    </row>
    <row r="904" ht="15" customHeight="1">
      <c r="A904" t="inlineStr">
        <is>
          <t>A 9823-2025</t>
        </is>
      </c>
      <c r="B904" s="1" t="n">
        <v>45716</v>
      </c>
      <c r="C904" s="1" t="n">
        <v>45912</v>
      </c>
      <c r="D904" t="inlineStr">
        <is>
          <t>JÄMTLANDS LÄN</t>
        </is>
      </c>
      <c r="E904" t="inlineStr">
        <is>
          <t>RAGUNDA</t>
        </is>
      </c>
      <c r="F904" t="inlineStr">
        <is>
          <t>SCA</t>
        </is>
      </c>
      <c r="G904" t="n">
        <v>6.2</v>
      </c>
      <c r="H904" t="n">
        <v>0</v>
      </c>
      <c r="I904" t="n">
        <v>0</v>
      </c>
      <c r="J904" t="n">
        <v>0</v>
      </c>
      <c r="K904" t="n">
        <v>0</v>
      </c>
      <c r="L904" t="n">
        <v>0</v>
      </c>
      <c r="M904" t="n">
        <v>0</v>
      </c>
      <c r="N904" t="n">
        <v>0</v>
      </c>
      <c r="O904" t="n">
        <v>0</v>
      </c>
      <c r="P904" t="n">
        <v>0</v>
      </c>
      <c r="Q904" t="n">
        <v>0</v>
      </c>
      <c r="R904" s="2" t="inlineStr"/>
    </row>
    <row r="905" ht="15" customHeight="1">
      <c r="A905" t="inlineStr">
        <is>
          <t>A 13917-2023</t>
        </is>
      </c>
      <c r="B905" s="1" t="n">
        <v>45007</v>
      </c>
      <c r="C905" s="1" t="n">
        <v>45912</v>
      </c>
      <c r="D905" t="inlineStr">
        <is>
          <t>JÄMTLANDS LÄN</t>
        </is>
      </c>
      <c r="E905" t="inlineStr">
        <is>
          <t>RAGUNDA</t>
        </is>
      </c>
      <c r="G905" t="n">
        <v>1</v>
      </c>
      <c r="H905" t="n">
        <v>0</v>
      </c>
      <c r="I905" t="n">
        <v>0</v>
      </c>
      <c r="J905" t="n">
        <v>0</v>
      </c>
      <c r="K905" t="n">
        <v>0</v>
      </c>
      <c r="L905" t="n">
        <v>0</v>
      </c>
      <c r="M905" t="n">
        <v>0</v>
      </c>
      <c r="N905" t="n">
        <v>0</v>
      </c>
      <c r="O905" t="n">
        <v>0</v>
      </c>
      <c r="P905" t="n">
        <v>0</v>
      </c>
      <c r="Q905" t="n">
        <v>0</v>
      </c>
      <c r="R905" s="2" t="inlineStr"/>
    </row>
    <row r="906" ht="15" customHeight="1">
      <c r="A906" t="inlineStr">
        <is>
          <t>A 39947-2025</t>
        </is>
      </c>
      <c r="B906" s="1" t="n">
        <v>45892.34438657408</v>
      </c>
      <c r="C906" s="1" t="n">
        <v>45912</v>
      </c>
      <c r="D906" t="inlineStr">
        <is>
          <t>JÄMTLANDS LÄN</t>
        </is>
      </c>
      <c r="E906" t="inlineStr">
        <is>
          <t>RAGUNDA</t>
        </is>
      </c>
      <c r="G906" t="n">
        <v>6.6</v>
      </c>
      <c r="H906" t="n">
        <v>0</v>
      </c>
      <c r="I906" t="n">
        <v>0</v>
      </c>
      <c r="J906" t="n">
        <v>0</v>
      </c>
      <c r="K906" t="n">
        <v>0</v>
      </c>
      <c r="L906" t="n">
        <v>0</v>
      </c>
      <c r="M906" t="n">
        <v>0</v>
      </c>
      <c r="N906" t="n">
        <v>0</v>
      </c>
      <c r="O906" t="n">
        <v>0</v>
      </c>
      <c r="P906" t="n">
        <v>0</v>
      </c>
      <c r="Q906" t="n">
        <v>0</v>
      </c>
      <c r="R906" s="2" t="inlineStr"/>
    </row>
    <row r="907" ht="15" customHeight="1">
      <c r="A907" t="inlineStr">
        <is>
          <t>A 39950-2025</t>
        </is>
      </c>
      <c r="B907" s="1" t="n">
        <v>45892.38641203703</v>
      </c>
      <c r="C907" s="1" t="n">
        <v>45912</v>
      </c>
      <c r="D907" t="inlineStr">
        <is>
          <t>JÄMTLANDS LÄN</t>
        </is>
      </c>
      <c r="E907" t="inlineStr">
        <is>
          <t>RAGUNDA</t>
        </is>
      </c>
      <c r="G907" t="n">
        <v>1.1</v>
      </c>
      <c r="H907" t="n">
        <v>0</v>
      </c>
      <c r="I907" t="n">
        <v>0</v>
      </c>
      <c r="J907" t="n">
        <v>0</v>
      </c>
      <c r="K907" t="n">
        <v>0</v>
      </c>
      <c r="L907" t="n">
        <v>0</v>
      </c>
      <c r="M907" t="n">
        <v>0</v>
      </c>
      <c r="N907" t="n">
        <v>0</v>
      </c>
      <c r="O907" t="n">
        <v>0</v>
      </c>
      <c r="P907" t="n">
        <v>0</v>
      </c>
      <c r="Q907" t="n">
        <v>0</v>
      </c>
      <c r="R907" s="2" t="inlineStr"/>
    </row>
    <row r="908" ht="15" customHeight="1">
      <c r="A908" t="inlineStr">
        <is>
          <t>A 53019-2023</t>
        </is>
      </c>
      <c r="B908" s="1" t="n">
        <v>45222</v>
      </c>
      <c r="C908" s="1" t="n">
        <v>45912</v>
      </c>
      <c r="D908" t="inlineStr">
        <is>
          <t>JÄMTLANDS LÄN</t>
        </is>
      </c>
      <c r="E908" t="inlineStr">
        <is>
          <t>RAGUNDA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14212-2023</t>
        </is>
      </c>
      <c r="B909" s="1" t="n">
        <v>45009</v>
      </c>
      <c r="C909" s="1" t="n">
        <v>45912</v>
      </c>
      <c r="D909" t="inlineStr">
        <is>
          <t>JÄMTLANDS LÄN</t>
        </is>
      </c>
      <c r="E909" t="inlineStr">
        <is>
          <t>RAGUNDA</t>
        </is>
      </c>
      <c r="G909" t="n">
        <v>0.8</v>
      </c>
      <c r="H909" t="n">
        <v>0</v>
      </c>
      <c r="I909" t="n">
        <v>0</v>
      </c>
      <c r="J909" t="n">
        <v>0</v>
      </c>
      <c r="K909" t="n">
        <v>0</v>
      </c>
      <c r="L909" t="n">
        <v>0</v>
      </c>
      <c r="M909" t="n">
        <v>0</v>
      </c>
      <c r="N909" t="n">
        <v>0</v>
      </c>
      <c r="O909" t="n">
        <v>0</v>
      </c>
      <c r="P909" t="n">
        <v>0</v>
      </c>
      <c r="Q909" t="n">
        <v>0</v>
      </c>
      <c r="R909" s="2" t="inlineStr"/>
    </row>
    <row r="910" ht="15" customHeight="1">
      <c r="A910" t="inlineStr">
        <is>
          <t>A 35091-2025</t>
        </is>
      </c>
      <c r="B910" s="1" t="n">
        <v>45852.53168981482</v>
      </c>
      <c r="C910" s="1" t="n">
        <v>45912</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59996-2023</t>
        </is>
      </c>
      <c r="B911" s="1" t="n">
        <v>45257.92826388889</v>
      </c>
      <c r="C911" s="1" t="n">
        <v>45912</v>
      </c>
      <c r="D911" t="inlineStr">
        <is>
          <t>JÄMTLANDS LÄN</t>
        </is>
      </c>
      <c r="E911" t="inlineStr">
        <is>
          <t>RAGUNDA</t>
        </is>
      </c>
      <c r="G911" t="n">
        <v>2.7</v>
      </c>
      <c r="H911" t="n">
        <v>0</v>
      </c>
      <c r="I911" t="n">
        <v>0</v>
      </c>
      <c r="J911" t="n">
        <v>0</v>
      </c>
      <c r="K911" t="n">
        <v>0</v>
      </c>
      <c r="L911" t="n">
        <v>0</v>
      </c>
      <c r="M911" t="n">
        <v>0</v>
      </c>
      <c r="N911" t="n">
        <v>0</v>
      </c>
      <c r="O911" t="n">
        <v>0</v>
      </c>
      <c r="P911" t="n">
        <v>0</v>
      </c>
      <c r="Q911" t="n">
        <v>0</v>
      </c>
      <c r="R911" s="2" t="inlineStr"/>
    </row>
    <row r="912" ht="15" customHeight="1">
      <c r="A912" t="inlineStr">
        <is>
          <t>A 39949-2025</t>
        </is>
      </c>
      <c r="B912" s="1" t="n">
        <v>45892.38619212963</v>
      </c>
      <c r="C912" s="1" t="n">
        <v>45912</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39955-2025</t>
        </is>
      </c>
      <c r="B913" s="1" t="n">
        <v>45892.44824074074</v>
      </c>
      <c r="C913" s="1" t="n">
        <v>45912</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40586-2025</t>
        </is>
      </c>
      <c r="B914" s="1" t="n">
        <v>45896.52478009259</v>
      </c>
      <c r="C914" s="1" t="n">
        <v>45912</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44980-2023</t>
        </is>
      </c>
      <c r="B915" s="1" t="n">
        <v>45190</v>
      </c>
      <c r="C915" s="1" t="n">
        <v>45912</v>
      </c>
      <c r="D915" t="inlineStr">
        <is>
          <t>JÄMTLANDS LÄN</t>
        </is>
      </c>
      <c r="E915" t="inlineStr">
        <is>
          <t>RAGUNDA</t>
        </is>
      </c>
      <c r="F915" t="inlineStr">
        <is>
          <t>SCA</t>
        </is>
      </c>
      <c r="G915" t="n">
        <v>5.2</v>
      </c>
      <c r="H915" t="n">
        <v>0</v>
      </c>
      <c r="I915" t="n">
        <v>0</v>
      </c>
      <c r="J915" t="n">
        <v>0</v>
      </c>
      <c r="K915" t="n">
        <v>0</v>
      </c>
      <c r="L915" t="n">
        <v>0</v>
      </c>
      <c r="M915" t="n">
        <v>0</v>
      </c>
      <c r="N915" t="n">
        <v>0</v>
      </c>
      <c r="O915" t="n">
        <v>0</v>
      </c>
      <c r="P915" t="n">
        <v>0</v>
      </c>
      <c r="Q915" t="n">
        <v>0</v>
      </c>
      <c r="R915" s="2" t="inlineStr"/>
    </row>
    <row r="916" ht="15" customHeight="1">
      <c r="A916" t="inlineStr">
        <is>
          <t>A 14076-2023</t>
        </is>
      </c>
      <c r="B916" s="1" t="n">
        <v>45009.0897337963</v>
      </c>
      <c r="C916" s="1" t="n">
        <v>45912</v>
      </c>
      <c r="D916" t="inlineStr">
        <is>
          <t>JÄMTLANDS LÄN</t>
        </is>
      </c>
      <c r="E916" t="inlineStr">
        <is>
          <t>RAGUNDA</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35462-2025</t>
        </is>
      </c>
      <c r="B917" s="1" t="n">
        <v>45855.61523148148</v>
      </c>
      <c r="C917" s="1" t="n">
        <v>45912</v>
      </c>
      <c r="D917" t="inlineStr">
        <is>
          <t>JÄMTLANDS LÄN</t>
        </is>
      </c>
      <c r="E917" t="inlineStr">
        <is>
          <t>RAGUNDA</t>
        </is>
      </c>
      <c r="F917" t="inlineStr">
        <is>
          <t>SCA</t>
        </is>
      </c>
      <c r="G917" t="n">
        <v>5.7</v>
      </c>
      <c r="H917" t="n">
        <v>0</v>
      </c>
      <c r="I917" t="n">
        <v>0</v>
      </c>
      <c r="J917" t="n">
        <v>0</v>
      </c>
      <c r="K917" t="n">
        <v>0</v>
      </c>
      <c r="L917" t="n">
        <v>0</v>
      </c>
      <c r="M917" t="n">
        <v>0</v>
      </c>
      <c r="N917" t="n">
        <v>0</v>
      </c>
      <c r="O917" t="n">
        <v>0</v>
      </c>
      <c r="P917" t="n">
        <v>0</v>
      </c>
      <c r="Q917" t="n">
        <v>0</v>
      </c>
      <c r="R917" s="2" t="inlineStr"/>
    </row>
    <row r="918" ht="15" customHeight="1">
      <c r="A918" t="inlineStr">
        <is>
          <t>A 35355-2025</t>
        </is>
      </c>
      <c r="B918" s="1" t="n">
        <v>45854.65663194445</v>
      </c>
      <c r="C918" s="1" t="n">
        <v>45912</v>
      </c>
      <c r="D918" t="inlineStr">
        <is>
          <t>JÄMTLANDS LÄN</t>
        </is>
      </c>
      <c r="E918" t="inlineStr">
        <is>
          <t>RAGUNDA</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69153-2021</t>
        </is>
      </c>
      <c r="B919" s="1" t="n">
        <v>44530.94694444445</v>
      </c>
      <c r="C919" s="1" t="n">
        <v>45912</v>
      </c>
      <c r="D919" t="inlineStr">
        <is>
          <t>JÄMTLANDS LÄN</t>
        </is>
      </c>
      <c r="E919" t="inlineStr">
        <is>
          <t>RAGUNDA</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35477-2025</t>
        </is>
      </c>
      <c r="B920" s="1" t="n">
        <v>45855.67899305555</v>
      </c>
      <c r="C920" s="1" t="n">
        <v>45912</v>
      </c>
      <c r="D920" t="inlineStr">
        <is>
          <t>JÄMTLANDS LÄN</t>
        </is>
      </c>
      <c r="E920" t="inlineStr">
        <is>
          <t>RAGUNDA</t>
        </is>
      </c>
      <c r="G920" t="n">
        <v>3.6</v>
      </c>
      <c r="H920" t="n">
        <v>0</v>
      </c>
      <c r="I920" t="n">
        <v>0</v>
      </c>
      <c r="J920" t="n">
        <v>0</v>
      </c>
      <c r="K920" t="n">
        <v>0</v>
      </c>
      <c r="L920" t="n">
        <v>0</v>
      </c>
      <c r="M920" t="n">
        <v>0</v>
      </c>
      <c r="N920" t="n">
        <v>0</v>
      </c>
      <c r="O920" t="n">
        <v>0</v>
      </c>
      <c r="P920" t="n">
        <v>0</v>
      </c>
      <c r="Q920" t="n">
        <v>0</v>
      </c>
      <c r="R920" s="2" t="inlineStr"/>
    </row>
    <row r="921" ht="15" customHeight="1">
      <c r="A921" t="inlineStr">
        <is>
          <t>A 12805-2025</t>
        </is>
      </c>
      <c r="B921" s="1" t="n">
        <v>45733.61497685185</v>
      </c>
      <c r="C921" s="1" t="n">
        <v>45912</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12808-2025</t>
        </is>
      </c>
      <c r="B922" s="1" t="n">
        <v>45733.61554398148</v>
      </c>
      <c r="C922" s="1" t="n">
        <v>45912</v>
      </c>
      <c r="D922" t="inlineStr">
        <is>
          <t>JÄMTLANDS LÄN</t>
        </is>
      </c>
      <c r="E922" t="inlineStr">
        <is>
          <t>RAGUNDA</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12585-2024</t>
        </is>
      </c>
      <c r="B923" s="1" t="n">
        <v>45379.93637731481</v>
      </c>
      <c r="C923" s="1" t="n">
        <v>45912</v>
      </c>
      <c r="D923" t="inlineStr">
        <is>
          <t>JÄMTLANDS LÄN</t>
        </is>
      </c>
      <c r="E923" t="inlineStr">
        <is>
          <t>RAGUNDA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55489-2024</t>
        </is>
      </c>
      <c r="B924" s="1" t="n">
        <v>45622.44774305556</v>
      </c>
      <c r="C924" s="1" t="n">
        <v>45912</v>
      </c>
      <c r="D924" t="inlineStr">
        <is>
          <t>JÄMTLANDS LÄN</t>
        </is>
      </c>
      <c r="E924" t="inlineStr">
        <is>
          <t>RAGUNDA</t>
        </is>
      </c>
      <c r="G924" t="n">
        <v>1.6</v>
      </c>
      <c r="H924" t="n">
        <v>0</v>
      </c>
      <c r="I924" t="n">
        <v>0</v>
      </c>
      <c r="J924" t="n">
        <v>0</v>
      </c>
      <c r="K924" t="n">
        <v>0</v>
      </c>
      <c r="L924" t="n">
        <v>0</v>
      </c>
      <c r="M924" t="n">
        <v>0</v>
      </c>
      <c r="N924" t="n">
        <v>0</v>
      </c>
      <c r="O924" t="n">
        <v>0</v>
      </c>
      <c r="P924" t="n">
        <v>0</v>
      </c>
      <c r="Q924" t="n">
        <v>0</v>
      </c>
      <c r="R924" s="2" t="inlineStr"/>
    </row>
    <row r="925" ht="15" customHeight="1">
      <c r="A925" t="inlineStr">
        <is>
          <t>A 18631-2024</t>
        </is>
      </c>
      <c r="B925" s="1" t="n">
        <v>45425.96494212963</v>
      </c>
      <c r="C925" s="1" t="n">
        <v>45912</v>
      </c>
      <c r="D925" t="inlineStr">
        <is>
          <t>JÄMTLANDS LÄN</t>
        </is>
      </c>
      <c r="E925" t="inlineStr">
        <is>
          <t>RAGUNDA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4615-2023</t>
        </is>
      </c>
      <c r="B926" s="1" t="n">
        <v>44956.93924768519</v>
      </c>
      <c r="C926" s="1" t="n">
        <v>45912</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41161-2025</t>
        </is>
      </c>
      <c r="B927" s="1" t="n">
        <v>45898.53193287037</v>
      </c>
      <c r="C927" s="1" t="n">
        <v>45912</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5938-2025</t>
        </is>
      </c>
      <c r="B928" s="1" t="n">
        <v>45695.45868055556</v>
      </c>
      <c r="C928" s="1" t="n">
        <v>45912</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26646-2023</t>
        </is>
      </c>
      <c r="B929" s="1" t="n">
        <v>45092</v>
      </c>
      <c r="C929" s="1" t="n">
        <v>45912</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4125-2024</t>
        </is>
      </c>
      <c r="B930" s="1" t="n">
        <v>45323</v>
      </c>
      <c r="C930" s="1" t="n">
        <v>45912</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53549-2024</t>
        </is>
      </c>
      <c r="B931" s="1" t="n">
        <v>45614.63869212963</v>
      </c>
      <c r="C931" s="1" t="n">
        <v>45912</v>
      </c>
      <c r="D931" t="inlineStr">
        <is>
          <t>JÄMTLANDS LÄN</t>
        </is>
      </c>
      <c r="E931" t="inlineStr">
        <is>
          <t>RAGUNDA</t>
        </is>
      </c>
      <c r="F931" t="inlineStr">
        <is>
          <t>Kyrkan</t>
        </is>
      </c>
      <c r="G931" t="n">
        <v>1.7</v>
      </c>
      <c r="H931" t="n">
        <v>0</v>
      </c>
      <c r="I931" t="n">
        <v>0</v>
      </c>
      <c r="J931" t="n">
        <v>0</v>
      </c>
      <c r="K931" t="n">
        <v>0</v>
      </c>
      <c r="L931" t="n">
        <v>0</v>
      </c>
      <c r="M931" t="n">
        <v>0</v>
      </c>
      <c r="N931" t="n">
        <v>0</v>
      </c>
      <c r="O931" t="n">
        <v>0</v>
      </c>
      <c r="P931" t="n">
        <v>0</v>
      </c>
      <c r="Q931" t="n">
        <v>0</v>
      </c>
      <c r="R931" s="2" t="inlineStr"/>
    </row>
    <row r="932" ht="15" customHeight="1">
      <c r="A932" t="inlineStr">
        <is>
          <t>A 41423-2025</t>
        </is>
      </c>
      <c r="B932" s="1" t="n">
        <v>45901.38578703703</v>
      </c>
      <c r="C932" s="1" t="n">
        <v>45912</v>
      </c>
      <c r="D932" t="inlineStr">
        <is>
          <t>JÄMTLANDS LÄN</t>
        </is>
      </c>
      <c r="E932" t="inlineStr">
        <is>
          <t>RAGUNDA</t>
        </is>
      </c>
      <c r="G932" t="n">
        <v>0.7</v>
      </c>
      <c r="H932" t="n">
        <v>0</v>
      </c>
      <c r="I932" t="n">
        <v>0</v>
      </c>
      <c r="J932" t="n">
        <v>0</v>
      </c>
      <c r="K932" t="n">
        <v>0</v>
      </c>
      <c r="L932" t="n">
        <v>0</v>
      </c>
      <c r="M932" t="n">
        <v>0</v>
      </c>
      <c r="N932" t="n">
        <v>0</v>
      </c>
      <c r="O932" t="n">
        <v>0</v>
      </c>
      <c r="P932" t="n">
        <v>0</v>
      </c>
      <c r="Q932" t="n">
        <v>0</v>
      </c>
      <c r="R932" s="2" t="inlineStr"/>
    </row>
    <row r="933" ht="15" customHeight="1">
      <c r="A933" t="inlineStr">
        <is>
          <t>A 43405-2023</t>
        </is>
      </c>
      <c r="B933" s="1" t="n">
        <v>45183.95563657407</v>
      </c>
      <c r="C933" s="1" t="n">
        <v>45912</v>
      </c>
      <c r="D933" t="inlineStr">
        <is>
          <t>JÄMTLANDS LÄN</t>
        </is>
      </c>
      <c r="E933" t="inlineStr">
        <is>
          <t>RAGUNDA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59496-2024</t>
        </is>
      </c>
      <c r="B934" s="1" t="n">
        <v>45638</v>
      </c>
      <c r="C934" s="1" t="n">
        <v>45912</v>
      </c>
      <c r="D934" t="inlineStr">
        <is>
          <t>JÄMTLANDS LÄN</t>
        </is>
      </c>
      <c r="E934" t="inlineStr">
        <is>
          <t>RAGUNDA</t>
        </is>
      </c>
      <c r="G934" t="n">
        <v>13.1</v>
      </c>
      <c r="H934" t="n">
        <v>0</v>
      </c>
      <c r="I934" t="n">
        <v>0</v>
      </c>
      <c r="J934" t="n">
        <v>0</v>
      </c>
      <c r="K934" t="n">
        <v>0</v>
      </c>
      <c r="L934" t="n">
        <v>0</v>
      </c>
      <c r="M934" t="n">
        <v>0</v>
      </c>
      <c r="N934" t="n">
        <v>0</v>
      </c>
      <c r="O934" t="n">
        <v>0</v>
      </c>
      <c r="P934" t="n">
        <v>0</v>
      </c>
      <c r="Q934" t="n">
        <v>0</v>
      </c>
      <c r="R934" s="2" t="inlineStr"/>
    </row>
    <row r="935" ht="15" customHeight="1">
      <c r="A935" t="inlineStr">
        <is>
          <t>A 35541-2025</t>
        </is>
      </c>
      <c r="B935" s="1" t="n">
        <v>45856.46931712963</v>
      </c>
      <c r="C935" s="1" t="n">
        <v>45912</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41140-2025</t>
        </is>
      </c>
      <c r="B936" s="1" t="n">
        <v>45898.49012731481</v>
      </c>
      <c r="C936" s="1" t="n">
        <v>45912</v>
      </c>
      <c r="D936" t="inlineStr">
        <is>
          <t>JÄMTLANDS LÄN</t>
        </is>
      </c>
      <c r="E936" t="inlineStr">
        <is>
          <t>RAGUNDA</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62106-2023</t>
        </is>
      </c>
      <c r="B937" s="1" t="n">
        <v>45266.95082175926</v>
      </c>
      <c r="C937" s="1" t="n">
        <v>45912</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7284-2025</t>
        </is>
      </c>
      <c r="B938" s="1" t="n">
        <v>45702.63604166666</v>
      </c>
      <c r="C938" s="1" t="n">
        <v>45912</v>
      </c>
      <c r="D938" t="inlineStr">
        <is>
          <t>JÄMTLANDS LÄN</t>
        </is>
      </c>
      <c r="E938" t="inlineStr">
        <is>
          <t>RAGUNDA</t>
        </is>
      </c>
      <c r="F938" t="inlineStr">
        <is>
          <t>SCA</t>
        </is>
      </c>
      <c r="G938" t="n">
        <v>0.3</v>
      </c>
      <c r="H938" t="n">
        <v>0</v>
      </c>
      <c r="I938" t="n">
        <v>0</v>
      </c>
      <c r="J938" t="n">
        <v>0</v>
      </c>
      <c r="K938" t="n">
        <v>0</v>
      </c>
      <c r="L938" t="n">
        <v>0</v>
      </c>
      <c r="M938" t="n">
        <v>0</v>
      </c>
      <c r="N938" t="n">
        <v>0</v>
      </c>
      <c r="O938" t="n">
        <v>0</v>
      </c>
      <c r="P938" t="n">
        <v>0</v>
      </c>
      <c r="Q938" t="n">
        <v>0</v>
      </c>
      <c r="R938" s="2" t="inlineStr"/>
    </row>
    <row r="939" ht="15" customHeight="1">
      <c r="A939" t="inlineStr">
        <is>
          <t>A 18781-2024</t>
        </is>
      </c>
      <c r="B939" s="1" t="n">
        <v>45426</v>
      </c>
      <c r="C939" s="1" t="n">
        <v>45912</v>
      </c>
      <c r="D939" t="inlineStr">
        <is>
          <t>JÄMTLANDS LÄN</t>
        </is>
      </c>
      <c r="E939" t="inlineStr">
        <is>
          <t>RAGUNDA</t>
        </is>
      </c>
      <c r="G939" t="n">
        <v>0.9</v>
      </c>
      <c r="H939" t="n">
        <v>0</v>
      </c>
      <c r="I939" t="n">
        <v>0</v>
      </c>
      <c r="J939" t="n">
        <v>0</v>
      </c>
      <c r="K939" t="n">
        <v>0</v>
      </c>
      <c r="L939" t="n">
        <v>0</v>
      </c>
      <c r="M939" t="n">
        <v>0</v>
      </c>
      <c r="N939" t="n">
        <v>0</v>
      </c>
      <c r="O939" t="n">
        <v>0</v>
      </c>
      <c r="P939" t="n">
        <v>0</v>
      </c>
      <c r="Q939" t="n">
        <v>0</v>
      </c>
      <c r="R939" s="2" t="inlineStr"/>
    </row>
    <row r="940" ht="15" customHeight="1">
      <c r="A940" t="inlineStr">
        <is>
          <t>A 31506-2024</t>
        </is>
      </c>
      <c r="B940" s="1" t="n">
        <v>45505</v>
      </c>
      <c r="C940" s="1" t="n">
        <v>45912</v>
      </c>
      <c r="D940" t="inlineStr">
        <is>
          <t>JÄMTLANDS LÄN</t>
        </is>
      </c>
      <c r="E940" t="inlineStr">
        <is>
          <t>RAGUNDA</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41262-2025</t>
        </is>
      </c>
      <c r="B941" s="1" t="n">
        <v>45898.61502314815</v>
      </c>
      <c r="C941" s="1" t="n">
        <v>45912</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45912</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19382-2025</t>
        </is>
      </c>
      <c r="B943" s="1" t="n">
        <v>45769.65659722222</v>
      </c>
      <c r="C943" s="1" t="n">
        <v>45912</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41233-2025</t>
        </is>
      </c>
      <c r="B944" s="1" t="n">
        <v>45898.59295138889</v>
      </c>
      <c r="C944" s="1" t="n">
        <v>45912</v>
      </c>
      <c r="D944" t="inlineStr">
        <is>
          <t>JÄMTLANDS LÄN</t>
        </is>
      </c>
      <c r="E944" t="inlineStr">
        <is>
          <t>RAGUNDA</t>
        </is>
      </c>
      <c r="G944" t="n">
        <v>1.7</v>
      </c>
      <c r="H944" t="n">
        <v>0</v>
      </c>
      <c r="I944" t="n">
        <v>0</v>
      </c>
      <c r="J944" t="n">
        <v>0</v>
      </c>
      <c r="K944" t="n">
        <v>0</v>
      </c>
      <c r="L944" t="n">
        <v>0</v>
      </c>
      <c r="M944" t="n">
        <v>0</v>
      </c>
      <c r="N944" t="n">
        <v>0</v>
      </c>
      <c r="O944" t="n">
        <v>0</v>
      </c>
      <c r="P944" t="n">
        <v>0</v>
      </c>
      <c r="Q944" t="n">
        <v>0</v>
      </c>
      <c r="R944" s="2" t="inlineStr"/>
    </row>
    <row r="945" ht="15" customHeight="1">
      <c r="A945" t="inlineStr">
        <is>
          <t>A 41422-2025</t>
        </is>
      </c>
      <c r="B945" s="1" t="n">
        <v>45901.38572916666</v>
      </c>
      <c r="C945" s="1" t="n">
        <v>45912</v>
      </c>
      <c r="D945" t="inlineStr">
        <is>
          <t>JÄMTLANDS LÄN</t>
        </is>
      </c>
      <c r="E945" t="inlineStr">
        <is>
          <t>RAGUNDA</t>
        </is>
      </c>
      <c r="G945" t="n">
        <v>4.3</v>
      </c>
      <c r="H945" t="n">
        <v>0</v>
      </c>
      <c r="I945" t="n">
        <v>0</v>
      </c>
      <c r="J945" t="n">
        <v>0</v>
      </c>
      <c r="K945" t="n">
        <v>0</v>
      </c>
      <c r="L945" t="n">
        <v>0</v>
      </c>
      <c r="M945" t="n">
        <v>0</v>
      </c>
      <c r="N945" t="n">
        <v>0</v>
      </c>
      <c r="O945" t="n">
        <v>0</v>
      </c>
      <c r="P945" t="n">
        <v>0</v>
      </c>
      <c r="Q945" t="n">
        <v>0</v>
      </c>
      <c r="R945" s="2" t="inlineStr"/>
    </row>
    <row r="946" ht="15" customHeight="1">
      <c r="A946" t="inlineStr">
        <is>
          <t>A 41424-2025</t>
        </is>
      </c>
      <c r="B946" s="1" t="n">
        <v>45901.38584490741</v>
      </c>
      <c r="C946" s="1" t="n">
        <v>45912</v>
      </c>
      <c r="D946" t="inlineStr">
        <is>
          <t>JÄMTLANDS LÄN</t>
        </is>
      </c>
      <c r="E946" t="inlineStr">
        <is>
          <t>RAGUNDA</t>
        </is>
      </c>
      <c r="G946" t="n">
        <v>3</v>
      </c>
      <c r="H946" t="n">
        <v>0</v>
      </c>
      <c r="I946" t="n">
        <v>0</v>
      </c>
      <c r="J946" t="n">
        <v>0</v>
      </c>
      <c r="K946" t="n">
        <v>0</v>
      </c>
      <c r="L946" t="n">
        <v>0</v>
      </c>
      <c r="M946" t="n">
        <v>0</v>
      </c>
      <c r="N946" t="n">
        <v>0</v>
      </c>
      <c r="O946" t="n">
        <v>0</v>
      </c>
      <c r="P946" t="n">
        <v>0</v>
      </c>
      <c r="Q946" t="n">
        <v>0</v>
      </c>
      <c r="R946" s="2" t="inlineStr"/>
    </row>
    <row r="947" ht="15" customHeight="1">
      <c r="A947" t="inlineStr">
        <is>
          <t>A 37479-2023</t>
        </is>
      </c>
      <c r="B947" s="1" t="n">
        <v>45156</v>
      </c>
      <c r="C947" s="1" t="n">
        <v>45912</v>
      </c>
      <c r="D947" t="inlineStr">
        <is>
          <t>JÄMTLANDS LÄN</t>
        </is>
      </c>
      <c r="E947" t="inlineStr">
        <is>
          <t>RAGUNDA</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5958-2021</t>
        </is>
      </c>
      <c r="B948" s="1" t="n">
        <v>44231</v>
      </c>
      <c r="C948" s="1" t="n">
        <v>45912</v>
      </c>
      <c r="D948" t="inlineStr">
        <is>
          <t>JÄMTLANDS LÄN</t>
        </is>
      </c>
      <c r="E948" t="inlineStr">
        <is>
          <t>RAGUNDA</t>
        </is>
      </c>
      <c r="G948" t="n">
        <v>3.1</v>
      </c>
      <c r="H948" t="n">
        <v>0</v>
      </c>
      <c r="I948" t="n">
        <v>0</v>
      </c>
      <c r="J948" t="n">
        <v>0</v>
      </c>
      <c r="K948" t="n">
        <v>0</v>
      </c>
      <c r="L948" t="n">
        <v>0</v>
      </c>
      <c r="M948" t="n">
        <v>0</v>
      </c>
      <c r="N948" t="n">
        <v>0</v>
      </c>
      <c r="O948" t="n">
        <v>0</v>
      </c>
      <c r="P948" t="n">
        <v>0</v>
      </c>
      <c r="Q948" t="n">
        <v>0</v>
      </c>
      <c r="R948" s="2" t="inlineStr"/>
    </row>
    <row r="949" ht="15" customHeight="1">
      <c r="A949" t="inlineStr">
        <is>
          <t>A 30826-2023</t>
        </is>
      </c>
      <c r="B949" s="1" t="n">
        <v>45112</v>
      </c>
      <c r="C949" s="1" t="n">
        <v>45912</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53263-2024</t>
        </is>
      </c>
      <c r="B950" s="1" t="n">
        <v>45614.34541666666</v>
      </c>
      <c r="C950" s="1" t="n">
        <v>45912</v>
      </c>
      <c r="D950" t="inlineStr">
        <is>
          <t>JÄMTLANDS LÄN</t>
        </is>
      </c>
      <c r="E950" t="inlineStr">
        <is>
          <t>RAGUNDA</t>
        </is>
      </c>
      <c r="G950" t="n">
        <v>1.9</v>
      </c>
      <c r="H950" t="n">
        <v>0</v>
      </c>
      <c r="I950" t="n">
        <v>0</v>
      </c>
      <c r="J950" t="n">
        <v>0</v>
      </c>
      <c r="K950" t="n">
        <v>0</v>
      </c>
      <c r="L950" t="n">
        <v>0</v>
      </c>
      <c r="M950" t="n">
        <v>0</v>
      </c>
      <c r="N950" t="n">
        <v>0</v>
      </c>
      <c r="O950" t="n">
        <v>0</v>
      </c>
      <c r="P950" t="n">
        <v>0</v>
      </c>
      <c r="Q950" t="n">
        <v>0</v>
      </c>
      <c r="R950" s="2" t="inlineStr"/>
    </row>
    <row r="951" ht="15" customHeight="1">
      <c r="A951" t="inlineStr">
        <is>
          <t>A 1809-2025</t>
        </is>
      </c>
      <c r="B951" s="1" t="n">
        <v>45671.48989583334</v>
      </c>
      <c r="C951" s="1" t="n">
        <v>45912</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35658-2025</t>
        </is>
      </c>
      <c r="B952" s="1" t="n">
        <v>45859.594375</v>
      </c>
      <c r="C952" s="1" t="n">
        <v>45912</v>
      </c>
      <c r="D952" t="inlineStr">
        <is>
          <t>JÄMTLANDS LÄN</t>
        </is>
      </c>
      <c r="E952" t="inlineStr">
        <is>
          <t>RAGUNDA</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4866-2025</t>
        </is>
      </c>
      <c r="B953" s="1" t="n">
        <v>45688.67542824074</v>
      </c>
      <c r="C953" s="1" t="n">
        <v>45912</v>
      </c>
      <c r="D953" t="inlineStr">
        <is>
          <t>JÄMTLANDS LÄN</t>
        </is>
      </c>
      <c r="E953" t="inlineStr">
        <is>
          <t>RAGUNDA</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26645-2024</t>
        </is>
      </c>
      <c r="B954" s="1" t="n">
        <v>45469.94667824074</v>
      </c>
      <c r="C954" s="1" t="n">
        <v>45912</v>
      </c>
      <c r="D954" t="inlineStr">
        <is>
          <t>JÄMTLANDS LÄN</t>
        </is>
      </c>
      <c r="E954" t="inlineStr">
        <is>
          <t>RAGUNDA</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41876-2025</t>
        </is>
      </c>
      <c r="B955" s="1" t="n">
        <v>45903.34555555556</v>
      </c>
      <c r="C955" s="1" t="n">
        <v>45912</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893-2025</t>
        </is>
      </c>
      <c r="B956" s="1" t="n">
        <v>45665.65684027778</v>
      </c>
      <c r="C956" s="1" t="n">
        <v>45912</v>
      </c>
      <c r="D956" t="inlineStr">
        <is>
          <t>JÄMTLANDS LÄN</t>
        </is>
      </c>
      <c r="E956" t="inlineStr">
        <is>
          <t>RAGUNDA</t>
        </is>
      </c>
      <c r="F956" t="inlineStr">
        <is>
          <t>SCA</t>
        </is>
      </c>
      <c r="G956" t="n">
        <v>45.1</v>
      </c>
      <c r="H956" t="n">
        <v>0</v>
      </c>
      <c r="I956" t="n">
        <v>0</v>
      </c>
      <c r="J956" t="n">
        <v>0</v>
      </c>
      <c r="K956" t="n">
        <v>0</v>
      </c>
      <c r="L956" t="n">
        <v>0</v>
      </c>
      <c r="M956" t="n">
        <v>0</v>
      </c>
      <c r="N956" t="n">
        <v>0</v>
      </c>
      <c r="O956" t="n">
        <v>0</v>
      </c>
      <c r="P956" t="n">
        <v>0</v>
      </c>
      <c r="Q956" t="n">
        <v>0</v>
      </c>
      <c r="R956" s="2" t="inlineStr"/>
    </row>
    <row r="957" ht="15" customHeight="1">
      <c r="A957" t="inlineStr">
        <is>
          <t>A 31135-2023</t>
        </is>
      </c>
      <c r="B957" s="1" t="n">
        <v>45103</v>
      </c>
      <c r="C957" s="1" t="n">
        <v>45912</v>
      </c>
      <c r="D957" t="inlineStr">
        <is>
          <t>JÄMTLANDS LÄN</t>
        </is>
      </c>
      <c r="E957" t="inlineStr">
        <is>
          <t>RAGUNDA</t>
        </is>
      </c>
      <c r="G957" t="n">
        <v>0.9</v>
      </c>
      <c r="H957" t="n">
        <v>0</v>
      </c>
      <c r="I957" t="n">
        <v>0</v>
      </c>
      <c r="J957" t="n">
        <v>0</v>
      </c>
      <c r="K957" t="n">
        <v>0</v>
      </c>
      <c r="L957" t="n">
        <v>0</v>
      </c>
      <c r="M957" t="n">
        <v>0</v>
      </c>
      <c r="N957" t="n">
        <v>0</v>
      </c>
      <c r="O957" t="n">
        <v>0</v>
      </c>
      <c r="P957" t="n">
        <v>0</v>
      </c>
      <c r="Q957" t="n">
        <v>0</v>
      </c>
      <c r="R957" s="2" t="inlineStr"/>
    </row>
    <row r="958" ht="15" customHeight="1">
      <c r="A958" t="inlineStr">
        <is>
          <t>A 11780-2024</t>
        </is>
      </c>
      <c r="B958" s="1" t="n">
        <v>45374</v>
      </c>
      <c r="C958" s="1" t="n">
        <v>45912</v>
      </c>
      <c r="D958" t="inlineStr">
        <is>
          <t>JÄMTLANDS LÄN</t>
        </is>
      </c>
      <c r="E958" t="inlineStr">
        <is>
          <t>RAGUNDA</t>
        </is>
      </c>
      <c r="G958" t="n">
        <v>14.6</v>
      </c>
      <c r="H958" t="n">
        <v>0</v>
      </c>
      <c r="I958" t="n">
        <v>0</v>
      </c>
      <c r="J958" t="n">
        <v>0</v>
      </c>
      <c r="K958" t="n">
        <v>0</v>
      </c>
      <c r="L958" t="n">
        <v>0</v>
      </c>
      <c r="M958" t="n">
        <v>0</v>
      </c>
      <c r="N958" t="n">
        <v>0</v>
      </c>
      <c r="O958" t="n">
        <v>0</v>
      </c>
      <c r="P958" t="n">
        <v>0</v>
      </c>
      <c r="Q958" t="n">
        <v>0</v>
      </c>
      <c r="R958" s="2" t="inlineStr"/>
    </row>
    <row r="959" ht="15" customHeight="1">
      <c r="A959" t="inlineStr">
        <is>
          <t>A 35689-2025</t>
        </is>
      </c>
      <c r="B959" s="1" t="n">
        <v>45860.30229166667</v>
      </c>
      <c r="C959" s="1" t="n">
        <v>45912</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43132-2023</t>
        </is>
      </c>
      <c r="B960" s="1" t="n">
        <v>45182</v>
      </c>
      <c r="C960" s="1" t="n">
        <v>45912</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11288-2022</t>
        </is>
      </c>
      <c r="B961" s="1" t="n">
        <v>44629</v>
      </c>
      <c r="C961" s="1" t="n">
        <v>45912</v>
      </c>
      <c r="D961" t="inlineStr">
        <is>
          <t>JÄMTLANDS LÄN</t>
        </is>
      </c>
      <c r="E961" t="inlineStr">
        <is>
          <t>RAGUNDA</t>
        </is>
      </c>
      <c r="G961" t="n">
        <v>4.9</v>
      </c>
      <c r="H961" t="n">
        <v>0</v>
      </c>
      <c r="I961" t="n">
        <v>0</v>
      </c>
      <c r="J961" t="n">
        <v>0</v>
      </c>
      <c r="K961" t="n">
        <v>0</v>
      </c>
      <c r="L961" t="n">
        <v>0</v>
      </c>
      <c r="M961" t="n">
        <v>0</v>
      </c>
      <c r="N961" t="n">
        <v>0</v>
      </c>
      <c r="O961" t="n">
        <v>0</v>
      </c>
      <c r="P961" t="n">
        <v>0</v>
      </c>
      <c r="Q961" t="n">
        <v>0</v>
      </c>
      <c r="R961" s="2" t="inlineStr"/>
    </row>
    <row r="962" ht="15" customHeight="1">
      <c r="A962" t="inlineStr">
        <is>
          <t>A 18984-2023</t>
        </is>
      </c>
      <c r="B962" s="1" t="n">
        <v>45044</v>
      </c>
      <c r="C962" s="1" t="n">
        <v>45912</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66011-2021</t>
        </is>
      </c>
      <c r="B963" s="1" t="n">
        <v>44517.58137731482</v>
      </c>
      <c r="C963" s="1" t="n">
        <v>45912</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41656-2025</t>
        </is>
      </c>
      <c r="B964" s="1" t="n">
        <v>45902.34423611111</v>
      </c>
      <c r="C964" s="1" t="n">
        <v>45912</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42509-2023</t>
        </is>
      </c>
      <c r="B965" s="1" t="n">
        <v>45180</v>
      </c>
      <c r="C965" s="1" t="n">
        <v>45912</v>
      </c>
      <c r="D965" t="inlineStr">
        <is>
          <t>JÄMTLANDS LÄN</t>
        </is>
      </c>
      <c r="E965" t="inlineStr">
        <is>
          <t>RAGUNDA</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56284-2023</t>
        </is>
      </c>
      <c r="B966" s="1" t="n">
        <v>45241.95724537037</v>
      </c>
      <c r="C966" s="1" t="n">
        <v>45912</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33615-2023</t>
        </is>
      </c>
      <c r="B967" s="1" t="n">
        <v>45119</v>
      </c>
      <c r="C967" s="1" t="n">
        <v>45912</v>
      </c>
      <c r="D967" t="inlineStr">
        <is>
          <t>JÄMTLANDS LÄN</t>
        </is>
      </c>
      <c r="E967" t="inlineStr">
        <is>
          <t>RAGUNDA</t>
        </is>
      </c>
      <c r="G967" t="n">
        <v>0.9</v>
      </c>
      <c r="H967" t="n">
        <v>0</v>
      </c>
      <c r="I967" t="n">
        <v>0</v>
      </c>
      <c r="J967" t="n">
        <v>0</v>
      </c>
      <c r="K967" t="n">
        <v>0</v>
      </c>
      <c r="L967" t="n">
        <v>0</v>
      </c>
      <c r="M967" t="n">
        <v>0</v>
      </c>
      <c r="N967" t="n">
        <v>0</v>
      </c>
      <c r="O967" t="n">
        <v>0</v>
      </c>
      <c r="P967" t="n">
        <v>0</v>
      </c>
      <c r="Q967" t="n">
        <v>0</v>
      </c>
      <c r="R967" s="2" t="inlineStr"/>
    </row>
    <row r="968" ht="15" customHeight="1">
      <c r="A968" t="inlineStr">
        <is>
          <t>A 42510-2023</t>
        </is>
      </c>
      <c r="B968" s="1" t="n">
        <v>45180.95927083334</v>
      </c>
      <c r="C968" s="1" t="n">
        <v>45912</v>
      </c>
      <c r="D968" t="inlineStr">
        <is>
          <t>JÄMTLANDS LÄN</t>
        </is>
      </c>
      <c r="E968" t="inlineStr">
        <is>
          <t>RAGUNDA</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19401-2025</t>
        </is>
      </c>
      <c r="B969" s="1" t="n">
        <v>45769.67767361111</v>
      </c>
      <c r="C969" s="1" t="n">
        <v>45912</v>
      </c>
      <c r="D969" t="inlineStr">
        <is>
          <t>JÄMTLANDS LÄN</t>
        </is>
      </c>
      <c r="E969" t="inlineStr">
        <is>
          <t>RAGUNDA</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53860-2023</t>
        </is>
      </c>
      <c r="B970" s="1" t="n">
        <v>45224</v>
      </c>
      <c r="C970" s="1" t="n">
        <v>45912</v>
      </c>
      <c r="D970" t="inlineStr">
        <is>
          <t>JÄMTLANDS LÄN</t>
        </is>
      </c>
      <c r="E970" t="inlineStr">
        <is>
          <t>RAGUNDA</t>
        </is>
      </c>
      <c r="G970" t="n">
        <v>3.3</v>
      </c>
      <c r="H970" t="n">
        <v>0</v>
      </c>
      <c r="I970" t="n">
        <v>0</v>
      </c>
      <c r="J970" t="n">
        <v>0</v>
      </c>
      <c r="K970" t="n">
        <v>0</v>
      </c>
      <c r="L970" t="n">
        <v>0</v>
      </c>
      <c r="M970" t="n">
        <v>0</v>
      </c>
      <c r="N970" t="n">
        <v>0</v>
      </c>
      <c r="O970" t="n">
        <v>0</v>
      </c>
      <c r="P970" t="n">
        <v>0</v>
      </c>
      <c r="Q970" t="n">
        <v>0</v>
      </c>
      <c r="R970" s="2" t="inlineStr"/>
    </row>
    <row r="971" ht="15" customHeight="1">
      <c r="A971" t="inlineStr">
        <is>
          <t>A 65898-2020</t>
        </is>
      </c>
      <c r="B971" s="1" t="n">
        <v>44174</v>
      </c>
      <c r="C971" s="1" t="n">
        <v>45912</v>
      </c>
      <c r="D971" t="inlineStr">
        <is>
          <t>JÄMTLANDS LÄN</t>
        </is>
      </c>
      <c r="E971" t="inlineStr">
        <is>
          <t>RAGUNDA</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12039-2023</t>
        </is>
      </c>
      <c r="B972" s="1" t="n">
        <v>44995.98341435185</v>
      </c>
      <c r="C972" s="1" t="n">
        <v>45912</v>
      </c>
      <c r="D972" t="inlineStr">
        <is>
          <t>JÄMTLANDS LÄN</t>
        </is>
      </c>
      <c r="E972" t="inlineStr">
        <is>
          <t>RAGUNDA</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26991-2023</t>
        </is>
      </c>
      <c r="B973" s="1" t="n">
        <v>45093.92207175926</v>
      </c>
      <c r="C973" s="1" t="n">
        <v>45912</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42269-2025</t>
        </is>
      </c>
      <c r="B974" s="1" t="n">
        <v>45904.60431712963</v>
      </c>
      <c r="C974" s="1" t="n">
        <v>45912</v>
      </c>
      <c r="D974" t="inlineStr">
        <is>
          <t>JÄMTLANDS LÄN</t>
        </is>
      </c>
      <c r="E974" t="inlineStr">
        <is>
          <t>RAGUNDA</t>
        </is>
      </c>
      <c r="G974" t="n">
        <v>4.3</v>
      </c>
      <c r="H974" t="n">
        <v>0</v>
      </c>
      <c r="I974" t="n">
        <v>0</v>
      </c>
      <c r="J974" t="n">
        <v>0</v>
      </c>
      <c r="K974" t="n">
        <v>0</v>
      </c>
      <c r="L974" t="n">
        <v>0</v>
      </c>
      <c r="M974" t="n">
        <v>0</v>
      </c>
      <c r="N974" t="n">
        <v>0</v>
      </c>
      <c r="O974" t="n">
        <v>0</v>
      </c>
      <c r="P974" t="n">
        <v>0</v>
      </c>
      <c r="Q974" t="n">
        <v>0</v>
      </c>
      <c r="R974" s="2" t="inlineStr"/>
    </row>
    <row r="975" ht="15" customHeight="1">
      <c r="A975" t="inlineStr">
        <is>
          <t>A 21401-2024</t>
        </is>
      </c>
      <c r="B975" s="1" t="n">
        <v>45441.33313657407</v>
      </c>
      <c r="C975" s="1" t="n">
        <v>45912</v>
      </c>
      <c r="D975" t="inlineStr">
        <is>
          <t>JÄMTLANDS LÄN</t>
        </is>
      </c>
      <c r="E975" t="inlineStr">
        <is>
          <t>RAGUNDA</t>
        </is>
      </c>
      <c r="G975" t="n">
        <v>3.7</v>
      </c>
      <c r="H975" t="n">
        <v>0</v>
      </c>
      <c r="I975" t="n">
        <v>0</v>
      </c>
      <c r="J975" t="n">
        <v>0</v>
      </c>
      <c r="K975" t="n">
        <v>0</v>
      </c>
      <c r="L975" t="n">
        <v>0</v>
      </c>
      <c r="M975" t="n">
        <v>0</v>
      </c>
      <c r="N975" t="n">
        <v>0</v>
      </c>
      <c r="O975" t="n">
        <v>0</v>
      </c>
      <c r="P975" t="n">
        <v>0</v>
      </c>
      <c r="Q975" t="n">
        <v>0</v>
      </c>
      <c r="R975" s="2" t="inlineStr"/>
    </row>
    <row r="976" ht="15" customHeight="1">
      <c r="A976" t="inlineStr">
        <is>
          <t>A 61045-2022</t>
        </is>
      </c>
      <c r="B976" s="1" t="n">
        <v>44914</v>
      </c>
      <c r="C976" s="1" t="n">
        <v>45912</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13302-2022</t>
        </is>
      </c>
      <c r="B977" s="1" t="n">
        <v>44644</v>
      </c>
      <c r="C977" s="1" t="n">
        <v>45912</v>
      </c>
      <c r="D977" t="inlineStr">
        <is>
          <t>JÄMTLANDS LÄN</t>
        </is>
      </c>
      <c r="E977" t="inlineStr">
        <is>
          <t>RAGUNDA</t>
        </is>
      </c>
      <c r="F977" t="inlineStr">
        <is>
          <t>SCA</t>
        </is>
      </c>
      <c r="G977" t="n">
        <v>35.6</v>
      </c>
      <c r="H977" t="n">
        <v>0</v>
      </c>
      <c r="I977" t="n">
        <v>0</v>
      </c>
      <c r="J977" t="n">
        <v>0</v>
      </c>
      <c r="K977" t="n">
        <v>0</v>
      </c>
      <c r="L977" t="n">
        <v>0</v>
      </c>
      <c r="M977" t="n">
        <v>0</v>
      </c>
      <c r="N977" t="n">
        <v>0</v>
      </c>
      <c r="O977" t="n">
        <v>0</v>
      </c>
      <c r="P977" t="n">
        <v>0</v>
      </c>
      <c r="Q977" t="n">
        <v>0</v>
      </c>
      <c r="R977" s="2" t="inlineStr"/>
    </row>
    <row r="978" ht="15" customHeight="1">
      <c r="A978" t="inlineStr">
        <is>
          <t>A 26651-2024</t>
        </is>
      </c>
      <c r="B978" s="1" t="n">
        <v>45469.94876157407</v>
      </c>
      <c r="C978" s="1" t="n">
        <v>45912</v>
      </c>
      <c r="D978" t="inlineStr">
        <is>
          <t>JÄMTLANDS LÄN</t>
        </is>
      </c>
      <c r="E978" t="inlineStr">
        <is>
          <t>RAGUNDA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40919-2024</t>
        </is>
      </c>
      <c r="B979" s="1" t="n">
        <v>45558.63575231482</v>
      </c>
      <c r="C979" s="1" t="n">
        <v>45912</v>
      </c>
      <c r="D979" t="inlineStr">
        <is>
          <t>JÄMTLANDS LÄN</t>
        </is>
      </c>
      <c r="E979" t="inlineStr">
        <is>
          <t>RAGUNDA</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3186-2025</t>
        </is>
      </c>
      <c r="B980" s="1" t="n">
        <v>45679.40362268518</v>
      </c>
      <c r="C980" s="1" t="n">
        <v>45912</v>
      </c>
      <c r="D980" t="inlineStr">
        <is>
          <t>JÄMTLANDS LÄN</t>
        </is>
      </c>
      <c r="E980" t="inlineStr">
        <is>
          <t>RAGUNDA</t>
        </is>
      </c>
      <c r="G980" t="n">
        <v>5.2</v>
      </c>
      <c r="H980" t="n">
        <v>0</v>
      </c>
      <c r="I980" t="n">
        <v>0</v>
      </c>
      <c r="J980" t="n">
        <v>0</v>
      </c>
      <c r="K980" t="n">
        <v>0</v>
      </c>
      <c r="L980" t="n">
        <v>0</v>
      </c>
      <c r="M980" t="n">
        <v>0</v>
      </c>
      <c r="N980" t="n">
        <v>0</v>
      </c>
      <c r="O980" t="n">
        <v>0</v>
      </c>
      <c r="P980" t="n">
        <v>0</v>
      </c>
      <c r="Q980" t="n">
        <v>0</v>
      </c>
      <c r="R980" s="2" t="inlineStr"/>
    </row>
    <row r="981" ht="15" customHeight="1">
      <c r="A981" t="inlineStr">
        <is>
          <t>A 465-2023</t>
        </is>
      </c>
      <c r="B981" s="1" t="n">
        <v>44929</v>
      </c>
      <c r="C981" s="1" t="n">
        <v>45912</v>
      </c>
      <c r="D981" t="inlineStr">
        <is>
          <t>JÄMTLANDS LÄN</t>
        </is>
      </c>
      <c r="E981" t="inlineStr">
        <is>
          <t>RAGUNDA</t>
        </is>
      </c>
      <c r="G981" t="n">
        <v>0.8</v>
      </c>
      <c r="H981" t="n">
        <v>0</v>
      </c>
      <c r="I981" t="n">
        <v>0</v>
      </c>
      <c r="J981" t="n">
        <v>0</v>
      </c>
      <c r="K981" t="n">
        <v>0</v>
      </c>
      <c r="L981" t="n">
        <v>0</v>
      </c>
      <c r="M981" t="n">
        <v>0</v>
      </c>
      <c r="N981" t="n">
        <v>0</v>
      </c>
      <c r="O981" t="n">
        <v>0</v>
      </c>
      <c r="P981" t="n">
        <v>0</v>
      </c>
      <c r="Q981" t="n">
        <v>0</v>
      </c>
      <c r="R981" s="2" t="inlineStr"/>
    </row>
    <row r="982" ht="15" customHeight="1">
      <c r="A982" t="inlineStr">
        <is>
          <t>A 26455-2023</t>
        </is>
      </c>
      <c r="B982" s="1" t="n">
        <v>45092</v>
      </c>
      <c r="C982" s="1" t="n">
        <v>45912</v>
      </c>
      <c r="D982" t="inlineStr">
        <is>
          <t>JÄMTLANDS LÄN</t>
        </is>
      </c>
      <c r="E982" t="inlineStr">
        <is>
          <t>RAGUNDA</t>
        </is>
      </c>
      <c r="G982" t="n">
        <v>3.8</v>
      </c>
      <c r="H982" t="n">
        <v>0</v>
      </c>
      <c r="I982" t="n">
        <v>0</v>
      </c>
      <c r="J982" t="n">
        <v>0</v>
      </c>
      <c r="K982" t="n">
        <v>0</v>
      </c>
      <c r="L982" t="n">
        <v>0</v>
      </c>
      <c r="M982" t="n">
        <v>0</v>
      </c>
      <c r="N982" t="n">
        <v>0</v>
      </c>
      <c r="O982" t="n">
        <v>0</v>
      </c>
      <c r="P982" t="n">
        <v>0</v>
      </c>
      <c r="Q982" t="n">
        <v>0</v>
      </c>
      <c r="R982" s="2" t="inlineStr"/>
    </row>
    <row r="983" ht="15" customHeight="1">
      <c r="A983" t="inlineStr">
        <is>
          <t>A 10639-2024</t>
        </is>
      </c>
      <c r="B983" s="1" t="n">
        <v>45367.67256944445</v>
      </c>
      <c r="C983" s="1" t="n">
        <v>45912</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2751-2024</t>
        </is>
      </c>
      <c r="B984" s="1" t="n">
        <v>45314</v>
      </c>
      <c r="C984" s="1" t="n">
        <v>45912</v>
      </c>
      <c r="D984" t="inlineStr">
        <is>
          <t>JÄMTLANDS LÄN</t>
        </is>
      </c>
      <c r="E984" t="inlineStr">
        <is>
          <t>RAGUNDA</t>
        </is>
      </c>
      <c r="G984" t="n">
        <v>1.8</v>
      </c>
      <c r="H984" t="n">
        <v>0</v>
      </c>
      <c r="I984" t="n">
        <v>0</v>
      </c>
      <c r="J984" t="n">
        <v>0</v>
      </c>
      <c r="K984" t="n">
        <v>0</v>
      </c>
      <c r="L984" t="n">
        <v>0</v>
      </c>
      <c r="M984" t="n">
        <v>0</v>
      </c>
      <c r="N984" t="n">
        <v>0</v>
      </c>
      <c r="O984" t="n">
        <v>0</v>
      </c>
      <c r="P984" t="n">
        <v>0</v>
      </c>
      <c r="Q984" t="n">
        <v>0</v>
      </c>
      <c r="R984" s="2" t="inlineStr"/>
    </row>
    <row r="985" ht="15" customHeight="1">
      <c r="A985" t="inlineStr">
        <is>
          <t>A 36317-2024</t>
        </is>
      </c>
      <c r="B985" s="1" t="n">
        <v>45534.63537037037</v>
      </c>
      <c r="C985" s="1" t="n">
        <v>45912</v>
      </c>
      <c r="D985" t="inlineStr">
        <is>
          <t>JÄMTLANDS LÄN</t>
        </is>
      </c>
      <c r="E985" t="inlineStr">
        <is>
          <t>RAGUNDA</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18614-2024</t>
        </is>
      </c>
      <c r="B986" s="1" t="n">
        <v>45425.96263888889</v>
      </c>
      <c r="C986" s="1" t="n">
        <v>45912</v>
      </c>
      <c r="D986" t="inlineStr">
        <is>
          <t>JÄMTLANDS LÄN</t>
        </is>
      </c>
      <c r="E986" t="inlineStr">
        <is>
          <t>RAGUNDA</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61197-2023</t>
        </is>
      </c>
      <c r="B987" s="1" t="n">
        <v>45260</v>
      </c>
      <c r="C987" s="1" t="n">
        <v>45912</v>
      </c>
      <c r="D987" t="inlineStr">
        <is>
          <t>JÄMTLANDS LÄN</t>
        </is>
      </c>
      <c r="E987" t="inlineStr">
        <is>
          <t>RAGUNDA</t>
        </is>
      </c>
      <c r="G987" t="n">
        <v>2.5</v>
      </c>
      <c r="H987" t="n">
        <v>0</v>
      </c>
      <c r="I987" t="n">
        <v>0</v>
      </c>
      <c r="J987" t="n">
        <v>0</v>
      </c>
      <c r="K987" t="n">
        <v>0</v>
      </c>
      <c r="L987" t="n">
        <v>0</v>
      </c>
      <c r="M987" t="n">
        <v>0</v>
      </c>
      <c r="N987" t="n">
        <v>0</v>
      </c>
      <c r="O987" t="n">
        <v>0</v>
      </c>
      <c r="P987" t="n">
        <v>0</v>
      </c>
      <c r="Q987" t="n">
        <v>0</v>
      </c>
      <c r="R987" s="2" t="inlineStr"/>
    </row>
    <row r="988" ht="15" customHeight="1">
      <c r="A988" t="inlineStr">
        <is>
          <t>A 13263-2025</t>
        </is>
      </c>
      <c r="B988" s="1" t="n">
        <v>45735.53177083333</v>
      </c>
      <c r="C988" s="1" t="n">
        <v>45912</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48066-2022</t>
        </is>
      </c>
      <c r="B989" s="1" t="n">
        <v>44855</v>
      </c>
      <c r="C989" s="1" t="n">
        <v>45912</v>
      </c>
      <c r="D989" t="inlineStr">
        <is>
          <t>JÄMTLANDS LÄN</t>
        </is>
      </c>
      <c r="E989" t="inlineStr">
        <is>
          <t>RAGUNDA</t>
        </is>
      </c>
      <c r="F989" t="inlineStr">
        <is>
          <t>SCA</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8787-2022</t>
        </is>
      </c>
      <c r="B990" s="1" t="n">
        <v>44614</v>
      </c>
      <c r="C990" s="1" t="n">
        <v>45912</v>
      </c>
      <c r="D990" t="inlineStr">
        <is>
          <t>JÄMTLANDS LÄN</t>
        </is>
      </c>
      <c r="E990" t="inlineStr">
        <is>
          <t>RAGUNDA</t>
        </is>
      </c>
      <c r="G990" t="n">
        <v>6.4</v>
      </c>
      <c r="H990" t="n">
        <v>0</v>
      </c>
      <c r="I990" t="n">
        <v>0</v>
      </c>
      <c r="J990" t="n">
        <v>0</v>
      </c>
      <c r="K990" t="n">
        <v>0</v>
      </c>
      <c r="L990" t="n">
        <v>0</v>
      </c>
      <c r="M990" t="n">
        <v>0</v>
      </c>
      <c r="N990" t="n">
        <v>0</v>
      </c>
      <c r="O990" t="n">
        <v>0</v>
      </c>
      <c r="P990" t="n">
        <v>0</v>
      </c>
      <c r="Q990" t="n">
        <v>0</v>
      </c>
      <c r="R990" s="2" t="inlineStr"/>
    </row>
    <row r="991" ht="15" customHeight="1">
      <c r="A991" t="inlineStr">
        <is>
          <t>A 64415-2023</t>
        </is>
      </c>
      <c r="B991" s="1" t="n">
        <v>45280</v>
      </c>
      <c r="C991" s="1" t="n">
        <v>45912</v>
      </c>
      <c r="D991" t="inlineStr">
        <is>
          <t>JÄMTLANDS LÄN</t>
        </is>
      </c>
      <c r="E991" t="inlineStr">
        <is>
          <t>RAGUNDA</t>
        </is>
      </c>
      <c r="G991" t="n">
        <v>5.1</v>
      </c>
      <c r="H991" t="n">
        <v>0</v>
      </c>
      <c r="I991" t="n">
        <v>0</v>
      </c>
      <c r="J991" t="n">
        <v>0</v>
      </c>
      <c r="K991" t="n">
        <v>0</v>
      </c>
      <c r="L991" t="n">
        <v>0</v>
      </c>
      <c r="M991" t="n">
        <v>0</v>
      </c>
      <c r="N991" t="n">
        <v>0</v>
      </c>
      <c r="O991" t="n">
        <v>0</v>
      </c>
      <c r="P991" t="n">
        <v>0</v>
      </c>
      <c r="Q991" t="n">
        <v>0</v>
      </c>
      <c r="R991" s="2" t="inlineStr"/>
    </row>
    <row r="992" ht="15" customHeight="1">
      <c r="A992" t="inlineStr">
        <is>
          <t>A 5967-2021</t>
        </is>
      </c>
      <c r="B992" s="1" t="n">
        <v>44231</v>
      </c>
      <c r="C992" s="1" t="n">
        <v>45912</v>
      </c>
      <c r="D992" t="inlineStr">
        <is>
          <t>JÄMTLANDS LÄN</t>
        </is>
      </c>
      <c r="E992" t="inlineStr">
        <is>
          <t>RAGUNDA</t>
        </is>
      </c>
      <c r="G992" t="n">
        <v>3.6</v>
      </c>
      <c r="H992" t="n">
        <v>0</v>
      </c>
      <c r="I992" t="n">
        <v>0</v>
      </c>
      <c r="J992" t="n">
        <v>0</v>
      </c>
      <c r="K992" t="n">
        <v>0</v>
      </c>
      <c r="L992" t="n">
        <v>0</v>
      </c>
      <c r="M992" t="n">
        <v>0</v>
      </c>
      <c r="N992" t="n">
        <v>0</v>
      </c>
      <c r="O992" t="n">
        <v>0</v>
      </c>
      <c r="P992" t="n">
        <v>0</v>
      </c>
      <c r="Q992" t="n">
        <v>0</v>
      </c>
      <c r="R992" s="2" t="inlineStr"/>
    </row>
    <row r="993" ht="15" customHeight="1">
      <c r="A993" t="inlineStr">
        <is>
          <t>A 50431-2024</t>
        </is>
      </c>
      <c r="B993" s="1" t="n">
        <v>45601.40686342592</v>
      </c>
      <c r="C993" s="1" t="n">
        <v>45912</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60225-2022</t>
        </is>
      </c>
      <c r="B994" s="1" t="n">
        <v>44903</v>
      </c>
      <c r="C994" s="1" t="n">
        <v>45912</v>
      </c>
      <c r="D994" t="inlineStr">
        <is>
          <t>JÄMTLANDS LÄN</t>
        </is>
      </c>
      <c r="E994" t="inlineStr">
        <is>
          <t>RAGUNDA</t>
        </is>
      </c>
      <c r="G994" t="n">
        <v>1</v>
      </c>
      <c r="H994" t="n">
        <v>0</v>
      </c>
      <c r="I994" t="n">
        <v>0</v>
      </c>
      <c r="J994" t="n">
        <v>0</v>
      </c>
      <c r="K994" t="n">
        <v>0</v>
      </c>
      <c r="L994" t="n">
        <v>0</v>
      </c>
      <c r="M994" t="n">
        <v>0</v>
      </c>
      <c r="N994" t="n">
        <v>0</v>
      </c>
      <c r="O994" t="n">
        <v>0</v>
      </c>
      <c r="P994" t="n">
        <v>0</v>
      </c>
      <c r="Q994" t="n">
        <v>0</v>
      </c>
      <c r="R994" s="2" t="inlineStr"/>
    </row>
    <row r="995" ht="15" customHeight="1">
      <c r="A995" t="inlineStr">
        <is>
          <t>A 54092-2024</t>
        </is>
      </c>
      <c r="B995" s="1" t="n">
        <v>45616.5108912037</v>
      </c>
      <c r="C995" s="1" t="n">
        <v>45912</v>
      </c>
      <c r="D995" t="inlineStr">
        <is>
          <t>JÄMTLANDS LÄN</t>
        </is>
      </c>
      <c r="E995" t="inlineStr">
        <is>
          <t>RAGUNDA</t>
        </is>
      </c>
      <c r="F995" t="inlineStr">
        <is>
          <t>Naturvårdsverket</t>
        </is>
      </c>
      <c r="G995" t="n">
        <v>1.3</v>
      </c>
      <c r="H995" t="n">
        <v>0</v>
      </c>
      <c r="I995" t="n">
        <v>0</v>
      </c>
      <c r="J995" t="n">
        <v>0</v>
      </c>
      <c r="K995" t="n">
        <v>0</v>
      </c>
      <c r="L995" t="n">
        <v>0</v>
      </c>
      <c r="M995" t="n">
        <v>0</v>
      </c>
      <c r="N995" t="n">
        <v>0</v>
      </c>
      <c r="O995" t="n">
        <v>0</v>
      </c>
      <c r="P995" t="n">
        <v>0</v>
      </c>
      <c r="Q995" t="n">
        <v>0</v>
      </c>
      <c r="R995" s="2" t="inlineStr"/>
    </row>
    <row r="996" ht="15" customHeight="1">
      <c r="A996" t="inlineStr">
        <is>
          <t>A 42393-2025</t>
        </is>
      </c>
      <c r="B996" s="1" t="n">
        <v>45905</v>
      </c>
      <c r="C996" s="1" t="n">
        <v>45912</v>
      </c>
      <c r="D996" t="inlineStr">
        <is>
          <t>JÄMTLANDS LÄN</t>
        </is>
      </c>
      <c r="E996" t="inlineStr">
        <is>
          <t>RAGUNDA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42776-2025</t>
        </is>
      </c>
      <c r="B997" s="1" t="n">
        <v>45908.48993055556</v>
      </c>
      <c r="C997" s="1" t="n">
        <v>45912</v>
      </c>
      <c r="D997" t="inlineStr">
        <is>
          <t>JÄMTLANDS LÄN</t>
        </is>
      </c>
      <c r="E997" t="inlineStr">
        <is>
          <t>RAGUNDA</t>
        </is>
      </c>
      <c r="G997" t="n">
        <v>11.6</v>
      </c>
      <c r="H997" t="n">
        <v>0</v>
      </c>
      <c r="I997" t="n">
        <v>0</v>
      </c>
      <c r="J997" t="n">
        <v>0</v>
      </c>
      <c r="K997" t="n">
        <v>0</v>
      </c>
      <c r="L997" t="n">
        <v>0</v>
      </c>
      <c r="M997" t="n">
        <v>0</v>
      </c>
      <c r="N997" t="n">
        <v>0</v>
      </c>
      <c r="O997" t="n">
        <v>0</v>
      </c>
      <c r="P997" t="n">
        <v>0</v>
      </c>
      <c r="Q997" t="n">
        <v>0</v>
      </c>
      <c r="R997" s="2" t="inlineStr"/>
    </row>
    <row r="998" ht="15" customHeight="1">
      <c r="A998" t="inlineStr">
        <is>
          <t>A 15864-2024</t>
        </is>
      </c>
      <c r="B998" s="1" t="n">
        <v>45404.99792824074</v>
      </c>
      <c r="C998" s="1" t="n">
        <v>45912</v>
      </c>
      <c r="D998" t="inlineStr">
        <is>
          <t>JÄMTLANDS LÄN</t>
        </is>
      </c>
      <c r="E998" t="inlineStr">
        <is>
          <t>RAGUNDA</t>
        </is>
      </c>
      <c r="F998" t="inlineStr">
        <is>
          <t>SCA</t>
        </is>
      </c>
      <c r="G998" t="n">
        <v>1.1</v>
      </c>
      <c r="H998" t="n">
        <v>0</v>
      </c>
      <c r="I998" t="n">
        <v>0</v>
      </c>
      <c r="J998" t="n">
        <v>0</v>
      </c>
      <c r="K998" t="n">
        <v>0</v>
      </c>
      <c r="L998" t="n">
        <v>0</v>
      </c>
      <c r="M998" t="n">
        <v>0</v>
      </c>
      <c r="N998" t="n">
        <v>0</v>
      </c>
      <c r="O998" t="n">
        <v>0</v>
      </c>
      <c r="P998" t="n">
        <v>0</v>
      </c>
      <c r="Q998" t="n">
        <v>0</v>
      </c>
      <c r="R998" s="2" t="inlineStr"/>
      <c r="U998">
        <f>HYPERLINK("https://klasma.github.io/Logging_2303/knärot/A 15864-2024 karta knärot.png", "A 15864-2024")</f>
        <v/>
      </c>
      <c r="V998">
        <f>HYPERLINK("https://klasma.github.io/Logging_2303/klagomål/A 15864-2024 FSC-klagomål.docx", "A 15864-2024")</f>
        <v/>
      </c>
      <c r="W998">
        <f>HYPERLINK("https://klasma.github.io/Logging_2303/klagomålsmail/A 15864-2024 FSC-klagomål mail.docx", "A 15864-2024")</f>
        <v/>
      </c>
      <c r="X998">
        <f>HYPERLINK("https://klasma.github.io/Logging_2303/tillsyn/A 15864-2024 tillsynsbegäran.docx", "A 15864-2024")</f>
        <v/>
      </c>
      <c r="Y998">
        <f>HYPERLINK("https://klasma.github.io/Logging_2303/tillsynsmail/A 15864-2024 tillsynsbegäran mail.docx", "A 15864-2024")</f>
        <v/>
      </c>
    </row>
    <row r="999" ht="15" customHeight="1">
      <c r="A999" t="inlineStr">
        <is>
          <t>A 60936-2024</t>
        </is>
      </c>
      <c r="B999" s="1" t="n">
        <v>45645.36743055555</v>
      </c>
      <c r="C999" s="1" t="n">
        <v>45912</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57749-2024</t>
        </is>
      </c>
      <c r="B1000" s="1" t="n">
        <v>45630.7862037037</v>
      </c>
      <c r="C1000" s="1" t="n">
        <v>45912</v>
      </c>
      <c r="D1000" t="inlineStr">
        <is>
          <t>JÄMTLANDS LÄN</t>
        </is>
      </c>
      <c r="E1000" t="inlineStr">
        <is>
          <t>RAGUNDA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24280-2021</t>
        </is>
      </c>
      <c r="B1001" s="1" t="n">
        <v>44336</v>
      </c>
      <c r="C1001" s="1" t="n">
        <v>45912</v>
      </c>
      <c r="D1001" t="inlineStr">
        <is>
          <t>JÄMTLANDS LÄN</t>
        </is>
      </c>
      <c r="E1001" t="inlineStr">
        <is>
          <t>RAGUNDA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4212-2024</t>
        </is>
      </c>
      <c r="B1002" s="1" t="n">
        <v>45324</v>
      </c>
      <c r="C1002" s="1" t="n">
        <v>45912</v>
      </c>
      <c r="D1002" t="inlineStr">
        <is>
          <t>JÄMTLANDS LÄN</t>
        </is>
      </c>
      <c r="E1002" t="inlineStr">
        <is>
          <t>RAGUNDA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8886-2024</t>
        </is>
      </c>
      <c r="B1003" s="1" t="n">
        <v>45357.05300925926</v>
      </c>
      <c r="C1003" s="1" t="n">
        <v>45912</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9262-2025</t>
        </is>
      </c>
      <c r="B1004" s="1" t="n">
        <v>45714.60649305556</v>
      </c>
      <c r="C1004" s="1" t="n">
        <v>45912</v>
      </c>
      <c r="D1004" t="inlineStr">
        <is>
          <t>JÄMTLANDS LÄN</t>
        </is>
      </c>
      <c r="E1004" t="inlineStr">
        <is>
          <t>RAGUNDA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28596-2021</t>
        </is>
      </c>
      <c r="B1005" s="1" t="n">
        <v>44356</v>
      </c>
      <c r="C1005" s="1" t="n">
        <v>45912</v>
      </c>
      <c r="D1005" t="inlineStr">
        <is>
          <t>JÄMTLANDS LÄN</t>
        </is>
      </c>
      <c r="E1005" t="inlineStr">
        <is>
          <t>RAGUNDA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11058-2025</t>
        </is>
      </c>
      <c r="B1006" s="1" t="n">
        <v>45723.51079861111</v>
      </c>
      <c r="C1006" s="1" t="n">
        <v>45912</v>
      </c>
      <c r="D1006" t="inlineStr">
        <is>
          <t>JÄMTLANDS LÄN</t>
        </is>
      </c>
      <c r="E1006" t="inlineStr">
        <is>
          <t>RAGUNDA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43330-2025</t>
        </is>
      </c>
      <c r="B1007" s="1" t="n">
        <v>45910.67766203704</v>
      </c>
      <c r="C1007" s="1" t="n">
        <v>45912</v>
      </c>
      <c r="D1007" t="inlineStr">
        <is>
          <t>JÄMTLANDS LÄN</t>
        </is>
      </c>
      <c r="E1007" t="inlineStr">
        <is>
          <t>RAGUNDA</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36541-2025</t>
        </is>
      </c>
      <c r="B1008" s="1" t="n">
        <v>45869.65666666667</v>
      </c>
      <c r="C1008" s="1" t="n">
        <v>45912</v>
      </c>
      <c r="D1008" t="inlineStr">
        <is>
          <t>JÄMTLANDS LÄN</t>
        </is>
      </c>
      <c r="E1008" t="inlineStr">
        <is>
          <t>RAGUNDA</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36544-2025</t>
        </is>
      </c>
      <c r="B1009" s="1" t="n">
        <v>45869.67744212963</v>
      </c>
      <c r="C1009" s="1" t="n">
        <v>45912</v>
      </c>
      <c r="D1009" t="inlineStr">
        <is>
          <t>JÄMTLANDS LÄN</t>
        </is>
      </c>
      <c r="E1009" t="inlineStr">
        <is>
          <t>RAGUNDA</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38664-2022</t>
        </is>
      </c>
      <c r="B1010" s="1" t="n">
        <v>44813</v>
      </c>
      <c r="C1010" s="1" t="n">
        <v>45912</v>
      </c>
      <c r="D1010" t="inlineStr">
        <is>
          <t>JÄMTLANDS LÄN</t>
        </is>
      </c>
      <c r="E1010" t="inlineStr">
        <is>
          <t>RAGUNDA</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60012-2023</t>
        </is>
      </c>
      <c r="B1011" s="1" t="n">
        <v>45257</v>
      </c>
      <c r="C1011" s="1" t="n">
        <v>45912</v>
      </c>
      <c r="D1011" t="inlineStr">
        <is>
          <t>JÄMTLANDS LÄN</t>
        </is>
      </c>
      <c r="E1011" t="inlineStr">
        <is>
          <t>RAGUNDA</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24441-2024</t>
        </is>
      </c>
      <c r="B1012" s="1" t="n">
        <v>45457.96372685185</v>
      </c>
      <c r="C1012" s="1" t="n">
        <v>45912</v>
      </c>
      <c r="D1012" t="inlineStr">
        <is>
          <t>JÄMTLANDS LÄN</t>
        </is>
      </c>
      <c r="E1012" t="inlineStr">
        <is>
          <t>RAGUNDA</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53676-2022</t>
        </is>
      </c>
      <c r="B1013" s="1" t="n">
        <v>44879</v>
      </c>
      <c r="C1013" s="1" t="n">
        <v>45912</v>
      </c>
      <c r="D1013" t="inlineStr">
        <is>
          <t>JÄMTLANDS LÄN</t>
        </is>
      </c>
      <c r="E1013" t="inlineStr">
        <is>
          <t>RAGUNDA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40801-2023</t>
        </is>
      </c>
      <c r="B1014" s="1" t="n">
        <v>45170</v>
      </c>
      <c r="C1014" s="1" t="n">
        <v>45912</v>
      </c>
      <c r="D1014" t="inlineStr">
        <is>
          <t>JÄMTLANDS LÄN</t>
        </is>
      </c>
      <c r="E1014" t="inlineStr">
        <is>
          <t>RAGUNDA</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43177-2025</t>
        </is>
      </c>
      <c r="B1015" s="1" t="n">
        <v>45910.40667824074</v>
      </c>
      <c r="C1015" s="1" t="n">
        <v>45912</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43181-2025</t>
        </is>
      </c>
      <c r="B1016" s="1" t="n">
        <v>45910.40721064815</v>
      </c>
      <c r="C1016" s="1" t="n">
        <v>45912</v>
      </c>
      <c r="D1016" t="inlineStr">
        <is>
          <t>JÄMTLANDS LÄN</t>
        </is>
      </c>
      <c r="E1016" t="inlineStr">
        <is>
          <t>RAGUNDA</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48065-2023</t>
        </is>
      </c>
      <c r="B1017" s="1" t="n">
        <v>45204.94399305555</v>
      </c>
      <c r="C1017" s="1" t="n">
        <v>45912</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56504-2024</t>
        </is>
      </c>
      <c r="B1018" s="1" t="n">
        <v>45625.51068287037</v>
      </c>
      <c r="C1018" s="1" t="n">
        <v>45912</v>
      </c>
      <c r="D1018" t="inlineStr">
        <is>
          <t>JÄMTLANDS LÄN</t>
        </is>
      </c>
      <c r="E1018" t="inlineStr">
        <is>
          <t>RAGUNDA</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934-2023</t>
        </is>
      </c>
      <c r="B1019" s="1" t="n">
        <v>44932.93927083333</v>
      </c>
      <c r="C1019" s="1" t="n">
        <v>45912</v>
      </c>
      <c r="D1019" t="inlineStr">
        <is>
          <t>JÄMTLANDS LÄN</t>
        </is>
      </c>
      <c r="E1019" t="inlineStr">
        <is>
          <t>RAGUNDA</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36106-2022</t>
        </is>
      </c>
      <c r="B1020" s="1" t="n">
        <v>44802.94811342593</v>
      </c>
      <c r="C1020" s="1" t="n">
        <v>45912</v>
      </c>
      <c r="D1020" t="inlineStr">
        <is>
          <t>JÄMTLANDS LÄN</t>
        </is>
      </c>
      <c r="E1020" t="inlineStr">
        <is>
          <t>RAGUNDA</t>
        </is>
      </c>
      <c r="F1020" t="inlineStr">
        <is>
          <t>SCA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57839-2022</t>
        </is>
      </c>
      <c r="B1021" s="1" t="n">
        <v>44897</v>
      </c>
      <c r="C1021" s="1" t="n">
        <v>45912</v>
      </c>
      <c r="D1021" t="inlineStr">
        <is>
          <t>JÄMTLANDS LÄN</t>
        </is>
      </c>
      <c r="E1021" t="inlineStr">
        <is>
          <t>RAGUNDA</t>
        </is>
      </c>
      <c r="F1021" t="inlineStr">
        <is>
          <t>SCA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41693-2023</t>
        </is>
      </c>
      <c r="B1022" s="1" t="n">
        <v>45176</v>
      </c>
      <c r="C1022" s="1" t="n">
        <v>45912</v>
      </c>
      <c r="D1022" t="inlineStr">
        <is>
          <t>JÄMTLANDS LÄN</t>
        </is>
      </c>
      <c r="E1022" t="inlineStr">
        <is>
          <t>RAGUNDA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4592-2024</t>
        </is>
      </c>
      <c r="B1023" s="1" t="n">
        <v>45327.94443287037</v>
      </c>
      <c r="C1023" s="1" t="n">
        <v>45912</v>
      </c>
      <c r="D1023" t="inlineStr">
        <is>
          <t>JÄMTLANDS LÄN</t>
        </is>
      </c>
      <c r="E1023" t="inlineStr">
        <is>
          <t>RAGUNDA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60195-2023</t>
        </is>
      </c>
      <c r="B1024" s="1" t="n">
        <v>45257</v>
      </c>
      <c r="C1024" s="1" t="n">
        <v>45912</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22981-2023</t>
        </is>
      </c>
      <c r="B1025" s="1" t="n">
        <v>45072.92737268518</v>
      </c>
      <c r="C1025" s="1" t="n">
        <v>45912</v>
      </c>
      <c r="D1025" t="inlineStr">
        <is>
          <t>JÄMTLANDS LÄN</t>
        </is>
      </c>
      <c r="E1025" t="inlineStr">
        <is>
          <t>RAGUNDA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53678-2022</t>
        </is>
      </c>
      <c r="B1026" s="1" t="n">
        <v>44879.95768518518</v>
      </c>
      <c r="C1026" s="1" t="n">
        <v>45912</v>
      </c>
      <c r="D1026" t="inlineStr">
        <is>
          <t>JÄMTLANDS LÄN</t>
        </is>
      </c>
      <c r="E1026" t="inlineStr">
        <is>
          <t>RAGUNDA</t>
        </is>
      </c>
      <c r="F1026" t="inlineStr">
        <is>
          <t>Sveaskog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26942-2021</t>
        </is>
      </c>
      <c r="B1027" s="1" t="n">
        <v>44349.91978009259</v>
      </c>
      <c r="C1027" s="1" t="n">
        <v>45912</v>
      </c>
      <c r="D1027" t="inlineStr">
        <is>
          <t>JÄMTLANDS LÄN</t>
        </is>
      </c>
      <c r="E1027" t="inlineStr">
        <is>
          <t>RAGUNDA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46546-2023</t>
        </is>
      </c>
      <c r="B1028" s="1" t="n">
        <v>45197.94152777778</v>
      </c>
      <c r="C1028" s="1" t="n">
        <v>45912</v>
      </c>
      <c r="D1028" t="inlineStr">
        <is>
          <t>JÄMTLANDS LÄN</t>
        </is>
      </c>
      <c r="E1028" t="inlineStr">
        <is>
          <t>RAGUNDA</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19865-2023</t>
        </is>
      </c>
      <c r="B1029" s="1" t="n">
        <v>45053.94305555556</v>
      </c>
      <c r="C1029" s="1" t="n">
        <v>45912</v>
      </c>
      <c r="D1029" t="inlineStr">
        <is>
          <t>JÄMTLANDS LÄN</t>
        </is>
      </c>
      <c r="E1029" t="inlineStr">
        <is>
          <t>RAGUNDA</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23305-2023</t>
        </is>
      </c>
      <c r="B1030" s="1" t="n">
        <v>45075.94506944445</v>
      </c>
      <c r="C1030" s="1" t="n">
        <v>45912</v>
      </c>
      <c r="D1030" t="inlineStr">
        <is>
          <t>JÄMTLANDS LÄN</t>
        </is>
      </c>
      <c r="E1030" t="inlineStr">
        <is>
          <t>RAGUNDA</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18194-2025</t>
        </is>
      </c>
      <c r="B1031" s="1" t="n">
        <v>45761.67744212963</v>
      </c>
      <c r="C1031" s="1" t="n">
        <v>45912</v>
      </c>
      <c r="D1031" t="inlineStr">
        <is>
          <t>JÄMTLANDS LÄN</t>
        </is>
      </c>
      <c r="E1031" t="inlineStr">
        <is>
          <t>RAGUNDA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18225-2024</t>
        </is>
      </c>
      <c r="B1032" s="1" t="n">
        <v>45420</v>
      </c>
      <c r="C1032" s="1" t="n">
        <v>45912</v>
      </c>
      <c r="D1032" t="inlineStr">
        <is>
          <t>JÄMTLANDS LÄN</t>
        </is>
      </c>
      <c r="E1032" t="inlineStr">
        <is>
          <t>RAGUNDA</t>
        </is>
      </c>
      <c r="F1032" t="inlineStr">
        <is>
          <t>SCA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54764-2024</t>
        </is>
      </c>
      <c r="B1033" s="1" t="n">
        <v>45618.46921296296</v>
      </c>
      <c r="C1033" s="1" t="n">
        <v>45912</v>
      </c>
      <c r="D1033" t="inlineStr">
        <is>
          <t>JÄMTLANDS LÄN</t>
        </is>
      </c>
      <c r="E1033" t="inlineStr">
        <is>
          <t>RAGUNDA</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32904-2024</t>
        </is>
      </c>
      <c r="B1034" s="1" t="n">
        <v>45516.94732638889</v>
      </c>
      <c r="C1034" s="1" t="n">
        <v>45912</v>
      </c>
      <c r="D1034" t="inlineStr">
        <is>
          <t>JÄMTLANDS LÄN</t>
        </is>
      </c>
      <c r="E1034" t="inlineStr">
        <is>
          <t>RAGUNDA</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12976-2025</t>
        </is>
      </c>
      <c r="B1035" s="1" t="n">
        <v>45734.45268518518</v>
      </c>
      <c r="C1035" s="1" t="n">
        <v>45912</v>
      </c>
      <c r="D1035" t="inlineStr">
        <is>
          <t>JÄMTLANDS LÄN</t>
        </is>
      </c>
      <c r="E1035" t="inlineStr">
        <is>
          <t>RAGUNDA</t>
        </is>
      </c>
      <c r="G1035" t="n">
        <v>24.2</v>
      </c>
      <c r="H1035" t="n">
        <v>0</v>
      </c>
      <c r="I1035" t="n">
        <v>0</v>
      </c>
      <c r="J1035" t="n">
        <v>0</v>
      </c>
      <c r="K1035" t="n">
        <v>0</v>
      </c>
      <c r="L1035" t="n">
        <v>0</v>
      </c>
      <c r="M1035" t="n">
        <v>0</v>
      </c>
      <c r="N1035" t="n">
        <v>0</v>
      </c>
      <c r="O1035" t="n">
        <v>0</v>
      </c>
      <c r="P1035" t="n">
        <v>0</v>
      </c>
      <c r="Q1035" t="n">
        <v>0</v>
      </c>
      <c r="R1035" s="2" t="inlineStr"/>
    </row>
    <row r="1036" ht="15" customHeight="1">
      <c r="A1036" t="inlineStr">
        <is>
          <t>A 59286-2023</t>
        </is>
      </c>
      <c r="B1036" s="1" t="n">
        <v>45253</v>
      </c>
      <c r="C1036" s="1" t="n">
        <v>45912</v>
      </c>
      <c r="D1036" t="inlineStr">
        <is>
          <t>JÄMTLANDS LÄN</t>
        </is>
      </c>
      <c r="E1036" t="inlineStr">
        <is>
          <t>RAGUNDA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15672-2021</t>
        </is>
      </c>
      <c r="B1037" s="1" t="n">
        <v>44286</v>
      </c>
      <c r="C1037" s="1" t="n">
        <v>45912</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6688-2024</t>
        </is>
      </c>
      <c r="B1038" s="1" t="n">
        <v>45341</v>
      </c>
      <c r="C1038" s="1" t="n">
        <v>45912</v>
      </c>
      <c r="D1038" t="inlineStr">
        <is>
          <t>JÄMTLANDS LÄN</t>
        </is>
      </c>
      <c r="E1038" t="inlineStr">
        <is>
          <t>RAGUNDA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564-2025</t>
        </is>
      </c>
      <c r="B1039" s="1" t="n">
        <v>45664.55241898148</v>
      </c>
      <c r="C1039" s="1" t="n">
        <v>45912</v>
      </c>
      <c r="D1039" t="inlineStr">
        <is>
          <t>JÄMTLANDS LÄN</t>
        </is>
      </c>
      <c r="E1039" t="inlineStr">
        <is>
          <t>RAGUNDA</t>
        </is>
      </c>
      <c r="F1039" t="inlineStr">
        <is>
          <t>SCA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61088-2020</t>
        </is>
      </c>
      <c r="B1040" s="1" t="n">
        <v>44153</v>
      </c>
      <c r="C1040" s="1" t="n">
        <v>45912</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50650-2023</t>
        </is>
      </c>
      <c r="B1041" s="1" t="n">
        <v>45210</v>
      </c>
      <c r="C1041" s="1" t="n">
        <v>45912</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50555-2024</t>
        </is>
      </c>
      <c r="B1042" s="1" t="n">
        <v>45601.59518518519</v>
      </c>
      <c r="C1042" s="1" t="n">
        <v>45912</v>
      </c>
      <c r="D1042" t="inlineStr">
        <is>
          <t>JÄMTLANDS LÄN</t>
        </is>
      </c>
      <c r="E1042" t="inlineStr">
        <is>
          <t>RAGUNDA</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41344-2024</t>
        </is>
      </c>
      <c r="B1043" s="1" t="n">
        <v>45559.67759259259</v>
      </c>
      <c r="C1043" s="1" t="n">
        <v>45912</v>
      </c>
      <c r="D1043" t="inlineStr">
        <is>
          <t>JÄMTLANDS LÄN</t>
        </is>
      </c>
      <c r="E1043" t="inlineStr">
        <is>
          <t>RAGUNDA</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59658-2023</t>
        </is>
      </c>
      <c r="B1044" s="1" t="n">
        <v>45254.96402777778</v>
      </c>
      <c r="C1044" s="1" t="n">
        <v>45912</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49649-2024</t>
        </is>
      </c>
      <c r="B1045" s="1" t="n">
        <v>45596.61553240741</v>
      </c>
      <c r="C1045" s="1" t="n">
        <v>45912</v>
      </c>
      <c r="D1045" t="inlineStr">
        <is>
          <t>JÄMTLANDS LÄN</t>
        </is>
      </c>
      <c r="E1045" t="inlineStr">
        <is>
          <t>RAGUNDA</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2831-2024</t>
        </is>
      </c>
      <c r="B1046" s="1" t="n">
        <v>45314.92758101852</v>
      </c>
      <c r="C1046" s="1" t="n">
        <v>45912</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59670-2023</t>
        </is>
      </c>
      <c r="B1047" s="1" t="n">
        <v>45254.96516203704</v>
      </c>
      <c r="C1047" s="1" t="n">
        <v>45912</v>
      </c>
      <c r="D1047" t="inlineStr">
        <is>
          <t>JÄMTLANDS LÄN</t>
        </is>
      </c>
      <c r="E1047" t="inlineStr">
        <is>
          <t>RAGUNDA</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12024-2022</t>
        </is>
      </c>
      <c r="B1048" s="1" t="n">
        <v>44635</v>
      </c>
      <c r="C1048" s="1" t="n">
        <v>45912</v>
      </c>
      <c r="D1048" t="inlineStr">
        <is>
          <t>JÄMTLANDS LÄN</t>
        </is>
      </c>
      <c r="E1048" t="inlineStr">
        <is>
          <t>RAGUNDA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53740-2024</t>
        </is>
      </c>
      <c r="B1049" s="1" t="n">
        <v>45615.47091435185</v>
      </c>
      <c r="C1049" s="1" t="n">
        <v>45912</v>
      </c>
      <c r="D1049" t="inlineStr">
        <is>
          <t>JÄMTLANDS LÄN</t>
        </is>
      </c>
      <c r="E1049" t="inlineStr">
        <is>
          <t>RAGUNDA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59372-2024</t>
        </is>
      </c>
      <c r="B1050" s="1" t="n">
        <v>45638.34431712963</v>
      </c>
      <c r="C1050" s="1" t="n">
        <v>45912</v>
      </c>
      <c r="D1050" t="inlineStr">
        <is>
          <t>JÄMTLANDS LÄN</t>
        </is>
      </c>
      <c r="E1050" t="inlineStr">
        <is>
          <t>RAGUNDA</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55508-2024</t>
        </is>
      </c>
      <c r="B1051" s="1" t="n">
        <v>45622.46200231482</v>
      </c>
      <c r="C1051" s="1" t="n">
        <v>45912</v>
      </c>
      <c r="D1051" t="inlineStr">
        <is>
          <t>JÄMTLANDS LÄN</t>
        </is>
      </c>
      <c r="E1051" t="inlineStr">
        <is>
          <t>RAGUNDA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59492-2024</t>
        </is>
      </c>
      <c r="B1052" s="1" t="n">
        <v>45638</v>
      </c>
      <c r="C1052" s="1" t="n">
        <v>45912</v>
      </c>
      <c r="D1052" t="inlineStr">
        <is>
          <t>JÄMTLANDS LÄN</t>
        </is>
      </c>
      <c r="E1052" t="inlineStr">
        <is>
          <t>RAGUNDA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20772-2024</t>
        </is>
      </c>
      <c r="B1053" s="1" t="n">
        <v>45436.94628472222</v>
      </c>
      <c r="C1053" s="1" t="n">
        <v>45912</v>
      </c>
      <c r="D1053" t="inlineStr">
        <is>
          <t>JÄMTLANDS LÄN</t>
        </is>
      </c>
      <c r="E1053" t="inlineStr">
        <is>
          <t>RAGUNDA</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9504-2025</t>
        </is>
      </c>
      <c r="B1054" s="1" t="n">
        <v>45714</v>
      </c>
      <c r="C1054" s="1" t="n">
        <v>45912</v>
      </c>
      <c r="D1054" t="inlineStr">
        <is>
          <t>JÄMTLANDS LÄN</t>
        </is>
      </c>
      <c r="E1054" t="inlineStr">
        <is>
          <t>RAGUNDA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53757-2024</t>
        </is>
      </c>
      <c r="B1055" s="1" t="n">
        <v>45615.50034722222</v>
      </c>
      <c r="C1055" s="1" t="n">
        <v>45912</v>
      </c>
      <c r="D1055" t="inlineStr">
        <is>
          <t>JÄMTLANDS LÄN</t>
        </is>
      </c>
      <c r="E1055" t="inlineStr">
        <is>
          <t>RAGUNDA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12522-2023</t>
        </is>
      </c>
      <c r="B1056" s="1" t="n">
        <v>45000</v>
      </c>
      <c r="C1056" s="1" t="n">
        <v>45912</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12523-2023</t>
        </is>
      </c>
      <c r="B1057" s="1" t="n">
        <v>45000</v>
      </c>
      <c r="C1057" s="1" t="n">
        <v>45912</v>
      </c>
      <c r="D1057" t="inlineStr">
        <is>
          <t>JÄMTLANDS LÄN</t>
        </is>
      </c>
      <c r="E1057" t="inlineStr">
        <is>
          <t>RAGUNDA</t>
        </is>
      </c>
      <c r="F1057" t="inlineStr">
        <is>
          <t>SCA</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45912</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13905-2025</t>
        </is>
      </c>
      <c r="B1059" s="1" t="n">
        <v>45737.63574074074</v>
      </c>
      <c r="C1059" s="1" t="n">
        <v>45912</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13941-2025</t>
        </is>
      </c>
      <c r="B1060" s="1" t="n">
        <v>45737.69822916666</v>
      </c>
      <c r="C1060" s="1" t="n">
        <v>45912</v>
      </c>
      <c r="D1060" t="inlineStr">
        <is>
          <t>JÄMTLANDS LÄN</t>
        </is>
      </c>
      <c r="E1060" t="inlineStr">
        <is>
          <t>RAGUNDA</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6716-2025</t>
        </is>
      </c>
      <c r="B1061" s="1" t="n">
        <v>45700.57324074074</v>
      </c>
      <c r="C1061" s="1" t="n">
        <v>45912</v>
      </c>
      <c r="D1061" t="inlineStr">
        <is>
          <t>JÄMTLANDS LÄN</t>
        </is>
      </c>
      <c r="E1061" t="inlineStr">
        <is>
          <t>RAGUNDA</t>
        </is>
      </c>
      <c r="F1061" t="inlineStr">
        <is>
          <t>SCA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50160-2023</t>
        </is>
      </c>
      <c r="B1062" s="1" t="n">
        <v>45208</v>
      </c>
      <c r="C1062" s="1" t="n">
        <v>45912</v>
      </c>
      <c r="D1062" t="inlineStr">
        <is>
          <t>JÄMTLANDS LÄN</t>
        </is>
      </c>
      <c r="E1062" t="inlineStr">
        <is>
          <t>RAGUNDA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19866-2023</t>
        </is>
      </c>
      <c r="B1063" s="1" t="n">
        <v>45053.94313657407</v>
      </c>
      <c r="C1063" s="1" t="n">
        <v>45912</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21853-2024</t>
        </is>
      </c>
      <c r="B1064" s="1" t="n">
        <v>45442.96296296296</v>
      </c>
      <c r="C1064" s="1" t="n">
        <v>45912</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8241-2024</t>
        </is>
      </c>
      <c r="B1065" s="1" t="n">
        <v>45351.98496527778</v>
      </c>
      <c r="C1065" s="1" t="n">
        <v>45912</v>
      </c>
      <c r="D1065" t="inlineStr">
        <is>
          <t>JÄMTLANDS LÄN</t>
        </is>
      </c>
      <c r="E1065" t="inlineStr">
        <is>
          <t>RAGUNDA</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40365-2024</t>
        </is>
      </c>
      <c r="B1066" s="1" t="n">
        <v>45555.38509259259</v>
      </c>
      <c r="C1066" s="1" t="n">
        <v>45912</v>
      </c>
      <c r="D1066" t="inlineStr">
        <is>
          <t>JÄMTLANDS LÄN</t>
        </is>
      </c>
      <c r="E1066" t="inlineStr">
        <is>
          <t>RAGUNDA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20770-2024</t>
        </is>
      </c>
      <c r="B1067" s="1" t="n">
        <v>45436.94613425926</v>
      </c>
      <c r="C1067" s="1" t="n">
        <v>45912</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51245-2024</t>
        </is>
      </c>
      <c r="B1068" s="1" t="n">
        <v>45603.67850694444</v>
      </c>
      <c r="C1068" s="1" t="n">
        <v>45912</v>
      </c>
      <c r="D1068" t="inlineStr">
        <is>
          <t>JÄMTLANDS LÄN</t>
        </is>
      </c>
      <c r="E1068" t="inlineStr">
        <is>
          <t>RAGUNDA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7281-2024</t>
        </is>
      </c>
      <c r="B1069" s="1" t="n">
        <v>45344</v>
      </c>
      <c r="C1069" s="1" t="n">
        <v>45912</v>
      </c>
      <c r="D1069" t="inlineStr">
        <is>
          <t>JÄMTLANDS LÄN</t>
        </is>
      </c>
      <c r="E1069" t="inlineStr">
        <is>
          <t>RAGUNDA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7284-2024</t>
        </is>
      </c>
      <c r="B1070" s="1" t="n">
        <v>45344.92865740741</v>
      </c>
      <c r="C1070" s="1" t="n">
        <v>45912</v>
      </c>
      <c r="D1070" t="inlineStr">
        <is>
          <t>JÄMTLANDS LÄN</t>
        </is>
      </c>
      <c r="E1070" t="inlineStr">
        <is>
          <t>RAGUNDA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7285-2024</t>
        </is>
      </c>
      <c r="B1071" s="1" t="n">
        <v>45344.92873842592</v>
      </c>
      <c r="C1071" s="1" t="n">
        <v>45912</v>
      </c>
      <c r="D1071" t="inlineStr">
        <is>
          <t>JÄMTLANDS LÄN</t>
        </is>
      </c>
      <c r="E1071" t="inlineStr">
        <is>
          <t>RAGUNDA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53955-2022</t>
        </is>
      </c>
      <c r="B1072" s="1" t="n">
        <v>44880.95741898148</v>
      </c>
      <c r="C1072" s="1" t="n">
        <v>45912</v>
      </c>
      <c r="D1072" t="inlineStr">
        <is>
          <t>JÄMTLANDS LÄN</t>
        </is>
      </c>
      <c r="E1072" t="inlineStr">
        <is>
          <t>RAGUNDA</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53347-2023</t>
        </is>
      </c>
      <c r="B1073" s="1" t="n">
        <v>45223</v>
      </c>
      <c r="C1073" s="1" t="n">
        <v>45912</v>
      </c>
      <c r="D1073" t="inlineStr">
        <is>
          <t>JÄMTLANDS LÄN</t>
        </is>
      </c>
      <c r="E1073" t="inlineStr">
        <is>
          <t>RAGUNDA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60838-2023</t>
        </is>
      </c>
      <c r="B1074" s="1" t="n">
        <v>45260.92561342593</v>
      </c>
      <c r="C1074" s="1" t="n">
        <v>45912</v>
      </c>
      <c r="D1074" t="inlineStr">
        <is>
          <t>JÄMTLANDS LÄN</t>
        </is>
      </c>
      <c r="E1074" t="inlineStr">
        <is>
          <t>RAGUNDA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41772-2024</t>
        </is>
      </c>
      <c r="B1075" s="1" t="n">
        <v>45561.34663194444</v>
      </c>
      <c r="C1075" s="1" t="n">
        <v>45912</v>
      </c>
      <c r="D1075" t="inlineStr">
        <is>
          <t>JÄMTLANDS LÄN</t>
        </is>
      </c>
      <c r="E1075" t="inlineStr">
        <is>
          <t>RAGUNDA</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10972-2022</t>
        </is>
      </c>
      <c r="B1076" s="1" t="n">
        <v>44628</v>
      </c>
      <c r="C1076" s="1" t="n">
        <v>45912</v>
      </c>
      <c r="D1076" t="inlineStr">
        <is>
          <t>JÄMTLANDS LÄN</t>
        </is>
      </c>
      <c r="E1076" t="inlineStr">
        <is>
          <t>RAGUNDA</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9548-2025</t>
        </is>
      </c>
      <c r="B1077" s="1" t="n">
        <v>45715.59405092592</v>
      </c>
      <c r="C1077" s="1" t="n">
        <v>45912</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11834-2023</t>
        </is>
      </c>
      <c r="B1078" s="1" t="n">
        <v>44994.94296296296</v>
      </c>
      <c r="C1078" s="1" t="n">
        <v>45912</v>
      </c>
      <c r="D1078" t="inlineStr">
        <is>
          <t>JÄMTLANDS LÄN</t>
        </is>
      </c>
      <c r="E1078" t="inlineStr">
        <is>
          <t>RAGUNDA</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53989-2024</t>
        </is>
      </c>
      <c r="B1079" s="1" t="n">
        <v>45616.34479166667</v>
      </c>
      <c r="C1079" s="1" t="n">
        <v>45912</v>
      </c>
      <c r="D1079" t="inlineStr">
        <is>
          <t>JÄMTLANDS LÄN</t>
        </is>
      </c>
      <c r="E1079" t="inlineStr">
        <is>
          <t>RAGUNDA</t>
        </is>
      </c>
      <c r="F1079" t="inlineStr">
        <is>
          <t>SCA</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17559-2023</t>
        </is>
      </c>
      <c r="B1080" s="1" t="n">
        <v>45034</v>
      </c>
      <c r="C1080" s="1" t="n">
        <v>45912</v>
      </c>
      <c r="D1080" t="inlineStr">
        <is>
          <t>JÄMTLANDS LÄN</t>
        </is>
      </c>
      <c r="E1080" t="inlineStr">
        <is>
          <t>RAGUNDA</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38312-2024</t>
        </is>
      </c>
      <c r="B1081" s="1" t="n">
        <v>45545.64957175926</v>
      </c>
      <c r="C1081" s="1" t="n">
        <v>45912</v>
      </c>
      <c r="D1081" t="inlineStr">
        <is>
          <t>JÄMTLANDS LÄN</t>
        </is>
      </c>
      <c r="E1081" t="inlineStr">
        <is>
          <t>RAGUNDA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15581-2024</t>
        </is>
      </c>
      <c r="B1082" s="1" t="n">
        <v>45401</v>
      </c>
      <c r="C1082" s="1" t="n">
        <v>45912</v>
      </c>
      <c r="D1082" t="inlineStr">
        <is>
          <t>JÄMTLANDS LÄN</t>
        </is>
      </c>
      <c r="E1082" t="inlineStr">
        <is>
          <t>RAGUNDA</t>
        </is>
      </c>
      <c r="F1082" t="inlineStr">
        <is>
          <t>Kommuner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15611-2024</t>
        </is>
      </c>
      <c r="B1083" s="1" t="n">
        <v>45401</v>
      </c>
      <c r="C1083" s="1" t="n">
        <v>45912</v>
      </c>
      <c r="D1083" t="inlineStr">
        <is>
          <t>JÄMTLANDS LÄN</t>
        </is>
      </c>
      <c r="E1083" t="inlineStr">
        <is>
          <t>RAGUNDA</t>
        </is>
      </c>
      <c r="F1083" t="inlineStr">
        <is>
          <t>SCA</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32832-2021</t>
        </is>
      </c>
      <c r="B1084" s="1" t="n">
        <v>44375</v>
      </c>
      <c r="C1084" s="1" t="n">
        <v>45912</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23528-2024</t>
        </is>
      </c>
      <c r="B1085" s="1" t="n">
        <v>45453.95016203704</v>
      </c>
      <c r="C1085" s="1" t="n">
        <v>45912</v>
      </c>
      <c r="D1085" t="inlineStr">
        <is>
          <t>JÄMTLANDS LÄN</t>
        </is>
      </c>
      <c r="E1085" t="inlineStr">
        <is>
          <t>RAGUNDA</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22011-2023</t>
        </is>
      </c>
      <c r="B1086" s="1" t="n">
        <v>45068</v>
      </c>
      <c r="C1086" s="1" t="n">
        <v>45912</v>
      </c>
      <c r="D1086" t="inlineStr">
        <is>
          <t>JÄMTLANDS LÄN</t>
        </is>
      </c>
      <c r="E1086" t="inlineStr">
        <is>
          <t>RAGUNDA</t>
        </is>
      </c>
      <c r="F1086" t="inlineStr">
        <is>
          <t>SCA</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4594-2024</t>
        </is>
      </c>
      <c r="B1087" s="1" t="n">
        <v>45327.94459490741</v>
      </c>
      <c r="C1087" s="1" t="n">
        <v>45912</v>
      </c>
      <c r="D1087" t="inlineStr">
        <is>
          <t>JÄMTLANDS LÄN</t>
        </is>
      </c>
      <c r="E1087" t="inlineStr">
        <is>
          <t>RAGUNDA</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30824-2023</t>
        </is>
      </c>
      <c r="B1088" s="1" t="n">
        <v>45112.94303240741</v>
      </c>
      <c r="C1088" s="1" t="n">
        <v>45912</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14158-2024</t>
        </is>
      </c>
      <c r="B1089" s="1" t="n">
        <v>45392</v>
      </c>
      <c r="C1089" s="1" t="n">
        <v>45912</v>
      </c>
      <c r="D1089" t="inlineStr">
        <is>
          <t>JÄMTLANDS LÄN</t>
        </is>
      </c>
      <c r="E1089" t="inlineStr">
        <is>
          <t>RAGUNDA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42508-2023</t>
        </is>
      </c>
      <c r="B1090" s="1" t="n">
        <v>45180.95907407408</v>
      </c>
      <c r="C1090" s="1" t="n">
        <v>45912</v>
      </c>
      <c r="D1090" t="inlineStr">
        <is>
          <t>JÄMTLANDS LÄN</t>
        </is>
      </c>
      <c r="E1090" t="inlineStr">
        <is>
          <t>RAGUNDA</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35274-2023</t>
        </is>
      </c>
      <c r="B1091" s="1" t="n">
        <v>45145</v>
      </c>
      <c r="C1091" s="1" t="n">
        <v>45912</v>
      </c>
      <c r="D1091" t="inlineStr">
        <is>
          <t>JÄMTLANDS LÄN</t>
        </is>
      </c>
      <c r="E1091" t="inlineStr">
        <is>
          <t>RAGUNDA</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12983-2025</t>
        </is>
      </c>
      <c r="B1092" s="1" t="n">
        <v>45734.4633912037</v>
      </c>
      <c r="C1092" s="1" t="n">
        <v>45912</v>
      </c>
      <c r="D1092" t="inlineStr">
        <is>
          <t>JÄMTLANDS LÄN</t>
        </is>
      </c>
      <c r="E1092" t="inlineStr">
        <is>
          <t>RAGUNDA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17598-2021</t>
        </is>
      </c>
      <c r="B1093" s="1" t="n">
        <v>44299</v>
      </c>
      <c r="C1093" s="1" t="n">
        <v>45912</v>
      </c>
      <c r="D1093" t="inlineStr">
        <is>
          <t>JÄMTLANDS LÄN</t>
        </is>
      </c>
      <c r="E1093" t="inlineStr">
        <is>
          <t>RAGUNDA</t>
        </is>
      </c>
      <c r="G1093" t="n">
        <v>4.6</v>
      </c>
      <c r="H1093" t="n">
        <v>0</v>
      </c>
      <c r="I1093" t="n">
        <v>0</v>
      </c>
      <c r="J1093" t="n">
        <v>0</v>
      </c>
      <c r="K1093" t="n">
        <v>0</v>
      </c>
      <c r="L1093" t="n">
        <v>0</v>
      </c>
      <c r="M1093" t="n">
        <v>0</v>
      </c>
      <c r="N1093" t="n">
        <v>0</v>
      </c>
      <c r="O1093" t="n">
        <v>0</v>
      </c>
      <c r="P1093" t="n">
        <v>0</v>
      </c>
      <c r="Q1093" t="n">
        <v>0</v>
      </c>
      <c r="R1093" s="2" t="inlineStr"/>
    </row>
    <row r="1094">
      <c r="A1094" t="inlineStr">
        <is>
          <t>A 3938-2024</t>
        </is>
      </c>
      <c r="B1094" s="1" t="n">
        <v>45322</v>
      </c>
      <c r="C1094" s="1" t="n">
        <v>45912</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2025-09-12T08:57:41Z</dcterms:created>
  <dcterms:modified xmlns:dcterms="http://purl.org/dc/terms/" xmlns:xsi="http://www.w3.org/2001/XMLSchema-instance" xsi:type="dcterms:W3CDTF">2025-09-12T08:57:42Z</dcterms:modified>
</cp:coreProperties>
</file>