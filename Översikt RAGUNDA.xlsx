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45966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45966</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45966</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45966</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45966</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45966</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45966</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45966</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45966</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42776-2025</t>
        </is>
      </c>
      <c r="B13" s="1" t="n">
        <v>45908.48993055556</v>
      </c>
      <c r="C13" s="1" t="n">
        <v>45966</v>
      </c>
      <c r="D13" t="inlineStr">
        <is>
          <t>JÄMTLANDS LÄN</t>
        </is>
      </c>
      <c r="E13" t="inlineStr">
        <is>
          <t>RAGUNDA</t>
        </is>
      </c>
      <c r="G13" t="n">
        <v>11.6</v>
      </c>
      <c r="H13" t="n">
        <v>5</v>
      </c>
      <c r="I13" t="n">
        <v>6</v>
      </c>
      <c r="J13" t="n">
        <v>6</v>
      </c>
      <c r="K13" t="n">
        <v>3</v>
      </c>
      <c r="L13" t="n">
        <v>0</v>
      </c>
      <c r="M13" t="n">
        <v>0</v>
      </c>
      <c r="N13" t="n">
        <v>0</v>
      </c>
      <c r="O13" t="n">
        <v>9</v>
      </c>
      <c r="P13" t="n">
        <v>3</v>
      </c>
      <c r="Q13" t="n">
        <v>17</v>
      </c>
      <c r="R13" s="2" t="inlineStr">
        <is>
          <t>Knärot
Rynkskinn
Ulltickeporing
Garnlav
Lunglav
Rosenticka
Skrovellav
Tretåig hackspett
Ullticka
Bollvitmossa
Luddlav
Norrlandslav
Plattlummer
Stuplav
Vedticka
Lavskrika
Revlummer</t>
        </is>
      </c>
      <c r="S13">
        <f>HYPERLINK("https://klasma.github.io/Logging_2303/artfynd/A 42776-2025 artfynd.xlsx", "A 42776-2025")</f>
        <v/>
      </c>
      <c r="T13">
        <f>HYPERLINK("https://klasma.github.io/Logging_2303/kartor/A 42776-2025 karta.png", "A 42776-2025")</f>
        <v/>
      </c>
      <c r="U13">
        <f>HYPERLINK("https://klasma.github.io/Logging_2303/knärot/A 42776-2025 karta knärot.png", "A 42776-2025")</f>
        <v/>
      </c>
      <c r="V13">
        <f>HYPERLINK("https://klasma.github.io/Logging_2303/klagomål/A 42776-2025 FSC-klagomål.docx", "A 42776-2025")</f>
        <v/>
      </c>
      <c r="W13">
        <f>HYPERLINK("https://klasma.github.io/Logging_2303/klagomålsmail/A 42776-2025 FSC-klagomål mail.docx", "A 42776-2025")</f>
        <v/>
      </c>
      <c r="X13">
        <f>HYPERLINK("https://klasma.github.io/Logging_2303/tillsyn/A 42776-2025 tillsynsbegäran.docx", "A 42776-2025")</f>
        <v/>
      </c>
      <c r="Y13">
        <f>HYPERLINK("https://klasma.github.io/Logging_2303/tillsynsmail/A 42776-2025 tillsynsbegäran mail.docx", "A 42776-2025")</f>
        <v/>
      </c>
      <c r="Z13">
        <f>HYPERLINK("https://klasma.github.io/Logging_2303/fåglar/A 42776-2025 prioriterade fågelarter.docx", "A 42776-2025")</f>
        <v/>
      </c>
    </row>
    <row r="14" ht="15" customHeight="1">
      <c r="A14" t="inlineStr">
        <is>
          <t>A 55395-2024</t>
        </is>
      </c>
      <c r="B14" s="1" t="n">
        <v>45622</v>
      </c>
      <c r="C14" s="1" t="n">
        <v>45966</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41415-2024</t>
        </is>
      </c>
      <c r="B15" s="1" t="n">
        <v>45560.34532407407</v>
      </c>
      <c r="C15" s="1" t="n">
        <v>45966</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45966</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45687-2024</t>
        </is>
      </c>
      <c r="B17" s="1" t="n">
        <v>45579.53179398148</v>
      </c>
      <c r="C17" s="1" t="n">
        <v>45966</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31196-2023</t>
        </is>
      </c>
      <c r="B18" s="1" t="n">
        <v>45113</v>
      </c>
      <c r="C18" s="1" t="n">
        <v>45966</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12040-2025</t>
        </is>
      </c>
      <c r="B19" s="1" t="n">
        <v>45728.65684027778</v>
      </c>
      <c r="C19" s="1" t="n">
        <v>45966</v>
      </c>
      <c r="D19" t="inlineStr">
        <is>
          <t>JÄMTLANDS LÄN</t>
        </is>
      </c>
      <c r="E19" t="inlineStr">
        <is>
          <t>RAGUNDA</t>
        </is>
      </c>
      <c r="F19" t="inlineStr">
        <is>
          <t>SCA</t>
        </is>
      </c>
      <c r="G19" t="n">
        <v>28.5</v>
      </c>
      <c r="H19" t="n">
        <v>1</v>
      </c>
      <c r="I19" t="n">
        <v>3</v>
      </c>
      <c r="J19" t="n">
        <v>12</v>
      </c>
      <c r="K19" t="n">
        <v>0</v>
      </c>
      <c r="L19" t="n">
        <v>0</v>
      </c>
      <c r="M19" t="n">
        <v>0</v>
      </c>
      <c r="N19" t="n">
        <v>0</v>
      </c>
      <c r="O19" t="n">
        <v>12</v>
      </c>
      <c r="P19" t="n">
        <v>0</v>
      </c>
      <c r="Q19" t="n">
        <v>15</v>
      </c>
      <c r="R19" s="2" t="inlineStr">
        <is>
          <t>Blå taggsvamp
Garnlav
Grantaggsvamp
Kolflarnlav
Lunglav
Skrovlig taggsvamp
Tallriska
Talltita
Ullticka
Vedskivlav
Vitgrynig nållav
Äggvaxskivling
Dropptaggsvamp
Skarp dropptaggsvamp
Tallfingersvamp</t>
        </is>
      </c>
      <c r="S19">
        <f>HYPERLINK("https://klasma.github.io/Logging_2303/artfynd/A 12040-2025 artfynd.xlsx", "A 12040-2025")</f>
        <v/>
      </c>
      <c r="T19">
        <f>HYPERLINK("https://klasma.github.io/Logging_2303/kartor/A 12040-2025 karta.png", "A 12040-2025")</f>
        <v/>
      </c>
      <c r="V19">
        <f>HYPERLINK("https://klasma.github.io/Logging_2303/klagomål/A 12040-2025 FSC-klagomål.docx", "A 12040-2025")</f>
        <v/>
      </c>
      <c r="W19">
        <f>HYPERLINK("https://klasma.github.io/Logging_2303/klagomålsmail/A 12040-2025 FSC-klagomål mail.docx", "A 12040-2025")</f>
        <v/>
      </c>
      <c r="X19">
        <f>HYPERLINK("https://klasma.github.io/Logging_2303/tillsyn/A 12040-2025 tillsynsbegäran.docx", "A 12040-2025")</f>
        <v/>
      </c>
      <c r="Y19">
        <f>HYPERLINK("https://klasma.github.io/Logging_2303/tillsynsmail/A 12040-2025 tillsynsbegäran mail.docx", "A 12040-2025")</f>
        <v/>
      </c>
      <c r="Z19">
        <f>HYPERLINK("https://klasma.github.io/Logging_2303/fåglar/A 12040-2025 prioriterade fågelarter.docx", "A 12040-2025")</f>
        <v/>
      </c>
    </row>
    <row r="20" ht="15" customHeight="1">
      <c r="A20" t="inlineStr">
        <is>
          <t>A 13308-2022</t>
        </is>
      </c>
      <c r="B20" s="1" t="n">
        <v>44644.93650462963</v>
      </c>
      <c r="C20" s="1" t="n">
        <v>45966</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38683-2022</t>
        </is>
      </c>
      <c r="B21" s="1" t="n">
        <v>44813</v>
      </c>
      <c r="C21" s="1" t="n">
        <v>45966</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45966</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10625-2024</t>
        </is>
      </c>
      <c r="B23" s="1" t="n">
        <v>45367.04916666666</v>
      </c>
      <c r="C23" s="1" t="n">
        <v>45966</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19278-2025</t>
        </is>
      </c>
      <c r="B24" s="1" t="n">
        <v>45769.53180555555</v>
      </c>
      <c r="C24" s="1" t="n">
        <v>45966</v>
      </c>
      <c r="D24" t="inlineStr">
        <is>
          <t>JÄMTLANDS LÄN</t>
        </is>
      </c>
      <c r="E24" t="inlineStr">
        <is>
          <t>RAGUNDA</t>
        </is>
      </c>
      <c r="F24" t="inlineStr">
        <is>
          <t>SCA</t>
        </is>
      </c>
      <c r="G24" t="n">
        <v>11.8</v>
      </c>
      <c r="H24" t="n">
        <v>7</v>
      </c>
      <c r="I24" t="n">
        <v>2</v>
      </c>
      <c r="J24" t="n">
        <v>8</v>
      </c>
      <c r="K24" t="n">
        <v>1</v>
      </c>
      <c r="L24" t="n">
        <v>0</v>
      </c>
      <c r="M24" t="n">
        <v>0</v>
      </c>
      <c r="N24" t="n">
        <v>0</v>
      </c>
      <c r="O24" t="n">
        <v>9</v>
      </c>
      <c r="P24" t="n">
        <v>1</v>
      </c>
      <c r="Q24" t="n">
        <v>13</v>
      </c>
      <c r="R24" s="2" t="inlineStr">
        <is>
          <t>Knärot
Garnlav
Granticka
Järpe
Lunglav
Spillkråka
Talltita
Tretåig hackspett
Ullticka
Norrlandslav
Skinnlav
Lavskrika
Orre</t>
        </is>
      </c>
      <c r="S24">
        <f>HYPERLINK("https://klasma.github.io/Logging_2303/artfynd/A 19278-2025 artfynd.xlsx", "A 19278-2025")</f>
        <v/>
      </c>
      <c r="T24">
        <f>HYPERLINK("https://klasma.github.io/Logging_2303/kartor/A 19278-2025 karta.png", "A 19278-2025")</f>
        <v/>
      </c>
      <c r="U24">
        <f>HYPERLINK("https://klasma.github.io/Logging_2303/knärot/A 19278-2025 karta knärot.png", "A 19278-2025")</f>
        <v/>
      </c>
      <c r="V24">
        <f>HYPERLINK("https://klasma.github.io/Logging_2303/klagomål/A 19278-2025 FSC-klagomål.docx", "A 19278-2025")</f>
        <v/>
      </c>
      <c r="W24">
        <f>HYPERLINK("https://klasma.github.io/Logging_2303/klagomålsmail/A 19278-2025 FSC-klagomål mail.docx", "A 19278-2025")</f>
        <v/>
      </c>
      <c r="X24">
        <f>HYPERLINK("https://klasma.github.io/Logging_2303/tillsyn/A 19278-2025 tillsynsbegäran.docx", "A 19278-2025")</f>
        <v/>
      </c>
      <c r="Y24">
        <f>HYPERLINK("https://klasma.github.io/Logging_2303/tillsynsmail/A 19278-2025 tillsynsbegäran mail.docx", "A 19278-2025")</f>
        <v/>
      </c>
      <c r="Z24">
        <f>HYPERLINK("https://klasma.github.io/Logging_2303/fåglar/A 19278-2025 prioriterade fågelarter.docx", "A 19278-2025")</f>
        <v/>
      </c>
    </row>
    <row r="25" ht="15" customHeight="1">
      <c r="A25" t="inlineStr">
        <is>
          <t>A 22985-2025</t>
        </is>
      </c>
      <c r="B25" s="1" t="n">
        <v>45790.57334490741</v>
      </c>
      <c r="C25" s="1" t="n">
        <v>45966</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21213-2025</t>
        </is>
      </c>
      <c r="B26" s="1" t="n">
        <v>45779.49012731481</v>
      </c>
      <c r="C26" s="1" t="n">
        <v>45966</v>
      </c>
      <c r="D26" t="inlineStr">
        <is>
          <t>JÄMTLANDS LÄN</t>
        </is>
      </c>
      <c r="E26" t="inlineStr">
        <is>
          <t>RAGUNDA</t>
        </is>
      </c>
      <c r="F26" t="inlineStr">
        <is>
          <t>SCA</t>
        </is>
      </c>
      <c r="G26" t="n">
        <v>3.1</v>
      </c>
      <c r="H26" t="n">
        <v>5</v>
      </c>
      <c r="I26" t="n">
        <v>4</v>
      </c>
      <c r="J26" t="n">
        <v>6</v>
      </c>
      <c r="K26" t="n">
        <v>1</v>
      </c>
      <c r="L26" t="n">
        <v>0</v>
      </c>
      <c r="M26" t="n">
        <v>0</v>
      </c>
      <c r="N26" t="n">
        <v>0</v>
      </c>
      <c r="O26" t="n">
        <v>7</v>
      </c>
      <c r="P26" t="n">
        <v>1</v>
      </c>
      <c r="Q26" t="n">
        <v>13</v>
      </c>
      <c r="R26" s="2" t="inlineStr">
        <is>
          <t>Rynkskinn
Garnlav
Lunglav
Skogsfru
Spillkråka
Tretåig hackspett
Ullticka
Grönpyrola
Luddlav
Stuplav
Trådticka
Tjäder
Fläcknycklar</t>
        </is>
      </c>
      <c r="S26">
        <f>HYPERLINK("https://klasma.github.io/Logging_2303/artfynd/A 21213-2025 artfynd.xlsx", "A 21213-2025")</f>
        <v/>
      </c>
      <c r="T26">
        <f>HYPERLINK("https://klasma.github.io/Logging_2303/kartor/A 21213-2025 karta.png", "A 21213-2025")</f>
        <v/>
      </c>
      <c r="V26">
        <f>HYPERLINK("https://klasma.github.io/Logging_2303/klagomål/A 21213-2025 FSC-klagomål.docx", "A 21213-2025")</f>
        <v/>
      </c>
      <c r="W26">
        <f>HYPERLINK("https://klasma.github.io/Logging_2303/klagomålsmail/A 21213-2025 FSC-klagomål mail.docx", "A 21213-2025")</f>
        <v/>
      </c>
      <c r="X26">
        <f>HYPERLINK("https://klasma.github.io/Logging_2303/tillsyn/A 21213-2025 tillsynsbegäran.docx", "A 21213-2025")</f>
        <v/>
      </c>
      <c r="Y26">
        <f>HYPERLINK("https://klasma.github.io/Logging_2303/tillsynsmail/A 21213-2025 tillsynsbegäran mail.docx", "A 21213-2025")</f>
        <v/>
      </c>
      <c r="Z26">
        <f>HYPERLINK("https://klasma.github.io/Logging_2303/fåglar/A 21213-2025 prioriterade fågelarter.docx", "A 21213-2025")</f>
        <v/>
      </c>
    </row>
    <row r="27" ht="15" customHeight="1">
      <c r="A27" t="inlineStr">
        <is>
          <t>A 43533-2025</t>
        </is>
      </c>
      <c r="B27" s="1" t="n">
        <v>45911</v>
      </c>
      <c r="C27" s="1" t="n">
        <v>45966</v>
      </c>
      <c r="D27" t="inlineStr">
        <is>
          <t>JÄMTLANDS LÄN</t>
        </is>
      </c>
      <c r="E27" t="inlineStr">
        <is>
          <t>RAGUNDA</t>
        </is>
      </c>
      <c r="G27" t="n">
        <v>19</v>
      </c>
      <c r="H27" t="n">
        <v>5</v>
      </c>
      <c r="I27" t="n">
        <v>5</v>
      </c>
      <c r="J27" t="n">
        <v>4</v>
      </c>
      <c r="K27" t="n">
        <v>2</v>
      </c>
      <c r="L27" t="n">
        <v>0</v>
      </c>
      <c r="M27" t="n">
        <v>0</v>
      </c>
      <c r="N27" t="n">
        <v>0</v>
      </c>
      <c r="O27" t="n">
        <v>6</v>
      </c>
      <c r="P27" t="n">
        <v>2</v>
      </c>
      <c r="Q27" t="n">
        <v>13</v>
      </c>
      <c r="R27" s="2" t="inlineStr">
        <is>
          <t>Doftticka
Knärot
Garnlav
Lunglav
Skrovellav
Tretåig hackspett
Fjällig taggsvamp s.str.
Kransrams
Stuplav
Svavelriska
Tibast
Lavskrika
Blåsippa</t>
        </is>
      </c>
      <c r="S27">
        <f>HYPERLINK("https://klasma.github.io/Logging_2303/artfynd/A 43533-2025 artfynd.xlsx", "A 43533-2025")</f>
        <v/>
      </c>
      <c r="T27">
        <f>HYPERLINK("https://klasma.github.io/Logging_2303/kartor/A 43533-2025 karta.png", "A 43533-2025")</f>
        <v/>
      </c>
      <c r="U27">
        <f>HYPERLINK("https://klasma.github.io/Logging_2303/knärot/A 43533-2025 karta knärot.png", "A 43533-2025")</f>
        <v/>
      </c>
      <c r="V27">
        <f>HYPERLINK("https://klasma.github.io/Logging_2303/klagomål/A 43533-2025 FSC-klagomål.docx", "A 43533-2025")</f>
        <v/>
      </c>
      <c r="W27">
        <f>HYPERLINK("https://klasma.github.io/Logging_2303/klagomålsmail/A 43533-2025 FSC-klagomål mail.docx", "A 43533-2025")</f>
        <v/>
      </c>
      <c r="X27">
        <f>HYPERLINK("https://klasma.github.io/Logging_2303/tillsyn/A 43533-2025 tillsynsbegäran.docx", "A 43533-2025")</f>
        <v/>
      </c>
      <c r="Y27">
        <f>HYPERLINK("https://klasma.github.io/Logging_2303/tillsynsmail/A 43533-2025 tillsynsbegäran mail.docx", "A 43533-2025")</f>
        <v/>
      </c>
      <c r="Z27">
        <f>HYPERLINK("https://klasma.github.io/Logging_2303/fåglar/A 43533-2025 prioriterade fågelarter.docx", "A 43533-2025")</f>
        <v/>
      </c>
    </row>
    <row r="28" ht="15" customHeight="1">
      <c r="A28" t="inlineStr">
        <is>
          <t>A 55404-2024</t>
        </is>
      </c>
      <c r="B28" s="1" t="n">
        <v>45622</v>
      </c>
      <c r="C28" s="1" t="n">
        <v>45966</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45639.55269675926</v>
      </c>
      <c r="C29" s="1" t="n">
        <v>45966</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43107-2023</t>
        </is>
      </c>
      <c r="B30" s="1" t="n">
        <v>45182</v>
      </c>
      <c r="C30" s="1" t="n">
        <v>45966</v>
      </c>
      <c r="D30" t="inlineStr">
        <is>
          <t>JÄMTLANDS LÄN</t>
        </is>
      </c>
      <c r="E30" t="inlineStr">
        <is>
          <t>RAGUNDA</t>
        </is>
      </c>
      <c r="F30" t="inlineStr">
        <is>
          <t>SCA</t>
        </is>
      </c>
      <c r="G30" t="n">
        <v>8.6</v>
      </c>
      <c r="H30" t="n">
        <v>0</v>
      </c>
      <c r="I30" t="n">
        <v>3</v>
      </c>
      <c r="J30" t="n">
        <v>8</v>
      </c>
      <c r="K30" t="n">
        <v>1</v>
      </c>
      <c r="L30" t="n">
        <v>0</v>
      </c>
      <c r="M30" t="n">
        <v>0</v>
      </c>
      <c r="N30" t="n">
        <v>0</v>
      </c>
      <c r="O30" t="n">
        <v>9</v>
      </c>
      <c r="P30" t="n">
        <v>1</v>
      </c>
      <c r="Q30" t="n">
        <v>12</v>
      </c>
      <c r="R30" s="2" t="inlineStr">
        <is>
          <t>Gräddporing
Dvärgbägarlav
Garnlav
Kolflarnlav
Kortskaftad ärgspik
Lunglav
Mörk kolflarnlav
Vedskivlav
Vitgrynig nållav
Dropptaggsvamp
Stuplav
Svavelriska</t>
        </is>
      </c>
      <c r="S30">
        <f>HYPERLINK("https://klasma.github.io/Logging_2303/artfynd/A 43107-2023 artfynd.xlsx", "A 43107-2023")</f>
        <v/>
      </c>
      <c r="T30">
        <f>HYPERLINK("https://klasma.github.io/Logging_2303/kartor/A 43107-2023 karta.png", "A 43107-2023")</f>
        <v/>
      </c>
      <c r="V30">
        <f>HYPERLINK("https://klasma.github.io/Logging_2303/klagomål/A 43107-2023 FSC-klagomål.docx", "A 43107-2023")</f>
        <v/>
      </c>
      <c r="W30">
        <f>HYPERLINK("https://klasma.github.io/Logging_2303/klagomålsmail/A 43107-2023 FSC-klagomål mail.docx", "A 43107-2023")</f>
        <v/>
      </c>
      <c r="X30">
        <f>HYPERLINK("https://klasma.github.io/Logging_2303/tillsyn/A 43107-2023 tillsynsbegäran.docx", "A 43107-2023")</f>
        <v/>
      </c>
      <c r="Y30">
        <f>HYPERLINK("https://klasma.github.io/Logging_2303/tillsynsmail/A 43107-2023 tillsynsbegäran mail.docx", "A 43107-2023")</f>
        <v/>
      </c>
    </row>
    <row r="31" ht="15" customHeight="1">
      <c r="A31" t="inlineStr">
        <is>
          <t>A 29209-2024</t>
        </is>
      </c>
      <c r="B31" s="1" t="n">
        <v>45482.63819444444</v>
      </c>
      <c r="C31" s="1" t="n">
        <v>45966</v>
      </c>
      <c r="D31" t="inlineStr">
        <is>
          <t>JÄMTLANDS LÄN</t>
        </is>
      </c>
      <c r="E31" t="inlineStr">
        <is>
          <t>RAGUNDA</t>
        </is>
      </c>
      <c r="G31" t="n">
        <v>8.5</v>
      </c>
      <c r="H31" t="n">
        <v>4</v>
      </c>
      <c r="I31" t="n">
        <v>4</v>
      </c>
      <c r="J31" t="n">
        <v>6</v>
      </c>
      <c r="K31" t="n">
        <v>2</v>
      </c>
      <c r="L31" t="n">
        <v>0</v>
      </c>
      <c r="M31" t="n">
        <v>0</v>
      </c>
      <c r="N31" t="n">
        <v>0</v>
      </c>
      <c r="O31" t="n">
        <v>8</v>
      </c>
      <c r="P31" t="n">
        <v>2</v>
      </c>
      <c r="Q31" t="n">
        <v>12</v>
      </c>
      <c r="R31" s="2" t="inlineStr">
        <is>
          <t>Knärot
Rynkskinn
Garnlav
Kolflarnlav
Lunglav
Rosenticka
Talltita
Ullticka
Bårdlav
Korallblylav
Plattlummer
Spindelblomster</t>
        </is>
      </c>
      <c r="S31">
        <f>HYPERLINK("https://klasma.github.io/Logging_2303/artfynd/A 29209-2024 artfynd.xlsx", "A 29209-2024")</f>
        <v/>
      </c>
      <c r="T31">
        <f>HYPERLINK("https://klasma.github.io/Logging_2303/kartor/A 29209-2024 karta.png", "A 29209-2024")</f>
        <v/>
      </c>
      <c r="U31">
        <f>HYPERLINK("https://klasma.github.io/Logging_2303/knärot/A 29209-2024 karta knärot.png", "A 29209-2024")</f>
        <v/>
      </c>
      <c r="V31">
        <f>HYPERLINK("https://klasma.github.io/Logging_2303/klagomål/A 29209-2024 FSC-klagomål.docx", "A 29209-2024")</f>
        <v/>
      </c>
      <c r="W31">
        <f>HYPERLINK("https://klasma.github.io/Logging_2303/klagomålsmail/A 29209-2024 FSC-klagomål mail.docx", "A 29209-2024")</f>
        <v/>
      </c>
      <c r="X31">
        <f>HYPERLINK("https://klasma.github.io/Logging_2303/tillsyn/A 29209-2024 tillsynsbegäran.docx", "A 29209-2024")</f>
        <v/>
      </c>
      <c r="Y31">
        <f>HYPERLINK("https://klasma.github.io/Logging_2303/tillsynsmail/A 29209-2024 tillsynsbegäran mail.docx", "A 29209-2024")</f>
        <v/>
      </c>
      <c r="Z31">
        <f>HYPERLINK("https://klasma.github.io/Logging_2303/fåglar/A 29209-2024 prioriterade fågelarter.docx", "A 29209-2024")</f>
        <v/>
      </c>
    </row>
    <row r="32" ht="15" customHeight="1">
      <c r="A32" t="inlineStr">
        <is>
          <t>A 19727-2025</t>
        </is>
      </c>
      <c r="B32" s="1" t="n">
        <v>45771.36538194444</v>
      </c>
      <c r="C32" s="1" t="n">
        <v>45966</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45966</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45966</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22986-2025</t>
        </is>
      </c>
      <c r="B35" s="1" t="n">
        <v>45790.57349537037</v>
      </c>
      <c r="C35" s="1" t="n">
        <v>45966</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31839-2022</t>
        </is>
      </c>
      <c r="B36" s="1" t="n">
        <v>44776</v>
      </c>
      <c r="C36" s="1" t="n">
        <v>45966</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32741-2025</t>
        </is>
      </c>
      <c r="B37" s="1" t="n">
        <v>45839.42482638889</v>
      </c>
      <c r="C37" s="1" t="n">
        <v>45966</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25632-2025</t>
        </is>
      </c>
      <c r="B38" s="1" t="n">
        <v>45803.59474537037</v>
      </c>
      <c r="C38" s="1" t="n">
        <v>45966</v>
      </c>
      <c r="D38" t="inlineStr">
        <is>
          <t>JÄMTLANDS LÄN</t>
        </is>
      </c>
      <c r="E38" t="inlineStr">
        <is>
          <t>RAGUNDA</t>
        </is>
      </c>
      <c r="G38" t="n">
        <v>13.3</v>
      </c>
      <c r="H38" t="n">
        <v>6</v>
      </c>
      <c r="I38" t="n">
        <v>3</v>
      </c>
      <c r="J38" t="n">
        <v>5</v>
      </c>
      <c r="K38" t="n">
        <v>1</v>
      </c>
      <c r="L38" t="n">
        <v>0</v>
      </c>
      <c r="M38" t="n">
        <v>0</v>
      </c>
      <c r="N38" t="n">
        <v>0</v>
      </c>
      <c r="O38" t="n">
        <v>6</v>
      </c>
      <c r="P38" t="n">
        <v>1</v>
      </c>
      <c r="Q38" t="n">
        <v>11</v>
      </c>
      <c r="R38" s="2" t="inlineStr">
        <is>
          <t>Knärot
Lunglav
Rödvingetrast
Skrovellav
Spillkråka
Tretåig hackspett
Bårdlav
Stuplav
Svart trolldruva
Blåsippa
Revlummer</t>
        </is>
      </c>
      <c r="S38">
        <f>HYPERLINK("https://klasma.github.io/Logging_2303/artfynd/A 25632-2025 artfynd.xlsx", "A 25632-2025")</f>
        <v/>
      </c>
      <c r="T38">
        <f>HYPERLINK("https://klasma.github.io/Logging_2303/kartor/A 25632-2025 karta.png", "A 25632-2025")</f>
        <v/>
      </c>
      <c r="U38">
        <f>HYPERLINK("https://klasma.github.io/Logging_2303/knärot/A 25632-2025 karta knärot.png", "A 25632-2025")</f>
        <v/>
      </c>
      <c r="V38">
        <f>HYPERLINK("https://klasma.github.io/Logging_2303/klagomål/A 25632-2025 FSC-klagomål.docx", "A 25632-2025")</f>
        <v/>
      </c>
      <c r="W38">
        <f>HYPERLINK("https://klasma.github.io/Logging_2303/klagomålsmail/A 25632-2025 FSC-klagomål mail.docx", "A 25632-2025")</f>
        <v/>
      </c>
      <c r="X38">
        <f>HYPERLINK("https://klasma.github.io/Logging_2303/tillsyn/A 25632-2025 tillsynsbegäran.docx", "A 25632-2025")</f>
        <v/>
      </c>
      <c r="Y38">
        <f>HYPERLINK("https://klasma.github.io/Logging_2303/tillsynsmail/A 25632-2025 tillsynsbegäran mail.docx", "A 25632-2025")</f>
        <v/>
      </c>
      <c r="Z38">
        <f>HYPERLINK("https://klasma.github.io/Logging_2303/fåglar/A 25632-2025 prioriterade fågelarter.docx", "A 25632-2025")</f>
        <v/>
      </c>
    </row>
    <row r="39" ht="15" customHeight="1">
      <c r="A39" t="inlineStr">
        <is>
          <t>A 36943-2022</t>
        </is>
      </c>
      <c r="B39" s="1" t="n">
        <v>44805</v>
      </c>
      <c r="C39" s="1" t="n">
        <v>45966</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41412-2024</t>
        </is>
      </c>
      <c r="B40" s="1" t="n">
        <v>45560.34484953704</v>
      </c>
      <c r="C40" s="1" t="n">
        <v>45966</v>
      </c>
      <c r="D40" t="inlineStr">
        <is>
          <t>JÄMTLANDS LÄN</t>
        </is>
      </c>
      <c r="E40" t="inlineStr">
        <is>
          <t>RAGUNDA</t>
        </is>
      </c>
      <c r="F40" t="inlineStr">
        <is>
          <t>SCA</t>
        </is>
      </c>
      <c r="G40" t="n">
        <v>1.8</v>
      </c>
      <c r="H40" t="n">
        <v>1</v>
      </c>
      <c r="I40" t="n">
        <v>5</v>
      </c>
      <c r="J40" t="n">
        <v>4</v>
      </c>
      <c r="K40" t="n">
        <v>1</v>
      </c>
      <c r="L40" t="n">
        <v>0</v>
      </c>
      <c r="M40" t="n">
        <v>0</v>
      </c>
      <c r="N40" t="n">
        <v>0</v>
      </c>
      <c r="O40" t="n">
        <v>5</v>
      </c>
      <c r="P40" t="n">
        <v>1</v>
      </c>
      <c r="Q40" t="n">
        <v>10</v>
      </c>
      <c r="R40" s="2" t="inlineStr">
        <is>
          <t>Knärot
Garnlav
Lunglav
Rosenticka
Ullticka
Bårdlav
Korallblylav
Luddlav
Stuplav
Vedticka</t>
        </is>
      </c>
      <c r="S40">
        <f>HYPERLINK("https://klasma.github.io/Logging_2303/artfynd/A 41412-2024 artfynd.xlsx", "A 41412-2024")</f>
        <v/>
      </c>
      <c r="T40">
        <f>HYPERLINK("https://klasma.github.io/Logging_2303/kartor/A 41412-2024 karta.png", "A 41412-2024")</f>
        <v/>
      </c>
      <c r="U40">
        <f>HYPERLINK("https://klasma.github.io/Logging_2303/knärot/A 41412-2024 karta knärot.png", "A 41412-2024")</f>
        <v/>
      </c>
      <c r="V40">
        <f>HYPERLINK("https://klasma.github.io/Logging_2303/klagomål/A 41412-2024 FSC-klagomål.docx", "A 41412-2024")</f>
        <v/>
      </c>
      <c r="W40">
        <f>HYPERLINK("https://klasma.github.io/Logging_2303/klagomålsmail/A 41412-2024 FSC-klagomål mail.docx", "A 41412-2024")</f>
        <v/>
      </c>
      <c r="X40">
        <f>HYPERLINK("https://klasma.github.io/Logging_2303/tillsyn/A 41412-2024 tillsynsbegäran.docx", "A 41412-2024")</f>
        <v/>
      </c>
      <c r="Y40">
        <f>HYPERLINK("https://klasma.github.io/Logging_2303/tillsynsmail/A 41412-2024 tillsynsbegäran mail.docx", "A 41412-2024")</f>
        <v/>
      </c>
    </row>
    <row r="41" ht="15" customHeight="1">
      <c r="A41" t="inlineStr">
        <is>
          <t>A 21244-2025</t>
        </is>
      </c>
      <c r="B41" s="1" t="n">
        <v>45779.57335648148</v>
      </c>
      <c r="C41" s="1" t="n">
        <v>45966</v>
      </c>
      <c r="D41" t="inlineStr">
        <is>
          <t>JÄMTLANDS LÄN</t>
        </is>
      </c>
      <c r="E41" t="inlineStr">
        <is>
          <t>RAGUNDA</t>
        </is>
      </c>
      <c r="F41" t="inlineStr">
        <is>
          <t>SCA</t>
        </is>
      </c>
      <c r="G41" t="n">
        <v>4.1</v>
      </c>
      <c r="H41" t="n">
        <v>3</v>
      </c>
      <c r="I41" t="n">
        <v>3</v>
      </c>
      <c r="J41" t="n">
        <v>6</v>
      </c>
      <c r="K41" t="n">
        <v>1</v>
      </c>
      <c r="L41" t="n">
        <v>0</v>
      </c>
      <c r="M41" t="n">
        <v>0</v>
      </c>
      <c r="N41" t="n">
        <v>0</v>
      </c>
      <c r="O41" t="n">
        <v>7</v>
      </c>
      <c r="P41" t="n">
        <v>1</v>
      </c>
      <c r="Q41" t="n">
        <v>10</v>
      </c>
      <c r="R41" s="2" t="inlineStr">
        <is>
          <t>Ulltickeporing
Garnlav
Lunglav
Spillkråka
Talltita
Tretåig hackspett
Ullticka
Nästlav
Stuplav
Vedticka</t>
        </is>
      </c>
      <c r="S41">
        <f>HYPERLINK("https://klasma.github.io/Logging_2303/artfynd/A 21244-2025 artfynd.xlsx", "A 21244-2025")</f>
        <v/>
      </c>
      <c r="T41">
        <f>HYPERLINK("https://klasma.github.io/Logging_2303/kartor/A 21244-2025 karta.png", "A 21244-2025")</f>
        <v/>
      </c>
      <c r="V41">
        <f>HYPERLINK("https://klasma.github.io/Logging_2303/klagomål/A 21244-2025 FSC-klagomål.docx", "A 21244-2025")</f>
        <v/>
      </c>
      <c r="W41">
        <f>HYPERLINK("https://klasma.github.io/Logging_2303/klagomålsmail/A 21244-2025 FSC-klagomål mail.docx", "A 21244-2025")</f>
        <v/>
      </c>
      <c r="X41">
        <f>HYPERLINK("https://klasma.github.io/Logging_2303/tillsyn/A 21244-2025 tillsynsbegäran.docx", "A 21244-2025")</f>
        <v/>
      </c>
      <c r="Y41">
        <f>HYPERLINK("https://klasma.github.io/Logging_2303/tillsynsmail/A 21244-2025 tillsynsbegäran mail.docx", "A 21244-2025")</f>
        <v/>
      </c>
      <c r="Z41">
        <f>HYPERLINK("https://klasma.github.io/Logging_2303/fåglar/A 21244-2025 prioriterade fågelarter.docx", "A 21244-2025")</f>
        <v/>
      </c>
    </row>
    <row r="42" ht="15" customHeight="1">
      <c r="A42" t="inlineStr">
        <is>
          <t>A 4591-2024</t>
        </is>
      </c>
      <c r="B42" s="1" t="n">
        <v>45327</v>
      </c>
      <c r="C42" s="1" t="n">
        <v>45966</v>
      </c>
      <c r="D42" t="inlineStr">
        <is>
          <t>JÄMTLANDS LÄN</t>
        </is>
      </c>
      <c r="E42" t="inlineStr">
        <is>
          <t>RAGUNDA</t>
        </is>
      </c>
      <c r="F42" t="inlineStr">
        <is>
          <t>SCA</t>
        </is>
      </c>
      <c r="G42" t="n">
        <v>5.8</v>
      </c>
      <c r="H42" t="n">
        <v>6</v>
      </c>
      <c r="I42" t="n">
        <v>3</v>
      </c>
      <c r="J42" t="n">
        <v>7</v>
      </c>
      <c r="K42" t="n">
        <v>0</v>
      </c>
      <c r="L42" t="n">
        <v>0</v>
      </c>
      <c r="M42" t="n">
        <v>0</v>
      </c>
      <c r="N42" t="n">
        <v>0</v>
      </c>
      <c r="O42" t="n">
        <v>7</v>
      </c>
      <c r="P42" t="n">
        <v>0</v>
      </c>
      <c r="Q42" t="n">
        <v>10</v>
      </c>
      <c r="R42" s="2" t="inlineStr">
        <is>
          <t>Garnlav
Granticka
Harticka
Lunglav
Spillkråka
Talltita
Tretåig hackspett
Grönkulla
Spindelblomster
Tvåblad</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55894-2022</t>
        </is>
      </c>
      <c r="B43" s="1" t="n">
        <v>44888</v>
      </c>
      <c r="C43" s="1" t="n">
        <v>45966</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13483-2022</t>
        </is>
      </c>
      <c r="B44" s="1" t="n">
        <v>44645.99859953704</v>
      </c>
      <c r="C44" s="1" t="n">
        <v>45966</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10982-2025</t>
        </is>
      </c>
      <c r="B45" s="1" t="n">
        <v>45723.40688657408</v>
      </c>
      <c r="C45" s="1" t="n">
        <v>45966</v>
      </c>
      <c r="D45" t="inlineStr">
        <is>
          <t>JÄMTLANDS LÄN</t>
        </is>
      </c>
      <c r="E45" t="inlineStr">
        <is>
          <t>RAGUNDA</t>
        </is>
      </c>
      <c r="F45" t="inlineStr">
        <is>
          <t>SCA</t>
        </is>
      </c>
      <c r="G45" t="n">
        <v>6.4</v>
      </c>
      <c r="H45" t="n">
        <v>0</v>
      </c>
      <c r="I45" t="n">
        <v>7</v>
      </c>
      <c r="J45" t="n">
        <v>3</v>
      </c>
      <c r="K45" t="n">
        <v>0</v>
      </c>
      <c r="L45" t="n">
        <v>0</v>
      </c>
      <c r="M45" t="n">
        <v>0</v>
      </c>
      <c r="N45" t="n">
        <v>0</v>
      </c>
      <c r="O45" t="n">
        <v>3</v>
      </c>
      <c r="P45" t="n">
        <v>0</v>
      </c>
      <c r="Q45" t="n">
        <v>10</v>
      </c>
      <c r="R45" s="2" t="inlineStr">
        <is>
          <t>Blå taggsvamp
Orange taggsvamp
Skrovlig taggsvamp
Barrfagerspindling
Bårdlav
Dropptaggsvamp
Skarp dropptaggsvamp
Stuplav
Svart trolldruva
Tallfingersvamp</t>
        </is>
      </c>
      <c r="S45">
        <f>HYPERLINK("https://klasma.github.io/Logging_2303/artfynd/A 10982-2025 artfynd.xlsx", "A 10982-2025")</f>
        <v/>
      </c>
      <c r="T45">
        <f>HYPERLINK("https://klasma.github.io/Logging_2303/kartor/A 10982-2025 karta.png", "A 10982-2025")</f>
        <v/>
      </c>
      <c r="V45">
        <f>HYPERLINK("https://klasma.github.io/Logging_2303/klagomål/A 10982-2025 FSC-klagomål.docx", "A 10982-2025")</f>
        <v/>
      </c>
      <c r="W45">
        <f>HYPERLINK("https://klasma.github.io/Logging_2303/klagomålsmail/A 10982-2025 FSC-klagomål mail.docx", "A 10982-2025")</f>
        <v/>
      </c>
      <c r="X45">
        <f>HYPERLINK("https://klasma.github.io/Logging_2303/tillsyn/A 10982-2025 tillsynsbegäran.docx", "A 10982-2025")</f>
        <v/>
      </c>
      <c r="Y45">
        <f>HYPERLINK("https://klasma.github.io/Logging_2303/tillsynsmail/A 10982-2025 tillsynsbegäran mail.docx", "A 10982-2025")</f>
        <v/>
      </c>
    </row>
    <row r="46" ht="15" customHeight="1">
      <c r="A46" t="inlineStr">
        <is>
          <t>A 22466-2025</t>
        </is>
      </c>
      <c r="B46" s="1" t="n">
        <v>45786.61517361111</v>
      </c>
      <c r="C46" s="1" t="n">
        <v>45966</v>
      </c>
      <c r="D46" t="inlineStr">
        <is>
          <t>JÄMTLANDS LÄN</t>
        </is>
      </c>
      <c r="E46" t="inlineStr">
        <is>
          <t>RAGUNDA</t>
        </is>
      </c>
      <c r="F46" t="inlineStr">
        <is>
          <t>SCA</t>
        </is>
      </c>
      <c r="G46" t="n">
        <v>3.2</v>
      </c>
      <c r="H46" t="n">
        <v>3</v>
      </c>
      <c r="I46" t="n">
        <v>1</v>
      </c>
      <c r="J46" t="n">
        <v>6</v>
      </c>
      <c r="K46" t="n">
        <v>0</v>
      </c>
      <c r="L46" t="n">
        <v>0</v>
      </c>
      <c r="M46" t="n">
        <v>0</v>
      </c>
      <c r="N46" t="n">
        <v>0</v>
      </c>
      <c r="O46" t="n">
        <v>6</v>
      </c>
      <c r="P46" t="n">
        <v>0</v>
      </c>
      <c r="Q46" t="n">
        <v>9</v>
      </c>
      <c r="R46" s="2" t="inlineStr">
        <is>
          <t>Gammelgransskål
Garnlav
Granticka
Lunglav
Rosenticka
Tretåig hackspett
Stuplav
Kungsfågel
Revlummer</t>
        </is>
      </c>
      <c r="S46">
        <f>HYPERLINK("https://klasma.github.io/Logging_2303/artfynd/A 22466-2025 artfynd.xlsx", "A 22466-2025")</f>
        <v/>
      </c>
      <c r="T46">
        <f>HYPERLINK("https://klasma.github.io/Logging_2303/kartor/A 22466-2025 karta.png", "A 22466-2025")</f>
        <v/>
      </c>
      <c r="V46">
        <f>HYPERLINK("https://klasma.github.io/Logging_2303/klagomål/A 22466-2025 FSC-klagomål.docx", "A 22466-2025")</f>
        <v/>
      </c>
      <c r="W46">
        <f>HYPERLINK("https://klasma.github.io/Logging_2303/klagomålsmail/A 22466-2025 FSC-klagomål mail.docx", "A 22466-2025")</f>
        <v/>
      </c>
      <c r="X46">
        <f>HYPERLINK("https://klasma.github.io/Logging_2303/tillsyn/A 22466-2025 tillsynsbegäran.docx", "A 22466-2025")</f>
        <v/>
      </c>
      <c r="Y46">
        <f>HYPERLINK("https://klasma.github.io/Logging_2303/tillsynsmail/A 22466-2025 tillsynsbegäran mail.docx", "A 22466-2025")</f>
        <v/>
      </c>
      <c r="Z46">
        <f>HYPERLINK("https://klasma.github.io/Logging_2303/fåglar/A 22466-2025 prioriterade fågelarter.docx", "A 22466-2025")</f>
        <v/>
      </c>
    </row>
    <row r="47" ht="15" customHeight="1">
      <c r="A47" t="inlineStr">
        <is>
          <t>A 4146-2025</t>
        </is>
      </c>
      <c r="B47" s="1" t="n">
        <v>45685.36501157407</v>
      </c>
      <c r="C47" s="1" t="n">
        <v>45966</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42393-2025</t>
        </is>
      </c>
      <c r="B48" s="1" t="n">
        <v>45905</v>
      </c>
      <c r="C48" s="1" t="n">
        <v>45966</v>
      </c>
      <c r="D48" t="inlineStr">
        <is>
          <t>JÄMTLANDS LÄN</t>
        </is>
      </c>
      <c r="E48" t="inlineStr">
        <is>
          <t>RAGUNDA</t>
        </is>
      </c>
      <c r="G48" t="n">
        <v>8.800000000000001</v>
      </c>
      <c r="H48" t="n">
        <v>6</v>
      </c>
      <c r="I48" t="n">
        <v>0</v>
      </c>
      <c r="J48" t="n">
        <v>4</v>
      </c>
      <c r="K48" t="n">
        <v>2</v>
      </c>
      <c r="L48" t="n">
        <v>0</v>
      </c>
      <c r="M48" t="n">
        <v>0</v>
      </c>
      <c r="N48" t="n">
        <v>0</v>
      </c>
      <c r="O48" t="n">
        <v>6</v>
      </c>
      <c r="P48" t="n">
        <v>2</v>
      </c>
      <c r="Q48" t="n">
        <v>9</v>
      </c>
      <c r="R48" s="2" t="inlineStr">
        <is>
          <t>Doftticka
Knärot
Garnlav
Lunglav
Tallticka
Tretåig hackspett
Lavskrika
Fläcknycklar
Blåsippa</t>
        </is>
      </c>
      <c r="S48">
        <f>HYPERLINK("https://klasma.github.io/Logging_2303/artfynd/A 42393-2025 artfynd.xlsx", "A 42393-2025")</f>
        <v/>
      </c>
      <c r="T48">
        <f>HYPERLINK("https://klasma.github.io/Logging_2303/kartor/A 42393-2025 karta.png", "A 42393-2025")</f>
        <v/>
      </c>
      <c r="U48">
        <f>HYPERLINK("https://klasma.github.io/Logging_2303/knärot/A 42393-2025 karta knärot.png", "A 42393-2025")</f>
        <v/>
      </c>
      <c r="V48">
        <f>HYPERLINK("https://klasma.github.io/Logging_2303/klagomål/A 42393-2025 FSC-klagomål.docx", "A 42393-2025")</f>
        <v/>
      </c>
      <c r="W48">
        <f>HYPERLINK("https://klasma.github.io/Logging_2303/klagomålsmail/A 42393-2025 FSC-klagomål mail.docx", "A 42393-2025")</f>
        <v/>
      </c>
      <c r="X48">
        <f>HYPERLINK("https://klasma.github.io/Logging_2303/tillsyn/A 42393-2025 tillsynsbegäran.docx", "A 42393-2025")</f>
        <v/>
      </c>
      <c r="Y48">
        <f>HYPERLINK("https://klasma.github.io/Logging_2303/tillsynsmail/A 42393-2025 tillsynsbegäran mail.docx", "A 42393-2025")</f>
        <v/>
      </c>
      <c r="Z48">
        <f>HYPERLINK("https://klasma.github.io/Logging_2303/fåglar/A 42393-2025 prioriterade fågelarter.docx", "A 42393-2025")</f>
        <v/>
      </c>
    </row>
    <row r="49" ht="15" customHeight="1">
      <c r="A49" t="inlineStr">
        <is>
          <t>A 25016-2025</t>
        </is>
      </c>
      <c r="B49" s="1" t="n">
        <v>45799.63574074074</v>
      </c>
      <c r="C49" s="1" t="n">
        <v>45966</v>
      </c>
      <c r="D49" t="inlineStr">
        <is>
          <t>JÄMTLANDS LÄN</t>
        </is>
      </c>
      <c r="E49" t="inlineStr">
        <is>
          <t>RAGUNDA</t>
        </is>
      </c>
      <c r="F49" t="inlineStr">
        <is>
          <t>SCA</t>
        </is>
      </c>
      <c r="G49" t="n">
        <v>17.9</v>
      </c>
      <c r="H49" t="n">
        <v>2</v>
      </c>
      <c r="I49" t="n">
        <v>3</v>
      </c>
      <c r="J49" t="n">
        <v>6</v>
      </c>
      <c r="K49" t="n">
        <v>0</v>
      </c>
      <c r="L49" t="n">
        <v>0</v>
      </c>
      <c r="M49" t="n">
        <v>0</v>
      </c>
      <c r="N49" t="n">
        <v>0</v>
      </c>
      <c r="O49" t="n">
        <v>6</v>
      </c>
      <c r="P49" t="n">
        <v>0</v>
      </c>
      <c r="Q49" t="n">
        <v>9</v>
      </c>
      <c r="R49" s="2" t="inlineStr">
        <is>
          <t>Garnlav
Granticka
Lunglav
Spillkråka
Tretåig hackspett
Ullticka
Bårdlav
Stuplav
Vedticka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24735-2025</t>
        </is>
      </c>
      <c r="B50" s="1" t="n">
        <v>45799.34461805555</v>
      </c>
      <c r="C50" s="1" t="n">
        <v>45966</v>
      </c>
      <c r="D50" t="inlineStr">
        <is>
          <t>JÄMTLANDS LÄN</t>
        </is>
      </c>
      <c r="E50" t="inlineStr">
        <is>
          <t>RAGUNDA</t>
        </is>
      </c>
      <c r="F50" t="inlineStr">
        <is>
          <t>SCA</t>
        </is>
      </c>
      <c r="G50" t="n">
        <v>7.1</v>
      </c>
      <c r="H50" t="n">
        <v>1</v>
      </c>
      <c r="I50" t="n">
        <v>4</v>
      </c>
      <c r="J50" t="n">
        <v>5</v>
      </c>
      <c r="K50" t="n">
        <v>0</v>
      </c>
      <c r="L50" t="n">
        <v>0</v>
      </c>
      <c r="M50" t="n">
        <v>0</v>
      </c>
      <c r="N50" t="n">
        <v>0</v>
      </c>
      <c r="O50" t="n">
        <v>5</v>
      </c>
      <c r="P50" t="n">
        <v>0</v>
      </c>
      <c r="Q50" t="n">
        <v>9</v>
      </c>
      <c r="R50" s="2" t="inlineStr">
        <is>
          <t>Garnlav
Lunglav
Mörk kolflarnlav
Tretåig hackspett
Ullticka
Bollvitmossa
Norrlandslav
Skinnlav
Stuplav</t>
        </is>
      </c>
      <c r="S50">
        <f>HYPERLINK("https://klasma.github.io/Logging_2303/artfynd/A 24735-2025 artfynd.xlsx", "A 24735-2025")</f>
        <v/>
      </c>
      <c r="T50">
        <f>HYPERLINK("https://klasma.github.io/Logging_2303/kartor/A 24735-2025 karta.png", "A 24735-2025")</f>
        <v/>
      </c>
      <c r="V50">
        <f>HYPERLINK("https://klasma.github.io/Logging_2303/klagomål/A 24735-2025 FSC-klagomål.docx", "A 24735-2025")</f>
        <v/>
      </c>
      <c r="W50">
        <f>HYPERLINK("https://klasma.github.io/Logging_2303/klagomålsmail/A 24735-2025 FSC-klagomål mail.docx", "A 24735-2025")</f>
        <v/>
      </c>
      <c r="X50">
        <f>HYPERLINK("https://klasma.github.io/Logging_2303/tillsyn/A 24735-2025 tillsynsbegäran.docx", "A 24735-2025")</f>
        <v/>
      </c>
      <c r="Y50">
        <f>HYPERLINK("https://klasma.github.io/Logging_2303/tillsynsmail/A 24735-2025 tillsynsbegäran mail.docx", "A 24735-2025")</f>
        <v/>
      </c>
      <c r="Z50">
        <f>HYPERLINK("https://klasma.github.io/Logging_2303/fåglar/A 24735-2025 prioriterade fågelarter.docx", "A 24735-2025")</f>
        <v/>
      </c>
    </row>
    <row r="51" ht="15" customHeight="1">
      <c r="A51" t="inlineStr">
        <is>
          <t>A 30876-2025</t>
        </is>
      </c>
      <c r="B51" s="1" t="n">
        <v>45832.34461805555</v>
      </c>
      <c r="C51" s="1" t="n">
        <v>45966</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45008-2023</t>
        </is>
      </c>
      <c r="B52" s="1" t="n">
        <v>45190.96092592592</v>
      </c>
      <c r="C52" s="1" t="n">
        <v>45966</v>
      </c>
      <c r="D52" t="inlineStr">
        <is>
          <t>JÄMTLANDS LÄN</t>
        </is>
      </c>
      <c r="E52" t="inlineStr">
        <is>
          <t>RAGUNDA</t>
        </is>
      </c>
      <c r="F52" t="inlineStr">
        <is>
          <t>SCA</t>
        </is>
      </c>
      <c r="G52" t="n">
        <v>3.5</v>
      </c>
      <c r="H52" t="n">
        <v>0</v>
      </c>
      <c r="I52" t="n">
        <v>4</v>
      </c>
      <c r="J52" t="n">
        <v>4</v>
      </c>
      <c r="K52" t="n">
        <v>1</v>
      </c>
      <c r="L52" t="n">
        <v>0</v>
      </c>
      <c r="M52" t="n">
        <v>0</v>
      </c>
      <c r="N52" t="n">
        <v>0</v>
      </c>
      <c r="O52" t="n">
        <v>5</v>
      </c>
      <c r="P52" t="n">
        <v>1</v>
      </c>
      <c r="Q52" t="n">
        <v>9</v>
      </c>
      <c r="R52" s="2" t="inlineStr">
        <is>
          <t>Rynkskinn
Garnlav
Granticka
Lunglav
Stiftgelélav
Bårdlav
Gytterlav
Skinnlav
Stor aspticka</t>
        </is>
      </c>
      <c r="S52">
        <f>HYPERLINK("https://klasma.github.io/Logging_2303/artfynd/A 45008-2023 artfynd.xlsx", "A 45008-2023")</f>
        <v/>
      </c>
      <c r="T52">
        <f>HYPERLINK("https://klasma.github.io/Logging_2303/kartor/A 45008-2023 karta.png", "A 45008-2023")</f>
        <v/>
      </c>
      <c r="V52">
        <f>HYPERLINK("https://klasma.github.io/Logging_2303/klagomål/A 45008-2023 FSC-klagomål.docx", "A 45008-2023")</f>
        <v/>
      </c>
      <c r="W52">
        <f>HYPERLINK("https://klasma.github.io/Logging_2303/klagomålsmail/A 45008-2023 FSC-klagomål mail.docx", "A 45008-2023")</f>
        <v/>
      </c>
      <c r="X52">
        <f>HYPERLINK("https://klasma.github.io/Logging_2303/tillsyn/A 45008-2023 tillsynsbegäran.docx", "A 45008-2023")</f>
        <v/>
      </c>
      <c r="Y52">
        <f>HYPERLINK("https://klasma.github.io/Logging_2303/tillsynsmail/A 45008-2023 tillsynsbegäran mail.docx", "A 45008-2023")</f>
        <v/>
      </c>
    </row>
    <row r="53" ht="15" customHeight="1">
      <c r="A53" t="inlineStr">
        <is>
          <t>A 33822-2023</t>
        </is>
      </c>
      <c r="B53" s="1" t="n">
        <v>45121</v>
      </c>
      <c r="C53" s="1" t="n">
        <v>45966</v>
      </c>
      <c r="D53" t="inlineStr">
        <is>
          <t>JÄMTLANDS LÄN</t>
        </is>
      </c>
      <c r="E53" t="inlineStr">
        <is>
          <t>RAGUNDA</t>
        </is>
      </c>
      <c r="G53" t="n">
        <v>3.9</v>
      </c>
      <c r="H53" t="n">
        <v>1</v>
      </c>
      <c r="I53" t="n">
        <v>2</v>
      </c>
      <c r="J53" t="n">
        <v>7</v>
      </c>
      <c r="K53" t="n">
        <v>0</v>
      </c>
      <c r="L53" t="n">
        <v>0</v>
      </c>
      <c r="M53" t="n">
        <v>0</v>
      </c>
      <c r="N53" t="n">
        <v>0</v>
      </c>
      <c r="O53" t="n">
        <v>7</v>
      </c>
      <c r="P53" t="n">
        <v>0</v>
      </c>
      <c r="Q53" t="n">
        <v>9</v>
      </c>
      <c r="R53" s="2" t="inlineStr">
        <is>
          <t>Grynig filtlav
Lunglav
Skrovellav
Tretåig hackspett
Ullticka
Vedskivlav
Vitgrynig nållav
Strimspindling
Stuplav</t>
        </is>
      </c>
      <c r="S53">
        <f>HYPERLINK("https://klasma.github.io/Logging_2303/artfynd/A 33822-2023 artfynd.xlsx", "A 33822-2023")</f>
        <v/>
      </c>
      <c r="T53">
        <f>HYPERLINK("https://klasma.github.io/Logging_2303/kartor/A 33822-2023 karta.png", "A 33822-2023")</f>
        <v/>
      </c>
      <c r="V53">
        <f>HYPERLINK("https://klasma.github.io/Logging_2303/klagomål/A 33822-2023 FSC-klagomål.docx", "A 33822-2023")</f>
        <v/>
      </c>
      <c r="W53">
        <f>HYPERLINK("https://klasma.github.io/Logging_2303/klagomålsmail/A 33822-2023 FSC-klagomål mail.docx", "A 33822-2023")</f>
        <v/>
      </c>
      <c r="X53">
        <f>HYPERLINK("https://klasma.github.io/Logging_2303/tillsyn/A 33822-2023 tillsynsbegäran.docx", "A 33822-2023")</f>
        <v/>
      </c>
      <c r="Y53">
        <f>HYPERLINK("https://klasma.github.io/Logging_2303/tillsynsmail/A 33822-2023 tillsynsbegäran mail.docx", "A 33822-2023")</f>
        <v/>
      </c>
      <c r="Z53">
        <f>HYPERLINK("https://klasma.github.io/Logging_2303/fåglar/A 33822-2023 prioriterade fågelarter.docx", "A 33822-2023")</f>
        <v/>
      </c>
    </row>
    <row r="54" ht="15" customHeight="1">
      <c r="A54" t="inlineStr">
        <is>
          <t>A 62948-2021</t>
        </is>
      </c>
      <c r="B54" s="1" t="n">
        <v>44504</v>
      </c>
      <c r="C54" s="1" t="n">
        <v>45966</v>
      </c>
      <c r="D54" t="inlineStr">
        <is>
          <t>JÄMTLANDS LÄN</t>
        </is>
      </c>
      <c r="E54" t="inlineStr">
        <is>
          <t>RAGUNDA</t>
        </is>
      </c>
      <c r="F54" t="inlineStr">
        <is>
          <t>SCA</t>
        </is>
      </c>
      <c r="G54" t="n">
        <v>3.5</v>
      </c>
      <c r="H54" t="n">
        <v>2</v>
      </c>
      <c r="I54" t="n">
        <v>5</v>
      </c>
      <c r="J54" t="n">
        <v>4</v>
      </c>
      <c r="K54" t="n">
        <v>0</v>
      </c>
      <c r="L54" t="n">
        <v>0</v>
      </c>
      <c r="M54" t="n">
        <v>0</v>
      </c>
      <c r="N54" t="n">
        <v>0</v>
      </c>
      <c r="O54" t="n">
        <v>4</v>
      </c>
      <c r="P54" t="n">
        <v>0</v>
      </c>
      <c r="Q54" t="n">
        <v>9</v>
      </c>
      <c r="R54" s="2" t="inlineStr">
        <is>
          <t>Brunpudrad nållav
Garnlav
Ullticka
Vitgrynig nållav
Dropptaggsvamp
Grönkulla
Guckusko
Gulnål
Tibast</t>
        </is>
      </c>
      <c r="S54">
        <f>HYPERLINK("https://klasma.github.io/Logging_2303/artfynd/A 62948-2021 artfynd.xlsx", "A 62948-2021")</f>
        <v/>
      </c>
      <c r="T54">
        <f>HYPERLINK("https://klasma.github.io/Logging_2303/kartor/A 62948-2021 karta.png", "A 62948-2021")</f>
        <v/>
      </c>
      <c r="U54">
        <f>HYPERLINK("https://klasma.github.io/Logging_2303/knärot/A 62948-2021 karta knärot.png", "A 62948-2021")</f>
        <v/>
      </c>
      <c r="V54">
        <f>HYPERLINK("https://klasma.github.io/Logging_2303/klagomål/A 62948-2021 FSC-klagomål.docx", "A 62948-2021")</f>
        <v/>
      </c>
      <c r="W54">
        <f>HYPERLINK("https://klasma.github.io/Logging_2303/klagomålsmail/A 62948-2021 FSC-klagomål mail.docx", "A 62948-2021")</f>
        <v/>
      </c>
      <c r="X54">
        <f>HYPERLINK("https://klasma.github.io/Logging_2303/tillsyn/A 62948-2021 tillsynsbegäran.docx", "A 62948-2021")</f>
        <v/>
      </c>
      <c r="Y54">
        <f>HYPERLINK("https://klasma.github.io/Logging_2303/tillsynsmail/A 62948-2021 tillsynsbegäran mail.docx", "A 62948-2021")</f>
        <v/>
      </c>
    </row>
    <row r="55" ht="15" customHeight="1">
      <c r="A55" t="inlineStr">
        <is>
          <t>A 12372-2024</t>
        </is>
      </c>
      <c r="B55" s="1" t="n">
        <v>45378</v>
      </c>
      <c r="C55" s="1" t="n">
        <v>45966</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45966</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41406-2023</t>
        </is>
      </c>
      <c r="B57" s="1" t="n">
        <v>45174</v>
      </c>
      <c r="C57" s="1" t="n">
        <v>45966</v>
      </c>
      <c r="D57" t="inlineStr">
        <is>
          <t>JÄMTLANDS LÄN</t>
        </is>
      </c>
      <c r="E57" t="inlineStr">
        <is>
          <t>RAGUNDA</t>
        </is>
      </c>
      <c r="F57" t="inlineStr">
        <is>
          <t>SCA</t>
        </is>
      </c>
      <c r="G57" t="n">
        <v>8</v>
      </c>
      <c r="H57" t="n">
        <v>0</v>
      </c>
      <c r="I57" t="n">
        <v>1</v>
      </c>
      <c r="J57" t="n">
        <v>8</v>
      </c>
      <c r="K57" t="n">
        <v>0</v>
      </c>
      <c r="L57" t="n">
        <v>0</v>
      </c>
      <c r="M57" t="n">
        <v>0</v>
      </c>
      <c r="N57" t="n">
        <v>0</v>
      </c>
      <c r="O57" t="n">
        <v>8</v>
      </c>
      <c r="P57" t="n">
        <v>0</v>
      </c>
      <c r="Q57" t="n">
        <v>9</v>
      </c>
      <c r="R57" s="2" t="inlineStr">
        <is>
          <t>Dvärgbägarlav
Grönhjon
Lunglav
Nordtagging
Rosa skärelav
Rosenticka
Ullticka
Vitgrynig nållav
Kornig nållav</t>
        </is>
      </c>
      <c r="S57">
        <f>HYPERLINK("https://klasma.github.io/Logging_2303/artfynd/A 41406-2023 artfynd.xlsx", "A 41406-2023")</f>
        <v/>
      </c>
      <c r="T57">
        <f>HYPERLINK("https://klasma.github.io/Logging_2303/kartor/A 41406-2023 karta.png", "A 41406-2023")</f>
        <v/>
      </c>
      <c r="V57">
        <f>HYPERLINK("https://klasma.github.io/Logging_2303/klagomål/A 41406-2023 FSC-klagomål.docx", "A 41406-2023")</f>
        <v/>
      </c>
      <c r="W57">
        <f>HYPERLINK("https://klasma.github.io/Logging_2303/klagomålsmail/A 41406-2023 FSC-klagomål mail.docx", "A 41406-2023")</f>
        <v/>
      </c>
      <c r="X57">
        <f>HYPERLINK("https://klasma.github.io/Logging_2303/tillsyn/A 41406-2023 tillsynsbegäran.docx", "A 41406-2023")</f>
        <v/>
      </c>
      <c r="Y57">
        <f>HYPERLINK("https://klasma.github.io/Logging_2303/tillsynsmail/A 41406-2023 tillsynsbegäran mail.docx", "A 41406-2023")</f>
        <v/>
      </c>
    </row>
    <row r="58" ht="15" customHeight="1">
      <c r="A58" t="inlineStr">
        <is>
          <t>A 51037-2025</t>
        </is>
      </c>
      <c r="B58" s="1" t="n">
        <v>45947.40729166667</v>
      </c>
      <c r="C58" s="1" t="n">
        <v>45966</v>
      </c>
      <c r="D58" t="inlineStr">
        <is>
          <t>JÄMTLANDS LÄN</t>
        </is>
      </c>
      <c r="E58" t="inlineStr">
        <is>
          <t>RAGUNDA</t>
        </is>
      </c>
      <c r="F58" t="inlineStr">
        <is>
          <t>SCA</t>
        </is>
      </c>
      <c r="G58" t="n">
        <v>3.8</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51037-2025 artfynd.xlsx", "A 51037-2025")</f>
        <v/>
      </c>
      <c r="T58">
        <f>HYPERLINK("https://klasma.github.io/Logging_2303/kartor/A 51037-2025 karta.png", "A 51037-2025")</f>
        <v/>
      </c>
      <c r="U58">
        <f>HYPERLINK("https://klasma.github.io/Logging_2303/knärot/A 51037-2025 karta knärot.png", "A 51037-2025")</f>
        <v/>
      </c>
      <c r="V58">
        <f>HYPERLINK("https://klasma.github.io/Logging_2303/klagomål/A 51037-2025 FSC-klagomål.docx", "A 51037-2025")</f>
        <v/>
      </c>
      <c r="W58">
        <f>HYPERLINK("https://klasma.github.io/Logging_2303/klagomålsmail/A 51037-2025 FSC-klagomål mail.docx", "A 51037-2025")</f>
        <v/>
      </c>
      <c r="X58">
        <f>HYPERLINK("https://klasma.github.io/Logging_2303/tillsyn/A 51037-2025 tillsynsbegäran.docx", "A 51037-2025")</f>
        <v/>
      </c>
      <c r="Y58">
        <f>HYPERLINK("https://klasma.github.io/Logging_2303/tillsynsmail/A 51037-2025 tillsynsbegäran mail.docx", "A 51037-2025")</f>
        <v/>
      </c>
    </row>
    <row r="59" ht="15" customHeight="1">
      <c r="A59" t="inlineStr">
        <is>
          <t>A 49239-2024</t>
        </is>
      </c>
      <c r="B59" s="1" t="n">
        <v>45595.44886574074</v>
      </c>
      <c r="C59" s="1" t="n">
        <v>45966</v>
      </c>
      <c r="D59" t="inlineStr">
        <is>
          <t>JÄMTLANDS LÄN</t>
        </is>
      </c>
      <c r="E59" t="inlineStr">
        <is>
          <t>RAGUNDA</t>
        </is>
      </c>
      <c r="F59" t="inlineStr">
        <is>
          <t>SCA</t>
        </is>
      </c>
      <c r="G59" t="n">
        <v>2.7</v>
      </c>
      <c r="H59" t="n">
        <v>4</v>
      </c>
      <c r="I59" t="n">
        <v>0</v>
      </c>
      <c r="J59" t="n">
        <v>6</v>
      </c>
      <c r="K59" t="n">
        <v>0</v>
      </c>
      <c r="L59" t="n">
        <v>0</v>
      </c>
      <c r="M59" t="n">
        <v>0</v>
      </c>
      <c r="N59" t="n">
        <v>0</v>
      </c>
      <c r="O59" t="n">
        <v>6</v>
      </c>
      <c r="P59" t="n">
        <v>0</v>
      </c>
      <c r="Q59" t="n">
        <v>8</v>
      </c>
      <c r="R59" s="2" t="inlineStr">
        <is>
          <t>Garnlav
Harticka
Lunglav
Mindre hackspett
Tretåig hackspett
Vitgrynig nållav
Tjäder
Revlummer</t>
        </is>
      </c>
      <c r="S59">
        <f>HYPERLINK("https://klasma.github.io/Logging_2303/artfynd/A 49239-2024 artfynd.xlsx", "A 49239-2024")</f>
        <v/>
      </c>
      <c r="T59">
        <f>HYPERLINK("https://klasma.github.io/Logging_2303/kartor/A 49239-2024 karta.png", "A 49239-2024")</f>
        <v/>
      </c>
      <c r="V59">
        <f>HYPERLINK("https://klasma.github.io/Logging_2303/klagomål/A 49239-2024 FSC-klagomål.docx", "A 49239-2024")</f>
        <v/>
      </c>
      <c r="W59">
        <f>HYPERLINK("https://klasma.github.io/Logging_2303/klagomålsmail/A 49239-2024 FSC-klagomål mail.docx", "A 49239-2024")</f>
        <v/>
      </c>
      <c r="X59">
        <f>HYPERLINK("https://klasma.github.io/Logging_2303/tillsyn/A 49239-2024 tillsynsbegäran.docx", "A 49239-2024")</f>
        <v/>
      </c>
      <c r="Y59">
        <f>HYPERLINK("https://klasma.github.io/Logging_2303/tillsynsmail/A 49239-2024 tillsynsbegäran mail.docx", "A 49239-2024")</f>
        <v/>
      </c>
      <c r="Z59">
        <f>HYPERLINK("https://klasma.github.io/Logging_2303/fåglar/A 49239-2024 prioriterade fågelarter.docx", "A 49239-2024")</f>
        <v/>
      </c>
    </row>
    <row r="60" ht="15" customHeight="1">
      <c r="A60" t="inlineStr">
        <is>
          <t>A 24732-2025</t>
        </is>
      </c>
      <c r="B60" s="1" t="n">
        <v>45799.34421296296</v>
      </c>
      <c r="C60" s="1" t="n">
        <v>45966</v>
      </c>
      <c r="D60" t="inlineStr">
        <is>
          <t>JÄMTLANDS LÄN</t>
        </is>
      </c>
      <c r="E60" t="inlineStr">
        <is>
          <t>RAGUNDA</t>
        </is>
      </c>
      <c r="F60" t="inlineStr">
        <is>
          <t>SCA</t>
        </is>
      </c>
      <c r="G60" t="n">
        <v>16.2</v>
      </c>
      <c r="H60" t="n">
        <v>1</v>
      </c>
      <c r="I60" t="n">
        <v>3</v>
      </c>
      <c r="J60" t="n">
        <v>4</v>
      </c>
      <c r="K60" t="n">
        <v>1</v>
      </c>
      <c r="L60" t="n">
        <v>0</v>
      </c>
      <c r="M60" t="n">
        <v>0</v>
      </c>
      <c r="N60" t="n">
        <v>0</v>
      </c>
      <c r="O60" t="n">
        <v>5</v>
      </c>
      <c r="P60" t="n">
        <v>1</v>
      </c>
      <c r="Q60" t="n">
        <v>8</v>
      </c>
      <c r="R60" s="2" t="inlineStr">
        <is>
          <t>Knärot
Gammelgransskål
Garnlav
Lunglav
Vitgrynig nållav
Bollvitmossa
Skarp dropptaggsvamp
Svavelriska</t>
        </is>
      </c>
      <c r="S60">
        <f>HYPERLINK("https://klasma.github.io/Logging_2303/artfynd/A 24732-2025 artfynd.xlsx", "A 24732-2025")</f>
        <v/>
      </c>
      <c r="T60">
        <f>HYPERLINK("https://klasma.github.io/Logging_2303/kartor/A 24732-2025 karta.png", "A 24732-2025")</f>
        <v/>
      </c>
      <c r="U60">
        <f>HYPERLINK("https://klasma.github.io/Logging_2303/knärot/A 24732-2025 karta knärot.png", "A 24732-2025")</f>
        <v/>
      </c>
      <c r="V60">
        <f>HYPERLINK("https://klasma.github.io/Logging_2303/klagomål/A 24732-2025 FSC-klagomål.docx", "A 24732-2025")</f>
        <v/>
      </c>
      <c r="W60">
        <f>HYPERLINK("https://klasma.github.io/Logging_2303/klagomålsmail/A 24732-2025 FSC-klagomål mail.docx", "A 24732-2025")</f>
        <v/>
      </c>
      <c r="X60">
        <f>HYPERLINK("https://klasma.github.io/Logging_2303/tillsyn/A 24732-2025 tillsynsbegäran.docx", "A 24732-2025")</f>
        <v/>
      </c>
      <c r="Y60">
        <f>HYPERLINK("https://klasma.github.io/Logging_2303/tillsynsmail/A 24732-2025 tillsynsbegäran mail.docx", "A 24732-2025")</f>
        <v/>
      </c>
    </row>
    <row r="61" ht="15" customHeight="1">
      <c r="A61" t="inlineStr">
        <is>
          <t>A 30335-2025</t>
        </is>
      </c>
      <c r="B61" s="1" t="n">
        <v>45827.5110300926</v>
      </c>
      <c r="C61" s="1" t="n">
        <v>45966</v>
      </c>
      <c r="D61" t="inlineStr">
        <is>
          <t>JÄMTLANDS LÄN</t>
        </is>
      </c>
      <c r="E61" t="inlineStr">
        <is>
          <t>RAGUNDA</t>
        </is>
      </c>
      <c r="F61" t="inlineStr">
        <is>
          <t>SCA</t>
        </is>
      </c>
      <c r="G61" t="n">
        <v>7.7</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30335-2025 artfynd.xlsx", "A 30335-2025")</f>
        <v/>
      </c>
      <c r="T61">
        <f>HYPERLINK("https://klasma.github.io/Logging_2303/kartor/A 30335-2025 karta.png", "A 30335-2025")</f>
        <v/>
      </c>
      <c r="U61">
        <f>HYPERLINK("https://klasma.github.io/Logging_2303/knärot/A 30335-2025 karta knärot.png", "A 30335-2025")</f>
        <v/>
      </c>
      <c r="V61">
        <f>HYPERLINK("https://klasma.github.io/Logging_2303/klagomål/A 30335-2025 FSC-klagomål.docx", "A 30335-2025")</f>
        <v/>
      </c>
      <c r="W61">
        <f>HYPERLINK("https://klasma.github.io/Logging_2303/klagomålsmail/A 30335-2025 FSC-klagomål mail.docx", "A 30335-2025")</f>
        <v/>
      </c>
      <c r="X61">
        <f>HYPERLINK("https://klasma.github.io/Logging_2303/tillsyn/A 30335-2025 tillsynsbegäran.docx", "A 30335-2025")</f>
        <v/>
      </c>
      <c r="Y61">
        <f>HYPERLINK("https://klasma.github.io/Logging_2303/tillsynsmail/A 30335-2025 tillsynsbegäran mail.docx", "A 30335-2025")</f>
        <v/>
      </c>
    </row>
    <row r="62" ht="15" customHeight="1">
      <c r="A62" t="inlineStr">
        <is>
          <t>A 3634-2024</t>
        </is>
      </c>
      <c r="B62" s="1" t="n">
        <v>45320</v>
      </c>
      <c r="C62" s="1" t="n">
        <v>45966</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32475-2023</t>
        </is>
      </c>
      <c r="B63" s="1" t="n">
        <v>45120</v>
      </c>
      <c r="C63" s="1" t="n">
        <v>45966</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15665-2022</t>
        </is>
      </c>
      <c r="B64" s="1" t="n">
        <v>44662</v>
      </c>
      <c r="C64" s="1" t="n">
        <v>45966</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45966</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61386-2022</t>
        </is>
      </c>
      <c r="B66" s="1" t="n">
        <v>44915</v>
      </c>
      <c r="C66" s="1" t="n">
        <v>45966</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45966</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20397-2024</t>
        </is>
      </c>
      <c r="B68" s="1" t="n">
        <v>45435.54734953704</v>
      </c>
      <c r="C68" s="1" t="n">
        <v>45966</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15977-2024</t>
        </is>
      </c>
      <c r="B69" s="1" t="n">
        <v>45405.57392361111</v>
      </c>
      <c r="C69" s="1" t="n">
        <v>45966</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41929-2023</t>
        </is>
      </c>
      <c r="B70" s="1" t="n">
        <v>45176</v>
      </c>
      <c r="C70" s="1" t="n">
        <v>45966</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26750-2025</t>
        </is>
      </c>
      <c r="B71" s="1" t="n">
        <v>45810.55061342593</v>
      </c>
      <c r="C71" s="1" t="n">
        <v>45966</v>
      </c>
      <c r="D71" t="inlineStr">
        <is>
          <t>JÄMTLANDS LÄN</t>
        </is>
      </c>
      <c r="E71" t="inlineStr">
        <is>
          <t>RAGUNDA</t>
        </is>
      </c>
      <c r="G71" t="n">
        <v>18</v>
      </c>
      <c r="H71" t="n">
        <v>0</v>
      </c>
      <c r="I71" t="n">
        <v>3</v>
      </c>
      <c r="J71" t="n">
        <v>4</v>
      </c>
      <c r="K71" t="n">
        <v>0</v>
      </c>
      <c r="L71" t="n">
        <v>0</v>
      </c>
      <c r="M71" t="n">
        <v>0</v>
      </c>
      <c r="N71" t="n">
        <v>0</v>
      </c>
      <c r="O71" t="n">
        <v>4</v>
      </c>
      <c r="P71" t="n">
        <v>0</v>
      </c>
      <c r="Q71" t="n">
        <v>7</v>
      </c>
      <c r="R71" s="2" t="inlineStr">
        <is>
          <t>Blå taggsvamp
Orange taggsvamp
Skrovlig taggsvamp
Svartvit taggsvamp
Dropptaggsvamp
Rödfläckig zontaggsvamp
Skarp dropptaggsvamp</t>
        </is>
      </c>
      <c r="S71">
        <f>HYPERLINK("https://klasma.github.io/Logging_2303/artfynd/A 26750-2025 artfynd.xlsx", "A 26750-2025")</f>
        <v/>
      </c>
      <c r="T71">
        <f>HYPERLINK("https://klasma.github.io/Logging_2303/kartor/A 26750-2025 karta.png", "A 26750-2025")</f>
        <v/>
      </c>
      <c r="V71">
        <f>HYPERLINK("https://klasma.github.io/Logging_2303/klagomål/A 26750-2025 FSC-klagomål.docx", "A 26750-2025")</f>
        <v/>
      </c>
      <c r="W71">
        <f>HYPERLINK("https://klasma.github.io/Logging_2303/klagomålsmail/A 26750-2025 FSC-klagomål mail.docx", "A 26750-2025")</f>
        <v/>
      </c>
      <c r="X71">
        <f>HYPERLINK("https://klasma.github.io/Logging_2303/tillsyn/A 26750-2025 tillsynsbegäran.docx", "A 26750-2025")</f>
        <v/>
      </c>
      <c r="Y71">
        <f>HYPERLINK("https://klasma.github.io/Logging_2303/tillsynsmail/A 26750-2025 tillsynsbegäran mail.docx", "A 26750-2025")</f>
        <v/>
      </c>
    </row>
    <row r="72" ht="15" customHeight="1">
      <c r="A72" t="inlineStr">
        <is>
          <t>A 19399-2025</t>
        </is>
      </c>
      <c r="B72" s="1" t="n">
        <v>45769.67740740741</v>
      </c>
      <c r="C72" s="1" t="n">
        <v>45966</v>
      </c>
      <c r="D72" t="inlineStr">
        <is>
          <t>JÄMTLANDS LÄN</t>
        </is>
      </c>
      <c r="E72" t="inlineStr">
        <is>
          <t>RAGUNDA</t>
        </is>
      </c>
      <c r="F72" t="inlineStr">
        <is>
          <t>SCA</t>
        </is>
      </c>
      <c r="G72" t="n">
        <v>3.8</v>
      </c>
      <c r="H72" t="n">
        <v>2</v>
      </c>
      <c r="I72" t="n">
        <v>2</v>
      </c>
      <c r="J72" t="n">
        <v>4</v>
      </c>
      <c r="K72" t="n">
        <v>0</v>
      </c>
      <c r="L72" t="n">
        <v>0</v>
      </c>
      <c r="M72" t="n">
        <v>0</v>
      </c>
      <c r="N72" t="n">
        <v>0</v>
      </c>
      <c r="O72" t="n">
        <v>4</v>
      </c>
      <c r="P72" t="n">
        <v>0</v>
      </c>
      <c r="Q72" t="n">
        <v>7</v>
      </c>
      <c r="R72" s="2" t="inlineStr">
        <is>
          <t>Lunglav
Skrovellav
Tretåig hackspett
Ullticka
Skinnlav
Stuplav
Nattviol</t>
        </is>
      </c>
      <c r="S72">
        <f>HYPERLINK("https://klasma.github.io/Logging_2303/artfynd/A 19399-2025 artfynd.xlsx", "A 19399-2025")</f>
        <v/>
      </c>
      <c r="T72">
        <f>HYPERLINK("https://klasma.github.io/Logging_2303/kartor/A 19399-2025 karta.png", "A 19399-2025")</f>
        <v/>
      </c>
      <c r="V72">
        <f>HYPERLINK("https://klasma.github.io/Logging_2303/klagomål/A 19399-2025 FSC-klagomål.docx", "A 19399-2025")</f>
        <v/>
      </c>
      <c r="W72">
        <f>HYPERLINK("https://klasma.github.io/Logging_2303/klagomålsmail/A 19399-2025 FSC-klagomål mail.docx", "A 19399-2025")</f>
        <v/>
      </c>
      <c r="X72">
        <f>HYPERLINK("https://klasma.github.io/Logging_2303/tillsyn/A 19399-2025 tillsynsbegäran.docx", "A 19399-2025")</f>
        <v/>
      </c>
      <c r="Y72">
        <f>HYPERLINK("https://klasma.github.io/Logging_2303/tillsynsmail/A 19399-2025 tillsynsbegäran mail.docx", "A 19399-2025")</f>
        <v/>
      </c>
      <c r="Z72">
        <f>HYPERLINK("https://klasma.github.io/Logging_2303/fåglar/A 19399-2025 prioriterade fågelarter.docx", "A 19399-2025")</f>
        <v/>
      </c>
    </row>
    <row r="73" ht="15" customHeight="1">
      <c r="A73" t="inlineStr">
        <is>
          <t>A 24169-2021</t>
        </is>
      </c>
      <c r="B73" s="1" t="n">
        <v>44336</v>
      </c>
      <c r="C73" s="1" t="n">
        <v>45966</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37237-2023</t>
        </is>
      </c>
      <c r="B74" s="1" t="n">
        <v>45155</v>
      </c>
      <c r="C74" s="1" t="n">
        <v>45966</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11829-2023</t>
        </is>
      </c>
      <c r="B75" s="1" t="n">
        <v>44994</v>
      </c>
      <c r="C75" s="1" t="n">
        <v>45966</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45966</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1762-2021</t>
        </is>
      </c>
      <c r="B77" s="1" t="n">
        <v>44209</v>
      </c>
      <c r="C77" s="1" t="n">
        <v>45966</v>
      </c>
      <c r="D77" t="inlineStr">
        <is>
          <t>JÄMTLANDS LÄN</t>
        </is>
      </c>
      <c r="E77" t="inlineStr">
        <is>
          <t>RAGUNDA</t>
        </is>
      </c>
      <c r="G77" t="n">
        <v>1</v>
      </c>
      <c r="H77" t="n">
        <v>2</v>
      </c>
      <c r="I77" t="n">
        <v>4</v>
      </c>
      <c r="J77" t="n">
        <v>0</v>
      </c>
      <c r="K77" t="n">
        <v>0</v>
      </c>
      <c r="L77" t="n">
        <v>0</v>
      </c>
      <c r="M77" t="n">
        <v>0</v>
      </c>
      <c r="N77" t="n">
        <v>0</v>
      </c>
      <c r="O77" t="n">
        <v>0</v>
      </c>
      <c r="P77" t="n">
        <v>0</v>
      </c>
      <c r="Q77" t="n">
        <v>6</v>
      </c>
      <c r="R77" s="2" t="inlineStr">
        <is>
          <t>Aspvedgnagare
Strutbräken
Svart trolldruva
Tibast
Blåsippa
Revlummer</t>
        </is>
      </c>
      <c r="S77">
        <f>HYPERLINK("https://klasma.github.io/Logging_2303/artfynd/A 1762-2021 artfynd.xlsx", "A 1762-2021")</f>
        <v/>
      </c>
      <c r="T77">
        <f>HYPERLINK("https://klasma.github.io/Logging_2303/kartor/A 1762-2021 karta.png", "A 1762-2021")</f>
        <v/>
      </c>
      <c r="V77">
        <f>HYPERLINK("https://klasma.github.io/Logging_2303/klagomål/A 1762-2021 FSC-klagomål.docx", "A 1762-2021")</f>
        <v/>
      </c>
      <c r="W77">
        <f>HYPERLINK("https://klasma.github.io/Logging_2303/klagomålsmail/A 1762-2021 FSC-klagomål mail.docx", "A 1762-2021")</f>
        <v/>
      </c>
      <c r="X77">
        <f>HYPERLINK("https://klasma.github.io/Logging_2303/tillsyn/A 1762-2021 tillsynsbegäran.docx", "A 1762-2021")</f>
        <v/>
      </c>
      <c r="Y77">
        <f>HYPERLINK("https://klasma.github.io/Logging_2303/tillsynsmail/A 1762-2021 tillsynsbegäran mail.docx", "A 1762-2021")</f>
        <v/>
      </c>
    </row>
    <row r="78" ht="15" customHeight="1">
      <c r="A78" t="inlineStr">
        <is>
          <t>A 26326-2024</t>
        </is>
      </c>
      <c r="B78" s="1" t="n">
        <v>45468.97528935185</v>
      </c>
      <c r="C78" s="1" t="n">
        <v>45966</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27322-2024</t>
        </is>
      </c>
      <c r="B79" s="1" t="n">
        <v>45471.94783564815</v>
      </c>
      <c r="C79" s="1" t="n">
        <v>45966</v>
      </c>
      <c r="D79" t="inlineStr">
        <is>
          <t>JÄMTLANDS LÄN</t>
        </is>
      </c>
      <c r="E79" t="inlineStr">
        <is>
          <t>RAGUNDA</t>
        </is>
      </c>
      <c r="G79" t="n">
        <v>2.3</v>
      </c>
      <c r="H79" t="n">
        <v>1</v>
      </c>
      <c r="I79" t="n">
        <v>0</v>
      </c>
      <c r="J79" t="n">
        <v>5</v>
      </c>
      <c r="K79" t="n">
        <v>1</v>
      </c>
      <c r="L79" t="n">
        <v>0</v>
      </c>
      <c r="M79" t="n">
        <v>0</v>
      </c>
      <c r="N79" t="n">
        <v>0</v>
      </c>
      <c r="O79" t="n">
        <v>6</v>
      </c>
      <c r="P79" t="n">
        <v>1</v>
      </c>
      <c r="Q79" t="n">
        <v>6</v>
      </c>
      <c r="R79" s="2" t="inlineStr">
        <is>
          <t>Knärot
Gammelgransskål
Garnlav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39973-2025</t>
        </is>
      </c>
      <c r="B80" s="1" t="n">
        <v>45893.38584490741</v>
      </c>
      <c r="C80" s="1" t="n">
        <v>45966</v>
      </c>
      <c r="D80" t="inlineStr">
        <is>
          <t>JÄMTLANDS LÄN</t>
        </is>
      </c>
      <c r="E80" t="inlineStr">
        <is>
          <t>RAGUNDA</t>
        </is>
      </c>
      <c r="F80" t="inlineStr">
        <is>
          <t>Naturvårdsverket</t>
        </is>
      </c>
      <c r="G80" t="n">
        <v>8</v>
      </c>
      <c r="H80" t="n">
        <v>0</v>
      </c>
      <c r="I80" t="n">
        <v>1</v>
      </c>
      <c r="J80" t="n">
        <v>5</v>
      </c>
      <c r="K80" t="n">
        <v>0</v>
      </c>
      <c r="L80" t="n">
        <v>0</v>
      </c>
      <c r="M80" t="n">
        <v>0</v>
      </c>
      <c r="N80" t="n">
        <v>0</v>
      </c>
      <c r="O80" t="n">
        <v>5</v>
      </c>
      <c r="P80" t="n">
        <v>0</v>
      </c>
      <c r="Q80" t="n">
        <v>6</v>
      </c>
      <c r="R80" s="2" t="inlineStr">
        <is>
          <t>Granticka
Lunglav
Mörk kolflarnlav
Tallticka
Vedskivlav
Skinnlav</t>
        </is>
      </c>
      <c r="S80">
        <f>HYPERLINK("https://klasma.github.io/Logging_2303/artfynd/A 39973-2025 artfynd.xlsx", "A 39973-2025")</f>
        <v/>
      </c>
      <c r="T80">
        <f>HYPERLINK("https://klasma.github.io/Logging_2303/kartor/A 39973-2025 karta.png", "A 39973-2025")</f>
        <v/>
      </c>
      <c r="V80">
        <f>HYPERLINK("https://klasma.github.io/Logging_2303/klagomål/A 39973-2025 FSC-klagomål.docx", "A 39973-2025")</f>
        <v/>
      </c>
      <c r="W80">
        <f>HYPERLINK("https://klasma.github.io/Logging_2303/klagomålsmail/A 39973-2025 FSC-klagomål mail.docx", "A 39973-2025")</f>
        <v/>
      </c>
      <c r="X80">
        <f>HYPERLINK("https://klasma.github.io/Logging_2303/tillsyn/A 39973-2025 tillsynsbegäran.docx", "A 39973-2025")</f>
        <v/>
      </c>
      <c r="Y80">
        <f>HYPERLINK("https://klasma.github.io/Logging_2303/tillsynsmail/A 39973-2025 tillsynsbegäran mail.docx", "A 39973-2025")</f>
        <v/>
      </c>
    </row>
    <row r="81" ht="15" customHeight="1">
      <c r="A81" t="inlineStr">
        <is>
          <t>A 49291-2025</t>
        </is>
      </c>
      <c r="B81" s="1" t="n">
        <v>45938.53188657408</v>
      </c>
      <c r="C81" s="1" t="n">
        <v>45966</v>
      </c>
      <c r="D81" t="inlineStr">
        <is>
          <t>JÄMTLANDS LÄN</t>
        </is>
      </c>
      <c r="E81" t="inlineStr">
        <is>
          <t>RAGUNDA</t>
        </is>
      </c>
      <c r="F81" t="inlineStr">
        <is>
          <t>SCA</t>
        </is>
      </c>
      <c r="G81" t="n">
        <v>4.2</v>
      </c>
      <c r="H81" t="n">
        <v>1</v>
      </c>
      <c r="I81" t="n">
        <v>3</v>
      </c>
      <c r="J81" t="n">
        <v>2</v>
      </c>
      <c r="K81" t="n">
        <v>0</v>
      </c>
      <c r="L81" t="n">
        <v>0</v>
      </c>
      <c r="M81" t="n">
        <v>0</v>
      </c>
      <c r="N81" t="n">
        <v>0</v>
      </c>
      <c r="O81" t="n">
        <v>2</v>
      </c>
      <c r="P81" t="n">
        <v>0</v>
      </c>
      <c r="Q81" t="n">
        <v>6</v>
      </c>
      <c r="R81" s="2" t="inlineStr">
        <is>
          <t>Kolflarnlav
Lunglav
Korallblylav
Skinnlav
Vårärt
Blåsippa</t>
        </is>
      </c>
      <c r="S81">
        <f>HYPERLINK("https://klasma.github.io/Logging_2303/artfynd/A 49291-2025 artfynd.xlsx", "A 49291-2025")</f>
        <v/>
      </c>
      <c r="T81">
        <f>HYPERLINK("https://klasma.github.io/Logging_2303/kartor/A 49291-2025 karta.png", "A 49291-2025")</f>
        <v/>
      </c>
      <c r="V81">
        <f>HYPERLINK("https://klasma.github.io/Logging_2303/klagomål/A 49291-2025 FSC-klagomål.docx", "A 49291-2025")</f>
        <v/>
      </c>
      <c r="W81">
        <f>HYPERLINK("https://klasma.github.io/Logging_2303/klagomålsmail/A 49291-2025 FSC-klagomål mail.docx", "A 49291-2025")</f>
        <v/>
      </c>
      <c r="X81">
        <f>HYPERLINK("https://klasma.github.io/Logging_2303/tillsyn/A 49291-2025 tillsynsbegäran.docx", "A 49291-2025")</f>
        <v/>
      </c>
      <c r="Y81">
        <f>HYPERLINK("https://klasma.github.io/Logging_2303/tillsynsmail/A 49291-2025 tillsynsbegäran mail.docx", "A 49291-2025")</f>
        <v/>
      </c>
    </row>
    <row r="82" ht="15" customHeight="1">
      <c r="A82" t="inlineStr">
        <is>
          <t>A 34317-2025</t>
        </is>
      </c>
      <c r="B82" s="1" t="n">
        <v>45846.41361111111</v>
      </c>
      <c r="C82" s="1" t="n">
        <v>45966</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47115-2025</t>
        </is>
      </c>
      <c r="B83" s="1" t="n">
        <v>45929.67459490741</v>
      </c>
      <c r="C83" s="1" t="n">
        <v>45966</v>
      </c>
      <c r="D83" t="inlineStr">
        <is>
          <t>JÄMTLANDS LÄN</t>
        </is>
      </c>
      <c r="E83" t="inlineStr">
        <is>
          <t>RAGUNDA</t>
        </is>
      </c>
      <c r="G83" t="n">
        <v>6.4</v>
      </c>
      <c r="H83" t="n">
        <v>4</v>
      </c>
      <c r="I83" t="n">
        <v>0</v>
      </c>
      <c r="J83" t="n">
        <v>3</v>
      </c>
      <c r="K83" t="n">
        <v>2</v>
      </c>
      <c r="L83" t="n">
        <v>0</v>
      </c>
      <c r="M83" t="n">
        <v>0</v>
      </c>
      <c r="N83" t="n">
        <v>0</v>
      </c>
      <c r="O83" t="n">
        <v>5</v>
      </c>
      <c r="P83" t="n">
        <v>2</v>
      </c>
      <c r="Q83" t="n">
        <v>6</v>
      </c>
      <c r="R83" s="2" t="inlineStr">
        <is>
          <t>Doftticka
Knärot
Garnlav
Lunglav
Tretåig hackspett
Lavskrika</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30637-2024</t>
        </is>
      </c>
      <c r="B84" s="1" t="n">
        <v>45495.56244212963</v>
      </c>
      <c r="C84" s="1" t="n">
        <v>45966</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11828-2023</t>
        </is>
      </c>
      <c r="B85" s="1" t="n">
        <v>44994</v>
      </c>
      <c r="C85" s="1" t="n">
        <v>45966</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24431-2024</t>
        </is>
      </c>
      <c r="B86" s="1" t="n">
        <v>45457</v>
      </c>
      <c r="C86" s="1" t="n">
        <v>45966</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933-2023</t>
        </is>
      </c>
      <c r="B87" s="1" t="n">
        <v>44932</v>
      </c>
      <c r="C87" s="1" t="n">
        <v>45966</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19402-2025</t>
        </is>
      </c>
      <c r="B88" s="1" t="n">
        <v>45769.67778935185</v>
      </c>
      <c r="C88" s="1" t="n">
        <v>45966</v>
      </c>
      <c r="D88" t="inlineStr">
        <is>
          <t>JÄMTLANDS LÄN</t>
        </is>
      </c>
      <c r="E88" t="inlineStr">
        <is>
          <t>RAGUNDA</t>
        </is>
      </c>
      <c r="F88" t="inlineStr">
        <is>
          <t>SCA</t>
        </is>
      </c>
      <c r="G88" t="n">
        <v>3.1</v>
      </c>
      <c r="H88" t="n">
        <v>2</v>
      </c>
      <c r="I88" t="n">
        <v>3</v>
      </c>
      <c r="J88" t="n">
        <v>3</v>
      </c>
      <c r="K88" t="n">
        <v>0</v>
      </c>
      <c r="L88" t="n">
        <v>0</v>
      </c>
      <c r="M88" t="n">
        <v>0</v>
      </c>
      <c r="N88" t="n">
        <v>0</v>
      </c>
      <c r="O88" t="n">
        <v>3</v>
      </c>
      <c r="P88" t="n">
        <v>0</v>
      </c>
      <c r="Q88" t="n">
        <v>6</v>
      </c>
      <c r="R88" s="2" t="inlineStr">
        <is>
          <t>Garnlav
Lunglav
Tretåig hackspett
Bårdlav
Spindelblomster
Stuplav</t>
        </is>
      </c>
      <c r="S88">
        <f>HYPERLINK("https://klasma.github.io/Logging_2303/artfynd/A 19402-2025 artfynd.xlsx", "A 19402-2025")</f>
        <v/>
      </c>
      <c r="T88">
        <f>HYPERLINK("https://klasma.github.io/Logging_2303/kartor/A 19402-2025 karta.png", "A 19402-2025")</f>
        <v/>
      </c>
      <c r="V88">
        <f>HYPERLINK("https://klasma.github.io/Logging_2303/klagomål/A 19402-2025 FSC-klagomål.docx", "A 19402-2025")</f>
        <v/>
      </c>
      <c r="W88">
        <f>HYPERLINK("https://klasma.github.io/Logging_2303/klagomålsmail/A 19402-2025 FSC-klagomål mail.docx", "A 19402-2025")</f>
        <v/>
      </c>
      <c r="X88">
        <f>HYPERLINK("https://klasma.github.io/Logging_2303/tillsyn/A 19402-2025 tillsynsbegäran.docx", "A 19402-2025")</f>
        <v/>
      </c>
      <c r="Y88">
        <f>HYPERLINK("https://klasma.github.io/Logging_2303/tillsynsmail/A 19402-2025 tillsynsbegäran mail.docx", "A 19402-2025")</f>
        <v/>
      </c>
      <c r="Z88">
        <f>HYPERLINK("https://klasma.github.io/Logging_2303/fåglar/A 19402-2025 prioriterade fågelarter.docx", "A 19402-2025")</f>
        <v/>
      </c>
    </row>
    <row r="89" ht="15" customHeight="1">
      <c r="A89" t="inlineStr">
        <is>
          <t>A 30884-2025</t>
        </is>
      </c>
      <c r="B89" s="1" t="n">
        <v>45832.34564814815</v>
      </c>
      <c r="C89" s="1" t="n">
        <v>45966</v>
      </c>
      <c r="D89" t="inlineStr">
        <is>
          <t>JÄMTLANDS LÄN</t>
        </is>
      </c>
      <c r="E89" t="inlineStr">
        <is>
          <t>RAGUNDA</t>
        </is>
      </c>
      <c r="F89" t="inlineStr">
        <is>
          <t>SCA</t>
        </is>
      </c>
      <c r="G89" t="n">
        <v>5.7</v>
      </c>
      <c r="H89" t="n">
        <v>0</v>
      </c>
      <c r="I89" t="n">
        <v>1</v>
      </c>
      <c r="J89" t="n">
        <v>5</v>
      </c>
      <c r="K89" t="n">
        <v>0</v>
      </c>
      <c r="L89" t="n">
        <v>0</v>
      </c>
      <c r="M89" t="n">
        <v>0</v>
      </c>
      <c r="N89" t="n">
        <v>0</v>
      </c>
      <c r="O89" t="n">
        <v>5</v>
      </c>
      <c r="P89" t="n">
        <v>0</v>
      </c>
      <c r="Q89" t="n">
        <v>6</v>
      </c>
      <c r="R89" s="2" t="inlineStr">
        <is>
          <t>Garnlav
Granticka
Rosenticka
Stjärntagging
Ullticka
Rödgul trumpetsvamp</t>
        </is>
      </c>
      <c r="S89">
        <f>HYPERLINK("https://klasma.github.io/Logging_2303/artfynd/A 30884-2025 artfynd.xlsx", "A 30884-2025")</f>
        <v/>
      </c>
      <c r="T89">
        <f>HYPERLINK("https://klasma.github.io/Logging_2303/kartor/A 30884-2025 karta.png", "A 30884-2025")</f>
        <v/>
      </c>
      <c r="V89">
        <f>HYPERLINK("https://klasma.github.io/Logging_2303/klagomål/A 30884-2025 FSC-klagomål.docx", "A 30884-2025")</f>
        <v/>
      </c>
      <c r="W89">
        <f>HYPERLINK("https://klasma.github.io/Logging_2303/klagomålsmail/A 30884-2025 FSC-klagomål mail.docx", "A 30884-2025")</f>
        <v/>
      </c>
      <c r="X89">
        <f>HYPERLINK("https://klasma.github.io/Logging_2303/tillsyn/A 30884-2025 tillsynsbegäran.docx", "A 30884-2025")</f>
        <v/>
      </c>
      <c r="Y89">
        <f>HYPERLINK("https://klasma.github.io/Logging_2303/tillsynsmail/A 30884-2025 tillsynsbegäran mail.docx", "A 30884-2025")</f>
        <v/>
      </c>
    </row>
    <row r="90" ht="15" customHeight="1">
      <c r="A90" t="inlineStr">
        <is>
          <t>A 36276-2025</t>
        </is>
      </c>
      <c r="B90" s="1" t="n">
        <v>45867.63619212963</v>
      </c>
      <c r="C90" s="1" t="n">
        <v>45966</v>
      </c>
      <c r="D90" t="inlineStr">
        <is>
          <t>JÄMTLANDS LÄN</t>
        </is>
      </c>
      <c r="E90" t="inlineStr">
        <is>
          <t>RAGUNDA</t>
        </is>
      </c>
      <c r="F90" t="inlineStr">
        <is>
          <t>SCA</t>
        </is>
      </c>
      <c r="G90" t="n">
        <v>3.2</v>
      </c>
      <c r="H90" t="n">
        <v>1</v>
      </c>
      <c r="I90" t="n">
        <v>2</v>
      </c>
      <c r="J90" t="n">
        <v>3</v>
      </c>
      <c r="K90" t="n">
        <v>1</v>
      </c>
      <c r="L90" t="n">
        <v>0</v>
      </c>
      <c r="M90" t="n">
        <v>0</v>
      </c>
      <c r="N90" t="n">
        <v>0</v>
      </c>
      <c r="O90" t="n">
        <v>4</v>
      </c>
      <c r="P90" t="n">
        <v>1</v>
      </c>
      <c r="Q90" t="n">
        <v>6</v>
      </c>
      <c r="R90" s="2" t="inlineStr">
        <is>
          <t>Knärot
Garnlav
Lunglav
Ullticka
Grovticka
Stuplav</t>
        </is>
      </c>
      <c r="S90">
        <f>HYPERLINK("https://klasma.github.io/Logging_2303/artfynd/A 36276-2025 artfynd.xlsx", "A 36276-2025")</f>
        <v/>
      </c>
      <c r="T90">
        <f>HYPERLINK("https://klasma.github.io/Logging_2303/kartor/A 36276-2025 karta.png", "A 36276-2025")</f>
        <v/>
      </c>
      <c r="U90">
        <f>HYPERLINK("https://klasma.github.io/Logging_2303/knärot/A 36276-2025 karta knärot.png", "A 36276-2025")</f>
        <v/>
      </c>
      <c r="V90">
        <f>HYPERLINK("https://klasma.github.io/Logging_2303/klagomål/A 36276-2025 FSC-klagomål.docx", "A 36276-2025")</f>
        <v/>
      </c>
      <c r="W90">
        <f>HYPERLINK("https://klasma.github.io/Logging_2303/klagomålsmail/A 36276-2025 FSC-klagomål mail.docx", "A 36276-2025")</f>
        <v/>
      </c>
      <c r="X90">
        <f>HYPERLINK("https://klasma.github.io/Logging_2303/tillsyn/A 36276-2025 tillsynsbegäran.docx", "A 36276-2025")</f>
        <v/>
      </c>
      <c r="Y90">
        <f>HYPERLINK("https://klasma.github.io/Logging_2303/tillsynsmail/A 36276-2025 tillsynsbegäran mail.docx", "A 36276-2025")</f>
        <v/>
      </c>
    </row>
    <row r="91" ht="15" customHeight="1">
      <c r="A91" t="inlineStr">
        <is>
          <t>A 55646-2023</t>
        </is>
      </c>
      <c r="B91" s="1" t="n">
        <v>45238</v>
      </c>
      <c r="C91" s="1" t="n">
        <v>45966</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53021-2022</t>
        </is>
      </c>
      <c r="B92" s="1" t="n">
        <v>44875</v>
      </c>
      <c r="C92" s="1" t="n">
        <v>45966</v>
      </c>
      <c r="D92" t="inlineStr">
        <is>
          <t>JÄMTLANDS LÄN</t>
        </is>
      </c>
      <c r="E92" t="inlineStr">
        <is>
          <t>RAGUNDA</t>
        </is>
      </c>
      <c r="F92" t="inlineStr">
        <is>
          <t>SCA</t>
        </is>
      </c>
      <c r="G92" t="n">
        <v>6.1</v>
      </c>
      <c r="H92" t="n">
        <v>0</v>
      </c>
      <c r="I92" t="n">
        <v>2</v>
      </c>
      <c r="J92" t="n">
        <v>4</v>
      </c>
      <c r="K92" t="n">
        <v>0</v>
      </c>
      <c r="L92" t="n">
        <v>0</v>
      </c>
      <c r="M92" t="n">
        <v>0</v>
      </c>
      <c r="N92" t="n">
        <v>0</v>
      </c>
      <c r="O92" t="n">
        <v>4</v>
      </c>
      <c r="P92" t="n">
        <v>0</v>
      </c>
      <c r="Q92" t="n">
        <v>6</v>
      </c>
      <c r="R92" s="2" t="inlineStr">
        <is>
          <t>Gammelgransskål
Garnlav
Granticka
Vitgrynig nållav
Bollvitmossa
Ögonpyrola</t>
        </is>
      </c>
      <c r="S92">
        <f>HYPERLINK("https://klasma.github.io/Logging_2303/artfynd/A 53021-2022 artfynd.xlsx", "A 53021-2022")</f>
        <v/>
      </c>
      <c r="T92">
        <f>HYPERLINK("https://klasma.github.io/Logging_2303/kartor/A 53021-2022 karta.png", "A 53021-2022")</f>
        <v/>
      </c>
      <c r="V92">
        <f>HYPERLINK("https://klasma.github.io/Logging_2303/klagomål/A 53021-2022 FSC-klagomål.docx", "A 53021-2022")</f>
        <v/>
      </c>
      <c r="W92">
        <f>HYPERLINK("https://klasma.github.io/Logging_2303/klagomålsmail/A 53021-2022 FSC-klagomål mail.docx", "A 53021-2022")</f>
        <v/>
      </c>
      <c r="X92">
        <f>HYPERLINK("https://klasma.github.io/Logging_2303/tillsyn/A 53021-2022 tillsynsbegäran.docx", "A 53021-2022")</f>
        <v/>
      </c>
      <c r="Y92">
        <f>HYPERLINK("https://klasma.github.io/Logging_2303/tillsynsmail/A 53021-2022 tillsynsbegäran mail.docx", "A 53021-2022")</f>
        <v/>
      </c>
    </row>
    <row r="93" ht="15" customHeight="1">
      <c r="A93" t="inlineStr">
        <is>
          <t>A 14908-2022</t>
        </is>
      </c>
      <c r="B93" s="1" t="n">
        <v>44656</v>
      </c>
      <c r="C93" s="1" t="n">
        <v>45966</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57073-2023</t>
        </is>
      </c>
      <c r="B94" s="1" t="n">
        <v>45244</v>
      </c>
      <c r="C94" s="1" t="n">
        <v>45966</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Aspgelélav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18629-2024</t>
        </is>
      </c>
      <c r="B95" s="1" t="n">
        <v>45425.96472222222</v>
      </c>
      <c r="C95" s="1" t="n">
        <v>45966</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15379-2024</t>
        </is>
      </c>
      <c r="B96" s="1" t="n">
        <v>45400.94002314815</v>
      </c>
      <c r="C96" s="1" t="n">
        <v>45966</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13266-2023</t>
        </is>
      </c>
      <c r="B97" s="1" t="n">
        <v>45002.94356481481</v>
      </c>
      <c r="C97" s="1" t="n">
        <v>45966</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39974-2025</t>
        </is>
      </c>
      <c r="B98" s="1" t="n">
        <v>45893.38599537037</v>
      </c>
      <c r="C98" s="1" t="n">
        <v>45966</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38169-2024</t>
        </is>
      </c>
      <c r="B99" s="1" t="n">
        <v>45545.45748842593</v>
      </c>
      <c r="C99" s="1" t="n">
        <v>45966</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12024-2022</t>
        </is>
      </c>
      <c r="B100" s="1" t="n">
        <v>44635</v>
      </c>
      <c r="C100" s="1" t="n">
        <v>45966</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45969-2023</t>
        </is>
      </c>
      <c r="B101" s="1" t="n">
        <v>45195</v>
      </c>
      <c r="C101" s="1" t="n">
        <v>45966</v>
      </c>
      <c r="D101" t="inlineStr">
        <is>
          <t>JÄMTLANDS LÄN</t>
        </is>
      </c>
      <c r="E101" t="inlineStr">
        <is>
          <t>RAGUNDA</t>
        </is>
      </c>
      <c r="F101" t="inlineStr">
        <is>
          <t>SCA</t>
        </is>
      </c>
      <c r="G101" t="n">
        <v>9.300000000000001</v>
      </c>
      <c r="H101" t="n">
        <v>1</v>
      </c>
      <c r="I101" t="n">
        <v>4</v>
      </c>
      <c r="J101" t="n">
        <v>1</v>
      </c>
      <c r="K101" t="n">
        <v>0</v>
      </c>
      <c r="L101" t="n">
        <v>0</v>
      </c>
      <c r="M101" t="n">
        <v>0</v>
      </c>
      <c r="N101" t="n">
        <v>0</v>
      </c>
      <c r="O101" t="n">
        <v>1</v>
      </c>
      <c r="P101" t="n">
        <v>0</v>
      </c>
      <c r="Q101" t="n">
        <v>5</v>
      </c>
      <c r="R101" s="2" t="inlineStr">
        <is>
          <t>Lunglav
Dropptaggsvamp
Grönpyrola
Plattlummer
Skarp dropptaggsvamp</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22469-2024</t>
        </is>
      </c>
      <c r="B102" s="1" t="n">
        <v>45446.95087962963</v>
      </c>
      <c r="C102" s="1" t="n">
        <v>45966</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43106-2023</t>
        </is>
      </c>
      <c r="B103" s="1" t="n">
        <v>45182</v>
      </c>
      <c r="C103" s="1" t="n">
        <v>45966</v>
      </c>
      <c r="D103" t="inlineStr">
        <is>
          <t>JÄMTLANDS LÄN</t>
        </is>
      </c>
      <c r="E103" t="inlineStr">
        <is>
          <t>RAGUNDA</t>
        </is>
      </c>
      <c r="F103" t="inlineStr">
        <is>
          <t>SCA</t>
        </is>
      </c>
      <c r="G103" t="n">
        <v>7.6</v>
      </c>
      <c r="H103" t="n">
        <v>0</v>
      </c>
      <c r="I103" t="n">
        <v>0</v>
      </c>
      <c r="J103" t="n">
        <v>5</v>
      </c>
      <c r="K103" t="n">
        <v>0</v>
      </c>
      <c r="L103" t="n">
        <v>0</v>
      </c>
      <c r="M103" t="n">
        <v>0</v>
      </c>
      <c r="N103" t="n">
        <v>0</v>
      </c>
      <c r="O103" t="n">
        <v>5</v>
      </c>
      <c r="P103" t="n">
        <v>0</v>
      </c>
      <c r="Q103" t="n">
        <v>5</v>
      </c>
      <c r="R103" s="2" t="inlineStr">
        <is>
          <t>Blanksvart spiklav
Blågrå svartspik
Harticka
Rosenticka
Ullticka</t>
        </is>
      </c>
      <c r="S103">
        <f>HYPERLINK("https://klasma.github.io/Logging_2303/artfynd/A 43106-2023 artfynd.xlsx", "A 43106-2023")</f>
        <v/>
      </c>
      <c r="T103">
        <f>HYPERLINK("https://klasma.github.io/Logging_2303/kartor/A 43106-2023 karta.png", "A 43106-2023")</f>
        <v/>
      </c>
      <c r="V103">
        <f>HYPERLINK("https://klasma.github.io/Logging_2303/klagomål/A 43106-2023 FSC-klagomål.docx", "A 43106-2023")</f>
        <v/>
      </c>
      <c r="W103">
        <f>HYPERLINK("https://klasma.github.io/Logging_2303/klagomålsmail/A 43106-2023 FSC-klagomål mail.docx", "A 43106-2023")</f>
        <v/>
      </c>
      <c r="X103">
        <f>HYPERLINK("https://klasma.github.io/Logging_2303/tillsyn/A 43106-2023 tillsynsbegäran.docx", "A 43106-2023")</f>
        <v/>
      </c>
      <c r="Y103">
        <f>HYPERLINK("https://klasma.github.io/Logging_2303/tillsynsmail/A 43106-2023 tillsynsbegäran mail.docx", "A 43106-2023")</f>
        <v/>
      </c>
    </row>
    <row r="104" ht="15" customHeight="1">
      <c r="A104" t="inlineStr">
        <is>
          <t>A 30886-2025</t>
        </is>
      </c>
      <c r="B104" s="1" t="n">
        <v>45832.34578703704</v>
      </c>
      <c r="C104" s="1" t="n">
        <v>45966</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35344-2025</t>
        </is>
      </c>
      <c r="B105" s="1" t="n">
        <v>45854.61494212963</v>
      </c>
      <c r="C105" s="1" t="n">
        <v>45966</v>
      </c>
      <c r="D105" t="inlineStr">
        <is>
          <t>JÄMTLANDS LÄN</t>
        </is>
      </c>
      <c r="E105" t="inlineStr">
        <is>
          <t>RAGUNDA</t>
        </is>
      </c>
      <c r="F105" t="inlineStr">
        <is>
          <t>SCA</t>
        </is>
      </c>
      <c r="G105" t="n">
        <v>6.1</v>
      </c>
      <c r="H105" t="n">
        <v>0</v>
      </c>
      <c r="I105" t="n">
        <v>0</v>
      </c>
      <c r="J105" t="n">
        <v>5</v>
      </c>
      <c r="K105" t="n">
        <v>0</v>
      </c>
      <c r="L105" t="n">
        <v>0</v>
      </c>
      <c r="M105" t="n">
        <v>0</v>
      </c>
      <c r="N105" t="n">
        <v>0</v>
      </c>
      <c r="O105" t="n">
        <v>5</v>
      </c>
      <c r="P105" t="n">
        <v>0</v>
      </c>
      <c r="Q105" t="n">
        <v>5</v>
      </c>
      <c r="R105" s="2" t="inlineStr">
        <is>
          <t>Blå taggsvamp
Garnlav
Lunglav
Svart taggsvamp
Vedtrappmossa</t>
        </is>
      </c>
      <c r="S105">
        <f>HYPERLINK("https://klasma.github.io/Logging_2303/artfynd/A 35344-2025 artfynd.xlsx", "A 35344-2025")</f>
        <v/>
      </c>
      <c r="T105">
        <f>HYPERLINK("https://klasma.github.io/Logging_2303/kartor/A 35344-2025 karta.png", "A 35344-2025")</f>
        <v/>
      </c>
      <c r="V105">
        <f>HYPERLINK("https://klasma.github.io/Logging_2303/klagomål/A 35344-2025 FSC-klagomål.docx", "A 35344-2025")</f>
        <v/>
      </c>
      <c r="W105">
        <f>HYPERLINK("https://klasma.github.io/Logging_2303/klagomålsmail/A 35344-2025 FSC-klagomål mail.docx", "A 35344-2025")</f>
        <v/>
      </c>
      <c r="X105">
        <f>HYPERLINK("https://klasma.github.io/Logging_2303/tillsyn/A 35344-2025 tillsynsbegäran.docx", "A 35344-2025")</f>
        <v/>
      </c>
      <c r="Y105">
        <f>HYPERLINK("https://klasma.github.io/Logging_2303/tillsynsmail/A 35344-2025 tillsynsbegäran mail.docx", "A 35344-2025")</f>
        <v/>
      </c>
    </row>
    <row r="106" ht="15" customHeight="1">
      <c r="A106" t="inlineStr">
        <is>
          <t>A 2579-2025</t>
        </is>
      </c>
      <c r="B106" s="1" t="n">
        <v>45674.67744212963</v>
      </c>
      <c r="C106" s="1" t="n">
        <v>45966</v>
      </c>
      <c r="D106" t="inlineStr">
        <is>
          <t>JÄMTLANDS LÄN</t>
        </is>
      </c>
      <c r="E106" t="inlineStr">
        <is>
          <t>RAGUNDA</t>
        </is>
      </c>
      <c r="F106" t="inlineStr">
        <is>
          <t>SCA</t>
        </is>
      </c>
      <c r="G106" t="n">
        <v>5.5</v>
      </c>
      <c r="H106" t="n">
        <v>3</v>
      </c>
      <c r="I106" t="n">
        <v>0</v>
      </c>
      <c r="J106" t="n">
        <v>4</v>
      </c>
      <c r="K106" t="n">
        <v>0</v>
      </c>
      <c r="L106" t="n">
        <v>0</v>
      </c>
      <c r="M106" t="n">
        <v>0</v>
      </c>
      <c r="N106" t="n">
        <v>0</v>
      </c>
      <c r="O106" t="n">
        <v>4</v>
      </c>
      <c r="P106" t="n">
        <v>0</v>
      </c>
      <c r="Q106" t="n">
        <v>5</v>
      </c>
      <c r="R106" s="2" t="inlineStr">
        <is>
          <t>Granticka
Rosenticka
Rördrom
Spillkråka
Revlummer</t>
        </is>
      </c>
      <c r="S106">
        <f>HYPERLINK("https://klasma.github.io/Logging_2303/artfynd/A 2579-2025 artfynd.xlsx", "A 2579-2025")</f>
        <v/>
      </c>
      <c r="T106">
        <f>HYPERLINK("https://klasma.github.io/Logging_2303/kartor/A 2579-2025 karta.png", "A 2579-2025")</f>
        <v/>
      </c>
      <c r="V106">
        <f>HYPERLINK("https://klasma.github.io/Logging_2303/klagomål/A 2579-2025 FSC-klagomål.docx", "A 2579-2025")</f>
        <v/>
      </c>
      <c r="W106">
        <f>HYPERLINK("https://klasma.github.io/Logging_2303/klagomålsmail/A 2579-2025 FSC-klagomål mail.docx", "A 2579-2025")</f>
        <v/>
      </c>
      <c r="X106">
        <f>HYPERLINK("https://klasma.github.io/Logging_2303/tillsyn/A 2579-2025 tillsynsbegäran.docx", "A 2579-2025")</f>
        <v/>
      </c>
      <c r="Y106">
        <f>HYPERLINK("https://klasma.github.io/Logging_2303/tillsynsmail/A 2579-2025 tillsynsbegäran mail.docx", "A 2579-2025")</f>
        <v/>
      </c>
      <c r="Z106">
        <f>HYPERLINK("https://klasma.github.io/Logging_2303/fåglar/A 2579-2025 prioriterade fågelarter.docx", "A 2579-2025")</f>
        <v/>
      </c>
    </row>
    <row r="107" ht="15" customHeight="1">
      <c r="A107" t="inlineStr">
        <is>
          <t>A 60683-2022</t>
        </is>
      </c>
      <c r="B107" s="1" t="n">
        <v>44911</v>
      </c>
      <c r="C107" s="1" t="n">
        <v>45966</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39365-2024</t>
        </is>
      </c>
      <c r="B108" s="1" t="n">
        <v>45551.46912037037</v>
      </c>
      <c r="C108" s="1" t="n">
        <v>45966</v>
      </c>
      <c r="D108" t="inlineStr">
        <is>
          <t>JÄMTLANDS LÄN</t>
        </is>
      </c>
      <c r="E108" t="inlineStr">
        <is>
          <t>RAGUNDA</t>
        </is>
      </c>
      <c r="F108" t="inlineStr">
        <is>
          <t>SCA</t>
        </is>
      </c>
      <c r="G108" t="n">
        <v>7.3</v>
      </c>
      <c r="H108" t="n">
        <v>0</v>
      </c>
      <c r="I108" t="n">
        <v>3</v>
      </c>
      <c r="J108" t="n">
        <v>2</v>
      </c>
      <c r="K108" t="n">
        <v>0</v>
      </c>
      <c r="L108" t="n">
        <v>0</v>
      </c>
      <c r="M108" t="n">
        <v>0</v>
      </c>
      <c r="N108" t="n">
        <v>0</v>
      </c>
      <c r="O108" t="n">
        <v>2</v>
      </c>
      <c r="P108" t="n">
        <v>0</v>
      </c>
      <c r="Q108" t="n">
        <v>5</v>
      </c>
      <c r="R108" s="2" t="inlineStr">
        <is>
          <t>Lunglav
Ullticka
Korallblylav
Stor aspticka
Vedticka</t>
        </is>
      </c>
      <c r="S108">
        <f>HYPERLINK("https://klasma.github.io/Logging_2303/artfynd/A 39365-2024 artfynd.xlsx", "A 39365-2024")</f>
        <v/>
      </c>
      <c r="T108">
        <f>HYPERLINK("https://klasma.github.io/Logging_2303/kartor/A 39365-2024 karta.png", "A 39365-2024")</f>
        <v/>
      </c>
      <c r="U108">
        <f>HYPERLINK("https://klasma.github.io/Logging_2303/knärot/A 39365-2024 karta knärot.png", "A 39365-2024")</f>
        <v/>
      </c>
      <c r="V108">
        <f>HYPERLINK("https://klasma.github.io/Logging_2303/klagomål/A 39365-2024 FSC-klagomål.docx", "A 39365-2024")</f>
        <v/>
      </c>
      <c r="W108">
        <f>HYPERLINK("https://klasma.github.io/Logging_2303/klagomålsmail/A 39365-2024 FSC-klagomål mail.docx", "A 39365-2024")</f>
        <v/>
      </c>
      <c r="X108">
        <f>HYPERLINK("https://klasma.github.io/Logging_2303/tillsyn/A 39365-2024 tillsynsbegäran.docx", "A 39365-2024")</f>
        <v/>
      </c>
      <c r="Y108">
        <f>HYPERLINK("https://klasma.github.io/Logging_2303/tillsynsmail/A 39365-2024 tillsynsbegäran mail.docx", "A 39365-2024")</f>
        <v/>
      </c>
    </row>
    <row r="109" ht="15" customHeight="1">
      <c r="A109" t="inlineStr">
        <is>
          <t>A 15244-2025</t>
        </is>
      </c>
      <c r="B109" s="1" t="n">
        <v>45744.61550925926</v>
      </c>
      <c r="C109" s="1" t="n">
        <v>45966</v>
      </c>
      <c r="D109" t="inlineStr">
        <is>
          <t>JÄMTLANDS LÄN</t>
        </is>
      </c>
      <c r="E109" t="inlineStr">
        <is>
          <t>RAGUNDA</t>
        </is>
      </c>
      <c r="F109" t="inlineStr">
        <is>
          <t>SCA</t>
        </is>
      </c>
      <c r="G109" t="n">
        <v>2.6</v>
      </c>
      <c r="H109" t="n">
        <v>0</v>
      </c>
      <c r="I109" t="n">
        <v>2</v>
      </c>
      <c r="J109" t="n">
        <v>3</v>
      </c>
      <c r="K109" t="n">
        <v>0</v>
      </c>
      <c r="L109" t="n">
        <v>0</v>
      </c>
      <c r="M109" t="n">
        <v>0</v>
      </c>
      <c r="N109" t="n">
        <v>0</v>
      </c>
      <c r="O109" t="n">
        <v>3</v>
      </c>
      <c r="P109" t="n">
        <v>0</v>
      </c>
      <c r="Q109" t="n">
        <v>5</v>
      </c>
      <c r="R109" s="2" t="inlineStr">
        <is>
          <t>Garnlav
Rosenticka
Ullticka
Stuplav
Vedticka</t>
        </is>
      </c>
      <c r="S109">
        <f>HYPERLINK("https://klasma.github.io/Logging_2303/artfynd/A 15244-2025 artfynd.xlsx", "A 15244-2025")</f>
        <v/>
      </c>
      <c r="T109">
        <f>HYPERLINK("https://klasma.github.io/Logging_2303/kartor/A 15244-2025 karta.png", "A 15244-2025")</f>
        <v/>
      </c>
      <c r="V109">
        <f>HYPERLINK("https://klasma.github.io/Logging_2303/klagomål/A 15244-2025 FSC-klagomål.docx", "A 15244-2025")</f>
        <v/>
      </c>
      <c r="W109">
        <f>HYPERLINK("https://klasma.github.io/Logging_2303/klagomålsmail/A 15244-2025 FSC-klagomål mail.docx", "A 15244-2025")</f>
        <v/>
      </c>
      <c r="X109">
        <f>HYPERLINK("https://klasma.github.io/Logging_2303/tillsyn/A 15244-2025 tillsynsbegäran.docx", "A 15244-2025")</f>
        <v/>
      </c>
      <c r="Y109">
        <f>HYPERLINK("https://klasma.github.io/Logging_2303/tillsynsmail/A 15244-2025 tillsynsbegäran mail.docx", "A 15244-2025")</f>
        <v/>
      </c>
    </row>
    <row r="110" ht="15" customHeight="1">
      <c r="A110" t="inlineStr">
        <is>
          <t>A 27313-2024</t>
        </is>
      </c>
      <c r="B110" s="1" t="n">
        <v>45471.94623842592</v>
      </c>
      <c r="C110" s="1" t="n">
        <v>45966</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8636-2021</t>
        </is>
      </c>
      <c r="B111" s="1" t="n">
        <v>44245</v>
      </c>
      <c r="C111" s="1" t="n">
        <v>45966</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45966</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45966</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15836-2024</t>
        </is>
      </c>
      <c r="B114" s="1" t="n">
        <v>45404</v>
      </c>
      <c r="C114" s="1" t="n">
        <v>45966</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19401-2025</t>
        </is>
      </c>
      <c r="B115" s="1" t="n">
        <v>45769.67767361111</v>
      </c>
      <c r="C115" s="1" t="n">
        <v>45966</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23682-2021</t>
        </is>
      </c>
      <c r="B116" s="1" t="n">
        <v>44334</v>
      </c>
      <c r="C116" s="1" t="n">
        <v>45966</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44334.62565972222</v>
      </c>
      <c r="C117" s="1" t="n">
        <v>45966</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17092-2022</t>
        </is>
      </c>
      <c r="B118" s="1" t="n">
        <v>44677</v>
      </c>
      <c r="C118" s="1" t="n">
        <v>45966</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40653-2025</t>
        </is>
      </c>
      <c r="B119" s="1" t="n">
        <v>45896.63618055556</v>
      </c>
      <c r="C119" s="1" t="n">
        <v>45966</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22467-2025</t>
        </is>
      </c>
      <c r="B120" s="1" t="n">
        <v>45786.61534722222</v>
      </c>
      <c r="C120" s="1" t="n">
        <v>45966</v>
      </c>
      <c r="D120" t="inlineStr">
        <is>
          <t>JÄMTLANDS LÄN</t>
        </is>
      </c>
      <c r="E120" t="inlineStr">
        <is>
          <t>RAGUNDA</t>
        </is>
      </c>
      <c r="F120" t="inlineStr">
        <is>
          <t>SCA</t>
        </is>
      </c>
      <c r="G120" t="n">
        <v>1.7</v>
      </c>
      <c r="H120" t="n">
        <v>1</v>
      </c>
      <c r="I120" t="n">
        <v>1</v>
      </c>
      <c r="J120" t="n">
        <v>3</v>
      </c>
      <c r="K120" t="n">
        <v>0</v>
      </c>
      <c r="L120" t="n">
        <v>0</v>
      </c>
      <c r="M120" t="n">
        <v>0</v>
      </c>
      <c r="N120" t="n">
        <v>0</v>
      </c>
      <c r="O120" t="n">
        <v>3</v>
      </c>
      <c r="P120" t="n">
        <v>0</v>
      </c>
      <c r="Q120" t="n">
        <v>4</v>
      </c>
      <c r="R120" s="2" t="inlineStr">
        <is>
          <t>Garnlav
Järpe
Lunglav
Bårdlav</t>
        </is>
      </c>
      <c r="S120">
        <f>HYPERLINK("https://klasma.github.io/Logging_2303/artfynd/A 22467-2025 artfynd.xlsx", "A 22467-2025")</f>
        <v/>
      </c>
      <c r="T120">
        <f>HYPERLINK("https://klasma.github.io/Logging_2303/kartor/A 22467-2025 karta.png", "A 22467-2025")</f>
        <v/>
      </c>
      <c r="V120">
        <f>HYPERLINK("https://klasma.github.io/Logging_2303/klagomål/A 22467-2025 FSC-klagomål.docx", "A 22467-2025")</f>
        <v/>
      </c>
      <c r="W120">
        <f>HYPERLINK("https://klasma.github.io/Logging_2303/klagomålsmail/A 22467-2025 FSC-klagomål mail.docx", "A 22467-2025")</f>
        <v/>
      </c>
      <c r="X120">
        <f>HYPERLINK("https://klasma.github.io/Logging_2303/tillsyn/A 22467-2025 tillsynsbegäran.docx", "A 22467-2025")</f>
        <v/>
      </c>
      <c r="Y120">
        <f>HYPERLINK("https://klasma.github.io/Logging_2303/tillsynsmail/A 22467-2025 tillsynsbegäran mail.docx", "A 22467-2025")</f>
        <v/>
      </c>
      <c r="Z120">
        <f>HYPERLINK("https://klasma.github.io/Logging_2303/fåglar/A 22467-2025 prioriterade fågelarter.docx", "A 22467-2025")</f>
        <v/>
      </c>
    </row>
    <row r="121" ht="15" customHeight="1">
      <c r="A121" t="inlineStr">
        <is>
          <t>A 52168-2025</t>
        </is>
      </c>
      <c r="B121" s="1" t="n">
        <v>45953.365625</v>
      </c>
      <c r="C121" s="1" t="n">
        <v>45966</v>
      </c>
      <c r="D121" t="inlineStr">
        <is>
          <t>JÄMTLANDS LÄN</t>
        </is>
      </c>
      <c r="E121" t="inlineStr">
        <is>
          <t>RAGUNDA</t>
        </is>
      </c>
      <c r="F121" t="inlineStr">
        <is>
          <t>SCA</t>
        </is>
      </c>
      <c r="G121" t="n">
        <v>19.5</v>
      </c>
      <c r="H121" t="n">
        <v>0</v>
      </c>
      <c r="I121" t="n">
        <v>1</v>
      </c>
      <c r="J121" t="n">
        <v>3</v>
      </c>
      <c r="K121" t="n">
        <v>0</v>
      </c>
      <c r="L121" t="n">
        <v>0</v>
      </c>
      <c r="M121" t="n">
        <v>0</v>
      </c>
      <c r="N121" t="n">
        <v>0</v>
      </c>
      <c r="O121" t="n">
        <v>3</v>
      </c>
      <c r="P121" t="n">
        <v>0</v>
      </c>
      <c r="Q121" t="n">
        <v>4</v>
      </c>
      <c r="R121" s="2" t="inlineStr">
        <is>
          <t>Garnlav
Granticka
Vitgrynig nållav
Källmossa</t>
        </is>
      </c>
      <c r="S121">
        <f>HYPERLINK("https://klasma.github.io/Logging_2303/artfynd/A 52168-2025 artfynd.xlsx", "A 52168-2025")</f>
        <v/>
      </c>
      <c r="T121">
        <f>HYPERLINK("https://klasma.github.io/Logging_2303/kartor/A 52168-2025 karta.png", "A 52168-2025")</f>
        <v/>
      </c>
      <c r="V121">
        <f>HYPERLINK("https://klasma.github.io/Logging_2303/klagomål/A 52168-2025 FSC-klagomål.docx", "A 52168-2025")</f>
        <v/>
      </c>
      <c r="W121">
        <f>HYPERLINK("https://klasma.github.io/Logging_2303/klagomålsmail/A 52168-2025 FSC-klagomål mail.docx", "A 52168-2025")</f>
        <v/>
      </c>
      <c r="X121">
        <f>HYPERLINK("https://klasma.github.io/Logging_2303/tillsyn/A 52168-2025 tillsynsbegäran.docx", "A 52168-2025")</f>
        <v/>
      </c>
      <c r="Y121">
        <f>HYPERLINK("https://klasma.github.io/Logging_2303/tillsynsmail/A 52168-2025 tillsynsbegäran mail.docx", "A 52168-2025")</f>
        <v/>
      </c>
    </row>
    <row r="122" ht="15" customHeight="1">
      <c r="A122" t="inlineStr">
        <is>
          <t>A 21372-2025</t>
        </is>
      </c>
      <c r="B122" s="1" t="n">
        <v>45782.44871527778</v>
      </c>
      <c r="C122" s="1" t="n">
        <v>45966</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45966</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50342-2025</t>
        </is>
      </c>
      <c r="B124" s="1" t="n">
        <v>45944.53186342592</v>
      </c>
      <c r="C124" s="1" t="n">
        <v>45966</v>
      </c>
      <c r="D124" t="inlineStr">
        <is>
          <t>JÄMTLANDS LÄN</t>
        </is>
      </c>
      <c r="E124" t="inlineStr">
        <is>
          <t>RAGUNDA</t>
        </is>
      </c>
      <c r="F124" t="inlineStr">
        <is>
          <t>SCA</t>
        </is>
      </c>
      <c r="G124" t="n">
        <v>20.7</v>
      </c>
      <c r="H124" t="n">
        <v>1</v>
      </c>
      <c r="I124" t="n">
        <v>1</v>
      </c>
      <c r="J124" t="n">
        <v>3</v>
      </c>
      <c r="K124" t="n">
        <v>0</v>
      </c>
      <c r="L124" t="n">
        <v>0</v>
      </c>
      <c r="M124" t="n">
        <v>0</v>
      </c>
      <c r="N124" t="n">
        <v>0</v>
      </c>
      <c r="O124" t="n">
        <v>3</v>
      </c>
      <c r="P124" t="n">
        <v>0</v>
      </c>
      <c r="Q124" t="n">
        <v>4</v>
      </c>
      <c r="R124" s="2" t="inlineStr">
        <is>
          <t>Garnlav
Granticka
Tretåig hackspett
Trådticka</t>
        </is>
      </c>
      <c r="S124">
        <f>HYPERLINK("https://klasma.github.io/Logging_2303/artfynd/A 50342-2025 artfynd.xlsx", "A 50342-2025")</f>
        <v/>
      </c>
      <c r="T124">
        <f>HYPERLINK("https://klasma.github.io/Logging_2303/kartor/A 50342-2025 karta.png", "A 50342-2025")</f>
        <v/>
      </c>
      <c r="V124">
        <f>HYPERLINK("https://klasma.github.io/Logging_2303/klagomål/A 50342-2025 FSC-klagomål.docx", "A 50342-2025")</f>
        <v/>
      </c>
      <c r="W124">
        <f>HYPERLINK("https://klasma.github.io/Logging_2303/klagomålsmail/A 50342-2025 FSC-klagomål mail.docx", "A 50342-2025")</f>
        <v/>
      </c>
      <c r="X124">
        <f>HYPERLINK("https://klasma.github.io/Logging_2303/tillsyn/A 50342-2025 tillsynsbegäran.docx", "A 50342-2025")</f>
        <v/>
      </c>
      <c r="Y124">
        <f>HYPERLINK("https://klasma.github.io/Logging_2303/tillsynsmail/A 50342-2025 tillsynsbegäran mail.docx", "A 50342-2025")</f>
        <v/>
      </c>
      <c r="Z124">
        <f>HYPERLINK("https://klasma.github.io/Logging_2303/fåglar/A 50342-2025 prioriterade fågelarter.docx", "A 50342-2025")</f>
        <v/>
      </c>
    </row>
    <row r="125" ht="15" customHeight="1">
      <c r="A125" t="inlineStr">
        <is>
          <t>A 12268-2024</t>
        </is>
      </c>
      <c r="B125" s="1" t="n">
        <v>45378</v>
      </c>
      <c r="C125" s="1" t="n">
        <v>45966</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52644-2024</t>
        </is>
      </c>
      <c r="B126" s="1" t="n">
        <v>45610.34415509259</v>
      </c>
      <c r="C126" s="1" t="n">
        <v>45966</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26082-2025</t>
        </is>
      </c>
      <c r="B127" s="1" t="n">
        <v>45805.34415509259</v>
      </c>
      <c r="C127" s="1" t="n">
        <v>45966</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60670-2022</t>
        </is>
      </c>
      <c r="B128" s="1" t="n">
        <v>44911</v>
      </c>
      <c r="C128" s="1" t="n">
        <v>45966</v>
      </c>
      <c r="D128" t="inlineStr">
        <is>
          <t>JÄMTLANDS LÄN</t>
        </is>
      </c>
      <c r="E128" t="inlineStr">
        <is>
          <t>RAGUNDA</t>
        </is>
      </c>
      <c r="F128" t="inlineStr">
        <is>
          <t>SCA</t>
        </is>
      </c>
      <c r="G128" t="n">
        <v>5.1</v>
      </c>
      <c r="H128" t="n">
        <v>0</v>
      </c>
      <c r="I128" t="n">
        <v>0</v>
      </c>
      <c r="J128" t="n">
        <v>4</v>
      </c>
      <c r="K128" t="n">
        <v>0</v>
      </c>
      <c r="L128" t="n">
        <v>0</v>
      </c>
      <c r="M128" t="n">
        <v>0</v>
      </c>
      <c r="N128" t="n">
        <v>0</v>
      </c>
      <c r="O128" t="n">
        <v>4</v>
      </c>
      <c r="P128" t="n">
        <v>0</v>
      </c>
      <c r="Q128" t="n">
        <v>4</v>
      </c>
      <c r="R128" s="2" t="inlineStr">
        <is>
          <t>Doftskinn
Gammelgransskål
Lunglav
Ullticka</t>
        </is>
      </c>
      <c r="S128">
        <f>HYPERLINK("https://klasma.github.io/Logging_2303/artfynd/A 60670-2022 artfynd.xlsx", "A 60670-2022")</f>
        <v/>
      </c>
      <c r="T128">
        <f>HYPERLINK("https://klasma.github.io/Logging_2303/kartor/A 60670-2022 karta.png", "A 60670-2022")</f>
        <v/>
      </c>
      <c r="V128">
        <f>HYPERLINK("https://klasma.github.io/Logging_2303/klagomål/A 60670-2022 FSC-klagomål.docx", "A 60670-2022")</f>
        <v/>
      </c>
      <c r="W128">
        <f>HYPERLINK("https://klasma.github.io/Logging_2303/klagomålsmail/A 60670-2022 FSC-klagomål mail.docx", "A 60670-2022")</f>
        <v/>
      </c>
      <c r="X128">
        <f>HYPERLINK("https://klasma.github.io/Logging_2303/tillsyn/A 60670-2022 tillsynsbegäran.docx", "A 60670-2022")</f>
        <v/>
      </c>
      <c r="Y128">
        <f>HYPERLINK("https://klasma.github.io/Logging_2303/tillsynsmail/A 60670-2022 tillsynsbegäran mail.docx", "A 60670-2022")</f>
        <v/>
      </c>
    </row>
    <row r="129" ht="15" customHeight="1">
      <c r="A129" t="inlineStr">
        <is>
          <t>A 32903-2024</t>
        </is>
      </c>
      <c r="B129" s="1" t="n">
        <v>45516.94723379629</v>
      </c>
      <c r="C129" s="1" t="n">
        <v>45966</v>
      </c>
      <c r="D129" t="inlineStr">
        <is>
          <t>JÄMTLANDS LÄN</t>
        </is>
      </c>
      <c r="E129" t="inlineStr">
        <is>
          <t>RAGUNDA</t>
        </is>
      </c>
      <c r="F129" t="inlineStr">
        <is>
          <t>SCA</t>
        </is>
      </c>
      <c r="G129" t="n">
        <v>4.7</v>
      </c>
      <c r="H129" t="n">
        <v>0</v>
      </c>
      <c r="I129" t="n">
        <v>2</v>
      </c>
      <c r="J129" t="n">
        <v>1</v>
      </c>
      <c r="K129" t="n">
        <v>1</v>
      </c>
      <c r="L129" t="n">
        <v>0</v>
      </c>
      <c r="M129" t="n">
        <v>0</v>
      </c>
      <c r="N129" t="n">
        <v>0</v>
      </c>
      <c r="O129" t="n">
        <v>2</v>
      </c>
      <c r="P129" t="n">
        <v>1</v>
      </c>
      <c r="Q129" t="n">
        <v>4</v>
      </c>
      <c r="R129" s="2" t="inlineStr">
        <is>
          <t>Lappticka
Lunglav
Bollvitmossa
Luddlav</t>
        </is>
      </c>
      <c r="S129">
        <f>HYPERLINK("https://klasma.github.io/Logging_2303/artfynd/A 32903-2024 artfynd.xlsx", "A 32903-2024")</f>
        <v/>
      </c>
      <c r="T129">
        <f>HYPERLINK("https://klasma.github.io/Logging_2303/kartor/A 32903-2024 karta.png", "A 32903-2024")</f>
        <v/>
      </c>
      <c r="V129">
        <f>HYPERLINK("https://klasma.github.io/Logging_2303/klagomål/A 32903-2024 FSC-klagomål.docx", "A 32903-2024")</f>
        <v/>
      </c>
      <c r="W129">
        <f>HYPERLINK("https://klasma.github.io/Logging_2303/klagomålsmail/A 32903-2024 FSC-klagomål mail.docx", "A 32903-2024")</f>
        <v/>
      </c>
      <c r="X129">
        <f>HYPERLINK("https://klasma.github.io/Logging_2303/tillsyn/A 32903-2024 tillsynsbegäran.docx", "A 32903-2024")</f>
        <v/>
      </c>
      <c r="Y129">
        <f>HYPERLINK("https://klasma.github.io/Logging_2303/tillsynsmail/A 32903-2024 tillsynsbegäran mail.docx", "A 32903-2024")</f>
        <v/>
      </c>
    </row>
    <row r="130" ht="15" customHeight="1">
      <c r="A130" t="inlineStr">
        <is>
          <t>A 30465-2024</t>
        </is>
      </c>
      <c r="B130" s="1" t="n">
        <v>45491</v>
      </c>
      <c r="C130" s="1" t="n">
        <v>45966</v>
      </c>
      <c r="D130" t="inlineStr">
        <is>
          <t>JÄMTLANDS LÄN</t>
        </is>
      </c>
      <c r="E130" t="inlineStr">
        <is>
          <t>RAGUNDA</t>
        </is>
      </c>
      <c r="F130" t="inlineStr">
        <is>
          <t>SCA</t>
        </is>
      </c>
      <c r="G130" t="n">
        <v>3.7</v>
      </c>
      <c r="H130" t="n">
        <v>1</v>
      </c>
      <c r="I130" t="n">
        <v>0</v>
      </c>
      <c r="J130" t="n">
        <v>4</v>
      </c>
      <c r="K130" t="n">
        <v>0</v>
      </c>
      <c r="L130" t="n">
        <v>0</v>
      </c>
      <c r="M130" t="n">
        <v>0</v>
      </c>
      <c r="N130" t="n">
        <v>0</v>
      </c>
      <c r="O130" t="n">
        <v>4</v>
      </c>
      <c r="P130" t="n">
        <v>0</v>
      </c>
      <c r="Q130" t="n">
        <v>4</v>
      </c>
      <c r="R130" s="2" t="inlineStr">
        <is>
          <t>Granticka
Tretåig hackspett
Ullticka
Violmussling</t>
        </is>
      </c>
      <c r="S130">
        <f>HYPERLINK("https://klasma.github.io/Logging_2303/artfynd/A 30465-2024 artfynd.xlsx", "A 30465-2024")</f>
        <v/>
      </c>
      <c r="T130">
        <f>HYPERLINK("https://klasma.github.io/Logging_2303/kartor/A 30465-2024 karta.png", "A 30465-2024")</f>
        <v/>
      </c>
      <c r="V130">
        <f>HYPERLINK("https://klasma.github.io/Logging_2303/klagomål/A 30465-2024 FSC-klagomål.docx", "A 30465-2024")</f>
        <v/>
      </c>
      <c r="W130">
        <f>HYPERLINK("https://klasma.github.io/Logging_2303/klagomålsmail/A 30465-2024 FSC-klagomål mail.docx", "A 30465-2024")</f>
        <v/>
      </c>
      <c r="X130">
        <f>HYPERLINK("https://klasma.github.io/Logging_2303/tillsyn/A 30465-2024 tillsynsbegäran.docx", "A 30465-2024")</f>
        <v/>
      </c>
      <c r="Y130">
        <f>HYPERLINK("https://klasma.github.io/Logging_2303/tillsynsmail/A 30465-2024 tillsynsbegäran mail.docx", "A 30465-2024")</f>
        <v/>
      </c>
      <c r="Z130">
        <f>HYPERLINK("https://klasma.github.io/Logging_2303/fåglar/A 30465-2024 prioriterade fågelarter.docx", "A 30465-2024")</f>
        <v/>
      </c>
    </row>
    <row r="131" ht="15" customHeight="1">
      <c r="A131" t="inlineStr">
        <is>
          <t>A 43960-2023</t>
        </is>
      </c>
      <c r="B131" s="1" t="n">
        <v>45187</v>
      </c>
      <c r="C131" s="1" t="n">
        <v>45966</v>
      </c>
      <c r="D131" t="inlineStr">
        <is>
          <t>JÄMTLANDS LÄN</t>
        </is>
      </c>
      <c r="E131" t="inlineStr">
        <is>
          <t>RAGUNDA</t>
        </is>
      </c>
      <c r="F131" t="inlineStr">
        <is>
          <t>SCA</t>
        </is>
      </c>
      <c r="G131" t="n">
        <v>5.5</v>
      </c>
      <c r="H131" t="n">
        <v>0</v>
      </c>
      <c r="I131" t="n">
        <v>1</v>
      </c>
      <c r="J131" t="n">
        <v>3</v>
      </c>
      <c r="K131" t="n">
        <v>0</v>
      </c>
      <c r="L131" t="n">
        <v>0</v>
      </c>
      <c r="M131" t="n">
        <v>0</v>
      </c>
      <c r="N131" t="n">
        <v>0</v>
      </c>
      <c r="O131" t="n">
        <v>3</v>
      </c>
      <c r="P131" t="n">
        <v>0</v>
      </c>
      <c r="Q131" t="n">
        <v>4</v>
      </c>
      <c r="R131" s="2" t="inlineStr">
        <is>
          <t>Granticka
Vedflikmossa
Vedtrappmossa
Vedticka</t>
        </is>
      </c>
      <c r="S131">
        <f>HYPERLINK("https://klasma.github.io/Logging_2303/artfynd/A 43960-2023 artfynd.xlsx", "A 43960-2023")</f>
        <v/>
      </c>
      <c r="T131">
        <f>HYPERLINK("https://klasma.github.io/Logging_2303/kartor/A 43960-2023 karta.png", "A 43960-2023")</f>
        <v/>
      </c>
      <c r="V131">
        <f>HYPERLINK("https://klasma.github.io/Logging_2303/klagomål/A 43960-2023 FSC-klagomål.docx", "A 43960-2023")</f>
        <v/>
      </c>
      <c r="W131">
        <f>HYPERLINK("https://klasma.github.io/Logging_2303/klagomålsmail/A 43960-2023 FSC-klagomål mail.docx", "A 43960-2023")</f>
        <v/>
      </c>
      <c r="X131">
        <f>HYPERLINK("https://klasma.github.io/Logging_2303/tillsyn/A 43960-2023 tillsynsbegäran.docx", "A 43960-2023")</f>
        <v/>
      </c>
      <c r="Y131">
        <f>HYPERLINK("https://klasma.github.io/Logging_2303/tillsynsmail/A 43960-2023 tillsynsbegäran mail.docx", "A 43960-2023")</f>
        <v/>
      </c>
    </row>
    <row r="132" ht="15" customHeight="1">
      <c r="A132" t="inlineStr">
        <is>
          <t>A 30483-2024</t>
        </is>
      </c>
      <c r="B132" s="1" t="n">
        <v>45491</v>
      </c>
      <c r="C132" s="1" t="n">
        <v>45966</v>
      </c>
      <c r="D132" t="inlineStr">
        <is>
          <t>JÄMTLANDS LÄN</t>
        </is>
      </c>
      <c r="E132" t="inlineStr">
        <is>
          <t>RAGUNDA</t>
        </is>
      </c>
      <c r="F132" t="inlineStr">
        <is>
          <t>SCA</t>
        </is>
      </c>
      <c r="G132" t="n">
        <v>1.6</v>
      </c>
      <c r="H132" t="n">
        <v>1</v>
      </c>
      <c r="I132" t="n">
        <v>0</v>
      </c>
      <c r="J132" t="n">
        <v>4</v>
      </c>
      <c r="K132" t="n">
        <v>0</v>
      </c>
      <c r="L132" t="n">
        <v>0</v>
      </c>
      <c r="M132" t="n">
        <v>0</v>
      </c>
      <c r="N132" t="n">
        <v>0</v>
      </c>
      <c r="O132" t="n">
        <v>4</v>
      </c>
      <c r="P132" t="n">
        <v>0</v>
      </c>
      <c r="Q132" t="n">
        <v>4</v>
      </c>
      <c r="R132" s="2" t="inlineStr">
        <is>
          <t>Dvärgbägarlav
Järpe
Kolflarnlav
Vedskivlav</t>
        </is>
      </c>
      <c r="S132">
        <f>HYPERLINK("https://klasma.github.io/Logging_2303/artfynd/A 30483-2024 artfynd.xlsx", "A 30483-2024")</f>
        <v/>
      </c>
      <c r="T132">
        <f>HYPERLINK("https://klasma.github.io/Logging_2303/kartor/A 30483-2024 karta.png", "A 30483-2024")</f>
        <v/>
      </c>
      <c r="V132">
        <f>HYPERLINK("https://klasma.github.io/Logging_2303/klagomål/A 30483-2024 FSC-klagomål.docx", "A 30483-2024")</f>
        <v/>
      </c>
      <c r="W132">
        <f>HYPERLINK("https://klasma.github.io/Logging_2303/klagomålsmail/A 30483-2024 FSC-klagomål mail.docx", "A 30483-2024")</f>
        <v/>
      </c>
      <c r="X132">
        <f>HYPERLINK("https://klasma.github.io/Logging_2303/tillsyn/A 30483-2024 tillsynsbegäran.docx", "A 30483-2024")</f>
        <v/>
      </c>
      <c r="Y132">
        <f>HYPERLINK("https://klasma.github.io/Logging_2303/tillsynsmail/A 30483-2024 tillsynsbegäran mail.docx", "A 30483-2024")</f>
        <v/>
      </c>
      <c r="Z132">
        <f>HYPERLINK("https://klasma.github.io/Logging_2303/fåglar/A 30483-2024 prioriterade fågelarter.docx", "A 30483-2024")</f>
        <v/>
      </c>
    </row>
    <row r="133" ht="15" customHeight="1">
      <c r="A133" t="inlineStr">
        <is>
          <t>A 23931-2024</t>
        </is>
      </c>
      <c r="B133" s="1" t="n">
        <v>45455.96195601852</v>
      </c>
      <c r="C133" s="1" t="n">
        <v>45966</v>
      </c>
      <c r="D133" t="inlineStr">
        <is>
          <t>JÄMTLANDS LÄN</t>
        </is>
      </c>
      <c r="E133" t="inlineStr">
        <is>
          <t>RAGUNDA</t>
        </is>
      </c>
      <c r="F133" t="inlineStr">
        <is>
          <t>SCA</t>
        </is>
      </c>
      <c r="G133" t="n">
        <v>4</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HYPERLINK("https://klasma.github.io/Logging_2303/artfynd/A 23931-2024 artfynd.xlsx", "A 23931-2024")</f>
        <v/>
      </c>
      <c r="T133">
        <f>HYPERLINK("https://klasma.github.io/Logging_2303/kartor/A 23931-2024 karta.png", "A 23931-2024")</f>
        <v/>
      </c>
      <c r="U133">
        <f>HYPERLINK("https://klasma.github.io/Logging_2303/knärot/A 23931-2024 karta knärot.png", "A 23931-2024")</f>
        <v/>
      </c>
      <c r="V133">
        <f>HYPERLINK("https://klasma.github.io/Logging_2303/klagomål/A 23931-2024 FSC-klagomål.docx", "A 23931-2024")</f>
        <v/>
      </c>
      <c r="W133">
        <f>HYPERLINK("https://klasma.github.io/Logging_2303/klagomålsmail/A 23931-2024 FSC-klagomål mail.docx", "A 23931-2024")</f>
        <v/>
      </c>
      <c r="X133">
        <f>HYPERLINK("https://klasma.github.io/Logging_2303/tillsyn/A 23931-2024 tillsynsbegäran.docx", "A 23931-2024")</f>
        <v/>
      </c>
      <c r="Y133">
        <f>HYPERLINK("https://klasma.github.io/Logging_2303/tillsynsmail/A 23931-2024 tillsynsbegäran mail.docx", "A 23931-2024")</f>
        <v/>
      </c>
    </row>
    <row r="134" ht="15" customHeight="1">
      <c r="A134" t="inlineStr">
        <is>
          <t>A 32067-2024</t>
        </is>
      </c>
      <c r="B134" s="1" t="n">
        <v>45510</v>
      </c>
      <c r="C134" s="1" t="n">
        <v>45966</v>
      </c>
      <c r="D134" t="inlineStr">
        <is>
          <t>JÄMTLANDS LÄN</t>
        </is>
      </c>
      <c r="E134" t="inlineStr">
        <is>
          <t>RAGUNDA</t>
        </is>
      </c>
      <c r="F134" t="inlineStr">
        <is>
          <t>SCA</t>
        </is>
      </c>
      <c r="G134" t="n">
        <v>4.1</v>
      </c>
      <c r="H134" t="n">
        <v>0</v>
      </c>
      <c r="I134" t="n">
        <v>2</v>
      </c>
      <c r="J134" t="n">
        <v>2</v>
      </c>
      <c r="K134" t="n">
        <v>0</v>
      </c>
      <c r="L134" t="n">
        <v>0</v>
      </c>
      <c r="M134" t="n">
        <v>0</v>
      </c>
      <c r="N134" t="n">
        <v>0</v>
      </c>
      <c r="O134" t="n">
        <v>2</v>
      </c>
      <c r="P134" t="n">
        <v>0</v>
      </c>
      <c r="Q134" t="n">
        <v>4</v>
      </c>
      <c r="R134" s="2" t="inlineStr">
        <is>
          <t>Vedflikmossa
Vedtrappmossa
Stor aspticka
Vedticka</t>
        </is>
      </c>
      <c r="S134">
        <f>HYPERLINK("https://klasma.github.io/Logging_2303/artfynd/A 32067-2024 artfynd.xlsx", "A 32067-2024")</f>
        <v/>
      </c>
      <c r="T134">
        <f>HYPERLINK("https://klasma.github.io/Logging_2303/kartor/A 32067-2024 karta.png", "A 32067-2024")</f>
        <v/>
      </c>
      <c r="U134">
        <f>HYPERLINK("https://klasma.github.io/Logging_2303/knärot/A 32067-2024 karta knärot.png", "A 32067-2024")</f>
        <v/>
      </c>
      <c r="V134">
        <f>HYPERLINK("https://klasma.github.io/Logging_2303/klagomål/A 32067-2024 FSC-klagomål.docx", "A 32067-2024")</f>
        <v/>
      </c>
      <c r="W134">
        <f>HYPERLINK("https://klasma.github.io/Logging_2303/klagomålsmail/A 32067-2024 FSC-klagomål mail.docx", "A 32067-2024")</f>
        <v/>
      </c>
      <c r="X134">
        <f>HYPERLINK("https://klasma.github.io/Logging_2303/tillsyn/A 32067-2024 tillsynsbegäran.docx", "A 32067-2024")</f>
        <v/>
      </c>
      <c r="Y134">
        <f>HYPERLINK("https://klasma.github.io/Logging_2303/tillsynsmail/A 32067-2024 tillsynsbegäran mail.docx", "A 32067-2024")</f>
        <v/>
      </c>
    </row>
    <row r="135" ht="15" customHeight="1">
      <c r="A135" t="inlineStr">
        <is>
          <t>A 48052-2022</t>
        </is>
      </c>
      <c r="B135" s="1" t="n">
        <v>44855</v>
      </c>
      <c r="C135" s="1" t="n">
        <v>45966</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49047-2023</t>
        </is>
      </c>
      <c r="B136" s="1" t="n">
        <v>45209</v>
      </c>
      <c r="C136" s="1" t="n">
        <v>45966</v>
      </c>
      <c r="D136" t="inlineStr">
        <is>
          <t>JÄMTLANDS LÄN</t>
        </is>
      </c>
      <c r="E136" t="inlineStr">
        <is>
          <t>RAGUNDA</t>
        </is>
      </c>
      <c r="F136" t="inlineStr">
        <is>
          <t>SCA</t>
        </is>
      </c>
      <c r="G136" t="n">
        <v>6.9</v>
      </c>
      <c r="H136" t="n">
        <v>0</v>
      </c>
      <c r="I136" t="n">
        <v>0</v>
      </c>
      <c r="J136" t="n">
        <v>3</v>
      </c>
      <c r="K136" t="n">
        <v>0</v>
      </c>
      <c r="L136" t="n">
        <v>0</v>
      </c>
      <c r="M136" t="n">
        <v>0</v>
      </c>
      <c r="N136" t="n">
        <v>0</v>
      </c>
      <c r="O136" t="n">
        <v>3</v>
      </c>
      <c r="P136" t="n">
        <v>0</v>
      </c>
      <c r="Q136" t="n">
        <v>3</v>
      </c>
      <c r="R136" s="2" t="inlineStr">
        <is>
          <t>Lunglav
Rosenticka
Skrovellav</t>
        </is>
      </c>
      <c r="S136">
        <f>HYPERLINK("https://klasma.github.io/Logging_2303/artfynd/A 49047-2023 artfynd.xlsx", "A 49047-2023")</f>
        <v/>
      </c>
      <c r="T136">
        <f>HYPERLINK("https://klasma.github.io/Logging_2303/kartor/A 49047-2023 karta.png", "A 49047-2023")</f>
        <v/>
      </c>
      <c r="V136">
        <f>HYPERLINK("https://klasma.github.io/Logging_2303/klagomål/A 49047-2023 FSC-klagomål.docx", "A 49047-2023")</f>
        <v/>
      </c>
      <c r="W136">
        <f>HYPERLINK("https://klasma.github.io/Logging_2303/klagomålsmail/A 49047-2023 FSC-klagomål mail.docx", "A 49047-2023")</f>
        <v/>
      </c>
      <c r="X136">
        <f>HYPERLINK("https://klasma.github.io/Logging_2303/tillsyn/A 49047-2023 tillsynsbegäran.docx", "A 49047-2023")</f>
        <v/>
      </c>
      <c r="Y136">
        <f>HYPERLINK("https://klasma.github.io/Logging_2303/tillsynsmail/A 49047-2023 tillsynsbegäran mail.docx", "A 49047-2023")</f>
        <v/>
      </c>
    </row>
    <row r="137" ht="15" customHeight="1">
      <c r="A137" t="inlineStr">
        <is>
          <t>A 31727-2021</t>
        </is>
      </c>
      <c r="B137" s="1" t="n">
        <v>44369.92025462963</v>
      </c>
      <c r="C137" s="1" t="n">
        <v>45966</v>
      </c>
      <c r="D137" t="inlineStr">
        <is>
          <t>JÄMTLANDS LÄN</t>
        </is>
      </c>
      <c r="E137" t="inlineStr">
        <is>
          <t>RAGUNDA</t>
        </is>
      </c>
      <c r="G137" t="n">
        <v>1</v>
      </c>
      <c r="H137" t="n">
        <v>0</v>
      </c>
      <c r="I137" t="n">
        <v>1</v>
      </c>
      <c r="J137" t="n">
        <v>2</v>
      </c>
      <c r="K137" t="n">
        <v>0</v>
      </c>
      <c r="L137" t="n">
        <v>0</v>
      </c>
      <c r="M137" t="n">
        <v>0</v>
      </c>
      <c r="N137" t="n">
        <v>0</v>
      </c>
      <c r="O137" t="n">
        <v>2</v>
      </c>
      <c r="P137" t="n">
        <v>0</v>
      </c>
      <c r="Q137" t="n">
        <v>3</v>
      </c>
      <c r="R137" s="2" t="inlineStr">
        <is>
          <t>Lunglav
Ullticka
Luddlav</t>
        </is>
      </c>
      <c r="S137">
        <f>HYPERLINK("https://klasma.github.io/Logging_2303/artfynd/A 31727-2021 artfynd.xlsx", "A 31727-2021")</f>
        <v/>
      </c>
      <c r="T137">
        <f>HYPERLINK("https://klasma.github.io/Logging_2303/kartor/A 31727-2021 karta.png", "A 31727-2021")</f>
        <v/>
      </c>
      <c r="V137">
        <f>HYPERLINK("https://klasma.github.io/Logging_2303/klagomål/A 31727-2021 FSC-klagomål.docx", "A 31727-2021")</f>
        <v/>
      </c>
      <c r="W137">
        <f>HYPERLINK("https://klasma.github.io/Logging_2303/klagomålsmail/A 31727-2021 FSC-klagomål mail.docx", "A 31727-2021")</f>
        <v/>
      </c>
      <c r="X137">
        <f>HYPERLINK("https://klasma.github.io/Logging_2303/tillsyn/A 31727-2021 tillsynsbegäran.docx", "A 31727-2021")</f>
        <v/>
      </c>
      <c r="Y137">
        <f>HYPERLINK("https://klasma.github.io/Logging_2303/tillsynsmail/A 31727-2021 tillsynsbegäran mail.docx", "A 31727-2021")</f>
        <v/>
      </c>
    </row>
    <row r="138" ht="15" customHeight="1">
      <c r="A138" t="inlineStr">
        <is>
          <t>A 58368-2024</t>
        </is>
      </c>
      <c r="B138" s="1" t="n">
        <v>45632.69822916666</v>
      </c>
      <c r="C138" s="1" t="n">
        <v>45966</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14814-2024</t>
        </is>
      </c>
      <c r="B139" s="1" t="n">
        <v>45397.95748842593</v>
      </c>
      <c r="C139" s="1" t="n">
        <v>45966</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45966</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45966</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57941-2024</t>
        </is>
      </c>
      <c r="B142" s="1" t="n">
        <v>45631</v>
      </c>
      <c r="C142" s="1" t="n">
        <v>45966</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12737-2025</t>
        </is>
      </c>
      <c r="B143" s="1" t="n">
        <v>45733</v>
      </c>
      <c r="C143" s="1" t="n">
        <v>45966</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5048-2025</t>
        </is>
      </c>
      <c r="B144" s="1" t="n">
        <v>45691.44769675926</v>
      </c>
      <c r="C144" s="1" t="n">
        <v>45966</v>
      </c>
      <c r="D144" t="inlineStr">
        <is>
          <t>JÄMTLANDS LÄN</t>
        </is>
      </c>
      <c r="E144" t="inlineStr">
        <is>
          <t>RAGUNDA</t>
        </is>
      </c>
      <c r="F144" t="inlineStr">
        <is>
          <t>SCA</t>
        </is>
      </c>
      <c r="G144" t="n">
        <v>1.8</v>
      </c>
      <c r="H144" t="n">
        <v>3</v>
      </c>
      <c r="I144" t="n">
        <v>2</v>
      </c>
      <c r="J144" t="n">
        <v>0</v>
      </c>
      <c r="K144" t="n">
        <v>0</v>
      </c>
      <c r="L144" t="n">
        <v>0</v>
      </c>
      <c r="M144" t="n">
        <v>0</v>
      </c>
      <c r="N144" t="n">
        <v>0</v>
      </c>
      <c r="O144" t="n">
        <v>0</v>
      </c>
      <c r="P144" t="n">
        <v>0</v>
      </c>
      <c r="Q144" t="n">
        <v>3</v>
      </c>
      <c r="R144" s="2" t="inlineStr">
        <is>
          <t>Guckusko
Tvåblad
Fläcknycklar</t>
        </is>
      </c>
      <c r="S144">
        <f>HYPERLINK("https://klasma.github.io/Logging_2303/artfynd/A 5048-2025 artfynd.xlsx", "A 5048-2025")</f>
        <v/>
      </c>
      <c r="T144">
        <f>HYPERLINK("https://klasma.github.io/Logging_2303/kartor/A 5048-2025 karta.png", "A 5048-2025")</f>
        <v/>
      </c>
      <c r="V144">
        <f>HYPERLINK("https://klasma.github.io/Logging_2303/klagomål/A 5048-2025 FSC-klagomål.docx", "A 5048-2025")</f>
        <v/>
      </c>
      <c r="W144">
        <f>HYPERLINK("https://klasma.github.io/Logging_2303/klagomålsmail/A 5048-2025 FSC-klagomål mail.docx", "A 5048-2025")</f>
        <v/>
      </c>
      <c r="X144">
        <f>HYPERLINK("https://klasma.github.io/Logging_2303/tillsyn/A 5048-2025 tillsynsbegäran.docx", "A 5048-2025")</f>
        <v/>
      </c>
      <c r="Y144">
        <f>HYPERLINK("https://klasma.github.io/Logging_2303/tillsynsmail/A 5048-2025 tillsynsbegäran mail.docx", "A 5048-2025")</f>
        <v/>
      </c>
    </row>
    <row r="145" ht="15" customHeight="1">
      <c r="A145" t="inlineStr">
        <is>
          <t>A 21248-2025</t>
        </is>
      </c>
      <c r="B145" s="1" t="n">
        <v>45779.57392361111</v>
      </c>
      <c r="C145" s="1" t="n">
        <v>45966</v>
      </c>
      <c r="D145" t="inlineStr">
        <is>
          <t>JÄMTLANDS LÄN</t>
        </is>
      </c>
      <c r="E145" t="inlineStr">
        <is>
          <t>RAGUNDA</t>
        </is>
      </c>
      <c r="F145" t="inlineStr">
        <is>
          <t>SCA</t>
        </is>
      </c>
      <c r="G145" t="n">
        <v>2.9</v>
      </c>
      <c r="H145" t="n">
        <v>1</v>
      </c>
      <c r="I145" t="n">
        <v>1</v>
      </c>
      <c r="J145" t="n">
        <v>2</v>
      </c>
      <c r="K145" t="n">
        <v>0</v>
      </c>
      <c r="L145" t="n">
        <v>0</v>
      </c>
      <c r="M145" t="n">
        <v>0</v>
      </c>
      <c r="N145" t="n">
        <v>0</v>
      </c>
      <c r="O145" t="n">
        <v>2</v>
      </c>
      <c r="P145" t="n">
        <v>0</v>
      </c>
      <c r="Q145" t="n">
        <v>3</v>
      </c>
      <c r="R145" s="2" t="inlineStr">
        <is>
          <t>Garnlav
Tretåig hackspett
Vedticka</t>
        </is>
      </c>
      <c r="S145">
        <f>HYPERLINK("https://klasma.github.io/Logging_2303/artfynd/A 21248-2025 artfynd.xlsx", "A 21248-2025")</f>
        <v/>
      </c>
      <c r="T145">
        <f>HYPERLINK("https://klasma.github.io/Logging_2303/kartor/A 21248-2025 karta.png", "A 21248-2025")</f>
        <v/>
      </c>
      <c r="V145">
        <f>HYPERLINK("https://klasma.github.io/Logging_2303/klagomål/A 21248-2025 FSC-klagomål.docx", "A 21248-2025")</f>
        <v/>
      </c>
      <c r="W145">
        <f>HYPERLINK("https://klasma.github.io/Logging_2303/klagomålsmail/A 21248-2025 FSC-klagomål mail.docx", "A 21248-2025")</f>
        <v/>
      </c>
      <c r="X145">
        <f>HYPERLINK("https://klasma.github.io/Logging_2303/tillsyn/A 21248-2025 tillsynsbegäran.docx", "A 21248-2025")</f>
        <v/>
      </c>
      <c r="Y145">
        <f>HYPERLINK("https://klasma.github.io/Logging_2303/tillsynsmail/A 21248-2025 tillsynsbegäran mail.docx", "A 21248-2025")</f>
        <v/>
      </c>
      <c r="Z145">
        <f>HYPERLINK("https://klasma.github.io/Logging_2303/fåglar/A 21248-2025 prioriterade fågelarter.docx", "A 21248-2025")</f>
        <v/>
      </c>
    </row>
    <row r="146" ht="15" customHeight="1">
      <c r="A146" t="inlineStr">
        <is>
          <t>A 61790-2023</t>
        </is>
      </c>
      <c r="B146" s="1" t="n">
        <v>45265</v>
      </c>
      <c r="C146" s="1" t="n">
        <v>45966</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25769-2025</t>
        </is>
      </c>
      <c r="B147" s="1" t="n">
        <v>45804.34474537037</v>
      </c>
      <c r="C147" s="1" t="n">
        <v>45966</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48054-2022</t>
        </is>
      </c>
      <c r="B148" s="1" t="n">
        <v>44855</v>
      </c>
      <c r="C148" s="1" t="n">
        <v>45966</v>
      </c>
      <c r="D148" t="inlineStr">
        <is>
          <t>JÄMTLANDS LÄN</t>
        </is>
      </c>
      <c r="E148" t="inlineStr">
        <is>
          <t>RAGUNDA</t>
        </is>
      </c>
      <c r="F148" t="inlineStr">
        <is>
          <t>SCA</t>
        </is>
      </c>
      <c r="G148" t="n">
        <v>1.5</v>
      </c>
      <c r="H148" t="n">
        <v>2</v>
      </c>
      <c r="I148" t="n">
        <v>0</v>
      </c>
      <c r="J148" t="n">
        <v>1</v>
      </c>
      <c r="K148" t="n">
        <v>1</v>
      </c>
      <c r="L148" t="n">
        <v>0</v>
      </c>
      <c r="M148" t="n">
        <v>0</v>
      </c>
      <c r="N148" t="n">
        <v>0</v>
      </c>
      <c r="O148" t="n">
        <v>2</v>
      </c>
      <c r="P148" t="n">
        <v>1</v>
      </c>
      <c r="Q148" t="n">
        <v>3</v>
      </c>
      <c r="R148" s="2" t="inlineStr">
        <is>
          <t>Knärot
Lunglav
Blåsippa</t>
        </is>
      </c>
      <c r="S148">
        <f>HYPERLINK("https://klasma.github.io/Logging_2303/artfynd/A 48054-2022 artfynd.xlsx", "A 48054-2022")</f>
        <v/>
      </c>
      <c r="T148">
        <f>HYPERLINK("https://klasma.github.io/Logging_2303/kartor/A 48054-2022 karta.png", "A 48054-2022")</f>
        <v/>
      </c>
      <c r="U148">
        <f>HYPERLINK("https://klasma.github.io/Logging_2303/knärot/A 48054-2022 karta knärot.png", "A 48054-2022")</f>
        <v/>
      </c>
      <c r="V148">
        <f>HYPERLINK("https://klasma.github.io/Logging_2303/klagomål/A 48054-2022 FSC-klagomål.docx", "A 48054-2022")</f>
        <v/>
      </c>
      <c r="W148">
        <f>HYPERLINK("https://klasma.github.io/Logging_2303/klagomålsmail/A 48054-2022 FSC-klagomål mail.docx", "A 48054-2022")</f>
        <v/>
      </c>
      <c r="X148">
        <f>HYPERLINK("https://klasma.github.io/Logging_2303/tillsyn/A 48054-2022 tillsynsbegäran.docx", "A 48054-2022")</f>
        <v/>
      </c>
      <c r="Y148">
        <f>HYPERLINK("https://klasma.github.io/Logging_2303/tillsynsmail/A 48054-2022 tillsynsbegäran mail.docx", "A 48054-2022")</f>
        <v/>
      </c>
    </row>
    <row r="149" ht="15" customHeight="1">
      <c r="A149" t="inlineStr">
        <is>
          <t>A 18616-2024</t>
        </is>
      </c>
      <c r="B149" s="1" t="n">
        <v>45425.96285879629</v>
      </c>
      <c r="C149" s="1" t="n">
        <v>45966</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20776-2024</t>
        </is>
      </c>
      <c r="B150" s="1" t="n">
        <v>45436.94686342592</v>
      </c>
      <c r="C150" s="1" t="n">
        <v>45966</v>
      </c>
      <c r="D150" t="inlineStr">
        <is>
          <t>JÄMTLANDS LÄN</t>
        </is>
      </c>
      <c r="E150" t="inlineStr">
        <is>
          <t>RAGUNDA</t>
        </is>
      </c>
      <c r="F150" t="inlineStr">
        <is>
          <t>SCA</t>
        </is>
      </c>
      <c r="G150" t="n">
        <v>5.2</v>
      </c>
      <c r="H150" t="n">
        <v>0</v>
      </c>
      <c r="I150" t="n">
        <v>0</v>
      </c>
      <c r="J150" t="n">
        <v>2</v>
      </c>
      <c r="K150" t="n">
        <v>1</v>
      </c>
      <c r="L150" t="n">
        <v>0</v>
      </c>
      <c r="M150" t="n">
        <v>0</v>
      </c>
      <c r="N150" t="n">
        <v>0</v>
      </c>
      <c r="O150" t="n">
        <v>3</v>
      </c>
      <c r="P150" t="n">
        <v>1</v>
      </c>
      <c r="Q150" t="n">
        <v>3</v>
      </c>
      <c r="R150" s="2" t="inlineStr">
        <is>
          <t>Liten hornflikmossa
Garnlav
Vedtrappmossa</t>
        </is>
      </c>
      <c r="S150">
        <f>HYPERLINK("https://klasma.github.io/Logging_2303/artfynd/A 20776-2024 artfynd.xlsx", "A 20776-2024")</f>
        <v/>
      </c>
      <c r="T150">
        <f>HYPERLINK("https://klasma.github.io/Logging_2303/kartor/A 20776-2024 karta.png", "A 20776-2024")</f>
        <v/>
      </c>
      <c r="V150">
        <f>HYPERLINK("https://klasma.github.io/Logging_2303/klagomål/A 20776-2024 FSC-klagomål.docx", "A 20776-2024")</f>
        <v/>
      </c>
      <c r="W150">
        <f>HYPERLINK("https://klasma.github.io/Logging_2303/klagomålsmail/A 20776-2024 FSC-klagomål mail.docx", "A 20776-2024")</f>
        <v/>
      </c>
      <c r="X150">
        <f>HYPERLINK("https://klasma.github.io/Logging_2303/tillsyn/A 20776-2024 tillsynsbegäran.docx", "A 20776-2024")</f>
        <v/>
      </c>
      <c r="Y150">
        <f>HYPERLINK("https://klasma.github.io/Logging_2303/tillsynsmail/A 20776-2024 tillsynsbegäran mail.docx", "A 20776-2024")</f>
        <v/>
      </c>
    </row>
    <row r="151" ht="15" customHeight="1">
      <c r="A151" t="inlineStr">
        <is>
          <t>A 22571-2025</t>
        </is>
      </c>
      <c r="B151" s="1" t="n">
        <v>45789.36503472222</v>
      </c>
      <c r="C151" s="1" t="n">
        <v>45966</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36504-2023</t>
        </is>
      </c>
      <c r="B152" s="1" t="n">
        <v>45152</v>
      </c>
      <c r="C152" s="1" t="n">
        <v>45966</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34585-2025</t>
        </is>
      </c>
      <c r="B153" s="1" t="n">
        <v>45847.61498842593</v>
      </c>
      <c r="C153" s="1" t="n">
        <v>45966</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32416-2025</t>
        </is>
      </c>
      <c r="B154" s="1" t="n">
        <v>45838</v>
      </c>
      <c r="C154" s="1" t="n">
        <v>45966</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52345-2024</t>
        </is>
      </c>
      <c r="B155" s="1" t="n">
        <v>45609.34412037037</v>
      </c>
      <c r="C155" s="1" t="n">
        <v>45966</v>
      </c>
      <c r="D155" t="inlineStr">
        <is>
          <t>JÄMTLANDS LÄN</t>
        </is>
      </c>
      <c r="E155" t="inlineStr">
        <is>
          <t>RAGUNDA</t>
        </is>
      </c>
      <c r="F155" t="inlineStr">
        <is>
          <t>SCA</t>
        </is>
      </c>
      <c r="G155" t="n">
        <v>10.3</v>
      </c>
      <c r="H155" t="n">
        <v>1</v>
      </c>
      <c r="I155" t="n">
        <v>0</v>
      </c>
      <c r="J155" t="n">
        <v>2</v>
      </c>
      <c r="K155" t="n">
        <v>0</v>
      </c>
      <c r="L155" t="n">
        <v>0</v>
      </c>
      <c r="M155" t="n">
        <v>0</v>
      </c>
      <c r="N155" t="n">
        <v>0</v>
      </c>
      <c r="O155" t="n">
        <v>2</v>
      </c>
      <c r="P155" t="n">
        <v>0</v>
      </c>
      <c r="Q155" t="n">
        <v>3</v>
      </c>
      <c r="R155" s="2" t="inlineStr">
        <is>
          <t>Doftskinn
Koralltaggsvamp
Blåsippa</t>
        </is>
      </c>
      <c r="S155">
        <f>HYPERLINK("https://klasma.github.io/Logging_2303/artfynd/A 52345-2024 artfynd.xlsx", "A 52345-2024")</f>
        <v/>
      </c>
      <c r="T155">
        <f>HYPERLINK("https://klasma.github.io/Logging_2303/kartor/A 52345-2024 karta.png", "A 52345-2024")</f>
        <v/>
      </c>
      <c r="V155">
        <f>HYPERLINK("https://klasma.github.io/Logging_2303/klagomål/A 52345-2024 FSC-klagomål.docx", "A 52345-2024")</f>
        <v/>
      </c>
      <c r="W155">
        <f>HYPERLINK("https://klasma.github.io/Logging_2303/klagomålsmail/A 52345-2024 FSC-klagomål mail.docx", "A 52345-2024")</f>
        <v/>
      </c>
      <c r="X155">
        <f>HYPERLINK("https://klasma.github.io/Logging_2303/tillsyn/A 52345-2024 tillsynsbegäran.docx", "A 52345-2024")</f>
        <v/>
      </c>
      <c r="Y155">
        <f>HYPERLINK("https://klasma.github.io/Logging_2303/tillsynsmail/A 52345-2024 tillsynsbegäran mail.docx", "A 52345-2024")</f>
        <v/>
      </c>
    </row>
    <row r="156" ht="15" customHeight="1">
      <c r="A156" t="inlineStr">
        <is>
          <t>A 16305-2025</t>
        </is>
      </c>
      <c r="B156" s="1" t="n">
        <v>45751.34650462963</v>
      </c>
      <c r="C156" s="1" t="n">
        <v>45966</v>
      </c>
      <c r="D156" t="inlineStr">
        <is>
          <t>JÄMTLANDS LÄN</t>
        </is>
      </c>
      <c r="E156" t="inlineStr">
        <is>
          <t>RAGUNDA</t>
        </is>
      </c>
      <c r="F156" t="inlineStr">
        <is>
          <t>SCA</t>
        </is>
      </c>
      <c r="G156" t="n">
        <v>2.5</v>
      </c>
      <c r="H156" t="n">
        <v>0</v>
      </c>
      <c r="I156" t="n">
        <v>2</v>
      </c>
      <c r="J156" t="n">
        <v>1</v>
      </c>
      <c r="K156" t="n">
        <v>0</v>
      </c>
      <c r="L156" t="n">
        <v>0</v>
      </c>
      <c r="M156" t="n">
        <v>0</v>
      </c>
      <c r="N156" t="n">
        <v>0</v>
      </c>
      <c r="O156" t="n">
        <v>1</v>
      </c>
      <c r="P156" t="n">
        <v>0</v>
      </c>
      <c r="Q156" t="n">
        <v>3</v>
      </c>
      <c r="R156" s="2" t="inlineStr">
        <is>
          <t>Lunglav
Bollvitmossa
Källmossa</t>
        </is>
      </c>
      <c r="S156">
        <f>HYPERLINK("https://klasma.github.io/Logging_2303/artfynd/A 16305-2025 artfynd.xlsx", "A 16305-2025")</f>
        <v/>
      </c>
      <c r="T156">
        <f>HYPERLINK("https://klasma.github.io/Logging_2303/kartor/A 16305-2025 karta.png", "A 16305-2025")</f>
        <v/>
      </c>
      <c r="V156">
        <f>HYPERLINK("https://klasma.github.io/Logging_2303/klagomål/A 16305-2025 FSC-klagomål.docx", "A 16305-2025")</f>
        <v/>
      </c>
      <c r="W156">
        <f>HYPERLINK("https://klasma.github.io/Logging_2303/klagomålsmail/A 16305-2025 FSC-klagomål mail.docx", "A 16305-2025")</f>
        <v/>
      </c>
      <c r="X156">
        <f>HYPERLINK("https://klasma.github.io/Logging_2303/tillsyn/A 16305-2025 tillsynsbegäran.docx", "A 16305-2025")</f>
        <v/>
      </c>
      <c r="Y156">
        <f>HYPERLINK("https://klasma.github.io/Logging_2303/tillsynsmail/A 16305-2025 tillsynsbegäran mail.docx", "A 16305-2025")</f>
        <v/>
      </c>
    </row>
    <row r="157" ht="15" customHeight="1">
      <c r="A157" t="inlineStr">
        <is>
          <t>A 22730-2023</t>
        </is>
      </c>
      <c r="B157" s="1" t="n">
        <v>45071</v>
      </c>
      <c r="C157" s="1" t="n">
        <v>45966</v>
      </c>
      <c r="D157" t="inlineStr">
        <is>
          <t>JÄMTLANDS LÄN</t>
        </is>
      </c>
      <c r="E157" t="inlineStr">
        <is>
          <t>RAGUNDA</t>
        </is>
      </c>
      <c r="G157" t="n">
        <v>3.6</v>
      </c>
      <c r="H157" t="n">
        <v>0</v>
      </c>
      <c r="I157" t="n">
        <v>0</v>
      </c>
      <c r="J157" t="n">
        <v>3</v>
      </c>
      <c r="K157" t="n">
        <v>0</v>
      </c>
      <c r="L157" t="n">
        <v>0</v>
      </c>
      <c r="M157" t="n">
        <v>0</v>
      </c>
      <c r="N157" t="n">
        <v>0</v>
      </c>
      <c r="O157" t="n">
        <v>3</v>
      </c>
      <c r="P157" t="n">
        <v>0</v>
      </c>
      <c r="Q157" t="n">
        <v>3</v>
      </c>
      <c r="R157" s="2" t="inlineStr">
        <is>
          <t>Garnlav
Lunglav
Vitgrynig nållav</t>
        </is>
      </c>
      <c r="S157">
        <f>HYPERLINK("https://klasma.github.io/Logging_2303/artfynd/A 22730-2023 artfynd.xlsx", "A 22730-2023")</f>
        <v/>
      </c>
      <c r="T157">
        <f>HYPERLINK("https://klasma.github.io/Logging_2303/kartor/A 22730-2023 karta.png", "A 22730-2023")</f>
        <v/>
      </c>
      <c r="V157">
        <f>HYPERLINK("https://klasma.github.io/Logging_2303/klagomål/A 22730-2023 FSC-klagomål.docx", "A 22730-2023")</f>
        <v/>
      </c>
      <c r="W157">
        <f>HYPERLINK("https://klasma.github.io/Logging_2303/klagomålsmail/A 22730-2023 FSC-klagomål mail.docx", "A 22730-2023")</f>
        <v/>
      </c>
      <c r="X157">
        <f>HYPERLINK("https://klasma.github.io/Logging_2303/tillsyn/A 22730-2023 tillsynsbegäran.docx", "A 22730-2023")</f>
        <v/>
      </c>
      <c r="Y157">
        <f>HYPERLINK("https://klasma.github.io/Logging_2303/tillsynsmail/A 22730-2023 tillsynsbegäran mail.docx", "A 22730-2023")</f>
        <v/>
      </c>
    </row>
    <row r="158" ht="15" customHeight="1">
      <c r="A158" t="inlineStr">
        <is>
          <t>A 53022-2022</t>
        </is>
      </c>
      <c r="B158" s="1" t="n">
        <v>44875</v>
      </c>
      <c r="C158" s="1" t="n">
        <v>45966</v>
      </c>
      <c r="D158" t="inlineStr">
        <is>
          <t>JÄMTLANDS LÄN</t>
        </is>
      </c>
      <c r="E158" t="inlineStr">
        <is>
          <t>RAGUNDA</t>
        </is>
      </c>
      <c r="F158" t="inlineStr">
        <is>
          <t>SCA</t>
        </is>
      </c>
      <c r="G158" t="n">
        <v>2.7</v>
      </c>
      <c r="H158" t="n">
        <v>0</v>
      </c>
      <c r="I158" t="n">
        <v>1</v>
      </c>
      <c r="J158" t="n">
        <v>2</v>
      </c>
      <c r="K158" t="n">
        <v>0</v>
      </c>
      <c r="L158" t="n">
        <v>0</v>
      </c>
      <c r="M158" t="n">
        <v>0</v>
      </c>
      <c r="N158" t="n">
        <v>0</v>
      </c>
      <c r="O158" t="n">
        <v>2</v>
      </c>
      <c r="P158" t="n">
        <v>0</v>
      </c>
      <c r="Q158" t="n">
        <v>3</v>
      </c>
      <c r="R158" s="2" t="inlineStr">
        <is>
          <t>Garnlav
Lunglav
Dropptaggsvamp</t>
        </is>
      </c>
      <c r="S158">
        <f>HYPERLINK("https://klasma.github.io/Logging_2303/artfynd/A 53022-2022 artfynd.xlsx", "A 53022-2022")</f>
        <v/>
      </c>
      <c r="T158">
        <f>HYPERLINK("https://klasma.github.io/Logging_2303/kartor/A 53022-2022 karta.png", "A 53022-2022")</f>
        <v/>
      </c>
      <c r="V158">
        <f>HYPERLINK("https://klasma.github.io/Logging_2303/klagomål/A 53022-2022 FSC-klagomål.docx", "A 53022-2022")</f>
        <v/>
      </c>
      <c r="W158">
        <f>HYPERLINK("https://klasma.github.io/Logging_2303/klagomålsmail/A 53022-2022 FSC-klagomål mail.docx", "A 53022-2022")</f>
        <v/>
      </c>
      <c r="X158">
        <f>HYPERLINK("https://klasma.github.io/Logging_2303/tillsyn/A 53022-2022 tillsynsbegäran.docx", "A 53022-2022")</f>
        <v/>
      </c>
      <c r="Y158">
        <f>HYPERLINK("https://klasma.github.io/Logging_2303/tillsynsmail/A 53022-2022 tillsynsbegäran mail.docx", "A 53022-2022")</f>
        <v/>
      </c>
    </row>
    <row r="159" ht="15" customHeight="1">
      <c r="A159" t="inlineStr">
        <is>
          <t>A 30470-2024</t>
        </is>
      </c>
      <c r="B159" s="1" t="n">
        <v>45491.94715277778</v>
      </c>
      <c r="C159" s="1" t="n">
        <v>45966</v>
      </c>
      <c r="D159" t="inlineStr">
        <is>
          <t>JÄMTLANDS LÄN</t>
        </is>
      </c>
      <c r="E159" t="inlineStr">
        <is>
          <t>RAGUNDA</t>
        </is>
      </c>
      <c r="F159" t="inlineStr">
        <is>
          <t>SCA</t>
        </is>
      </c>
      <c r="G159" t="n">
        <v>1.4</v>
      </c>
      <c r="H159" t="n">
        <v>2</v>
      </c>
      <c r="I159" t="n">
        <v>0</v>
      </c>
      <c r="J159" t="n">
        <v>2</v>
      </c>
      <c r="K159" t="n">
        <v>1</v>
      </c>
      <c r="L159" t="n">
        <v>0</v>
      </c>
      <c r="M159" t="n">
        <v>0</v>
      </c>
      <c r="N159" t="n">
        <v>0</v>
      </c>
      <c r="O159" t="n">
        <v>3</v>
      </c>
      <c r="P159" t="n">
        <v>1</v>
      </c>
      <c r="Q159" t="n">
        <v>3</v>
      </c>
      <c r="R159" s="2" t="inlineStr">
        <is>
          <t>Knärot
Lunglav
Tretåig hackspett</t>
        </is>
      </c>
      <c r="S159">
        <f>HYPERLINK("https://klasma.github.io/Logging_2303/artfynd/A 30470-2024 artfynd.xlsx", "A 30470-2024")</f>
        <v/>
      </c>
      <c r="T159">
        <f>HYPERLINK("https://klasma.github.io/Logging_2303/kartor/A 30470-2024 karta.png", "A 30470-2024")</f>
        <v/>
      </c>
      <c r="U159">
        <f>HYPERLINK("https://klasma.github.io/Logging_2303/knärot/A 30470-2024 karta knärot.png", "A 30470-2024")</f>
        <v/>
      </c>
      <c r="V159">
        <f>HYPERLINK("https://klasma.github.io/Logging_2303/klagomål/A 30470-2024 FSC-klagomål.docx", "A 30470-2024")</f>
        <v/>
      </c>
      <c r="W159">
        <f>HYPERLINK("https://klasma.github.io/Logging_2303/klagomålsmail/A 30470-2024 FSC-klagomål mail.docx", "A 30470-2024")</f>
        <v/>
      </c>
      <c r="X159">
        <f>HYPERLINK("https://klasma.github.io/Logging_2303/tillsyn/A 30470-2024 tillsynsbegäran.docx", "A 30470-2024")</f>
        <v/>
      </c>
      <c r="Y159">
        <f>HYPERLINK("https://klasma.github.io/Logging_2303/tillsynsmail/A 30470-2024 tillsynsbegäran mail.docx", "A 30470-2024")</f>
        <v/>
      </c>
      <c r="Z159">
        <f>HYPERLINK("https://klasma.github.io/Logging_2303/fåglar/A 30470-2024 prioriterade fågelarter.docx", "A 30470-2024")</f>
        <v/>
      </c>
    </row>
    <row r="160" ht="15" customHeight="1">
      <c r="A160" t="inlineStr">
        <is>
          <t>A 58737-2022</t>
        </is>
      </c>
      <c r="B160" s="1" t="n">
        <v>44902</v>
      </c>
      <c r="C160" s="1" t="n">
        <v>45966</v>
      </c>
      <c r="D160" t="inlineStr">
        <is>
          <t>JÄMTLANDS LÄN</t>
        </is>
      </c>
      <c r="E160" t="inlineStr">
        <is>
          <t>RAGUNDA</t>
        </is>
      </c>
      <c r="F160" t="inlineStr">
        <is>
          <t>SCA</t>
        </is>
      </c>
      <c r="G160" t="n">
        <v>2.7</v>
      </c>
      <c r="H160" t="n">
        <v>0</v>
      </c>
      <c r="I160" t="n">
        <v>2</v>
      </c>
      <c r="J160" t="n">
        <v>1</v>
      </c>
      <c r="K160" t="n">
        <v>0</v>
      </c>
      <c r="L160" t="n">
        <v>0</v>
      </c>
      <c r="M160" t="n">
        <v>0</v>
      </c>
      <c r="N160" t="n">
        <v>0</v>
      </c>
      <c r="O160" t="n">
        <v>1</v>
      </c>
      <c r="P160" t="n">
        <v>0</v>
      </c>
      <c r="Q160" t="n">
        <v>3</v>
      </c>
      <c r="R160" s="2" t="inlineStr">
        <is>
          <t>Garnlav
Källmossor
Stuplav</t>
        </is>
      </c>
      <c r="S160">
        <f>HYPERLINK("https://klasma.github.io/Logging_2303/artfynd/A 58737-2022 artfynd.xlsx", "A 58737-2022")</f>
        <v/>
      </c>
      <c r="T160">
        <f>HYPERLINK("https://klasma.github.io/Logging_2303/kartor/A 58737-2022 karta.png", "A 58737-2022")</f>
        <v/>
      </c>
      <c r="V160">
        <f>HYPERLINK("https://klasma.github.io/Logging_2303/klagomål/A 58737-2022 FSC-klagomål.docx", "A 58737-2022")</f>
        <v/>
      </c>
      <c r="W160">
        <f>HYPERLINK("https://klasma.github.io/Logging_2303/klagomålsmail/A 58737-2022 FSC-klagomål mail.docx", "A 58737-2022")</f>
        <v/>
      </c>
      <c r="X160">
        <f>HYPERLINK("https://klasma.github.io/Logging_2303/tillsyn/A 58737-2022 tillsynsbegäran.docx", "A 58737-2022")</f>
        <v/>
      </c>
      <c r="Y160">
        <f>HYPERLINK("https://klasma.github.io/Logging_2303/tillsynsmail/A 58737-2022 tillsynsbegäran mail.docx", "A 58737-2022")</f>
        <v/>
      </c>
    </row>
    <row r="161" ht="15" customHeight="1">
      <c r="A161" t="inlineStr">
        <is>
          <t>A 28178-2023</t>
        </is>
      </c>
      <c r="B161" s="1" t="n">
        <v>45093</v>
      </c>
      <c r="C161" s="1" t="n">
        <v>45966</v>
      </c>
      <c r="D161" t="inlineStr">
        <is>
          <t>JÄMTLANDS LÄN</t>
        </is>
      </c>
      <c r="E161" t="inlineStr">
        <is>
          <t>RAGUNDA</t>
        </is>
      </c>
      <c r="G161" t="n">
        <v>5.6</v>
      </c>
      <c r="H161" t="n">
        <v>0</v>
      </c>
      <c r="I161" t="n">
        <v>0</v>
      </c>
      <c r="J161" t="n">
        <v>3</v>
      </c>
      <c r="K161" t="n">
        <v>0</v>
      </c>
      <c r="L161" t="n">
        <v>0</v>
      </c>
      <c r="M161" t="n">
        <v>0</v>
      </c>
      <c r="N161" t="n">
        <v>0</v>
      </c>
      <c r="O161" t="n">
        <v>3</v>
      </c>
      <c r="P161" t="n">
        <v>0</v>
      </c>
      <c r="Q161" t="n">
        <v>3</v>
      </c>
      <c r="R161" s="2" t="inlineStr">
        <is>
          <t>Garnlav
Gultoppig fingersvamp
Violettgrå tagellav</t>
        </is>
      </c>
      <c r="S161">
        <f>HYPERLINK("https://klasma.github.io/Logging_2303/artfynd/A 28178-2023 artfynd.xlsx", "A 28178-2023")</f>
        <v/>
      </c>
      <c r="T161">
        <f>HYPERLINK("https://klasma.github.io/Logging_2303/kartor/A 28178-2023 karta.png", "A 28178-2023")</f>
        <v/>
      </c>
      <c r="V161">
        <f>HYPERLINK("https://klasma.github.io/Logging_2303/klagomål/A 28178-2023 FSC-klagomål.docx", "A 28178-2023")</f>
        <v/>
      </c>
      <c r="W161">
        <f>HYPERLINK("https://klasma.github.io/Logging_2303/klagomålsmail/A 28178-2023 FSC-klagomål mail.docx", "A 28178-2023")</f>
        <v/>
      </c>
      <c r="X161">
        <f>HYPERLINK("https://klasma.github.io/Logging_2303/tillsyn/A 28178-2023 tillsynsbegäran.docx", "A 28178-2023")</f>
        <v/>
      </c>
      <c r="Y161">
        <f>HYPERLINK("https://klasma.github.io/Logging_2303/tillsynsmail/A 28178-2023 tillsynsbegäran mail.docx", "A 28178-2023")</f>
        <v/>
      </c>
    </row>
    <row r="162" ht="15" customHeight="1">
      <c r="A162" t="inlineStr">
        <is>
          <t>A 17043-2022</t>
        </is>
      </c>
      <c r="B162" s="1" t="n">
        <v>44676</v>
      </c>
      <c r="C162" s="1" t="n">
        <v>45966</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45966</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45966</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47850-2025</t>
        </is>
      </c>
      <c r="B165" s="1" t="n">
        <v>45932.38626157407</v>
      </c>
      <c r="C165" s="1" t="n">
        <v>45966</v>
      </c>
      <c r="D165" t="inlineStr">
        <is>
          <t>JÄMTLANDS LÄN</t>
        </is>
      </c>
      <c r="E165" t="inlineStr">
        <is>
          <t>RAGUNDA</t>
        </is>
      </c>
      <c r="F165" t="inlineStr">
        <is>
          <t>SCA</t>
        </is>
      </c>
      <c r="G165" t="n">
        <v>2.4</v>
      </c>
      <c r="H165" t="n">
        <v>1</v>
      </c>
      <c r="I165" t="n">
        <v>0</v>
      </c>
      <c r="J165" t="n">
        <v>1</v>
      </c>
      <c r="K165" t="n">
        <v>0</v>
      </c>
      <c r="L165" t="n">
        <v>0</v>
      </c>
      <c r="M165" t="n">
        <v>0</v>
      </c>
      <c r="N165" t="n">
        <v>0</v>
      </c>
      <c r="O165" t="n">
        <v>1</v>
      </c>
      <c r="P165" t="n">
        <v>0</v>
      </c>
      <c r="Q165" t="n">
        <v>2</v>
      </c>
      <c r="R165" s="2" t="inlineStr">
        <is>
          <t>Kolflarnlav
Blåsippa</t>
        </is>
      </c>
      <c r="S165">
        <f>HYPERLINK("https://klasma.github.io/Logging_2303/artfynd/A 47850-2025 artfynd.xlsx", "A 47850-2025")</f>
        <v/>
      </c>
      <c r="T165">
        <f>HYPERLINK("https://klasma.github.io/Logging_2303/kartor/A 47850-2025 karta.png", "A 47850-2025")</f>
        <v/>
      </c>
      <c r="V165">
        <f>HYPERLINK("https://klasma.github.io/Logging_2303/klagomål/A 47850-2025 FSC-klagomål.docx", "A 47850-2025")</f>
        <v/>
      </c>
      <c r="W165">
        <f>HYPERLINK("https://klasma.github.io/Logging_2303/klagomålsmail/A 47850-2025 FSC-klagomål mail.docx", "A 47850-2025")</f>
        <v/>
      </c>
      <c r="X165">
        <f>HYPERLINK("https://klasma.github.io/Logging_2303/tillsyn/A 47850-2025 tillsynsbegäran.docx", "A 47850-2025")</f>
        <v/>
      </c>
      <c r="Y165">
        <f>HYPERLINK("https://klasma.github.io/Logging_2303/tillsynsmail/A 47850-2025 tillsynsbegäran mail.docx", "A 47850-2025")</f>
        <v/>
      </c>
    </row>
    <row r="166" ht="15" customHeight="1">
      <c r="A166" t="inlineStr">
        <is>
          <t>A 26482-2023</t>
        </is>
      </c>
      <c r="B166" s="1" t="n">
        <v>45089</v>
      </c>
      <c r="C166" s="1" t="n">
        <v>45966</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11086-2025</t>
        </is>
      </c>
      <c r="B167" s="1" t="n">
        <v>45723.57329861111</v>
      </c>
      <c r="C167" s="1" t="n">
        <v>45966</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45966</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41490-2022</t>
        </is>
      </c>
      <c r="B169" s="1" t="n">
        <v>44826.94976851852</v>
      </c>
      <c r="C169" s="1" t="n">
        <v>45966</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57940-2024</t>
        </is>
      </c>
      <c r="B170" s="1" t="n">
        <v>45631</v>
      </c>
      <c r="C170" s="1" t="n">
        <v>45966</v>
      </c>
      <c r="D170" t="inlineStr">
        <is>
          <t>JÄMTLANDS LÄN</t>
        </is>
      </c>
      <c r="E170" t="inlineStr">
        <is>
          <t>RAGUNDA</t>
        </is>
      </c>
      <c r="F170" t="inlineStr">
        <is>
          <t>SCA</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HYPERLINK("https://klasma.github.io/Logging_2303/artfynd/A 57940-2024 artfynd.xlsx", "A 57940-2024")</f>
        <v/>
      </c>
      <c r="T170">
        <f>HYPERLINK("https://klasma.github.io/Logging_2303/kartor/A 57940-2024 karta.png", "A 57940-2024")</f>
        <v/>
      </c>
      <c r="V170">
        <f>HYPERLINK("https://klasma.github.io/Logging_2303/klagomål/A 57940-2024 FSC-klagomål.docx", "A 57940-2024")</f>
        <v/>
      </c>
      <c r="W170">
        <f>HYPERLINK("https://klasma.github.io/Logging_2303/klagomålsmail/A 57940-2024 FSC-klagomål mail.docx", "A 57940-2024")</f>
        <v/>
      </c>
      <c r="X170">
        <f>HYPERLINK("https://klasma.github.io/Logging_2303/tillsyn/A 57940-2024 tillsynsbegäran.docx", "A 57940-2024")</f>
        <v/>
      </c>
      <c r="Y170">
        <f>HYPERLINK("https://klasma.github.io/Logging_2303/tillsynsmail/A 57940-2024 tillsynsbegäran mail.docx", "A 57940-2024")</f>
        <v/>
      </c>
      <c r="Z170">
        <f>HYPERLINK("https://klasma.github.io/Logging_2303/fåglar/A 57940-2024 prioriterade fågelarter.docx", "A 57940-2024")</f>
        <v/>
      </c>
    </row>
    <row r="171" ht="15" customHeight="1">
      <c r="A171" t="inlineStr">
        <is>
          <t>A 48084-2022</t>
        </is>
      </c>
      <c r="B171" s="1" t="n">
        <v>44855</v>
      </c>
      <c r="C171" s="1" t="n">
        <v>45966</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14502-2024</t>
        </is>
      </c>
      <c r="B172" s="1" t="n">
        <v>45394</v>
      </c>
      <c r="C172" s="1" t="n">
        <v>45966</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45966</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26324-2024</t>
        </is>
      </c>
      <c r="B174" s="1" t="n">
        <v>45468.97495370371</v>
      </c>
      <c r="C174" s="1" t="n">
        <v>45966</v>
      </c>
      <c r="D174" t="inlineStr">
        <is>
          <t>JÄMTLANDS LÄN</t>
        </is>
      </c>
      <c r="E174" t="inlineStr">
        <is>
          <t>RAGUNDA</t>
        </is>
      </c>
      <c r="F174" t="inlineStr">
        <is>
          <t>SCA</t>
        </is>
      </c>
      <c r="G174" t="n">
        <v>2</v>
      </c>
      <c r="H174" t="n">
        <v>1</v>
      </c>
      <c r="I174" t="n">
        <v>0</v>
      </c>
      <c r="J174" t="n">
        <v>1</v>
      </c>
      <c r="K174" t="n">
        <v>1</v>
      </c>
      <c r="L174" t="n">
        <v>0</v>
      </c>
      <c r="M174" t="n">
        <v>0</v>
      </c>
      <c r="N174" t="n">
        <v>0</v>
      </c>
      <c r="O174" t="n">
        <v>2</v>
      </c>
      <c r="P174" t="n">
        <v>1</v>
      </c>
      <c r="Q174" t="n">
        <v>2</v>
      </c>
      <c r="R174" s="2" t="inlineStr">
        <is>
          <t>Knärot
Vedtrappmossa</t>
        </is>
      </c>
      <c r="S174">
        <f>HYPERLINK("https://klasma.github.io/Logging_2303/artfynd/A 26324-2024 artfynd.xlsx", "A 26324-2024")</f>
        <v/>
      </c>
      <c r="T174">
        <f>HYPERLINK("https://klasma.github.io/Logging_2303/kartor/A 26324-2024 karta.png", "A 26324-2024")</f>
        <v/>
      </c>
      <c r="U174">
        <f>HYPERLINK("https://klasma.github.io/Logging_2303/knärot/A 26324-2024 karta knärot.png", "A 26324-2024")</f>
        <v/>
      </c>
      <c r="V174">
        <f>HYPERLINK("https://klasma.github.io/Logging_2303/klagomål/A 26324-2024 FSC-klagomål.docx", "A 26324-2024")</f>
        <v/>
      </c>
      <c r="W174">
        <f>HYPERLINK("https://klasma.github.io/Logging_2303/klagomålsmail/A 26324-2024 FSC-klagomål mail.docx", "A 26324-2024")</f>
        <v/>
      </c>
      <c r="X174">
        <f>HYPERLINK("https://klasma.github.io/Logging_2303/tillsyn/A 26324-2024 tillsynsbegäran.docx", "A 26324-2024")</f>
        <v/>
      </c>
      <c r="Y174">
        <f>HYPERLINK("https://klasma.github.io/Logging_2303/tillsynsmail/A 26324-2024 tillsynsbegäran mail.docx", "A 26324-2024")</f>
        <v/>
      </c>
    </row>
    <row r="175" ht="15" customHeight="1">
      <c r="A175" t="inlineStr">
        <is>
          <t>A 44409-2023</t>
        </is>
      </c>
      <c r="B175" s="1" t="n">
        <v>45188</v>
      </c>
      <c r="C175" s="1" t="n">
        <v>45966</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45966</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45966</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21245-2025</t>
        </is>
      </c>
      <c r="B178" s="1" t="n">
        <v>45779.57350694444</v>
      </c>
      <c r="C178" s="1" t="n">
        <v>45966</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10866-2025</t>
        </is>
      </c>
      <c r="B179" s="1" t="n">
        <v>45722.61543981481</v>
      </c>
      <c r="C179" s="1" t="n">
        <v>45966</v>
      </c>
      <c r="D179" t="inlineStr">
        <is>
          <t>JÄMTLANDS LÄN</t>
        </is>
      </c>
      <c r="E179" t="inlineStr">
        <is>
          <t>RAGUNDA</t>
        </is>
      </c>
      <c r="F179" t="inlineStr">
        <is>
          <t>SCA</t>
        </is>
      </c>
      <c r="G179" t="n">
        <v>15.9</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10866-2025 artfynd.xlsx", "A 10866-2025")</f>
        <v/>
      </c>
      <c r="T179">
        <f>HYPERLINK("https://klasma.github.io/Logging_2303/kartor/A 10866-2025 karta.png", "A 10866-2025")</f>
        <v/>
      </c>
      <c r="V179">
        <f>HYPERLINK("https://klasma.github.io/Logging_2303/klagomål/A 10866-2025 FSC-klagomål.docx", "A 10866-2025")</f>
        <v/>
      </c>
      <c r="W179">
        <f>HYPERLINK("https://klasma.github.io/Logging_2303/klagomålsmail/A 10866-2025 FSC-klagomål mail.docx", "A 10866-2025")</f>
        <v/>
      </c>
      <c r="X179">
        <f>HYPERLINK("https://klasma.github.io/Logging_2303/tillsyn/A 10866-2025 tillsynsbegäran.docx", "A 10866-2025")</f>
        <v/>
      </c>
      <c r="Y179">
        <f>HYPERLINK("https://klasma.github.io/Logging_2303/tillsynsmail/A 10866-2025 tillsynsbegäran mail.docx", "A 10866-2025")</f>
        <v/>
      </c>
    </row>
    <row r="180" ht="15" customHeight="1">
      <c r="A180" t="inlineStr">
        <is>
          <t>A 10884-2025</t>
        </is>
      </c>
      <c r="B180" s="1" t="n">
        <v>45722.65670138889</v>
      </c>
      <c r="C180" s="1" t="n">
        <v>45966</v>
      </c>
      <c r="D180" t="inlineStr">
        <is>
          <t>JÄMTLANDS LÄN</t>
        </is>
      </c>
      <c r="E180" t="inlineStr">
        <is>
          <t>RAGUNDA</t>
        </is>
      </c>
      <c r="F180" t="inlineStr">
        <is>
          <t>SCA</t>
        </is>
      </c>
      <c r="G180" t="n">
        <v>5.4</v>
      </c>
      <c r="H180" t="n">
        <v>0</v>
      </c>
      <c r="I180" t="n">
        <v>1</v>
      </c>
      <c r="J180" t="n">
        <v>1</v>
      </c>
      <c r="K180" t="n">
        <v>0</v>
      </c>
      <c r="L180" t="n">
        <v>0</v>
      </c>
      <c r="M180" t="n">
        <v>0</v>
      </c>
      <c r="N180" t="n">
        <v>0</v>
      </c>
      <c r="O180" t="n">
        <v>1</v>
      </c>
      <c r="P180" t="n">
        <v>0</v>
      </c>
      <c r="Q180" t="n">
        <v>2</v>
      </c>
      <c r="R180" s="2" t="inlineStr">
        <is>
          <t>Vitgrynig nållav
Dropptaggsvamp</t>
        </is>
      </c>
      <c r="S180">
        <f>HYPERLINK("https://klasma.github.io/Logging_2303/artfynd/A 10884-2025 artfynd.xlsx", "A 10884-2025")</f>
        <v/>
      </c>
      <c r="T180">
        <f>HYPERLINK("https://klasma.github.io/Logging_2303/kartor/A 10884-2025 karta.png", "A 10884-2025")</f>
        <v/>
      </c>
      <c r="V180">
        <f>HYPERLINK("https://klasma.github.io/Logging_2303/klagomål/A 10884-2025 FSC-klagomål.docx", "A 10884-2025")</f>
        <v/>
      </c>
      <c r="W180">
        <f>HYPERLINK("https://klasma.github.io/Logging_2303/klagomålsmail/A 10884-2025 FSC-klagomål mail.docx", "A 10884-2025")</f>
        <v/>
      </c>
      <c r="X180">
        <f>HYPERLINK("https://klasma.github.io/Logging_2303/tillsyn/A 10884-2025 tillsynsbegäran.docx", "A 10884-2025")</f>
        <v/>
      </c>
      <c r="Y180">
        <f>HYPERLINK("https://klasma.github.io/Logging_2303/tillsynsmail/A 10884-2025 tillsynsbegäran mail.docx", "A 10884-2025")</f>
        <v/>
      </c>
    </row>
    <row r="181" ht="15" customHeight="1">
      <c r="A181" t="inlineStr">
        <is>
          <t>A 3838-2024</t>
        </is>
      </c>
      <c r="B181" s="1" t="n">
        <v>45321</v>
      </c>
      <c r="C181" s="1" t="n">
        <v>45966</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25155-2025</t>
        </is>
      </c>
      <c r="B182" s="1" t="n">
        <v>45800.42782407408</v>
      </c>
      <c r="C182" s="1" t="n">
        <v>45966</v>
      </c>
      <c r="D182" t="inlineStr">
        <is>
          <t>JÄMTLANDS LÄN</t>
        </is>
      </c>
      <c r="E182" t="inlineStr">
        <is>
          <t>RAGUNDA</t>
        </is>
      </c>
      <c r="F182" t="inlineStr">
        <is>
          <t>SCA</t>
        </is>
      </c>
      <c r="G182" t="n">
        <v>1.7</v>
      </c>
      <c r="H182" t="n">
        <v>1</v>
      </c>
      <c r="I182" t="n">
        <v>0</v>
      </c>
      <c r="J182" t="n">
        <v>1</v>
      </c>
      <c r="K182" t="n">
        <v>0</v>
      </c>
      <c r="L182" t="n">
        <v>0</v>
      </c>
      <c r="M182" t="n">
        <v>0</v>
      </c>
      <c r="N182" t="n">
        <v>0</v>
      </c>
      <c r="O182" t="n">
        <v>1</v>
      </c>
      <c r="P182" t="n">
        <v>0</v>
      </c>
      <c r="Q182" t="n">
        <v>2</v>
      </c>
      <c r="R182" s="2" t="inlineStr">
        <is>
          <t>Leptoporus mollis
Fläcknycklar</t>
        </is>
      </c>
      <c r="S182">
        <f>HYPERLINK("https://klasma.github.io/Logging_2303/artfynd/A 25155-2025 artfynd.xlsx", "A 25155-2025")</f>
        <v/>
      </c>
      <c r="T182">
        <f>HYPERLINK("https://klasma.github.io/Logging_2303/kartor/A 25155-2025 karta.png", "A 25155-2025")</f>
        <v/>
      </c>
      <c r="V182">
        <f>HYPERLINK("https://klasma.github.io/Logging_2303/klagomål/A 25155-2025 FSC-klagomål.docx", "A 25155-2025")</f>
        <v/>
      </c>
      <c r="W182">
        <f>HYPERLINK("https://klasma.github.io/Logging_2303/klagomålsmail/A 25155-2025 FSC-klagomål mail.docx", "A 25155-2025")</f>
        <v/>
      </c>
      <c r="X182">
        <f>HYPERLINK("https://klasma.github.io/Logging_2303/tillsyn/A 25155-2025 tillsynsbegäran.docx", "A 25155-2025")</f>
        <v/>
      </c>
      <c r="Y182">
        <f>HYPERLINK("https://klasma.github.io/Logging_2303/tillsynsmail/A 25155-2025 tillsynsbegäran mail.docx", "A 25155-2025")</f>
        <v/>
      </c>
    </row>
    <row r="183" ht="15" customHeight="1">
      <c r="A183" t="inlineStr">
        <is>
          <t>A 36756-2023</t>
        </is>
      </c>
      <c r="B183" s="1" t="n">
        <v>45153</v>
      </c>
      <c r="C183" s="1" t="n">
        <v>45966</v>
      </c>
      <c r="D183" t="inlineStr">
        <is>
          <t>JÄMTLANDS LÄN</t>
        </is>
      </c>
      <c r="E183" t="inlineStr">
        <is>
          <t>RAGUNDA</t>
        </is>
      </c>
      <c r="G183" t="n">
        <v>3.5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HYPERLINK("https://klasma.github.io/Logging_2303/artfynd/A 36756-2023 artfynd.xlsx", "A 36756-2023")</f>
        <v/>
      </c>
      <c r="T183">
        <f>HYPERLINK("https://klasma.github.io/Logging_2303/kartor/A 36756-2023 karta.png", "A 36756-2023")</f>
        <v/>
      </c>
      <c r="V183">
        <f>HYPERLINK("https://klasma.github.io/Logging_2303/klagomål/A 36756-2023 FSC-klagomål.docx", "A 36756-2023")</f>
        <v/>
      </c>
      <c r="W183">
        <f>HYPERLINK("https://klasma.github.io/Logging_2303/klagomålsmail/A 36756-2023 FSC-klagomål mail.docx", "A 36756-2023")</f>
        <v/>
      </c>
      <c r="X183">
        <f>HYPERLINK("https://klasma.github.io/Logging_2303/tillsyn/A 36756-2023 tillsynsbegäran.docx", "A 36756-2023")</f>
        <v/>
      </c>
      <c r="Y183">
        <f>HYPERLINK("https://klasma.github.io/Logging_2303/tillsynsmail/A 36756-2023 tillsynsbegäran mail.docx", "A 36756-2023")</f>
        <v/>
      </c>
      <c r="Z183">
        <f>HYPERLINK("https://klasma.github.io/Logging_2303/fåglar/A 36756-2023 prioriterade fågelarter.docx", "A 36756-2023")</f>
        <v/>
      </c>
    </row>
    <row r="184" ht="15" customHeight="1">
      <c r="A184" t="inlineStr">
        <is>
          <t>A 56285-2023</t>
        </is>
      </c>
      <c r="B184" s="1" t="n">
        <v>45241</v>
      </c>
      <c r="C184" s="1" t="n">
        <v>45966</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39495-2024</t>
        </is>
      </c>
      <c r="B185" s="1" t="n">
        <v>45551.65726851852</v>
      </c>
      <c r="C185" s="1" t="n">
        <v>45966</v>
      </c>
      <c r="D185" t="inlineStr">
        <is>
          <t>JÄMTLANDS LÄN</t>
        </is>
      </c>
      <c r="E185" t="inlineStr">
        <is>
          <t>RAGUNDA</t>
        </is>
      </c>
      <c r="F185" t="inlineStr">
        <is>
          <t>SCA</t>
        </is>
      </c>
      <c r="G185" t="n">
        <v>6.6</v>
      </c>
      <c r="H185" t="n">
        <v>0</v>
      </c>
      <c r="I185" t="n">
        <v>0</v>
      </c>
      <c r="J185" t="n">
        <v>2</v>
      </c>
      <c r="K185" t="n">
        <v>0</v>
      </c>
      <c r="L185" t="n">
        <v>0</v>
      </c>
      <c r="M185" t="n">
        <v>0</v>
      </c>
      <c r="N185" t="n">
        <v>0</v>
      </c>
      <c r="O185" t="n">
        <v>2</v>
      </c>
      <c r="P185" t="n">
        <v>0</v>
      </c>
      <c r="Q185" t="n">
        <v>2</v>
      </c>
      <c r="R185" s="2" t="inlineStr">
        <is>
          <t>Garnlav
Ullticka</t>
        </is>
      </c>
      <c r="S185">
        <f>HYPERLINK("https://klasma.github.io/Logging_2303/artfynd/A 39495-2024 artfynd.xlsx", "A 39495-2024")</f>
        <v/>
      </c>
      <c r="T185">
        <f>HYPERLINK("https://klasma.github.io/Logging_2303/kartor/A 39495-2024 karta.png", "A 39495-2024")</f>
        <v/>
      </c>
      <c r="V185">
        <f>HYPERLINK("https://klasma.github.io/Logging_2303/klagomål/A 39495-2024 FSC-klagomål.docx", "A 39495-2024")</f>
        <v/>
      </c>
      <c r="W185">
        <f>HYPERLINK("https://klasma.github.io/Logging_2303/klagomålsmail/A 39495-2024 FSC-klagomål mail.docx", "A 39495-2024")</f>
        <v/>
      </c>
      <c r="X185">
        <f>HYPERLINK("https://klasma.github.io/Logging_2303/tillsyn/A 39495-2024 tillsynsbegäran.docx", "A 39495-2024")</f>
        <v/>
      </c>
      <c r="Y185">
        <f>HYPERLINK("https://klasma.github.io/Logging_2303/tillsynsmail/A 39495-2024 tillsynsbegäran mail.docx", "A 39495-2024")</f>
        <v/>
      </c>
    </row>
    <row r="186" ht="15" customHeight="1">
      <c r="A186" t="inlineStr">
        <is>
          <t>A 19384-2025</t>
        </is>
      </c>
      <c r="B186" s="1" t="n">
        <v>45769.65692129629</v>
      </c>
      <c r="C186" s="1" t="n">
        <v>45966</v>
      </c>
      <c r="D186" t="inlineStr">
        <is>
          <t>JÄMTLANDS LÄN</t>
        </is>
      </c>
      <c r="E186" t="inlineStr">
        <is>
          <t>RAGUNDA</t>
        </is>
      </c>
      <c r="F186" t="inlineStr">
        <is>
          <t>SCA</t>
        </is>
      </c>
      <c r="G186" t="n">
        <v>2.8</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19384-2025 artfynd.xlsx", "A 19384-2025")</f>
        <v/>
      </c>
      <c r="T186">
        <f>HYPERLINK("https://klasma.github.io/Logging_2303/kartor/A 19384-2025 karta.png", "A 19384-2025")</f>
        <v/>
      </c>
      <c r="V186">
        <f>HYPERLINK("https://klasma.github.io/Logging_2303/klagomål/A 19384-2025 FSC-klagomål.docx", "A 19384-2025")</f>
        <v/>
      </c>
      <c r="W186">
        <f>HYPERLINK("https://klasma.github.io/Logging_2303/klagomålsmail/A 19384-2025 FSC-klagomål mail.docx", "A 19384-2025")</f>
        <v/>
      </c>
      <c r="X186">
        <f>HYPERLINK("https://klasma.github.io/Logging_2303/tillsyn/A 19384-2025 tillsynsbegäran.docx", "A 19384-2025")</f>
        <v/>
      </c>
      <c r="Y186">
        <f>HYPERLINK("https://klasma.github.io/Logging_2303/tillsynsmail/A 19384-2025 tillsynsbegäran mail.docx", "A 19384-2025")</f>
        <v/>
      </c>
      <c r="Z186">
        <f>HYPERLINK("https://klasma.github.io/Logging_2303/fåglar/A 19384-2025 prioriterade fågelarter.docx", "A 19384-2025")</f>
        <v/>
      </c>
    </row>
    <row r="187" ht="15" customHeight="1">
      <c r="A187" t="inlineStr">
        <is>
          <t>A 19728-2025</t>
        </is>
      </c>
      <c r="B187" s="1" t="n">
        <v>45771.36548611111</v>
      </c>
      <c r="C187" s="1" t="n">
        <v>45966</v>
      </c>
      <c r="D187" t="inlineStr">
        <is>
          <t>JÄMTLANDS LÄN</t>
        </is>
      </c>
      <c r="E187" t="inlineStr">
        <is>
          <t>RAGUNDA</t>
        </is>
      </c>
      <c r="F187" t="inlineStr">
        <is>
          <t>SCA</t>
        </is>
      </c>
      <c r="G187" t="n">
        <v>6.2</v>
      </c>
      <c r="H187" t="n">
        <v>1</v>
      </c>
      <c r="I187" t="n">
        <v>0</v>
      </c>
      <c r="J187" t="n">
        <v>2</v>
      </c>
      <c r="K187" t="n">
        <v>0</v>
      </c>
      <c r="L187" t="n">
        <v>0</v>
      </c>
      <c r="M187" t="n">
        <v>0</v>
      </c>
      <c r="N187" t="n">
        <v>0</v>
      </c>
      <c r="O187" t="n">
        <v>2</v>
      </c>
      <c r="P187" t="n">
        <v>0</v>
      </c>
      <c r="Q187" t="n">
        <v>2</v>
      </c>
      <c r="R187" s="2" t="inlineStr">
        <is>
          <t>Stjärntagging
Tretåig hackspett</t>
        </is>
      </c>
      <c r="S187">
        <f>HYPERLINK("https://klasma.github.io/Logging_2303/artfynd/A 19728-2025 artfynd.xlsx", "A 19728-2025")</f>
        <v/>
      </c>
      <c r="T187">
        <f>HYPERLINK("https://klasma.github.io/Logging_2303/kartor/A 19728-2025 karta.png", "A 19728-2025")</f>
        <v/>
      </c>
      <c r="V187">
        <f>HYPERLINK("https://klasma.github.io/Logging_2303/klagomål/A 19728-2025 FSC-klagomål.docx", "A 19728-2025")</f>
        <v/>
      </c>
      <c r="W187">
        <f>HYPERLINK("https://klasma.github.io/Logging_2303/klagomålsmail/A 19728-2025 FSC-klagomål mail.docx", "A 19728-2025")</f>
        <v/>
      </c>
      <c r="X187">
        <f>HYPERLINK("https://klasma.github.io/Logging_2303/tillsyn/A 19728-2025 tillsynsbegäran.docx", "A 19728-2025")</f>
        <v/>
      </c>
      <c r="Y187">
        <f>HYPERLINK("https://klasma.github.io/Logging_2303/tillsynsmail/A 19728-2025 tillsynsbegäran mail.docx", "A 19728-2025")</f>
        <v/>
      </c>
      <c r="Z187">
        <f>HYPERLINK("https://klasma.github.io/Logging_2303/fåglar/A 19728-2025 prioriterade fågelarter.docx", "A 19728-2025")</f>
        <v/>
      </c>
    </row>
    <row r="188" ht="15" customHeight="1">
      <c r="A188" t="inlineStr">
        <is>
          <t>A 48427-2023</t>
        </is>
      </c>
      <c r="B188" s="1" t="n">
        <v>45205</v>
      </c>
      <c r="C188" s="1" t="n">
        <v>45966</v>
      </c>
      <c r="D188" t="inlineStr">
        <is>
          <t>JÄMTLANDS LÄN</t>
        </is>
      </c>
      <c r="E188" t="inlineStr">
        <is>
          <t>RAGUNDA</t>
        </is>
      </c>
      <c r="F188" t="inlineStr">
        <is>
          <t>SCA</t>
        </is>
      </c>
      <c r="G188" t="n">
        <v>10.1</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48427-2023 artfynd.xlsx", "A 48427-2023")</f>
        <v/>
      </c>
      <c r="T188">
        <f>HYPERLINK("https://klasma.github.io/Logging_2303/kartor/A 48427-2023 karta.png", "A 48427-2023")</f>
        <v/>
      </c>
      <c r="V188">
        <f>HYPERLINK("https://klasma.github.io/Logging_2303/klagomål/A 48427-2023 FSC-klagomål.docx", "A 48427-2023")</f>
        <v/>
      </c>
      <c r="W188">
        <f>HYPERLINK("https://klasma.github.io/Logging_2303/klagomålsmail/A 48427-2023 FSC-klagomål mail.docx", "A 48427-2023")</f>
        <v/>
      </c>
      <c r="X188">
        <f>HYPERLINK("https://klasma.github.io/Logging_2303/tillsyn/A 48427-2023 tillsynsbegäran.docx", "A 48427-2023")</f>
        <v/>
      </c>
      <c r="Y188">
        <f>HYPERLINK("https://klasma.github.io/Logging_2303/tillsynsmail/A 48427-2023 tillsynsbegäran mail.docx", "A 48427-2023")</f>
        <v/>
      </c>
    </row>
    <row r="189" ht="15" customHeight="1">
      <c r="A189" t="inlineStr">
        <is>
          <t>A 31960-2025</t>
        </is>
      </c>
      <c r="B189" s="1" t="n">
        <v>45835.344375</v>
      </c>
      <c r="C189" s="1" t="n">
        <v>45966</v>
      </c>
      <c r="D189" t="inlineStr">
        <is>
          <t>JÄMTLANDS LÄN</t>
        </is>
      </c>
      <c r="E189" t="inlineStr">
        <is>
          <t>RAGUNDA</t>
        </is>
      </c>
      <c r="F189" t="inlineStr">
        <is>
          <t>SCA</t>
        </is>
      </c>
      <c r="G189" t="n">
        <v>1.6</v>
      </c>
      <c r="H189" t="n">
        <v>0</v>
      </c>
      <c r="I189" t="n">
        <v>0</v>
      </c>
      <c r="J189" t="n">
        <v>2</v>
      </c>
      <c r="K189" t="n">
        <v>0</v>
      </c>
      <c r="L189" t="n">
        <v>0</v>
      </c>
      <c r="M189" t="n">
        <v>0</v>
      </c>
      <c r="N189" t="n">
        <v>0</v>
      </c>
      <c r="O189" t="n">
        <v>2</v>
      </c>
      <c r="P189" t="n">
        <v>0</v>
      </c>
      <c r="Q189" t="n">
        <v>2</v>
      </c>
      <c r="R189" s="2" t="inlineStr">
        <is>
          <t>Gammelgransskål
Garnlav</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45035-2023</t>
        </is>
      </c>
      <c r="B190" s="1" t="n">
        <v>45191</v>
      </c>
      <c r="C190" s="1" t="n">
        <v>45966</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45966</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35131-2025</t>
        </is>
      </c>
      <c r="B192" s="1" t="n">
        <v>45852.63597222222</v>
      </c>
      <c r="C192" s="1" t="n">
        <v>45966</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11843-2023</t>
        </is>
      </c>
      <c r="B193" s="1" t="n">
        <v>44993</v>
      </c>
      <c r="C193" s="1" t="n">
        <v>45966</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17733-2022</t>
        </is>
      </c>
      <c r="B194" s="1" t="n">
        <v>44680</v>
      </c>
      <c r="C194" s="1" t="n">
        <v>45966</v>
      </c>
      <c r="D194" t="inlineStr">
        <is>
          <t>JÄMTLANDS LÄN</t>
        </is>
      </c>
      <c r="E194" t="inlineStr">
        <is>
          <t>RAGUNDA</t>
        </is>
      </c>
      <c r="G194" t="n">
        <v>2.2</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17733-2022 artfynd.xlsx", "A 17733-2022")</f>
        <v/>
      </c>
      <c r="T194">
        <f>HYPERLINK("https://klasma.github.io/Logging_2303/kartor/A 17733-2022 karta.png", "A 17733-2022")</f>
        <v/>
      </c>
      <c r="V194">
        <f>HYPERLINK("https://klasma.github.io/Logging_2303/klagomål/A 17733-2022 FSC-klagomål.docx", "A 17733-2022")</f>
        <v/>
      </c>
      <c r="W194">
        <f>HYPERLINK("https://klasma.github.io/Logging_2303/klagomålsmail/A 17733-2022 FSC-klagomål mail.docx", "A 17733-2022")</f>
        <v/>
      </c>
      <c r="X194">
        <f>HYPERLINK("https://klasma.github.io/Logging_2303/tillsyn/A 17733-2022 tillsynsbegäran.docx", "A 17733-2022")</f>
        <v/>
      </c>
      <c r="Y194">
        <f>HYPERLINK("https://klasma.github.io/Logging_2303/tillsynsmail/A 17733-2022 tillsynsbegäran mail.docx", "A 17733-2022")</f>
        <v/>
      </c>
    </row>
    <row r="195" ht="15" customHeight="1">
      <c r="A195" t="inlineStr">
        <is>
          <t>A 32736-2023</t>
        </is>
      </c>
      <c r="B195" s="1" t="n">
        <v>45121</v>
      </c>
      <c r="C195" s="1" t="n">
        <v>45966</v>
      </c>
      <c r="D195" t="inlineStr">
        <is>
          <t>JÄMTLANDS LÄN</t>
        </is>
      </c>
      <c r="E195" t="inlineStr">
        <is>
          <t>RAGUNDA</t>
        </is>
      </c>
      <c r="F195" t="inlineStr">
        <is>
          <t>SCA</t>
        </is>
      </c>
      <c r="G195" t="n">
        <v>2.5</v>
      </c>
      <c r="H195" t="n">
        <v>0</v>
      </c>
      <c r="I195" t="n">
        <v>1</v>
      </c>
      <c r="J195" t="n">
        <v>1</v>
      </c>
      <c r="K195" t="n">
        <v>0</v>
      </c>
      <c r="L195" t="n">
        <v>0</v>
      </c>
      <c r="M195" t="n">
        <v>0</v>
      </c>
      <c r="N195" t="n">
        <v>0</v>
      </c>
      <c r="O195" t="n">
        <v>1</v>
      </c>
      <c r="P195" t="n">
        <v>0</v>
      </c>
      <c r="Q195" t="n">
        <v>2</v>
      </c>
      <c r="R195" s="2" t="inlineStr">
        <is>
          <t>Vedtrappmossa
Stor aspticka</t>
        </is>
      </c>
      <c r="S195">
        <f>HYPERLINK("https://klasma.github.io/Logging_2303/artfynd/A 32736-2023 artfynd.xlsx", "A 32736-2023")</f>
        <v/>
      </c>
      <c r="T195">
        <f>HYPERLINK("https://klasma.github.io/Logging_2303/kartor/A 32736-2023 karta.png", "A 32736-2023")</f>
        <v/>
      </c>
      <c r="V195">
        <f>HYPERLINK("https://klasma.github.io/Logging_2303/klagomål/A 32736-2023 FSC-klagomål.docx", "A 32736-2023")</f>
        <v/>
      </c>
      <c r="W195">
        <f>HYPERLINK("https://klasma.github.io/Logging_2303/klagomålsmail/A 32736-2023 FSC-klagomål mail.docx", "A 32736-2023")</f>
        <v/>
      </c>
      <c r="X195">
        <f>HYPERLINK("https://klasma.github.io/Logging_2303/tillsyn/A 32736-2023 tillsynsbegäran.docx", "A 32736-2023")</f>
        <v/>
      </c>
      <c r="Y195">
        <f>HYPERLINK("https://klasma.github.io/Logging_2303/tillsynsmail/A 32736-2023 tillsynsbegäran mail.docx", "A 32736-2023")</f>
        <v/>
      </c>
    </row>
    <row r="196" ht="15" customHeight="1">
      <c r="A196" t="inlineStr">
        <is>
          <t>A 55647-2023</t>
        </is>
      </c>
      <c r="B196" s="1" t="n">
        <v>45238</v>
      </c>
      <c r="C196" s="1" t="n">
        <v>45966</v>
      </c>
      <c r="D196" t="inlineStr">
        <is>
          <t>JÄMTLANDS LÄN</t>
        </is>
      </c>
      <c r="E196" t="inlineStr">
        <is>
          <t>RAGUNDA</t>
        </is>
      </c>
      <c r="F196" t="inlineStr">
        <is>
          <t>SCA</t>
        </is>
      </c>
      <c r="G196" t="n">
        <v>3.7</v>
      </c>
      <c r="H196" t="n">
        <v>0</v>
      </c>
      <c r="I196" t="n">
        <v>1</v>
      </c>
      <c r="J196" t="n">
        <v>1</v>
      </c>
      <c r="K196" t="n">
        <v>0</v>
      </c>
      <c r="L196" t="n">
        <v>0</v>
      </c>
      <c r="M196" t="n">
        <v>0</v>
      </c>
      <c r="N196" t="n">
        <v>0</v>
      </c>
      <c r="O196" t="n">
        <v>1</v>
      </c>
      <c r="P196" t="n">
        <v>0</v>
      </c>
      <c r="Q196" t="n">
        <v>2</v>
      </c>
      <c r="R196" s="2" t="inlineStr">
        <is>
          <t>Granticka
Trådticka</t>
        </is>
      </c>
      <c r="S196">
        <f>HYPERLINK("https://klasma.github.io/Logging_2303/artfynd/A 55647-2023 artfynd.xlsx", "A 55647-2023")</f>
        <v/>
      </c>
      <c r="T196">
        <f>HYPERLINK("https://klasma.github.io/Logging_2303/kartor/A 55647-2023 karta.png", "A 55647-2023")</f>
        <v/>
      </c>
      <c r="V196">
        <f>HYPERLINK("https://klasma.github.io/Logging_2303/klagomål/A 55647-2023 FSC-klagomål.docx", "A 55647-2023")</f>
        <v/>
      </c>
      <c r="W196">
        <f>HYPERLINK("https://klasma.github.io/Logging_2303/klagomålsmail/A 55647-2023 FSC-klagomål mail.docx", "A 55647-2023")</f>
        <v/>
      </c>
      <c r="X196">
        <f>HYPERLINK("https://klasma.github.io/Logging_2303/tillsyn/A 55647-2023 tillsynsbegäran.docx", "A 55647-2023")</f>
        <v/>
      </c>
      <c r="Y196">
        <f>HYPERLINK("https://klasma.github.io/Logging_2303/tillsynsmail/A 55647-2023 tillsynsbegäran mail.docx", "A 55647-2023")</f>
        <v/>
      </c>
    </row>
    <row r="197" ht="15" customHeight="1">
      <c r="A197" t="inlineStr">
        <is>
          <t>A 47267-2022</t>
        </is>
      </c>
      <c r="B197" s="1" t="n">
        <v>44852</v>
      </c>
      <c r="C197" s="1" t="n">
        <v>45966</v>
      </c>
      <c r="D197" t="inlineStr">
        <is>
          <t>JÄMTLANDS LÄN</t>
        </is>
      </c>
      <c r="E197" t="inlineStr">
        <is>
          <t>RAGUNDA</t>
        </is>
      </c>
      <c r="F197" t="inlineStr">
        <is>
          <t>SCA</t>
        </is>
      </c>
      <c r="G197" t="n">
        <v>82.8</v>
      </c>
      <c r="H197" t="n">
        <v>0</v>
      </c>
      <c r="I197" t="n">
        <v>0</v>
      </c>
      <c r="J197" t="n">
        <v>2</v>
      </c>
      <c r="K197" t="n">
        <v>0</v>
      </c>
      <c r="L197" t="n">
        <v>0</v>
      </c>
      <c r="M197" t="n">
        <v>0</v>
      </c>
      <c r="N197" t="n">
        <v>0</v>
      </c>
      <c r="O197" t="n">
        <v>2</v>
      </c>
      <c r="P197" t="n">
        <v>0</v>
      </c>
      <c r="Q197" t="n">
        <v>2</v>
      </c>
      <c r="R197" s="2" t="inlineStr">
        <is>
          <t>Dvärgbägarlav
Garnlav</t>
        </is>
      </c>
      <c r="S197">
        <f>HYPERLINK("https://klasma.github.io/Logging_2303/artfynd/A 47267-2022 artfynd.xlsx", "A 47267-2022")</f>
        <v/>
      </c>
      <c r="T197">
        <f>HYPERLINK("https://klasma.github.io/Logging_2303/kartor/A 47267-2022 karta.png", "A 47267-2022")</f>
        <v/>
      </c>
      <c r="V197">
        <f>HYPERLINK("https://klasma.github.io/Logging_2303/klagomål/A 47267-2022 FSC-klagomål.docx", "A 47267-2022")</f>
        <v/>
      </c>
      <c r="W197">
        <f>HYPERLINK("https://klasma.github.io/Logging_2303/klagomålsmail/A 47267-2022 FSC-klagomål mail.docx", "A 47267-2022")</f>
        <v/>
      </c>
      <c r="X197">
        <f>HYPERLINK("https://klasma.github.io/Logging_2303/tillsyn/A 47267-2022 tillsynsbegäran.docx", "A 47267-2022")</f>
        <v/>
      </c>
      <c r="Y197">
        <f>HYPERLINK("https://klasma.github.io/Logging_2303/tillsynsmail/A 47267-2022 tillsynsbegäran mail.docx", "A 47267-2022")</f>
        <v/>
      </c>
    </row>
    <row r="198" ht="15" customHeight="1">
      <c r="A198" t="inlineStr">
        <is>
          <t>A 45021-2023</t>
        </is>
      </c>
      <c r="B198" s="1" t="n">
        <v>45190</v>
      </c>
      <c r="C198" s="1" t="n">
        <v>45966</v>
      </c>
      <c r="D198" t="inlineStr">
        <is>
          <t>JÄMTLANDS LÄN</t>
        </is>
      </c>
      <c r="E198" t="inlineStr">
        <is>
          <t>RAGUNDA</t>
        </is>
      </c>
      <c r="F198" t="inlineStr">
        <is>
          <t>SCA</t>
        </is>
      </c>
      <c r="G198" t="n">
        <v>1.6</v>
      </c>
      <c r="H198" t="n">
        <v>1</v>
      </c>
      <c r="I198" t="n">
        <v>0</v>
      </c>
      <c r="J198" t="n">
        <v>1</v>
      </c>
      <c r="K198" t="n">
        <v>0</v>
      </c>
      <c r="L198" t="n">
        <v>0</v>
      </c>
      <c r="M198" t="n">
        <v>0</v>
      </c>
      <c r="N198" t="n">
        <v>0</v>
      </c>
      <c r="O198" t="n">
        <v>1</v>
      </c>
      <c r="P198" t="n">
        <v>0</v>
      </c>
      <c r="Q198" t="n">
        <v>2</v>
      </c>
      <c r="R198" s="2" t="inlineStr">
        <is>
          <t>Lunglav
Fläcknycklar</t>
        </is>
      </c>
      <c r="S198">
        <f>HYPERLINK("https://klasma.github.io/Logging_2303/artfynd/A 45021-2023 artfynd.xlsx", "A 45021-2023")</f>
        <v/>
      </c>
      <c r="T198">
        <f>HYPERLINK("https://klasma.github.io/Logging_2303/kartor/A 45021-2023 karta.png", "A 45021-2023")</f>
        <v/>
      </c>
      <c r="V198">
        <f>HYPERLINK("https://klasma.github.io/Logging_2303/klagomål/A 45021-2023 FSC-klagomål.docx", "A 45021-2023")</f>
        <v/>
      </c>
      <c r="W198">
        <f>HYPERLINK("https://klasma.github.io/Logging_2303/klagomålsmail/A 45021-2023 FSC-klagomål mail.docx", "A 45021-2023")</f>
        <v/>
      </c>
      <c r="X198">
        <f>HYPERLINK("https://klasma.github.io/Logging_2303/tillsyn/A 45021-2023 tillsynsbegäran.docx", "A 45021-2023")</f>
        <v/>
      </c>
      <c r="Y198">
        <f>HYPERLINK("https://klasma.github.io/Logging_2303/tillsynsmail/A 45021-2023 tillsynsbegäran mail.docx", "A 45021-2023")</f>
        <v/>
      </c>
    </row>
    <row r="199" ht="15" customHeight="1">
      <c r="A199" t="inlineStr">
        <is>
          <t>A 30053-2024</t>
        </is>
      </c>
      <c r="B199" s="1" t="n">
        <v>45488.94747685185</v>
      </c>
      <c r="C199" s="1" t="n">
        <v>45966</v>
      </c>
      <c r="D199" t="inlineStr">
        <is>
          <t>JÄMTLANDS LÄN</t>
        </is>
      </c>
      <c r="E199" t="inlineStr">
        <is>
          <t>RAGUNDA</t>
        </is>
      </c>
      <c r="F199" t="inlineStr">
        <is>
          <t>SCA</t>
        </is>
      </c>
      <c r="G199" t="n">
        <v>9.6</v>
      </c>
      <c r="H199" t="n">
        <v>0</v>
      </c>
      <c r="I199" t="n">
        <v>1</v>
      </c>
      <c r="J199" t="n">
        <v>1</v>
      </c>
      <c r="K199" t="n">
        <v>0</v>
      </c>
      <c r="L199" t="n">
        <v>0</v>
      </c>
      <c r="M199" t="n">
        <v>0</v>
      </c>
      <c r="N199" t="n">
        <v>0</v>
      </c>
      <c r="O199" t="n">
        <v>1</v>
      </c>
      <c r="P199" t="n">
        <v>0</v>
      </c>
      <c r="Q199" t="n">
        <v>2</v>
      </c>
      <c r="R199" s="2" t="inlineStr">
        <is>
          <t>Lunglav
Korallblylav</t>
        </is>
      </c>
      <c r="S199">
        <f>HYPERLINK("https://klasma.github.io/Logging_2303/artfynd/A 30053-2024 artfynd.xlsx", "A 30053-2024")</f>
        <v/>
      </c>
      <c r="T199">
        <f>HYPERLINK("https://klasma.github.io/Logging_2303/kartor/A 30053-2024 karta.png", "A 30053-2024")</f>
        <v/>
      </c>
      <c r="V199">
        <f>HYPERLINK("https://klasma.github.io/Logging_2303/klagomål/A 30053-2024 FSC-klagomål.docx", "A 30053-2024")</f>
        <v/>
      </c>
      <c r="W199">
        <f>HYPERLINK("https://klasma.github.io/Logging_2303/klagomålsmail/A 30053-2024 FSC-klagomål mail.docx", "A 30053-2024")</f>
        <v/>
      </c>
      <c r="X199">
        <f>HYPERLINK("https://klasma.github.io/Logging_2303/tillsyn/A 30053-2024 tillsynsbegäran.docx", "A 30053-2024")</f>
        <v/>
      </c>
      <c r="Y199">
        <f>HYPERLINK("https://klasma.github.io/Logging_2303/tillsynsmail/A 30053-2024 tillsynsbegäran mail.docx", "A 30053-2024")</f>
        <v/>
      </c>
    </row>
    <row r="200" ht="15" customHeight="1">
      <c r="A200" t="inlineStr">
        <is>
          <t>A 50089-2022</t>
        </is>
      </c>
      <c r="B200" s="1" t="n">
        <v>44865</v>
      </c>
      <c r="C200" s="1" t="n">
        <v>45966</v>
      </c>
      <c r="D200" t="inlineStr">
        <is>
          <t>JÄMTLANDS LÄN</t>
        </is>
      </c>
      <c r="E200" t="inlineStr">
        <is>
          <t>RAGUNDA</t>
        </is>
      </c>
      <c r="G200" t="n">
        <v>5.7</v>
      </c>
      <c r="H200" t="n">
        <v>2</v>
      </c>
      <c r="I200" t="n">
        <v>0</v>
      </c>
      <c r="J200" t="n">
        <v>2</v>
      </c>
      <c r="K200" t="n">
        <v>0</v>
      </c>
      <c r="L200" t="n">
        <v>0</v>
      </c>
      <c r="M200" t="n">
        <v>0</v>
      </c>
      <c r="N200" t="n">
        <v>0</v>
      </c>
      <c r="O200" t="n">
        <v>2</v>
      </c>
      <c r="P200" t="n">
        <v>0</v>
      </c>
      <c r="Q200" t="n">
        <v>2</v>
      </c>
      <c r="R200" s="2" t="inlineStr">
        <is>
          <t>Björktrast
Drillsnäppa</t>
        </is>
      </c>
      <c r="S200">
        <f>HYPERLINK("https://klasma.github.io/Logging_2303/artfynd/A 50089-2022 artfynd.xlsx", "A 50089-2022")</f>
        <v/>
      </c>
      <c r="T200">
        <f>HYPERLINK("https://klasma.github.io/Logging_2303/kartor/A 50089-2022 karta.png", "A 50089-2022")</f>
        <v/>
      </c>
      <c r="V200">
        <f>HYPERLINK("https://klasma.github.io/Logging_2303/klagomål/A 50089-2022 FSC-klagomål.docx", "A 50089-2022")</f>
        <v/>
      </c>
      <c r="W200">
        <f>HYPERLINK("https://klasma.github.io/Logging_2303/klagomålsmail/A 50089-2022 FSC-klagomål mail.docx", "A 50089-2022")</f>
        <v/>
      </c>
      <c r="X200">
        <f>HYPERLINK("https://klasma.github.io/Logging_2303/tillsyn/A 50089-2022 tillsynsbegäran.docx", "A 50089-2022")</f>
        <v/>
      </c>
      <c r="Y200">
        <f>HYPERLINK("https://klasma.github.io/Logging_2303/tillsynsmail/A 50089-2022 tillsynsbegäran mail.docx", "A 50089-2022")</f>
        <v/>
      </c>
      <c r="Z200">
        <f>HYPERLINK("https://klasma.github.io/Logging_2303/fåglar/A 50089-2022 prioriterade fågelarter.docx", "A 50089-2022")</f>
        <v/>
      </c>
    </row>
    <row r="201" ht="15" customHeight="1">
      <c r="A201" t="inlineStr">
        <is>
          <t>A 51916-2021</t>
        </is>
      </c>
      <c r="B201" s="1" t="n">
        <v>44462</v>
      </c>
      <c r="C201" s="1" t="n">
        <v>45966</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45966</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45966</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45966</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45966</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42899-2022</t>
        </is>
      </c>
      <c r="B206" s="1" t="n">
        <v>44832</v>
      </c>
      <c r="C206" s="1" t="n">
        <v>45966</v>
      </c>
      <c r="D206" t="inlineStr">
        <is>
          <t>JÄMTLANDS LÄN</t>
        </is>
      </c>
      <c r="E206" t="inlineStr">
        <is>
          <t>RAGUNDA</t>
        </is>
      </c>
      <c r="F206" t="inlineStr">
        <is>
          <t>SCA</t>
        </is>
      </c>
      <c r="G206" t="n">
        <v>2.3</v>
      </c>
      <c r="H206" t="n">
        <v>0</v>
      </c>
      <c r="I206" t="n">
        <v>0</v>
      </c>
      <c r="J206" t="n">
        <v>1</v>
      </c>
      <c r="K206" t="n">
        <v>0</v>
      </c>
      <c r="L206" t="n">
        <v>0</v>
      </c>
      <c r="M206" t="n">
        <v>0</v>
      </c>
      <c r="N206" t="n">
        <v>0</v>
      </c>
      <c r="O206" t="n">
        <v>1</v>
      </c>
      <c r="P206" t="n">
        <v>0</v>
      </c>
      <c r="Q206" t="n">
        <v>1</v>
      </c>
      <c r="R206" s="2" t="inlineStr">
        <is>
          <t>Ullticka</t>
        </is>
      </c>
      <c r="S206">
        <f>HYPERLINK("https://klasma.github.io/Logging_2303/artfynd/A 42899-2022 artfynd.xlsx", "A 42899-2022")</f>
        <v/>
      </c>
      <c r="T206">
        <f>HYPERLINK("https://klasma.github.io/Logging_2303/kartor/A 42899-2022 karta.png", "A 42899-2022")</f>
        <v/>
      </c>
      <c r="V206">
        <f>HYPERLINK("https://klasma.github.io/Logging_2303/klagomål/A 42899-2022 FSC-klagomål.docx", "A 42899-2022")</f>
        <v/>
      </c>
      <c r="W206">
        <f>HYPERLINK("https://klasma.github.io/Logging_2303/klagomålsmail/A 42899-2022 FSC-klagomål mail.docx", "A 42899-2022")</f>
        <v/>
      </c>
      <c r="X206">
        <f>HYPERLINK("https://klasma.github.io/Logging_2303/tillsyn/A 42899-2022 tillsynsbegäran.docx", "A 42899-2022")</f>
        <v/>
      </c>
      <c r="Y206">
        <f>HYPERLINK("https://klasma.github.io/Logging_2303/tillsynsmail/A 42899-2022 tillsynsbegäran mail.docx", "A 42899-2022")</f>
        <v/>
      </c>
    </row>
    <row r="207" ht="15" customHeight="1">
      <c r="A207" t="inlineStr">
        <is>
          <t>A 27286-2022</t>
        </is>
      </c>
      <c r="B207" s="1" t="n">
        <v>44741</v>
      </c>
      <c r="C207" s="1" t="n">
        <v>45966</v>
      </c>
      <c r="D207" t="inlineStr">
        <is>
          <t>JÄMTLANDS LÄN</t>
        </is>
      </c>
      <c r="E207" t="inlineStr">
        <is>
          <t>RAGUNDA</t>
        </is>
      </c>
      <c r="F207" t="inlineStr">
        <is>
          <t>SCA</t>
        </is>
      </c>
      <c r="G207" t="n">
        <v>3.1</v>
      </c>
      <c r="H207" t="n">
        <v>0</v>
      </c>
      <c r="I207" t="n">
        <v>0</v>
      </c>
      <c r="J207" t="n">
        <v>1</v>
      </c>
      <c r="K207" t="n">
        <v>0</v>
      </c>
      <c r="L207" t="n">
        <v>0</v>
      </c>
      <c r="M207" t="n">
        <v>0</v>
      </c>
      <c r="N207" t="n">
        <v>0</v>
      </c>
      <c r="O207" t="n">
        <v>1</v>
      </c>
      <c r="P207" t="n">
        <v>0</v>
      </c>
      <c r="Q207" t="n">
        <v>1</v>
      </c>
      <c r="R207" s="2" t="inlineStr">
        <is>
          <t>Harticka</t>
        </is>
      </c>
      <c r="S207">
        <f>HYPERLINK("https://klasma.github.io/Logging_2303/artfynd/A 27286-2022 artfynd.xlsx", "A 27286-2022")</f>
        <v/>
      </c>
      <c r="T207">
        <f>HYPERLINK("https://klasma.github.io/Logging_2303/kartor/A 27286-2022 karta.png", "A 27286-2022")</f>
        <v/>
      </c>
      <c r="V207">
        <f>HYPERLINK("https://klasma.github.io/Logging_2303/klagomål/A 27286-2022 FSC-klagomål.docx", "A 27286-2022")</f>
        <v/>
      </c>
      <c r="W207">
        <f>HYPERLINK("https://klasma.github.io/Logging_2303/klagomålsmail/A 27286-2022 FSC-klagomål mail.docx", "A 27286-2022")</f>
        <v/>
      </c>
      <c r="X207">
        <f>HYPERLINK("https://klasma.github.io/Logging_2303/tillsyn/A 27286-2022 tillsynsbegäran.docx", "A 27286-2022")</f>
        <v/>
      </c>
      <c r="Y207">
        <f>HYPERLINK("https://klasma.github.io/Logging_2303/tillsynsmail/A 27286-2022 tillsynsbegäran mail.docx", "A 27286-2022")</f>
        <v/>
      </c>
    </row>
    <row r="208" ht="15" customHeight="1">
      <c r="A208" t="inlineStr">
        <is>
          <t>A 26317-2024</t>
        </is>
      </c>
      <c r="B208" s="1" t="n">
        <v>45468</v>
      </c>
      <c r="C208" s="1" t="n">
        <v>45966</v>
      </c>
      <c r="D208" t="inlineStr">
        <is>
          <t>JÄMTLANDS LÄN</t>
        </is>
      </c>
      <c r="E208" t="inlineStr">
        <is>
          <t>RAGUNDA</t>
        </is>
      </c>
      <c r="F208" t="inlineStr">
        <is>
          <t>SCA</t>
        </is>
      </c>
      <c r="G208" t="n">
        <v>3.8</v>
      </c>
      <c r="H208" t="n">
        <v>0</v>
      </c>
      <c r="I208" t="n">
        <v>0</v>
      </c>
      <c r="J208" t="n">
        <v>1</v>
      </c>
      <c r="K208" t="n">
        <v>0</v>
      </c>
      <c r="L208" t="n">
        <v>0</v>
      </c>
      <c r="M208" t="n">
        <v>0</v>
      </c>
      <c r="N208" t="n">
        <v>0</v>
      </c>
      <c r="O208" t="n">
        <v>1</v>
      </c>
      <c r="P208" t="n">
        <v>0</v>
      </c>
      <c r="Q208" t="n">
        <v>1</v>
      </c>
      <c r="R208" s="2" t="inlineStr">
        <is>
          <t>Kortskaftad ärgspik</t>
        </is>
      </c>
      <c r="S208">
        <f>HYPERLINK("https://klasma.github.io/Logging_2303/artfynd/A 26317-2024 artfynd.xlsx", "A 26317-2024")</f>
        <v/>
      </c>
      <c r="T208">
        <f>HYPERLINK("https://klasma.github.io/Logging_2303/kartor/A 26317-2024 karta.png", "A 26317-2024")</f>
        <v/>
      </c>
      <c r="V208">
        <f>HYPERLINK("https://klasma.github.io/Logging_2303/klagomål/A 26317-2024 FSC-klagomål.docx", "A 26317-2024")</f>
        <v/>
      </c>
      <c r="W208">
        <f>HYPERLINK("https://klasma.github.io/Logging_2303/klagomålsmail/A 26317-2024 FSC-klagomål mail.docx", "A 26317-2024")</f>
        <v/>
      </c>
      <c r="X208">
        <f>HYPERLINK("https://klasma.github.io/Logging_2303/tillsyn/A 26317-2024 tillsynsbegäran.docx", "A 26317-2024")</f>
        <v/>
      </c>
      <c r="Y208">
        <f>HYPERLINK("https://klasma.github.io/Logging_2303/tillsynsmail/A 26317-2024 tillsynsbegäran mail.docx", "A 26317-2024")</f>
        <v/>
      </c>
    </row>
    <row r="209" ht="15" customHeight="1">
      <c r="A209" t="inlineStr">
        <is>
          <t>A 49091-2022</t>
        </is>
      </c>
      <c r="B209" s="1" t="n">
        <v>44860</v>
      </c>
      <c r="C209" s="1" t="n">
        <v>45966</v>
      </c>
      <c r="D209" t="inlineStr">
        <is>
          <t>JÄMTLANDS LÄN</t>
        </is>
      </c>
      <c r="E209" t="inlineStr">
        <is>
          <t>RAGUNDA</t>
        </is>
      </c>
      <c r="G209" t="n">
        <v>3.5</v>
      </c>
      <c r="H209" t="n">
        <v>1</v>
      </c>
      <c r="I209" t="n">
        <v>0</v>
      </c>
      <c r="J209" t="n">
        <v>0</v>
      </c>
      <c r="K209" t="n">
        <v>1</v>
      </c>
      <c r="L209" t="n">
        <v>0</v>
      </c>
      <c r="M209" t="n">
        <v>0</v>
      </c>
      <c r="N209" t="n">
        <v>0</v>
      </c>
      <c r="O209" t="n">
        <v>1</v>
      </c>
      <c r="P209" t="n">
        <v>1</v>
      </c>
      <c r="Q209" t="n">
        <v>1</v>
      </c>
      <c r="R209" s="2" t="inlineStr">
        <is>
          <t>Doftticka</t>
        </is>
      </c>
      <c r="S209">
        <f>HYPERLINK("https://klasma.github.io/Logging_2303/artfynd/A 49091-2022 artfynd.xlsx", "A 49091-2022")</f>
        <v/>
      </c>
      <c r="T209">
        <f>HYPERLINK("https://klasma.github.io/Logging_2303/kartor/A 49091-2022 karta.png", "A 49091-2022")</f>
        <v/>
      </c>
      <c r="V209">
        <f>HYPERLINK("https://klasma.github.io/Logging_2303/klagomål/A 49091-2022 FSC-klagomål.docx", "A 49091-2022")</f>
        <v/>
      </c>
      <c r="W209">
        <f>HYPERLINK("https://klasma.github.io/Logging_2303/klagomålsmail/A 49091-2022 FSC-klagomål mail.docx", "A 49091-2022")</f>
        <v/>
      </c>
      <c r="X209">
        <f>HYPERLINK("https://klasma.github.io/Logging_2303/tillsyn/A 49091-2022 tillsynsbegäran.docx", "A 49091-2022")</f>
        <v/>
      </c>
      <c r="Y209">
        <f>HYPERLINK("https://klasma.github.io/Logging_2303/tillsynsmail/A 49091-2022 tillsynsbegäran mail.docx", "A 49091-2022")</f>
        <v/>
      </c>
    </row>
    <row r="210" ht="15" customHeight="1">
      <c r="A210" t="inlineStr">
        <is>
          <t>A 6703-2024</t>
        </is>
      </c>
      <c r="B210" s="1" t="n">
        <v>45341</v>
      </c>
      <c r="C210" s="1" t="n">
        <v>45966</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50164-2023</t>
        </is>
      </c>
      <c r="B211" s="1" t="n">
        <v>45208</v>
      </c>
      <c r="C211" s="1" t="n">
        <v>45966</v>
      </c>
      <c r="D211" t="inlineStr">
        <is>
          <t>JÄMTLANDS LÄN</t>
        </is>
      </c>
      <c r="E211" t="inlineStr">
        <is>
          <t>RAGUNDA</t>
        </is>
      </c>
      <c r="G211" t="n">
        <v>2.9</v>
      </c>
      <c r="H211" t="n">
        <v>0</v>
      </c>
      <c r="I211" t="n">
        <v>0</v>
      </c>
      <c r="J211" t="n">
        <v>0</v>
      </c>
      <c r="K211" t="n">
        <v>1</v>
      </c>
      <c r="L211" t="n">
        <v>0</v>
      </c>
      <c r="M211" t="n">
        <v>0</v>
      </c>
      <c r="N211" t="n">
        <v>0</v>
      </c>
      <c r="O211" t="n">
        <v>1</v>
      </c>
      <c r="P211" t="n">
        <v>1</v>
      </c>
      <c r="Q211" t="n">
        <v>1</v>
      </c>
      <c r="R211" s="2" t="inlineStr">
        <is>
          <t>Mindre barkplattbagge</t>
        </is>
      </c>
      <c r="S211">
        <f>HYPERLINK("https://klasma.github.io/Logging_2303/artfynd/A 50164-2023 artfynd.xlsx", "A 50164-2023")</f>
        <v/>
      </c>
      <c r="T211">
        <f>HYPERLINK("https://klasma.github.io/Logging_2303/kartor/A 50164-2023 karta.png", "A 50164-2023")</f>
        <v/>
      </c>
      <c r="V211">
        <f>HYPERLINK("https://klasma.github.io/Logging_2303/klagomål/A 50164-2023 FSC-klagomål.docx", "A 50164-2023")</f>
        <v/>
      </c>
      <c r="W211">
        <f>HYPERLINK("https://klasma.github.io/Logging_2303/klagomålsmail/A 50164-2023 FSC-klagomål mail.docx", "A 50164-2023")</f>
        <v/>
      </c>
      <c r="X211">
        <f>HYPERLINK("https://klasma.github.io/Logging_2303/tillsyn/A 50164-2023 tillsynsbegäran.docx", "A 50164-2023")</f>
        <v/>
      </c>
      <c r="Y211">
        <f>HYPERLINK("https://klasma.github.io/Logging_2303/tillsynsmail/A 50164-2023 tillsynsbegäran mail.docx", "A 50164-2023")</f>
        <v/>
      </c>
    </row>
    <row r="212" ht="15" customHeight="1">
      <c r="A212" t="inlineStr">
        <is>
          <t>A 48429-2023</t>
        </is>
      </c>
      <c r="B212" s="1" t="n">
        <v>45205</v>
      </c>
      <c r="C212" s="1" t="n">
        <v>45966</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16316-2025</t>
        </is>
      </c>
      <c r="B213" s="1" t="n">
        <v>45751.34795138889</v>
      </c>
      <c r="C213" s="1" t="n">
        <v>45966</v>
      </c>
      <c r="D213" t="inlineStr">
        <is>
          <t>JÄMTLANDS LÄN</t>
        </is>
      </c>
      <c r="E213" t="inlineStr">
        <is>
          <t>RAGUNDA</t>
        </is>
      </c>
      <c r="F213" t="inlineStr">
        <is>
          <t>SCA</t>
        </is>
      </c>
      <c r="G213" t="n">
        <v>1.7</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HYPERLINK("https://klasma.github.io/Logging_2303/artfynd/A 16316-2025 artfynd.xlsx", "A 16316-2025")</f>
        <v/>
      </c>
      <c r="T213">
        <f>HYPERLINK("https://klasma.github.io/Logging_2303/kartor/A 16316-2025 karta.png", "A 16316-2025")</f>
        <v/>
      </c>
      <c r="V213">
        <f>HYPERLINK("https://klasma.github.io/Logging_2303/klagomål/A 16316-2025 FSC-klagomål.docx", "A 16316-2025")</f>
        <v/>
      </c>
      <c r="W213">
        <f>HYPERLINK("https://klasma.github.io/Logging_2303/klagomålsmail/A 16316-2025 FSC-klagomål mail.docx", "A 16316-2025")</f>
        <v/>
      </c>
      <c r="X213">
        <f>HYPERLINK("https://klasma.github.io/Logging_2303/tillsyn/A 16316-2025 tillsynsbegäran.docx", "A 16316-2025")</f>
        <v/>
      </c>
      <c r="Y213">
        <f>HYPERLINK("https://klasma.github.io/Logging_2303/tillsynsmail/A 16316-2025 tillsynsbegäran mail.docx", "A 16316-2025")</f>
        <v/>
      </c>
    </row>
    <row r="214" ht="15" customHeight="1">
      <c r="A214" t="inlineStr">
        <is>
          <t>A 62072-2023</t>
        </is>
      </c>
      <c r="B214" s="1" t="n">
        <v>45266</v>
      </c>
      <c r="C214" s="1" t="n">
        <v>45966</v>
      </c>
      <c r="D214" t="inlineStr">
        <is>
          <t>JÄMTLANDS LÄN</t>
        </is>
      </c>
      <c r="E214" t="inlineStr">
        <is>
          <t>RAGUNDA</t>
        </is>
      </c>
      <c r="G214" t="n">
        <v>4.5</v>
      </c>
      <c r="H214" t="n">
        <v>1</v>
      </c>
      <c r="I214" t="n">
        <v>0</v>
      </c>
      <c r="J214" t="n">
        <v>0</v>
      </c>
      <c r="K214" t="n">
        <v>1</v>
      </c>
      <c r="L214" t="n">
        <v>0</v>
      </c>
      <c r="M214" t="n">
        <v>0</v>
      </c>
      <c r="N214" t="n">
        <v>0</v>
      </c>
      <c r="O214" t="n">
        <v>1</v>
      </c>
      <c r="P214" t="n">
        <v>1</v>
      </c>
      <c r="Q214" t="n">
        <v>1</v>
      </c>
      <c r="R214" s="2" t="inlineStr">
        <is>
          <t>Lappuggla</t>
        </is>
      </c>
      <c r="S214">
        <f>HYPERLINK("https://klasma.github.io/Logging_2303/artfynd/A 62072-2023 artfynd.xlsx", "A 62072-2023")</f>
        <v/>
      </c>
      <c r="T214">
        <f>HYPERLINK("https://klasma.github.io/Logging_2303/kartor/A 62072-2023 karta.png", "A 62072-2023")</f>
        <v/>
      </c>
      <c r="V214">
        <f>HYPERLINK("https://klasma.github.io/Logging_2303/klagomål/A 62072-2023 FSC-klagomål.docx", "A 62072-2023")</f>
        <v/>
      </c>
      <c r="W214">
        <f>HYPERLINK("https://klasma.github.io/Logging_2303/klagomålsmail/A 62072-2023 FSC-klagomål mail.docx", "A 62072-2023")</f>
        <v/>
      </c>
      <c r="X214">
        <f>HYPERLINK("https://klasma.github.io/Logging_2303/tillsyn/A 62072-2023 tillsynsbegäran.docx", "A 62072-2023")</f>
        <v/>
      </c>
      <c r="Y214">
        <f>HYPERLINK("https://klasma.github.io/Logging_2303/tillsynsmail/A 62072-2023 tillsynsbegäran mail.docx", "A 62072-2023")</f>
        <v/>
      </c>
      <c r="Z214">
        <f>HYPERLINK("https://klasma.github.io/Logging_2303/fåglar/A 62072-2023 prioriterade fågelarter.docx", "A 62072-2023")</f>
        <v/>
      </c>
    </row>
    <row r="215" ht="15" customHeight="1">
      <c r="A215" t="inlineStr">
        <is>
          <t>A 20575-2025</t>
        </is>
      </c>
      <c r="B215" s="1" t="n">
        <v>45775.67769675926</v>
      </c>
      <c r="C215" s="1" t="n">
        <v>45966</v>
      </c>
      <c r="D215" t="inlineStr">
        <is>
          <t>JÄMTLANDS LÄN</t>
        </is>
      </c>
      <c r="E215" t="inlineStr">
        <is>
          <t>RAGUNDA</t>
        </is>
      </c>
      <c r="F215" t="inlineStr">
        <is>
          <t>SCA</t>
        </is>
      </c>
      <c r="G215" t="n">
        <v>8.1</v>
      </c>
      <c r="H215" t="n">
        <v>1</v>
      </c>
      <c r="I215" t="n">
        <v>0</v>
      </c>
      <c r="J215" t="n">
        <v>1</v>
      </c>
      <c r="K215" t="n">
        <v>0</v>
      </c>
      <c r="L215" t="n">
        <v>0</v>
      </c>
      <c r="M215" t="n">
        <v>0</v>
      </c>
      <c r="N215" t="n">
        <v>0</v>
      </c>
      <c r="O215" t="n">
        <v>1</v>
      </c>
      <c r="P215" t="n">
        <v>0</v>
      </c>
      <c r="Q215" t="n">
        <v>1</v>
      </c>
      <c r="R215" s="2" t="inlineStr">
        <is>
          <t>Skogsfru</t>
        </is>
      </c>
      <c r="S215">
        <f>HYPERLINK("https://klasma.github.io/Logging_2303/artfynd/A 20575-2025 artfynd.xlsx", "A 20575-2025")</f>
        <v/>
      </c>
      <c r="T215">
        <f>HYPERLINK("https://klasma.github.io/Logging_2303/kartor/A 20575-2025 karta.png", "A 20575-2025")</f>
        <v/>
      </c>
      <c r="V215">
        <f>HYPERLINK("https://klasma.github.io/Logging_2303/klagomål/A 20575-2025 FSC-klagomål.docx", "A 20575-2025")</f>
        <v/>
      </c>
      <c r="W215">
        <f>HYPERLINK("https://klasma.github.io/Logging_2303/klagomålsmail/A 20575-2025 FSC-klagomål mail.docx", "A 20575-2025")</f>
        <v/>
      </c>
      <c r="X215">
        <f>HYPERLINK("https://klasma.github.io/Logging_2303/tillsyn/A 20575-2025 tillsynsbegäran.docx", "A 20575-2025")</f>
        <v/>
      </c>
      <c r="Y215">
        <f>HYPERLINK("https://klasma.github.io/Logging_2303/tillsynsmail/A 20575-2025 tillsynsbegäran mail.docx", "A 20575-2025")</f>
        <v/>
      </c>
    </row>
    <row r="216" ht="15" customHeight="1">
      <c r="A216" t="inlineStr">
        <is>
          <t>A 49053-2025</t>
        </is>
      </c>
      <c r="B216" s="1" t="n">
        <v>45937.64009259259</v>
      </c>
      <c r="C216" s="1" t="n">
        <v>45966</v>
      </c>
      <c r="D216" t="inlineStr">
        <is>
          <t>JÄMTLANDS LÄN</t>
        </is>
      </c>
      <c r="E216" t="inlineStr">
        <is>
          <t>RAGUNDA</t>
        </is>
      </c>
      <c r="F216" t="inlineStr">
        <is>
          <t>SCA</t>
        </is>
      </c>
      <c r="G216" t="n">
        <v>7</v>
      </c>
      <c r="H216" t="n">
        <v>1</v>
      </c>
      <c r="I216" t="n">
        <v>1</v>
      </c>
      <c r="J216" t="n">
        <v>0</v>
      </c>
      <c r="K216" t="n">
        <v>0</v>
      </c>
      <c r="L216" t="n">
        <v>0</v>
      </c>
      <c r="M216" t="n">
        <v>0</v>
      </c>
      <c r="N216" t="n">
        <v>0</v>
      </c>
      <c r="O216" t="n">
        <v>0</v>
      </c>
      <c r="P216" t="n">
        <v>0</v>
      </c>
      <c r="Q216" t="n">
        <v>1</v>
      </c>
      <c r="R216" s="2" t="inlineStr">
        <is>
          <t>Guckusko</t>
        </is>
      </c>
      <c r="S216">
        <f>HYPERLINK("https://klasma.github.io/Logging_2303/artfynd/A 49053-2025 artfynd.xlsx", "A 49053-2025")</f>
        <v/>
      </c>
      <c r="T216">
        <f>HYPERLINK("https://klasma.github.io/Logging_2303/kartor/A 49053-2025 karta.png", "A 49053-2025")</f>
        <v/>
      </c>
      <c r="V216">
        <f>HYPERLINK("https://klasma.github.io/Logging_2303/klagomål/A 49053-2025 FSC-klagomål.docx", "A 49053-2025")</f>
        <v/>
      </c>
      <c r="W216">
        <f>HYPERLINK("https://klasma.github.io/Logging_2303/klagomålsmail/A 49053-2025 FSC-klagomål mail.docx", "A 49053-2025")</f>
        <v/>
      </c>
      <c r="X216">
        <f>HYPERLINK("https://klasma.github.io/Logging_2303/tillsyn/A 49053-2025 tillsynsbegäran.docx", "A 49053-2025")</f>
        <v/>
      </c>
      <c r="Y216">
        <f>HYPERLINK("https://klasma.github.io/Logging_2303/tillsynsmail/A 49053-2025 tillsynsbegäran mail.docx", "A 49053-2025")</f>
        <v/>
      </c>
    </row>
    <row r="217" ht="15" customHeight="1">
      <c r="A217" t="inlineStr">
        <is>
          <t>A 40841-2025</t>
        </is>
      </c>
      <c r="B217" s="1" t="n">
        <v>45897.531875</v>
      </c>
      <c r="C217" s="1" t="n">
        <v>45966</v>
      </c>
      <c r="D217" t="inlineStr">
        <is>
          <t>JÄMTLANDS LÄN</t>
        </is>
      </c>
      <c r="E217" t="inlineStr">
        <is>
          <t>RAGUNDA</t>
        </is>
      </c>
      <c r="F217" t="inlineStr">
        <is>
          <t>SCA</t>
        </is>
      </c>
      <c r="G217" t="n">
        <v>1.1</v>
      </c>
      <c r="H217" t="n">
        <v>0</v>
      </c>
      <c r="I217" t="n">
        <v>0</v>
      </c>
      <c r="J217" t="n">
        <v>1</v>
      </c>
      <c r="K217" t="n">
        <v>0</v>
      </c>
      <c r="L217" t="n">
        <v>0</v>
      </c>
      <c r="M217" t="n">
        <v>0</v>
      </c>
      <c r="N217" t="n">
        <v>0</v>
      </c>
      <c r="O217" t="n">
        <v>1</v>
      </c>
      <c r="P217" t="n">
        <v>0</v>
      </c>
      <c r="Q217" t="n">
        <v>1</v>
      </c>
      <c r="R217" s="2" t="inlineStr">
        <is>
          <t>Garnlav</t>
        </is>
      </c>
      <c r="S217">
        <f>HYPERLINK("https://klasma.github.io/Logging_2303/artfynd/A 40841-2025 artfynd.xlsx", "A 40841-2025")</f>
        <v/>
      </c>
      <c r="T217">
        <f>HYPERLINK("https://klasma.github.io/Logging_2303/kartor/A 40841-2025 karta.png", "A 40841-2025")</f>
        <v/>
      </c>
      <c r="V217">
        <f>HYPERLINK("https://klasma.github.io/Logging_2303/klagomål/A 40841-2025 FSC-klagomål.docx", "A 40841-2025")</f>
        <v/>
      </c>
      <c r="W217">
        <f>HYPERLINK("https://klasma.github.io/Logging_2303/klagomålsmail/A 40841-2025 FSC-klagomål mail.docx", "A 40841-2025")</f>
        <v/>
      </c>
      <c r="X217">
        <f>HYPERLINK("https://klasma.github.io/Logging_2303/tillsyn/A 40841-2025 tillsynsbegäran.docx", "A 40841-2025")</f>
        <v/>
      </c>
      <c r="Y217">
        <f>HYPERLINK("https://klasma.github.io/Logging_2303/tillsynsmail/A 40841-2025 tillsynsbegäran mail.docx", "A 40841-2025")</f>
        <v/>
      </c>
    </row>
    <row r="218" ht="15" customHeight="1">
      <c r="A218" t="inlineStr">
        <is>
          <t>A 17340-2023</t>
        </is>
      </c>
      <c r="B218" s="1" t="n">
        <v>45033</v>
      </c>
      <c r="C218" s="1" t="n">
        <v>45966</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59104-2023</t>
        </is>
      </c>
      <c r="B219" s="1" t="n">
        <v>45252</v>
      </c>
      <c r="C219" s="1" t="n">
        <v>45966</v>
      </c>
      <c r="D219" t="inlineStr">
        <is>
          <t>JÄMTLANDS LÄN</t>
        </is>
      </c>
      <c r="E219" t="inlineStr">
        <is>
          <t>RAGUNDA</t>
        </is>
      </c>
      <c r="F219" t="inlineStr">
        <is>
          <t>SCA</t>
        </is>
      </c>
      <c r="G219" t="n">
        <v>4.2</v>
      </c>
      <c r="H219" t="n">
        <v>0</v>
      </c>
      <c r="I219" t="n">
        <v>0</v>
      </c>
      <c r="J219" t="n">
        <v>1</v>
      </c>
      <c r="K219" t="n">
        <v>0</v>
      </c>
      <c r="L219" t="n">
        <v>0</v>
      </c>
      <c r="M219" t="n">
        <v>0</v>
      </c>
      <c r="N219" t="n">
        <v>0</v>
      </c>
      <c r="O219" t="n">
        <v>1</v>
      </c>
      <c r="P219" t="n">
        <v>0</v>
      </c>
      <c r="Q219" t="n">
        <v>1</v>
      </c>
      <c r="R219" s="2" t="inlineStr">
        <is>
          <t>Ullticka</t>
        </is>
      </c>
      <c r="S219">
        <f>HYPERLINK("https://klasma.github.io/Logging_2303/artfynd/A 59104-2023 artfynd.xlsx", "A 59104-2023")</f>
        <v/>
      </c>
      <c r="T219">
        <f>HYPERLINK("https://klasma.github.io/Logging_2303/kartor/A 59104-2023 karta.png", "A 59104-2023")</f>
        <v/>
      </c>
      <c r="V219">
        <f>HYPERLINK("https://klasma.github.io/Logging_2303/klagomål/A 59104-2023 FSC-klagomål.docx", "A 59104-2023")</f>
        <v/>
      </c>
      <c r="W219">
        <f>HYPERLINK("https://klasma.github.io/Logging_2303/klagomålsmail/A 59104-2023 FSC-klagomål mail.docx", "A 59104-2023")</f>
        <v/>
      </c>
      <c r="X219">
        <f>HYPERLINK("https://klasma.github.io/Logging_2303/tillsyn/A 59104-2023 tillsynsbegäran.docx", "A 59104-2023")</f>
        <v/>
      </c>
      <c r="Y219">
        <f>HYPERLINK("https://klasma.github.io/Logging_2303/tillsynsmail/A 59104-2023 tillsynsbegäran mail.docx", "A 59104-2023")</f>
        <v/>
      </c>
    </row>
    <row r="220" ht="15" customHeight="1">
      <c r="A220" t="inlineStr">
        <is>
          <t>A 26322-2024</t>
        </is>
      </c>
      <c r="B220" s="1" t="n">
        <v>45468.97461805555</v>
      </c>
      <c r="C220" s="1" t="n">
        <v>45966</v>
      </c>
      <c r="D220" t="inlineStr">
        <is>
          <t>JÄMTLANDS LÄN</t>
        </is>
      </c>
      <c r="E220" t="inlineStr">
        <is>
          <t>RAGUNDA</t>
        </is>
      </c>
      <c r="F220" t="inlineStr">
        <is>
          <t>SCA</t>
        </is>
      </c>
      <c r="G220" t="n">
        <v>9.6</v>
      </c>
      <c r="H220" t="n">
        <v>0</v>
      </c>
      <c r="I220" t="n">
        <v>0</v>
      </c>
      <c r="J220" t="n">
        <v>1</v>
      </c>
      <c r="K220" t="n">
        <v>0</v>
      </c>
      <c r="L220" t="n">
        <v>0</v>
      </c>
      <c r="M220" t="n">
        <v>0</v>
      </c>
      <c r="N220" t="n">
        <v>0</v>
      </c>
      <c r="O220" t="n">
        <v>1</v>
      </c>
      <c r="P220" t="n">
        <v>0</v>
      </c>
      <c r="Q220" t="n">
        <v>1</v>
      </c>
      <c r="R220" s="2" t="inlineStr">
        <is>
          <t>Rosenticka</t>
        </is>
      </c>
      <c r="S220">
        <f>HYPERLINK("https://klasma.github.io/Logging_2303/artfynd/A 26322-2024 artfynd.xlsx", "A 26322-2024")</f>
        <v/>
      </c>
      <c r="T220">
        <f>HYPERLINK("https://klasma.github.io/Logging_2303/kartor/A 26322-2024 karta.png", "A 26322-2024")</f>
        <v/>
      </c>
      <c r="U220">
        <f>HYPERLINK("https://klasma.github.io/Logging_2303/knärot/A 26322-2024 karta knärot.png", "A 26322-2024")</f>
        <v/>
      </c>
      <c r="V220">
        <f>HYPERLINK("https://klasma.github.io/Logging_2303/klagomål/A 26322-2024 FSC-klagomål.docx", "A 26322-2024")</f>
        <v/>
      </c>
      <c r="W220">
        <f>HYPERLINK("https://klasma.github.io/Logging_2303/klagomålsmail/A 26322-2024 FSC-klagomål mail.docx", "A 26322-2024")</f>
        <v/>
      </c>
      <c r="X220">
        <f>HYPERLINK("https://klasma.github.io/Logging_2303/tillsyn/A 26322-2024 tillsynsbegäran.docx", "A 26322-2024")</f>
        <v/>
      </c>
      <c r="Y220">
        <f>HYPERLINK("https://klasma.github.io/Logging_2303/tillsynsmail/A 26322-2024 tillsynsbegäran mail.docx", "A 26322-2024")</f>
        <v/>
      </c>
    </row>
    <row r="221" ht="15" customHeight="1">
      <c r="A221" t="inlineStr">
        <is>
          <t>A 20774-2024</t>
        </is>
      </c>
      <c r="B221" s="1" t="n">
        <v>45436.94644675926</v>
      </c>
      <c r="C221" s="1" t="n">
        <v>45966</v>
      </c>
      <c r="D221" t="inlineStr">
        <is>
          <t>JÄMTLANDS LÄN</t>
        </is>
      </c>
      <c r="E221" t="inlineStr">
        <is>
          <t>RAGUNDA</t>
        </is>
      </c>
      <c r="F221" t="inlineStr">
        <is>
          <t>SCA</t>
        </is>
      </c>
      <c r="G221" t="n">
        <v>2.3</v>
      </c>
      <c r="H221" t="n">
        <v>0</v>
      </c>
      <c r="I221" t="n">
        <v>1</v>
      </c>
      <c r="J221" t="n">
        <v>0</v>
      </c>
      <c r="K221" t="n">
        <v>0</v>
      </c>
      <c r="L221" t="n">
        <v>0</v>
      </c>
      <c r="M221" t="n">
        <v>0</v>
      </c>
      <c r="N221" t="n">
        <v>0</v>
      </c>
      <c r="O221" t="n">
        <v>0</v>
      </c>
      <c r="P221" t="n">
        <v>0</v>
      </c>
      <c r="Q221" t="n">
        <v>1</v>
      </c>
      <c r="R221" s="2" t="inlineStr">
        <is>
          <t>Fjällig taggsvamp s.str.</t>
        </is>
      </c>
      <c r="S221">
        <f>HYPERLINK("https://klasma.github.io/Logging_2303/artfynd/A 20774-2024 artfynd.xlsx", "A 20774-2024")</f>
        <v/>
      </c>
      <c r="T221">
        <f>HYPERLINK("https://klasma.github.io/Logging_2303/kartor/A 20774-2024 karta.png", "A 20774-2024")</f>
        <v/>
      </c>
      <c r="V221">
        <f>HYPERLINK("https://klasma.github.io/Logging_2303/klagomål/A 20774-2024 FSC-klagomål.docx", "A 20774-2024")</f>
        <v/>
      </c>
      <c r="W221">
        <f>HYPERLINK("https://klasma.github.io/Logging_2303/klagomålsmail/A 20774-2024 FSC-klagomål mail.docx", "A 20774-2024")</f>
        <v/>
      </c>
      <c r="X221">
        <f>HYPERLINK("https://klasma.github.io/Logging_2303/tillsyn/A 20774-2024 tillsynsbegäran.docx", "A 20774-2024")</f>
        <v/>
      </c>
      <c r="Y221">
        <f>HYPERLINK("https://klasma.github.io/Logging_2303/tillsynsmail/A 20774-2024 tillsynsbegäran mail.docx", "A 20774-2024")</f>
        <v/>
      </c>
    </row>
    <row r="222" ht="15" customHeight="1">
      <c r="A222" t="inlineStr">
        <is>
          <t>A 48477-2023</t>
        </is>
      </c>
      <c r="B222" s="1" t="n">
        <v>45206</v>
      </c>
      <c r="C222" s="1" t="n">
        <v>45966</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48477-2023 artfynd.xlsx", "A 48477-2023")</f>
        <v/>
      </c>
      <c r="T222">
        <f>HYPERLINK("https://klasma.github.io/Logging_2303/kartor/A 48477-2023 karta.png", "A 48477-2023")</f>
        <v/>
      </c>
      <c r="V222">
        <f>HYPERLINK("https://klasma.github.io/Logging_2303/klagomål/A 48477-2023 FSC-klagomål.docx", "A 48477-2023")</f>
        <v/>
      </c>
      <c r="W222">
        <f>HYPERLINK("https://klasma.github.io/Logging_2303/klagomålsmail/A 48477-2023 FSC-klagomål mail.docx", "A 48477-2023")</f>
        <v/>
      </c>
      <c r="X222">
        <f>HYPERLINK("https://klasma.github.io/Logging_2303/tillsyn/A 48477-2023 tillsynsbegäran.docx", "A 48477-2023")</f>
        <v/>
      </c>
      <c r="Y222">
        <f>HYPERLINK("https://klasma.github.io/Logging_2303/tillsynsmail/A 48477-2023 tillsynsbegäran mail.docx", "A 48477-2023")</f>
        <v/>
      </c>
    </row>
    <row r="223" ht="15" customHeight="1">
      <c r="A223" t="inlineStr">
        <is>
          <t>A 16724-2025</t>
        </is>
      </c>
      <c r="B223" s="1" t="n">
        <v>45754.51064814815</v>
      </c>
      <c r="C223" s="1" t="n">
        <v>45966</v>
      </c>
      <c r="D223" t="inlineStr">
        <is>
          <t>JÄMTLANDS LÄN</t>
        </is>
      </c>
      <c r="E223" t="inlineStr">
        <is>
          <t>RAGUNDA</t>
        </is>
      </c>
      <c r="G223" t="n">
        <v>3.5</v>
      </c>
      <c r="H223" t="n">
        <v>0</v>
      </c>
      <c r="I223" t="n">
        <v>0</v>
      </c>
      <c r="J223" t="n">
        <v>1</v>
      </c>
      <c r="K223" t="n">
        <v>0</v>
      </c>
      <c r="L223" t="n">
        <v>0</v>
      </c>
      <c r="M223" t="n">
        <v>0</v>
      </c>
      <c r="N223" t="n">
        <v>0</v>
      </c>
      <c r="O223" t="n">
        <v>1</v>
      </c>
      <c r="P223" t="n">
        <v>0</v>
      </c>
      <c r="Q223" t="n">
        <v>1</v>
      </c>
      <c r="R223" s="2" t="inlineStr">
        <is>
          <t>Kolflarnlav</t>
        </is>
      </c>
      <c r="S223">
        <f>HYPERLINK("https://klasma.github.io/Logging_2303/artfynd/A 16724-2025 artfynd.xlsx", "A 16724-2025")</f>
        <v/>
      </c>
      <c r="T223">
        <f>HYPERLINK("https://klasma.github.io/Logging_2303/kartor/A 16724-2025 karta.png", "A 16724-2025")</f>
        <v/>
      </c>
      <c r="V223">
        <f>HYPERLINK("https://klasma.github.io/Logging_2303/klagomål/A 16724-2025 FSC-klagomål.docx", "A 16724-2025")</f>
        <v/>
      </c>
      <c r="W223">
        <f>HYPERLINK("https://klasma.github.io/Logging_2303/klagomålsmail/A 16724-2025 FSC-klagomål mail.docx", "A 16724-2025")</f>
        <v/>
      </c>
      <c r="X223">
        <f>HYPERLINK("https://klasma.github.io/Logging_2303/tillsyn/A 16724-2025 tillsynsbegäran.docx", "A 16724-2025")</f>
        <v/>
      </c>
      <c r="Y223">
        <f>HYPERLINK("https://klasma.github.io/Logging_2303/tillsynsmail/A 16724-2025 tillsynsbegäran mail.docx", "A 16724-2025")</f>
        <v/>
      </c>
    </row>
    <row r="224" ht="15" customHeight="1">
      <c r="A224" t="inlineStr">
        <is>
          <t>A 33432-2023</t>
        </is>
      </c>
      <c r="B224" s="1" t="n">
        <v>45128</v>
      </c>
      <c r="C224" s="1" t="n">
        <v>45966</v>
      </c>
      <c r="D224" t="inlineStr">
        <is>
          <t>JÄMTLANDS LÄN</t>
        </is>
      </c>
      <c r="E224" t="inlineStr">
        <is>
          <t>RAGUNDA</t>
        </is>
      </c>
      <c r="F224" t="inlineStr">
        <is>
          <t>SCA</t>
        </is>
      </c>
      <c r="G224" t="n">
        <v>10</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33432-2023 artfynd.xlsx", "A 33432-2023")</f>
        <v/>
      </c>
      <c r="T224">
        <f>HYPERLINK("https://klasma.github.io/Logging_2303/kartor/A 33432-2023 karta.png", "A 33432-2023")</f>
        <v/>
      </c>
      <c r="V224">
        <f>HYPERLINK("https://klasma.github.io/Logging_2303/klagomål/A 33432-2023 FSC-klagomål.docx", "A 33432-2023")</f>
        <v/>
      </c>
      <c r="W224">
        <f>HYPERLINK("https://klasma.github.io/Logging_2303/klagomålsmail/A 33432-2023 FSC-klagomål mail.docx", "A 33432-2023")</f>
        <v/>
      </c>
      <c r="X224">
        <f>HYPERLINK("https://klasma.github.io/Logging_2303/tillsyn/A 33432-2023 tillsynsbegäran.docx", "A 33432-2023")</f>
        <v/>
      </c>
      <c r="Y224">
        <f>HYPERLINK("https://klasma.github.io/Logging_2303/tillsynsmail/A 33432-2023 tillsynsbegäran mail.docx", "A 33432-2023")</f>
        <v/>
      </c>
      <c r="Z224">
        <f>HYPERLINK("https://klasma.github.io/Logging_2303/fåglar/A 33432-2023 prioriterade fågelarter.docx", "A 33432-2023")</f>
        <v/>
      </c>
    </row>
    <row r="225" ht="15" customHeight="1">
      <c r="A225" t="inlineStr">
        <is>
          <t>A 49770-2024</t>
        </is>
      </c>
      <c r="B225" s="1" t="n">
        <v>45597.34461805555</v>
      </c>
      <c r="C225" s="1" t="n">
        <v>45966</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36757-2023</t>
        </is>
      </c>
      <c r="B226" s="1" t="n">
        <v>45153</v>
      </c>
      <c r="C226" s="1" t="n">
        <v>45966</v>
      </c>
      <c r="D226" t="inlineStr">
        <is>
          <t>JÄMTLANDS LÄN</t>
        </is>
      </c>
      <c r="E226" t="inlineStr">
        <is>
          <t>RAGUNDA</t>
        </is>
      </c>
      <c r="G226" t="n">
        <v>0.7</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36757-2023 artfynd.xlsx", "A 36757-2023")</f>
        <v/>
      </c>
      <c r="T226">
        <f>HYPERLINK("https://klasma.github.io/Logging_2303/kartor/A 36757-2023 karta.png", "A 36757-2023")</f>
        <v/>
      </c>
      <c r="V226">
        <f>HYPERLINK("https://klasma.github.io/Logging_2303/klagomål/A 36757-2023 FSC-klagomål.docx", "A 36757-2023")</f>
        <v/>
      </c>
      <c r="W226">
        <f>HYPERLINK("https://klasma.github.io/Logging_2303/klagomålsmail/A 36757-2023 FSC-klagomål mail.docx", "A 36757-2023")</f>
        <v/>
      </c>
      <c r="X226">
        <f>HYPERLINK("https://klasma.github.io/Logging_2303/tillsyn/A 36757-2023 tillsynsbegäran.docx", "A 36757-2023")</f>
        <v/>
      </c>
      <c r="Y226">
        <f>HYPERLINK("https://klasma.github.io/Logging_2303/tillsynsmail/A 36757-2023 tillsynsbegäran mail.docx", "A 36757-2023")</f>
        <v/>
      </c>
      <c r="Z226">
        <f>HYPERLINK("https://klasma.github.io/Logging_2303/fåglar/A 36757-2023 prioriterade fågelarter.docx", "A 36757-2023")</f>
        <v/>
      </c>
    </row>
    <row r="227" ht="15" customHeight="1">
      <c r="A227" t="inlineStr">
        <is>
          <t>A 51912-2025</t>
        </is>
      </c>
      <c r="B227" s="1" t="n">
        <v>45952.46939814815</v>
      </c>
      <c r="C227" s="1" t="n">
        <v>45966</v>
      </c>
      <c r="D227" t="inlineStr">
        <is>
          <t>JÄMTLANDS LÄN</t>
        </is>
      </c>
      <c r="E227" t="inlineStr">
        <is>
          <t>RAGUNDA</t>
        </is>
      </c>
      <c r="F227" t="inlineStr">
        <is>
          <t>SCA</t>
        </is>
      </c>
      <c r="G227" t="n">
        <v>24.2</v>
      </c>
      <c r="H227" t="n">
        <v>1</v>
      </c>
      <c r="I227" t="n">
        <v>0</v>
      </c>
      <c r="J227" t="n">
        <v>0</v>
      </c>
      <c r="K227" t="n">
        <v>1</v>
      </c>
      <c r="L227" t="n">
        <v>0</v>
      </c>
      <c r="M227" t="n">
        <v>0</v>
      </c>
      <c r="N227" t="n">
        <v>0</v>
      </c>
      <c r="O227" t="n">
        <v>1</v>
      </c>
      <c r="P227" t="n">
        <v>1</v>
      </c>
      <c r="Q227" t="n">
        <v>1</v>
      </c>
      <c r="R227" s="2" t="inlineStr">
        <is>
          <t>Norna</t>
        </is>
      </c>
      <c r="S227">
        <f>HYPERLINK("https://klasma.github.io/Logging_2303/artfynd/A 51912-2025 artfynd.xlsx", "A 51912-2025")</f>
        <v/>
      </c>
      <c r="T227">
        <f>HYPERLINK("https://klasma.github.io/Logging_2303/kartor/A 51912-2025 karta.png", "A 51912-2025")</f>
        <v/>
      </c>
      <c r="V227">
        <f>HYPERLINK("https://klasma.github.io/Logging_2303/klagomål/A 51912-2025 FSC-klagomål.docx", "A 51912-2025")</f>
        <v/>
      </c>
      <c r="W227">
        <f>HYPERLINK("https://klasma.github.io/Logging_2303/klagomålsmail/A 51912-2025 FSC-klagomål mail.docx", "A 51912-2025")</f>
        <v/>
      </c>
      <c r="X227">
        <f>HYPERLINK("https://klasma.github.io/Logging_2303/tillsyn/A 51912-2025 tillsynsbegäran.docx", "A 51912-2025")</f>
        <v/>
      </c>
      <c r="Y227">
        <f>HYPERLINK("https://klasma.github.io/Logging_2303/tillsynsmail/A 51912-2025 tillsynsbegäran mail.docx", "A 51912-2025")</f>
        <v/>
      </c>
    </row>
    <row r="228" ht="15" customHeight="1">
      <c r="A228" t="inlineStr">
        <is>
          <t>A 21212-2025</t>
        </is>
      </c>
      <c r="B228" s="1" t="n">
        <v>45779.48993055556</v>
      </c>
      <c r="C228" s="1" t="n">
        <v>45966</v>
      </c>
      <c r="D228" t="inlineStr">
        <is>
          <t>JÄMTLANDS LÄN</t>
        </is>
      </c>
      <c r="E228" t="inlineStr">
        <is>
          <t>RAGUNDA</t>
        </is>
      </c>
      <c r="F228" t="inlineStr">
        <is>
          <t>SCA</t>
        </is>
      </c>
      <c r="G228" t="n">
        <v>2.6</v>
      </c>
      <c r="H228" t="n">
        <v>0</v>
      </c>
      <c r="I228" t="n">
        <v>0</v>
      </c>
      <c r="J228" t="n">
        <v>1</v>
      </c>
      <c r="K228" t="n">
        <v>0</v>
      </c>
      <c r="L228" t="n">
        <v>0</v>
      </c>
      <c r="M228" t="n">
        <v>0</v>
      </c>
      <c r="N228" t="n">
        <v>0</v>
      </c>
      <c r="O228" t="n">
        <v>1</v>
      </c>
      <c r="P228" t="n">
        <v>0</v>
      </c>
      <c r="Q228" t="n">
        <v>1</v>
      </c>
      <c r="R228" s="2" t="inlineStr">
        <is>
          <t>Garnlav</t>
        </is>
      </c>
      <c r="S228">
        <f>HYPERLINK("https://klasma.github.io/Logging_2303/artfynd/A 21212-2025 artfynd.xlsx", "A 21212-2025")</f>
        <v/>
      </c>
      <c r="T228">
        <f>HYPERLINK("https://klasma.github.io/Logging_2303/kartor/A 21212-2025 karta.png", "A 21212-2025")</f>
        <v/>
      </c>
      <c r="V228">
        <f>HYPERLINK("https://klasma.github.io/Logging_2303/klagomål/A 21212-2025 FSC-klagomål.docx", "A 21212-2025")</f>
        <v/>
      </c>
      <c r="W228">
        <f>HYPERLINK("https://klasma.github.io/Logging_2303/klagomålsmail/A 21212-2025 FSC-klagomål mail.docx", "A 21212-2025")</f>
        <v/>
      </c>
      <c r="X228">
        <f>HYPERLINK("https://klasma.github.io/Logging_2303/tillsyn/A 21212-2025 tillsynsbegäran.docx", "A 21212-2025")</f>
        <v/>
      </c>
      <c r="Y228">
        <f>HYPERLINK("https://klasma.github.io/Logging_2303/tillsynsmail/A 21212-2025 tillsynsbegäran mail.docx", "A 21212-2025")</f>
        <v/>
      </c>
    </row>
    <row r="229" ht="15" customHeight="1">
      <c r="A229" t="inlineStr">
        <is>
          <t>A 43526-2025</t>
        </is>
      </c>
      <c r="B229" s="1" t="n">
        <v>45911</v>
      </c>
      <c r="C229" s="1" t="n">
        <v>45966</v>
      </c>
      <c r="D229" t="inlineStr">
        <is>
          <t>JÄMTLANDS LÄN</t>
        </is>
      </c>
      <c r="E229" t="inlineStr">
        <is>
          <t>RAGUNDA</t>
        </is>
      </c>
      <c r="G229" t="n">
        <v>5.5</v>
      </c>
      <c r="H229" t="n">
        <v>0</v>
      </c>
      <c r="I229" t="n">
        <v>0</v>
      </c>
      <c r="J229" t="n">
        <v>1</v>
      </c>
      <c r="K229" t="n">
        <v>0</v>
      </c>
      <c r="L229" t="n">
        <v>0</v>
      </c>
      <c r="M229" t="n">
        <v>0</v>
      </c>
      <c r="N229" t="n">
        <v>0</v>
      </c>
      <c r="O229" t="n">
        <v>1</v>
      </c>
      <c r="P229" t="n">
        <v>0</v>
      </c>
      <c r="Q229" t="n">
        <v>1</v>
      </c>
      <c r="R229" s="2" t="inlineStr">
        <is>
          <t>Lunglav</t>
        </is>
      </c>
      <c r="S229">
        <f>HYPERLINK("https://klasma.github.io/Logging_2303/artfynd/A 43526-2025 artfynd.xlsx", "A 43526-2025")</f>
        <v/>
      </c>
      <c r="T229">
        <f>HYPERLINK("https://klasma.github.io/Logging_2303/kartor/A 43526-2025 karta.png", "A 43526-2025")</f>
        <v/>
      </c>
      <c r="V229">
        <f>HYPERLINK("https://klasma.github.io/Logging_2303/klagomål/A 43526-2025 FSC-klagomål.docx", "A 43526-2025")</f>
        <v/>
      </c>
      <c r="W229">
        <f>HYPERLINK("https://klasma.github.io/Logging_2303/klagomålsmail/A 43526-2025 FSC-klagomål mail.docx", "A 43526-2025")</f>
        <v/>
      </c>
      <c r="X229">
        <f>HYPERLINK("https://klasma.github.io/Logging_2303/tillsyn/A 43526-2025 tillsynsbegäran.docx", "A 43526-2025")</f>
        <v/>
      </c>
      <c r="Y229">
        <f>HYPERLINK("https://klasma.github.io/Logging_2303/tillsynsmail/A 43526-2025 tillsynsbegäran mail.docx", "A 43526-2025")</f>
        <v/>
      </c>
    </row>
    <row r="230" ht="15" customHeight="1">
      <c r="A230" t="inlineStr">
        <is>
          <t>A 44066-2024</t>
        </is>
      </c>
      <c r="B230" s="1" t="n">
        <v>45572.60363425926</v>
      </c>
      <c r="C230" s="1" t="n">
        <v>45966</v>
      </c>
      <c r="D230" t="inlineStr">
        <is>
          <t>JÄMTLANDS LÄN</t>
        </is>
      </c>
      <c r="E230" t="inlineStr">
        <is>
          <t>RAGUNDA</t>
        </is>
      </c>
      <c r="G230" t="n">
        <v>6.4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44066-2024 artfynd.xlsx", "A 44066-2024")</f>
        <v/>
      </c>
      <c r="T230">
        <f>HYPERLINK("https://klasma.github.io/Logging_2303/kartor/A 44066-2024 karta.png", "A 44066-2024")</f>
        <v/>
      </c>
      <c r="V230">
        <f>HYPERLINK("https://klasma.github.io/Logging_2303/klagomål/A 44066-2024 FSC-klagomål.docx", "A 44066-2024")</f>
        <v/>
      </c>
      <c r="W230">
        <f>HYPERLINK("https://klasma.github.io/Logging_2303/klagomålsmail/A 44066-2024 FSC-klagomål mail.docx", "A 44066-2024")</f>
        <v/>
      </c>
      <c r="X230">
        <f>HYPERLINK("https://klasma.github.io/Logging_2303/tillsyn/A 44066-2024 tillsynsbegäran.docx", "A 44066-2024")</f>
        <v/>
      </c>
      <c r="Y230">
        <f>HYPERLINK("https://klasma.github.io/Logging_2303/tillsynsmail/A 44066-2024 tillsynsbegäran mail.docx", "A 44066-2024")</f>
        <v/>
      </c>
      <c r="Z230">
        <f>HYPERLINK("https://klasma.github.io/Logging_2303/fåglar/A 44066-2024 prioriterade fågelarter.docx", "A 44066-2024")</f>
        <v/>
      </c>
    </row>
    <row r="231" ht="15" customHeight="1">
      <c r="A231" t="inlineStr">
        <is>
          <t>A 61324-2024</t>
        </is>
      </c>
      <c r="B231" s="1" t="n">
        <v>45646.34438657408</v>
      </c>
      <c r="C231" s="1" t="n">
        <v>45966</v>
      </c>
      <c r="D231" t="inlineStr">
        <is>
          <t>JÄMTLANDS LÄN</t>
        </is>
      </c>
      <c r="E231" t="inlineStr">
        <is>
          <t>RAGUNDA</t>
        </is>
      </c>
      <c r="F231" t="inlineStr">
        <is>
          <t>SCA</t>
        </is>
      </c>
      <c r="G231" t="n">
        <v>11.2</v>
      </c>
      <c r="H231" t="n">
        <v>1</v>
      </c>
      <c r="I231" t="n">
        <v>0</v>
      </c>
      <c r="J231" t="n">
        <v>0</v>
      </c>
      <c r="K231" t="n">
        <v>0</v>
      </c>
      <c r="L231" t="n">
        <v>0</v>
      </c>
      <c r="M231" t="n">
        <v>0</v>
      </c>
      <c r="N231" t="n">
        <v>0</v>
      </c>
      <c r="O231" t="n">
        <v>0</v>
      </c>
      <c r="P231" t="n">
        <v>0</v>
      </c>
      <c r="Q231" t="n">
        <v>1</v>
      </c>
      <c r="R231" s="2" t="inlineStr">
        <is>
          <t>Trana</t>
        </is>
      </c>
      <c r="S231">
        <f>HYPERLINK("https://klasma.github.io/Logging_2303/artfynd/A 61324-2024 artfynd.xlsx", "A 61324-2024")</f>
        <v/>
      </c>
      <c r="T231">
        <f>HYPERLINK("https://klasma.github.io/Logging_2303/kartor/A 61324-2024 karta.png", "A 61324-2024")</f>
        <v/>
      </c>
      <c r="V231">
        <f>HYPERLINK("https://klasma.github.io/Logging_2303/klagomål/A 61324-2024 FSC-klagomål.docx", "A 61324-2024")</f>
        <v/>
      </c>
      <c r="W231">
        <f>HYPERLINK("https://klasma.github.io/Logging_2303/klagomålsmail/A 61324-2024 FSC-klagomål mail.docx", "A 61324-2024")</f>
        <v/>
      </c>
      <c r="X231">
        <f>HYPERLINK("https://klasma.github.io/Logging_2303/tillsyn/A 61324-2024 tillsynsbegäran.docx", "A 61324-2024")</f>
        <v/>
      </c>
      <c r="Y231">
        <f>HYPERLINK("https://klasma.github.io/Logging_2303/tillsynsmail/A 61324-2024 tillsynsbegäran mail.docx", "A 61324-2024")</f>
        <v/>
      </c>
      <c r="Z231">
        <f>HYPERLINK("https://klasma.github.io/Logging_2303/fåglar/A 61324-2024 prioriterade fågelarter.docx", "A 61324-2024")</f>
        <v/>
      </c>
    </row>
    <row r="232" ht="15" customHeight="1">
      <c r="A232" t="inlineStr">
        <is>
          <t>A 32069-2024</t>
        </is>
      </c>
      <c r="B232" s="1" t="n">
        <v>45510</v>
      </c>
      <c r="C232" s="1" t="n">
        <v>45966</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25694-2023</t>
        </is>
      </c>
      <c r="B233" s="1" t="n">
        <v>45089</v>
      </c>
      <c r="C233" s="1" t="n">
        <v>45966</v>
      </c>
      <c r="D233" t="inlineStr">
        <is>
          <t>JÄMTLANDS LÄN</t>
        </is>
      </c>
      <c r="E233" t="inlineStr">
        <is>
          <t>RAGUNDA</t>
        </is>
      </c>
      <c r="F233" t="inlineStr">
        <is>
          <t>SCA</t>
        </is>
      </c>
      <c r="G233" t="n">
        <v>1.5</v>
      </c>
      <c r="H233" t="n">
        <v>0</v>
      </c>
      <c r="I233" t="n">
        <v>0</v>
      </c>
      <c r="J233" t="n">
        <v>1</v>
      </c>
      <c r="K233" t="n">
        <v>0</v>
      </c>
      <c r="L233" t="n">
        <v>0</v>
      </c>
      <c r="M233" t="n">
        <v>0</v>
      </c>
      <c r="N233" t="n">
        <v>0</v>
      </c>
      <c r="O233" t="n">
        <v>1</v>
      </c>
      <c r="P233" t="n">
        <v>0</v>
      </c>
      <c r="Q233" t="n">
        <v>1</v>
      </c>
      <c r="R233" s="2" t="inlineStr">
        <is>
          <t>Ullticka</t>
        </is>
      </c>
      <c r="S233">
        <f>HYPERLINK("https://klasma.github.io/Logging_2303/artfynd/A 25694-2023 artfynd.xlsx", "A 25694-2023")</f>
        <v/>
      </c>
      <c r="T233">
        <f>HYPERLINK("https://klasma.github.io/Logging_2303/kartor/A 25694-2023 karta.png", "A 25694-2023")</f>
        <v/>
      </c>
      <c r="V233">
        <f>HYPERLINK("https://klasma.github.io/Logging_2303/klagomål/A 25694-2023 FSC-klagomål.docx", "A 25694-2023")</f>
        <v/>
      </c>
      <c r="W233">
        <f>HYPERLINK("https://klasma.github.io/Logging_2303/klagomålsmail/A 25694-2023 FSC-klagomål mail.docx", "A 25694-2023")</f>
        <v/>
      </c>
      <c r="X233">
        <f>HYPERLINK("https://klasma.github.io/Logging_2303/tillsyn/A 25694-2023 tillsynsbegäran.docx", "A 25694-2023")</f>
        <v/>
      </c>
      <c r="Y233">
        <f>HYPERLINK("https://klasma.github.io/Logging_2303/tillsynsmail/A 25694-2023 tillsynsbegäran mail.docx", "A 25694-2023")</f>
        <v/>
      </c>
    </row>
    <row r="234" ht="15" customHeight="1">
      <c r="A234" t="inlineStr">
        <is>
          <t>A 19751-2025</t>
        </is>
      </c>
      <c r="B234" s="1" t="n">
        <v>45771.3859837963</v>
      </c>
      <c r="C234" s="1" t="n">
        <v>45966</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27573-2025</t>
        </is>
      </c>
      <c r="B235" s="1" t="n">
        <v>45813.49061342593</v>
      </c>
      <c r="C235" s="1" t="n">
        <v>45966</v>
      </c>
      <c r="D235" t="inlineStr">
        <is>
          <t>JÄMTLANDS LÄN</t>
        </is>
      </c>
      <c r="E235" t="inlineStr">
        <is>
          <t>RAGUNDA</t>
        </is>
      </c>
      <c r="F235" t="inlineStr">
        <is>
          <t>SCA</t>
        </is>
      </c>
      <c r="G235" t="n">
        <v>14.9</v>
      </c>
      <c r="H235" t="n">
        <v>0</v>
      </c>
      <c r="I235" t="n">
        <v>1</v>
      </c>
      <c r="J235" t="n">
        <v>0</v>
      </c>
      <c r="K235" t="n">
        <v>0</v>
      </c>
      <c r="L235" t="n">
        <v>0</v>
      </c>
      <c r="M235" t="n">
        <v>0</v>
      </c>
      <c r="N235" t="n">
        <v>0</v>
      </c>
      <c r="O235" t="n">
        <v>0</v>
      </c>
      <c r="P235" t="n">
        <v>0</v>
      </c>
      <c r="Q235" t="n">
        <v>1</v>
      </c>
      <c r="R235" s="2" t="inlineStr">
        <is>
          <t>Skinnlav</t>
        </is>
      </c>
      <c r="S235">
        <f>HYPERLINK("https://klasma.github.io/Logging_2303/artfynd/A 27573-2025 artfynd.xlsx", "A 27573-2025")</f>
        <v/>
      </c>
      <c r="T235">
        <f>HYPERLINK("https://klasma.github.io/Logging_2303/kartor/A 27573-2025 karta.png", "A 27573-2025")</f>
        <v/>
      </c>
      <c r="U235">
        <f>HYPERLINK("https://klasma.github.io/Logging_2303/knärot/A 27573-2025 karta knärot.png", "A 27573-2025")</f>
        <v/>
      </c>
      <c r="V235">
        <f>HYPERLINK("https://klasma.github.io/Logging_2303/klagomål/A 27573-2025 FSC-klagomål.docx", "A 27573-2025")</f>
        <v/>
      </c>
      <c r="W235">
        <f>HYPERLINK("https://klasma.github.io/Logging_2303/klagomålsmail/A 27573-2025 FSC-klagomål mail.docx", "A 27573-2025")</f>
        <v/>
      </c>
      <c r="X235">
        <f>HYPERLINK("https://klasma.github.io/Logging_2303/tillsyn/A 27573-2025 tillsynsbegäran.docx", "A 27573-2025")</f>
        <v/>
      </c>
      <c r="Y235">
        <f>HYPERLINK("https://klasma.github.io/Logging_2303/tillsynsmail/A 27573-2025 tillsynsbegäran mail.docx", "A 27573-2025")</f>
        <v/>
      </c>
    </row>
    <row r="236" ht="15" customHeight="1">
      <c r="A236" t="inlineStr">
        <is>
          <t>A 19387-2025</t>
        </is>
      </c>
      <c r="B236" s="1" t="n">
        <v>45769.65736111111</v>
      </c>
      <c r="C236" s="1" t="n">
        <v>45966</v>
      </c>
      <c r="D236" t="inlineStr">
        <is>
          <t>JÄMTLANDS LÄN</t>
        </is>
      </c>
      <c r="E236" t="inlineStr">
        <is>
          <t>RAGUNDA</t>
        </is>
      </c>
      <c r="F236" t="inlineStr">
        <is>
          <t>SCA</t>
        </is>
      </c>
      <c r="G236" t="n">
        <v>16.4</v>
      </c>
      <c r="H236" t="n">
        <v>1</v>
      </c>
      <c r="I236" t="n">
        <v>0</v>
      </c>
      <c r="J236" t="n">
        <v>0</v>
      </c>
      <c r="K236" t="n">
        <v>1</v>
      </c>
      <c r="L236" t="n">
        <v>0</v>
      </c>
      <c r="M236" t="n">
        <v>0</v>
      </c>
      <c r="N236" t="n">
        <v>0</v>
      </c>
      <c r="O236" t="n">
        <v>1</v>
      </c>
      <c r="P236" t="n">
        <v>1</v>
      </c>
      <c r="Q236" t="n">
        <v>1</v>
      </c>
      <c r="R236" s="2" t="inlineStr">
        <is>
          <t>Norna</t>
        </is>
      </c>
      <c r="S236">
        <f>HYPERLINK("https://klasma.github.io/Logging_2303/artfynd/A 19387-2025 artfynd.xlsx", "A 19387-2025")</f>
        <v/>
      </c>
      <c r="T236">
        <f>HYPERLINK("https://klasma.github.io/Logging_2303/kartor/A 19387-2025 karta.png", "A 19387-2025")</f>
        <v/>
      </c>
      <c r="V236">
        <f>HYPERLINK("https://klasma.github.io/Logging_2303/klagomål/A 19387-2025 FSC-klagomål.docx", "A 19387-2025")</f>
        <v/>
      </c>
      <c r="W236">
        <f>HYPERLINK("https://klasma.github.io/Logging_2303/klagomålsmail/A 19387-2025 FSC-klagomål mail.docx", "A 19387-2025")</f>
        <v/>
      </c>
      <c r="X236">
        <f>HYPERLINK("https://klasma.github.io/Logging_2303/tillsyn/A 19387-2025 tillsynsbegäran.docx", "A 19387-2025")</f>
        <v/>
      </c>
      <c r="Y236">
        <f>HYPERLINK("https://klasma.github.io/Logging_2303/tillsynsmail/A 19387-2025 tillsynsbegäran mail.docx", "A 19387-2025")</f>
        <v/>
      </c>
    </row>
    <row r="237" ht="15" customHeight="1">
      <c r="A237" t="inlineStr">
        <is>
          <t>A 11040-2023</t>
        </is>
      </c>
      <c r="B237" s="1" t="n">
        <v>44991</v>
      </c>
      <c r="C237" s="1" t="n">
        <v>45966</v>
      </c>
      <c r="D237" t="inlineStr">
        <is>
          <t>JÄMTLANDS LÄN</t>
        </is>
      </c>
      <c r="E237" t="inlineStr">
        <is>
          <t>RAGUNDA</t>
        </is>
      </c>
      <c r="F237" t="inlineStr">
        <is>
          <t>SCA</t>
        </is>
      </c>
      <c r="G237" t="n">
        <v>10.2</v>
      </c>
      <c r="H237" t="n">
        <v>0</v>
      </c>
      <c r="I237" t="n">
        <v>0</v>
      </c>
      <c r="J237" t="n">
        <v>1</v>
      </c>
      <c r="K237" t="n">
        <v>0</v>
      </c>
      <c r="L237" t="n">
        <v>0</v>
      </c>
      <c r="M237" t="n">
        <v>0</v>
      </c>
      <c r="N237" t="n">
        <v>0</v>
      </c>
      <c r="O237" t="n">
        <v>1</v>
      </c>
      <c r="P237" t="n">
        <v>0</v>
      </c>
      <c r="Q237" t="n">
        <v>1</v>
      </c>
      <c r="R237" s="2" t="inlineStr">
        <is>
          <t>Lunglav</t>
        </is>
      </c>
      <c r="S237">
        <f>HYPERLINK("https://klasma.github.io/Logging_2303/artfynd/A 11040-2023 artfynd.xlsx", "A 11040-2023")</f>
        <v/>
      </c>
      <c r="T237">
        <f>HYPERLINK("https://klasma.github.io/Logging_2303/kartor/A 11040-2023 karta.png", "A 11040-2023")</f>
        <v/>
      </c>
      <c r="V237">
        <f>HYPERLINK("https://klasma.github.io/Logging_2303/klagomål/A 11040-2023 FSC-klagomål.docx", "A 11040-2023")</f>
        <v/>
      </c>
      <c r="W237">
        <f>HYPERLINK("https://klasma.github.io/Logging_2303/klagomålsmail/A 11040-2023 FSC-klagomål mail.docx", "A 11040-2023")</f>
        <v/>
      </c>
      <c r="X237">
        <f>HYPERLINK("https://klasma.github.io/Logging_2303/tillsyn/A 11040-2023 tillsynsbegäran.docx", "A 11040-2023")</f>
        <v/>
      </c>
      <c r="Y237">
        <f>HYPERLINK("https://klasma.github.io/Logging_2303/tillsynsmail/A 11040-2023 tillsynsbegäran mail.docx", "A 11040-2023")</f>
        <v/>
      </c>
    </row>
    <row r="238" ht="15" customHeight="1">
      <c r="A238" t="inlineStr">
        <is>
          <t>A 2929-2024</t>
        </is>
      </c>
      <c r="B238" s="1" t="n">
        <v>45315</v>
      </c>
      <c r="C238" s="1" t="n">
        <v>45966</v>
      </c>
      <c r="D238" t="inlineStr">
        <is>
          <t>JÄMTLANDS LÄN</t>
        </is>
      </c>
      <c r="E238" t="inlineStr">
        <is>
          <t>RAGUNDA</t>
        </is>
      </c>
      <c r="G238" t="n">
        <v>1</v>
      </c>
      <c r="H238" t="n">
        <v>0</v>
      </c>
      <c r="I238" t="n">
        <v>0</v>
      </c>
      <c r="J238" t="n">
        <v>1</v>
      </c>
      <c r="K238" t="n">
        <v>0</v>
      </c>
      <c r="L238" t="n">
        <v>0</v>
      </c>
      <c r="M238" t="n">
        <v>0</v>
      </c>
      <c r="N238" t="n">
        <v>0</v>
      </c>
      <c r="O238" t="n">
        <v>1</v>
      </c>
      <c r="P238" t="n">
        <v>0</v>
      </c>
      <c r="Q238" t="n">
        <v>1</v>
      </c>
      <c r="R238" s="2" t="inlineStr">
        <is>
          <t>Klådris</t>
        </is>
      </c>
      <c r="S238">
        <f>HYPERLINK("https://klasma.github.io/Logging_2303/artfynd/A 2929-2024 artfynd.xlsx", "A 2929-2024")</f>
        <v/>
      </c>
      <c r="T238">
        <f>HYPERLINK("https://klasma.github.io/Logging_2303/kartor/A 2929-2024 karta.png", "A 2929-2024")</f>
        <v/>
      </c>
      <c r="V238">
        <f>HYPERLINK("https://klasma.github.io/Logging_2303/klagomål/A 2929-2024 FSC-klagomål.docx", "A 2929-2024")</f>
        <v/>
      </c>
      <c r="W238">
        <f>HYPERLINK("https://klasma.github.io/Logging_2303/klagomålsmail/A 2929-2024 FSC-klagomål mail.docx", "A 2929-2024")</f>
        <v/>
      </c>
      <c r="X238">
        <f>HYPERLINK("https://klasma.github.io/Logging_2303/tillsyn/A 2929-2024 tillsynsbegäran.docx", "A 2929-2024")</f>
        <v/>
      </c>
      <c r="Y238">
        <f>HYPERLINK("https://klasma.github.io/Logging_2303/tillsynsmail/A 2929-2024 tillsynsbegäran mail.docx", "A 2929-2024")</f>
        <v/>
      </c>
    </row>
    <row r="239" ht="15" customHeight="1">
      <c r="A239" t="inlineStr">
        <is>
          <t>A 30390-2025</t>
        </is>
      </c>
      <c r="B239" s="1" t="n">
        <v>45827.57371527778</v>
      </c>
      <c r="C239" s="1" t="n">
        <v>45966</v>
      </c>
      <c r="D239" t="inlineStr">
        <is>
          <t>JÄMTLANDS LÄN</t>
        </is>
      </c>
      <c r="E239" t="inlineStr">
        <is>
          <t>RAGUNDA</t>
        </is>
      </c>
      <c r="F239" t="inlineStr">
        <is>
          <t>SCA</t>
        </is>
      </c>
      <c r="G239" t="n">
        <v>11.2</v>
      </c>
      <c r="H239" t="n">
        <v>0</v>
      </c>
      <c r="I239" t="n">
        <v>0</v>
      </c>
      <c r="J239" t="n">
        <v>1</v>
      </c>
      <c r="K239" t="n">
        <v>0</v>
      </c>
      <c r="L239" t="n">
        <v>0</v>
      </c>
      <c r="M239" t="n">
        <v>0</v>
      </c>
      <c r="N239" t="n">
        <v>0</v>
      </c>
      <c r="O239" t="n">
        <v>1</v>
      </c>
      <c r="P239" t="n">
        <v>0</v>
      </c>
      <c r="Q239" t="n">
        <v>1</v>
      </c>
      <c r="R239" s="2" t="inlineStr">
        <is>
          <t>Lunglav</t>
        </is>
      </c>
      <c r="S239">
        <f>HYPERLINK("https://klasma.github.io/Logging_2303/artfynd/A 30390-2025 artfynd.xlsx", "A 30390-2025")</f>
        <v/>
      </c>
      <c r="T239">
        <f>HYPERLINK("https://klasma.github.io/Logging_2303/kartor/A 30390-2025 karta.png", "A 30390-2025")</f>
        <v/>
      </c>
      <c r="U239">
        <f>HYPERLINK("https://klasma.github.io/Logging_2303/knärot/A 30390-2025 karta knärot.png", "A 30390-2025")</f>
        <v/>
      </c>
      <c r="V239">
        <f>HYPERLINK("https://klasma.github.io/Logging_2303/klagomål/A 30390-2025 FSC-klagomål.docx", "A 30390-2025")</f>
        <v/>
      </c>
      <c r="W239">
        <f>HYPERLINK("https://klasma.github.io/Logging_2303/klagomålsmail/A 30390-2025 FSC-klagomål mail.docx", "A 30390-2025")</f>
        <v/>
      </c>
      <c r="X239">
        <f>HYPERLINK("https://klasma.github.io/Logging_2303/tillsyn/A 30390-2025 tillsynsbegäran.docx", "A 30390-2025")</f>
        <v/>
      </c>
      <c r="Y239">
        <f>HYPERLINK("https://klasma.github.io/Logging_2303/tillsynsmail/A 30390-2025 tillsynsbegäran mail.docx", "A 30390-2025")</f>
        <v/>
      </c>
    </row>
    <row r="240" ht="15" customHeight="1">
      <c r="A240" t="inlineStr">
        <is>
          <t>A 29921-2024</t>
        </is>
      </c>
      <c r="B240" s="1" t="n">
        <v>45487.92863425926</v>
      </c>
      <c r="C240" s="1" t="n">
        <v>45966</v>
      </c>
      <c r="D240" t="inlineStr">
        <is>
          <t>JÄMTLANDS LÄN</t>
        </is>
      </c>
      <c r="E240" t="inlineStr">
        <is>
          <t>RAGUNDA</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HYPERLINK("https://klasma.github.io/Logging_2303/artfynd/A 29921-2024 artfynd.xlsx", "A 29921-2024")</f>
        <v/>
      </c>
      <c r="T240">
        <f>HYPERLINK("https://klasma.github.io/Logging_2303/kartor/A 29921-2024 karta.png", "A 29921-2024")</f>
        <v/>
      </c>
      <c r="U240">
        <f>HYPERLINK("https://klasma.github.io/Logging_2303/knärot/A 29921-2024 karta knärot.png", "A 29921-2024")</f>
        <v/>
      </c>
      <c r="V240">
        <f>HYPERLINK("https://klasma.github.io/Logging_2303/klagomål/A 29921-2024 FSC-klagomål.docx", "A 29921-2024")</f>
        <v/>
      </c>
      <c r="W240">
        <f>HYPERLINK("https://klasma.github.io/Logging_2303/klagomålsmail/A 29921-2024 FSC-klagomål mail.docx", "A 29921-2024")</f>
        <v/>
      </c>
      <c r="X240">
        <f>HYPERLINK("https://klasma.github.io/Logging_2303/tillsyn/A 29921-2024 tillsynsbegäran.docx", "A 29921-2024")</f>
        <v/>
      </c>
      <c r="Y240">
        <f>HYPERLINK("https://klasma.github.io/Logging_2303/tillsynsmail/A 29921-2024 tillsynsbegäran mail.docx", "A 29921-2024")</f>
        <v/>
      </c>
    </row>
    <row r="241" ht="15" customHeight="1">
      <c r="A241" t="inlineStr">
        <is>
          <t>A 22054-2025</t>
        </is>
      </c>
      <c r="B241" s="1" t="n">
        <v>45785.36525462963</v>
      </c>
      <c r="C241" s="1" t="n">
        <v>45966</v>
      </c>
      <c r="D241" t="inlineStr">
        <is>
          <t>JÄMTLANDS LÄN</t>
        </is>
      </c>
      <c r="E241" t="inlineStr">
        <is>
          <t>RAGUNDA</t>
        </is>
      </c>
      <c r="F241" t="inlineStr">
        <is>
          <t>SCA</t>
        </is>
      </c>
      <c r="G241" t="n">
        <v>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22054-2025 artfynd.xlsx", "A 22054-2025")</f>
        <v/>
      </c>
      <c r="T241">
        <f>HYPERLINK("https://klasma.github.io/Logging_2303/kartor/A 22054-2025 karta.png", "A 22054-2025")</f>
        <v/>
      </c>
      <c r="V241">
        <f>HYPERLINK("https://klasma.github.io/Logging_2303/klagomål/A 22054-2025 FSC-klagomål.docx", "A 22054-2025")</f>
        <v/>
      </c>
      <c r="W241">
        <f>HYPERLINK("https://klasma.github.io/Logging_2303/klagomålsmail/A 22054-2025 FSC-klagomål mail.docx", "A 22054-2025")</f>
        <v/>
      </c>
      <c r="X241">
        <f>HYPERLINK("https://klasma.github.io/Logging_2303/tillsyn/A 22054-2025 tillsynsbegäran.docx", "A 22054-2025")</f>
        <v/>
      </c>
      <c r="Y241">
        <f>HYPERLINK("https://klasma.github.io/Logging_2303/tillsynsmail/A 22054-2025 tillsynsbegäran mail.docx", "A 22054-2025")</f>
        <v/>
      </c>
      <c r="Z241">
        <f>HYPERLINK("https://klasma.github.io/Logging_2303/fåglar/A 22054-2025 prioriterade fågelarter.docx", "A 22054-2025")</f>
        <v/>
      </c>
    </row>
    <row r="242" ht="15" customHeight="1">
      <c r="A242" t="inlineStr">
        <is>
          <t>A 58846-2024</t>
        </is>
      </c>
      <c r="B242" s="1" t="n">
        <v>45636.3863425926</v>
      </c>
      <c r="C242" s="1" t="n">
        <v>45966</v>
      </c>
      <c r="D242" t="inlineStr">
        <is>
          <t>JÄMTLANDS LÄN</t>
        </is>
      </c>
      <c r="E242" t="inlineStr">
        <is>
          <t>RAGUNDA</t>
        </is>
      </c>
      <c r="F242" t="inlineStr">
        <is>
          <t>SCA</t>
        </is>
      </c>
      <c r="G242" t="n">
        <v>1.5</v>
      </c>
      <c r="H242" t="n">
        <v>0</v>
      </c>
      <c r="I242" t="n">
        <v>0</v>
      </c>
      <c r="J242" t="n">
        <v>0</v>
      </c>
      <c r="K242" t="n">
        <v>1</v>
      </c>
      <c r="L242" t="n">
        <v>0</v>
      </c>
      <c r="M242" t="n">
        <v>0</v>
      </c>
      <c r="N242" t="n">
        <v>0</v>
      </c>
      <c r="O242" t="n">
        <v>1</v>
      </c>
      <c r="P242" t="n">
        <v>1</v>
      </c>
      <c r="Q242" t="n">
        <v>1</v>
      </c>
      <c r="R242" s="2" t="inlineStr">
        <is>
          <t>Rynkskinn</t>
        </is>
      </c>
      <c r="S242">
        <f>HYPERLINK("https://klasma.github.io/Logging_2303/artfynd/A 58846-2024 artfynd.xlsx", "A 58846-2024")</f>
        <v/>
      </c>
      <c r="T242">
        <f>HYPERLINK("https://klasma.github.io/Logging_2303/kartor/A 58846-2024 karta.png", "A 58846-2024")</f>
        <v/>
      </c>
      <c r="V242">
        <f>HYPERLINK("https://klasma.github.io/Logging_2303/klagomål/A 58846-2024 FSC-klagomål.docx", "A 58846-2024")</f>
        <v/>
      </c>
      <c r="W242">
        <f>HYPERLINK("https://klasma.github.io/Logging_2303/klagomålsmail/A 58846-2024 FSC-klagomål mail.docx", "A 58846-2024")</f>
        <v/>
      </c>
      <c r="X242">
        <f>HYPERLINK("https://klasma.github.io/Logging_2303/tillsyn/A 58846-2024 tillsynsbegäran.docx", "A 58846-2024")</f>
        <v/>
      </c>
      <c r="Y242">
        <f>HYPERLINK("https://klasma.github.io/Logging_2303/tillsynsmail/A 58846-2024 tillsynsbegäran mail.docx", "A 58846-2024")</f>
        <v/>
      </c>
    </row>
    <row r="243" ht="15" customHeight="1">
      <c r="A243" t="inlineStr">
        <is>
          <t>A 36975-2023</t>
        </is>
      </c>
      <c r="B243" s="1" t="n">
        <v>45154</v>
      </c>
      <c r="C243" s="1" t="n">
        <v>45966</v>
      </c>
      <c r="D243" t="inlineStr">
        <is>
          <t>JÄMTLANDS LÄN</t>
        </is>
      </c>
      <c r="E243" t="inlineStr">
        <is>
          <t>RAGUNDA</t>
        </is>
      </c>
      <c r="F243" t="inlineStr">
        <is>
          <t>SCA</t>
        </is>
      </c>
      <c r="G243" t="n">
        <v>3.8</v>
      </c>
      <c r="H243" t="n">
        <v>0</v>
      </c>
      <c r="I243" t="n">
        <v>0</v>
      </c>
      <c r="J243" t="n">
        <v>0</v>
      </c>
      <c r="K243" t="n">
        <v>1</v>
      </c>
      <c r="L243" t="n">
        <v>0</v>
      </c>
      <c r="M243" t="n">
        <v>0</v>
      </c>
      <c r="N243" t="n">
        <v>0</v>
      </c>
      <c r="O243" t="n">
        <v>1</v>
      </c>
      <c r="P243" t="n">
        <v>1</v>
      </c>
      <c r="Q243" t="n">
        <v>1</v>
      </c>
      <c r="R243" s="2" t="inlineStr">
        <is>
          <t>Gräddporing</t>
        </is>
      </c>
      <c r="S243">
        <f>HYPERLINK("https://klasma.github.io/Logging_2303/artfynd/A 36975-2023 artfynd.xlsx", "A 36975-2023")</f>
        <v/>
      </c>
      <c r="T243">
        <f>HYPERLINK("https://klasma.github.io/Logging_2303/kartor/A 36975-2023 karta.png", "A 36975-2023")</f>
        <v/>
      </c>
      <c r="V243">
        <f>HYPERLINK("https://klasma.github.io/Logging_2303/klagomål/A 36975-2023 FSC-klagomål.docx", "A 36975-2023")</f>
        <v/>
      </c>
      <c r="W243">
        <f>HYPERLINK("https://klasma.github.io/Logging_2303/klagomålsmail/A 36975-2023 FSC-klagomål mail.docx", "A 36975-2023")</f>
        <v/>
      </c>
      <c r="X243">
        <f>HYPERLINK("https://klasma.github.io/Logging_2303/tillsyn/A 36975-2023 tillsynsbegäran.docx", "A 36975-2023")</f>
        <v/>
      </c>
      <c r="Y243">
        <f>HYPERLINK("https://klasma.github.io/Logging_2303/tillsynsmail/A 36975-2023 tillsynsbegäran mail.docx", "A 36975-2023")</f>
        <v/>
      </c>
    </row>
    <row r="244" ht="15" customHeight="1">
      <c r="A244" t="inlineStr">
        <is>
          <t>A 36854-2023</t>
        </is>
      </c>
      <c r="B244" s="1" t="n">
        <v>45153</v>
      </c>
      <c r="C244" s="1" t="n">
        <v>45966</v>
      </c>
      <c r="D244" t="inlineStr">
        <is>
          <t>JÄMTLANDS LÄN</t>
        </is>
      </c>
      <c r="E244" t="inlineStr">
        <is>
          <t>RAGUNDA</t>
        </is>
      </c>
      <c r="G244" t="n">
        <v>4</v>
      </c>
      <c r="H244" t="n">
        <v>1</v>
      </c>
      <c r="I244" t="n">
        <v>0</v>
      </c>
      <c r="J244" t="n">
        <v>1</v>
      </c>
      <c r="K244" t="n">
        <v>0</v>
      </c>
      <c r="L244" t="n">
        <v>0</v>
      </c>
      <c r="M244" t="n">
        <v>0</v>
      </c>
      <c r="N244" t="n">
        <v>0</v>
      </c>
      <c r="O244" t="n">
        <v>1</v>
      </c>
      <c r="P244" t="n">
        <v>0</v>
      </c>
      <c r="Q244" t="n">
        <v>1</v>
      </c>
      <c r="R244" s="2" t="inlineStr">
        <is>
          <t>Talltita</t>
        </is>
      </c>
      <c r="S244">
        <f>HYPERLINK("https://klasma.github.io/Logging_2303/artfynd/A 36854-2023 artfynd.xlsx", "A 36854-2023")</f>
        <v/>
      </c>
      <c r="T244">
        <f>HYPERLINK("https://klasma.github.io/Logging_2303/kartor/A 36854-2023 karta.png", "A 36854-2023")</f>
        <v/>
      </c>
      <c r="V244">
        <f>HYPERLINK("https://klasma.github.io/Logging_2303/klagomål/A 36854-2023 FSC-klagomål.docx", "A 36854-2023")</f>
        <v/>
      </c>
      <c r="W244">
        <f>HYPERLINK("https://klasma.github.io/Logging_2303/klagomålsmail/A 36854-2023 FSC-klagomål mail.docx", "A 36854-2023")</f>
        <v/>
      </c>
      <c r="X244">
        <f>HYPERLINK("https://klasma.github.io/Logging_2303/tillsyn/A 36854-2023 tillsynsbegäran.docx", "A 36854-2023")</f>
        <v/>
      </c>
      <c r="Y244">
        <f>HYPERLINK("https://klasma.github.io/Logging_2303/tillsynsmail/A 36854-2023 tillsynsbegäran mail.docx", "A 36854-2023")</f>
        <v/>
      </c>
      <c r="Z244">
        <f>HYPERLINK("https://klasma.github.io/Logging_2303/fåglar/A 36854-2023 prioriterade fågelarter.docx", "A 36854-2023")</f>
        <v/>
      </c>
    </row>
    <row r="245" ht="15" customHeight="1">
      <c r="A245" t="inlineStr">
        <is>
          <t>A 32445-2025</t>
        </is>
      </c>
      <c r="B245" s="1" t="n">
        <v>45838.38627314815</v>
      </c>
      <c r="C245" s="1" t="n">
        <v>45966</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18985-2023</t>
        </is>
      </c>
      <c r="B246" s="1" t="n">
        <v>45044</v>
      </c>
      <c r="C246" s="1" t="n">
        <v>45966</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30485-2024</t>
        </is>
      </c>
      <c r="B247" s="1" t="n">
        <v>45491.95008101852</v>
      </c>
      <c r="C247" s="1" t="n">
        <v>45966</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50233-2024</t>
        </is>
      </c>
      <c r="B248" s="1" t="n">
        <v>45600.55265046296</v>
      </c>
      <c r="C248" s="1" t="n">
        <v>45966</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Granticka</t>
        </is>
      </c>
      <c r="S248">
        <f>HYPERLINK("https://klasma.github.io/Logging_2303/artfynd/A 50233-2024 artfynd.xlsx", "A 50233-2024")</f>
        <v/>
      </c>
      <c r="T248">
        <f>HYPERLINK("https://klasma.github.io/Logging_2303/kartor/A 50233-2024 karta.png", "A 50233-2024")</f>
        <v/>
      </c>
      <c r="V248">
        <f>HYPERLINK("https://klasma.github.io/Logging_2303/klagomål/A 50233-2024 FSC-klagomål.docx", "A 50233-2024")</f>
        <v/>
      </c>
      <c r="W248">
        <f>HYPERLINK("https://klasma.github.io/Logging_2303/klagomålsmail/A 50233-2024 FSC-klagomål mail.docx", "A 50233-2024")</f>
        <v/>
      </c>
      <c r="X248">
        <f>HYPERLINK("https://klasma.github.io/Logging_2303/tillsyn/A 50233-2024 tillsynsbegäran.docx", "A 50233-2024")</f>
        <v/>
      </c>
      <c r="Y248">
        <f>HYPERLINK("https://klasma.github.io/Logging_2303/tillsynsmail/A 50233-2024 tillsynsbegäran mail.docx", "A 50233-2024")</f>
        <v/>
      </c>
    </row>
    <row r="249" ht="15" customHeight="1">
      <c r="A249" t="inlineStr">
        <is>
          <t>A 34474-2025</t>
        </is>
      </c>
      <c r="B249" s="1" t="n">
        <v>45847.36528935185</v>
      </c>
      <c r="C249" s="1" t="n">
        <v>45966</v>
      </c>
      <c r="D249" t="inlineStr">
        <is>
          <t>JÄMTLANDS LÄN</t>
        </is>
      </c>
      <c r="E249" t="inlineStr">
        <is>
          <t>RAGUNDA</t>
        </is>
      </c>
      <c r="F249" t="inlineStr">
        <is>
          <t>SCA</t>
        </is>
      </c>
      <c r="G249" t="n">
        <v>9.699999999999999</v>
      </c>
      <c r="H249" t="n">
        <v>1</v>
      </c>
      <c r="I249" t="n">
        <v>0</v>
      </c>
      <c r="J249" t="n">
        <v>1</v>
      </c>
      <c r="K249" t="n">
        <v>0</v>
      </c>
      <c r="L249" t="n">
        <v>0</v>
      </c>
      <c r="M249" t="n">
        <v>0</v>
      </c>
      <c r="N249" t="n">
        <v>0</v>
      </c>
      <c r="O249" t="n">
        <v>1</v>
      </c>
      <c r="P249" t="n">
        <v>0</v>
      </c>
      <c r="Q249" t="n">
        <v>1</v>
      </c>
      <c r="R249" s="2" t="inlineStr">
        <is>
          <t>Fjällvråk</t>
        </is>
      </c>
      <c r="S249">
        <f>HYPERLINK("https://klasma.github.io/Logging_2303/artfynd/A 34474-2025 artfynd.xlsx", "A 34474-2025")</f>
        <v/>
      </c>
      <c r="T249">
        <f>HYPERLINK("https://klasma.github.io/Logging_2303/kartor/A 34474-2025 karta.png", "A 34474-2025")</f>
        <v/>
      </c>
      <c r="V249">
        <f>HYPERLINK("https://klasma.github.io/Logging_2303/klagomål/A 34474-2025 FSC-klagomål.docx", "A 34474-2025")</f>
        <v/>
      </c>
      <c r="W249">
        <f>HYPERLINK("https://klasma.github.io/Logging_2303/klagomålsmail/A 34474-2025 FSC-klagomål mail.docx", "A 34474-2025")</f>
        <v/>
      </c>
      <c r="X249">
        <f>HYPERLINK("https://klasma.github.io/Logging_2303/tillsyn/A 34474-2025 tillsynsbegäran.docx", "A 34474-2025")</f>
        <v/>
      </c>
      <c r="Y249">
        <f>HYPERLINK("https://klasma.github.io/Logging_2303/tillsynsmail/A 34474-2025 tillsynsbegäran mail.docx", "A 34474-2025")</f>
        <v/>
      </c>
      <c r="Z249">
        <f>HYPERLINK("https://klasma.github.io/Logging_2303/fåglar/A 34474-2025 prioriterade fågelarter.docx", "A 34474-2025")</f>
        <v/>
      </c>
    </row>
    <row r="250" ht="15" customHeight="1">
      <c r="A250" t="inlineStr">
        <is>
          <t>A 35750-2023</t>
        </is>
      </c>
      <c r="B250" s="1" t="n">
        <v>45147</v>
      </c>
      <c r="C250" s="1" t="n">
        <v>45966</v>
      </c>
      <c r="D250" t="inlineStr">
        <is>
          <t>JÄMTLANDS LÄN</t>
        </is>
      </c>
      <c r="E250" t="inlineStr">
        <is>
          <t>RAGUNDA</t>
        </is>
      </c>
      <c r="F250" t="inlineStr">
        <is>
          <t>SCA</t>
        </is>
      </c>
      <c r="G250" t="n">
        <v>4.8</v>
      </c>
      <c r="H250" t="n">
        <v>0</v>
      </c>
      <c r="I250" t="n">
        <v>0</v>
      </c>
      <c r="J250" t="n">
        <v>1</v>
      </c>
      <c r="K250" t="n">
        <v>0</v>
      </c>
      <c r="L250" t="n">
        <v>0</v>
      </c>
      <c r="M250" t="n">
        <v>0</v>
      </c>
      <c r="N250" t="n">
        <v>0</v>
      </c>
      <c r="O250" t="n">
        <v>1</v>
      </c>
      <c r="P250" t="n">
        <v>0</v>
      </c>
      <c r="Q250" t="n">
        <v>1</v>
      </c>
      <c r="R250" s="2" t="inlineStr">
        <is>
          <t>Grantaggsvamp</t>
        </is>
      </c>
      <c r="S250">
        <f>HYPERLINK("https://klasma.github.io/Logging_2303/artfynd/A 35750-2023 artfynd.xlsx", "A 35750-2023")</f>
        <v/>
      </c>
      <c r="T250">
        <f>HYPERLINK("https://klasma.github.io/Logging_2303/kartor/A 35750-2023 karta.png", "A 35750-2023")</f>
        <v/>
      </c>
      <c r="V250">
        <f>HYPERLINK("https://klasma.github.io/Logging_2303/klagomål/A 35750-2023 FSC-klagomål.docx", "A 35750-2023")</f>
        <v/>
      </c>
      <c r="W250">
        <f>HYPERLINK("https://klasma.github.io/Logging_2303/klagomålsmail/A 35750-2023 FSC-klagomål mail.docx", "A 35750-2023")</f>
        <v/>
      </c>
      <c r="X250">
        <f>HYPERLINK("https://klasma.github.io/Logging_2303/tillsyn/A 35750-2023 tillsynsbegäran.docx", "A 35750-2023")</f>
        <v/>
      </c>
      <c r="Y250">
        <f>HYPERLINK("https://klasma.github.io/Logging_2303/tillsynsmail/A 35750-2023 tillsynsbegäran mail.docx", "A 35750-2023")</f>
        <v/>
      </c>
    </row>
    <row r="251" ht="15" customHeight="1">
      <c r="A251" t="inlineStr">
        <is>
          <t>A 36224-2023</t>
        </is>
      </c>
      <c r="B251" s="1" t="n">
        <v>45149</v>
      </c>
      <c r="C251" s="1" t="n">
        <v>45966</v>
      </c>
      <c r="D251" t="inlineStr">
        <is>
          <t>JÄMTLANDS LÄN</t>
        </is>
      </c>
      <c r="E251" t="inlineStr">
        <is>
          <t>RAGUNDA</t>
        </is>
      </c>
      <c r="F251" t="inlineStr">
        <is>
          <t>SCA</t>
        </is>
      </c>
      <c r="G251" t="n">
        <v>8.1</v>
      </c>
      <c r="H251" t="n">
        <v>0</v>
      </c>
      <c r="I251" t="n">
        <v>0</v>
      </c>
      <c r="J251" t="n">
        <v>1</v>
      </c>
      <c r="K251" t="n">
        <v>0</v>
      </c>
      <c r="L251" t="n">
        <v>0</v>
      </c>
      <c r="M251" t="n">
        <v>0</v>
      </c>
      <c r="N251" t="n">
        <v>0</v>
      </c>
      <c r="O251" t="n">
        <v>1</v>
      </c>
      <c r="P251" t="n">
        <v>0</v>
      </c>
      <c r="Q251" t="n">
        <v>1</v>
      </c>
      <c r="R251" s="2" t="inlineStr">
        <is>
          <t>Garnlav</t>
        </is>
      </c>
      <c r="S251">
        <f>HYPERLINK("https://klasma.github.io/Logging_2303/artfynd/A 36224-2023 artfynd.xlsx", "A 36224-2023")</f>
        <v/>
      </c>
      <c r="T251">
        <f>HYPERLINK("https://klasma.github.io/Logging_2303/kartor/A 36224-2023 karta.png", "A 36224-2023")</f>
        <v/>
      </c>
      <c r="V251">
        <f>HYPERLINK("https://klasma.github.io/Logging_2303/klagomål/A 36224-2023 FSC-klagomål.docx", "A 36224-2023")</f>
        <v/>
      </c>
      <c r="W251">
        <f>HYPERLINK("https://klasma.github.io/Logging_2303/klagomålsmail/A 36224-2023 FSC-klagomål mail.docx", "A 36224-2023")</f>
        <v/>
      </c>
      <c r="X251">
        <f>HYPERLINK("https://klasma.github.io/Logging_2303/tillsyn/A 36224-2023 tillsynsbegäran.docx", "A 36224-2023")</f>
        <v/>
      </c>
      <c r="Y251">
        <f>HYPERLINK("https://klasma.github.io/Logging_2303/tillsynsmail/A 36224-2023 tillsynsbegäran mail.docx", "A 36224-2023")</f>
        <v/>
      </c>
    </row>
    <row r="252" ht="15" customHeight="1">
      <c r="A252" t="inlineStr">
        <is>
          <t>A 43404-2023</t>
        </is>
      </c>
      <c r="B252" s="1" t="n">
        <v>45183</v>
      </c>
      <c r="C252" s="1" t="n">
        <v>45966</v>
      </c>
      <c r="D252" t="inlineStr">
        <is>
          <t>JÄMTLANDS LÄN</t>
        </is>
      </c>
      <c r="E252" t="inlineStr">
        <is>
          <t>RAGUNDA</t>
        </is>
      </c>
      <c r="F252" t="inlineStr">
        <is>
          <t>SCA</t>
        </is>
      </c>
      <c r="G252" t="n">
        <v>0.9</v>
      </c>
      <c r="H252" t="n">
        <v>0</v>
      </c>
      <c r="I252" t="n">
        <v>1</v>
      </c>
      <c r="J252" t="n">
        <v>0</v>
      </c>
      <c r="K252" t="n">
        <v>0</v>
      </c>
      <c r="L252" t="n">
        <v>0</v>
      </c>
      <c r="M252" t="n">
        <v>0</v>
      </c>
      <c r="N252" t="n">
        <v>0</v>
      </c>
      <c r="O252" t="n">
        <v>0</v>
      </c>
      <c r="P252" t="n">
        <v>0</v>
      </c>
      <c r="Q252" t="n">
        <v>1</v>
      </c>
      <c r="R252" s="2" t="inlineStr">
        <is>
          <t>Kryddspindling</t>
        </is>
      </c>
      <c r="S252">
        <f>HYPERLINK("https://klasma.github.io/Logging_2303/artfynd/A 43404-2023 artfynd.xlsx", "A 43404-2023")</f>
        <v/>
      </c>
      <c r="T252">
        <f>HYPERLINK("https://klasma.github.io/Logging_2303/kartor/A 43404-2023 karta.png", "A 43404-2023")</f>
        <v/>
      </c>
      <c r="V252">
        <f>HYPERLINK("https://klasma.github.io/Logging_2303/klagomål/A 43404-2023 FSC-klagomål.docx", "A 43404-2023")</f>
        <v/>
      </c>
      <c r="W252">
        <f>HYPERLINK("https://klasma.github.io/Logging_2303/klagomålsmail/A 43404-2023 FSC-klagomål mail.docx", "A 43404-2023")</f>
        <v/>
      </c>
      <c r="X252">
        <f>HYPERLINK("https://klasma.github.io/Logging_2303/tillsyn/A 43404-2023 tillsynsbegäran.docx", "A 43404-2023")</f>
        <v/>
      </c>
      <c r="Y252">
        <f>HYPERLINK("https://klasma.github.io/Logging_2303/tillsynsmail/A 43404-2023 tillsynsbegäran mail.docx", "A 43404-2023")</f>
        <v/>
      </c>
    </row>
    <row r="253" ht="15" customHeight="1">
      <c r="A253" t="inlineStr">
        <is>
          <t>A 24443-2024</t>
        </is>
      </c>
      <c r="B253" s="1" t="n">
        <v>45457.9640625</v>
      </c>
      <c r="C253" s="1" t="n">
        <v>45966</v>
      </c>
      <c r="D253" t="inlineStr">
        <is>
          <t>JÄMTLANDS LÄN</t>
        </is>
      </c>
      <c r="E253" t="inlineStr">
        <is>
          <t>RAGUNDA</t>
        </is>
      </c>
      <c r="F253" t="inlineStr">
        <is>
          <t>SCA</t>
        </is>
      </c>
      <c r="G253" t="n">
        <v>2.1</v>
      </c>
      <c r="H253" t="n">
        <v>0</v>
      </c>
      <c r="I253" t="n">
        <v>0</v>
      </c>
      <c r="J253" t="n">
        <v>1</v>
      </c>
      <c r="K253" t="n">
        <v>0</v>
      </c>
      <c r="L253" t="n">
        <v>0</v>
      </c>
      <c r="M253" t="n">
        <v>0</v>
      </c>
      <c r="N253" t="n">
        <v>0</v>
      </c>
      <c r="O253" t="n">
        <v>1</v>
      </c>
      <c r="P253" t="n">
        <v>0</v>
      </c>
      <c r="Q253" t="n">
        <v>1</v>
      </c>
      <c r="R253" s="2" t="inlineStr">
        <is>
          <t>Lunglav</t>
        </is>
      </c>
      <c r="S253">
        <f>HYPERLINK("https://klasma.github.io/Logging_2303/artfynd/A 24443-2024 artfynd.xlsx", "A 24443-2024")</f>
        <v/>
      </c>
      <c r="T253">
        <f>HYPERLINK("https://klasma.github.io/Logging_2303/kartor/A 24443-2024 karta.png", "A 24443-2024")</f>
        <v/>
      </c>
      <c r="U253">
        <f>HYPERLINK("https://klasma.github.io/Logging_2303/knärot/A 24443-2024 karta knärot.png", "A 24443-2024")</f>
        <v/>
      </c>
      <c r="V253">
        <f>HYPERLINK("https://klasma.github.io/Logging_2303/klagomål/A 24443-2024 FSC-klagomål.docx", "A 24443-2024")</f>
        <v/>
      </c>
      <c r="W253">
        <f>HYPERLINK("https://klasma.github.io/Logging_2303/klagomålsmail/A 24443-2024 FSC-klagomål mail.docx", "A 24443-2024")</f>
        <v/>
      </c>
      <c r="X253">
        <f>HYPERLINK("https://klasma.github.io/Logging_2303/tillsyn/A 24443-2024 tillsynsbegäran.docx", "A 24443-2024")</f>
        <v/>
      </c>
      <c r="Y253">
        <f>HYPERLINK("https://klasma.github.io/Logging_2303/tillsynsmail/A 24443-2024 tillsynsbegäran mail.docx", "A 24443-2024")</f>
        <v/>
      </c>
    </row>
    <row r="254" ht="15" customHeight="1">
      <c r="A254" t="inlineStr">
        <is>
          <t>A 23930-2024</t>
        </is>
      </c>
      <c r="B254" s="1" t="n">
        <v>45455.96184027778</v>
      </c>
      <c r="C254" s="1" t="n">
        <v>45966</v>
      </c>
      <c r="D254" t="inlineStr">
        <is>
          <t>JÄMTLANDS LÄN</t>
        </is>
      </c>
      <c r="E254" t="inlineStr">
        <is>
          <t>RAGUNDA</t>
        </is>
      </c>
      <c r="F254" t="inlineStr">
        <is>
          <t>SCA</t>
        </is>
      </c>
      <c r="G254" t="n">
        <v>4.2</v>
      </c>
      <c r="H254" t="n">
        <v>1</v>
      </c>
      <c r="I254" t="n">
        <v>1</v>
      </c>
      <c r="J254" t="n">
        <v>0</v>
      </c>
      <c r="K254" t="n">
        <v>0</v>
      </c>
      <c r="L254" t="n">
        <v>0</v>
      </c>
      <c r="M254" t="n">
        <v>0</v>
      </c>
      <c r="N254" t="n">
        <v>0</v>
      </c>
      <c r="O254" t="n">
        <v>0</v>
      </c>
      <c r="P254" t="n">
        <v>0</v>
      </c>
      <c r="Q254" t="n">
        <v>1</v>
      </c>
      <c r="R254" s="2" t="inlineStr">
        <is>
          <t>Guckusko</t>
        </is>
      </c>
      <c r="S254">
        <f>HYPERLINK("https://klasma.github.io/Logging_2303/artfynd/A 23930-2024 artfynd.xlsx", "A 23930-2024")</f>
        <v/>
      </c>
      <c r="T254">
        <f>HYPERLINK("https://klasma.github.io/Logging_2303/kartor/A 23930-2024 karta.png", "A 23930-2024")</f>
        <v/>
      </c>
      <c r="V254">
        <f>HYPERLINK("https://klasma.github.io/Logging_2303/klagomål/A 23930-2024 FSC-klagomål.docx", "A 23930-2024")</f>
        <v/>
      </c>
      <c r="W254">
        <f>HYPERLINK("https://klasma.github.io/Logging_2303/klagomålsmail/A 23930-2024 FSC-klagomål mail.docx", "A 23930-2024")</f>
        <v/>
      </c>
      <c r="X254">
        <f>HYPERLINK("https://klasma.github.io/Logging_2303/tillsyn/A 23930-2024 tillsynsbegäran.docx", "A 23930-2024")</f>
        <v/>
      </c>
      <c r="Y254">
        <f>HYPERLINK("https://klasma.github.io/Logging_2303/tillsynsmail/A 23930-2024 tillsynsbegäran mail.docx", "A 23930-2024")</f>
        <v/>
      </c>
    </row>
    <row r="255" ht="15" customHeight="1">
      <c r="A255" t="inlineStr">
        <is>
          <t>A 978-2024</t>
        </is>
      </c>
      <c r="B255" s="1" t="n">
        <v>45301</v>
      </c>
      <c r="C255" s="1" t="n">
        <v>45966</v>
      </c>
      <c r="D255" t="inlineStr">
        <is>
          <t>JÄMTLANDS LÄN</t>
        </is>
      </c>
      <c r="E255" t="inlineStr">
        <is>
          <t>RAGUNDA</t>
        </is>
      </c>
      <c r="G255" t="n">
        <v>3.1</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978-2024 artfynd.xlsx", "A 978-2024")</f>
        <v/>
      </c>
      <c r="T255">
        <f>HYPERLINK("https://klasma.github.io/Logging_2303/kartor/A 978-2024 karta.png", "A 978-2024")</f>
        <v/>
      </c>
      <c r="V255">
        <f>HYPERLINK("https://klasma.github.io/Logging_2303/klagomål/A 978-2024 FSC-klagomål.docx", "A 978-2024")</f>
        <v/>
      </c>
      <c r="W255">
        <f>HYPERLINK("https://klasma.github.io/Logging_2303/klagomålsmail/A 978-2024 FSC-klagomål mail.docx", "A 978-2024")</f>
        <v/>
      </c>
      <c r="X255">
        <f>HYPERLINK("https://klasma.github.io/Logging_2303/tillsyn/A 978-2024 tillsynsbegäran.docx", "A 978-2024")</f>
        <v/>
      </c>
      <c r="Y255">
        <f>HYPERLINK("https://klasma.github.io/Logging_2303/tillsynsmail/A 978-2024 tillsynsbegäran mail.docx", "A 978-2024")</f>
        <v/>
      </c>
      <c r="Z255">
        <f>HYPERLINK("https://klasma.github.io/Logging_2303/fåglar/A 978-2024 prioriterade fågelarter.docx", "A 978-2024")</f>
        <v/>
      </c>
    </row>
    <row r="256" ht="15" customHeight="1">
      <c r="A256" t="inlineStr">
        <is>
          <t>A 1057-2024</t>
        </is>
      </c>
      <c r="B256" s="1" t="n">
        <v>45301</v>
      </c>
      <c r="C256" s="1" t="n">
        <v>45966</v>
      </c>
      <c r="D256" t="inlineStr">
        <is>
          <t>JÄMTLANDS LÄN</t>
        </is>
      </c>
      <c r="E256" t="inlineStr">
        <is>
          <t>RAGUNDA</t>
        </is>
      </c>
      <c r="F256" t="inlineStr">
        <is>
          <t>SCA</t>
        </is>
      </c>
      <c r="G256" t="n">
        <v>6.8</v>
      </c>
      <c r="H256" t="n">
        <v>0</v>
      </c>
      <c r="I256" t="n">
        <v>1</v>
      </c>
      <c r="J256" t="n">
        <v>0</v>
      </c>
      <c r="K256" t="n">
        <v>0</v>
      </c>
      <c r="L256" t="n">
        <v>0</v>
      </c>
      <c r="M256" t="n">
        <v>0</v>
      </c>
      <c r="N256" t="n">
        <v>0</v>
      </c>
      <c r="O256" t="n">
        <v>0</v>
      </c>
      <c r="P256" t="n">
        <v>0</v>
      </c>
      <c r="Q256" t="n">
        <v>1</v>
      </c>
      <c r="R256" s="2" t="inlineStr">
        <is>
          <t>Stor aspticka</t>
        </is>
      </c>
      <c r="S256">
        <f>HYPERLINK("https://klasma.github.io/Logging_2303/artfynd/A 1057-2024 artfynd.xlsx", "A 1057-2024")</f>
        <v/>
      </c>
      <c r="T256">
        <f>HYPERLINK("https://klasma.github.io/Logging_2303/kartor/A 1057-2024 karta.png", "A 1057-2024")</f>
        <v/>
      </c>
      <c r="V256">
        <f>HYPERLINK("https://klasma.github.io/Logging_2303/klagomål/A 1057-2024 FSC-klagomål.docx", "A 1057-2024")</f>
        <v/>
      </c>
      <c r="W256">
        <f>HYPERLINK("https://klasma.github.io/Logging_2303/klagomålsmail/A 1057-2024 FSC-klagomål mail.docx", "A 1057-2024")</f>
        <v/>
      </c>
      <c r="X256">
        <f>HYPERLINK("https://klasma.github.io/Logging_2303/tillsyn/A 1057-2024 tillsynsbegäran.docx", "A 1057-2024")</f>
        <v/>
      </c>
      <c r="Y256">
        <f>HYPERLINK("https://klasma.github.io/Logging_2303/tillsynsmail/A 1057-2024 tillsynsbegäran mail.docx", "A 1057-2024")</f>
        <v/>
      </c>
    </row>
    <row r="257" ht="15" customHeight="1">
      <c r="A257" t="inlineStr">
        <is>
          <t>A 31773-2021</t>
        </is>
      </c>
      <c r="B257" s="1" t="n">
        <v>44369</v>
      </c>
      <c r="C257" s="1" t="n">
        <v>45966</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61441-2020</t>
        </is>
      </c>
      <c r="B258" s="1" t="n">
        <v>44157</v>
      </c>
      <c r="C258" s="1" t="n">
        <v>45966</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57941-2020</t>
        </is>
      </c>
      <c r="B259" s="1" t="n">
        <v>44141</v>
      </c>
      <c r="C259" s="1" t="n">
        <v>45966</v>
      </c>
      <c r="D259" t="inlineStr">
        <is>
          <t>JÄMTLANDS LÄN</t>
        </is>
      </c>
      <c r="E259" t="inlineStr">
        <is>
          <t>RAGUNDA</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69618-2020</t>
        </is>
      </c>
      <c r="B260" s="1" t="n">
        <v>44195</v>
      </c>
      <c r="C260" s="1" t="n">
        <v>45966</v>
      </c>
      <c r="D260" t="inlineStr">
        <is>
          <t>JÄMTLANDS LÄN</t>
        </is>
      </c>
      <c r="E260" t="inlineStr">
        <is>
          <t>RAGUNDA</t>
        </is>
      </c>
      <c r="G260" t="n">
        <v>2.4</v>
      </c>
      <c r="H260" t="n">
        <v>0</v>
      </c>
      <c r="I260" t="n">
        <v>0</v>
      </c>
      <c r="J260" t="n">
        <v>0</v>
      </c>
      <c r="K260" t="n">
        <v>0</v>
      </c>
      <c r="L260" t="n">
        <v>0</v>
      </c>
      <c r="M260" t="n">
        <v>0</v>
      </c>
      <c r="N260" t="n">
        <v>0</v>
      </c>
      <c r="O260" t="n">
        <v>0</v>
      </c>
      <c r="P260" t="n">
        <v>0</v>
      </c>
      <c r="Q260" t="n">
        <v>0</v>
      </c>
      <c r="R260" s="2" t="inlineStr"/>
    </row>
    <row r="261" ht="15" customHeight="1">
      <c r="A261" t="inlineStr">
        <is>
          <t>A 2469-2021</t>
        </is>
      </c>
      <c r="B261" s="1" t="n">
        <v>44214</v>
      </c>
      <c r="C261" s="1" t="n">
        <v>45966</v>
      </c>
      <c r="D261" t="inlineStr">
        <is>
          <t>JÄMTLANDS LÄN</t>
        </is>
      </c>
      <c r="E261" t="inlineStr">
        <is>
          <t>RAGUNDA</t>
        </is>
      </c>
      <c r="G261" t="n">
        <v>1.1</v>
      </c>
      <c r="H261" t="n">
        <v>0</v>
      </c>
      <c r="I261" t="n">
        <v>0</v>
      </c>
      <c r="J261" t="n">
        <v>0</v>
      </c>
      <c r="K261" t="n">
        <v>0</v>
      </c>
      <c r="L261" t="n">
        <v>0</v>
      </c>
      <c r="M261" t="n">
        <v>0</v>
      </c>
      <c r="N261" t="n">
        <v>0</v>
      </c>
      <c r="O261" t="n">
        <v>0</v>
      </c>
      <c r="P261" t="n">
        <v>0</v>
      </c>
      <c r="Q261" t="n">
        <v>0</v>
      </c>
      <c r="R261" s="2" t="inlineStr"/>
    </row>
    <row r="262" ht="15" customHeight="1">
      <c r="A262" t="inlineStr">
        <is>
          <t>A 46050-2022</t>
        </is>
      </c>
      <c r="B262" s="1" t="n">
        <v>44846</v>
      </c>
      <c r="C262" s="1" t="n">
        <v>45966</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64386-2020</t>
        </is>
      </c>
      <c r="B263" s="1" t="n">
        <v>44168</v>
      </c>
      <c r="C263" s="1" t="n">
        <v>45966</v>
      </c>
      <c r="D263" t="inlineStr">
        <is>
          <t>JÄMTLANDS LÄN</t>
        </is>
      </c>
      <c r="E263" t="inlineStr">
        <is>
          <t>RAGUNDA</t>
        </is>
      </c>
      <c r="G263" t="n">
        <v>2.5</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45966</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45966</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45966</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45966</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45966</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45966</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45966</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47546-2021</t>
        </is>
      </c>
      <c r="B271" s="1" t="n">
        <v>44447.92069444444</v>
      </c>
      <c r="C271" s="1" t="n">
        <v>45966</v>
      </c>
      <c r="D271" t="inlineStr">
        <is>
          <t>JÄMTLANDS LÄN</t>
        </is>
      </c>
      <c r="E271" t="inlineStr">
        <is>
          <t>RAGUNDA</t>
        </is>
      </c>
      <c r="G271" t="n">
        <v>0.4</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45966</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45966</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1990-2021</t>
        </is>
      </c>
      <c r="B274" s="1" t="n">
        <v>44210</v>
      </c>
      <c r="C274" s="1" t="n">
        <v>45966</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8033-2021</t>
        </is>
      </c>
      <c r="B275" s="1" t="n">
        <v>44243</v>
      </c>
      <c r="C275" s="1" t="n">
        <v>45966</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14790-2021</t>
        </is>
      </c>
      <c r="B276" s="1" t="n">
        <v>44280</v>
      </c>
      <c r="C276" s="1" t="n">
        <v>45966</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14776-2021</t>
        </is>
      </c>
      <c r="B277" s="1" t="n">
        <v>44280</v>
      </c>
      <c r="C277" s="1" t="n">
        <v>45966</v>
      </c>
      <c r="D277" t="inlineStr">
        <is>
          <t>JÄMTLANDS LÄN</t>
        </is>
      </c>
      <c r="E277" t="inlineStr">
        <is>
          <t>RAGUNDA</t>
        </is>
      </c>
      <c r="G277" t="n">
        <v>0.8</v>
      </c>
      <c r="H277" t="n">
        <v>0</v>
      </c>
      <c r="I277" t="n">
        <v>0</v>
      </c>
      <c r="J277" t="n">
        <v>0</v>
      </c>
      <c r="K277" t="n">
        <v>0</v>
      </c>
      <c r="L277" t="n">
        <v>0</v>
      </c>
      <c r="M277" t="n">
        <v>0</v>
      </c>
      <c r="N277" t="n">
        <v>0</v>
      </c>
      <c r="O277" t="n">
        <v>0</v>
      </c>
      <c r="P277" t="n">
        <v>0</v>
      </c>
      <c r="Q277" t="n">
        <v>0</v>
      </c>
      <c r="R277" s="2" t="inlineStr"/>
    </row>
    <row r="278" ht="15" customHeight="1">
      <c r="A278" t="inlineStr">
        <is>
          <t>A 35386-2021</t>
        </is>
      </c>
      <c r="B278" s="1" t="n">
        <v>44385.33887731482</v>
      </c>
      <c r="C278" s="1" t="n">
        <v>45966</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16379-2021</t>
        </is>
      </c>
      <c r="B279" s="1" t="n">
        <v>44292</v>
      </c>
      <c r="C279" s="1" t="n">
        <v>45966</v>
      </c>
      <c r="D279" t="inlineStr">
        <is>
          <t>JÄMTLANDS LÄN</t>
        </is>
      </c>
      <c r="E279" t="inlineStr">
        <is>
          <t>RAGUNDA</t>
        </is>
      </c>
      <c r="G279" t="n">
        <v>2</v>
      </c>
      <c r="H279" t="n">
        <v>0</v>
      </c>
      <c r="I279" t="n">
        <v>0</v>
      </c>
      <c r="J279" t="n">
        <v>0</v>
      </c>
      <c r="K279" t="n">
        <v>0</v>
      </c>
      <c r="L279" t="n">
        <v>0</v>
      </c>
      <c r="M279" t="n">
        <v>0</v>
      </c>
      <c r="N279" t="n">
        <v>0</v>
      </c>
      <c r="O279" t="n">
        <v>0</v>
      </c>
      <c r="P279" t="n">
        <v>0</v>
      </c>
      <c r="Q279" t="n">
        <v>0</v>
      </c>
      <c r="R279" s="2" t="inlineStr"/>
    </row>
    <row r="280" ht="15" customHeight="1">
      <c r="A280" t="inlineStr">
        <is>
          <t>A 21413-2022</t>
        </is>
      </c>
      <c r="B280" s="1" t="n">
        <v>44705</v>
      </c>
      <c r="C280" s="1" t="n">
        <v>45966</v>
      </c>
      <c r="D280" t="inlineStr">
        <is>
          <t>JÄMTLANDS LÄN</t>
        </is>
      </c>
      <c r="E280" t="inlineStr">
        <is>
          <t>RAGUNDA</t>
        </is>
      </c>
      <c r="G280" t="n">
        <v>2.4</v>
      </c>
      <c r="H280" t="n">
        <v>0</v>
      </c>
      <c r="I280" t="n">
        <v>0</v>
      </c>
      <c r="J280" t="n">
        <v>0</v>
      </c>
      <c r="K280" t="n">
        <v>0</v>
      </c>
      <c r="L280" t="n">
        <v>0</v>
      </c>
      <c r="M280" t="n">
        <v>0</v>
      </c>
      <c r="N280" t="n">
        <v>0</v>
      </c>
      <c r="O280" t="n">
        <v>0</v>
      </c>
      <c r="P280" t="n">
        <v>0</v>
      </c>
      <c r="Q280" t="n">
        <v>0</v>
      </c>
      <c r="R280" s="2" t="inlineStr"/>
    </row>
    <row r="281" ht="15" customHeight="1">
      <c r="A281" t="inlineStr">
        <is>
          <t>A 66472-2021</t>
        </is>
      </c>
      <c r="B281" s="1" t="n">
        <v>44518.94394675926</v>
      </c>
      <c r="C281" s="1" t="n">
        <v>45966</v>
      </c>
      <c r="D281" t="inlineStr">
        <is>
          <t>JÄMTLANDS LÄN</t>
        </is>
      </c>
      <c r="E281" t="inlineStr">
        <is>
          <t>RAGUNDA</t>
        </is>
      </c>
      <c r="G281" t="n">
        <v>1.7</v>
      </c>
      <c r="H281" t="n">
        <v>0</v>
      </c>
      <c r="I281" t="n">
        <v>0</v>
      </c>
      <c r="J281" t="n">
        <v>0</v>
      </c>
      <c r="K281" t="n">
        <v>0</v>
      </c>
      <c r="L281" t="n">
        <v>0</v>
      </c>
      <c r="M281" t="n">
        <v>0</v>
      </c>
      <c r="N281" t="n">
        <v>0</v>
      </c>
      <c r="O281" t="n">
        <v>0</v>
      </c>
      <c r="P281" t="n">
        <v>0</v>
      </c>
      <c r="Q281" t="n">
        <v>0</v>
      </c>
      <c r="R281" s="2" t="inlineStr"/>
    </row>
    <row r="282" ht="15" customHeight="1">
      <c r="A282" t="inlineStr">
        <is>
          <t>A 30438-2021</t>
        </is>
      </c>
      <c r="B282" s="1" t="n">
        <v>44362</v>
      </c>
      <c r="C282" s="1" t="n">
        <v>45966</v>
      </c>
      <c r="D282" t="inlineStr">
        <is>
          <t>JÄMTLANDS LÄN</t>
        </is>
      </c>
      <c r="E282" t="inlineStr">
        <is>
          <t>RAGUNDA</t>
        </is>
      </c>
      <c r="G282" t="n">
        <v>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45966</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42260-2021</t>
        </is>
      </c>
      <c r="B284" s="1" t="n">
        <v>44426.94077546296</v>
      </c>
      <c r="C284" s="1" t="n">
        <v>45966</v>
      </c>
      <c r="D284" t="inlineStr">
        <is>
          <t>JÄMTLANDS LÄN</t>
        </is>
      </c>
      <c r="E284" t="inlineStr">
        <is>
          <t>RAGUNDA</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37562-2021</t>
        </is>
      </c>
      <c r="B285" s="1" t="n">
        <v>44399</v>
      </c>
      <c r="C285" s="1" t="n">
        <v>45966</v>
      </c>
      <c r="D285" t="inlineStr">
        <is>
          <t>JÄMTLANDS LÄN</t>
        </is>
      </c>
      <c r="E285" t="inlineStr">
        <is>
          <t>RAGUNDA</t>
        </is>
      </c>
      <c r="G285" t="n">
        <v>1.1</v>
      </c>
      <c r="H285" t="n">
        <v>0</v>
      </c>
      <c r="I285" t="n">
        <v>0</v>
      </c>
      <c r="J285" t="n">
        <v>0</v>
      </c>
      <c r="K285" t="n">
        <v>0</v>
      </c>
      <c r="L285" t="n">
        <v>0</v>
      </c>
      <c r="M285" t="n">
        <v>0</v>
      </c>
      <c r="N285" t="n">
        <v>0</v>
      </c>
      <c r="O285" t="n">
        <v>0</v>
      </c>
      <c r="P285" t="n">
        <v>0</v>
      </c>
      <c r="Q285" t="n">
        <v>0</v>
      </c>
      <c r="R285" s="2" t="inlineStr"/>
    </row>
    <row r="286" ht="15" customHeight="1">
      <c r="A286" t="inlineStr">
        <is>
          <t>A 39693-2022</t>
        </is>
      </c>
      <c r="B286" s="1" t="n">
        <v>44818.94929398148</v>
      </c>
      <c r="C286" s="1" t="n">
        <v>45966</v>
      </c>
      <c r="D286" t="inlineStr">
        <is>
          <t>JÄMTLANDS LÄN</t>
        </is>
      </c>
      <c r="E286" t="inlineStr">
        <is>
          <t>RAGUNDA</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45966</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31484-2022</t>
        </is>
      </c>
      <c r="B288" s="1" t="n">
        <v>44774.94414351852</v>
      </c>
      <c r="C288" s="1" t="n">
        <v>45966</v>
      </c>
      <c r="D288" t="inlineStr">
        <is>
          <t>JÄMTLANDS LÄN</t>
        </is>
      </c>
      <c r="E288" t="inlineStr">
        <is>
          <t>RAGUNDA</t>
        </is>
      </c>
      <c r="F288" t="inlineStr">
        <is>
          <t>SCA</t>
        </is>
      </c>
      <c r="G288" t="n">
        <v>5</v>
      </c>
      <c r="H288" t="n">
        <v>0</v>
      </c>
      <c r="I288" t="n">
        <v>0</v>
      </c>
      <c r="J288" t="n">
        <v>0</v>
      </c>
      <c r="K288" t="n">
        <v>0</v>
      </c>
      <c r="L288" t="n">
        <v>0</v>
      </c>
      <c r="M288" t="n">
        <v>0</v>
      </c>
      <c r="N288" t="n">
        <v>0</v>
      </c>
      <c r="O288" t="n">
        <v>0</v>
      </c>
      <c r="P288" t="n">
        <v>0</v>
      </c>
      <c r="Q288" t="n">
        <v>0</v>
      </c>
      <c r="R288" s="2" t="inlineStr"/>
    </row>
    <row r="289" ht="15" customHeight="1">
      <c r="A289" t="inlineStr">
        <is>
          <t>A 41609-2021</t>
        </is>
      </c>
      <c r="B289" s="1" t="n">
        <v>44425</v>
      </c>
      <c r="C289" s="1" t="n">
        <v>45966</v>
      </c>
      <c r="D289" t="inlineStr">
        <is>
          <t>JÄMTLANDS LÄN</t>
        </is>
      </c>
      <c r="E289" t="inlineStr">
        <is>
          <t>RAGUNDA</t>
        </is>
      </c>
      <c r="F289" t="inlineStr">
        <is>
          <t>Kommuner</t>
        </is>
      </c>
      <c r="G289" t="n">
        <v>2.8</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45966</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15808-2022</t>
        </is>
      </c>
      <c r="B291" s="1" t="n">
        <v>44663</v>
      </c>
      <c r="C291" s="1" t="n">
        <v>45966</v>
      </c>
      <c r="D291" t="inlineStr">
        <is>
          <t>JÄMTLANDS LÄN</t>
        </is>
      </c>
      <c r="E291" t="inlineStr">
        <is>
          <t>RAGUNDA</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52720-2022</t>
        </is>
      </c>
      <c r="B292" s="1" t="n">
        <v>44874.95553240741</v>
      </c>
      <c r="C292" s="1" t="n">
        <v>45966</v>
      </c>
      <c r="D292" t="inlineStr">
        <is>
          <t>JÄMTLANDS LÄN</t>
        </is>
      </c>
      <c r="E292" t="inlineStr">
        <is>
          <t>RAGUNDA</t>
        </is>
      </c>
      <c r="F292" t="inlineStr">
        <is>
          <t>SCA</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32979-2022</t>
        </is>
      </c>
      <c r="B293" s="1" t="n">
        <v>44784.9408912037</v>
      </c>
      <c r="C293" s="1" t="n">
        <v>45966</v>
      </c>
      <c r="D293" t="inlineStr">
        <is>
          <t>JÄMTLANDS LÄN</t>
        </is>
      </c>
      <c r="E293" t="inlineStr">
        <is>
          <t>RAGUNDA</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45966</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22695-2022</t>
        </is>
      </c>
      <c r="B295" s="1" t="n">
        <v>44714</v>
      </c>
      <c r="C295" s="1" t="n">
        <v>45966</v>
      </c>
      <c r="D295" t="inlineStr">
        <is>
          <t>JÄMTLANDS LÄN</t>
        </is>
      </c>
      <c r="E295" t="inlineStr">
        <is>
          <t>RAGUNDA</t>
        </is>
      </c>
      <c r="G295" t="n">
        <v>1.8</v>
      </c>
      <c r="H295" t="n">
        <v>0</v>
      </c>
      <c r="I295" t="n">
        <v>0</v>
      </c>
      <c r="J295" t="n">
        <v>0</v>
      </c>
      <c r="K295" t="n">
        <v>0</v>
      </c>
      <c r="L295" t="n">
        <v>0</v>
      </c>
      <c r="M295" t="n">
        <v>0</v>
      </c>
      <c r="N295" t="n">
        <v>0</v>
      </c>
      <c r="O295" t="n">
        <v>0</v>
      </c>
      <c r="P295" t="n">
        <v>0</v>
      </c>
      <c r="Q295" t="n">
        <v>0</v>
      </c>
      <c r="R295" s="2" t="inlineStr"/>
    </row>
    <row r="296" ht="15" customHeight="1">
      <c r="A296" t="inlineStr">
        <is>
          <t>A 16246-2022</t>
        </is>
      </c>
      <c r="B296" s="1" t="n">
        <v>44670</v>
      </c>
      <c r="C296" s="1" t="n">
        <v>45966</v>
      </c>
      <c r="D296" t="inlineStr">
        <is>
          <t>JÄMTLANDS LÄN</t>
        </is>
      </c>
      <c r="E296" t="inlineStr">
        <is>
          <t>RAGUNDA</t>
        </is>
      </c>
      <c r="G296" t="n">
        <v>4.1</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45966</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21196-2022</t>
        </is>
      </c>
      <c r="B298" s="1" t="n">
        <v>44704.94234953704</v>
      </c>
      <c r="C298" s="1" t="n">
        <v>45966</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48538-2022</t>
        </is>
      </c>
      <c r="B299" s="1" t="n">
        <v>44858</v>
      </c>
      <c r="C299" s="1" t="n">
        <v>45966</v>
      </c>
      <c r="D299" t="inlineStr">
        <is>
          <t>JÄMTLANDS LÄN</t>
        </is>
      </c>
      <c r="E299" t="inlineStr">
        <is>
          <t>RAGUNDA</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66248-2020</t>
        </is>
      </c>
      <c r="B300" s="1" t="n">
        <v>44175</v>
      </c>
      <c r="C300" s="1" t="n">
        <v>45966</v>
      </c>
      <c r="D300" t="inlineStr">
        <is>
          <t>JÄMTLANDS LÄN</t>
        </is>
      </c>
      <c r="E300" t="inlineStr">
        <is>
          <t>RAGUNDA</t>
        </is>
      </c>
      <c r="F300" t="inlineStr">
        <is>
          <t>SCA</t>
        </is>
      </c>
      <c r="G300" t="n">
        <v>5.6</v>
      </c>
      <c r="H300" t="n">
        <v>0</v>
      </c>
      <c r="I300" t="n">
        <v>0</v>
      </c>
      <c r="J300" t="n">
        <v>0</v>
      </c>
      <c r="K300" t="n">
        <v>0</v>
      </c>
      <c r="L300" t="n">
        <v>0</v>
      </c>
      <c r="M300" t="n">
        <v>0</v>
      </c>
      <c r="N300" t="n">
        <v>0</v>
      </c>
      <c r="O300" t="n">
        <v>0</v>
      </c>
      <c r="P300" t="n">
        <v>0</v>
      </c>
      <c r="Q300" t="n">
        <v>0</v>
      </c>
      <c r="R300" s="2" t="inlineStr"/>
    </row>
    <row r="301" ht="15" customHeight="1">
      <c r="A301" t="inlineStr">
        <is>
          <t>A 69481-2020</t>
        </is>
      </c>
      <c r="B301" s="1" t="n">
        <v>44194</v>
      </c>
      <c r="C301" s="1" t="n">
        <v>45966</v>
      </c>
      <c r="D301" t="inlineStr">
        <is>
          <t>JÄMTLANDS LÄN</t>
        </is>
      </c>
      <c r="E301" t="inlineStr">
        <is>
          <t>RAGUNDA</t>
        </is>
      </c>
      <c r="G301" t="n">
        <v>1</v>
      </c>
      <c r="H301" t="n">
        <v>0</v>
      </c>
      <c r="I301" t="n">
        <v>0</v>
      </c>
      <c r="J301" t="n">
        <v>0</v>
      </c>
      <c r="K301" t="n">
        <v>0</v>
      </c>
      <c r="L301" t="n">
        <v>0</v>
      </c>
      <c r="M301" t="n">
        <v>0</v>
      </c>
      <c r="N301" t="n">
        <v>0</v>
      </c>
      <c r="O301" t="n">
        <v>0</v>
      </c>
      <c r="P301" t="n">
        <v>0</v>
      </c>
      <c r="Q301" t="n">
        <v>0</v>
      </c>
      <c r="R301" s="2" t="inlineStr"/>
    </row>
    <row r="302" ht="15" customHeight="1">
      <c r="A302" t="inlineStr">
        <is>
          <t>A 7575-2021</t>
        </is>
      </c>
      <c r="B302" s="1" t="n">
        <v>44239</v>
      </c>
      <c r="C302" s="1" t="n">
        <v>45966</v>
      </c>
      <c r="D302" t="inlineStr">
        <is>
          <t>JÄMTLANDS LÄN</t>
        </is>
      </c>
      <c r="E302" t="inlineStr">
        <is>
          <t>RAGUNDA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46401-2021</t>
        </is>
      </c>
      <c r="B303" s="1" t="n">
        <v>44443</v>
      </c>
      <c r="C303" s="1" t="n">
        <v>45966</v>
      </c>
      <c r="D303" t="inlineStr">
        <is>
          <t>JÄMTLANDS LÄN</t>
        </is>
      </c>
      <c r="E303" t="inlineStr">
        <is>
          <t>RAGUNDA</t>
        </is>
      </c>
      <c r="G303" t="n">
        <v>7</v>
      </c>
      <c r="H303" t="n">
        <v>0</v>
      </c>
      <c r="I303" t="n">
        <v>0</v>
      </c>
      <c r="J303" t="n">
        <v>0</v>
      </c>
      <c r="K303" t="n">
        <v>0</v>
      </c>
      <c r="L303" t="n">
        <v>0</v>
      </c>
      <c r="M303" t="n">
        <v>0</v>
      </c>
      <c r="N303" t="n">
        <v>0</v>
      </c>
      <c r="O303" t="n">
        <v>0</v>
      </c>
      <c r="P303" t="n">
        <v>0</v>
      </c>
      <c r="Q303" t="n">
        <v>0</v>
      </c>
      <c r="R303" s="2" t="inlineStr"/>
    </row>
    <row r="304" ht="15" customHeight="1">
      <c r="A304" t="inlineStr">
        <is>
          <t>A 13571-2021</t>
        </is>
      </c>
      <c r="B304" s="1" t="n">
        <v>44273.92081018518</v>
      </c>
      <c r="C304" s="1" t="n">
        <v>45966</v>
      </c>
      <c r="D304" t="inlineStr">
        <is>
          <t>JÄMTLANDS LÄN</t>
        </is>
      </c>
      <c r="E304" t="inlineStr">
        <is>
          <t>RAGUNDA</t>
        </is>
      </c>
      <c r="G304" t="n">
        <v>1.9</v>
      </c>
      <c r="H304" t="n">
        <v>0</v>
      </c>
      <c r="I304" t="n">
        <v>0</v>
      </c>
      <c r="J304" t="n">
        <v>0</v>
      </c>
      <c r="K304" t="n">
        <v>0</v>
      </c>
      <c r="L304" t="n">
        <v>0</v>
      </c>
      <c r="M304" t="n">
        <v>0</v>
      </c>
      <c r="N304" t="n">
        <v>0</v>
      </c>
      <c r="O304" t="n">
        <v>0</v>
      </c>
      <c r="P304" t="n">
        <v>0</v>
      </c>
      <c r="Q304" t="n">
        <v>0</v>
      </c>
      <c r="R304" s="2" t="inlineStr"/>
    </row>
    <row r="305" ht="15" customHeight="1">
      <c r="A305" t="inlineStr">
        <is>
          <t>A 27302-2022</t>
        </is>
      </c>
      <c r="B305" s="1" t="n">
        <v>44741</v>
      </c>
      <c r="C305" s="1" t="n">
        <v>45966</v>
      </c>
      <c r="D305" t="inlineStr">
        <is>
          <t>JÄMTLANDS LÄN</t>
        </is>
      </c>
      <c r="E305" t="inlineStr">
        <is>
          <t>RAGUNDA</t>
        </is>
      </c>
      <c r="G305" t="n">
        <v>1.6</v>
      </c>
      <c r="H305" t="n">
        <v>0</v>
      </c>
      <c r="I305" t="n">
        <v>0</v>
      </c>
      <c r="J305" t="n">
        <v>0</v>
      </c>
      <c r="K305" t="n">
        <v>0</v>
      </c>
      <c r="L305" t="n">
        <v>0</v>
      </c>
      <c r="M305" t="n">
        <v>0</v>
      </c>
      <c r="N305" t="n">
        <v>0</v>
      </c>
      <c r="O305" t="n">
        <v>0</v>
      </c>
      <c r="P305" t="n">
        <v>0</v>
      </c>
      <c r="Q305" t="n">
        <v>0</v>
      </c>
      <c r="R305" s="2" t="inlineStr"/>
    </row>
    <row r="306" ht="15" customHeight="1">
      <c r="A306" t="inlineStr">
        <is>
          <t>A 60312-2021</t>
        </is>
      </c>
      <c r="B306" s="1" t="n">
        <v>44495.93966435185</v>
      </c>
      <c r="C306" s="1" t="n">
        <v>45966</v>
      </c>
      <c r="D306" t="inlineStr">
        <is>
          <t>JÄMTLANDS LÄN</t>
        </is>
      </c>
      <c r="E306" t="inlineStr">
        <is>
          <t>RAGUNDA</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47801-2022</t>
        </is>
      </c>
      <c r="B307" s="1" t="n">
        <v>44854</v>
      </c>
      <c r="C307" s="1" t="n">
        <v>45966</v>
      </c>
      <c r="D307" t="inlineStr">
        <is>
          <t>JÄMTLANDS LÄN</t>
        </is>
      </c>
      <c r="E307" t="inlineStr">
        <is>
          <t>RAGUNDA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45966</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69316-2021</t>
        </is>
      </c>
      <c r="B309" s="1" t="n">
        <v>44530</v>
      </c>
      <c r="C309" s="1" t="n">
        <v>45966</v>
      </c>
      <c r="D309" t="inlineStr">
        <is>
          <t>JÄMTLANDS LÄN</t>
        </is>
      </c>
      <c r="E309" t="inlineStr">
        <is>
          <t>RAGUNDA</t>
        </is>
      </c>
      <c r="G309" t="n">
        <v>2.3</v>
      </c>
      <c r="H309" t="n">
        <v>0</v>
      </c>
      <c r="I309" t="n">
        <v>0</v>
      </c>
      <c r="J309" t="n">
        <v>0</v>
      </c>
      <c r="K309" t="n">
        <v>0</v>
      </c>
      <c r="L309" t="n">
        <v>0</v>
      </c>
      <c r="M309" t="n">
        <v>0</v>
      </c>
      <c r="N309" t="n">
        <v>0</v>
      </c>
      <c r="O309" t="n">
        <v>0</v>
      </c>
      <c r="P309" t="n">
        <v>0</v>
      </c>
      <c r="Q309" t="n">
        <v>0</v>
      </c>
      <c r="R309" s="2" t="inlineStr"/>
    </row>
    <row r="310" ht="15" customHeight="1">
      <c r="A310" t="inlineStr">
        <is>
          <t>A 40612-2022</t>
        </is>
      </c>
      <c r="B310" s="1" t="n">
        <v>44823.94993055556</v>
      </c>
      <c r="C310" s="1" t="n">
        <v>45966</v>
      </c>
      <c r="D310" t="inlineStr">
        <is>
          <t>JÄMTLANDS LÄN</t>
        </is>
      </c>
      <c r="E310" t="inlineStr">
        <is>
          <t>RAGUNDA</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43478-2022</t>
        </is>
      </c>
      <c r="B311" s="1" t="n">
        <v>44836.9491087963</v>
      </c>
      <c r="C311" s="1" t="n">
        <v>45966</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43163-2022</t>
        </is>
      </c>
      <c r="B312" s="1" t="n">
        <v>44833.95405092592</v>
      </c>
      <c r="C312" s="1" t="n">
        <v>45966</v>
      </c>
      <c r="D312" t="inlineStr">
        <is>
          <t>JÄMTLANDS LÄN</t>
        </is>
      </c>
      <c r="E312" t="inlineStr">
        <is>
          <t>RAGUNDA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2494-2022</t>
        </is>
      </c>
      <c r="B313" s="1" t="n">
        <v>44579.68604166667</v>
      </c>
      <c r="C313" s="1" t="n">
        <v>45966</v>
      </c>
      <c r="D313" t="inlineStr">
        <is>
          <t>JÄMTLANDS LÄN</t>
        </is>
      </c>
      <c r="E313" t="inlineStr">
        <is>
          <t>RAGUNDA</t>
        </is>
      </c>
      <c r="G313" t="n">
        <v>0.6</v>
      </c>
      <c r="H313" t="n">
        <v>0</v>
      </c>
      <c r="I313" t="n">
        <v>0</v>
      </c>
      <c r="J313" t="n">
        <v>0</v>
      </c>
      <c r="K313" t="n">
        <v>0</v>
      </c>
      <c r="L313" t="n">
        <v>0</v>
      </c>
      <c r="M313" t="n">
        <v>0</v>
      </c>
      <c r="N313" t="n">
        <v>0</v>
      </c>
      <c r="O313" t="n">
        <v>0</v>
      </c>
      <c r="P313" t="n">
        <v>0</v>
      </c>
      <c r="Q313" t="n">
        <v>0</v>
      </c>
      <c r="R313" s="2" t="inlineStr"/>
    </row>
    <row r="314" ht="15" customHeight="1">
      <c r="A314" t="inlineStr">
        <is>
          <t>A 54837-2022</t>
        </is>
      </c>
      <c r="B314" s="1" t="n">
        <v>44883</v>
      </c>
      <c r="C314" s="1" t="n">
        <v>45966</v>
      </c>
      <c r="D314" t="inlineStr">
        <is>
          <t>JÄMTLANDS LÄN</t>
        </is>
      </c>
      <c r="E314" t="inlineStr">
        <is>
          <t>RAGUNDA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25028-2022</t>
        </is>
      </c>
      <c r="B315" s="1" t="n">
        <v>44728.94398148148</v>
      </c>
      <c r="C315" s="1" t="n">
        <v>45966</v>
      </c>
      <c r="D315" t="inlineStr">
        <is>
          <t>JÄMTLANDS LÄN</t>
        </is>
      </c>
      <c r="E315" t="inlineStr">
        <is>
          <t>RAGUNDA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45966</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16002-2021</t>
        </is>
      </c>
      <c r="B317" s="1" t="n">
        <v>44287</v>
      </c>
      <c r="C317" s="1" t="n">
        <v>45966</v>
      </c>
      <c r="D317" t="inlineStr">
        <is>
          <t>JÄMTLANDS LÄN</t>
        </is>
      </c>
      <c r="E317" t="inlineStr">
        <is>
          <t>RAGUNDA</t>
        </is>
      </c>
      <c r="G317" t="n">
        <v>3.6</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45966</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45966</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45966</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48832-2021</t>
        </is>
      </c>
      <c r="B321" s="1" t="n">
        <v>44452</v>
      </c>
      <c r="C321" s="1" t="n">
        <v>45966</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15102-2021</t>
        </is>
      </c>
      <c r="B322" s="1" t="n">
        <v>44281</v>
      </c>
      <c r="C322" s="1" t="n">
        <v>45966</v>
      </c>
      <c r="D322" t="inlineStr">
        <is>
          <t>JÄMTLANDS LÄN</t>
        </is>
      </c>
      <c r="E322" t="inlineStr">
        <is>
          <t>RAGUNDA</t>
        </is>
      </c>
      <c r="F322" t="inlineStr">
        <is>
          <t>SCA</t>
        </is>
      </c>
      <c r="G322" t="n">
        <v>0.4</v>
      </c>
      <c r="H322" t="n">
        <v>0</v>
      </c>
      <c r="I322" t="n">
        <v>0</v>
      </c>
      <c r="J322" t="n">
        <v>0</v>
      </c>
      <c r="K322" t="n">
        <v>0</v>
      </c>
      <c r="L322" t="n">
        <v>0</v>
      </c>
      <c r="M322" t="n">
        <v>0</v>
      </c>
      <c r="N322" t="n">
        <v>0</v>
      </c>
      <c r="O322" t="n">
        <v>0</v>
      </c>
      <c r="P322" t="n">
        <v>0</v>
      </c>
      <c r="Q322" t="n">
        <v>0</v>
      </c>
      <c r="R322" s="2" t="inlineStr"/>
    </row>
    <row r="323" ht="15" customHeight="1">
      <c r="A323" t="inlineStr">
        <is>
          <t>A 41062-2021</t>
        </is>
      </c>
      <c r="B323" s="1" t="n">
        <v>44421.97322916667</v>
      </c>
      <c r="C323" s="1" t="n">
        <v>45966</v>
      </c>
      <c r="D323" t="inlineStr">
        <is>
          <t>JÄMTLANDS LÄN</t>
        </is>
      </c>
      <c r="E323" t="inlineStr">
        <is>
          <t>RAGUNDA</t>
        </is>
      </c>
      <c r="F323" t="inlineStr">
        <is>
          <t>SCA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27399-2021</t>
        </is>
      </c>
      <c r="B324" s="1" t="n">
        <v>44351</v>
      </c>
      <c r="C324" s="1" t="n">
        <v>45966</v>
      </c>
      <c r="D324" t="inlineStr">
        <is>
          <t>JÄMTLANDS LÄN</t>
        </is>
      </c>
      <c r="E324" t="inlineStr">
        <is>
          <t>RAGUNDA</t>
        </is>
      </c>
      <c r="F324" t="inlineStr">
        <is>
          <t>Kommuner</t>
        </is>
      </c>
      <c r="G324" t="n">
        <v>3.1</v>
      </c>
      <c r="H324" t="n">
        <v>0</v>
      </c>
      <c r="I324" t="n">
        <v>0</v>
      </c>
      <c r="J324" t="n">
        <v>0</v>
      </c>
      <c r="K324" t="n">
        <v>0</v>
      </c>
      <c r="L324" t="n">
        <v>0</v>
      </c>
      <c r="M324" t="n">
        <v>0</v>
      </c>
      <c r="N324" t="n">
        <v>0</v>
      </c>
      <c r="O324" t="n">
        <v>0</v>
      </c>
      <c r="P324" t="n">
        <v>0</v>
      </c>
      <c r="Q324" t="n">
        <v>0</v>
      </c>
      <c r="R324" s="2" t="inlineStr"/>
    </row>
    <row r="325" ht="15" customHeight="1">
      <c r="A325" t="inlineStr">
        <is>
          <t>A 42900-2022</t>
        </is>
      </c>
      <c r="B325" s="1" t="n">
        <v>44832.95435185185</v>
      </c>
      <c r="C325" s="1" t="n">
        <v>45966</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45966</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45966</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45966</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45966</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45966</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3796-2022</t>
        </is>
      </c>
      <c r="B331" s="1" t="n">
        <v>44586</v>
      </c>
      <c r="C331" s="1" t="n">
        <v>45966</v>
      </c>
      <c r="D331" t="inlineStr">
        <is>
          <t>JÄMTLANDS LÄN</t>
        </is>
      </c>
      <c r="E331" t="inlineStr">
        <is>
          <t>RAGUNDA</t>
        </is>
      </c>
      <c r="G331" t="n">
        <v>1.2</v>
      </c>
      <c r="H331" t="n">
        <v>0</v>
      </c>
      <c r="I331" t="n">
        <v>0</v>
      </c>
      <c r="J331" t="n">
        <v>0</v>
      </c>
      <c r="K331" t="n">
        <v>0</v>
      </c>
      <c r="L331" t="n">
        <v>0</v>
      </c>
      <c r="M331" t="n">
        <v>0</v>
      </c>
      <c r="N331" t="n">
        <v>0</v>
      </c>
      <c r="O331" t="n">
        <v>0</v>
      </c>
      <c r="P331" t="n">
        <v>0</v>
      </c>
      <c r="Q331" t="n">
        <v>0</v>
      </c>
      <c r="R331" s="2" t="inlineStr"/>
    </row>
    <row r="332" ht="15" customHeight="1">
      <c r="A332" t="inlineStr">
        <is>
          <t>A 44247-2021</t>
        </is>
      </c>
      <c r="B332" s="1" t="n">
        <v>44434.94559027778</v>
      </c>
      <c r="C332" s="1" t="n">
        <v>45966</v>
      </c>
      <c r="D332" t="inlineStr">
        <is>
          <t>JÄMTLANDS LÄN</t>
        </is>
      </c>
      <c r="E332" t="inlineStr">
        <is>
          <t>RAGUNDA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45966</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45966</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45966</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45966</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45966</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45966</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45966</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28887-2021</t>
        </is>
      </c>
      <c r="B340" s="1" t="n">
        <v>44357</v>
      </c>
      <c r="C340" s="1" t="n">
        <v>45966</v>
      </c>
      <c r="D340" t="inlineStr">
        <is>
          <t>JÄMTLANDS LÄN</t>
        </is>
      </c>
      <c r="E340" t="inlineStr">
        <is>
          <t>RAGUNDA</t>
        </is>
      </c>
      <c r="G340" t="n">
        <v>1.8</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45966</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45966</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45966</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45966</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44824.94635416667</v>
      </c>
      <c r="C345" s="1" t="n">
        <v>45966</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44851.95488425926</v>
      </c>
      <c r="C346" s="1" t="n">
        <v>45966</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34348-2021</t>
        </is>
      </c>
      <c r="B347" s="1" t="n">
        <v>44379</v>
      </c>
      <c r="C347" s="1" t="n">
        <v>45966</v>
      </c>
      <c r="D347" t="inlineStr">
        <is>
          <t>JÄMTLANDS LÄN</t>
        </is>
      </c>
      <c r="E347" t="inlineStr">
        <is>
          <t>RAGUNDA</t>
        </is>
      </c>
      <c r="G347" t="n">
        <v>8.1</v>
      </c>
      <c r="H347" t="n">
        <v>0</v>
      </c>
      <c r="I347" t="n">
        <v>0</v>
      </c>
      <c r="J347" t="n">
        <v>0</v>
      </c>
      <c r="K347" t="n">
        <v>0</v>
      </c>
      <c r="L347" t="n">
        <v>0</v>
      </c>
      <c r="M347" t="n">
        <v>0</v>
      </c>
      <c r="N347" t="n">
        <v>0</v>
      </c>
      <c r="O347" t="n">
        <v>0</v>
      </c>
      <c r="P347" t="n">
        <v>0</v>
      </c>
      <c r="Q347" t="n">
        <v>0</v>
      </c>
      <c r="R347" s="2" t="inlineStr"/>
    </row>
    <row r="348" ht="15" customHeight="1">
      <c r="A348" t="inlineStr">
        <is>
          <t>A 25253-2022</t>
        </is>
      </c>
      <c r="B348" s="1" t="n">
        <v>44729.94136574074</v>
      </c>
      <c r="C348" s="1" t="n">
        <v>45966</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43040-2021</t>
        </is>
      </c>
      <c r="B349" s="1" t="n">
        <v>44431</v>
      </c>
      <c r="C349" s="1" t="n">
        <v>45966</v>
      </c>
      <c r="D349" t="inlineStr">
        <is>
          <t>JÄMTLANDS LÄN</t>
        </is>
      </c>
      <c r="E349" t="inlineStr">
        <is>
          <t>RAGUNDA</t>
        </is>
      </c>
      <c r="G349" t="n">
        <v>4.9</v>
      </c>
      <c r="H349" t="n">
        <v>0</v>
      </c>
      <c r="I349" t="n">
        <v>0</v>
      </c>
      <c r="J349" t="n">
        <v>0</v>
      </c>
      <c r="K349" t="n">
        <v>0</v>
      </c>
      <c r="L349" t="n">
        <v>0</v>
      </c>
      <c r="M349" t="n">
        <v>0</v>
      </c>
      <c r="N349" t="n">
        <v>0</v>
      </c>
      <c r="O349" t="n">
        <v>0</v>
      </c>
      <c r="P349" t="n">
        <v>0</v>
      </c>
      <c r="Q349" t="n">
        <v>0</v>
      </c>
      <c r="R349" s="2" t="inlineStr"/>
    </row>
    <row r="350" ht="15" customHeight="1">
      <c r="A350" t="inlineStr">
        <is>
          <t>A 57730-2020</t>
        </is>
      </c>
      <c r="B350" s="1" t="n">
        <v>44140</v>
      </c>
      <c r="C350" s="1" t="n">
        <v>45966</v>
      </c>
      <c r="D350" t="inlineStr">
        <is>
          <t>JÄMTLANDS LÄN</t>
        </is>
      </c>
      <c r="E350" t="inlineStr">
        <is>
          <t>RAGUNDA</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38733-2022</t>
        </is>
      </c>
      <c r="B351" s="1" t="n">
        <v>44815</v>
      </c>
      <c r="C351" s="1" t="n">
        <v>45966</v>
      </c>
      <c r="D351" t="inlineStr">
        <is>
          <t>JÄMTLANDS LÄN</t>
        </is>
      </c>
      <c r="E351" t="inlineStr">
        <is>
          <t>RAGUNDA</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2336-2022</t>
        </is>
      </c>
      <c r="B352" s="1" t="n">
        <v>44578.92284722222</v>
      </c>
      <c r="C352" s="1" t="n">
        <v>45966</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35749-2022</t>
        </is>
      </c>
      <c r="B353" s="1" t="n">
        <v>44799.94394675926</v>
      </c>
      <c r="C353" s="1" t="n">
        <v>45966</v>
      </c>
      <c r="D353" t="inlineStr">
        <is>
          <t>JÄMTLANDS LÄN</t>
        </is>
      </c>
      <c r="E353" t="inlineStr">
        <is>
          <t>RAGUNDA</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59996-2021</t>
        </is>
      </c>
      <c r="B354" s="1" t="n">
        <v>44494.93930555556</v>
      </c>
      <c r="C354" s="1" t="n">
        <v>45966</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1858-2022</t>
        </is>
      </c>
      <c r="B355" s="1" t="n">
        <v>44574</v>
      </c>
      <c r="C355" s="1" t="n">
        <v>45966</v>
      </c>
      <c r="D355" t="inlineStr">
        <is>
          <t>JÄMTLANDS LÄN</t>
        </is>
      </c>
      <c r="E355" t="inlineStr">
        <is>
          <t>RAGUNDA</t>
        </is>
      </c>
      <c r="G355" t="n">
        <v>5.7</v>
      </c>
      <c r="H355" t="n">
        <v>0</v>
      </c>
      <c r="I355" t="n">
        <v>0</v>
      </c>
      <c r="J355" t="n">
        <v>0</v>
      </c>
      <c r="K355" t="n">
        <v>0</v>
      </c>
      <c r="L355" t="n">
        <v>0</v>
      </c>
      <c r="M355" t="n">
        <v>0</v>
      </c>
      <c r="N355" t="n">
        <v>0</v>
      </c>
      <c r="O355" t="n">
        <v>0</v>
      </c>
      <c r="P355" t="n">
        <v>0</v>
      </c>
      <c r="Q355" t="n">
        <v>0</v>
      </c>
      <c r="R355" s="2" t="inlineStr"/>
    </row>
    <row r="356" ht="15" customHeight="1">
      <c r="A356" t="inlineStr">
        <is>
          <t>A 54836-2022</t>
        </is>
      </c>
      <c r="B356" s="1" t="n">
        <v>44883.94918981481</v>
      </c>
      <c r="C356" s="1" t="n">
        <v>45966</v>
      </c>
      <c r="D356" t="inlineStr">
        <is>
          <t>JÄMTLANDS LÄN</t>
        </is>
      </c>
      <c r="E356" t="inlineStr">
        <is>
          <t>RAGUNDA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46048-2022</t>
        </is>
      </c>
      <c r="B357" s="1" t="n">
        <v>44846</v>
      </c>
      <c r="C357" s="1" t="n">
        <v>45966</v>
      </c>
      <c r="D357" t="inlineStr">
        <is>
          <t>JÄMTLANDS LÄN</t>
        </is>
      </c>
      <c r="E357" t="inlineStr">
        <is>
          <t>RAGUNDA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58984-2021</t>
        </is>
      </c>
      <c r="B358" s="1" t="n">
        <v>44489.94711805556</v>
      </c>
      <c r="C358" s="1" t="n">
        <v>45966</v>
      </c>
      <c r="D358" t="inlineStr">
        <is>
          <t>JÄMTLANDS LÄN</t>
        </is>
      </c>
      <c r="E358" t="inlineStr">
        <is>
          <t>RAGUNDA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40978-2022</t>
        </is>
      </c>
      <c r="B359" s="1" t="n">
        <v>44823</v>
      </c>
      <c r="C359" s="1" t="n">
        <v>45966</v>
      </c>
      <c r="D359" t="inlineStr">
        <is>
          <t>JÄMTLANDS LÄN</t>
        </is>
      </c>
      <c r="E359" t="inlineStr">
        <is>
          <t>RAGUNDA</t>
        </is>
      </c>
      <c r="G359" t="n">
        <v>1.5</v>
      </c>
      <c r="H359" t="n">
        <v>0</v>
      </c>
      <c r="I359" t="n">
        <v>0</v>
      </c>
      <c r="J359" t="n">
        <v>0</v>
      </c>
      <c r="K359" t="n">
        <v>0</v>
      </c>
      <c r="L359" t="n">
        <v>0</v>
      </c>
      <c r="M359" t="n">
        <v>0</v>
      </c>
      <c r="N359" t="n">
        <v>0</v>
      </c>
      <c r="O359" t="n">
        <v>0</v>
      </c>
      <c r="P359" t="n">
        <v>0</v>
      </c>
      <c r="Q359" t="n">
        <v>0</v>
      </c>
      <c r="R359" s="2" t="inlineStr"/>
    </row>
    <row r="360" ht="15" customHeight="1">
      <c r="A360" t="inlineStr">
        <is>
          <t>A 32288-2022</t>
        </is>
      </c>
      <c r="B360" s="1" t="n">
        <v>44781</v>
      </c>
      <c r="C360" s="1" t="n">
        <v>45966</v>
      </c>
      <c r="D360" t="inlineStr">
        <is>
          <t>JÄMTLANDS LÄN</t>
        </is>
      </c>
      <c r="E360" t="inlineStr">
        <is>
          <t>RAGUNDA</t>
        </is>
      </c>
      <c r="G360" t="n">
        <v>0.8</v>
      </c>
      <c r="H360" t="n">
        <v>0</v>
      </c>
      <c r="I360" t="n">
        <v>0</v>
      </c>
      <c r="J360" t="n">
        <v>0</v>
      </c>
      <c r="K360" t="n">
        <v>0</v>
      </c>
      <c r="L360" t="n">
        <v>0</v>
      </c>
      <c r="M360" t="n">
        <v>0</v>
      </c>
      <c r="N360" t="n">
        <v>0</v>
      </c>
      <c r="O360" t="n">
        <v>0</v>
      </c>
      <c r="P360" t="n">
        <v>0</v>
      </c>
      <c r="Q360" t="n">
        <v>0</v>
      </c>
      <c r="R360" s="2" t="inlineStr"/>
    </row>
    <row r="361" ht="15" customHeight="1">
      <c r="A361" t="inlineStr">
        <is>
          <t>A 24741-2022</t>
        </is>
      </c>
      <c r="B361" s="1" t="n">
        <v>44727</v>
      </c>
      <c r="C361" s="1" t="n">
        <v>45966</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47803-2022</t>
        </is>
      </c>
      <c r="B362" s="1" t="n">
        <v>44854.95390046296</v>
      </c>
      <c r="C362" s="1" t="n">
        <v>45966</v>
      </c>
      <c r="D362" t="inlineStr">
        <is>
          <t>JÄMTLANDS LÄN</t>
        </is>
      </c>
      <c r="E362" t="inlineStr">
        <is>
          <t>RAGUNDA</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37806-2021</t>
        </is>
      </c>
      <c r="B363" s="1" t="n">
        <v>44402.42243055555</v>
      </c>
      <c r="C363" s="1" t="n">
        <v>45966</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42652-2022</t>
        </is>
      </c>
      <c r="B364" s="1" t="n">
        <v>44831.94846064815</v>
      </c>
      <c r="C364" s="1" t="n">
        <v>45966</v>
      </c>
      <c r="D364" t="inlineStr">
        <is>
          <t>JÄMTLANDS LÄN</t>
        </is>
      </c>
      <c r="E364" t="inlineStr">
        <is>
          <t>RAGUNDA</t>
        </is>
      </c>
      <c r="F364" t="inlineStr">
        <is>
          <t>SCA</t>
        </is>
      </c>
      <c r="G364" t="n">
        <v>5.6</v>
      </c>
      <c r="H364" t="n">
        <v>0</v>
      </c>
      <c r="I364" t="n">
        <v>0</v>
      </c>
      <c r="J364" t="n">
        <v>0</v>
      </c>
      <c r="K364" t="n">
        <v>0</v>
      </c>
      <c r="L364" t="n">
        <v>0</v>
      </c>
      <c r="M364" t="n">
        <v>0</v>
      </c>
      <c r="N364" t="n">
        <v>0</v>
      </c>
      <c r="O364" t="n">
        <v>0</v>
      </c>
      <c r="P364" t="n">
        <v>0</v>
      </c>
      <c r="Q364" t="n">
        <v>0</v>
      </c>
      <c r="R364" s="2" t="inlineStr"/>
    </row>
    <row r="365" ht="15" customHeight="1">
      <c r="A365" t="inlineStr">
        <is>
          <t>A 42653-2022</t>
        </is>
      </c>
      <c r="B365" s="1" t="n">
        <v>44831.9485300926</v>
      </c>
      <c r="C365" s="1" t="n">
        <v>45966</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48536-2022</t>
        </is>
      </c>
      <c r="B366" s="1" t="n">
        <v>44858</v>
      </c>
      <c r="C366" s="1" t="n">
        <v>45966</v>
      </c>
      <c r="D366" t="inlineStr">
        <is>
          <t>JÄMTLANDS LÄN</t>
        </is>
      </c>
      <c r="E366" t="inlineStr">
        <is>
          <t>RAGUNDA</t>
        </is>
      </c>
      <c r="F366" t="inlineStr">
        <is>
          <t>SCA</t>
        </is>
      </c>
      <c r="G366" t="n">
        <v>9.5</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45966</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41613-2021</t>
        </is>
      </c>
      <c r="B368" s="1" t="n">
        <v>44425</v>
      </c>
      <c r="C368" s="1" t="n">
        <v>45966</v>
      </c>
      <c r="D368" t="inlineStr">
        <is>
          <t>JÄMTLANDS LÄN</t>
        </is>
      </c>
      <c r="E368" t="inlineStr">
        <is>
          <t>RAGUNDA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31854-2022</t>
        </is>
      </c>
      <c r="B369" s="1" t="n">
        <v>44776</v>
      </c>
      <c r="C369" s="1" t="n">
        <v>45966</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42882-2022</t>
        </is>
      </c>
      <c r="B370" s="1" t="n">
        <v>44832.95300925926</v>
      </c>
      <c r="C370" s="1" t="n">
        <v>45966</v>
      </c>
      <c r="D370" t="inlineStr">
        <is>
          <t>JÄMTLANDS LÄN</t>
        </is>
      </c>
      <c r="E370" t="inlineStr">
        <is>
          <t>RAGUNDA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42267-2022</t>
        </is>
      </c>
      <c r="B371" s="1" t="n">
        <v>44830</v>
      </c>
      <c r="C371" s="1" t="n">
        <v>45966</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6177-2022</t>
        </is>
      </c>
      <c r="B372" s="1" t="n">
        <v>44599.98685185185</v>
      </c>
      <c r="C372" s="1" t="n">
        <v>45966</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45966</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29409-2021</t>
        </is>
      </c>
      <c r="B374" s="1" t="n">
        <v>44361.55445601852</v>
      </c>
      <c r="C374" s="1" t="n">
        <v>45966</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26948-2021</t>
        </is>
      </c>
      <c r="B375" s="1" t="n">
        <v>44349.92013888889</v>
      </c>
      <c r="C375" s="1" t="n">
        <v>45966</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26945-2021</t>
        </is>
      </c>
      <c r="B376" s="1" t="n">
        <v>44349.91995370371</v>
      </c>
      <c r="C376" s="1" t="n">
        <v>45966</v>
      </c>
      <c r="D376" t="inlineStr">
        <is>
          <t>JÄMTLANDS LÄN</t>
        </is>
      </c>
      <c r="E376" t="inlineStr">
        <is>
          <t>RAGUNDA</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25027-2022</t>
        </is>
      </c>
      <c r="B377" s="1" t="n">
        <v>44728.94392361111</v>
      </c>
      <c r="C377" s="1" t="n">
        <v>45966</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19600-2021</t>
        </is>
      </c>
      <c r="B378" s="1" t="n">
        <v>44308</v>
      </c>
      <c r="C378" s="1" t="n">
        <v>45966</v>
      </c>
      <c r="D378" t="inlineStr">
        <is>
          <t>JÄMTLANDS LÄN</t>
        </is>
      </c>
      <c r="E378" t="inlineStr">
        <is>
          <t>RAGUNDA</t>
        </is>
      </c>
      <c r="G378" t="n">
        <v>4.3</v>
      </c>
      <c r="H378" t="n">
        <v>0</v>
      </c>
      <c r="I378" t="n">
        <v>0</v>
      </c>
      <c r="J378" t="n">
        <v>0</v>
      </c>
      <c r="K378" t="n">
        <v>0</v>
      </c>
      <c r="L378" t="n">
        <v>0</v>
      </c>
      <c r="M378" t="n">
        <v>0</v>
      </c>
      <c r="N378" t="n">
        <v>0</v>
      </c>
      <c r="O378" t="n">
        <v>0</v>
      </c>
      <c r="P378" t="n">
        <v>0</v>
      </c>
      <c r="Q378" t="n">
        <v>0</v>
      </c>
      <c r="R378" s="2" t="inlineStr"/>
    </row>
    <row r="379" ht="15" customHeight="1">
      <c r="A379" t="inlineStr">
        <is>
          <t>A 16460-2022</t>
        </is>
      </c>
      <c r="B379" s="1" t="n">
        <v>44671</v>
      </c>
      <c r="C379" s="1" t="n">
        <v>45966</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28597-2021</t>
        </is>
      </c>
      <c r="B380" s="1" t="n">
        <v>44356.91935185185</v>
      </c>
      <c r="C380" s="1" t="n">
        <v>45966</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21195-2022</t>
        </is>
      </c>
      <c r="B381" s="1" t="n">
        <v>44704.94229166667</v>
      </c>
      <c r="C381" s="1" t="n">
        <v>45966</v>
      </c>
      <c r="D381" t="inlineStr">
        <is>
          <t>JÄMTLANDS LÄN</t>
        </is>
      </c>
      <c r="E381" t="inlineStr">
        <is>
          <t>RAGUNDA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49531-2022</t>
        </is>
      </c>
      <c r="B382" s="1" t="n">
        <v>44861</v>
      </c>
      <c r="C382" s="1" t="n">
        <v>45966</v>
      </c>
      <c r="D382" t="inlineStr">
        <is>
          <t>JÄMTLANDS LÄN</t>
        </is>
      </c>
      <c r="E382" t="inlineStr">
        <is>
          <t>RAGUNDA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36941-2022</t>
        </is>
      </c>
      <c r="B383" s="1" t="n">
        <v>44805</v>
      </c>
      <c r="C383" s="1" t="n">
        <v>45966</v>
      </c>
      <c r="D383" t="inlineStr">
        <is>
          <t>JÄMTLANDS LÄN</t>
        </is>
      </c>
      <c r="E383" t="inlineStr">
        <is>
          <t>RAGUNDA</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20548-2021</t>
        </is>
      </c>
      <c r="B384" s="1" t="n">
        <v>44315</v>
      </c>
      <c r="C384" s="1" t="n">
        <v>45966</v>
      </c>
      <c r="D384" t="inlineStr">
        <is>
          <t>JÄMTLANDS LÄN</t>
        </is>
      </c>
      <c r="E384" t="inlineStr">
        <is>
          <t>RAGUNDA</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49530-2022</t>
        </is>
      </c>
      <c r="B385" s="1" t="n">
        <v>44861</v>
      </c>
      <c r="C385" s="1" t="n">
        <v>45966</v>
      </c>
      <c r="D385" t="inlineStr">
        <is>
          <t>JÄMTLANDS LÄN</t>
        </is>
      </c>
      <c r="E385" t="inlineStr">
        <is>
          <t>RAGUNDA</t>
        </is>
      </c>
      <c r="F385" t="inlineStr">
        <is>
          <t>SCA</t>
        </is>
      </c>
      <c r="G385" t="n">
        <v>13.4</v>
      </c>
      <c r="H385" t="n">
        <v>0</v>
      </c>
      <c r="I385" t="n">
        <v>0</v>
      </c>
      <c r="J385" t="n">
        <v>0</v>
      </c>
      <c r="K385" t="n">
        <v>0</v>
      </c>
      <c r="L385" t="n">
        <v>0</v>
      </c>
      <c r="M385" t="n">
        <v>0</v>
      </c>
      <c r="N385" t="n">
        <v>0</v>
      </c>
      <c r="O385" t="n">
        <v>0</v>
      </c>
      <c r="P385" t="n">
        <v>0</v>
      </c>
      <c r="Q385" t="n">
        <v>0</v>
      </c>
      <c r="R385" s="2" t="inlineStr"/>
    </row>
    <row r="386" ht="15" customHeight="1">
      <c r="A386" t="inlineStr">
        <is>
          <t>A 44241-2021</t>
        </is>
      </c>
      <c r="B386" s="1" t="n">
        <v>44434.94517361111</v>
      </c>
      <c r="C386" s="1" t="n">
        <v>45966</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10120-2022</t>
        </is>
      </c>
      <c r="B387" s="1" t="n">
        <v>44621</v>
      </c>
      <c r="C387" s="1" t="n">
        <v>45966</v>
      </c>
      <c r="D387" t="inlineStr">
        <is>
          <t>JÄMTLANDS LÄN</t>
        </is>
      </c>
      <c r="E387" t="inlineStr">
        <is>
          <t>RAGUNDA</t>
        </is>
      </c>
      <c r="G387" t="n">
        <v>0.4</v>
      </c>
      <c r="H387" t="n">
        <v>0</v>
      </c>
      <c r="I387" t="n">
        <v>0</v>
      </c>
      <c r="J387" t="n">
        <v>0</v>
      </c>
      <c r="K387" t="n">
        <v>0</v>
      </c>
      <c r="L387" t="n">
        <v>0</v>
      </c>
      <c r="M387" t="n">
        <v>0</v>
      </c>
      <c r="N387" t="n">
        <v>0</v>
      </c>
      <c r="O387" t="n">
        <v>0</v>
      </c>
      <c r="P387" t="n">
        <v>0</v>
      </c>
      <c r="Q387" t="n">
        <v>0</v>
      </c>
      <c r="R387" s="2" t="inlineStr"/>
    </row>
    <row r="388" ht="15" customHeight="1">
      <c r="A388" t="inlineStr">
        <is>
          <t>A 47568-2022</t>
        </is>
      </c>
      <c r="B388" s="1" t="n">
        <v>44853.9499537037</v>
      </c>
      <c r="C388" s="1" t="n">
        <v>45966</v>
      </c>
      <c r="D388" t="inlineStr">
        <is>
          <t>JÄMTLANDS LÄN</t>
        </is>
      </c>
      <c r="E388" t="inlineStr">
        <is>
          <t>RAGUNDA</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45966</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39698-2022</t>
        </is>
      </c>
      <c r="B390" s="1" t="n">
        <v>44818</v>
      </c>
      <c r="C390" s="1" t="n">
        <v>45966</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9187-2022</t>
        </is>
      </c>
      <c r="B391" s="1" t="n">
        <v>44615</v>
      </c>
      <c r="C391" s="1" t="n">
        <v>45966</v>
      </c>
      <c r="D391" t="inlineStr">
        <is>
          <t>JÄMTLANDS LÄN</t>
        </is>
      </c>
      <c r="E391" t="inlineStr">
        <is>
          <t>RAGUNDA</t>
        </is>
      </c>
      <c r="G391" t="n">
        <v>2</v>
      </c>
      <c r="H391" t="n">
        <v>0</v>
      </c>
      <c r="I391" t="n">
        <v>0</v>
      </c>
      <c r="J391" t="n">
        <v>0</v>
      </c>
      <c r="K391" t="n">
        <v>0</v>
      </c>
      <c r="L391" t="n">
        <v>0</v>
      </c>
      <c r="M391" t="n">
        <v>0</v>
      </c>
      <c r="N391" t="n">
        <v>0</v>
      </c>
      <c r="O391" t="n">
        <v>0</v>
      </c>
      <c r="P391" t="n">
        <v>0</v>
      </c>
      <c r="Q391" t="n">
        <v>0</v>
      </c>
      <c r="R391" s="2" t="inlineStr"/>
    </row>
    <row r="392" ht="15" customHeight="1">
      <c r="A392" t="inlineStr">
        <is>
          <t>A 43147-2022</t>
        </is>
      </c>
      <c r="B392" s="1" t="n">
        <v>44833.9519212963</v>
      </c>
      <c r="C392" s="1" t="n">
        <v>45966</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57713-2020</t>
        </is>
      </c>
      <c r="B393" s="1" t="n">
        <v>44140</v>
      </c>
      <c r="C393" s="1" t="n">
        <v>45966</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15664-2022</t>
        </is>
      </c>
      <c r="B394" s="1" t="n">
        <v>44662</v>
      </c>
      <c r="C394" s="1" t="n">
        <v>45966</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21984-2022</t>
        </is>
      </c>
      <c r="B395" s="1" t="n">
        <v>44704</v>
      </c>
      <c r="C395" s="1" t="n">
        <v>45966</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27499-2024</t>
        </is>
      </c>
      <c r="B396" s="1" t="n">
        <v>45474.50608796296</v>
      </c>
      <c r="C396" s="1" t="n">
        <v>45966</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18341-2022</t>
        </is>
      </c>
      <c r="B397" s="1" t="n">
        <v>44685</v>
      </c>
      <c r="C397" s="1" t="n">
        <v>45966</v>
      </c>
      <c r="D397" t="inlineStr">
        <is>
          <t>JÄMTLANDS LÄN</t>
        </is>
      </c>
      <c r="E397" t="inlineStr">
        <is>
          <t>RAGUNDA</t>
        </is>
      </c>
      <c r="G397" t="n">
        <v>0.2</v>
      </c>
      <c r="H397" t="n">
        <v>0</v>
      </c>
      <c r="I397" t="n">
        <v>0</v>
      </c>
      <c r="J397" t="n">
        <v>0</v>
      </c>
      <c r="K397" t="n">
        <v>0</v>
      </c>
      <c r="L397" t="n">
        <v>0</v>
      </c>
      <c r="M397" t="n">
        <v>0</v>
      </c>
      <c r="N397" t="n">
        <v>0</v>
      </c>
      <c r="O397" t="n">
        <v>0</v>
      </c>
      <c r="P397" t="n">
        <v>0</v>
      </c>
      <c r="Q397" t="n">
        <v>0</v>
      </c>
      <c r="R397" s="2" t="inlineStr"/>
    </row>
    <row r="398" ht="15" customHeight="1">
      <c r="A398" t="inlineStr">
        <is>
          <t>A 57078-2023</t>
        </is>
      </c>
      <c r="B398" s="1" t="n">
        <v>45244.96774305555</v>
      </c>
      <c r="C398" s="1" t="n">
        <v>45966</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9185-2022</t>
        </is>
      </c>
      <c r="B399" s="1" t="n">
        <v>44615</v>
      </c>
      <c r="C399" s="1" t="n">
        <v>45966</v>
      </c>
      <c r="D399" t="inlineStr">
        <is>
          <t>JÄMTLANDS LÄN</t>
        </is>
      </c>
      <c r="E399" t="inlineStr">
        <is>
          <t>RAGUNDA</t>
        </is>
      </c>
      <c r="G399" t="n">
        <v>1.1</v>
      </c>
      <c r="H399" t="n">
        <v>0</v>
      </c>
      <c r="I399" t="n">
        <v>0</v>
      </c>
      <c r="J399" t="n">
        <v>0</v>
      </c>
      <c r="K399" t="n">
        <v>0</v>
      </c>
      <c r="L399" t="n">
        <v>0</v>
      </c>
      <c r="M399" t="n">
        <v>0</v>
      </c>
      <c r="N399" t="n">
        <v>0</v>
      </c>
      <c r="O399" t="n">
        <v>0</v>
      </c>
      <c r="P399" t="n">
        <v>0</v>
      </c>
      <c r="Q399" t="n">
        <v>0</v>
      </c>
      <c r="R399" s="2" t="inlineStr"/>
    </row>
    <row r="400" ht="15" customHeight="1">
      <c r="A400" t="inlineStr">
        <is>
          <t>A 59368-2022</t>
        </is>
      </c>
      <c r="B400" s="1" t="n">
        <v>44904.94824074074</v>
      </c>
      <c r="C400" s="1" t="n">
        <v>45966</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52334-2021</t>
        </is>
      </c>
      <c r="B401" s="1" t="n">
        <v>44463.94077546296</v>
      </c>
      <c r="C401" s="1" t="n">
        <v>45966</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6801-2023</t>
        </is>
      </c>
      <c r="B402" s="1" t="n">
        <v>44966.95328703704</v>
      </c>
      <c r="C402" s="1" t="n">
        <v>45966</v>
      </c>
      <c r="D402" t="inlineStr">
        <is>
          <t>JÄMTLANDS LÄN</t>
        </is>
      </c>
      <c r="E402" t="inlineStr">
        <is>
          <t>RAGUNDA</t>
        </is>
      </c>
      <c r="F402" t="inlineStr">
        <is>
          <t>SCA</t>
        </is>
      </c>
      <c r="G402" t="n">
        <v>10.6</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45966</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41656-2023</t>
        </is>
      </c>
      <c r="B404" s="1" t="n">
        <v>45175</v>
      </c>
      <c r="C404" s="1" t="n">
        <v>45966</v>
      </c>
      <c r="D404" t="inlineStr">
        <is>
          <t>JÄMTLANDS LÄN</t>
        </is>
      </c>
      <c r="E404" t="inlineStr">
        <is>
          <t>RAGUNDA</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51646-2023</t>
        </is>
      </c>
      <c r="B405" s="1" t="n">
        <v>45215</v>
      </c>
      <c r="C405" s="1" t="n">
        <v>45966</v>
      </c>
      <c r="D405" t="inlineStr">
        <is>
          <t>JÄMTLANDS LÄN</t>
        </is>
      </c>
      <c r="E405" t="inlineStr">
        <is>
          <t>RAGUNDA</t>
        </is>
      </c>
      <c r="G405" t="n">
        <v>0.7</v>
      </c>
      <c r="H405" t="n">
        <v>0</v>
      </c>
      <c r="I405" t="n">
        <v>0</v>
      </c>
      <c r="J405" t="n">
        <v>0</v>
      </c>
      <c r="K405" t="n">
        <v>0</v>
      </c>
      <c r="L405" t="n">
        <v>0</v>
      </c>
      <c r="M405" t="n">
        <v>0</v>
      </c>
      <c r="N405" t="n">
        <v>0</v>
      </c>
      <c r="O405" t="n">
        <v>0</v>
      </c>
      <c r="P405" t="n">
        <v>0</v>
      </c>
      <c r="Q405" t="n">
        <v>0</v>
      </c>
      <c r="R405" s="2" t="inlineStr"/>
    </row>
    <row r="406" ht="15" customHeight="1">
      <c r="A406" t="inlineStr">
        <is>
          <t>A 36226-2023</t>
        </is>
      </c>
      <c r="B406" s="1" t="n">
        <v>45149.95372685185</v>
      </c>
      <c r="C406" s="1" t="n">
        <v>45966</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37268-2024</t>
        </is>
      </c>
      <c r="B407" s="1" t="n">
        <v>45540.38586805556</v>
      </c>
      <c r="C407" s="1" t="n">
        <v>45966</v>
      </c>
      <c r="D407" t="inlineStr">
        <is>
          <t>JÄMTLANDS LÄN</t>
        </is>
      </c>
      <c r="E407" t="inlineStr">
        <is>
          <t>RAGUNDA</t>
        </is>
      </c>
      <c r="F407" t="inlineStr">
        <is>
          <t>SCA</t>
        </is>
      </c>
      <c r="G407" t="n">
        <v>6.3</v>
      </c>
      <c r="H407" t="n">
        <v>0</v>
      </c>
      <c r="I407" t="n">
        <v>0</v>
      </c>
      <c r="J407" t="n">
        <v>0</v>
      </c>
      <c r="K407" t="n">
        <v>0</v>
      </c>
      <c r="L407" t="n">
        <v>0</v>
      </c>
      <c r="M407" t="n">
        <v>0</v>
      </c>
      <c r="N407" t="n">
        <v>0</v>
      </c>
      <c r="O407" t="n">
        <v>0</v>
      </c>
      <c r="P407" t="n">
        <v>0</v>
      </c>
      <c r="Q407" t="n">
        <v>0</v>
      </c>
      <c r="R407" s="2" t="inlineStr"/>
    </row>
    <row r="408" ht="15" customHeight="1">
      <c r="A408" t="inlineStr">
        <is>
          <t>A 18615-2024</t>
        </is>
      </c>
      <c r="B408" s="1" t="n">
        <v>45425.96275462963</v>
      </c>
      <c r="C408" s="1" t="n">
        <v>45966</v>
      </c>
      <c r="D408" t="inlineStr">
        <is>
          <t>JÄMTLANDS LÄN</t>
        </is>
      </c>
      <c r="E408" t="inlineStr">
        <is>
          <t>RAGUNDA</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40269-2022</t>
        </is>
      </c>
      <c r="B409" s="1" t="n">
        <v>44820</v>
      </c>
      <c r="C409" s="1" t="n">
        <v>45966</v>
      </c>
      <c r="D409" t="inlineStr">
        <is>
          <t>JÄMTLANDS LÄN</t>
        </is>
      </c>
      <c r="E409" t="inlineStr">
        <is>
          <t>RAGUNDA</t>
        </is>
      </c>
      <c r="F409" t="inlineStr">
        <is>
          <t>SCA</t>
        </is>
      </c>
      <c r="G409" t="n">
        <v>77.8</v>
      </c>
      <c r="H409" t="n">
        <v>0</v>
      </c>
      <c r="I409" t="n">
        <v>0</v>
      </c>
      <c r="J409" t="n">
        <v>0</v>
      </c>
      <c r="K409" t="n">
        <v>0</v>
      </c>
      <c r="L409" t="n">
        <v>0</v>
      </c>
      <c r="M409" t="n">
        <v>0</v>
      </c>
      <c r="N409" t="n">
        <v>0</v>
      </c>
      <c r="O409" t="n">
        <v>0</v>
      </c>
      <c r="P409" t="n">
        <v>0</v>
      </c>
      <c r="Q409" t="n">
        <v>0</v>
      </c>
      <c r="R409" s="2" t="inlineStr"/>
    </row>
    <row r="410" ht="15" customHeight="1">
      <c r="A410" t="inlineStr">
        <is>
          <t>A 37242-2024</t>
        </is>
      </c>
      <c r="B410" s="1" t="n">
        <v>45540.34428240741</v>
      </c>
      <c r="C410" s="1" t="n">
        <v>45966</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31972-2022</t>
        </is>
      </c>
      <c r="B411" s="1" t="n">
        <v>44777.95504629629</v>
      </c>
      <c r="C411" s="1" t="n">
        <v>45966</v>
      </c>
      <c r="D411" t="inlineStr">
        <is>
          <t>JÄMTLANDS LÄN</t>
        </is>
      </c>
      <c r="E411" t="inlineStr">
        <is>
          <t>RAGUNDA</t>
        </is>
      </c>
      <c r="F411" t="inlineStr">
        <is>
          <t>Naturvårdsverket</t>
        </is>
      </c>
      <c r="G411" t="n">
        <v>0.8</v>
      </c>
      <c r="H411" t="n">
        <v>0</v>
      </c>
      <c r="I411" t="n">
        <v>0</v>
      </c>
      <c r="J411" t="n">
        <v>0</v>
      </c>
      <c r="K411" t="n">
        <v>0</v>
      </c>
      <c r="L411" t="n">
        <v>0</v>
      </c>
      <c r="M411" t="n">
        <v>0</v>
      </c>
      <c r="N411" t="n">
        <v>0</v>
      </c>
      <c r="O411" t="n">
        <v>0</v>
      </c>
      <c r="P411" t="n">
        <v>0</v>
      </c>
      <c r="Q411" t="n">
        <v>0</v>
      </c>
      <c r="R411" s="2" t="inlineStr"/>
    </row>
    <row r="412" ht="15" customHeight="1">
      <c r="A412" t="inlineStr">
        <is>
          <t>A 48086-2022</t>
        </is>
      </c>
      <c r="B412" s="1" t="n">
        <v>44855.9471875</v>
      </c>
      <c r="C412" s="1" t="n">
        <v>45966</v>
      </c>
      <c r="D412" t="inlineStr">
        <is>
          <t>JÄMTLANDS LÄN</t>
        </is>
      </c>
      <c r="E412" t="inlineStr">
        <is>
          <t>RAGUNDA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14512-2025</t>
        </is>
      </c>
      <c r="B413" s="1" t="n">
        <v>45741.63659722222</v>
      </c>
      <c r="C413" s="1" t="n">
        <v>45966</v>
      </c>
      <c r="D413" t="inlineStr">
        <is>
          <t>JÄMTLANDS LÄN</t>
        </is>
      </c>
      <c r="E413" t="inlineStr">
        <is>
          <t>RAGUNDA</t>
        </is>
      </c>
      <c r="F413" t="inlineStr">
        <is>
          <t>SCA</t>
        </is>
      </c>
      <c r="G413" t="n">
        <v>8.9</v>
      </c>
      <c r="H413" t="n">
        <v>0</v>
      </c>
      <c r="I413" t="n">
        <v>0</v>
      </c>
      <c r="J413" t="n">
        <v>0</v>
      </c>
      <c r="K413" t="n">
        <v>0</v>
      </c>
      <c r="L413" t="n">
        <v>0</v>
      </c>
      <c r="M413" t="n">
        <v>0</v>
      </c>
      <c r="N413" t="n">
        <v>0</v>
      </c>
      <c r="O413" t="n">
        <v>0</v>
      </c>
      <c r="P413" t="n">
        <v>0</v>
      </c>
      <c r="Q413" t="n">
        <v>0</v>
      </c>
      <c r="R413" s="2" t="inlineStr"/>
    </row>
    <row r="414" ht="15" customHeight="1">
      <c r="A414" t="inlineStr">
        <is>
          <t>A 40213-2021</t>
        </is>
      </c>
      <c r="B414" s="1" t="n">
        <v>44418.9369212963</v>
      </c>
      <c r="C414" s="1" t="n">
        <v>45966</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50649-2022</t>
        </is>
      </c>
      <c r="B415" s="1" t="n">
        <v>44866</v>
      </c>
      <c r="C415" s="1" t="n">
        <v>45966</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33279-2022</t>
        </is>
      </c>
      <c r="B416" s="1" t="n">
        <v>44788</v>
      </c>
      <c r="C416" s="1" t="n">
        <v>45966</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47567-2022</t>
        </is>
      </c>
      <c r="B417" s="1" t="n">
        <v>44853</v>
      </c>
      <c r="C417" s="1" t="n">
        <v>45966</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47122-2025</t>
        </is>
      </c>
      <c r="B418" s="1" t="n">
        <v>45929.67878472222</v>
      </c>
      <c r="C418" s="1" t="n">
        <v>45966</v>
      </c>
      <c r="D418" t="inlineStr">
        <is>
          <t>JÄMTLANDS LÄN</t>
        </is>
      </c>
      <c r="E418" t="inlineStr">
        <is>
          <t>RAGUNDA</t>
        </is>
      </c>
      <c r="F418" t="inlineStr">
        <is>
          <t>SCA</t>
        </is>
      </c>
      <c r="G418" t="n">
        <v>31.1</v>
      </c>
      <c r="H418" t="n">
        <v>0</v>
      </c>
      <c r="I418" t="n">
        <v>0</v>
      </c>
      <c r="J418" t="n">
        <v>0</v>
      </c>
      <c r="K418" t="n">
        <v>0</v>
      </c>
      <c r="L418" t="n">
        <v>0</v>
      </c>
      <c r="M418" t="n">
        <v>0</v>
      </c>
      <c r="N418" t="n">
        <v>0</v>
      </c>
      <c r="O418" t="n">
        <v>0</v>
      </c>
      <c r="P418" t="n">
        <v>0</v>
      </c>
      <c r="Q418" t="n">
        <v>0</v>
      </c>
      <c r="R418" s="2" t="inlineStr"/>
    </row>
    <row r="419" ht="15" customHeight="1">
      <c r="A419" t="inlineStr">
        <is>
          <t>A 45438-2022</t>
        </is>
      </c>
      <c r="B419" s="1" t="n">
        <v>44844.95368055555</v>
      </c>
      <c r="C419" s="1" t="n">
        <v>45966</v>
      </c>
      <c r="D419" t="inlineStr">
        <is>
          <t>JÄMTLANDS LÄN</t>
        </is>
      </c>
      <c r="E419" t="inlineStr">
        <is>
          <t>RAGUNDA</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56191-2022</t>
        </is>
      </c>
      <c r="B420" s="1" t="n">
        <v>44889.95015046297</v>
      </c>
      <c r="C420" s="1" t="n">
        <v>45966</v>
      </c>
      <c r="D420" t="inlineStr">
        <is>
          <t>JÄMTLANDS LÄN</t>
        </is>
      </c>
      <c r="E420" t="inlineStr">
        <is>
          <t>RAGUNDA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22655-2021</t>
        </is>
      </c>
      <c r="B421" s="1" t="n">
        <v>44322</v>
      </c>
      <c r="C421" s="1" t="n">
        <v>45966</v>
      </c>
      <c r="D421" t="inlineStr">
        <is>
          <t>JÄMTLANDS LÄN</t>
        </is>
      </c>
      <c r="E421" t="inlineStr">
        <is>
          <t>RAGUNDA</t>
        </is>
      </c>
      <c r="G421" t="n">
        <v>5.8</v>
      </c>
      <c r="H421" t="n">
        <v>0</v>
      </c>
      <c r="I421" t="n">
        <v>0</v>
      </c>
      <c r="J421" t="n">
        <v>0</v>
      </c>
      <c r="K421" t="n">
        <v>0</v>
      </c>
      <c r="L421" t="n">
        <v>0</v>
      </c>
      <c r="M421" t="n">
        <v>0</v>
      </c>
      <c r="N421" t="n">
        <v>0</v>
      </c>
      <c r="O421" t="n">
        <v>0</v>
      </c>
      <c r="P421" t="n">
        <v>0</v>
      </c>
      <c r="Q421" t="n">
        <v>0</v>
      </c>
      <c r="R421" s="2" t="inlineStr"/>
    </row>
    <row r="422" ht="15" customHeight="1">
      <c r="A422" t="inlineStr">
        <is>
          <t>A 59759-2024</t>
        </is>
      </c>
      <c r="B422" s="1" t="n">
        <v>45639.55240740741</v>
      </c>
      <c r="C422" s="1" t="n">
        <v>45966</v>
      </c>
      <c r="D422" t="inlineStr">
        <is>
          <t>JÄMTLANDS LÄN</t>
        </is>
      </c>
      <c r="E422" t="inlineStr">
        <is>
          <t>RAGUNDA</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35537-2021</t>
        </is>
      </c>
      <c r="B423" s="1" t="n">
        <v>44384</v>
      </c>
      <c r="C423" s="1" t="n">
        <v>45966</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30823-2023</t>
        </is>
      </c>
      <c r="B424" s="1" t="n">
        <v>45112</v>
      </c>
      <c r="C424" s="1" t="n">
        <v>45966</v>
      </c>
      <c r="D424" t="inlineStr">
        <is>
          <t>JÄMTLANDS LÄN</t>
        </is>
      </c>
      <c r="E424" t="inlineStr">
        <is>
          <t>RAGUNDA</t>
        </is>
      </c>
      <c r="F424" t="inlineStr">
        <is>
          <t>SCA</t>
        </is>
      </c>
      <c r="G424" t="n">
        <v>9</v>
      </c>
      <c r="H424" t="n">
        <v>0</v>
      </c>
      <c r="I424" t="n">
        <v>0</v>
      </c>
      <c r="J424" t="n">
        <v>0</v>
      </c>
      <c r="K424" t="n">
        <v>0</v>
      </c>
      <c r="L424" t="n">
        <v>0</v>
      </c>
      <c r="M424" t="n">
        <v>0</v>
      </c>
      <c r="N424" t="n">
        <v>0</v>
      </c>
      <c r="O424" t="n">
        <v>0</v>
      </c>
      <c r="P424" t="n">
        <v>0</v>
      </c>
      <c r="Q424" t="n">
        <v>0</v>
      </c>
      <c r="R424" s="2" t="inlineStr"/>
    </row>
    <row r="425" ht="15" customHeight="1">
      <c r="A425" t="inlineStr">
        <is>
          <t>A 2819-2023</t>
        </is>
      </c>
      <c r="B425" s="1" t="n">
        <v>44944</v>
      </c>
      <c r="C425" s="1" t="n">
        <v>45966</v>
      </c>
      <c r="D425" t="inlineStr">
        <is>
          <t>JÄMTLANDS LÄN</t>
        </is>
      </c>
      <c r="E425" t="inlineStr">
        <is>
          <t>RAGUNDA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44536-2022</t>
        </is>
      </c>
      <c r="B426" s="1" t="n">
        <v>44839</v>
      </c>
      <c r="C426" s="1" t="n">
        <v>45966</v>
      </c>
      <c r="D426" t="inlineStr">
        <is>
          <t>JÄMTLANDS LÄN</t>
        </is>
      </c>
      <c r="E426" t="inlineStr">
        <is>
          <t>RAGUNDA</t>
        </is>
      </c>
      <c r="G426" t="n">
        <v>4</v>
      </c>
      <c r="H426" t="n">
        <v>0</v>
      </c>
      <c r="I426" t="n">
        <v>0</v>
      </c>
      <c r="J426" t="n">
        <v>0</v>
      </c>
      <c r="K426" t="n">
        <v>0</v>
      </c>
      <c r="L426" t="n">
        <v>0</v>
      </c>
      <c r="M426" t="n">
        <v>0</v>
      </c>
      <c r="N426" t="n">
        <v>0</v>
      </c>
      <c r="O426" t="n">
        <v>0</v>
      </c>
      <c r="P426" t="n">
        <v>0</v>
      </c>
      <c r="Q426" t="n">
        <v>0</v>
      </c>
      <c r="R426" s="2" t="inlineStr"/>
    </row>
    <row r="427" ht="15" customHeight="1">
      <c r="A427" t="inlineStr">
        <is>
          <t>A 43339-2024</t>
        </is>
      </c>
      <c r="B427" s="1" t="n">
        <v>45568.51075231482</v>
      </c>
      <c r="C427" s="1" t="n">
        <v>45966</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43102-2023</t>
        </is>
      </c>
      <c r="B428" s="1" t="n">
        <v>45182</v>
      </c>
      <c r="C428" s="1" t="n">
        <v>45966</v>
      </c>
      <c r="D428" t="inlineStr">
        <is>
          <t>JÄMTLANDS LÄN</t>
        </is>
      </c>
      <c r="E428" t="inlineStr">
        <is>
          <t>RAGUNDA</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47119-2025</t>
        </is>
      </c>
      <c r="B429" s="1" t="n">
        <v>45929.67795138889</v>
      </c>
      <c r="C429" s="1" t="n">
        <v>45966</v>
      </c>
      <c r="D429" t="inlineStr">
        <is>
          <t>JÄMTLANDS LÄN</t>
        </is>
      </c>
      <c r="E429" t="inlineStr">
        <is>
          <t>RAGUNDA</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21194-2022</t>
        </is>
      </c>
      <c r="B430" s="1" t="n">
        <v>44704.9422337963</v>
      </c>
      <c r="C430" s="1" t="n">
        <v>45966</v>
      </c>
      <c r="D430" t="inlineStr">
        <is>
          <t>JÄMTLANDS LÄN</t>
        </is>
      </c>
      <c r="E430" t="inlineStr">
        <is>
          <t>RAGUNDA</t>
        </is>
      </c>
      <c r="F430" t="inlineStr">
        <is>
          <t>SCA</t>
        </is>
      </c>
      <c r="G430" t="n">
        <v>10.6</v>
      </c>
      <c r="H430" t="n">
        <v>0</v>
      </c>
      <c r="I430" t="n">
        <v>0</v>
      </c>
      <c r="J430" t="n">
        <v>0</v>
      </c>
      <c r="K430" t="n">
        <v>0</v>
      </c>
      <c r="L430" t="n">
        <v>0</v>
      </c>
      <c r="M430" t="n">
        <v>0</v>
      </c>
      <c r="N430" t="n">
        <v>0</v>
      </c>
      <c r="O430" t="n">
        <v>0</v>
      </c>
      <c r="P430" t="n">
        <v>0</v>
      </c>
      <c r="Q430" t="n">
        <v>0</v>
      </c>
      <c r="R430" s="2" t="inlineStr"/>
    </row>
    <row r="431" ht="15" customHeight="1">
      <c r="A431" t="inlineStr">
        <is>
          <t>A 60313-2021</t>
        </is>
      </c>
      <c r="B431" s="1" t="n">
        <v>44495</v>
      </c>
      <c r="C431" s="1" t="n">
        <v>45966</v>
      </c>
      <c r="D431" t="inlineStr">
        <is>
          <t>JÄMTLANDS LÄN</t>
        </is>
      </c>
      <c r="E431" t="inlineStr">
        <is>
          <t>RAGUNDA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9823-2025</t>
        </is>
      </c>
      <c r="B432" s="1" t="n">
        <v>45716</v>
      </c>
      <c r="C432" s="1" t="n">
        <v>45966</v>
      </c>
      <c r="D432" t="inlineStr">
        <is>
          <t>JÄMTLANDS LÄN</t>
        </is>
      </c>
      <c r="E432" t="inlineStr">
        <is>
          <t>RAGUNDA</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30459-2021</t>
        </is>
      </c>
      <c r="B433" s="1" t="n">
        <v>44362</v>
      </c>
      <c r="C433" s="1" t="n">
        <v>45966</v>
      </c>
      <c r="D433" t="inlineStr">
        <is>
          <t>JÄMTLANDS LÄN</t>
        </is>
      </c>
      <c r="E433" t="inlineStr">
        <is>
          <t>RAGUNDA</t>
        </is>
      </c>
      <c r="G433" t="n">
        <v>1</v>
      </c>
      <c r="H433" t="n">
        <v>0</v>
      </c>
      <c r="I433" t="n">
        <v>0</v>
      </c>
      <c r="J433" t="n">
        <v>0</v>
      </c>
      <c r="K433" t="n">
        <v>0</v>
      </c>
      <c r="L433" t="n">
        <v>0</v>
      </c>
      <c r="M433" t="n">
        <v>0</v>
      </c>
      <c r="N433" t="n">
        <v>0</v>
      </c>
      <c r="O433" t="n">
        <v>0</v>
      </c>
      <c r="P433" t="n">
        <v>0</v>
      </c>
      <c r="Q433" t="n">
        <v>0</v>
      </c>
      <c r="R433" s="2" t="inlineStr"/>
    </row>
    <row r="434" ht="15" customHeight="1">
      <c r="A434" t="inlineStr">
        <is>
          <t>A 13917-2023</t>
        </is>
      </c>
      <c r="B434" s="1" t="n">
        <v>45007</v>
      </c>
      <c r="C434" s="1" t="n">
        <v>45966</v>
      </c>
      <c r="D434" t="inlineStr">
        <is>
          <t>JÄMTLANDS LÄN</t>
        </is>
      </c>
      <c r="E434" t="inlineStr">
        <is>
          <t>RAGUNDA</t>
        </is>
      </c>
      <c r="G434" t="n">
        <v>1</v>
      </c>
      <c r="H434" t="n">
        <v>0</v>
      </c>
      <c r="I434" t="n">
        <v>0</v>
      </c>
      <c r="J434" t="n">
        <v>0</v>
      </c>
      <c r="K434" t="n">
        <v>0</v>
      </c>
      <c r="L434" t="n">
        <v>0</v>
      </c>
      <c r="M434" t="n">
        <v>0</v>
      </c>
      <c r="N434" t="n">
        <v>0</v>
      </c>
      <c r="O434" t="n">
        <v>0</v>
      </c>
      <c r="P434" t="n">
        <v>0</v>
      </c>
      <c r="Q434" t="n">
        <v>0</v>
      </c>
      <c r="R434" s="2" t="inlineStr"/>
    </row>
    <row r="435" ht="15" customHeight="1">
      <c r="A435" t="inlineStr">
        <is>
          <t>A 53019-2023</t>
        </is>
      </c>
      <c r="B435" s="1" t="n">
        <v>45222</v>
      </c>
      <c r="C435" s="1" t="n">
        <v>45966</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46710-2025</t>
        </is>
      </c>
      <c r="B436" s="1" t="n">
        <v>45926.57337962963</v>
      </c>
      <c r="C436" s="1" t="n">
        <v>45966</v>
      </c>
      <c r="D436" t="inlineStr">
        <is>
          <t>JÄMTLANDS LÄN</t>
        </is>
      </c>
      <c r="E436" t="inlineStr">
        <is>
          <t>RAGUNDA</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14212-2023</t>
        </is>
      </c>
      <c r="B437" s="1" t="n">
        <v>45009</v>
      </c>
      <c r="C437" s="1" t="n">
        <v>45966</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37543-2023</t>
        </is>
      </c>
      <c r="B438" s="1" t="n">
        <v>45158.94231481481</v>
      </c>
      <c r="C438" s="1" t="n">
        <v>45966</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59996-2023</t>
        </is>
      </c>
      <c r="B439" s="1" t="n">
        <v>45257.92826388889</v>
      </c>
      <c r="C439" s="1" t="n">
        <v>45966</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44980-2023</t>
        </is>
      </c>
      <c r="B440" s="1" t="n">
        <v>45190</v>
      </c>
      <c r="C440" s="1" t="n">
        <v>45966</v>
      </c>
      <c r="D440" t="inlineStr">
        <is>
          <t>JÄMTLANDS LÄN</t>
        </is>
      </c>
      <c r="E440" t="inlineStr">
        <is>
          <t>RAGUNDA</t>
        </is>
      </c>
      <c r="F440" t="inlineStr">
        <is>
          <t>SCA</t>
        </is>
      </c>
      <c r="G440" t="n">
        <v>5.2</v>
      </c>
      <c r="H440" t="n">
        <v>0</v>
      </c>
      <c r="I440" t="n">
        <v>0</v>
      </c>
      <c r="J440" t="n">
        <v>0</v>
      </c>
      <c r="K440" t="n">
        <v>0</v>
      </c>
      <c r="L440" t="n">
        <v>0</v>
      </c>
      <c r="M440" t="n">
        <v>0</v>
      </c>
      <c r="N440" t="n">
        <v>0</v>
      </c>
      <c r="O440" t="n">
        <v>0</v>
      </c>
      <c r="P440" t="n">
        <v>0</v>
      </c>
      <c r="Q440" t="n">
        <v>0</v>
      </c>
      <c r="R440" s="2" t="inlineStr"/>
    </row>
    <row r="441" ht="15" customHeight="1">
      <c r="A441" t="inlineStr">
        <is>
          <t>A 14076-2023</t>
        </is>
      </c>
      <c r="B441" s="1" t="n">
        <v>45009.0897337963</v>
      </c>
      <c r="C441" s="1" t="n">
        <v>45966</v>
      </c>
      <c r="D441" t="inlineStr">
        <is>
          <t>JÄMTLANDS LÄN</t>
        </is>
      </c>
      <c r="E441" t="inlineStr">
        <is>
          <t>RAGUNDA</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7668-2025</t>
        </is>
      </c>
      <c r="B442" s="1" t="n">
        <v>45706.34450231482</v>
      </c>
      <c r="C442" s="1" t="n">
        <v>45966</v>
      </c>
      <c r="D442" t="inlineStr">
        <is>
          <t>JÄMTLANDS LÄN</t>
        </is>
      </c>
      <c r="E442" t="inlineStr">
        <is>
          <t>RAGUNDA</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36046-2023</t>
        </is>
      </c>
      <c r="B443" s="1" t="n">
        <v>45148</v>
      </c>
      <c r="C443" s="1" t="n">
        <v>45966</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47037-2025</t>
        </is>
      </c>
      <c r="B444" s="1" t="n">
        <v>45929.59456018519</v>
      </c>
      <c r="C444" s="1" t="n">
        <v>45966</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47075-2025</t>
        </is>
      </c>
      <c r="B445" s="1" t="n">
        <v>45929.63728009259</v>
      </c>
      <c r="C445" s="1" t="n">
        <v>45966</v>
      </c>
      <c r="D445" t="inlineStr">
        <is>
          <t>JÄMTLANDS LÄN</t>
        </is>
      </c>
      <c r="E445" t="inlineStr">
        <is>
          <t>RAGUNDA</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12805-2025</t>
        </is>
      </c>
      <c r="B446" s="1" t="n">
        <v>45733.61497685185</v>
      </c>
      <c r="C446" s="1" t="n">
        <v>45966</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12808-2025</t>
        </is>
      </c>
      <c r="B447" s="1" t="n">
        <v>45733.61554398148</v>
      </c>
      <c r="C447" s="1" t="n">
        <v>45966</v>
      </c>
      <c r="D447" t="inlineStr">
        <is>
          <t>JÄMTLANDS LÄN</t>
        </is>
      </c>
      <c r="E447" t="inlineStr">
        <is>
          <t>RAGUNDA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4615-2023</t>
        </is>
      </c>
      <c r="B448" s="1" t="n">
        <v>44956.93924768519</v>
      </c>
      <c r="C448" s="1" t="n">
        <v>45966</v>
      </c>
      <c r="D448" t="inlineStr">
        <is>
          <t>JÄMTLANDS LÄN</t>
        </is>
      </c>
      <c r="E448" t="inlineStr">
        <is>
          <t>RAGUNDA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56193-2022</t>
        </is>
      </c>
      <c r="B449" s="1" t="n">
        <v>44889</v>
      </c>
      <c r="C449" s="1" t="n">
        <v>45966</v>
      </c>
      <c r="D449" t="inlineStr">
        <is>
          <t>JÄMTLANDS LÄN</t>
        </is>
      </c>
      <c r="E449" t="inlineStr">
        <is>
          <t>RAGUNDA</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5938-2025</t>
        </is>
      </c>
      <c r="B450" s="1" t="n">
        <v>45695.45868055556</v>
      </c>
      <c r="C450" s="1" t="n">
        <v>45966</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5515-2022</t>
        </is>
      </c>
      <c r="B451" s="1" t="n">
        <v>44595</v>
      </c>
      <c r="C451" s="1" t="n">
        <v>45966</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46689-2025</t>
        </is>
      </c>
      <c r="B452" s="1" t="n">
        <v>45926.55307870371</v>
      </c>
      <c r="C452" s="1" t="n">
        <v>45966</v>
      </c>
      <c r="D452" t="inlineStr">
        <is>
          <t>JÄMTLANDS LÄN</t>
        </is>
      </c>
      <c r="E452" t="inlineStr">
        <is>
          <t>RAGUNDA</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4125-2024</t>
        </is>
      </c>
      <c r="B453" s="1" t="n">
        <v>45323</v>
      </c>
      <c r="C453" s="1" t="n">
        <v>45966</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46753-2025</t>
        </is>
      </c>
      <c r="B454" s="1" t="n">
        <v>45926.61552083334</v>
      </c>
      <c r="C454" s="1" t="n">
        <v>45966</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46825-2025</t>
        </is>
      </c>
      <c r="B455" s="1" t="n">
        <v>45926.92506944444</v>
      </c>
      <c r="C455" s="1" t="n">
        <v>45966</v>
      </c>
      <c r="D455" t="inlineStr">
        <is>
          <t>JÄMTLANDS LÄN</t>
        </is>
      </c>
      <c r="E455" t="inlineStr">
        <is>
          <t>RAGUNDA</t>
        </is>
      </c>
      <c r="G455" t="n">
        <v>1.4</v>
      </c>
      <c r="H455" t="n">
        <v>0</v>
      </c>
      <c r="I455" t="n">
        <v>0</v>
      </c>
      <c r="J455" t="n">
        <v>0</v>
      </c>
      <c r="K455" t="n">
        <v>0</v>
      </c>
      <c r="L455" t="n">
        <v>0</v>
      </c>
      <c r="M455" t="n">
        <v>0</v>
      </c>
      <c r="N455" t="n">
        <v>0</v>
      </c>
      <c r="O455" t="n">
        <v>0</v>
      </c>
      <c r="P455" t="n">
        <v>0</v>
      </c>
      <c r="Q455" t="n">
        <v>0</v>
      </c>
      <c r="R455" s="2" t="inlineStr"/>
    </row>
    <row r="456" ht="15" customHeight="1">
      <c r="A456" t="inlineStr">
        <is>
          <t>A 53549-2024</t>
        </is>
      </c>
      <c r="B456" s="1" t="n">
        <v>45614.63869212963</v>
      </c>
      <c r="C456" s="1" t="n">
        <v>45966</v>
      </c>
      <c r="D456" t="inlineStr">
        <is>
          <t>JÄMTLANDS LÄN</t>
        </is>
      </c>
      <c r="E456" t="inlineStr">
        <is>
          <t>RAGUNDA</t>
        </is>
      </c>
      <c r="F456" t="inlineStr">
        <is>
          <t>Kyrkan</t>
        </is>
      </c>
      <c r="G456" t="n">
        <v>1.7</v>
      </c>
      <c r="H456" t="n">
        <v>0</v>
      </c>
      <c r="I456" t="n">
        <v>0</v>
      </c>
      <c r="J456" t="n">
        <v>0</v>
      </c>
      <c r="K456" t="n">
        <v>0</v>
      </c>
      <c r="L456" t="n">
        <v>0</v>
      </c>
      <c r="M456" t="n">
        <v>0</v>
      </c>
      <c r="N456" t="n">
        <v>0</v>
      </c>
      <c r="O456" t="n">
        <v>0</v>
      </c>
      <c r="P456" t="n">
        <v>0</v>
      </c>
      <c r="Q456" t="n">
        <v>0</v>
      </c>
      <c r="R456" s="2" t="inlineStr"/>
    </row>
    <row r="457" ht="15" customHeight="1">
      <c r="A457" t="inlineStr">
        <is>
          <t>A 60957-2021</t>
        </is>
      </c>
      <c r="B457" s="1" t="n">
        <v>44496</v>
      </c>
      <c r="C457" s="1" t="n">
        <v>45966</v>
      </c>
      <c r="D457" t="inlineStr">
        <is>
          <t>JÄMTLANDS LÄN</t>
        </is>
      </c>
      <c r="E457" t="inlineStr">
        <is>
          <t>RAGUNDA</t>
        </is>
      </c>
      <c r="G457" t="n">
        <v>1.6</v>
      </c>
      <c r="H457" t="n">
        <v>0</v>
      </c>
      <c r="I457" t="n">
        <v>0</v>
      </c>
      <c r="J457" t="n">
        <v>0</v>
      </c>
      <c r="K457" t="n">
        <v>0</v>
      </c>
      <c r="L457" t="n">
        <v>0</v>
      </c>
      <c r="M457" t="n">
        <v>0</v>
      </c>
      <c r="N457" t="n">
        <v>0</v>
      </c>
      <c r="O457" t="n">
        <v>0</v>
      </c>
      <c r="P457" t="n">
        <v>0</v>
      </c>
      <c r="Q457" t="n">
        <v>0</v>
      </c>
      <c r="R457" s="2" t="inlineStr"/>
    </row>
    <row r="458" ht="15" customHeight="1">
      <c r="A458" t="inlineStr">
        <is>
          <t>A 26122-2022</t>
        </is>
      </c>
      <c r="B458" s="1" t="n">
        <v>44734.94193287037</v>
      </c>
      <c r="C458" s="1" t="n">
        <v>45966</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8654-2024</t>
        </is>
      </c>
      <c r="B459" s="1" t="n">
        <v>45356.03784722222</v>
      </c>
      <c r="C459" s="1" t="n">
        <v>45966</v>
      </c>
      <c r="D459" t="inlineStr">
        <is>
          <t>JÄMTLANDS LÄN</t>
        </is>
      </c>
      <c r="E459" t="inlineStr">
        <is>
          <t>RAGUNDA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25304-2023</t>
        </is>
      </c>
      <c r="B460" s="1" t="n">
        <v>45086</v>
      </c>
      <c r="C460" s="1" t="n">
        <v>45966</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6902-2024</t>
        </is>
      </c>
      <c r="B461" s="1" t="n">
        <v>45342</v>
      </c>
      <c r="C461" s="1" t="n">
        <v>45966</v>
      </c>
      <c r="D461" t="inlineStr">
        <is>
          <t>JÄMTLANDS LÄN</t>
        </is>
      </c>
      <c r="E461" t="inlineStr">
        <is>
          <t>RAGUNDA</t>
        </is>
      </c>
      <c r="F461" t="inlineStr">
        <is>
          <t>SCA</t>
        </is>
      </c>
      <c r="G461" t="n">
        <v>18.7</v>
      </c>
      <c r="H461" t="n">
        <v>0</v>
      </c>
      <c r="I461" t="n">
        <v>0</v>
      </c>
      <c r="J461" t="n">
        <v>0</v>
      </c>
      <c r="K461" t="n">
        <v>0</v>
      </c>
      <c r="L461" t="n">
        <v>0</v>
      </c>
      <c r="M461" t="n">
        <v>0</v>
      </c>
      <c r="N461" t="n">
        <v>0</v>
      </c>
      <c r="O461" t="n">
        <v>0</v>
      </c>
      <c r="P461" t="n">
        <v>0</v>
      </c>
      <c r="Q461" t="n">
        <v>0</v>
      </c>
      <c r="R461" s="2" t="inlineStr"/>
    </row>
    <row r="462" ht="15" customHeight="1">
      <c r="A462" t="inlineStr">
        <is>
          <t>A 6905-2024</t>
        </is>
      </c>
      <c r="B462" s="1" t="n">
        <v>45342.9462037037</v>
      </c>
      <c r="C462" s="1" t="n">
        <v>45966</v>
      </c>
      <c r="D462" t="inlineStr">
        <is>
          <t>JÄMTLANDS LÄN</t>
        </is>
      </c>
      <c r="E462" t="inlineStr">
        <is>
          <t>RAGUNDA</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22731-2023</t>
        </is>
      </c>
      <c r="B463" s="1" t="n">
        <v>45071</v>
      </c>
      <c r="C463" s="1" t="n">
        <v>45966</v>
      </c>
      <c r="D463" t="inlineStr">
        <is>
          <t>JÄMTLANDS LÄN</t>
        </is>
      </c>
      <c r="E463" t="inlineStr">
        <is>
          <t>RAGUNDA</t>
        </is>
      </c>
      <c r="G463" t="n">
        <v>1.5</v>
      </c>
      <c r="H463" t="n">
        <v>0</v>
      </c>
      <c r="I463" t="n">
        <v>0</v>
      </c>
      <c r="J463" t="n">
        <v>0</v>
      </c>
      <c r="K463" t="n">
        <v>0</v>
      </c>
      <c r="L463" t="n">
        <v>0</v>
      </c>
      <c r="M463" t="n">
        <v>0</v>
      </c>
      <c r="N463" t="n">
        <v>0</v>
      </c>
      <c r="O463" t="n">
        <v>0</v>
      </c>
      <c r="P463" t="n">
        <v>0</v>
      </c>
      <c r="Q463" t="n">
        <v>0</v>
      </c>
      <c r="R463" s="2" t="inlineStr"/>
    </row>
    <row r="464" ht="15" customHeight="1">
      <c r="A464" t="inlineStr">
        <is>
          <t>A 7284-2025</t>
        </is>
      </c>
      <c r="B464" s="1" t="n">
        <v>45702.63604166666</v>
      </c>
      <c r="C464" s="1" t="n">
        <v>45966</v>
      </c>
      <c r="D464" t="inlineStr">
        <is>
          <t>JÄMTLANDS LÄN</t>
        </is>
      </c>
      <c r="E464" t="inlineStr">
        <is>
          <t>RAGUNDA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31506-2024</t>
        </is>
      </c>
      <c r="B465" s="1" t="n">
        <v>45505</v>
      </c>
      <c r="C465" s="1" t="n">
        <v>45966</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11245-2025</t>
        </is>
      </c>
      <c r="B466" s="1" t="n">
        <v>45726.38575231482</v>
      </c>
      <c r="C466" s="1" t="n">
        <v>45966</v>
      </c>
      <c r="D466" t="inlineStr">
        <is>
          <t>JÄMTLANDS LÄN</t>
        </is>
      </c>
      <c r="E466" t="inlineStr">
        <is>
          <t>RAGUNDA</t>
        </is>
      </c>
      <c r="G466" t="n">
        <v>2.3</v>
      </c>
      <c r="H466" t="n">
        <v>0</v>
      </c>
      <c r="I466" t="n">
        <v>0</v>
      </c>
      <c r="J466" t="n">
        <v>0</v>
      </c>
      <c r="K466" t="n">
        <v>0</v>
      </c>
      <c r="L466" t="n">
        <v>0</v>
      </c>
      <c r="M466" t="n">
        <v>0</v>
      </c>
      <c r="N466" t="n">
        <v>0</v>
      </c>
      <c r="O466" t="n">
        <v>0</v>
      </c>
      <c r="P466" t="n">
        <v>0</v>
      </c>
      <c r="Q466" t="n">
        <v>0</v>
      </c>
      <c r="R466" s="2" t="inlineStr"/>
    </row>
    <row r="467" ht="15" customHeight="1">
      <c r="A467" t="inlineStr">
        <is>
          <t>A 21193-2022</t>
        </is>
      </c>
      <c r="B467" s="1" t="n">
        <v>44704.94217592593</v>
      </c>
      <c r="C467" s="1" t="n">
        <v>45966</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61923-2024</t>
        </is>
      </c>
      <c r="B468" s="1" t="n">
        <v>45653.44836805556</v>
      </c>
      <c r="C468" s="1" t="n">
        <v>45966</v>
      </c>
      <c r="D468" t="inlineStr">
        <is>
          <t>JÄMTLANDS LÄN</t>
        </is>
      </c>
      <c r="E468" t="inlineStr">
        <is>
          <t>RAGUNDA</t>
        </is>
      </c>
      <c r="F468" t="inlineStr">
        <is>
          <t>SCA</t>
        </is>
      </c>
      <c r="G468" t="n">
        <v>11.1</v>
      </c>
      <c r="H468" t="n">
        <v>0</v>
      </c>
      <c r="I468" t="n">
        <v>0</v>
      </c>
      <c r="J468" t="n">
        <v>0</v>
      </c>
      <c r="K468" t="n">
        <v>0</v>
      </c>
      <c r="L468" t="n">
        <v>0</v>
      </c>
      <c r="M468" t="n">
        <v>0</v>
      </c>
      <c r="N468" t="n">
        <v>0</v>
      </c>
      <c r="O468" t="n">
        <v>0</v>
      </c>
      <c r="P468" t="n">
        <v>0</v>
      </c>
      <c r="Q468" t="n">
        <v>0</v>
      </c>
      <c r="R468" s="2" t="inlineStr"/>
    </row>
    <row r="469" ht="15" customHeight="1">
      <c r="A469" t="inlineStr">
        <is>
          <t>A 19382-2025</t>
        </is>
      </c>
      <c r="B469" s="1" t="n">
        <v>45769.65659722222</v>
      </c>
      <c r="C469" s="1" t="n">
        <v>45966</v>
      </c>
      <c r="D469" t="inlineStr">
        <is>
          <t>JÄMTLANDS LÄN</t>
        </is>
      </c>
      <c r="E469" t="inlineStr">
        <is>
          <t>RAGUNDA</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23567-2024</t>
        </is>
      </c>
      <c r="B470" s="1" t="n">
        <v>45453.95538194444</v>
      </c>
      <c r="C470" s="1" t="n">
        <v>45966</v>
      </c>
      <c r="D470" t="inlineStr">
        <is>
          <t>JÄMTLANDS LÄN</t>
        </is>
      </c>
      <c r="E470" t="inlineStr">
        <is>
          <t>RAGUNDA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19246-2023</t>
        </is>
      </c>
      <c r="B471" s="1" t="n">
        <v>45048.94340277778</v>
      </c>
      <c r="C471" s="1" t="n">
        <v>45966</v>
      </c>
      <c r="D471" t="inlineStr">
        <is>
          <t>JÄMTLANDS LÄN</t>
        </is>
      </c>
      <c r="E471" t="inlineStr">
        <is>
          <t>RAGUNDA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37479-2023</t>
        </is>
      </c>
      <c r="B472" s="1" t="n">
        <v>45156</v>
      </c>
      <c r="C472" s="1" t="n">
        <v>45966</v>
      </c>
      <c r="D472" t="inlineStr">
        <is>
          <t>JÄMTLANDS LÄN</t>
        </is>
      </c>
      <c r="E472" t="inlineStr">
        <is>
          <t>RAGUNDA</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5958-2021</t>
        </is>
      </c>
      <c r="B473" s="1" t="n">
        <v>44231</v>
      </c>
      <c r="C473" s="1" t="n">
        <v>45966</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61109-2024</t>
        </is>
      </c>
      <c r="B474" s="1" t="n">
        <v>45645.55672453704</v>
      </c>
      <c r="C474" s="1" t="n">
        <v>45966</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46909-2025</t>
        </is>
      </c>
      <c r="B475" s="1" t="n">
        <v>45929.40673611111</v>
      </c>
      <c r="C475" s="1" t="n">
        <v>45966</v>
      </c>
      <c r="D475" t="inlineStr">
        <is>
          <t>JÄMTLANDS LÄN</t>
        </is>
      </c>
      <c r="E475" t="inlineStr">
        <is>
          <t>RAGUNDA</t>
        </is>
      </c>
      <c r="G475" t="n">
        <v>5.7</v>
      </c>
      <c r="H475" t="n">
        <v>0</v>
      </c>
      <c r="I475" t="n">
        <v>0</v>
      </c>
      <c r="J475" t="n">
        <v>0</v>
      </c>
      <c r="K475" t="n">
        <v>0</v>
      </c>
      <c r="L475" t="n">
        <v>0</v>
      </c>
      <c r="M475" t="n">
        <v>0</v>
      </c>
      <c r="N475" t="n">
        <v>0</v>
      </c>
      <c r="O475" t="n">
        <v>0</v>
      </c>
      <c r="P475" t="n">
        <v>0</v>
      </c>
      <c r="Q475" t="n">
        <v>0</v>
      </c>
      <c r="R475" s="2" t="inlineStr"/>
    </row>
    <row r="476" ht="15" customHeight="1">
      <c r="A476" t="inlineStr">
        <is>
          <t>A 58955-2024</t>
        </is>
      </c>
      <c r="B476" s="1" t="n">
        <v>45636.57329861111</v>
      </c>
      <c r="C476" s="1" t="n">
        <v>45966</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4866-2025</t>
        </is>
      </c>
      <c r="B477" s="1" t="n">
        <v>45688.67542824074</v>
      </c>
      <c r="C477" s="1" t="n">
        <v>45966</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46751-2025</t>
        </is>
      </c>
      <c r="B478" s="1" t="n">
        <v>45926.6153125</v>
      </c>
      <c r="C478" s="1" t="n">
        <v>45966</v>
      </c>
      <c r="D478" t="inlineStr">
        <is>
          <t>JÄMTLANDS LÄN</t>
        </is>
      </c>
      <c r="E478" t="inlineStr">
        <is>
          <t>RAGUNDA</t>
        </is>
      </c>
      <c r="F478" t="inlineStr">
        <is>
          <t>SCA</t>
        </is>
      </c>
      <c r="G478" t="n">
        <v>7.8</v>
      </c>
      <c r="H478" t="n">
        <v>0</v>
      </c>
      <c r="I478" t="n">
        <v>0</v>
      </c>
      <c r="J478" t="n">
        <v>0</v>
      </c>
      <c r="K478" t="n">
        <v>0</v>
      </c>
      <c r="L478" t="n">
        <v>0</v>
      </c>
      <c r="M478" t="n">
        <v>0</v>
      </c>
      <c r="N478" t="n">
        <v>0</v>
      </c>
      <c r="O478" t="n">
        <v>0</v>
      </c>
      <c r="P478" t="n">
        <v>0</v>
      </c>
      <c r="Q478" t="n">
        <v>0</v>
      </c>
      <c r="R478" s="2" t="inlineStr"/>
    </row>
    <row r="479" ht="15" customHeight="1">
      <c r="A479" t="inlineStr">
        <is>
          <t>A 33877-2023</t>
        </is>
      </c>
      <c r="B479" s="1" t="n">
        <v>45133</v>
      </c>
      <c r="C479" s="1" t="n">
        <v>45966</v>
      </c>
      <c r="D479" t="inlineStr">
        <is>
          <t>JÄMTLANDS LÄN</t>
        </is>
      </c>
      <c r="E479" t="inlineStr">
        <is>
          <t>RAGUNDA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62541-2022</t>
        </is>
      </c>
      <c r="B480" s="1" t="n">
        <v>44917</v>
      </c>
      <c r="C480" s="1" t="n">
        <v>45966</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39192-2025</t>
        </is>
      </c>
      <c r="B481" s="1" t="n">
        <v>45888.6775</v>
      </c>
      <c r="C481" s="1" t="n">
        <v>45966</v>
      </c>
      <c r="D481" t="inlineStr">
        <is>
          <t>JÄMTLANDS LÄN</t>
        </is>
      </c>
      <c r="E481" t="inlineStr">
        <is>
          <t>RAGUNDA</t>
        </is>
      </c>
      <c r="F481" t="inlineStr">
        <is>
          <t>Naturvårdsverket</t>
        </is>
      </c>
      <c r="G481" t="n">
        <v>2.3</v>
      </c>
      <c r="H481" t="n">
        <v>0</v>
      </c>
      <c r="I481" t="n">
        <v>0</v>
      </c>
      <c r="J481" t="n">
        <v>0</v>
      </c>
      <c r="K481" t="n">
        <v>0</v>
      </c>
      <c r="L481" t="n">
        <v>0</v>
      </c>
      <c r="M481" t="n">
        <v>0</v>
      </c>
      <c r="N481" t="n">
        <v>0</v>
      </c>
      <c r="O481" t="n">
        <v>0</v>
      </c>
      <c r="P481" t="n">
        <v>0</v>
      </c>
      <c r="Q481" t="n">
        <v>0</v>
      </c>
      <c r="R481" s="2" t="inlineStr"/>
    </row>
    <row r="482" ht="15" customHeight="1">
      <c r="A482" t="inlineStr">
        <is>
          <t>A 9567-2025</t>
        </is>
      </c>
      <c r="B482" s="1" t="n">
        <v>45715.61523148148</v>
      </c>
      <c r="C482" s="1" t="n">
        <v>45966</v>
      </c>
      <c r="D482" t="inlineStr">
        <is>
          <t>JÄMTLANDS LÄN</t>
        </is>
      </c>
      <c r="E482" t="inlineStr">
        <is>
          <t>RAGUNDA</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11780-2024</t>
        </is>
      </c>
      <c r="B483" s="1" t="n">
        <v>45374</v>
      </c>
      <c r="C483" s="1" t="n">
        <v>45966</v>
      </c>
      <c r="D483" t="inlineStr">
        <is>
          <t>JÄMTLANDS LÄN</t>
        </is>
      </c>
      <c r="E483" t="inlineStr">
        <is>
          <t>RAGUNDA</t>
        </is>
      </c>
      <c r="G483" t="n">
        <v>14.6</v>
      </c>
      <c r="H483" t="n">
        <v>0</v>
      </c>
      <c r="I483" t="n">
        <v>0</v>
      </c>
      <c r="J483" t="n">
        <v>0</v>
      </c>
      <c r="K483" t="n">
        <v>0</v>
      </c>
      <c r="L483" t="n">
        <v>0</v>
      </c>
      <c r="M483" t="n">
        <v>0</v>
      </c>
      <c r="N483" t="n">
        <v>0</v>
      </c>
      <c r="O483" t="n">
        <v>0</v>
      </c>
      <c r="P483" t="n">
        <v>0</v>
      </c>
      <c r="Q483" t="n">
        <v>0</v>
      </c>
      <c r="R483" s="2" t="inlineStr"/>
    </row>
    <row r="484" ht="15" customHeight="1">
      <c r="A484" t="inlineStr">
        <is>
          <t>A 21661-2023</t>
        </is>
      </c>
      <c r="B484" s="1" t="n">
        <v>45063</v>
      </c>
      <c r="C484" s="1" t="n">
        <v>45966</v>
      </c>
      <c r="D484" t="inlineStr">
        <is>
          <t>JÄMTLANDS LÄN</t>
        </is>
      </c>
      <c r="E484" t="inlineStr">
        <is>
          <t>RAGUNDA</t>
        </is>
      </c>
      <c r="G484" t="n">
        <v>1.5</v>
      </c>
      <c r="H484" t="n">
        <v>0</v>
      </c>
      <c r="I484" t="n">
        <v>0</v>
      </c>
      <c r="J484" t="n">
        <v>0</v>
      </c>
      <c r="K484" t="n">
        <v>0</v>
      </c>
      <c r="L484" t="n">
        <v>0</v>
      </c>
      <c r="M484" t="n">
        <v>0</v>
      </c>
      <c r="N484" t="n">
        <v>0</v>
      </c>
      <c r="O484" t="n">
        <v>0</v>
      </c>
      <c r="P484" t="n">
        <v>0</v>
      </c>
      <c r="Q484" t="n">
        <v>0</v>
      </c>
      <c r="R484" s="2" t="inlineStr"/>
    </row>
    <row r="485" ht="15" customHeight="1">
      <c r="A485" t="inlineStr">
        <is>
          <t>A 47228-2025</t>
        </is>
      </c>
      <c r="B485" s="1" t="n">
        <v>45930.3990162037</v>
      </c>
      <c r="C485" s="1" t="n">
        <v>45966</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11288-2022</t>
        </is>
      </c>
      <c r="B486" s="1" t="n">
        <v>44629</v>
      </c>
      <c r="C486" s="1" t="n">
        <v>45966</v>
      </c>
      <c r="D486" t="inlineStr">
        <is>
          <t>JÄMTLANDS LÄN</t>
        </is>
      </c>
      <c r="E486" t="inlineStr">
        <is>
          <t>RAGUNDA</t>
        </is>
      </c>
      <c r="G486" t="n">
        <v>4.9</v>
      </c>
      <c r="H486" t="n">
        <v>0</v>
      </c>
      <c r="I486" t="n">
        <v>0</v>
      </c>
      <c r="J486" t="n">
        <v>0</v>
      </c>
      <c r="K486" t="n">
        <v>0</v>
      </c>
      <c r="L486" t="n">
        <v>0</v>
      </c>
      <c r="M486" t="n">
        <v>0</v>
      </c>
      <c r="N486" t="n">
        <v>0</v>
      </c>
      <c r="O486" t="n">
        <v>0</v>
      </c>
      <c r="P486" t="n">
        <v>0</v>
      </c>
      <c r="Q486" t="n">
        <v>0</v>
      </c>
      <c r="R486" s="2" t="inlineStr"/>
    </row>
    <row r="487" ht="15" customHeight="1">
      <c r="A487" t="inlineStr">
        <is>
          <t>A 18984-2023</t>
        </is>
      </c>
      <c r="B487" s="1" t="n">
        <v>45044</v>
      </c>
      <c r="C487" s="1" t="n">
        <v>45966</v>
      </c>
      <c r="D487" t="inlineStr">
        <is>
          <t>JÄMTLANDS LÄN</t>
        </is>
      </c>
      <c r="E487" t="inlineStr">
        <is>
          <t>RAGUNDA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66011-2021</t>
        </is>
      </c>
      <c r="B488" s="1" t="n">
        <v>44517.58137731482</v>
      </c>
      <c r="C488" s="1" t="n">
        <v>45966</v>
      </c>
      <c r="D488" t="inlineStr">
        <is>
          <t>JÄMTLANDS LÄN</t>
        </is>
      </c>
      <c r="E488" t="inlineStr">
        <is>
          <t>RAGUNDA</t>
        </is>
      </c>
      <c r="G488" t="n">
        <v>1.1</v>
      </c>
      <c r="H488" t="n">
        <v>0</v>
      </c>
      <c r="I488" t="n">
        <v>0</v>
      </c>
      <c r="J488" t="n">
        <v>0</v>
      </c>
      <c r="K488" t="n">
        <v>0</v>
      </c>
      <c r="L488" t="n">
        <v>0</v>
      </c>
      <c r="M488" t="n">
        <v>0</v>
      </c>
      <c r="N488" t="n">
        <v>0</v>
      </c>
      <c r="O488" t="n">
        <v>0</v>
      </c>
      <c r="P488" t="n">
        <v>0</v>
      </c>
      <c r="Q488" t="n">
        <v>0</v>
      </c>
      <c r="R488" s="2" t="inlineStr"/>
    </row>
    <row r="489" ht="15" customHeight="1">
      <c r="A489" t="inlineStr">
        <is>
          <t>A 47748-2025</t>
        </is>
      </c>
      <c r="B489" s="1" t="n">
        <v>45931.65693287037</v>
      </c>
      <c r="C489" s="1" t="n">
        <v>45966</v>
      </c>
      <c r="D489" t="inlineStr">
        <is>
          <t>JÄMTLANDS LÄN</t>
        </is>
      </c>
      <c r="E489" t="inlineStr">
        <is>
          <t>RAGUNDA</t>
        </is>
      </c>
      <c r="F489" t="inlineStr">
        <is>
          <t>SCA</t>
        </is>
      </c>
      <c r="G489" t="n">
        <v>8.6</v>
      </c>
      <c r="H489" t="n">
        <v>0</v>
      </c>
      <c r="I489" t="n">
        <v>0</v>
      </c>
      <c r="J489" t="n">
        <v>0</v>
      </c>
      <c r="K489" t="n">
        <v>0</v>
      </c>
      <c r="L489" t="n">
        <v>0</v>
      </c>
      <c r="M489" t="n">
        <v>0</v>
      </c>
      <c r="N489" t="n">
        <v>0</v>
      </c>
      <c r="O489" t="n">
        <v>0</v>
      </c>
      <c r="P489" t="n">
        <v>0</v>
      </c>
      <c r="Q489" t="n">
        <v>0</v>
      </c>
      <c r="R489" s="2" t="inlineStr"/>
    </row>
    <row r="490" ht="15" customHeight="1">
      <c r="A490" t="inlineStr">
        <is>
          <t>A 47749-2025</t>
        </is>
      </c>
      <c r="B490" s="1" t="n">
        <v>45931.65711805555</v>
      </c>
      <c r="C490" s="1" t="n">
        <v>45966</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47229-2025</t>
        </is>
      </c>
      <c r="B491" s="1" t="n">
        <v>45930.40166666666</v>
      </c>
      <c r="C491" s="1" t="n">
        <v>45966</v>
      </c>
      <c r="D491" t="inlineStr">
        <is>
          <t>JÄMTLANDS LÄN</t>
        </is>
      </c>
      <c r="E491" t="inlineStr">
        <is>
          <t>RAGUNDA</t>
        </is>
      </c>
      <c r="G491" t="n">
        <v>1.8</v>
      </c>
      <c r="H491" t="n">
        <v>0</v>
      </c>
      <c r="I491" t="n">
        <v>0</v>
      </c>
      <c r="J491" t="n">
        <v>0</v>
      </c>
      <c r="K491" t="n">
        <v>0</v>
      </c>
      <c r="L491" t="n">
        <v>0</v>
      </c>
      <c r="M491" t="n">
        <v>0</v>
      </c>
      <c r="N491" t="n">
        <v>0</v>
      </c>
      <c r="O491" t="n">
        <v>0</v>
      </c>
      <c r="P491" t="n">
        <v>0</v>
      </c>
      <c r="Q491" t="n">
        <v>0</v>
      </c>
      <c r="R491" s="2" t="inlineStr"/>
    </row>
    <row r="492" ht="15" customHeight="1">
      <c r="A492" t="inlineStr">
        <is>
          <t>A 42509-2023</t>
        </is>
      </c>
      <c r="B492" s="1" t="n">
        <v>45180</v>
      </c>
      <c r="C492" s="1" t="n">
        <v>45966</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24197-2024</t>
        </is>
      </c>
      <c r="B493" s="1" t="n">
        <v>45456.96601851852</v>
      </c>
      <c r="C493" s="1" t="n">
        <v>45966</v>
      </c>
      <c r="D493" t="inlineStr">
        <is>
          <t>JÄMTLANDS LÄN</t>
        </is>
      </c>
      <c r="E493" t="inlineStr">
        <is>
          <t>RAGUNDA</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39384-2025</t>
        </is>
      </c>
      <c r="B494" s="1" t="n">
        <v>45889.61517361111</v>
      </c>
      <c r="C494" s="1" t="n">
        <v>45966</v>
      </c>
      <c r="D494" t="inlineStr">
        <is>
          <t>JÄMTLANDS LÄN</t>
        </is>
      </c>
      <c r="E494" t="inlineStr">
        <is>
          <t>RAGUNDA</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33615-2023</t>
        </is>
      </c>
      <c r="B495" s="1" t="n">
        <v>45119</v>
      </c>
      <c r="C495" s="1" t="n">
        <v>45966</v>
      </c>
      <c r="D495" t="inlineStr">
        <is>
          <t>JÄMTLANDS LÄN</t>
        </is>
      </c>
      <c r="E495" t="inlineStr">
        <is>
          <t>RAGUNDA</t>
        </is>
      </c>
      <c r="G495" t="n">
        <v>0.9</v>
      </c>
      <c r="H495" t="n">
        <v>0</v>
      </c>
      <c r="I495" t="n">
        <v>0</v>
      </c>
      <c r="J495" t="n">
        <v>0</v>
      </c>
      <c r="K495" t="n">
        <v>0</v>
      </c>
      <c r="L495" t="n">
        <v>0</v>
      </c>
      <c r="M495" t="n">
        <v>0</v>
      </c>
      <c r="N495" t="n">
        <v>0</v>
      </c>
      <c r="O495" t="n">
        <v>0</v>
      </c>
      <c r="P495" t="n">
        <v>0</v>
      </c>
      <c r="Q495" t="n">
        <v>0</v>
      </c>
      <c r="R495" s="2" t="inlineStr"/>
    </row>
    <row r="496" ht="15" customHeight="1">
      <c r="A496" t="inlineStr">
        <is>
          <t>A 42510-2023</t>
        </is>
      </c>
      <c r="B496" s="1" t="n">
        <v>45180.95927083334</v>
      </c>
      <c r="C496" s="1" t="n">
        <v>45966</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28216-2025</t>
        </is>
      </c>
      <c r="B497" s="1" t="n">
        <v>45818.46898148148</v>
      </c>
      <c r="C497" s="1" t="n">
        <v>45966</v>
      </c>
      <c r="D497" t="inlineStr">
        <is>
          <t>JÄMTLANDS LÄN</t>
        </is>
      </c>
      <c r="E497" t="inlineStr">
        <is>
          <t>RAGUNDA</t>
        </is>
      </c>
      <c r="G497" t="n">
        <v>6.6</v>
      </c>
      <c r="H497" t="n">
        <v>0</v>
      </c>
      <c r="I497" t="n">
        <v>0</v>
      </c>
      <c r="J497" t="n">
        <v>0</v>
      </c>
      <c r="K497" t="n">
        <v>0</v>
      </c>
      <c r="L497" t="n">
        <v>0</v>
      </c>
      <c r="M497" t="n">
        <v>0</v>
      </c>
      <c r="N497" t="n">
        <v>0</v>
      </c>
      <c r="O497" t="n">
        <v>0</v>
      </c>
      <c r="P497" t="n">
        <v>0</v>
      </c>
      <c r="Q497" t="n">
        <v>0</v>
      </c>
      <c r="R497" s="2" t="inlineStr"/>
    </row>
    <row r="498" ht="15" customHeight="1">
      <c r="A498" t="inlineStr">
        <is>
          <t>A 53860-2023</t>
        </is>
      </c>
      <c r="B498" s="1" t="n">
        <v>45224</v>
      </c>
      <c r="C498" s="1" t="n">
        <v>45966</v>
      </c>
      <c r="D498" t="inlineStr">
        <is>
          <t>JÄMTLANDS LÄN</t>
        </is>
      </c>
      <c r="E498" t="inlineStr">
        <is>
          <t>RAGUNDA</t>
        </is>
      </c>
      <c r="G498" t="n">
        <v>3.3</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45966</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5175-2023</t>
        </is>
      </c>
      <c r="B500" s="1" t="n">
        <v>44958.94298611111</v>
      </c>
      <c r="C500" s="1" t="n">
        <v>45966</v>
      </c>
      <c r="D500" t="inlineStr">
        <is>
          <t>JÄMTLANDS LÄN</t>
        </is>
      </c>
      <c r="E500" t="inlineStr">
        <is>
          <t>RAGUNDA</t>
        </is>
      </c>
      <c r="F500" t="inlineStr">
        <is>
          <t>SCA</t>
        </is>
      </c>
      <c r="G500" t="n">
        <v>17.9</v>
      </c>
      <c r="H500" t="n">
        <v>0</v>
      </c>
      <c r="I500" t="n">
        <v>0</v>
      </c>
      <c r="J500" t="n">
        <v>0</v>
      </c>
      <c r="K500" t="n">
        <v>0</v>
      </c>
      <c r="L500" t="n">
        <v>0</v>
      </c>
      <c r="M500" t="n">
        <v>0</v>
      </c>
      <c r="N500" t="n">
        <v>0</v>
      </c>
      <c r="O500" t="n">
        <v>0</v>
      </c>
      <c r="P500" t="n">
        <v>0</v>
      </c>
      <c r="Q500" t="n">
        <v>0</v>
      </c>
      <c r="R500" s="2" t="inlineStr"/>
    </row>
    <row r="501" ht="15" customHeight="1">
      <c r="A501" t="inlineStr">
        <is>
          <t>A 14896-2022</t>
        </is>
      </c>
      <c r="B501" s="1" t="n">
        <v>44656</v>
      </c>
      <c r="C501" s="1" t="n">
        <v>45966</v>
      </c>
      <c r="D501" t="inlineStr">
        <is>
          <t>JÄMTLANDS LÄN</t>
        </is>
      </c>
      <c r="E501" t="inlineStr">
        <is>
          <t>RAGUNDA</t>
        </is>
      </c>
      <c r="F501" t="inlineStr">
        <is>
          <t>SCA</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12039-2023</t>
        </is>
      </c>
      <c r="B502" s="1" t="n">
        <v>44995.98341435185</v>
      </c>
      <c r="C502" s="1" t="n">
        <v>45966</v>
      </c>
      <c r="D502" t="inlineStr">
        <is>
          <t>JÄMTLANDS LÄN</t>
        </is>
      </c>
      <c r="E502" t="inlineStr">
        <is>
          <t>RAGUNDA</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69153-2021</t>
        </is>
      </c>
      <c r="B503" s="1" t="n">
        <v>44530.94694444445</v>
      </c>
      <c r="C503" s="1" t="n">
        <v>45966</v>
      </c>
      <c r="D503" t="inlineStr">
        <is>
          <t>JÄMTLANDS LÄN</t>
        </is>
      </c>
      <c r="E503" t="inlineStr">
        <is>
          <t>RAGUNDA</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20574-2025</t>
        </is>
      </c>
      <c r="B504" s="1" t="n">
        <v>45775.67747685185</v>
      </c>
      <c r="C504" s="1" t="n">
        <v>45966</v>
      </c>
      <c r="D504" t="inlineStr">
        <is>
          <t>JÄMTLANDS LÄN</t>
        </is>
      </c>
      <c r="E504" t="inlineStr">
        <is>
          <t>RAGUNDA</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33650-2025</t>
        </is>
      </c>
      <c r="B505" s="1" t="n">
        <v>45841.6571412037</v>
      </c>
      <c r="C505" s="1" t="n">
        <v>45966</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12585-2024</t>
        </is>
      </c>
      <c r="B506" s="1" t="n">
        <v>45379.93637731481</v>
      </c>
      <c r="C506" s="1" t="n">
        <v>45966</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55489-2024</t>
        </is>
      </c>
      <c r="B507" s="1" t="n">
        <v>45622.44774305556</v>
      </c>
      <c r="C507" s="1" t="n">
        <v>45966</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18631-2024</t>
        </is>
      </c>
      <c r="B508" s="1" t="n">
        <v>45425.96494212963</v>
      </c>
      <c r="C508" s="1" t="n">
        <v>45966</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26991-2023</t>
        </is>
      </c>
      <c r="B509" s="1" t="n">
        <v>45093.92207175926</v>
      </c>
      <c r="C509" s="1" t="n">
        <v>45966</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26646-2023</t>
        </is>
      </c>
      <c r="B510" s="1" t="n">
        <v>45092</v>
      </c>
      <c r="C510" s="1" t="n">
        <v>45966</v>
      </c>
      <c r="D510" t="inlineStr">
        <is>
          <t>JÄMTLANDS LÄN</t>
        </is>
      </c>
      <c r="E510" t="inlineStr">
        <is>
          <t>RAGUNDA</t>
        </is>
      </c>
      <c r="G510" t="n">
        <v>1.4</v>
      </c>
      <c r="H510" t="n">
        <v>0</v>
      </c>
      <c r="I510" t="n">
        <v>0</v>
      </c>
      <c r="J510" t="n">
        <v>0</v>
      </c>
      <c r="K510" t="n">
        <v>0</v>
      </c>
      <c r="L510" t="n">
        <v>0</v>
      </c>
      <c r="M510" t="n">
        <v>0</v>
      </c>
      <c r="N510" t="n">
        <v>0</v>
      </c>
      <c r="O510" t="n">
        <v>0</v>
      </c>
      <c r="P510" t="n">
        <v>0</v>
      </c>
      <c r="Q510" t="n">
        <v>0</v>
      </c>
      <c r="R510" s="2" t="inlineStr"/>
    </row>
    <row r="511" ht="15" customHeight="1">
      <c r="A511" t="inlineStr">
        <is>
          <t>A 43405-2023</t>
        </is>
      </c>
      <c r="B511" s="1" t="n">
        <v>45183.95563657407</v>
      </c>
      <c r="C511" s="1" t="n">
        <v>45966</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59496-2024</t>
        </is>
      </c>
      <c r="B512" s="1" t="n">
        <v>45638</v>
      </c>
      <c r="C512" s="1" t="n">
        <v>45966</v>
      </c>
      <c r="D512" t="inlineStr">
        <is>
          <t>JÄMTLANDS LÄN</t>
        </is>
      </c>
      <c r="E512" t="inlineStr">
        <is>
          <t>RAGUNDA</t>
        </is>
      </c>
      <c r="G512" t="n">
        <v>13.1</v>
      </c>
      <c r="H512" t="n">
        <v>0</v>
      </c>
      <c r="I512" t="n">
        <v>0</v>
      </c>
      <c r="J512" t="n">
        <v>0</v>
      </c>
      <c r="K512" t="n">
        <v>0</v>
      </c>
      <c r="L512" t="n">
        <v>0</v>
      </c>
      <c r="M512" t="n">
        <v>0</v>
      </c>
      <c r="N512" t="n">
        <v>0</v>
      </c>
      <c r="O512" t="n">
        <v>0</v>
      </c>
      <c r="P512" t="n">
        <v>0</v>
      </c>
      <c r="Q512" t="n">
        <v>0</v>
      </c>
      <c r="R512" s="2" t="inlineStr"/>
    </row>
    <row r="513" ht="15" customHeight="1">
      <c r="A513" t="inlineStr">
        <is>
          <t>A 13302-2022</t>
        </is>
      </c>
      <c r="B513" s="1" t="n">
        <v>44644</v>
      </c>
      <c r="C513" s="1" t="n">
        <v>45966</v>
      </c>
      <c r="D513" t="inlineStr">
        <is>
          <t>JÄMTLANDS LÄN</t>
        </is>
      </c>
      <c r="E513" t="inlineStr">
        <is>
          <t>RAGUNDA</t>
        </is>
      </c>
      <c r="F513" t="inlineStr">
        <is>
          <t>SCA</t>
        </is>
      </c>
      <c r="G513" t="n">
        <v>35.6</v>
      </c>
      <c r="H513" t="n">
        <v>0</v>
      </c>
      <c r="I513" t="n">
        <v>0</v>
      </c>
      <c r="J513" t="n">
        <v>0</v>
      </c>
      <c r="K513" t="n">
        <v>0</v>
      </c>
      <c r="L513" t="n">
        <v>0</v>
      </c>
      <c r="M513" t="n">
        <v>0</v>
      </c>
      <c r="N513" t="n">
        <v>0</v>
      </c>
      <c r="O513" t="n">
        <v>0</v>
      </c>
      <c r="P513" t="n">
        <v>0</v>
      </c>
      <c r="Q513" t="n">
        <v>0</v>
      </c>
      <c r="R513" s="2" t="inlineStr"/>
    </row>
    <row r="514" ht="15" customHeight="1">
      <c r="A514" t="inlineStr">
        <is>
          <t>A 26651-2024</t>
        </is>
      </c>
      <c r="B514" s="1" t="n">
        <v>45469.94876157407</v>
      </c>
      <c r="C514" s="1" t="n">
        <v>45966</v>
      </c>
      <c r="D514" t="inlineStr">
        <is>
          <t>JÄMTLANDS LÄN</t>
        </is>
      </c>
      <c r="E514" t="inlineStr">
        <is>
          <t>RAGUNDA</t>
        </is>
      </c>
      <c r="F514" t="inlineStr">
        <is>
          <t>SCA</t>
        </is>
      </c>
      <c r="G514" t="n">
        <v>10.4</v>
      </c>
      <c r="H514" t="n">
        <v>0</v>
      </c>
      <c r="I514" t="n">
        <v>0</v>
      </c>
      <c r="J514" t="n">
        <v>0</v>
      </c>
      <c r="K514" t="n">
        <v>0</v>
      </c>
      <c r="L514" t="n">
        <v>0</v>
      </c>
      <c r="M514" t="n">
        <v>0</v>
      </c>
      <c r="N514" t="n">
        <v>0</v>
      </c>
      <c r="O514" t="n">
        <v>0</v>
      </c>
      <c r="P514" t="n">
        <v>0</v>
      </c>
      <c r="Q514" t="n">
        <v>0</v>
      </c>
      <c r="R514" s="2" t="inlineStr"/>
    </row>
    <row r="515" ht="15" customHeight="1">
      <c r="A515" t="inlineStr">
        <is>
          <t>A 62106-2023</t>
        </is>
      </c>
      <c r="B515" s="1" t="n">
        <v>45266.95082175926</v>
      </c>
      <c r="C515" s="1" t="n">
        <v>45966</v>
      </c>
      <c r="D515" t="inlineStr">
        <is>
          <t>JÄMTLANDS LÄN</t>
        </is>
      </c>
      <c r="E515" t="inlineStr">
        <is>
          <t>RAGUNDA</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18781-2024</t>
        </is>
      </c>
      <c r="B516" s="1" t="n">
        <v>45426</v>
      </c>
      <c r="C516" s="1" t="n">
        <v>45966</v>
      </c>
      <c r="D516" t="inlineStr">
        <is>
          <t>JÄMTLANDS LÄN</t>
        </is>
      </c>
      <c r="E516" t="inlineStr">
        <is>
          <t>RAGUNDA</t>
        </is>
      </c>
      <c r="G516" t="n">
        <v>0.9</v>
      </c>
      <c r="H516" t="n">
        <v>0</v>
      </c>
      <c r="I516" t="n">
        <v>0</v>
      </c>
      <c r="J516" t="n">
        <v>0</v>
      </c>
      <c r="K516" t="n">
        <v>0</v>
      </c>
      <c r="L516" t="n">
        <v>0</v>
      </c>
      <c r="M516" t="n">
        <v>0</v>
      </c>
      <c r="N516" t="n">
        <v>0</v>
      </c>
      <c r="O516" t="n">
        <v>0</v>
      </c>
      <c r="P516" t="n">
        <v>0</v>
      </c>
      <c r="Q516" t="n">
        <v>0</v>
      </c>
      <c r="R516" s="2" t="inlineStr"/>
    </row>
    <row r="517" ht="15" customHeight="1">
      <c r="A517" t="inlineStr">
        <is>
          <t>A 40919-2024</t>
        </is>
      </c>
      <c r="B517" s="1" t="n">
        <v>45558.63575231482</v>
      </c>
      <c r="C517" s="1" t="n">
        <v>45966</v>
      </c>
      <c r="D517" t="inlineStr">
        <is>
          <t>JÄMTLANDS LÄN</t>
        </is>
      </c>
      <c r="E517" t="inlineStr">
        <is>
          <t>RAGUNDA</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3186-2025</t>
        </is>
      </c>
      <c r="B518" s="1" t="n">
        <v>45679.40362268518</v>
      </c>
      <c r="C518" s="1" t="n">
        <v>45966</v>
      </c>
      <c r="D518" t="inlineStr">
        <is>
          <t>JÄMTLANDS LÄN</t>
        </is>
      </c>
      <c r="E518" t="inlineStr">
        <is>
          <t>RAGUNDA</t>
        </is>
      </c>
      <c r="G518" t="n">
        <v>5.2</v>
      </c>
      <c r="H518" t="n">
        <v>0</v>
      </c>
      <c r="I518" t="n">
        <v>0</v>
      </c>
      <c r="J518" t="n">
        <v>0</v>
      </c>
      <c r="K518" t="n">
        <v>0</v>
      </c>
      <c r="L518" t="n">
        <v>0</v>
      </c>
      <c r="M518" t="n">
        <v>0</v>
      </c>
      <c r="N518" t="n">
        <v>0</v>
      </c>
      <c r="O518" t="n">
        <v>0</v>
      </c>
      <c r="P518" t="n">
        <v>0</v>
      </c>
      <c r="Q518" t="n">
        <v>0</v>
      </c>
      <c r="R518" s="2" t="inlineStr"/>
    </row>
    <row r="519" ht="15" customHeight="1">
      <c r="A519" t="inlineStr">
        <is>
          <t>A 62081-2022</t>
        </is>
      </c>
      <c r="B519" s="1" t="n">
        <v>44918</v>
      </c>
      <c r="C519" s="1" t="n">
        <v>45966</v>
      </c>
      <c r="D519" t="inlineStr">
        <is>
          <t>JÄMTLANDS LÄN</t>
        </is>
      </c>
      <c r="E519" t="inlineStr">
        <is>
          <t>RAGUNDA</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465-2023</t>
        </is>
      </c>
      <c r="B520" s="1" t="n">
        <v>44929</v>
      </c>
      <c r="C520" s="1" t="n">
        <v>45966</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26455-2023</t>
        </is>
      </c>
      <c r="B521" s="1" t="n">
        <v>45092</v>
      </c>
      <c r="C521" s="1" t="n">
        <v>45966</v>
      </c>
      <c r="D521" t="inlineStr">
        <is>
          <t>JÄMTLANDS LÄN</t>
        </is>
      </c>
      <c r="E521" t="inlineStr">
        <is>
          <t>RAGUNDA</t>
        </is>
      </c>
      <c r="G521" t="n">
        <v>3.8</v>
      </c>
      <c r="H521" t="n">
        <v>0</v>
      </c>
      <c r="I521" t="n">
        <v>0</v>
      </c>
      <c r="J521" t="n">
        <v>0</v>
      </c>
      <c r="K521" t="n">
        <v>0</v>
      </c>
      <c r="L521" t="n">
        <v>0</v>
      </c>
      <c r="M521" t="n">
        <v>0</v>
      </c>
      <c r="N521" t="n">
        <v>0</v>
      </c>
      <c r="O521" t="n">
        <v>0</v>
      </c>
      <c r="P521" t="n">
        <v>0</v>
      </c>
      <c r="Q521" t="n">
        <v>0</v>
      </c>
      <c r="R521" s="2" t="inlineStr"/>
    </row>
    <row r="522" ht="15" customHeight="1">
      <c r="A522" t="inlineStr">
        <is>
          <t>A 10639-2024</t>
        </is>
      </c>
      <c r="B522" s="1" t="n">
        <v>45367.67256944445</v>
      </c>
      <c r="C522" s="1" t="n">
        <v>45966</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2751-2024</t>
        </is>
      </c>
      <c r="B523" s="1" t="n">
        <v>45314</v>
      </c>
      <c r="C523" s="1" t="n">
        <v>45966</v>
      </c>
      <c r="D523" t="inlineStr">
        <is>
          <t>JÄMTLANDS LÄN</t>
        </is>
      </c>
      <c r="E523" t="inlineStr">
        <is>
          <t>RAGUNDA</t>
        </is>
      </c>
      <c r="G523" t="n">
        <v>1.8</v>
      </c>
      <c r="H523" t="n">
        <v>0</v>
      </c>
      <c r="I523" t="n">
        <v>0</v>
      </c>
      <c r="J523" t="n">
        <v>0</v>
      </c>
      <c r="K523" t="n">
        <v>0</v>
      </c>
      <c r="L523" t="n">
        <v>0</v>
      </c>
      <c r="M523" t="n">
        <v>0</v>
      </c>
      <c r="N523" t="n">
        <v>0</v>
      </c>
      <c r="O523" t="n">
        <v>0</v>
      </c>
      <c r="P523" t="n">
        <v>0</v>
      </c>
      <c r="Q523" t="n">
        <v>0</v>
      </c>
      <c r="R523" s="2" t="inlineStr"/>
    </row>
    <row r="524" ht="15" customHeight="1">
      <c r="A524" t="inlineStr">
        <is>
          <t>A 30826-2023</t>
        </is>
      </c>
      <c r="B524" s="1" t="n">
        <v>45112</v>
      </c>
      <c r="C524" s="1" t="n">
        <v>45966</v>
      </c>
      <c r="D524" t="inlineStr">
        <is>
          <t>JÄMTLANDS LÄN</t>
        </is>
      </c>
      <c r="E524" t="inlineStr">
        <is>
          <t>RAGUNDA</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53263-2024</t>
        </is>
      </c>
      <c r="B525" s="1" t="n">
        <v>45614.34541666666</v>
      </c>
      <c r="C525" s="1" t="n">
        <v>45966</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36317-2024</t>
        </is>
      </c>
      <c r="B526" s="1" t="n">
        <v>45534.63537037037</v>
      </c>
      <c r="C526" s="1" t="n">
        <v>45966</v>
      </c>
      <c r="D526" t="inlineStr">
        <is>
          <t>JÄMTLANDS LÄN</t>
        </is>
      </c>
      <c r="E526" t="inlineStr">
        <is>
          <t>RAGUNDA</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18614-2024</t>
        </is>
      </c>
      <c r="B527" s="1" t="n">
        <v>45425.96263888889</v>
      </c>
      <c r="C527" s="1" t="n">
        <v>45966</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26645-2024</t>
        </is>
      </c>
      <c r="B528" s="1" t="n">
        <v>45469.94667824074</v>
      </c>
      <c r="C528" s="1" t="n">
        <v>45966</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893-2025</t>
        </is>
      </c>
      <c r="B529" s="1" t="n">
        <v>45665.65684027778</v>
      </c>
      <c r="C529" s="1" t="n">
        <v>45966</v>
      </c>
      <c r="D529" t="inlineStr">
        <is>
          <t>JÄMTLANDS LÄN</t>
        </is>
      </c>
      <c r="E529" t="inlineStr">
        <is>
          <t>RAGUNDA</t>
        </is>
      </c>
      <c r="F529" t="inlineStr">
        <is>
          <t>SCA</t>
        </is>
      </c>
      <c r="G529" t="n">
        <v>45.1</v>
      </c>
      <c r="H529" t="n">
        <v>0</v>
      </c>
      <c r="I529" t="n">
        <v>0</v>
      </c>
      <c r="J529" t="n">
        <v>0</v>
      </c>
      <c r="K529" t="n">
        <v>0</v>
      </c>
      <c r="L529" t="n">
        <v>0</v>
      </c>
      <c r="M529" t="n">
        <v>0</v>
      </c>
      <c r="N529" t="n">
        <v>0</v>
      </c>
      <c r="O529" t="n">
        <v>0</v>
      </c>
      <c r="P529" t="n">
        <v>0</v>
      </c>
      <c r="Q529" t="n">
        <v>0</v>
      </c>
      <c r="R529" s="2" t="inlineStr"/>
    </row>
    <row r="530" ht="15" customHeight="1">
      <c r="A530" t="inlineStr">
        <is>
          <t>A 58537-2022</t>
        </is>
      </c>
      <c r="B530" s="1" t="n">
        <v>44894</v>
      </c>
      <c r="C530" s="1" t="n">
        <v>45966</v>
      </c>
      <c r="D530" t="inlineStr">
        <is>
          <t>JÄMTLANDS LÄN</t>
        </is>
      </c>
      <c r="E530" t="inlineStr">
        <is>
          <t>RAGUNDA</t>
        </is>
      </c>
      <c r="G530" t="n">
        <v>1.2</v>
      </c>
      <c r="H530" t="n">
        <v>0</v>
      </c>
      <c r="I530" t="n">
        <v>0</v>
      </c>
      <c r="J530" t="n">
        <v>0</v>
      </c>
      <c r="K530" t="n">
        <v>0</v>
      </c>
      <c r="L530" t="n">
        <v>0</v>
      </c>
      <c r="M530" t="n">
        <v>0</v>
      </c>
      <c r="N530" t="n">
        <v>0</v>
      </c>
      <c r="O530" t="n">
        <v>0</v>
      </c>
      <c r="P530" t="n">
        <v>0</v>
      </c>
      <c r="Q530" t="n">
        <v>0</v>
      </c>
      <c r="R530" s="2" t="inlineStr"/>
    </row>
    <row r="531" ht="15" customHeight="1">
      <c r="A531" t="inlineStr">
        <is>
          <t>A 31135-2023</t>
        </is>
      </c>
      <c r="B531" s="1" t="n">
        <v>45103</v>
      </c>
      <c r="C531" s="1" t="n">
        <v>45966</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8787-2022</t>
        </is>
      </c>
      <c r="B532" s="1" t="n">
        <v>44614</v>
      </c>
      <c r="C532" s="1" t="n">
        <v>45966</v>
      </c>
      <c r="D532" t="inlineStr">
        <is>
          <t>JÄMTLANDS LÄN</t>
        </is>
      </c>
      <c r="E532" t="inlineStr">
        <is>
          <t>RAGUNDA</t>
        </is>
      </c>
      <c r="G532" t="n">
        <v>6.4</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45966</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50431-2024</t>
        </is>
      </c>
      <c r="B534" s="1" t="n">
        <v>45601.40686342592</v>
      </c>
      <c r="C534" s="1" t="n">
        <v>45966</v>
      </c>
      <c r="D534" t="inlineStr">
        <is>
          <t>JÄMTLANDS LÄN</t>
        </is>
      </c>
      <c r="E534" t="inlineStr">
        <is>
          <t>RAGUNDA</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48742-2025</t>
        </is>
      </c>
      <c r="B535" s="1" t="n">
        <v>45936.67810185185</v>
      </c>
      <c r="C535" s="1" t="n">
        <v>45966</v>
      </c>
      <c r="D535" t="inlineStr">
        <is>
          <t>JÄMTLANDS LÄN</t>
        </is>
      </c>
      <c r="E535" t="inlineStr">
        <is>
          <t>RAGUNDA</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48748-2025</t>
        </is>
      </c>
      <c r="B536" s="1" t="n">
        <v>45936.67912037037</v>
      </c>
      <c r="C536" s="1" t="n">
        <v>45966</v>
      </c>
      <c r="D536" t="inlineStr">
        <is>
          <t>JÄMTLANDS LÄN</t>
        </is>
      </c>
      <c r="E536" t="inlineStr">
        <is>
          <t>RAGUNDA</t>
        </is>
      </c>
      <c r="F536" t="inlineStr">
        <is>
          <t>SCA</t>
        </is>
      </c>
      <c r="G536" t="n">
        <v>11.1</v>
      </c>
      <c r="H536" t="n">
        <v>0</v>
      </c>
      <c r="I536" t="n">
        <v>0</v>
      </c>
      <c r="J536" t="n">
        <v>0</v>
      </c>
      <c r="K536" t="n">
        <v>0</v>
      </c>
      <c r="L536" t="n">
        <v>0</v>
      </c>
      <c r="M536" t="n">
        <v>0</v>
      </c>
      <c r="N536" t="n">
        <v>0</v>
      </c>
      <c r="O536" t="n">
        <v>0</v>
      </c>
      <c r="P536" t="n">
        <v>0</v>
      </c>
      <c r="Q536" t="n">
        <v>0</v>
      </c>
      <c r="R536" s="2" t="inlineStr"/>
    </row>
    <row r="537" ht="15" customHeight="1">
      <c r="A537" t="inlineStr">
        <is>
          <t>A 48528-2025</t>
        </is>
      </c>
      <c r="B537" s="1" t="n">
        <v>45936.40758101852</v>
      </c>
      <c r="C537" s="1" t="n">
        <v>45966</v>
      </c>
      <c r="D537" t="inlineStr">
        <is>
          <t>JÄMTLANDS LÄN</t>
        </is>
      </c>
      <c r="E537" t="inlineStr">
        <is>
          <t>RAGUNDA</t>
        </is>
      </c>
      <c r="F537" t="inlineStr">
        <is>
          <t>SCA</t>
        </is>
      </c>
      <c r="G537" t="n">
        <v>6.8</v>
      </c>
      <c r="H537" t="n">
        <v>0</v>
      </c>
      <c r="I537" t="n">
        <v>0</v>
      </c>
      <c r="J537" t="n">
        <v>0</v>
      </c>
      <c r="K537" t="n">
        <v>0</v>
      </c>
      <c r="L537" t="n">
        <v>0</v>
      </c>
      <c r="M537" t="n">
        <v>0</v>
      </c>
      <c r="N537" t="n">
        <v>0</v>
      </c>
      <c r="O537" t="n">
        <v>0</v>
      </c>
      <c r="P537" t="n">
        <v>0</v>
      </c>
      <c r="Q537" t="n">
        <v>0</v>
      </c>
      <c r="R537" s="2" t="inlineStr"/>
    </row>
    <row r="538" ht="15" customHeight="1">
      <c r="A538" t="inlineStr">
        <is>
          <t>A 60936-2024</t>
        </is>
      </c>
      <c r="B538" s="1" t="n">
        <v>45645.36743055555</v>
      </c>
      <c r="C538" s="1" t="n">
        <v>45966</v>
      </c>
      <c r="D538" t="inlineStr">
        <is>
          <t>JÄMTLANDS LÄN</t>
        </is>
      </c>
      <c r="E538" t="inlineStr">
        <is>
          <t>RAGUNDA</t>
        </is>
      </c>
      <c r="G538" t="n">
        <v>1.2</v>
      </c>
      <c r="H538" t="n">
        <v>0</v>
      </c>
      <c r="I538" t="n">
        <v>0</v>
      </c>
      <c r="J538" t="n">
        <v>0</v>
      </c>
      <c r="K538" t="n">
        <v>0</v>
      </c>
      <c r="L538" t="n">
        <v>0</v>
      </c>
      <c r="M538" t="n">
        <v>0</v>
      </c>
      <c r="N538" t="n">
        <v>0</v>
      </c>
      <c r="O538" t="n">
        <v>0</v>
      </c>
      <c r="P538" t="n">
        <v>0</v>
      </c>
      <c r="Q538" t="n">
        <v>0</v>
      </c>
      <c r="R538" s="2" t="inlineStr"/>
    </row>
    <row r="539" ht="15" customHeight="1">
      <c r="A539" t="inlineStr">
        <is>
          <t>A 46974-2025</t>
        </is>
      </c>
      <c r="B539" s="1" t="n">
        <v>45929.51104166666</v>
      </c>
      <c r="C539" s="1" t="n">
        <v>45966</v>
      </c>
      <c r="D539" t="inlineStr">
        <is>
          <t>JÄMTLANDS LÄN</t>
        </is>
      </c>
      <c r="E539" t="inlineStr">
        <is>
          <t>RAGUNDA</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35153-2024</t>
        </is>
      </c>
      <c r="B540" s="1" t="n">
        <v>45530</v>
      </c>
      <c r="C540" s="1" t="n">
        <v>45966</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4212-2024</t>
        </is>
      </c>
      <c r="B541" s="1" t="n">
        <v>45324</v>
      </c>
      <c r="C541" s="1" t="n">
        <v>45966</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43132-2023</t>
        </is>
      </c>
      <c r="B542" s="1" t="n">
        <v>45182</v>
      </c>
      <c r="C542" s="1" t="n">
        <v>45966</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39947-2025</t>
        </is>
      </c>
      <c r="B543" s="1" t="n">
        <v>45892.34438657408</v>
      </c>
      <c r="C543" s="1" t="n">
        <v>45966</v>
      </c>
      <c r="D543" t="inlineStr">
        <is>
          <t>JÄMTLANDS LÄN</t>
        </is>
      </c>
      <c r="E543" t="inlineStr">
        <is>
          <t>RAGUNDA</t>
        </is>
      </c>
      <c r="G543" t="n">
        <v>6.6</v>
      </c>
      <c r="H543" t="n">
        <v>0</v>
      </c>
      <c r="I543" t="n">
        <v>0</v>
      </c>
      <c r="J543" t="n">
        <v>0</v>
      </c>
      <c r="K543" t="n">
        <v>0</v>
      </c>
      <c r="L543" t="n">
        <v>0</v>
      </c>
      <c r="M543" t="n">
        <v>0</v>
      </c>
      <c r="N543" t="n">
        <v>0</v>
      </c>
      <c r="O543" t="n">
        <v>0</v>
      </c>
      <c r="P543" t="n">
        <v>0</v>
      </c>
      <c r="Q543" t="n">
        <v>0</v>
      </c>
      <c r="R543" s="2" t="inlineStr"/>
    </row>
    <row r="544" ht="15" customHeight="1">
      <c r="A544" t="inlineStr">
        <is>
          <t>A 39951-2025</t>
        </is>
      </c>
      <c r="B544" s="1" t="n">
        <v>45892.38657407407</v>
      </c>
      <c r="C544" s="1" t="n">
        <v>45966</v>
      </c>
      <c r="D544" t="inlineStr">
        <is>
          <t>JÄMTLANDS LÄN</t>
        </is>
      </c>
      <c r="E544" t="inlineStr">
        <is>
          <t>RAGUNDA</t>
        </is>
      </c>
      <c r="G544" t="n">
        <v>2.3</v>
      </c>
      <c r="H544" t="n">
        <v>0</v>
      </c>
      <c r="I544" t="n">
        <v>0</v>
      </c>
      <c r="J544" t="n">
        <v>0</v>
      </c>
      <c r="K544" t="n">
        <v>0</v>
      </c>
      <c r="L544" t="n">
        <v>0</v>
      </c>
      <c r="M544" t="n">
        <v>0</v>
      </c>
      <c r="N544" t="n">
        <v>0</v>
      </c>
      <c r="O544" t="n">
        <v>0</v>
      </c>
      <c r="P544" t="n">
        <v>0</v>
      </c>
      <c r="Q544" t="n">
        <v>0</v>
      </c>
      <c r="R544" s="2" t="inlineStr"/>
    </row>
    <row r="545" ht="15" customHeight="1">
      <c r="A545" t="inlineStr">
        <is>
          <t>A 48746-2025</t>
        </is>
      </c>
      <c r="B545" s="1" t="n">
        <v>45936.67878472222</v>
      </c>
      <c r="C545" s="1" t="n">
        <v>45966</v>
      </c>
      <c r="D545" t="inlineStr">
        <is>
          <t>JÄMTLANDS LÄN</t>
        </is>
      </c>
      <c r="E545" t="inlineStr">
        <is>
          <t>RAGUNDA</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9262-2025</t>
        </is>
      </c>
      <c r="B546" s="1" t="n">
        <v>45714.60649305556</v>
      </c>
      <c r="C546" s="1" t="n">
        <v>45966</v>
      </c>
      <c r="D546" t="inlineStr">
        <is>
          <t>JÄMTLANDS LÄN</t>
        </is>
      </c>
      <c r="E546" t="inlineStr">
        <is>
          <t>RAGUNDA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39948-2025</t>
        </is>
      </c>
      <c r="B547" s="1" t="n">
        <v>45892.38591435185</v>
      </c>
      <c r="C547" s="1" t="n">
        <v>45966</v>
      </c>
      <c r="D547" t="inlineStr">
        <is>
          <t>JÄMTLANDS LÄN</t>
        </is>
      </c>
      <c r="E547" t="inlineStr">
        <is>
          <t>RAGUNDA</t>
        </is>
      </c>
      <c r="G547" t="n">
        <v>5</v>
      </c>
      <c r="H547" t="n">
        <v>0</v>
      </c>
      <c r="I547" t="n">
        <v>0</v>
      </c>
      <c r="J547" t="n">
        <v>0</v>
      </c>
      <c r="K547" t="n">
        <v>0</v>
      </c>
      <c r="L547" t="n">
        <v>0</v>
      </c>
      <c r="M547" t="n">
        <v>0</v>
      </c>
      <c r="N547" t="n">
        <v>0</v>
      </c>
      <c r="O547" t="n">
        <v>0</v>
      </c>
      <c r="P547" t="n">
        <v>0</v>
      </c>
      <c r="Q547" t="n">
        <v>0</v>
      </c>
      <c r="R547" s="2" t="inlineStr"/>
    </row>
    <row r="548" ht="15" customHeight="1">
      <c r="A548" t="inlineStr">
        <is>
          <t>A 39946-2025</t>
        </is>
      </c>
      <c r="B548" s="1" t="n">
        <v>45892.34423611111</v>
      </c>
      <c r="C548" s="1" t="n">
        <v>45966</v>
      </c>
      <c r="D548" t="inlineStr">
        <is>
          <t>JÄMTLANDS LÄN</t>
        </is>
      </c>
      <c r="E548" t="inlineStr">
        <is>
          <t>RAGUNDA</t>
        </is>
      </c>
      <c r="G548" t="n">
        <v>4.7</v>
      </c>
      <c r="H548" t="n">
        <v>0</v>
      </c>
      <c r="I548" t="n">
        <v>0</v>
      </c>
      <c r="J548" t="n">
        <v>0</v>
      </c>
      <c r="K548" t="n">
        <v>0</v>
      </c>
      <c r="L548" t="n">
        <v>0</v>
      </c>
      <c r="M548" t="n">
        <v>0</v>
      </c>
      <c r="N548" t="n">
        <v>0</v>
      </c>
      <c r="O548" t="n">
        <v>0</v>
      </c>
      <c r="P548" t="n">
        <v>0</v>
      </c>
      <c r="Q548" t="n">
        <v>0</v>
      </c>
      <c r="R548" s="2" t="inlineStr"/>
    </row>
    <row r="549" ht="15" customHeight="1">
      <c r="A549" t="inlineStr">
        <is>
          <t>A 39950-2025</t>
        </is>
      </c>
      <c r="B549" s="1" t="n">
        <v>45892.38641203703</v>
      </c>
      <c r="C549" s="1" t="n">
        <v>45966</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39955-2025</t>
        </is>
      </c>
      <c r="B550" s="1" t="n">
        <v>45892.44824074074</v>
      </c>
      <c r="C550" s="1" t="n">
        <v>45966</v>
      </c>
      <c r="D550" t="inlineStr">
        <is>
          <t>JÄMTLANDS LÄN</t>
        </is>
      </c>
      <c r="E550" t="inlineStr">
        <is>
          <t>RAGUNDA</t>
        </is>
      </c>
      <c r="G550" t="n">
        <v>1.4</v>
      </c>
      <c r="H550" t="n">
        <v>0</v>
      </c>
      <c r="I550" t="n">
        <v>0</v>
      </c>
      <c r="J550" t="n">
        <v>0</v>
      </c>
      <c r="K550" t="n">
        <v>0</v>
      </c>
      <c r="L550" t="n">
        <v>0</v>
      </c>
      <c r="M550" t="n">
        <v>0</v>
      </c>
      <c r="N550" t="n">
        <v>0</v>
      </c>
      <c r="O550" t="n">
        <v>0</v>
      </c>
      <c r="P550" t="n">
        <v>0</v>
      </c>
      <c r="Q550" t="n">
        <v>0</v>
      </c>
      <c r="R550" s="2" t="inlineStr"/>
    </row>
    <row r="551" ht="15" customHeight="1">
      <c r="A551" t="inlineStr">
        <is>
          <t>A 39956-2025</t>
        </is>
      </c>
      <c r="B551" s="1" t="n">
        <v>45892.44840277778</v>
      </c>
      <c r="C551" s="1" t="n">
        <v>45966</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39949-2025</t>
        </is>
      </c>
      <c r="B552" s="1" t="n">
        <v>45892.38619212963</v>
      </c>
      <c r="C552" s="1" t="n">
        <v>45966</v>
      </c>
      <c r="D552" t="inlineStr">
        <is>
          <t>JÄMTLANDS LÄN</t>
        </is>
      </c>
      <c r="E552" t="inlineStr">
        <is>
          <t>RAGUNDA</t>
        </is>
      </c>
      <c r="G552" t="n">
        <v>1.4</v>
      </c>
      <c r="H552" t="n">
        <v>0</v>
      </c>
      <c r="I552" t="n">
        <v>0</v>
      </c>
      <c r="J552" t="n">
        <v>0</v>
      </c>
      <c r="K552" t="n">
        <v>0</v>
      </c>
      <c r="L552" t="n">
        <v>0</v>
      </c>
      <c r="M552" t="n">
        <v>0</v>
      </c>
      <c r="N552" t="n">
        <v>0</v>
      </c>
      <c r="O552" t="n">
        <v>0</v>
      </c>
      <c r="P552" t="n">
        <v>0</v>
      </c>
      <c r="Q552" t="n">
        <v>0</v>
      </c>
      <c r="R552" s="2" t="inlineStr"/>
    </row>
    <row r="553" ht="15" customHeight="1">
      <c r="A553" t="inlineStr">
        <is>
          <t>A 56284-2023</t>
        </is>
      </c>
      <c r="B553" s="1" t="n">
        <v>45241.95724537037</v>
      </c>
      <c r="C553" s="1" t="n">
        <v>45966</v>
      </c>
      <c r="D553" t="inlineStr">
        <is>
          <t>JÄMTLANDS LÄN</t>
        </is>
      </c>
      <c r="E553" t="inlineStr">
        <is>
          <t>RAGUNDA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49092-2025</t>
        </is>
      </c>
      <c r="B554" s="1" t="n">
        <v>45937.67792824074</v>
      </c>
      <c r="C554" s="1" t="n">
        <v>45966</v>
      </c>
      <c r="D554" t="inlineStr">
        <is>
          <t>JÄMTLANDS LÄN</t>
        </is>
      </c>
      <c r="E554" t="inlineStr">
        <is>
          <t>RAGUNDA</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60012-2023</t>
        </is>
      </c>
      <c r="B555" s="1" t="n">
        <v>45257</v>
      </c>
      <c r="C555" s="1" t="n">
        <v>45966</v>
      </c>
      <c r="D555" t="inlineStr">
        <is>
          <t>JÄMTLANDS LÄN</t>
        </is>
      </c>
      <c r="E555" t="inlineStr">
        <is>
          <t>RAGUNDA</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53676-2022</t>
        </is>
      </c>
      <c r="B556" s="1" t="n">
        <v>44879</v>
      </c>
      <c r="C556" s="1" t="n">
        <v>45966</v>
      </c>
      <c r="D556" t="inlineStr">
        <is>
          <t>JÄMTLANDS LÄN</t>
        </is>
      </c>
      <c r="E556" t="inlineStr">
        <is>
          <t>RAGUNDA</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49059-2025</t>
        </is>
      </c>
      <c r="B557" s="1" t="n">
        <v>45937.64123842592</v>
      </c>
      <c r="C557" s="1" t="n">
        <v>45966</v>
      </c>
      <c r="D557" t="inlineStr">
        <is>
          <t>JÄMTLANDS LÄN</t>
        </is>
      </c>
      <c r="E557" t="inlineStr">
        <is>
          <t>RAGUNDA</t>
        </is>
      </c>
      <c r="G557" t="n">
        <v>2.1</v>
      </c>
      <c r="H557" t="n">
        <v>0</v>
      </c>
      <c r="I557" t="n">
        <v>0</v>
      </c>
      <c r="J557" t="n">
        <v>0</v>
      </c>
      <c r="K557" t="n">
        <v>0</v>
      </c>
      <c r="L557" t="n">
        <v>0</v>
      </c>
      <c r="M557" t="n">
        <v>0</v>
      </c>
      <c r="N557" t="n">
        <v>0</v>
      </c>
      <c r="O557" t="n">
        <v>0</v>
      </c>
      <c r="P557" t="n">
        <v>0</v>
      </c>
      <c r="Q557" t="n">
        <v>0</v>
      </c>
      <c r="R557" s="2" t="inlineStr"/>
    </row>
    <row r="558" ht="15" customHeight="1">
      <c r="A558" t="inlineStr">
        <is>
          <t>A 61045-2022</t>
        </is>
      </c>
      <c r="B558" s="1" t="n">
        <v>44914</v>
      </c>
      <c r="C558" s="1" t="n">
        <v>45966</v>
      </c>
      <c r="D558" t="inlineStr">
        <is>
          <t>JÄMTLANDS LÄN</t>
        </is>
      </c>
      <c r="E558" t="inlineStr">
        <is>
          <t>RAGUNDA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56504-2024</t>
        </is>
      </c>
      <c r="B559" s="1" t="n">
        <v>45625.51068287037</v>
      </c>
      <c r="C559" s="1" t="n">
        <v>45966</v>
      </c>
      <c r="D559" t="inlineStr">
        <is>
          <t>JÄMTLANDS LÄN</t>
        </is>
      </c>
      <c r="E559" t="inlineStr">
        <is>
          <t>RAGUNDA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61197-2023</t>
        </is>
      </c>
      <c r="B560" s="1" t="n">
        <v>45260</v>
      </c>
      <c r="C560" s="1" t="n">
        <v>45966</v>
      </c>
      <c r="D560" t="inlineStr">
        <is>
          <t>JÄMTLANDS LÄN</t>
        </is>
      </c>
      <c r="E560" t="inlineStr">
        <is>
          <t>RAGUNDA</t>
        </is>
      </c>
      <c r="G560" t="n">
        <v>2.5</v>
      </c>
      <c r="H560" t="n">
        <v>0</v>
      </c>
      <c r="I560" t="n">
        <v>0</v>
      </c>
      <c r="J560" t="n">
        <v>0</v>
      </c>
      <c r="K560" t="n">
        <v>0</v>
      </c>
      <c r="L560" t="n">
        <v>0</v>
      </c>
      <c r="M560" t="n">
        <v>0</v>
      </c>
      <c r="N560" t="n">
        <v>0</v>
      </c>
      <c r="O560" t="n">
        <v>0</v>
      </c>
      <c r="P560" t="n">
        <v>0</v>
      </c>
      <c r="Q560" t="n">
        <v>0</v>
      </c>
      <c r="R560" s="2" t="inlineStr"/>
    </row>
    <row r="561" ht="15" customHeight="1">
      <c r="A561" t="inlineStr">
        <is>
          <t>A 13263-2025</t>
        </is>
      </c>
      <c r="B561" s="1" t="n">
        <v>45735.53177083333</v>
      </c>
      <c r="C561" s="1" t="n">
        <v>45966</v>
      </c>
      <c r="D561" t="inlineStr">
        <is>
          <t>JÄMTLANDS LÄN</t>
        </is>
      </c>
      <c r="E561" t="inlineStr">
        <is>
          <t>RAGUNDA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36246-2024</t>
        </is>
      </c>
      <c r="B562" s="1" t="n">
        <v>45534</v>
      </c>
      <c r="C562" s="1" t="n">
        <v>45966</v>
      </c>
      <c r="D562" t="inlineStr">
        <is>
          <t>JÄMTLANDS LÄN</t>
        </is>
      </c>
      <c r="E562" t="inlineStr">
        <is>
          <t>RAGUNDA</t>
        </is>
      </c>
      <c r="G562" t="n">
        <v>1.6</v>
      </c>
      <c r="H562" t="n">
        <v>0</v>
      </c>
      <c r="I562" t="n">
        <v>0</v>
      </c>
      <c r="J562" t="n">
        <v>0</v>
      </c>
      <c r="K562" t="n">
        <v>0</v>
      </c>
      <c r="L562" t="n">
        <v>0</v>
      </c>
      <c r="M562" t="n">
        <v>0</v>
      </c>
      <c r="N562" t="n">
        <v>0</v>
      </c>
      <c r="O562" t="n">
        <v>0</v>
      </c>
      <c r="P562" t="n">
        <v>0</v>
      </c>
      <c r="Q562" t="n">
        <v>0</v>
      </c>
      <c r="R562" s="2" t="inlineStr"/>
    </row>
    <row r="563" ht="15" customHeight="1">
      <c r="A563" t="inlineStr">
        <is>
          <t>A 48066-2022</t>
        </is>
      </c>
      <c r="B563" s="1" t="n">
        <v>44855</v>
      </c>
      <c r="C563" s="1" t="n">
        <v>45966</v>
      </c>
      <c r="D563" t="inlineStr">
        <is>
          <t>JÄMTLANDS LÄN</t>
        </is>
      </c>
      <c r="E563" t="inlineStr">
        <is>
          <t>RAGUNDA</t>
        </is>
      </c>
      <c r="F563" t="inlineStr">
        <is>
          <t>SCA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64415-2023</t>
        </is>
      </c>
      <c r="B564" s="1" t="n">
        <v>45280</v>
      </c>
      <c r="C564" s="1" t="n">
        <v>45966</v>
      </c>
      <c r="D564" t="inlineStr">
        <is>
          <t>JÄMTLANDS LÄN</t>
        </is>
      </c>
      <c r="E564" t="inlineStr">
        <is>
          <t>RAGUNDA</t>
        </is>
      </c>
      <c r="G564" t="n">
        <v>5.1</v>
      </c>
      <c r="H564" t="n">
        <v>0</v>
      </c>
      <c r="I564" t="n">
        <v>0</v>
      </c>
      <c r="J564" t="n">
        <v>0</v>
      </c>
      <c r="K564" t="n">
        <v>0</v>
      </c>
      <c r="L564" t="n">
        <v>0</v>
      </c>
      <c r="M564" t="n">
        <v>0</v>
      </c>
      <c r="N564" t="n">
        <v>0</v>
      </c>
      <c r="O564" t="n">
        <v>0</v>
      </c>
      <c r="P564" t="n">
        <v>0</v>
      </c>
      <c r="Q564" t="n">
        <v>0</v>
      </c>
      <c r="R564" s="2" t="inlineStr"/>
    </row>
    <row r="565" ht="15" customHeight="1">
      <c r="A565" t="inlineStr">
        <is>
          <t>A 24196-2024</t>
        </is>
      </c>
      <c r="B565" s="1" t="n">
        <v>45456.96569444444</v>
      </c>
      <c r="C565" s="1" t="n">
        <v>45966</v>
      </c>
      <c r="D565" t="inlineStr">
        <is>
          <t>JÄMTLANDS LÄN</t>
        </is>
      </c>
      <c r="E565" t="inlineStr">
        <is>
          <t>RAGUNDA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49238-2025</t>
        </is>
      </c>
      <c r="B566" s="1" t="n">
        <v>45938.48231481481</v>
      </c>
      <c r="C566" s="1" t="n">
        <v>45966</v>
      </c>
      <c r="D566" t="inlineStr">
        <is>
          <t>JÄMTLANDS LÄN</t>
        </is>
      </c>
      <c r="E566" t="inlineStr">
        <is>
          <t>RAGUNDA</t>
        </is>
      </c>
      <c r="G566" t="n">
        <v>4.7</v>
      </c>
      <c r="H566" t="n">
        <v>0</v>
      </c>
      <c r="I566" t="n">
        <v>0</v>
      </c>
      <c r="J566" t="n">
        <v>0</v>
      </c>
      <c r="K566" t="n">
        <v>0</v>
      </c>
      <c r="L566" t="n">
        <v>0</v>
      </c>
      <c r="M566" t="n">
        <v>0</v>
      </c>
      <c r="N566" t="n">
        <v>0</v>
      </c>
      <c r="O566" t="n">
        <v>0</v>
      </c>
      <c r="P566" t="n">
        <v>0</v>
      </c>
      <c r="Q566" t="n">
        <v>0</v>
      </c>
      <c r="R566" s="2" t="inlineStr"/>
    </row>
    <row r="567" ht="15" customHeight="1">
      <c r="A567" t="inlineStr">
        <is>
          <t>A 49290-2025</t>
        </is>
      </c>
      <c r="B567" s="1" t="n">
        <v>45938.53168981482</v>
      </c>
      <c r="C567" s="1" t="n">
        <v>45966</v>
      </c>
      <c r="D567" t="inlineStr">
        <is>
          <t>JÄMTLANDS LÄN</t>
        </is>
      </c>
      <c r="E567" t="inlineStr">
        <is>
          <t>RAGUNDA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60225-2022</t>
        </is>
      </c>
      <c r="B568" s="1" t="n">
        <v>44903</v>
      </c>
      <c r="C568" s="1" t="n">
        <v>45966</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15864-2024</t>
        </is>
      </c>
      <c r="B569" s="1" t="n">
        <v>45404.99792824074</v>
      </c>
      <c r="C569" s="1" t="n">
        <v>45966</v>
      </c>
      <c r="D569" t="inlineStr">
        <is>
          <t>JÄMTLANDS LÄN</t>
        </is>
      </c>
      <c r="E569" t="inlineStr">
        <is>
          <t>RAGUNDA</t>
        </is>
      </c>
      <c r="F569" t="inlineStr">
        <is>
          <t>SCA</t>
        </is>
      </c>
      <c r="G569" t="n">
        <v>1.1</v>
      </c>
      <c r="H569" t="n">
        <v>0</v>
      </c>
      <c r="I569" t="n">
        <v>0</v>
      </c>
      <c r="J569" t="n">
        <v>0</v>
      </c>
      <c r="K569" t="n">
        <v>0</v>
      </c>
      <c r="L569" t="n">
        <v>0</v>
      </c>
      <c r="M569" t="n">
        <v>0</v>
      </c>
      <c r="N569" t="n">
        <v>0</v>
      </c>
      <c r="O569" t="n">
        <v>0</v>
      </c>
      <c r="P569" t="n">
        <v>0</v>
      </c>
      <c r="Q569" t="n">
        <v>0</v>
      </c>
      <c r="R569" s="2" t="inlineStr"/>
      <c r="U569">
        <f>HYPERLINK("https://klasma.github.io/Logging_2303/knärot/A 15864-2024 karta knärot.png", "A 15864-2024")</f>
        <v/>
      </c>
      <c r="V569">
        <f>HYPERLINK("https://klasma.github.io/Logging_2303/klagomål/A 15864-2024 FSC-klagomål.docx", "A 15864-2024")</f>
        <v/>
      </c>
      <c r="W569">
        <f>HYPERLINK("https://klasma.github.io/Logging_2303/klagomålsmail/A 15864-2024 FSC-klagomål mail.docx", "A 15864-2024")</f>
        <v/>
      </c>
      <c r="X569">
        <f>HYPERLINK("https://klasma.github.io/Logging_2303/tillsyn/A 15864-2024 tillsynsbegäran.docx", "A 15864-2024")</f>
        <v/>
      </c>
      <c r="Y569">
        <f>HYPERLINK("https://klasma.github.io/Logging_2303/tillsynsmail/A 15864-2024 tillsynsbegäran mail.docx", "A 15864-2024")</f>
        <v/>
      </c>
    </row>
    <row r="570" ht="15" customHeight="1">
      <c r="A570" t="inlineStr">
        <is>
          <t>A 934-2023</t>
        </is>
      </c>
      <c r="B570" s="1" t="n">
        <v>44932.93927083333</v>
      </c>
      <c r="C570" s="1" t="n">
        <v>45966</v>
      </c>
      <c r="D570" t="inlineStr">
        <is>
          <t>JÄMTLANDS LÄN</t>
        </is>
      </c>
      <c r="E570" t="inlineStr">
        <is>
          <t>RAGUNDA</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36106-2022</t>
        </is>
      </c>
      <c r="B571" s="1" t="n">
        <v>44802.94811342593</v>
      </c>
      <c r="C571" s="1" t="n">
        <v>45966</v>
      </c>
      <c r="D571" t="inlineStr">
        <is>
          <t>JÄMTLANDS LÄN</t>
        </is>
      </c>
      <c r="E571" t="inlineStr">
        <is>
          <t>RAGUNDA</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57839-2022</t>
        </is>
      </c>
      <c r="B572" s="1" t="n">
        <v>44897</v>
      </c>
      <c r="C572" s="1" t="n">
        <v>45966</v>
      </c>
      <c r="D572" t="inlineStr">
        <is>
          <t>JÄMTLANDS LÄN</t>
        </is>
      </c>
      <c r="E572" t="inlineStr">
        <is>
          <t>RAGUNDA</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57749-2024</t>
        </is>
      </c>
      <c r="B573" s="1" t="n">
        <v>45630.7862037037</v>
      </c>
      <c r="C573" s="1" t="n">
        <v>45966</v>
      </c>
      <c r="D573" t="inlineStr">
        <is>
          <t>JÄMTLANDS LÄN</t>
        </is>
      </c>
      <c r="E573" t="inlineStr">
        <is>
          <t>RAGUNDA</t>
        </is>
      </c>
      <c r="G573" t="n">
        <v>1.3</v>
      </c>
      <c r="H573" t="n">
        <v>0</v>
      </c>
      <c r="I573" t="n">
        <v>0</v>
      </c>
      <c r="J573" t="n">
        <v>0</v>
      </c>
      <c r="K573" t="n">
        <v>0</v>
      </c>
      <c r="L573" t="n">
        <v>0</v>
      </c>
      <c r="M573" t="n">
        <v>0</v>
      </c>
      <c r="N573" t="n">
        <v>0</v>
      </c>
      <c r="O573" t="n">
        <v>0</v>
      </c>
      <c r="P573" t="n">
        <v>0</v>
      </c>
      <c r="Q573" t="n">
        <v>0</v>
      </c>
      <c r="R573" s="2" t="inlineStr"/>
    </row>
    <row r="574" ht="15" customHeight="1">
      <c r="A574" t="inlineStr">
        <is>
          <t>A 41693-2023</t>
        </is>
      </c>
      <c r="B574" s="1" t="n">
        <v>45176</v>
      </c>
      <c r="C574" s="1" t="n">
        <v>45966</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24280-2021</t>
        </is>
      </c>
      <c r="B575" s="1" t="n">
        <v>44336</v>
      </c>
      <c r="C575" s="1" t="n">
        <v>45966</v>
      </c>
      <c r="D575" t="inlineStr">
        <is>
          <t>JÄMTLANDS LÄN</t>
        </is>
      </c>
      <c r="E575" t="inlineStr">
        <is>
          <t>RAGUNDA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8886-2024</t>
        </is>
      </c>
      <c r="B576" s="1" t="n">
        <v>45357.05300925926</v>
      </c>
      <c r="C576" s="1" t="n">
        <v>45966</v>
      </c>
      <c r="D576" t="inlineStr">
        <is>
          <t>JÄMTLANDS LÄN</t>
        </is>
      </c>
      <c r="E576" t="inlineStr">
        <is>
          <t>RAGUNDA</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40586-2025</t>
        </is>
      </c>
      <c r="B577" s="1" t="n">
        <v>45896.52478009259</v>
      </c>
      <c r="C577" s="1" t="n">
        <v>45966</v>
      </c>
      <c r="D577" t="inlineStr">
        <is>
          <t>JÄMTLANDS LÄN</t>
        </is>
      </c>
      <c r="E577" t="inlineStr">
        <is>
          <t>RAGUNDA</t>
        </is>
      </c>
      <c r="G577" t="n">
        <v>1.2</v>
      </c>
      <c r="H577" t="n">
        <v>0</v>
      </c>
      <c r="I577" t="n">
        <v>0</v>
      </c>
      <c r="J577" t="n">
        <v>0</v>
      </c>
      <c r="K577" t="n">
        <v>0</v>
      </c>
      <c r="L577" t="n">
        <v>0</v>
      </c>
      <c r="M577" t="n">
        <v>0</v>
      </c>
      <c r="N577" t="n">
        <v>0</v>
      </c>
      <c r="O577" t="n">
        <v>0</v>
      </c>
      <c r="P577" t="n">
        <v>0</v>
      </c>
      <c r="Q577" t="n">
        <v>0</v>
      </c>
      <c r="R577" s="2" t="inlineStr"/>
    </row>
    <row r="578" ht="15" customHeight="1">
      <c r="A578" t="inlineStr">
        <is>
          <t>A 28596-2021</t>
        </is>
      </c>
      <c r="B578" s="1" t="n">
        <v>44356</v>
      </c>
      <c r="C578" s="1" t="n">
        <v>45966</v>
      </c>
      <c r="D578" t="inlineStr">
        <is>
          <t>JÄMTLANDS LÄN</t>
        </is>
      </c>
      <c r="E578" t="inlineStr">
        <is>
          <t>RAGUNDA</t>
        </is>
      </c>
      <c r="G578" t="n">
        <v>5.4</v>
      </c>
      <c r="H578" t="n">
        <v>0</v>
      </c>
      <c r="I578" t="n">
        <v>0</v>
      </c>
      <c r="J578" t="n">
        <v>0</v>
      </c>
      <c r="K578" t="n">
        <v>0</v>
      </c>
      <c r="L578" t="n">
        <v>0</v>
      </c>
      <c r="M578" t="n">
        <v>0</v>
      </c>
      <c r="N578" t="n">
        <v>0</v>
      </c>
      <c r="O578" t="n">
        <v>0</v>
      </c>
      <c r="P578" t="n">
        <v>0</v>
      </c>
      <c r="Q578" t="n">
        <v>0</v>
      </c>
      <c r="R578" s="2" t="inlineStr"/>
    </row>
    <row r="579" ht="15" customHeight="1">
      <c r="A579" t="inlineStr">
        <is>
          <t>A 53678-2022</t>
        </is>
      </c>
      <c r="B579" s="1" t="n">
        <v>44879.95768518518</v>
      </c>
      <c r="C579" s="1" t="n">
        <v>45966</v>
      </c>
      <c r="D579" t="inlineStr">
        <is>
          <t>JÄMTLANDS LÄN</t>
        </is>
      </c>
      <c r="E579" t="inlineStr">
        <is>
          <t>RAGUNDA</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11058-2025</t>
        </is>
      </c>
      <c r="B580" s="1" t="n">
        <v>45723.51079861111</v>
      </c>
      <c r="C580" s="1" t="n">
        <v>45966</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49193-2025</t>
        </is>
      </c>
      <c r="B581" s="1" t="n">
        <v>45938.40831018519</v>
      </c>
      <c r="C581" s="1" t="n">
        <v>45966</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38664-2022</t>
        </is>
      </c>
      <c r="B582" s="1" t="n">
        <v>44813</v>
      </c>
      <c r="C582" s="1" t="n">
        <v>45966</v>
      </c>
      <c r="D582" t="inlineStr">
        <is>
          <t>JÄMTLANDS LÄN</t>
        </is>
      </c>
      <c r="E582" t="inlineStr">
        <is>
          <t>RAGUNDA</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49639-2025</t>
        </is>
      </c>
      <c r="B583" s="1" t="n">
        <v>45939.61253472222</v>
      </c>
      <c r="C583" s="1" t="n">
        <v>45966</v>
      </c>
      <c r="D583" t="inlineStr">
        <is>
          <t>JÄMTLANDS LÄN</t>
        </is>
      </c>
      <c r="E583" t="inlineStr">
        <is>
          <t>RAGUNDA</t>
        </is>
      </c>
      <c r="F583" t="inlineStr">
        <is>
          <t>Kommuner</t>
        </is>
      </c>
      <c r="G583" t="n">
        <v>13.6</v>
      </c>
      <c r="H583" t="n">
        <v>0</v>
      </c>
      <c r="I583" t="n">
        <v>0</v>
      </c>
      <c r="J583" t="n">
        <v>0</v>
      </c>
      <c r="K583" t="n">
        <v>0</v>
      </c>
      <c r="L583" t="n">
        <v>0</v>
      </c>
      <c r="M583" t="n">
        <v>0</v>
      </c>
      <c r="N583" t="n">
        <v>0</v>
      </c>
      <c r="O583" t="n">
        <v>0</v>
      </c>
      <c r="P583" t="n">
        <v>0</v>
      </c>
      <c r="Q583" t="n">
        <v>0</v>
      </c>
      <c r="R583" s="2" t="inlineStr"/>
    </row>
    <row r="584" ht="15" customHeight="1">
      <c r="A584" t="inlineStr">
        <is>
          <t>A 23305-2023</t>
        </is>
      </c>
      <c r="B584" s="1" t="n">
        <v>45075.94506944445</v>
      </c>
      <c r="C584" s="1" t="n">
        <v>45966</v>
      </c>
      <c r="D584" t="inlineStr">
        <is>
          <t>JÄMTLANDS LÄN</t>
        </is>
      </c>
      <c r="E584" t="inlineStr">
        <is>
          <t>RAGUNDA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24441-2024</t>
        </is>
      </c>
      <c r="B585" s="1" t="n">
        <v>45457.96372685185</v>
      </c>
      <c r="C585" s="1" t="n">
        <v>45966</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40801-2023</t>
        </is>
      </c>
      <c r="B586" s="1" t="n">
        <v>45170</v>
      </c>
      <c r="C586" s="1" t="n">
        <v>45966</v>
      </c>
      <c r="D586" t="inlineStr">
        <is>
          <t>JÄMTLANDS LÄN</t>
        </is>
      </c>
      <c r="E586" t="inlineStr">
        <is>
          <t>RAGUNDA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11558-2023</t>
        </is>
      </c>
      <c r="B587" s="1" t="n">
        <v>44993.94958333333</v>
      </c>
      <c r="C587" s="1" t="n">
        <v>45966</v>
      </c>
      <c r="D587" t="inlineStr">
        <is>
          <t>JÄMTLANDS LÄN</t>
        </is>
      </c>
      <c r="E587" t="inlineStr">
        <is>
          <t>RAGUNDA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18194-2025</t>
        </is>
      </c>
      <c r="B588" s="1" t="n">
        <v>45761.67744212963</v>
      </c>
      <c r="C588" s="1" t="n">
        <v>45966</v>
      </c>
      <c r="D588" t="inlineStr">
        <is>
          <t>JÄMTLANDS LÄN</t>
        </is>
      </c>
      <c r="E588" t="inlineStr">
        <is>
          <t>RAGUNDA</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18225-2024</t>
        </is>
      </c>
      <c r="B589" s="1" t="n">
        <v>45420</v>
      </c>
      <c r="C589" s="1" t="n">
        <v>45966</v>
      </c>
      <c r="D589" t="inlineStr">
        <is>
          <t>JÄMTLANDS LÄN</t>
        </is>
      </c>
      <c r="E589" t="inlineStr">
        <is>
          <t>RAGUNDA</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54764-2024</t>
        </is>
      </c>
      <c r="B590" s="1" t="n">
        <v>45618.46921296296</v>
      </c>
      <c r="C590" s="1" t="n">
        <v>45966</v>
      </c>
      <c r="D590" t="inlineStr">
        <is>
          <t>JÄMTLANDS LÄN</t>
        </is>
      </c>
      <c r="E590" t="inlineStr">
        <is>
          <t>RAGUNDA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41161-2025</t>
        </is>
      </c>
      <c r="B591" s="1" t="n">
        <v>45898.53193287037</v>
      </c>
      <c r="C591" s="1" t="n">
        <v>45966</v>
      </c>
      <c r="D591" t="inlineStr">
        <is>
          <t>JÄMTLANDS LÄN</t>
        </is>
      </c>
      <c r="E591" t="inlineStr">
        <is>
          <t>RAGUNDA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48065-2023</t>
        </is>
      </c>
      <c r="B592" s="1" t="n">
        <v>45204.94399305555</v>
      </c>
      <c r="C592" s="1" t="n">
        <v>45966</v>
      </c>
      <c r="D592" t="inlineStr">
        <is>
          <t>JÄMTLANDS LÄN</t>
        </is>
      </c>
      <c r="E592" t="inlineStr">
        <is>
          <t>RAGUNDA</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32904-2024</t>
        </is>
      </c>
      <c r="B593" s="1" t="n">
        <v>45516.94732638889</v>
      </c>
      <c r="C593" s="1" t="n">
        <v>45966</v>
      </c>
      <c r="D593" t="inlineStr">
        <is>
          <t>JÄMTLANDS LÄN</t>
        </is>
      </c>
      <c r="E593" t="inlineStr">
        <is>
          <t>RAGUNDA</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50126-2025</t>
        </is>
      </c>
      <c r="B594" s="1" t="n">
        <v>45943.55271990741</v>
      </c>
      <c r="C594" s="1" t="n">
        <v>45966</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12976-2025</t>
        </is>
      </c>
      <c r="B595" s="1" t="n">
        <v>45734.45268518518</v>
      </c>
      <c r="C595" s="1" t="n">
        <v>45966</v>
      </c>
      <c r="D595" t="inlineStr">
        <is>
          <t>JÄMTLANDS LÄN</t>
        </is>
      </c>
      <c r="E595" t="inlineStr">
        <is>
          <t>RAGUNDA</t>
        </is>
      </c>
      <c r="G595" t="n">
        <v>24.2</v>
      </c>
      <c r="H595" t="n">
        <v>0</v>
      </c>
      <c r="I595" t="n">
        <v>0</v>
      </c>
      <c r="J595" t="n">
        <v>0</v>
      </c>
      <c r="K595" t="n">
        <v>0</v>
      </c>
      <c r="L595" t="n">
        <v>0</v>
      </c>
      <c r="M595" t="n">
        <v>0</v>
      </c>
      <c r="N595" t="n">
        <v>0</v>
      </c>
      <c r="O595" t="n">
        <v>0</v>
      </c>
      <c r="P595" t="n">
        <v>0</v>
      </c>
      <c r="Q595" t="n">
        <v>0</v>
      </c>
      <c r="R595" s="2" t="inlineStr"/>
    </row>
    <row r="596" ht="15" customHeight="1">
      <c r="A596" t="inlineStr">
        <is>
          <t>A 59286-2023</t>
        </is>
      </c>
      <c r="B596" s="1" t="n">
        <v>45253</v>
      </c>
      <c r="C596" s="1" t="n">
        <v>45966</v>
      </c>
      <c r="D596" t="inlineStr">
        <is>
          <t>JÄMTLANDS LÄN</t>
        </is>
      </c>
      <c r="E596" t="inlineStr">
        <is>
          <t>RAGUNDA</t>
        </is>
      </c>
      <c r="G596" t="n">
        <v>1</v>
      </c>
      <c r="H596" t="n">
        <v>0</v>
      </c>
      <c r="I596" t="n">
        <v>0</v>
      </c>
      <c r="J596" t="n">
        <v>0</v>
      </c>
      <c r="K596" t="n">
        <v>0</v>
      </c>
      <c r="L596" t="n">
        <v>0</v>
      </c>
      <c r="M596" t="n">
        <v>0</v>
      </c>
      <c r="N596" t="n">
        <v>0</v>
      </c>
      <c r="O596" t="n">
        <v>0</v>
      </c>
      <c r="P596" t="n">
        <v>0</v>
      </c>
      <c r="Q596" t="n">
        <v>0</v>
      </c>
      <c r="R596" s="2" t="inlineStr"/>
    </row>
    <row r="597" ht="15" customHeight="1">
      <c r="A597" t="inlineStr">
        <is>
          <t>A 15672-2021</t>
        </is>
      </c>
      <c r="B597" s="1" t="n">
        <v>44286</v>
      </c>
      <c r="C597" s="1" t="n">
        <v>45966</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41233-2025</t>
        </is>
      </c>
      <c r="B598" s="1" t="n">
        <v>45898.59295138889</v>
      </c>
      <c r="C598" s="1" t="n">
        <v>45966</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6688-2024</t>
        </is>
      </c>
      <c r="B599" s="1" t="n">
        <v>45341</v>
      </c>
      <c r="C599" s="1" t="n">
        <v>45966</v>
      </c>
      <c r="D599" t="inlineStr">
        <is>
          <t>JÄMTLANDS LÄN</t>
        </is>
      </c>
      <c r="E599" t="inlineStr">
        <is>
          <t>RAGUNDA</t>
        </is>
      </c>
      <c r="G599" t="n">
        <v>2</v>
      </c>
      <c r="H599" t="n">
        <v>0</v>
      </c>
      <c r="I599" t="n">
        <v>0</v>
      </c>
      <c r="J599" t="n">
        <v>0</v>
      </c>
      <c r="K599" t="n">
        <v>0</v>
      </c>
      <c r="L599" t="n">
        <v>0</v>
      </c>
      <c r="M599" t="n">
        <v>0</v>
      </c>
      <c r="N599" t="n">
        <v>0</v>
      </c>
      <c r="O599" t="n">
        <v>0</v>
      </c>
      <c r="P599" t="n">
        <v>0</v>
      </c>
      <c r="Q599" t="n">
        <v>0</v>
      </c>
      <c r="R599" s="2" t="inlineStr"/>
    </row>
    <row r="600" ht="15" customHeight="1">
      <c r="A600" t="inlineStr">
        <is>
          <t>A 4592-2024</t>
        </is>
      </c>
      <c r="B600" s="1" t="n">
        <v>45327.94443287037</v>
      </c>
      <c r="C600" s="1" t="n">
        <v>45966</v>
      </c>
      <c r="D600" t="inlineStr">
        <is>
          <t>JÄMTLANDS LÄN</t>
        </is>
      </c>
      <c r="E600" t="inlineStr">
        <is>
          <t>RAGUNDA</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60195-2023</t>
        </is>
      </c>
      <c r="B601" s="1" t="n">
        <v>45257</v>
      </c>
      <c r="C601" s="1" t="n">
        <v>45966</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50080-2025</t>
        </is>
      </c>
      <c r="B602" s="1" t="n">
        <v>45943.469375</v>
      </c>
      <c r="C602" s="1" t="n">
        <v>45966</v>
      </c>
      <c r="D602" t="inlineStr">
        <is>
          <t>JÄMTLANDS LÄN</t>
        </is>
      </c>
      <c r="E602" t="inlineStr">
        <is>
          <t>RAGUNDA</t>
        </is>
      </c>
      <c r="F602" t="inlineStr">
        <is>
          <t>Naturvårdsverket</t>
        </is>
      </c>
      <c r="G602" t="n">
        <v>6.1</v>
      </c>
      <c r="H602" t="n">
        <v>0</v>
      </c>
      <c r="I602" t="n">
        <v>0</v>
      </c>
      <c r="J602" t="n">
        <v>0</v>
      </c>
      <c r="K602" t="n">
        <v>0</v>
      </c>
      <c r="L602" t="n">
        <v>0</v>
      </c>
      <c r="M602" t="n">
        <v>0</v>
      </c>
      <c r="N602" t="n">
        <v>0</v>
      </c>
      <c r="O602" t="n">
        <v>0</v>
      </c>
      <c r="P602" t="n">
        <v>0</v>
      </c>
      <c r="Q602" t="n">
        <v>0</v>
      </c>
      <c r="R602" s="2" t="inlineStr"/>
    </row>
    <row r="603" ht="15" customHeight="1">
      <c r="A603" t="inlineStr">
        <is>
          <t>A 50098-2025</t>
        </is>
      </c>
      <c r="B603" s="1" t="n">
        <v>45943.51086805556</v>
      </c>
      <c r="C603" s="1" t="n">
        <v>45966</v>
      </c>
      <c r="D603" t="inlineStr">
        <is>
          <t>JÄMTLANDS LÄN</t>
        </is>
      </c>
      <c r="E603" t="inlineStr">
        <is>
          <t>RAGUNDA</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61088-2020</t>
        </is>
      </c>
      <c r="B604" s="1" t="n">
        <v>44153</v>
      </c>
      <c r="C604" s="1" t="n">
        <v>45966</v>
      </c>
      <c r="D604" t="inlineStr">
        <is>
          <t>JÄMTLANDS LÄN</t>
        </is>
      </c>
      <c r="E604" t="inlineStr">
        <is>
          <t>RAGUNDA</t>
        </is>
      </c>
      <c r="G604" t="n">
        <v>1.2</v>
      </c>
      <c r="H604" t="n">
        <v>0</v>
      </c>
      <c r="I604" t="n">
        <v>0</v>
      </c>
      <c r="J604" t="n">
        <v>0</v>
      </c>
      <c r="K604" t="n">
        <v>0</v>
      </c>
      <c r="L604" t="n">
        <v>0</v>
      </c>
      <c r="M604" t="n">
        <v>0</v>
      </c>
      <c r="N604" t="n">
        <v>0</v>
      </c>
      <c r="O604" t="n">
        <v>0</v>
      </c>
      <c r="P604" t="n">
        <v>0</v>
      </c>
      <c r="Q604" t="n">
        <v>0</v>
      </c>
      <c r="R604" s="2" t="inlineStr"/>
    </row>
    <row r="605" ht="15" customHeight="1">
      <c r="A605" t="inlineStr">
        <is>
          <t>A 22981-2023</t>
        </is>
      </c>
      <c r="B605" s="1" t="n">
        <v>45072.92737268518</v>
      </c>
      <c r="C605" s="1" t="n">
        <v>45966</v>
      </c>
      <c r="D605" t="inlineStr">
        <is>
          <t>JÄMTLANDS LÄN</t>
        </is>
      </c>
      <c r="E605" t="inlineStr">
        <is>
          <t>RAGUNDA</t>
        </is>
      </c>
      <c r="G605" t="n">
        <v>3.8</v>
      </c>
      <c r="H605" t="n">
        <v>0</v>
      </c>
      <c r="I605" t="n">
        <v>0</v>
      </c>
      <c r="J605" t="n">
        <v>0</v>
      </c>
      <c r="K605" t="n">
        <v>0</v>
      </c>
      <c r="L605" t="n">
        <v>0</v>
      </c>
      <c r="M605" t="n">
        <v>0</v>
      </c>
      <c r="N605" t="n">
        <v>0</v>
      </c>
      <c r="O605" t="n">
        <v>0</v>
      </c>
      <c r="P605" t="n">
        <v>0</v>
      </c>
      <c r="Q605" t="n">
        <v>0</v>
      </c>
      <c r="R605" s="2" t="inlineStr"/>
    </row>
    <row r="606" ht="15" customHeight="1">
      <c r="A606" t="inlineStr">
        <is>
          <t>A 41262-2025</t>
        </is>
      </c>
      <c r="B606" s="1" t="n">
        <v>45898.61502314815</v>
      </c>
      <c r="C606" s="1" t="n">
        <v>45966</v>
      </c>
      <c r="D606" t="inlineStr">
        <is>
          <t>JÄMTLANDS LÄN</t>
        </is>
      </c>
      <c r="E606" t="inlineStr">
        <is>
          <t>RAGUNDA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50650-2023</t>
        </is>
      </c>
      <c r="B607" s="1" t="n">
        <v>45210</v>
      </c>
      <c r="C607" s="1" t="n">
        <v>45966</v>
      </c>
      <c r="D607" t="inlineStr">
        <is>
          <t>JÄMTLANDS LÄN</t>
        </is>
      </c>
      <c r="E607" t="inlineStr">
        <is>
          <t>RAGUNDA</t>
        </is>
      </c>
      <c r="G607" t="n">
        <v>1.3</v>
      </c>
      <c r="H607" t="n">
        <v>0</v>
      </c>
      <c r="I607" t="n">
        <v>0</v>
      </c>
      <c r="J607" t="n">
        <v>0</v>
      </c>
      <c r="K607" t="n">
        <v>0</v>
      </c>
      <c r="L607" t="n">
        <v>0</v>
      </c>
      <c r="M607" t="n">
        <v>0</v>
      </c>
      <c r="N607" t="n">
        <v>0</v>
      </c>
      <c r="O607" t="n">
        <v>0</v>
      </c>
      <c r="P607" t="n">
        <v>0</v>
      </c>
      <c r="Q607" t="n">
        <v>0</v>
      </c>
      <c r="R607" s="2" t="inlineStr"/>
    </row>
    <row r="608" ht="15" customHeight="1">
      <c r="A608" t="inlineStr">
        <is>
          <t>A 41344-2024</t>
        </is>
      </c>
      <c r="B608" s="1" t="n">
        <v>45559.67759259259</v>
      </c>
      <c r="C608" s="1" t="n">
        <v>45966</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41423-2025</t>
        </is>
      </c>
      <c r="B609" s="1" t="n">
        <v>45901.38578703703</v>
      </c>
      <c r="C609" s="1" t="n">
        <v>45966</v>
      </c>
      <c r="D609" t="inlineStr">
        <is>
          <t>JÄMTLANDS LÄN</t>
        </is>
      </c>
      <c r="E609" t="inlineStr">
        <is>
          <t>RAGUNDA</t>
        </is>
      </c>
      <c r="G609" t="n">
        <v>0.7</v>
      </c>
      <c r="H609" t="n">
        <v>0</v>
      </c>
      <c r="I609" t="n">
        <v>0</v>
      </c>
      <c r="J609" t="n">
        <v>0</v>
      </c>
      <c r="K609" t="n">
        <v>0</v>
      </c>
      <c r="L609" t="n">
        <v>0</v>
      </c>
      <c r="M609" t="n">
        <v>0</v>
      </c>
      <c r="N609" t="n">
        <v>0</v>
      </c>
      <c r="O609" t="n">
        <v>0</v>
      </c>
      <c r="P609" t="n">
        <v>0</v>
      </c>
      <c r="Q609" t="n">
        <v>0</v>
      </c>
      <c r="R609" s="2" t="inlineStr"/>
    </row>
    <row r="610" ht="15" customHeight="1">
      <c r="A610" t="inlineStr">
        <is>
          <t>A 49994-2025</t>
        </is>
      </c>
      <c r="B610" s="1" t="n">
        <v>45942.96922453704</v>
      </c>
      <c r="C610" s="1" t="n">
        <v>45966</v>
      </c>
      <c r="D610" t="inlineStr">
        <is>
          <t>JÄMTLANDS LÄN</t>
        </is>
      </c>
      <c r="E610" t="inlineStr">
        <is>
          <t>RAGUNDA</t>
        </is>
      </c>
      <c r="G610" t="n">
        <v>4.5</v>
      </c>
      <c r="H610" t="n">
        <v>0</v>
      </c>
      <c r="I610" t="n">
        <v>0</v>
      </c>
      <c r="J610" t="n">
        <v>0</v>
      </c>
      <c r="K610" t="n">
        <v>0</v>
      </c>
      <c r="L610" t="n">
        <v>0</v>
      </c>
      <c r="M610" t="n">
        <v>0</v>
      </c>
      <c r="N610" t="n">
        <v>0</v>
      </c>
      <c r="O610" t="n">
        <v>0</v>
      </c>
      <c r="P610" t="n">
        <v>0</v>
      </c>
      <c r="Q610" t="n">
        <v>0</v>
      </c>
      <c r="R610" s="2" t="inlineStr"/>
    </row>
    <row r="611" ht="15" customHeight="1">
      <c r="A611" t="inlineStr">
        <is>
          <t>A 26942-2021</t>
        </is>
      </c>
      <c r="B611" s="1" t="n">
        <v>44349.91978009259</v>
      </c>
      <c r="C611" s="1" t="n">
        <v>45966</v>
      </c>
      <c r="D611" t="inlineStr">
        <is>
          <t>JÄMTLANDS LÄN</t>
        </is>
      </c>
      <c r="E611" t="inlineStr">
        <is>
          <t>RAGUNDA</t>
        </is>
      </c>
      <c r="G611" t="n">
        <v>6.2</v>
      </c>
      <c r="H611" t="n">
        <v>0</v>
      </c>
      <c r="I611" t="n">
        <v>0</v>
      </c>
      <c r="J611" t="n">
        <v>0</v>
      </c>
      <c r="K611" t="n">
        <v>0</v>
      </c>
      <c r="L611" t="n">
        <v>0</v>
      </c>
      <c r="M611" t="n">
        <v>0</v>
      </c>
      <c r="N611" t="n">
        <v>0</v>
      </c>
      <c r="O611" t="n">
        <v>0</v>
      </c>
      <c r="P611" t="n">
        <v>0</v>
      </c>
      <c r="Q611" t="n">
        <v>0</v>
      </c>
      <c r="R611" s="2" t="inlineStr"/>
    </row>
    <row r="612" ht="15" customHeight="1">
      <c r="A612" t="inlineStr">
        <is>
          <t>A 50215-2025</t>
        </is>
      </c>
      <c r="B612" s="1" t="n">
        <v>45943.67842592593</v>
      </c>
      <c r="C612" s="1" t="n">
        <v>45966</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59670-2023</t>
        </is>
      </c>
      <c r="B613" s="1" t="n">
        <v>45254.96516203704</v>
      </c>
      <c r="C613" s="1" t="n">
        <v>45966</v>
      </c>
      <c r="D613" t="inlineStr">
        <is>
          <t>JÄMTLANDS LÄN</t>
        </is>
      </c>
      <c r="E613" t="inlineStr">
        <is>
          <t>RAGUNDA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50125-2025</t>
        </is>
      </c>
      <c r="B614" s="1" t="n">
        <v>45943.55262731481</v>
      </c>
      <c r="C614" s="1" t="n">
        <v>45966</v>
      </c>
      <c r="D614" t="inlineStr">
        <is>
          <t>JÄMTLANDS LÄN</t>
        </is>
      </c>
      <c r="E614" t="inlineStr">
        <is>
          <t>RAGUNDA</t>
        </is>
      </c>
      <c r="F614" t="inlineStr">
        <is>
          <t>Sveaskog</t>
        </is>
      </c>
      <c r="G614" t="n">
        <v>23.2</v>
      </c>
      <c r="H614" t="n">
        <v>0</v>
      </c>
      <c r="I614" t="n">
        <v>0</v>
      </c>
      <c r="J614" t="n">
        <v>0</v>
      </c>
      <c r="K614" t="n">
        <v>0</v>
      </c>
      <c r="L614" t="n">
        <v>0</v>
      </c>
      <c r="M614" t="n">
        <v>0</v>
      </c>
      <c r="N614" t="n">
        <v>0</v>
      </c>
      <c r="O614" t="n">
        <v>0</v>
      </c>
      <c r="P614" t="n">
        <v>0</v>
      </c>
      <c r="Q614" t="n">
        <v>0</v>
      </c>
      <c r="R614" s="2" t="inlineStr"/>
    </row>
    <row r="615" ht="15" customHeight="1">
      <c r="A615" t="inlineStr">
        <is>
          <t>A 46546-2023</t>
        </is>
      </c>
      <c r="B615" s="1" t="n">
        <v>45197.94152777778</v>
      </c>
      <c r="C615" s="1" t="n">
        <v>45966</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55508-2024</t>
        </is>
      </c>
      <c r="B616" s="1" t="n">
        <v>45622.46200231482</v>
      </c>
      <c r="C616" s="1" t="n">
        <v>45966</v>
      </c>
      <c r="D616" t="inlineStr">
        <is>
          <t>JÄMTLANDS LÄN</t>
        </is>
      </c>
      <c r="E616" t="inlineStr">
        <is>
          <t>RAGUNDA</t>
        </is>
      </c>
      <c r="G616" t="n">
        <v>1.8</v>
      </c>
      <c r="H616" t="n">
        <v>0</v>
      </c>
      <c r="I616" t="n">
        <v>0</v>
      </c>
      <c r="J616" t="n">
        <v>0</v>
      </c>
      <c r="K616" t="n">
        <v>0</v>
      </c>
      <c r="L616" t="n">
        <v>0</v>
      </c>
      <c r="M616" t="n">
        <v>0</v>
      </c>
      <c r="N616" t="n">
        <v>0</v>
      </c>
      <c r="O616" t="n">
        <v>0</v>
      </c>
      <c r="P616" t="n">
        <v>0</v>
      </c>
      <c r="Q616" t="n">
        <v>0</v>
      </c>
      <c r="R616" s="2" t="inlineStr"/>
    </row>
    <row r="617" ht="15" customHeight="1">
      <c r="A617" t="inlineStr">
        <is>
          <t>A 19865-2023</t>
        </is>
      </c>
      <c r="B617" s="1" t="n">
        <v>45053.94305555556</v>
      </c>
      <c r="C617" s="1" t="n">
        <v>45966</v>
      </c>
      <c r="D617" t="inlineStr">
        <is>
          <t>JÄMTLANDS LÄN</t>
        </is>
      </c>
      <c r="E617" t="inlineStr">
        <is>
          <t>RAGUNDA</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49991-2025</t>
        </is>
      </c>
      <c r="B618" s="1" t="n">
        <v>45942.91568287037</v>
      </c>
      <c r="C618" s="1" t="n">
        <v>45966</v>
      </c>
      <c r="D618" t="inlineStr">
        <is>
          <t>JÄMTLANDS LÄN</t>
        </is>
      </c>
      <c r="E618" t="inlineStr">
        <is>
          <t>RAGUNDA</t>
        </is>
      </c>
      <c r="G618" t="n">
        <v>9</v>
      </c>
      <c r="H618" t="n">
        <v>0</v>
      </c>
      <c r="I618" t="n">
        <v>0</v>
      </c>
      <c r="J618" t="n">
        <v>0</v>
      </c>
      <c r="K618" t="n">
        <v>0</v>
      </c>
      <c r="L618" t="n">
        <v>0</v>
      </c>
      <c r="M618" t="n">
        <v>0</v>
      </c>
      <c r="N618" t="n">
        <v>0</v>
      </c>
      <c r="O618" t="n">
        <v>0</v>
      </c>
      <c r="P618" t="n">
        <v>0</v>
      </c>
      <c r="Q618" t="n">
        <v>0</v>
      </c>
      <c r="R618" s="2" t="inlineStr"/>
    </row>
    <row r="619" ht="15" customHeight="1">
      <c r="A619" t="inlineStr">
        <is>
          <t>A 49993-2025</t>
        </is>
      </c>
      <c r="B619" s="1" t="n">
        <v>45942.94371527778</v>
      </c>
      <c r="C619" s="1" t="n">
        <v>45966</v>
      </c>
      <c r="D619" t="inlineStr">
        <is>
          <t>JÄMTLANDS LÄN</t>
        </is>
      </c>
      <c r="E619" t="inlineStr">
        <is>
          <t>RAGUNDA</t>
        </is>
      </c>
      <c r="G619" t="n">
        <v>1.5</v>
      </c>
      <c r="H619" t="n">
        <v>0</v>
      </c>
      <c r="I619" t="n">
        <v>0</v>
      </c>
      <c r="J619" t="n">
        <v>0</v>
      </c>
      <c r="K619" t="n">
        <v>0</v>
      </c>
      <c r="L619" t="n">
        <v>0</v>
      </c>
      <c r="M619" t="n">
        <v>0</v>
      </c>
      <c r="N619" t="n">
        <v>0</v>
      </c>
      <c r="O619" t="n">
        <v>0</v>
      </c>
      <c r="P619" t="n">
        <v>0</v>
      </c>
      <c r="Q619" t="n">
        <v>0</v>
      </c>
      <c r="R619" s="2" t="inlineStr"/>
    </row>
    <row r="620" ht="15" customHeight="1">
      <c r="A620" t="inlineStr">
        <is>
          <t>A 50081-2025</t>
        </is>
      </c>
      <c r="B620" s="1" t="n">
        <v>45943.46954861111</v>
      </c>
      <c r="C620" s="1" t="n">
        <v>45966</v>
      </c>
      <c r="D620" t="inlineStr">
        <is>
          <t>JÄMTLANDS LÄN</t>
        </is>
      </c>
      <c r="E620" t="inlineStr">
        <is>
          <t>RAGUNDA</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49995-2025</t>
        </is>
      </c>
      <c r="B621" s="1" t="n">
        <v>45943.00986111111</v>
      </c>
      <c r="C621" s="1" t="n">
        <v>45966</v>
      </c>
      <c r="D621" t="inlineStr">
        <is>
          <t>JÄMTLANDS LÄN</t>
        </is>
      </c>
      <c r="E621" t="inlineStr">
        <is>
          <t>RAGUNDA</t>
        </is>
      </c>
      <c r="G621" t="n">
        <v>2.5</v>
      </c>
      <c r="H621" t="n">
        <v>0</v>
      </c>
      <c r="I621" t="n">
        <v>0</v>
      </c>
      <c r="J621" t="n">
        <v>0</v>
      </c>
      <c r="K621" t="n">
        <v>0</v>
      </c>
      <c r="L621" t="n">
        <v>0</v>
      </c>
      <c r="M621" t="n">
        <v>0</v>
      </c>
      <c r="N621" t="n">
        <v>0</v>
      </c>
      <c r="O621" t="n">
        <v>0</v>
      </c>
      <c r="P621" t="n">
        <v>0</v>
      </c>
      <c r="Q621" t="n">
        <v>0</v>
      </c>
      <c r="R621" s="2" t="inlineStr"/>
    </row>
    <row r="622" ht="15" customHeight="1">
      <c r="A622" t="inlineStr">
        <is>
          <t>A 50055-2025</t>
        </is>
      </c>
      <c r="B622" s="1" t="n">
        <v>45943.43287037037</v>
      </c>
      <c r="C622" s="1" t="n">
        <v>45966</v>
      </c>
      <c r="D622" t="inlineStr">
        <is>
          <t>JÄMTLANDS LÄN</t>
        </is>
      </c>
      <c r="E622" t="inlineStr">
        <is>
          <t>RAGUNDA</t>
        </is>
      </c>
      <c r="G622" t="n">
        <v>17.6</v>
      </c>
      <c r="H622" t="n">
        <v>0</v>
      </c>
      <c r="I622" t="n">
        <v>0</v>
      </c>
      <c r="J622" t="n">
        <v>0</v>
      </c>
      <c r="K622" t="n">
        <v>0</v>
      </c>
      <c r="L622" t="n">
        <v>0</v>
      </c>
      <c r="M622" t="n">
        <v>0</v>
      </c>
      <c r="N622" t="n">
        <v>0</v>
      </c>
      <c r="O622" t="n">
        <v>0</v>
      </c>
      <c r="P622" t="n">
        <v>0</v>
      </c>
      <c r="Q622" t="n">
        <v>0</v>
      </c>
      <c r="R622" s="2" t="inlineStr"/>
    </row>
    <row r="623" ht="15" customHeight="1">
      <c r="A623" t="inlineStr">
        <is>
          <t>A 41424-2025</t>
        </is>
      </c>
      <c r="B623" s="1" t="n">
        <v>45901.38584490741</v>
      </c>
      <c r="C623" s="1" t="n">
        <v>45966</v>
      </c>
      <c r="D623" t="inlineStr">
        <is>
          <t>JÄMTLANDS LÄN</t>
        </is>
      </c>
      <c r="E623" t="inlineStr">
        <is>
          <t>RAGUNDA</t>
        </is>
      </c>
      <c r="G623" t="n">
        <v>3</v>
      </c>
      <c r="H623" t="n">
        <v>0</v>
      </c>
      <c r="I623" t="n">
        <v>0</v>
      </c>
      <c r="J623" t="n">
        <v>0</v>
      </c>
      <c r="K623" t="n">
        <v>0</v>
      </c>
      <c r="L623" t="n">
        <v>0</v>
      </c>
      <c r="M623" t="n">
        <v>0</v>
      </c>
      <c r="N623" t="n">
        <v>0</v>
      </c>
      <c r="O623" t="n">
        <v>0</v>
      </c>
      <c r="P623" t="n">
        <v>0</v>
      </c>
      <c r="Q623" t="n">
        <v>0</v>
      </c>
      <c r="R623" s="2" t="inlineStr"/>
    </row>
    <row r="624" ht="15" customHeight="1">
      <c r="A624" t="inlineStr">
        <is>
          <t>A 59492-2024</t>
        </is>
      </c>
      <c r="B624" s="1" t="n">
        <v>45638</v>
      </c>
      <c r="C624" s="1" t="n">
        <v>45966</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20772-2024</t>
        </is>
      </c>
      <c r="B625" s="1" t="n">
        <v>45436.94628472222</v>
      </c>
      <c r="C625" s="1" t="n">
        <v>45966</v>
      </c>
      <c r="D625" t="inlineStr">
        <is>
          <t>JÄMTLANDS LÄN</t>
        </is>
      </c>
      <c r="E625" t="inlineStr">
        <is>
          <t>RAGUNDA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41140-2025</t>
        </is>
      </c>
      <c r="B626" s="1" t="n">
        <v>45898.49012731481</v>
      </c>
      <c r="C626" s="1" t="n">
        <v>45966</v>
      </c>
      <c r="D626" t="inlineStr">
        <is>
          <t>JÄMTLANDS LÄN</t>
        </is>
      </c>
      <c r="E626" t="inlineStr">
        <is>
          <t>RAGUNDA</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41422-2025</t>
        </is>
      </c>
      <c r="B627" s="1" t="n">
        <v>45901.38572916666</v>
      </c>
      <c r="C627" s="1" t="n">
        <v>45966</v>
      </c>
      <c r="D627" t="inlineStr">
        <is>
          <t>JÄMTLANDS LÄN</t>
        </is>
      </c>
      <c r="E627" t="inlineStr">
        <is>
          <t>RAGUNDA</t>
        </is>
      </c>
      <c r="G627" t="n">
        <v>4.3</v>
      </c>
      <c r="H627" t="n">
        <v>0</v>
      </c>
      <c r="I627" t="n">
        <v>0</v>
      </c>
      <c r="J627" t="n">
        <v>0</v>
      </c>
      <c r="K627" t="n">
        <v>0</v>
      </c>
      <c r="L627" t="n">
        <v>0</v>
      </c>
      <c r="M627" t="n">
        <v>0</v>
      </c>
      <c r="N627" t="n">
        <v>0</v>
      </c>
      <c r="O627" t="n">
        <v>0</v>
      </c>
      <c r="P627" t="n">
        <v>0</v>
      </c>
      <c r="Q627" t="n">
        <v>0</v>
      </c>
      <c r="R627" s="2" t="inlineStr"/>
    </row>
    <row r="628" ht="15" customHeight="1">
      <c r="A628" t="inlineStr">
        <is>
          <t>A 53757-2024</t>
        </is>
      </c>
      <c r="B628" s="1" t="n">
        <v>45615.50034722222</v>
      </c>
      <c r="C628" s="1" t="n">
        <v>45966</v>
      </c>
      <c r="D628" t="inlineStr">
        <is>
          <t>JÄMTLANDS LÄN</t>
        </is>
      </c>
      <c r="E628" t="inlineStr">
        <is>
          <t>RAGUNDA</t>
        </is>
      </c>
      <c r="G628" t="n">
        <v>2</v>
      </c>
      <c r="H628" t="n">
        <v>0</v>
      </c>
      <c r="I628" t="n">
        <v>0</v>
      </c>
      <c r="J628" t="n">
        <v>0</v>
      </c>
      <c r="K628" t="n">
        <v>0</v>
      </c>
      <c r="L628" t="n">
        <v>0</v>
      </c>
      <c r="M628" t="n">
        <v>0</v>
      </c>
      <c r="N628" t="n">
        <v>0</v>
      </c>
      <c r="O628" t="n">
        <v>0</v>
      </c>
      <c r="P628" t="n">
        <v>0</v>
      </c>
      <c r="Q628" t="n">
        <v>0</v>
      </c>
      <c r="R628" s="2" t="inlineStr"/>
    </row>
    <row r="629" ht="15" customHeight="1">
      <c r="A629" t="inlineStr">
        <is>
          <t>A 41876-2025</t>
        </is>
      </c>
      <c r="B629" s="1" t="n">
        <v>45903.34555555556</v>
      </c>
      <c r="C629" s="1" t="n">
        <v>45966</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6716-2025</t>
        </is>
      </c>
      <c r="B630" s="1" t="n">
        <v>45700.57324074074</v>
      </c>
      <c r="C630" s="1" t="n">
        <v>45966</v>
      </c>
      <c r="D630" t="inlineStr">
        <is>
          <t>JÄMTLANDS LÄN</t>
        </is>
      </c>
      <c r="E630" t="inlineStr">
        <is>
          <t>RAGUNDA</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564-2025</t>
        </is>
      </c>
      <c r="B631" s="1" t="n">
        <v>45664.55241898148</v>
      </c>
      <c r="C631" s="1" t="n">
        <v>45966</v>
      </c>
      <c r="D631" t="inlineStr">
        <is>
          <t>JÄMTLANDS LÄN</t>
        </is>
      </c>
      <c r="E631" t="inlineStr">
        <is>
          <t>RAGUNDA</t>
        </is>
      </c>
      <c r="F631" t="inlineStr">
        <is>
          <t>SCA</t>
        </is>
      </c>
      <c r="G631" t="n">
        <v>7</v>
      </c>
      <c r="H631" t="n">
        <v>0</v>
      </c>
      <c r="I631" t="n">
        <v>0</v>
      </c>
      <c r="J631" t="n">
        <v>0</v>
      </c>
      <c r="K631" t="n">
        <v>0</v>
      </c>
      <c r="L631" t="n">
        <v>0</v>
      </c>
      <c r="M631" t="n">
        <v>0</v>
      </c>
      <c r="N631" t="n">
        <v>0</v>
      </c>
      <c r="O631" t="n">
        <v>0</v>
      </c>
      <c r="P631" t="n">
        <v>0</v>
      </c>
      <c r="Q631" t="n">
        <v>0</v>
      </c>
      <c r="R631" s="2" t="inlineStr"/>
    </row>
    <row r="632" ht="15" customHeight="1">
      <c r="A632" t="inlineStr">
        <is>
          <t>A 50555-2024</t>
        </is>
      </c>
      <c r="B632" s="1" t="n">
        <v>45601.59518518519</v>
      </c>
      <c r="C632" s="1" t="n">
        <v>45966</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19866-2023</t>
        </is>
      </c>
      <c r="B633" s="1" t="n">
        <v>45053.94313657407</v>
      </c>
      <c r="C633" s="1" t="n">
        <v>45966</v>
      </c>
      <c r="D633" t="inlineStr">
        <is>
          <t>JÄMTLANDS LÄN</t>
        </is>
      </c>
      <c r="E633" t="inlineStr">
        <is>
          <t>RAGUNDA</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21853-2024</t>
        </is>
      </c>
      <c r="B634" s="1" t="n">
        <v>45442.96296296296</v>
      </c>
      <c r="C634" s="1" t="n">
        <v>45966</v>
      </c>
      <c r="D634" t="inlineStr">
        <is>
          <t>JÄMTLANDS LÄN</t>
        </is>
      </c>
      <c r="E634" t="inlineStr">
        <is>
          <t>RAGUNDA</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8241-2024</t>
        </is>
      </c>
      <c r="B635" s="1" t="n">
        <v>45351.98496527778</v>
      </c>
      <c r="C635" s="1" t="n">
        <v>45966</v>
      </c>
      <c r="D635" t="inlineStr">
        <is>
          <t>JÄMTLANDS LÄN</t>
        </is>
      </c>
      <c r="E635" t="inlineStr">
        <is>
          <t>RAGUNDA</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40365-2024</t>
        </is>
      </c>
      <c r="B636" s="1" t="n">
        <v>45555.38509259259</v>
      </c>
      <c r="C636" s="1" t="n">
        <v>45966</v>
      </c>
      <c r="D636" t="inlineStr">
        <is>
          <t>JÄMTLANDS LÄN</t>
        </is>
      </c>
      <c r="E636" t="inlineStr">
        <is>
          <t>RAGUNDA</t>
        </is>
      </c>
      <c r="G636" t="n">
        <v>7.8</v>
      </c>
      <c r="H636" t="n">
        <v>0</v>
      </c>
      <c r="I636" t="n">
        <v>0</v>
      </c>
      <c r="J636" t="n">
        <v>0</v>
      </c>
      <c r="K636" t="n">
        <v>0</v>
      </c>
      <c r="L636" t="n">
        <v>0</v>
      </c>
      <c r="M636" t="n">
        <v>0</v>
      </c>
      <c r="N636" t="n">
        <v>0</v>
      </c>
      <c r="O636" t="n">
        <v>0</v>
      </c>
      <c r="P636" t="n">
        <v>0</v>
      </c>
      <c r="Q636" t="n">
        <v>0</v>
      </c>
      <c r="R636" s="2" t="inlineStr"/>
    </row>
    <row r="637" ht="15" customHeight="1">
      <c r="A637" t="inlineStr">
        <is>
          <t>A 44630-2023</t>
        </is>
      </c>
      <c r="B637" s="1" t="n">
        <v>45184</v>
      </c>
      <c r="C637" s="1" t="n">
        <v>45966</v>
      </c>
      <c r="D637" t="inlineStr">
        <is>
          <t>JÄMTLANDS LÄN</t>
        </is>
      </c>
      <c r="E637" t="inlineStr">
        <is>
          <t>RAGUNDA</t>
        </is>
      </c>
      <c r="G637" t="n">
        <v>3.4</v>
      </c>
      <c r="H637" t="n">
        <v>0</v>
      </c>
      <c r="I637" t="n">
        <v>0</v>
      </c>
      <c r="J637" t="n">
        <v>0</v>
      </c>
      <c r="K637" t="n">
        <v>0</v>
      </c>
      <c r="L637" t="n">
        <v>0</v>
      </c>
      <c r="M637" t="n">
        <v>0</v>
      </c>
      <c r="N637" t="n">
        <v>0</v>
      </c>
      <c r="O637" t="n">
        <v>0</v>
      </c>
      <c r="P637" t="n">
        <v>0</v>
      </c>
      <c r="Q637" t="n">
        <v>0</v>
      </c>
      <c r="R637" s="2" t="inlineStr"/>
    </row>
    <row r="638" ht="15" customHeight="1">
      <c r="A638" t="inlineStr">
        <is>
          <t>A 59658-2023</t>
        </is>
      </c>
      <c r="B638" s="1" t="n">
        <v>45254.96402777778</v>
      </c>
      <c r="C638" s="1" t="n">
        <v>45966</v>
      </c>
      <c r="D638" t="inlineStr">
        <is>
          <t>JÄMTLANDS LÄN</t>
        </is>
      </c>
      <c r="E638" t="inlineStr">
        <is>
          <t>RAGUNDA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20770-2024</t>
        </is>
      </c>
      <c r="B639" s="1" t="n">
        <v>45436.94613425926</v>
      </c>
      <c r="C639" s="1" t="n">
        <v>45966</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41656-2025</t>
        </is>
      </c>
      <c r="B640" s="1" t="n">
        <v>45902.34423611111</v>
      </c>
      <c r="C640" s="1" t="n">
        <v>45966</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49649-2024</t>
        </is>
      </c>
      <c r="B641" s="1" t="n">
        <v>45596.61553240741</v>
      </c>
      <c r="C641" s="1" t="n">
        <v>45966</v>
      </c>
      <c r="D641" t="inlineStr">
        <is>
          <t>JÄMTLANDS LÄN</t>
        </is>
      </c>
      <c r="E641" t="inlineStr">
        <is>
          <t>RAGUNDA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50260-2025</t>
        </is>
      </c>
      <c r="B642" s="1" t="n">
        <v>45944.34515046296</v>
      </c>
      <c r="C642" s="1" t="n">
        <v>45966</v>
      </c>
      <c r="D642" t="inlineStr">
        <is>
          <t>JÄMTLANDS LÄN</t>
        </is>
      </c>
      <c r="E642" t="inlineStr">
        <is>
          <t>RAGUNDA</t>
        </is>
      </c>
      <c r="F642" t="inlineStr">
        <is>
          <t>SCA</t>
        </is>
      </c>
      <c r="G642" t="n">
        <v>7.9</v>
      </c>
      <c r="H642" t="n">
        <v>0</v>
      </c>
      <c r="I642" t="n">
        <v>0</v>
      </c>
      <c r="J642" t="n">
        <v>0</v>
      </c>
      <c r="K642" t="n">
        <v>0</v>
      </c>
      <c r="L642" t="n">
        <v>0</v>
      </c>
      <c r="M642" t="n">
        <v>0</v>
      </c>
      <c r="N642" t="n">
        <v>0</v>
      </c>
      <c r="O642" t="n">
        <v>0</v>
      </c>
      <c r="P642" t="n">
        <v>0</v>
      </c>
      <c r="Q642" t="n">
        <v>0</v>
      </c>
      <c r="R642" s="2" t="inlineStr"/>
    </row>
    <row r="643" ht="15" customHeight="1">
      <c r="A643" t="inlineStr">
        <is>
          <t>A 2831-2024</t>
        </is>
      </c>
      <c r="B643" s="1" t="n">
        <v>45314.92758101852</v>
      </c>
      <c r="C643" s="1" t="n">
        <v>45966</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7281-2024</t>
        </is>
      </c>
      <c r="B644" s="1" t="n">
        <v>45344</v>
      </c>
      <c r="C644" s="1" t="n">
        <v>45966</v>
      </c>
      <c r="D644" t="inlineStr">
        <is>
          <t>JÄMTLANDS LÄN</t>
        </is>
      </c>
      <c r="E644" t="inlineStr">
        <is>
          <t>RAGUNDA</t>
        </is>
      </c>
      <c r="G644" t="n">
        <v>1.2</v>
      </c>
      <c r="H644" t="n">
        <v>0</v>
      </c>
      <c r="I644" t="n">
        <v>0</v>
      </c>
      <c r="J644" t="n">
        <v>0</v>
      </c>
      <c r="K644" t="n">
        <v>0</v>
      </c>
      <c r="L644" t="n">
        <v>0</v>
      </c>
      <c r="M644" t="n">
        <v>0</v>
      </c>
      <c r="N644" t="n">
        <v>0</v>
      </c>
      <c r="O644" t="n">
        <v>0</v>
      </c>
      <c r="P644" t="n">
        <v>0</v>
      </c>
      <c r="Q644" t="n">
        <v>0</v>
      </c>
      <c r="R644" s="2" t="inlineStr"/>
    </row>
    <row r="645" ht="15" customHeight="1">
      <c r="A645" t="inlineStr">
        <is>
          <t>A 7284-2024</t>
        </is>
      </c>
      <c r="B645" s="1" t="n">
        <v>45344.92865740741</v>
      </c>
      <c r="C645" s="1" t="n">
        <v>45966</v>
      </c>
      <c r="D645" t="inlineStr">
        <is>
          <t>JÄMTLANDS LÄN</t>
        </is>
      </c>
      <c r="E645" t="inlineStr">
        <is>
          <t>RAGUNDA</t>
        </is>
      </c>
      <c r="G645" t="n">
        <v>2.1</v>
      </c>
      <c r="H645" t="n">
        <v>0</v>
      </c>
      <c r="I645" t="n">
        <v>0</v>
      </c>
      <c r="J645" t="n">
        <v>0</v>
      </c>
      <c r="K645" t="n">
        <v>0</v>
      </c>
      <c r="L645" t="n">
        <v>0</v>
      </c>
      <c r="M645" t="n">
        <v>0</v>
      </c>
      <c r="N645" t="n">
        <v>0</v>
      </c>
      <c r="O645" t="n">
        <v>0</v>
      </c>
      <c r="P645" t="n">
        <v>0</v>
      </c>
      <c r="Q645" t="n">
        <v>0</v>
      </c>
      <c r="R645" s="2" t="inlineStr"/>
    </row>
    <row r="646" ht="15" customHeight="1">
      <c r="A646" t="inlineStr">
        <is>
          <t>A 7285-2024</t>
        </is>
      </c>
      <c r="B646" s="1" t="n">
        <v>45344.92873842592</v>
      </c>
      <c r="C646" s="1" t="n">
        <v>45966</v>
      </c>
      <c r="D646" t="inlineStr">
        <is>
          <t>JÄMTLANDS LÄN</t>
        </is>
      </c>
      <c r="E646" t="inlineStr">
        <is>
          <t>RAGUNDA</t>
        </is>
      </c>
      <c r="G646" t="n">
        <v>0.5</v>
      </c>
      <c r="H646" t="n">
        <v>0</v>
      </c>
      <c r="I646" t="n">
        <v>0</v>
      </c>
      <c r="J646" t="n">
        <v>0</v>
      </c>
      <c r="K646" t="n">
        <v>0</v>
      </c>
      <c r="L646" t="n">
        <v>0</v>
      </c>
      <c r="M646" t="n">
        <v>0</v>
      </c>
      <c r="N646" t="n">
        <v>0</v>
      </c>
      <c r="O646" t="n">
        <v>0</v>
      </c>
      <c r="P646" t="n">
        <v>0</v>
      </c>
      <c r="Q646" t="n">
        <v>0</v>
      </c>
      <c r="R646" s="2" t="inlineStr"/>
    </row>
    <row r="647" ht="15" customHeight="1">
      <c r="A647" t="inlineStr">
        <is>
          <t>A 53740-2024</t>
        </is>
      </c>
      <c r="B647" s="1" t="n">
        <v>45615.47091435185</v>
      </c>
      <c r="C647" s="1" t="n">
        <v>45966</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50503-2025</t>
        </is>
      </c>
      <c r="B648" s="1" t="n">
        <v>45945.42746527777</v>
      </c>
      <c r="C648" s="1" t="n">
        <v>45966</v>
      </c>
      <c r="D648" t="inlineStr">
        <is>
          <t>JÄMTLANDS LÄN</t>
        </is>
      </c>
      <c r="E648" t="inlineStr">
        <is>
          <t>RAGUNDA</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59372-2024</t>
        </is>
      </c>
      <c r="B649" s="1" t="n">
        <v>45638.34431712963</v>
      </c>
      <c r="C649" s="1" t="n">
        <v>45966</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50504-2025</t>
        </is>
      </c>
      <c r="B650" s="1" t="n">
        <v>45945.4284837963</v>
      </c>
      <c r="C650" s="1" t="n">
        <v>45966</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50473-2025</t>
        </is>
      </c>
      <c r="B651" s="1" t="n">
        <v>45945.36520833334</v>
      </c>
      <c r="C651" s="1" t="n">
        <v>45966</v>
      </c>
      <c r="D651" t="inlineStr">
        <is>
          <t>JÄMTLANDS LÄN</t>
        </is>
      </c>
      <c r="E651" t="inlineStr">
        <is>
          <t>RAGUNDA</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53347-2023</t>
        </is>
      </c>
      <c r="B652" s="1" t="n">
        <v>45223</v>
      </c>
      <c r="C652" s="1" t="n">
        <v>45966</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50716-2025</t>
        </is>
      </c>
      <c r="B653" s="1" t="n">
        <v>45946.34572916666</v>
      </c>
      <c r="C653" s="1" t="n">
        <v>45966</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51034-2025</t>
        </is>
      </c>
      <c r="B654" s="1" t="n">
        <v>45947.40670138889</v>
      </c>
      <c r="C654" s="1" t="n">
        <v>45966</v>
      </c>
      <c r="D654" t="inlineStr">
        <is>
          <t>JÄMTLANDS LÄN</t>
        </is>
      </c>
      <c r="E654" t="inlineStr">
        <is>
          <t>RAGUNDA</t>
        </is>
      </c>
      <c r="F654" t="inlineStr">
        <is>
          <t>SCA</t>
        </is>
      </c>
      <c r="G654" t="n">
        <v>44.1</v>
      </c>
      <c r="H654" t="n">
        <v>0</v>
      </c>
      <c r="I654" t="n">
        <v>0</v>
      </c>
      <c r="J654" t="n">
        <v>0</v>
      </c>
      <c r="K654" t="n">
        <v>0</v>
      </c>
      <c r="L654" t="n">
        <v>0</v>
      </c>
      <c r="M654" t="n">
        <v>0</v>
      </c>
      <c r="N654" t="n">
        <v>0</v>
      </c>
      <c r="O654" t="n">
        <v>0</v>
      </c>
      <c r="P654" t="n">
        <v>0</v>
      </c>
      <c r="Q654" t="n">
        <v>0</v>
      </c>
      <c r="R654" s="2" t="inlineStr"/>
    </row>
    <row r="655" ht="15" customHeight="1">
      <c r="A655" t="inlineStr">
        <is>
          <t>A 60838-2023</t>
        </is>
      </c>
      <c r="B655" s="1" t="n">
        <v>45260.92561342593</v>
      </c>
      <c r="C655" s="1" t="n">
        <v>45966</v>
      </c>
      <c r="D655" t="inlineStr">
        <is>
          <t>JÄMTLANDS LÄN</t>
        </is>
      </c>
      <c r="E655" t="inlineStr">
        <is>
          <t>RAGUNDA</t>
        </is>
      </c>
      <c r="G655" t="n">
        <v>2.7</v>
      </c>
      <c r="H655" t="n">
        <v>0</v>
      </c>
      <c r="I655" t="n">
        <v>0</v>
      </c>
      <c r="J655" t="n">
        <v>0</v>
      </c>
      <c r="K655" t="n">
        <v>0</v>
      </c>
      <c r="L655" t="n">
        <v>0</v>
      </c>
      <c r="M655" t="n">
        <v>0</v>
      </c>
      <c r="N655" t="n">
        <v>0</v>
      </c>
      <c r="O655" t="n">
        <v>0</v>
      </c>
      <c r="P655" t="n">
        <v>0</v>
      </c>
      <c r="Q655" t="n">
        <v>0</v>
      </c>
      <c r="R655" s="2" t="inlineStr"/>
    </row>
    <row r="656" ht="15" customHeight="1">
      <c r="A656" t="inlineStr">
        <is>
          <t>A 51019-2025</t>
        </is>
      </c>
      <c r="B656" s="1" t="n">
        <v>45947.38623842593</v>
      </c>
      <c r="C656" s="1" t="n">
        <v>45966</v>
      </c>
      <c r="D656" t="inlineStr">
        <is>
          <t>JÄMTLANDS LÄN</t>
        </is>
      </c>
      <c r="E656" t="inlineStr">
        <is>
          <t>RAGUNDA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12522-2023</t>
        </is>
      </c>
      <c r="B657" s="1" t="n">
        <v>45000</v>
      </c>
      <c r="C657" s="1" t="n">
        <v>45966</v>
      </c>
      <c r="D657" t="inlineStr">
        <is>
          <t>JÄMTLANDS LÄN</t>
        </is>
      </c>
      <c r="E657" t="inlineStr">
        <is>
          <t>RAGUNDA</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12523-2023</t>
        </is>
      </c>
      <c r="B658" s="1" t="n">
        <v>45000</v>
      </c>
      <c r="C658" s="1" t="n">
        <v>45966</v>
      </c>
      <c r="D658" t="inlineStr">
        <is>
          <t>JÄMTLANDS LÄN</t>
        </is>
      </c>
      <c r="E658" t="inlineStr">
        <is>
          <t>RAGUNDA</t>
        </is>
      </c>
      <c r="F658" t="inlineStr">
        <is>
          <t>SCA</t>
        </is>
      </c>
      <c r="G658" t="n">
        <v>14.3</v>
      </c>
      <c r="H658" t="n">
        <v>0</v>
      </c>
      <c r="I658" t="n">
        <v>0</v>
      </c>
      <c r="J658" t="n">
        <v>0</v>
      </c>
      <c r="K658" t="n">
        <v>0</v>
      </c>
      <c r="L658" t="n">
        <v>0</v>
      </c>
      <c r="M658" t="n">
        <v>0</v>
      </c>
      <c r="N658" t="n">
        <v>0</v>
      </c>
      <c r="O658" t="n">
        <v>0</v>
      </c>
      <c r="P658" t="n">
        <v>0</v>
      </c>
      <c r="Q658" t="n">
        <v>0</v>
      </c>
      <c r="R658" s="2" t="inlineStr"/>
    </row>
    <row r="659" ht="15" customHeight="1">
      <c r="A659" t="inlineStr">
        <is>
          <t>A 9548-2025</t>
        </is>
      </c>
      <c r="B659" s="1" t="n">
        <v>45715.59405092592</v>
      </c>
      <c r="C659" s="1" t="n">
        <v>45966</v>
      </c>
      <c r="D659" t="inlineStr">
        <is>
          <t>JÄMTLANDS LÄN</t>
        </is>
      </c>
      <c r="E659" t="inlineStr">
        <is>
          <t>RAGUNDA</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24861-2023</t>
        </is>
      </c>
      <c r="B660" s="1" t="n">
        <v>45078</v>
      </c>
      <c r="C660" s="1" t="n">
        <v>45966</v>
      </c>
      <c r="D660" t="inlineStr">
        <is>
          <t>JÄMTLANDS LÄN</t>
        </is>
      </c>
      <c r="E660" t="inlineStr">
        <is>
          <t>RAGUNDA</t>
        </is>
      </c>
      <c r="G660" t="n">
        <v>1.3</v>
      </c>
      <c r="H660" t="n">
        <v>0</v>
      </c>
      <c r="I660" t="n">
        <v>0</v>
      </c>
      <c r="J660" t="n">
        <v>0</v>
      </c>
      <c r="K660" t="n">
        <v>0</v>
      </c>
      <c r="L660" t="n">
        <v>0</v>
      </c>
      <c r="M660" t="n">
        <v>0</v>
      </c>
      <c r="N660" t="n">
        <v>0</v>
      </c>
      <c r="O660" t="n">
        <v>0</v>
      </c>
      <c r="P660" t="n">
        <v>0</v>
      </c>
      <c r="Q660" t="n">
        <v>0</v>
      </c>
      <c r="R660" s="2" t="inlineStr"/>
    </row>
    <row r="661" ht="15" customHeight="1">
      <c r="A661" t="inlineStr">
        <is>
          <t>A 50711-2025</t>
        </is>
      </c>
      <c r="B661" s="1" t="n">
        <v>45946.34431712963</v>
      </c>
      <c r="C661" s="1" t="n">
        <v>45966</v>
      </c>
      <c r="D661" t="inlineStr">
        <is>
          <t>JÄMTLANDS LÄN</t>
        </is>
      </c>
      <c r="E661" t="inlineStr">
        <is>
          <t>RAGUNDA</t>
        </is>
      </c>
      <c r="F661" t="inlineStr">
        <is>
          <t>SCA</t>
        </is>
      </c>
      <c r="G661" t="n">
        <v>8</v>
      </c>
      <c r="H661" t="n">
        <v>0</v>
      </c>
      <c r="I661" t="n">
        <v>0</v>
      </c>
      <c r="J661" t="n">
        <v>0</v>
      </c>
      <c r="K661" t="n">
        <v>0</v>
      </c>
      <c r="L661" t="n">
        <v>0</v>
      </c>
      <c r="M661" t="n">
        <v>0</v>
      </c>
      <c r="N661" t="n">
        <v>0</v>
      </c>
      <c r="O661" t="n">
        <v>0</v>
      </c>
      <c r="P661" t="n">
        <v>0</v>
      </c>
      <c r="Q661" t="n">
        <v>0</v>
      </c>
      <c r="R661" s="2" t="inlineStr"/>
    </row>
    <row r="662" ht="15" customHeight="1">
      <c r="A662" t="inlineStr">
        <is>
          <t>A 13905-2025</t>
        </is>
      </c>
      <c r="B662" s="1" t="n">
        <v>45737.63574074074</v>
      </c>
      <c r="C662" s="1" t="n">
        <v>45966</v>
      </c>
      <c r="D662" t="inlineStr">
        <is>
          <t>JÄMTLANDS LÄN</t>
        </is>
      </c>
      <c r="E662" t="inlineStr">
        <is>
          <t>RAGUNDA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13941-2025</t>
        </is>
      </c>
      <c r="B663" s="1" t="n">
        <v>45737.69822916666</v>
      </c>
      <c r="C663" s="1" t="n">
        <v>45966</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53989-2024</t>
        </is>
      </c>
      <c r="B664" s="1" t="n">
        <v>45616.34479166667</v>
      </c>
      <c r="C664" s="1" t="n">
        <v>45966</v>
      </c>
      <c r="D664" t="inlineStr">
        <is>
          <t>JÄMTLANDS LÄN</t>
        </is>
      </c>
      <c r="E664" t="inlineStr">
        <is>
          <t>RAGUNDA</t>
        </is>
      </c>
      <c r="F664" t="inlineStr">
        <is>
          <t>SCA</t>
        </is>
      </c>
      <c r="G664" t="n">
        <v>7.2</v>
      </c>
      <c r="H664" t="n">
        <v>0</v>
      </c>
      <c r="I664" t="n">
        <v>0</v>
      </c>
      <c r="J664" t="n">
        <v>0</v>
      </c>
      <c r="K664" t="n">
        <v>0</v>
      </c>
      <c r="L664" t="n">
        <v>0</v>
      </c>
      <c r="M664" t="n">
        <v>0</v>
      </c>
      <c r="N664" t="n">
        <v>0</v>
      </c>
      <c r="O664" t="n">
        <v>0</v>
      </c>
      <c r="P664" t="n">
        <v>0</v>
      </c>
      <c r="Q664" t="n">
        <v>0</v>
      </c>
      <c r="R664" s="2" t="inlineStr"/>
    </row>
    <row r="665" ht="15" customHeight="1">
      <c r="A665" t="inlineStr">
        <is>
          <t>A 50160-2023</t>
        </is>
      </c>
      <c r="B665" s="1" t="n">
        <v>45208</v>
      </c>
      <c r="C665" s="1" t="n">
        <v>45966</v>
      </c>
      <c r="D665" t="inlineStr">
        <is>
          <t>JÄMTLANDS LÄN</t>
        </is>
      </c>
      <c r="E665" t="inlineStr">
        <is>
          <t>RAGUNDA</t>
        </is>
      </c>
      <c r="G665" t="n">
        <v>4.6</v>
      </c>
      <c r="H665" t="n">
        <v>0</v>
      </c>
      <c r="I665" t="n">
        <v>0</v>
      </c>
      <c r="J665" t="n">
        <v>0</v>
      </c>
      <c r="K665" t="n">
        <v>0</v>
      </c>
      <c r="L665" t="n">
        <v>0</v>
      </c>
      <c r="M665" t="n">
        <v>0</v>
      </c>
      <c r="N665" t="n">
        <v>0</v>
      </c>
      <c r="O665" t="n">
        <v>0</v>
      </c>
      <c r="P665" t="n">
        <v>0</v>
      </c>
      <c r="Q665" t="n">
        <v>0</v>
      </c>
      <c r="R665" s="2" t="inlineStr"/>
    </row>
    <row r="666" ht="15" customHeight="1">
      <c r="A666" t="inlineStr">
        <is>
          <t>A 15581-2024</t>
        </is>
      </c>
      <c r="B666" s="1" t="n">
        <v>45401</v>
      </c>
      <c r="C666" s="1" t="n">
        <v>45966</v>
      </c>
      <c r="D666" t="inlineStr">
        <is>
          <t>JÄMTLANDS LÄN</t>
        </is>
      </c>
      <c r="E666" t="inlineStr">
        <is>
          <t>RAGUNDA</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15611-2024</t>
        </is>
      </c>
      <c r="B667" s="1" t="n">
        <v>45401</v>
      </c>
      <c r="C667" s="1" t="n">
        <v>45966</v>
      </c>
      <c r="D667" t="inlineStr">
        <is>
          <t>JÄMTLANDS LÄN</t>
        </is>
      </c>
      <c r="E667" t="inlineStr">
        <is>
          <t>RAGUNDA</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50985-2025</t>
        </is>
      </c>
      <c r="B668" s="1" t="n">
        <v>45947.34506944445</v>
      </c>
      <c r="C668" s="1" t="n">
        <v>45966</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50719-2025</t>
        </is>
      </c>
      <c r="B669" s="1" t="n">
        <v>45946.34642361111</v>
      </c>
      <c r="C669" s="1" t="n">
        <v>45966</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23528-2024</t>
        </is>
      </c>
      <c r="B670" s="1" t="n">
        <v>45453.95016203704</v>
      </c>
      <c r="C670" s="1" t="n">
        <v>45966</v>
      </c>
      <c r="D670" t="inlineStr">
        <is>
          <t>JÄMTLANDS LÄN</t>
        </is>
      </c>
      <c r="E670" t="inlineStr">
        <is>
          <t>RAGUNDA</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4594-2024</t>
        </is>
      </c>
      <c r="B671" s="1" t="n">
        <v>45327.94459490741</v>
      </c>
      <c r="C671" s="1" t="n">
        <v>45966</v>
      </c>
      <c r="D671" t="inlineStr">
        <is>
          <t>JÄMTLANDS LÄN</t>
        </is>
      </c>
      <c r="E671" t="inlineStr">
        <is>
          <t>RAGUNDA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42269-2025</t>
        </is>
      </c>
      <c r="B672" s="1" t="n">
        <v>45904.60431712963</v>
      </c>
      <c r="C672" s="1" t="n">
        <v>45966</v>
      </c>
      <c r="D672" t="inlineStr">
        <is>
          <t>JÄMTLANDS LÄN</t>
        </is>
      </c>
      <c r="E672" t="inlineStr">
        <is>
          <t>RAGUNDA</t>
        </is>
      </c>
      <c r="G672" t="n">
        <v>4.3</v>
      </c>
      <c r="H672" t="n">
        <v>0</v>
      </c>
      <c r="I672" t="n">
        <v>0</v>
      </c>
      <c r="J672" t="n">
        <v>0</v>
      </c>
      <c r="K672" t="n">
        <v>0</v>
      </c>
      <c r="L672" t="n">
        <v>0</v>
      </c>
      <c r="M672" t="n">
        <v>0</v>
      </c>
      <c r="N672" t="n">
        <v>0</v>
      </c>
      <c r="O672" t="n">
        <v>0</v>
      </c>
      <c r="P672" t="n">
        <v>0</v>
      </c>
      <c r="Q672" t="n">
        <v>0</v>
      </c>
      <c r="R672" s="2" t="inlineStr"/>
    </row>
    <row r="673" ht="15" customHeight="1">
      <c r="A673" t="inlineStr">
        <is>
          <t>A 30824-2023</t>
        </is>
      </c>
      <c r="B673" s="1" t="n">
        <v>45112.94303240741</v>
      </c>
      <c r="C673" s="1" t="n">
        <v>45966</v>
      </c>
      <c r="D673" t="inlineStr">
        <is>
          <t>JÄMTLANDS LÄN</t>
        </is>
      </c>
      <c r="E673" t="inlineStr">
        <is>
          <t>RAGUNDA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51491-2025</t>
        </is>
      </c>
      <c r="B674" s="1" t="n">
        <v>45950.63362268519</v>
      </c>
      <c r="C674" s="1" t="n">
        <v>45966</v>
      </c>
      <c r="D674" t="inlineStr">
        <is>
          <t>JÄMTLANDS LÄN</t>
        </is>
      </c>
      <c r="E674" t="inlineStr">
        <is>
          <t>RAGUNDA</t>
        </is>
      </c>
      <c r="G674" t="n">
        <v>1.1</v>
      </c>
      <c r="H674" t="n">
        <v>0</v>
      </c>
      <c r="I674" t="n">
        <v>0</v>
      </c>
      <c r="J674" t="n">
        <v>0</v>
      </c>
      <c r="K674" t="n">
        <v>0</v>
      </c>
      <c r="L674" t="n">
        <v>0</v>
      </c>
      <c r="M674" t="n">
        <v>0</v>
      </c>
      <c r="N674" t="n">
        <v>0</v>
      </c>
      <c r="O674" t="n">
        <v>0</v>
      </c>
      <c r="P674" t="n">
        <v>0</v>
      </c>
      <c r="Q674" t="n">
        <v>0</v>
      </c>
      <c r="R674" s="2" t="inlineStr"/>
    </row>
    <row r="675" ht="15" customHeight="1">
      <c r="A675" t="inlineStr">
        <is>
          <t>A 51245-2024</t>
        </is>
      </c>
      <c r="B675" s="1" t="n">
        <v>45603.67850694444</v>
      </c>
      <c r="C675" s="1" t="n">
        <v>45966</v>
      </c>
      <c r="D675" t="inlineStr">
        <is>
          <t>JÄMTLANDS LÄN</t>
        </is>
      </c>
      <c r="E675" t="inlineStr">
        <is>
          <t>RAGUNDA</t>
        </is>
      </c>
      <c r="G675" t="n">
        <v>0.9</v>
      </c>
      <c r="H675" t="n">
        <v>0</v>
      </c>
      <c r="I675" t="n">
        <v>0</v>
      </c>
      <c r="J675" t="n">
        <v>0</v>
      </c>
      <c r="K675" t="n">
        <v>0</v>
      </c>
      <c r="L675" t="n">
        <v>0</v>
      </c>
      <c r="M675" t="n">
        <v>0</v>
      </c>
      <c r="N675" t="n">
        <v>0</v>
      </c>
      <c r="O675" t="n">
        <v>0</v>
      </c>
      <c r="P675" t="n">
        <v>0</v>
      </c>
      <c r="Q675" t="n">
        <v>0</v>
      </c>
      <c r="R675" s="2" t="inlineStr"/>
    </row>
    <row r="676" ht="15" customHeight="1">
      <c r="A676" t="inlineStr">
        <is>
          <t>A 51791-2025</t>
        </is>
      </c>
      <c r="B676" s="1" t="n">
        <v>45951.69833333333</v>
      </c>
      <c r="C676" s="1" t="n">
        <v>45966</v>
      </c>
      <c r="D676" t="inlineStr">
        <is>
          <t>JÄMTLANDS LÄN</t>
        </is>
      </c>
      <c r="E676" t="inlineStr">
        <is>
          <t>RAGUNDA</t>
        </is>
      </c>
      <c r="F676" t="inlineStr">
        <is>
          <t>SCA</t>
        </is>
      </c>
      <c r="G676" t="n">
        <v>43.3</v>
      </c>
      <c r="H676" t="n">
        <v>0</v>
      </c>
      <c r="I676" t="n">
        <v>0</v>
      </c>
      <c r="J676" t="n">
        <v>0</v>
      </c>
      <c r="K676" t="n">
        <v>0</v>
      </c>
      <c r="L676" t="n">
        <v>0</v>
      </c>
      <c r="M676" t="n">
        <v>0</v>
      </c>
      <c r="N676" t="n">
        <v>0</v>
      </c>
      <c r="O676" t="n">
        <v>0</v>
      </c>
      <c r="P676" t="n">
        <v>0</v>
      </c>
      <c r="Q676" t="n">
        <v>0</v>
      </c>
      <c r="R676" s="2" t="inlineStr"/>
    </row>
    <row r="677" ht="15" customHeight="1">
      <c r="A677" t="inlineStr">
        <is>
          <t>A 51484-2025</t>
        </is>
      </c>
      <c r="B677" s="1" t="n">
        <v>45950.62196759259</v>
      </c>
      <c r="C677" s="1" t="n">
        <v>45966</v>
      </c>
      <c r="D677" t="inlineStr">
        <is>
          <t>JÄMTLANDS LÄN</t>
        </is>
      </c>
      <c r="E677" t="inlineStr">
        <is>
          <t>RAGUNDA</t>
        </is>
      </c>
      <c r="F677" t="inlineStr">
        <is>
          <t>SCA</t>
        </is>
      </c>
      <c r="G677" t="n">
        <v>23.1</v>
      </c>
      <c r="H677" t="n">
        <v>0</v>
      </c>
      <c r="I677" t="n">
        <v>0</v>
      </c>
      <c r="J677" t="n">
        <v>0</v>
      </c>
      <c r="K677" t="n">
        <v>0</v>
      </c>
      <c r="L677" t="n">
        <v>0</v>
      </c>
      <c r="M677" t="n">
        <v>0</v>
      </c>
      <c r="N677" t="n">
        <v>0</v>
      </c>
      <c r="O677" t="n">
        <v>0</v>
      </c>
      <c r="P677" t="n">
        <v>0</v>
      </c>
      <c r="Q677" t="n">
        <v>0</v>
      </c>
      <c r="R677" s="2" t="inlineStr"/>
    </row>
    <row r="678" ht="15" customHeight="1">
      <c r="A678" t="inlineStr">
        <is>
          <t>A 51678-2025</t>
        </is>
      </c>
      <c r="B678" s="1" t="n">
        <v>45951.51106481482</v>
      </c>
      <c r="C678" s="1" t="n">
        <v>45966</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51593-2025</t>
        </is>
      </c>
      <c r="B679" s="1" t="n">
        <v>45951.36548611111</v>
      </c>
      <c r="C679" s="1" t="n">
        <v>45966</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53955-2022</t>
        </is>
      </c>
      <c r="B680" s="1" t="n">
        <v>44880.95741898148</v>
      </c>
      <c r="C680" s="1" t="n">
        <v>45966</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16635-2025</t>
        </is>
      </c>
      <c r="B681" s="1" t="n">
        <v>45754</v>
      </c>
      <c r="C681" s="1" t="n">
        <v>45966</v>
      </c>
      <c r="D681" t="inlineStr">
        <is>
          <t>JÄMTLANDS LÄN</t>
        </is>
      </c>
      <c r="E681" t="inlineStr">
        <is>
          <t>RAGUNDA</t>
        </is>
      </c>
      <c r="F681" t="inlineStr">
        <is>
          <t>SCA</t>
        </is>
      </c>
      <c r="G681" t="n">
        <v>55.4</v>
      </c>
      <c r="H681" t="n">
        <v>0</v>
      </c>
      <c r="I681" t="n">
        <v>0</v>
      </c>
      <c r="J681" t="n">
        <v>0</v>
      </c>
      <c r="K681" t="n">
        <v>0</v>
      </c>
      <c r="L681" t="n">
        <v>0</v>
      </c>
      <c r="M681" t="n">
        <v>0</v>
      </c>
      <c r="N681" t="n">
        <v>0</v>
      </c>
      <c r="O681" t="n">
        <v>0</v>
      </c>
      <c r="P681" t="n">
        <v>0</v>
      </c>
      <c r="Q681" t="n">
        <v>0</v>
      </c>
      <c r="R681" s="2" t="inlineStr"/>
    </row>
    <row r="682" ht="15" customHeight="1">
      <c r="A682" t="inlineStr">
        <is>
          <t>A 4014-2022</t>
        </is>
      </c>
      <c r="B682" s="1" t="n">
        <v>44587.92144675926</v>
      </c>
      <c r="C682" s="1" t="n">
        <v>45966</v>
      </c>
      <c r="D682" t="inlineStr">
        <is>
          <t>JÄMTLANDS LÄN</t>
        </is>
      </c>
      <c r="E682" t="inlineStr">
        <is>
          <t>RAGUNDA</t>
        </is>
      </c>
      <c r="G682" t="n">
        <v>3.6</v>
      </c>
      <c r="H682" t="n">
        <v>0</v>
      </c>
      <c r="I682" t="n">
        <v>0</v>
      </c>
      <c r="J682" t="n">
        <v>0</v>
      </c>
      <c r="K682" t="n">
        <v>0</v>
      </c>
      <c r="L682" t="n">
        <v>0</v>
      </c>
      <c r="M682" t="n">
        <v>0</v>
      </c>
      <c r="N682" t="n">
        <v>0</v>
      </c>
      <c r="O682" t="n">
        <v>0</v>
      </c>
      <c r="P682" t="n">
        <v>0</v>
      </c>
      <c r="Q682" t="n">
        <v>0</v>
      </c>
      <c r="R682" s="2" t="inlineStr"/>
    </row>
    <row r="683" ht="15" customHeight="1">
      <c r="A683" t="inlineStr">
        <is>
          <t>A 51592-2025</t>
        </is>
      </c>
      <c r="B683" s="1" t="n">
        <v>45951.36541666667</v>
      </c>
      <c r="C683" s="1" t="n">
        <v>45966</v>
      </c>
      <c r="D683" t="inlineStr">
        <is>
          <t>JÄMTLANDS LÄN</t>
        </is>
      </c>
      <c r="E683" t="inlineStr">
        <is>
          <t>RAGUNDA</t>
        </is>
      </c>
      <c r="G683" t="n">
        <v>1.3</v>
      </c>
      <c r="H683" t="n">
        <v>0</v>
      </c>
      <c r="I683" t="n">
        <v>0</v>
      </c>
      <c r="J683" t="n">
        <v>0</v>
      </c>
      <c r="K683" t="n">
        <v>0</v>
      </c>
      <c r="L683" t="n">
        <v>0</v>
      </c>
      <c r="M683" t="n">
        <v>0</v>
      </c>
      <c r="N683" t="n">
        <v>0</v>
      </c>
      <c r="O683" t="n">
        <v>0</v>
      </c>
      <c r="P683" t="n">
        <v>0</v>
      </c>
      <c r="Q683" t="n">
        <v>0</v>
      </c>
      <c r="R683" s="2" t="inlineStr"/>
    </row>
    <row r="684" ht="15" customHeight="1">
      <c r="A684" t="inlineStr">
        <is>
          <t>A 51702-2025</t>
        </is>
      </c>
      <c r="B684" s="1" t="n">
        <v>45951.55305555555</v>
      </c>
      <c r="C684" s="1" t="n">
        <v>45966</v>
      </c>
      <c r="D684" t="inlineStr">
        <is>
          <t>JÄMTLANDS LÄN</t>
        </is>
      </c>
      <c r="E684" t="inlineStr">
        <is>
          <t>RAGUNDA</t>
        </is>
      </c>
      <c r="G684" t="n">
        <v>11.4</v>
      </c>
      <c r="H684" t="n">
        <v>0</v>
      </c>
      <c r="I684" t="n">
        <v>0</v>
      </c>
      <c r="J684" t="n">
        <v>0</v>
      </c>
      <c r="K684" t="n">
        <v>0</v>
      </c>
      <c r="L684" t="n">
        <v>0</v>
      </c>
      <c r="M684" t="n">
        <v>0</v>
      </c>
      <c r="N684" t="n">
        <v>0</v>
      </c>
      <c r="O684" t="n">
        <v>0</v>
      </c>
      <c r="P684" t="n">
        <v>0</v>
      </c>
      <c r="Q684" t="n">
        <v>0</v>
      </c>
      <c r="R684" s="2" t="inlineStr"/>
    </row>
    <row r="685" ht="15" customHeight="1">
      <c r="A685" t="inlineStr">
        <is>
          <t>A 1554-2024</t>
        </is>
      </c>
      <c r="B685" s="1" t="n">
        <v>45306</v>
      </c>
      <c r="C685" s="1" t="n">
        <v>45966</v>
      </c>
      <c r="D685" t="inlineStr">
        <is>
          <t>JÄMTLANDS LÄN</t>
        </is>
      </c>
      <c r="E685" t="inlineStr">
        <is>
          <t>RAGUNDA</t>
        </is>
      </c>
      <c r="G685" t="n">
        <v>4.3</v>
      </c>
      <c r="H685" t="n">
        <v>0</v>
      </c>
      <c r="I685" t="n">
        <v>0</v>
      </c>
      <c r="J685" t="n">
        <v>0</v>
      </c>
      <c r="K685" t="n">
        <v>0</v>
      </c>
      <c r="L685" t="n">
        <v>0</v>
      </c>
      <c r="M685" t="n">
        <v>0</v>
      </c>
      <c r="N685" t="n">
        <v>0</v>
      </c>
      <c r="O685" t="n">
        <v>0</v>
      </c>
      <c r="P685" t="n">
        <v>0</v>
      </c>
      <c r="Q685" t="n">
        <v>0</v>
      </c>
      <c r="R685" s="2" t="inlineStr"/>
    </row>
    <row r="686" ht="15" customHeight="1">
      <c r="A686" t="inlineStr">
        <is>
          <t>A 41772-2024</t>
        </is>
      </c>
      <c r="B686" s="1" t="n">
        <v>45561.34663194444</v>
      </c>
      <c r="C686" s="1" t="n">
        <v>45966</v>
      </c>
      <c r="D686" t="inlineStr">
        <is>
          <t>JÄMTLANDS LÄN</t>
        </is>
      </c>
      <c r="E686" t="inlineStr">
        <is>
          <t>RAGUNDA</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10972-2022</t>
        </is>
      </c>
      <c r="B687" s="1" t="n">
        <v>44628</v>
      </c>
      <c r="C687" s="1" t="n">
        <v>45966</v>
      </c>
      <c r="D687" t="inlineStr">
        <is>
          <t>JÄMTLANDS LÄN</t>
        </is>
      </c>
      <c r="E687" t="inlineStr">
        <is>
          <t>RAGUNDA</t>
        </is>
      </c>
      <c r="G687" t="n">
        <v>9.5</v>
      </c>
      <c r="H687" t="n">
        <v>0</v>
      </c>
      <c r="I687" t="n">
        <v>0</v>
      </c>
      <c r="J687" t="n">
        <v>0</v>
      </c>
      <c r="K687" t="n">
        <v>0</v>
      </c>
      <c r="L687" t="n">
        <v>0</v>
      </c>
      <c r="M687" t="n">
        <v>0</v>
      </c>
      <c r="N687" t="n">
        <v>0</v>
      </c>
      <c r="O687" t="n">
        <v>0</v>
      </c>
      <c r="P687" t="n">
        <v>0</v>
      </c>
      <c r="Q687" t="n">
        <v>0</v>
      </c>
      <c r="R687" s="2" t="inlineStr"/>
    </row>
    <row r="688" ht="15" customHeight="1">
      <c r="A688" t="inlineStr">
        <is>
          <t>A 51395-2025</t>
        </is>
      </c>
      <c r="B688" s="1" t="n">
        <v>45950.46989583333</v>
      </c>
      <c r="C688" s="1" t="n">
        <v>45966</v>
      </c>
      <c r="D688" t="inlineStr">
        <is>
          <t>JÄMTLANDS LÄN</t>
        </is>
      </c>
      <c r="E688" t="inlineStr">
        <is>
          <t>RAGUNDA</t>
        </is>
      </c>
      <c r="F688" t="inlineStr">
        <is>
          <t>SCA</t>
        </is>
      </c>
      <c r="G688" t="n">
        <v>30.7</v>
      </c>
      <c r="H688" t="n">
        <v>0</v>
      </c>
      <c r="I688" t="n">
        <v>0</v>
      </c>
      <c r="J688" t="n">
        <v>0</v>
      </c>
      <c r="K688" t="n">
        <v>0</v>
      </c>
      <c r="L688" t="n">
        <v>0</v>
      </c>
      <c r="M688" t="n">
        <v>0</v>
      </c>
      <c r="N688" t="n">
        <v>0</v>
      </c>
      <c r="O688" t="n">
        <v>0</v>
      </c>
      <c r="P688" t="n">
        <v>0</v>
      </c>
      <c r="Q688" t="n">
        <v>0</v>
      </c>
      <c r="R688" s="2" t="inlineStr"/>
    </row>
    <row r="689" ht="15" customHeight="1">
      <c r="A689" t="inlineStr">
        <is>
          <t>A 11834-2023</t>
        </is>
      </c>
      <c r="B689" s="1" t="n">
        <v>44994.94296296296</v>
      </c>
      <c r="C689" s="1" t="n">
        <v>45966</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33763-2025</t>
        </is>
      </c>
      <c r="B690" s="1" t="n">
        <v>45842.38579861111</v>
      </c>
      <c r="C690" s="1" t="n">
        <v>45966</v>
      </c>
      <c r="D690" t="inlineStr">
        <is>
          <t>JÄMTLANDS LÄN</t>
        </is>
      </c>
      <c r="E690" t="inlineStr">
        <is>
          <t>RAGUNDA</t>
        </is>
      </c>
      <c r="F690" t="inlineStr">
        <is>
          <t>SCA</t>
        </is>
      </c>
      <c r="G690" t="n">
        <v>13.4</v>
      </c>
      <c r="H690" t="n">
        <v>0</v>
      </c>
      <c r="I690" t="n">
        <v>0</v>
      </c>
      <c r="J690" t="n">
        <v>0</v>
      </c>
      <c r="K690" t="n">
        <v>0</v>
      </c>
      <c r="L690" t="n">
        <v>0</v>
      </c>
      <c r="M690" t="n">
        <v>0</v>
      </c>
      <c r="N690" t="n">
        <v>0</v>
      </c>
      <c r="O690" t="n">
        <v>0</v>
      </c>
      <c r="P690" t="n">
        <v>0</v>
      </c>
      <c r="Q690" t="n">
        <v>0</v>
      </c>
      <c r="R690" s="2" t="inlineStr"/>
    </row>
    <row r="691" ht="15" customHeight="1">
      <c r="A691" t="inlineStr">
        <is>
          <t>A 38782-2021</t>
        </is>
      </c>
      <c r="B691" s="1" t="n">
        <v>44410</v>
      </c>
      <c r="C691" s="1" t="n">
        <v>45966</v>
      </c>
      <c r="D691" t="inlineStr">
        <is>
          <t>JÄMTLANDS LÄN</t>
        </is>
      </c>
      <c r="E691" t="inlineStr">
        <is>
          <t>RAGUNDA</t>
        </is>
      </c>
      <c r="G691" t="n">
        <v>3.2</v>
      </c>
      <c r="H691" t="n">
        <v>0</v>
      </c>
      <c r="I691" t="n">
        <v>0</v>
      </c>
      <c r="J691" t="n">
        <v>0</v>
      </c>
      <c r="K691" t="n">
        <v>0</v>
      </c>
      <c r="L691" t="n">
        <v>0</v>
      </c>
      <c r="M691" t="n">
        <v>0</v>
      </c>
      <c r="N691" t="n">
        <v>0</v>
      </c>
      <c r="O691" t="n">
        <v>0</v>
      </c>
      <c r="P691" t="n">
        <v>0</v>
      </c>
      <c r="Q691" t="n">
        <v>0</v>
      </c>
      <c r="R691" s="2" t="inlineStr"/>
    </row>
    <row r="692" ht="15" customHeight="1">
      <c r="A692" t="inlineStr">
        <is>
          <t>A 20728-2025</t>
        </is>
      </c>
      <c r="B692" s="1" t="n">
        <v>45776.51130787037</v>
      </c>
      <c r="C692" s="1" t="n">
        <v>45966</v>
      </c>
      <c r="D692" t="inlineStr">
        <is>
          <t>JÄMTLANDS LÄN</t>
        </is>
      </c>
      <c r="E692" t="inlineStr">
        <is>
          <t>RAGUNDA</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17559-2023</t>
        </is>
      </c>
      <c r="B693" s="1" t="n">
        <v>45034</v>
      </c>
      <c r="C693" s="1" t="n">
        <v>45966</v>
      </c>
      <c r="D693" t="inlineStr">
        <is>
          <t>JÄMTLANDS LÄN</t>
        </is>
      </c>
      <c r="E693" t="inlineStr">
        <is>
          <t>RAGUNDA</t>
        </is>
      </c>
      <c r="G693" t="n">
        <v>7.5</v>
      </c>
      <c r="H693" t="n">
        <v>0</v>
      </c>
      <c r="I693" t="n">
        <v>0</v>
      </c>
      <c r="J693" t="n">
        <v>0</v>
      </c>
      <c r="K693" t="n">
        <v>0</v>
      </c>
      <c r="L693" t="n">
        <v>0</v>
      </c>
      <c r="M693" t="n">
        <v>0</v>
      </c>
      <c r="N693" t="n">
        <v>0</v>
      </c>
      <c r="O693" t="n">
        <v>0</v>
      </c>
      <c r="P693" t="n">
        <v>0</v>
      </c>
      <c r="Q693" t="n">
        <v>0</v>
      </c>
      <c r="R693" s="2" t="inlineStr"/>
    </row>
    <row r="694" ht="15" customHeight="1">
      <c r="A694" t="inlineStr">
        <is>
          <t>A 51394-2025</t>
        </is>
      </c>
      <c r="B694" s="1" t="n">
        <v>45950.46972222222</v>
      </c>
      <c r="C694" s="1" t="n">
        <v>45966</v>
      </c>
      <c r="D694" t="inlineStr">
        <is>
          <t>JÄMTLANDS LÄN</t>
        </is>
      </c>
      <c r="E694" t="inlineStr">
        <is>
          <t>RAGUNDA</t>
        </is>
      </c>
      <c r="F694" t="inlineStr">
        <is>
          <t>SCA</t>
        </is>
      </c>
      <c r="G694" t="n">
        <v>36.5</v>
      </c>
      <c r="H694" t="n">
        <v>0</v>
      </c>
      <c r="I694" t="n">
        <v>0</v>
      </c>
      <c r="J694" t="n">
        <v>0</v>
      </c>
      <c r="K694" t="n">
        <v>0</v>
      </c>
      <c r="L694" t="n">
        <v>0</v>
      </c>
      <c r="M694" t="n">
        <v>0</v>
      </c>
      <c r="N694" t="n">
        <v>0</v>
      </c>
      <c r="O694" t="n">
        <v>0</v>
      </c>
      <c r="P694" t="n">
        <v>0</v>
      </c>
      <c r="Q694" t="n">
        <v>0</v>
      </c>
      <c r="R694" s="2" t="inlineStr"/>
    </row>
    <row r="695" ht="15" customHeight="1">
      <c r="A695" t="inlineStr">
        <is>
          <t>A 38312-2024</t>
        </is>
      </c>
      <c r="B695" s="1" t="n">
        <v>45545.64957175926</v>
      </c>
      <c r="C695" s="1" t="n">
        <v>45966</v>
      </c>
      <c r="D695" t="inlineStr">
        <is>
          <t>JÄMTLANDS LÄN</t>
        </is>
      </c>
      <c r="E695" t="inlineStr">
        <is>
          <t>RAGUNDA</t>
        </is>
      </c>
      <c r="G695" t="n">
        <v>1.2</v>
      </c>
      <c r="H695" t="n">
        <v>0</v>
      </c>
      <c r="I695" t="n">
        <v>0</v>
      </c>
      <c r="J695" t="n">
        <v>0</v>
      </c>
      <c r="K695" t="n">
        <v>0</v>
      </c>
      <c r="L695" t="n">
        <v>0</v>
      </c>
      <c r="M695" t="n">
        <v>0</v>
      </c>
      <c r="N695" t="n">
        <v>0</v>
      </c>
      <c r="O695" t="n">
        <v>0</v>
      </c>
      <c r="P695" t="n">
        <v>0</v>
      </c>
      <c r="Q695" t="n">
        <v>0</v>
      </c>
      <c r="R695" s="2" t="inlineStr"/>
    </row>
    <row r="696" ht="15" customHeight="1">
      <c r="A696" t="inlineStr">
        <is>
          <t>A 32832-2021</t>
        </is>
      </c>
      <c r="B696" s="1" t="n">
        <v>44375</v>
      </c>
      <c r="C696" s="1" t="n">
        <v>45966</v>
      </c>
      <c r="D696" t="inlineStr">
        <is>
          <t>JÄMTLANDS LÄN</t>
        </is>
      </c>
      <c r="E696" t="inlineStr">
        <is>
          <t>RAGUNDA</t>
        </is>
      </c>
      <c r="G696" t="n">
        <v>3</v>
      </c>
      <c r="H696" t="n">
        <v>0</v>
      </c>
      <c r="I696" t="n">
        <v>0</v>
      </c>
      <c r="J696" t="n">
        <v>0</v>
      </c>
      <c r="K696" t="n">
        <v>0</v>
      </c>
      <c r="L696" t="n">
        <v>0</v>
      </c>
      <c r="M696" t="n">
        <v>0</v>
      </c>
      <c r="N696" t="n">
        <v>0</v>
      </c>
      <c r="O696" t="n">
        <v>0</v>
      </c>
      <c r="P696" t="n">
        <v>0</v>
      </c>
      <c r="Q696" t="n">
        <v>0</v>
      </c>
      <c r="R696" s="2" t="inlineStr"/>
    </row>
    <row r="697" ht="15" customHeight="1">
      <c r="A697" t="inlineStr">
        <is>
          <t>A 22011-2023</t>
        </is>
      </c>
      <c r="B697" s="1" t="n">
        <v>45068</v>
      </c>
      <c r="C697" s="1" t="n">
        <v>45966</v>
      </c>
      <c r="D697" t="inlineStr">
        <is>
          <t>JÄMTLANDS LÄN</t>
        </is>
      </c>
      <c r="E697" t="inlineStr">
        <is>
          <t>RAGUNDA</t>
        </is>
      </c>
      <c r="F697" t="inlineStr">
        <is>
          <t>SCA</t>
        </is>
      </c>
      <c r="G697" t="n">
        <v>12.2</v>
      </c>
      <c r="H697" t="n">
        <v>0</v>
      </c>
      <c r="I697" t="n">
        <v>0</v>
      </c>
      <c r="J697" t="n">
        <v>0</v>
      </c>
      <c r="K697" t="n">
        <v>0</v>
      </c>
      <c r="L697" t="n">
        <v>0</v>
      </c>
      <c r="M697" t="n">
        <v>0</v>
      </c>
      <c r="N697" t="n">
        <v>0</v>
      </c>
      <c r="O697" t="n">
        <v>0</v>
      </c>
      <c r="P697" t="n">
        <v>0</v>
      </c>
      <c r="Q697" t="n">
        <v>0</v>
      </c>
      <c r="R697" s="2" t="inlineStr"/>
    </row>
    <row r="698" ht="15" customHeight="1">
      <c r="A698" t="inlineStr">
        <is>
          <t>A 51906-2025</t>
        </is>
      </c>
      <c r="B698" s="1" t="n">
        <v>45952.4615162037</v>
      </c>
      <c r="C698" s="1" t="n">
        <v>45966</v>
      </c>
      <c r="D698" t="inlineStr">
        <is>
          <t>JÄMTLANDS LÄN</t>
        </is>
      </c>
      <c r="E698" t="inlineStr">
        <is>
          <t>RAGUNDA</t>
        </is>
      </c>
      <c r="G698" t="n">
        <v>4.5</v>
      </c>
      <c r="H698" t="n">
        <v>0</v>
      </c>
      <c r="I698" t="n">
        <v>0</v>
      </c>
      <c r="J698" t="n">
        <v>0</v>
      </c>
      <c r="K698" t="n">
        <v>0</v>
      </c>
      <c r="L698" t="n">
        <v>0</v>
      </c>
      <c r="M698" t="n">
        <v>0</v>
      </c>
      <c r="N698" t="n">
        <v>0</v>
      </c>
      <c r="O698" t="n">
        <v>0</v>
      </c>
      <c r="P698" t="n">
        <v>0</v>
      </c>
      <c r="Q698" t="n">
        <v>0</v>
      </c>
      <c r="R698" s="2" t="inlineStr"/>
    </row>
    <row r="699" ht="15" customHeight="1">
      <c r="A699" t="inlineStr">
        <is>
          <t>A 20653-2025</t>
        </is>
      </c>
      <c r="B699" s="1" t="n">
        <v>45776.40311342593</v>
      </c>
      <c r="C699" s="1" t="n">
        <v>45966</v>
      </c>
      <c r="D699" t="inlineStr">
        <is>
          <t>JÄMTLANDS LÄN</t>
        </is>
      </c>
      <c r="E699" t="inlineStr">
        <is>
          <t>RAGUNDA</t>
        </is>
      </c>
      <c r="G699" t="n">
        <v>10.8</v>
      </c>
      <c r="H699" t="n">
        <v>0</v>
      </c>
      <c r="I699" t="n">
        <v>0</v>
      </c>
      <c r="J699" t="n">
        <v>0</v>
      </c>
      <c r="K699" t="n">
        <v>0</v>
      </c>
      <c r="L699" t="n">
        <v>0</v>
      </c>
      <c r="M699" t="n">
        <v>0</v>
      </c>
      <c r="N699" t="n">
        <v>0</v>
      </c>
      <c r="O699" t="n">
        <v>0</v>
      </c>
      <c r="P699" t="n">
        <v>0</v>
      </c>
      <c r="Q699" t="n">
        <v>0</v>
      </c>
      <c r="R699" s="2" t="inlineStr"/>
    </row>
    <row r="700" ht="15" customHeight="1">
      <c r="A700" t="inlineStr">
        <is>
          <t>A 51882-2025</t>
        </is>
      </c>
      <c r="B700" s="1" t="n">
        <v>45952.40685185185</v>
      </c>
      <c r="C700" s="1" t="n">
        <v>45966</v>
      </c>
      <c r="D700" t="inlineStr">
        <is>
          <t>JÄMTLANDS LÄN</t>
        </is>
      </c>
      <c r="E700" t="inlineStr">
        <is>
          <t>RAGUNDA</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52330-2025</t>
        </is>
      </c>
      <c r="B701" s="1" t="n">
        <v>45953.67752314815</v>
      </c>
      <c r="C701" s="1" t="n">
        <v>45966</v>
      </c>
      <c r="D701" t="inlineStr">
        <is>
          <t>JÄMTLANDS LÄN</t>
        </is>
      </c>
      <c r="E701" t="inlineStr">
        <is>
          <t>RAGUNDA</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20722-2025</t>
        </is>
      </c>
      <c r="B702" s="1" t="n">
        <v>45776.50651620371</v>
      </c>
      <c r="C702" s="1" t="n">
        <v>45966</v>
      </c>
      <c r="D702" t="inlineStr">
        <is>
          <t>JÄMTLANDS LÄN</t>
        </is>
      </c>
      <c r="E702" t="inlineStr">
        <is>
          <t>RAGUNDA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51903-2025</t>
        </is>
      </c>
      <c r="B703" s="1" t="n">
        <v>45952.44857638889</v>
      </c>
      <c r="C703" s="1" t="n">
        <v>45966</v>
      </c>
      <c r="D703" t="inlineStr">
        <is>
          <t>JÄMTLANDS LÄN</t>
        </is>
      </c>
      <c r="E703" t="inlineStr">
        <is>
          <t>RAGUNDA</t>
        </is>
      </c>
      <c r="F703" t="inlineStr">
        <is>
          <t>SCA</t>
        </is>
      </c>
      <c r="G703" t="n">
        <v>20.8</v>
      </c>
      <c r="H703" t="n">
        <v>0</v>
      </c>
      <c r="I703" t="n">
        <v>0</v>
      </c>
      <c r="J703" t="n">
        <v>0</v>
      </c>
      <c r="K703" t="n">
        <v>0</v>
      </c>
      <c r="L703" t="n">
        <v>0</v>
      </c>
      <c r="M703" t="n">
        <v>0</v>
      </c>
      <c r="N703" t="n">
        <v>0</v>
      </c>
      <c r="O703" t="n">
        <v>0</v>
      </c>
      <c r="P703" t="n">
        <v>0</v>
      </c>
      <c r="Q703" t="n">
        <v>0</v>
      </c>
      <c r="R703" s="2" t="inlineStr"/>
    </row>
    <row r="704" ht="15" customHeight="1">
      <c r="A704" t="inlineStr">
        <is>
          <t>A 14158-2024</t>
        </is>
      </c>
      <c r="B704" s="1" t="n">
        <v>45392</v>
      </c>
      <c r="C704" s="1" t="n">
        <v>45966</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20777-2025</t>
        </is>
      </c>
      <c r="B705" s="1" t="n">
        <v>45776.59422453704</v>
      </c>
      <c r="C705" s="1" t="n">
        <v>45966</v>
      </c>
      <c r="D705" t="inlineStr">
        <is>
          <t>JÄMTLANDS LÄN</t>
        </is>
      </c>
      <c r="E705" t="inlineStr">
        <is>
          <t>RAGUNDA</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43177-2025</t>
        </is>
      </c>
      <c r="B706" s="1" t="n">
        <v>45910.40667824074</v>
      </c>
      <c r="C706" s="1" t="n">
        <v>45966</v>
      </c>
      <c r="D706" t="inlineStr">
        <is>
          <t>JÄMTLANDS LÄN</t>
        </is>
      </c>
      <c r="E706" t="inlineStr">
        <is>
          <t>RAGUNDA</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21150-2025</t>
        </is>
      </c>
      <c r="B707" s="1" t="n">
        <v>45779.34417824074</v>
      </c>
      <c r="C707" s="1" t="n">
        <v>45966</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52317-2025</t>
        </is>
      </c>
      <c r="B708" s="1" t="n">
        <v>45953.65675925926</v>
      </c>
      <c r="C708" s="1" t="n">
        <v>45966</v>
      </c>
      <c r="D708" t="inlineStr">
        <is>
          <t>JÄMTLANDS LÄN</t>
        </is>
      </c>
      <c r="E708" t="inlineStr">
        <is>
          <t>RAGUNDA</t>
        </is>
      </c>
      <c r="F708" t="inlineStr">
        <is>
          <t>SCA</t>
        </is>
      </c>
      <c r="G708" t="n">
        <v>27.2</v>
      </c>
      <c r="H708" t="n">
        <v>0</v>
      </c>
      <c r="I708" t="n">
        <v>0</v>
      </c>
      <c r="J708" t="n">
        <v>0</v>
      </c>
      <c r="K708" t="n">
        <v>0</v>
      </c>
      <c r="L708" t="n">
        <v>0</v>
      </c>
      <c r="M708" t="n">
        <v>0</v>
      </c>
      <c r="N708" t="n">
        <v>0</v>
      </c>
      <c r="O708" t="n">
        <v>0</v>
      </c>
      <c r="P708" t="n">
        <v>0</v>
      </c>
      <c r="Q708" t="n">
        <v>0</v>
      </c>
      <c r="R708" s="2" t="inlineStr"/>
    </row>
    <row r="709" ht="15" customHeight="1">
      <c r="A709" t="inlineStr">
        <is>
          <t>A 21214-2025</t>
        </is>
      </c>
      <c r="B709" s="1" t="n">
        <v>45779.49025462963</v>
      </c>
      <c r="C709" s="1" t="n">
        <v>45966</v>
      </c>
      <c r="D709" t="inlineStr">
        <is>
          <t>JÄMTLANDS LÄN</t>
        </is>
      </c>
      <c r="E709" t="inlineStr">
        <is>
          <t>RAGUNDA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43181-2025</t>
        </is>
      </c>
      <c r="B710" s="1" t="n">
        <v>45910.40721064815</v>
      </c>
      <c r="C710" s="1" t="n">
        <v>45966</v>
      </c>
      <c r="D710" t="inlineStr">
        <is>
          <t>JÄMTLANDS LÄN</t>
        </is>
      </c>
      <c r="E710" t="inlineStr">
        <is>
          <t>RAGUNDA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22941-2024</t>
        </is>
      </c>
      <c r="B711" s="1" t="n">
        <v>45448.94520833333</v>
      </c>
      <c r="C711" s="1" t="n">
        <v>45966</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42508-2023</t>
        </is>
      </c>
      <c r="B712" s="1" t="n">
        <v>45180.95907407408</v>
      </c>
      <c r="C712" s="1" t="n">
        <v>45966</v>
      </c>
      <c r="D712" t="inlineStr">
        <is>
          <t>JÄMTLANDS LÄN</t>
        </is>
      </c>
      <c r="E712" t="inlineStr">
        <is>
          <t>RAGUNDA</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52093-2025</t>
        </is>
      </c>
      <c r="B713" s="1" t="n">
        <v>45952.67865740741</v>
      </c>
      <c r="C713" s="1" t="n">
        <v>45966</v>
      </c>
      <c r="D713" t="inlineStr">
        <is>
          <t>JÄMTLANDS LÄN</t>
        </is>
      </c>
      <c r="E713" t="inlineStr">
        <is>
          <t>RAGUNDA</t>
        </is>
      </c>
      <c r="F713" t="inlineStr">
        <is>
          <t>SCA</t>
        </is>
      </c>
      <c r="G713" t="n">
        <v>22.7</v>
      </c>
      <c r="H713" t="n">
        <v>0</v>
      </c>
      <c r="I713" t="n">
        <v>0</v>
      </c>
      <c r="J713" t="n">
        <v>0</v>
      </c>
      <c r="K713" t="n">
        <v>0</v>
      </c>
      <c r="L713" t="n">
        <v>0</v>
      </c>
      <c r="M713" t="n">
        <v>0</v>
      </c>
      <c r="N713" t="n">
        <v>0</v>
      </c>
      <c r="O713" t="n">
        <v>0</v>
      </c>
      <c r="P713" t="n">
        <v>0</v>
      </c>
      <c r="Q713" t="n">
        <v>0</v>
      </c>
      <c r="R713" s="2" t="inlineStr"/>
    </row>
    <row r="714" ht="15" customHeight="1">
      <c r="A714" t="inlineStr">
        <is>
          <t>A 52122-2025</t>
        </is>
      </c>
      <c r="B714" s="1" t="n">
        <v>45952.71946759259</v>
      </c>
      <c r="C714" s="1" t="n">
        <v>45966</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21430-2025</t>
        </is>
      </c>
      <c r="B715" s="1" t="n">
        <v>45782.51099537037</v>
      </c>
      <c r="C715" s="1" t="n">
        <v>45966</v>
      </c>
      <c r="D715" t="inlineStr">
        <is>
          <t>JÄMTLANDS LÄN</t>
        </is>
      </c>
      <c r="E715" t="inlineStr">
        <is>
          <t>RAGUNDA</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44881-2023</t>
        </is>
      </c>
      <c r="B716" s="1" t="n">
        <v>45187</v>
      </c>
      <c r="C716" s="1" t="n">
        <v>45966</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35274-2023</t>
        </is>
      </c>
      <c r="B717" s="1" t="n">
        <v>45145</v>
      </c>
      <c r="C717" s="1" t="n">
        <v>45966</v>
      </c>
      <c r="D717" t="inlineStr">
        <is>
          <t>JÄMTLANDS LÄN</t>
        </is>
      </c>
      <c r="E717" t="inlineStr">
        <is>
          <t>RAGUNDA</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21451-2025</t>
        </is>
      </c>
      <c r="B718" s="1" t="n">
        <v>45782.55287037037</v>
      </c>
      <c r="C718" s="1" t="n">
        <v>45966</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21332-2025</t>
        </is>
      </c>
      <c r="B719" s="1" t="n">
        <v>45782.36506944444</v>
      </c>
      <c r="C719" s="1" t="n">
        <v>45966</v>
      </c>
      <c r="D719" t="inlineStr">
        <is>
          <t>JÄMTLANDS LÄN</t>
        </is>
      </c>
      <c r="E719" t="inlineStr">
        <is>
          <t>RAGUNDA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21432-2025</t>
        </is>
      </c>
      <c r="B720" s="1" t="n">
        <v>45782.51109953703</v>
      </c>
      <c r="C720" s="1" t="n">
        <v>45966</v>
      </c>
      <c r="D720" t="inlineStr">
        <is>
          <t>JÄMTLANDS LÄN</t>
        </is>
      </c>
      <c r="E720" t="inlineStr">
        <is>
          <t>RAGUNDA</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21331-2025</t>
        </is>
      </c>
      <c r="B721" s="1" t="n">
        <v>45782.36494212963</v>
      </c>
      <c r="C721" s="1" t="n">
        <v>45966</v>
      </c>
      <c r="D721" t="inlineStr">
        <is>
          <t>JÄMTLANDS LÄN</t>
        </is>
      </c>
      <c r="E721" t="inlineStr">
        <is>
          <t>RAGUNDA</t>
        </is>
      </c>
      <c r="F721" t="inlineStr">
        <is>
          <t>SCA</t>
        </is>
      </c>
      <c r="G721" t="n">
        <v>23.1</v>
      </c>
      <c r="H721" t="n">
        <v>0</v>
      </c>
      <c r="I721" t="n">
        <v>0</v>
      </c>
      <c r="J721" t="n">
        <v>0</v>
      </c>
      <c r="K721" t="n">
        <v>0</v>
      </c>
      <c r="L721" t="n">
        <v>0</v>
      </c>
      <c r="M721" t="n">
        <v>0</v>
      </c>
      <c r="N721" t="n">
        <v>0</v>
      </c>
      <c r="O721" t="n">
        <v>0</v>
      </c>
      <c r="P721" t="n">
        <v>0</v>
      </c>
      <c r="Q721" t="n">
        <v>0</v>
      </c>
      <c r="R721" s="2" t="inlineStr"/>
      <c r="U721">
        <f>HYPERLINK("https://klasma.github.io/Logging_2303/knärot/A 21331-2025 karta knärot.png", "A 21331-2025")</f>
        <v/>
      </c>
      <c r="V721">
        <f>HYPERLINK("https://klasma.github.io/Logging_2303/klagomål/A 21331-2025 FSC-klagomål.docx", "A 21331-2025")</f>
        <v/>
      </c>
      <c r="W721">
        <f>HYPERLINK("https://klasma.github.io/Logging_2303/klagomålsmail/A 21331-2025 FSC-klagomål mail.docx", "A 21331-2025")</f>
        <v/>
      </c>
      <c r="X721">
        <f>HYPERLINK("https://klasma.github.io/Logging_2303/tillsyn/A 21331-2025 tillsynsbegäran.docx", "A 21331-2025")</f>
        <v/>
      </c>
      <c r="Y721">
        <f>HYPERLINK("https://klasma.github.io/Logging_2303/tillsynsmail/A 21331-2025 tillsynsbegäran mail.docx", "A 21331-2025")</f>
        <v/>
      </c>
    </row>
    <row r="722" ht="15" customHeight="1">
      <c r="A722" t="inlineStr">
        <is>
          <t>A 43330-2025</t>
        </is>
      </c>
      <c r="B722" s="1" t="n">
        <v>45910.67766203704</v>
      </c>
      <c r="C722" s="1" t="n">
        <v>45966</v>
      </c>
      <c r="D722" t="inlineStr">
        <is>
          <t>JÄMTLANDS LÄN</t>
        </is>
      </c>
      <c r="E722" t="inlineStr">
        <is>
          <t>RAGUNDA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51932-2025</t>
        </is>
      </c>
      <c r="B723" s="1" t="n">
        <v>45952.51094907407</v>
      </c>
      <c r="C723" s="1" t="n">
        <v>45966</v>
      </c>
      <c r="D723" t="inlineStr">
        <is>
          <t>JÄMTLANDS LÄN</t>
        </is>
      </c>
      <c r="E723" t="inlineStr">
        <is>
          <t>RAGUNDA</t>
        </is>
      </c>
      <c r="F723" t="inlineStr">
        <is>
          <t>SCA</t>
        </is>
      </c>
      <c r="G723" t="n">
        <v>39.2</v>
      </c>
      <c r="H723" t="n">
        <v>0</v>
      </c>
      <c r="I723" t="n">
        <v>0</v>
      </c>
      <c r="J723" t="n">
        <v>0</v>
      </c>
      <c r="K723" t="n">
        <v>0</v>
      </c>
      <c r="L723" t="n">
        <v>0</v>
      </c>
      <c r="M723" t="n">
        <v>0</v>
      </c>
      <c r="N723" t="n">
        <v>0</v>
      </c>
      <c r="O723" t="n">
        <v>0</v>
      </c>
      <c r="P723" t="n">
        <v>0</v>
      </c>
      <c r="Q723" t="n">
        <v>0</v>
      </c>
      <c r="R723" s="2" t="inlineStr"/>
    </row>
    <row r="724" ht="15" customHeight="1">
      <c r="A724" t="inlineStr">
        <is>
          <t>A 12983-2025</t>
        </is>
      </c>
      <c r="B724" s="1" t="n">
        <v>45734.4633912037</v>
      </c>
      <c r="C724" s="1" t="n">
        <v>45966</v>
      </c>
      <c r="D724" t="inlineStr">
        <is>
          <t>JÄMTLANDS LÄN</t>
        </is>
      </c>
      <c r="E724" t="inlineStr">
        <is>
          <t>RAGUNDA</t>
        </is>
      </c>
      <c r="G724" t="n">
        <v>5.2</v>
      </c>
      <c r="H724" t="n">
        <v>0</v>
      </c>
      <c r="I724" t="n">
        <v>0</v>
      </c>
      <c r="J724" t="n">
        <v>0</v>
      </c>
      <c r="K724" t="n">
        <v>0</v>
      </c>
      <c r="L724" t="n">
        <v>0</v>
      </c>
      <c r="M724" t="n">
        <v>0</v>
      </c>
      <c r="N724" t="n">
        <v>0</v>
      </c>
      <c r="O724" t="n">
        <v>0</v>
      </c>
      <c r="P724" t="n">
        <v>0</v>
      </c>
      <c r="Q724" t="n">
        <v>0</v>
      </c>
      <c r="R724" s="2" t="inlineStr"/>
    </row>
    <row r="725" ht="15" customHeight="1">
      <c r="A725" t="inlineStr">
        <is>
          <t>A 17598-2021</t>
        </is>
      </c>
      <c r="B725" s="1" t="n">
        <v>44299</v>
      </c>
      <c r="C725" s="1" t="n">
        <v>45966</v>
      </c>
      <c r="D725" t="inlineStr">
        <is>
          <t>JÄMTLANDS LÄN</t>
        </is>
      </c>
      <c r="E725" t="inlineStr">
        <is>
          <t>RAGUNDA</t>
        </is>
      </c>
      <c r="G725" t="n">
        <v>4.6</v>
      </c>
      <c r="H725" t="n">
        <v>0</v>
      </c>
      <c r="I725" t="n">
        <v>0</v>
      </c>
      <c r="J725" t="n">
        <v>0</v>
      </c>
      <c r="K725" t="n">
        <v>0</v>
      </c>
      <c r="L725" t="n">
        <v>0</v>
      </c>
      <c r="M725" t="n">
        <v>0</v>
      </c>
      <c r="N725" t="n">
        <v>0</v>
      </c>
      <c r="O725" t="n">
        <v>0</v>
      </c>
      <c r="P725" t="n">
        <v>0</v>
      </c>
      <c r="Q725" t="n">
        <v>0</v>
      </c>
      <c r="R725" s="2" t="inlineStr"/>
    </row>
    <row r="726" ht="15" customHeight="1">
      <c r="A726" t="inlineStr">
        <is>
          <t>A 52875-2025</t>
        </is>
      </c>
      <c r="B726" s="1" t="n">
        <v>45957.53211805555</v>
      </c>
      <c r="C726" s="1" t="n">
        <v>45966</v>
      </c>
      <c r="D726" t="inlineStr">
        <is>
          <t>JÄMTLANDS LÄN</t>
        </is>
      </c>
      <c r="E726" t="inlineStr">
        <is>
          <t>RAGUNDA</t>
        </is>
      </c>
      <c r="F726" t="inlineStr">
        <is>
          <t>SCA</t>
        </is>
      </c>
      <c r="G726" t="n">
        <v>34.3</v>
      </c>
      <c r="H726" t="n">
        <v>0</v>
      </c>
      <c r="I726" t="n">
        <v>0</v>
      </c>
      <c r="J726" t="n">
        <v>0</v>
      </c>
      <c r="K726" t="n">
        <v>0</v>
      </c>
      <c r="L726" t="n">
        <v>0</v>
      </c>
      <c r="M726" t="n">
        <v>0</v>
      </c>
      <c r="N726" t="n">
        <v>0</v>
      </c>
      <c r="O726" t="n">
        <v>0</v>
      </c>
      <c r="P726" t="n">
        <v>0</v>
      </c>
      <c r="Q726" t="n">
        <v>0</v>
      </c>
      <c r="R726" s="2" t="inlineStr"/>
    </row>
    <row r="727" ht="15" customHeight="1">
      <c r="A727" t="inlineStr">
        <is>
          <t>A 21550-2025</t>
        </is>
      </c>
      <c r="B727" s="1" t="n">
        <v>45782.67758101852</v>
      </c>
      <c r="C727" s="1" t="n">
        <v>45966</v>
      </c>
      <c r="D727" t="inlineStr">
        <is>
          <t>JÄMTLANDS LÄN</t>
        </is>
      </c>
      <c r="E727" t="inlineStr">
        <is>
          <t>RAGUNDA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52972-2025</t>
        </is>
      </c>
      <c r="B728" s="1" t="n">
        <v>45957.67783564814</v>
      </c>
      <c r="C728" s="1" t="n">
        <v>45966</v>
      </c>
      <c r="D728" t="inlineStr">
        <is>
          <t>JÄMTLANDS LÄN</t>
        </is>
      </c>
      <c r="E728" t="inlineStr">
        <is>
          <t>RAGUNDA</t>
        </is>
      </c>
      <c r="F728" t="inlineStr">
        <is>
          <t>SCA</t>
        </is>
      </c>
      <c r="G728" t="n">
        <v>53.4</v>
      </c>
      <c r="H728" t="n">
        <v>0</v>
      </c>
      <c r="I728" t="n">
        <v>0</v>
      </c>
      <c r="J728" t="n">
        <v>0</v>
      </c>
      <c r="K728" t="n">
        <v>0</v>
      </c>
      <c r="L728" t="n">
        <v>0</v>
      </c>
      <c r="M728" t="n">
        <v>0</v>
      </c>
      <c r="N728" t="n">
        <v>0</v>
      </c>
      <c r="O728" t="n">
        <v>0</v>
      </c>
      <c r="P728" t="n">
        <v>0</v>
      </c>
      <c r="Q728" t="n">
        <v>0</v>
      </c>
      <c r="R728" s="2" t="inlineStr"/>
    </row>
    <row r="729" ht="15" customHeight="1">
      <c r="A729" t="inlineStr">
        <is>
          <t>A 3938-2024</t>
        </is>
      </c>
      <c r="B729" s="1" t="n">
        <v>45322</v>
      </c>
      <c r="C729" s="1" t="n">
        <v>45966</v>
      </c>
      <c r="D729" t="inlineStr">
        <is>
          <t>JÄMTLANDS LÄN</t>
        </is>
      </c>
      <c r="E729" t="inlineStr">
        <is>
          <t>RAGUNDA</t>
        </is>
      </c>
      <c r="G729" t="n">
        <v>3.2</v>
      </c>
      <c r="H729" t="n">
        <v>0</v>
      </c>
      <c r="I729" t="n">
        <v>0</v>
      </c>
      <c r="J729" t="n">
        <v>0</v>
      </c>
      <c r="K729" t="n">
        <v>0</v>
      </c>
      <c r="L729" t="n">
        <v>0</v>
      </c>
      <c r="M729" t="n">
        <v>0</v>
      </c>
      <c r="N729" t="n">
        <v>0</v>
      </c>
      <c r="O729" t="n">
        <v>0</v>
      </c>
      <c r="P729" t="n">
        <v>0</v>
      </c>
      <c r="Q729" t="n">
        <v>0</v>
      </c>
      <c r="R729" s="2" t="inlineStr"/>
    </row>
    <row r="730" ht="15" customHeight="1">
      <c r="A730" t="inlineStr">
        <is>
          <t>A 53144-2024</t>
        </is>
      </c>
      <c r="B730" s="1" t="n">
        <v>45611</v>
      </c>
      <c r="C730" s="1" t="n">
        <v>45966</v>
      </c>
      <c r="D730" t="inlineStr">
        <is>
          <t>JÄMTLANDS LÄN</t>
        </is>
      </c>
      <c r="E730" t="inlineStr">
        <is>
          <t>RAGUNDA</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52578-2025</t>
        </is>
      </c>
      <c r="B731" s="1" t="n">
        <v>45954.61508101852</v>
      </c>
      <c r="C731" s="1" t="n">
        <v>45966</v>
      </c>
      <c r="D731" t="inlineStr">
        <is>
          <t>JÄMTLANDS LÄN</t>
        </is>
      </c>
      <c r="E731" t="inlineStr">
        <is>
          <t>RAGUNDA</t>
        </is>
      </c>
      <c r="F731" t="inlineStr">
        <is>
          <t>SCA</t>
        </is>
      </c>
      <c r="G731" t="n">
        <v>25.2</v>
      </c>
      <c r="H731" t="n">
        <v>0</v>
      </c>
      <c r="I731" t="n">
        <v>0</v>
      </c>
      <c r="J731" t="n">
        <v>0</v>
      </c>
      <c r="K731" t="n">
        <v>0</v>
      </c>
      <c r="L731" t="n">
        <v>0</v>
      </c>
      <c r="M731" t="n">
        <v>0</v>
      </c>
      <c r="N731" t="n">
        <v>0</v>
      </c>
      <c r="O731" t="n">
        <v>0</v>
      </c>
      <c r="P731" t="n">
        <v>0</v>
      </c>
      <c r="Q731" t="n">
        <v>0</v>
      </c>
      <c r="R731" s="2" t="inlineStr"/>
    </row>
    <row r="732" ht="15" customHeight="1">
      <c r="A732" t="inlineStr">
        <is>
          <t>A 14156-2024</t>
        </is>
      </c>
      <c r="B732" s="1" t="n">
        <v>45392</v>
      </c>
      <c r="C732" s="1" t="n">
        <v>45966</v>
      </c>
      <c r="D732" t="inlineStr">
        <is>
          <t>JÄMTLANDS LÄN</t>
        </is>
      </c>
      <c r="E732" t="inlineStr">
        <is>
          <t>RAGUNDA</t>
        </is>
      </c>
      <c r="G732" t="n">
        <v>0.6</v>
      </c>
      <c r="H732" t="n">
        <v>0</v>
      </c>
      <c r="I732" t="n">
        <v>0</v>
      </c>
      <c r="J732" t="n">
        <v>0</v>
      </c>
      <c r="K732" t="n">
        <v>0</v>
      </c>
      <c r="L732" t="n">
        <v>0</v>
      </c>
      <c r="M732" t="n">
        <v>0</v>
      </c>
      <c r="N732" t="n">
        <v>0</v>
      </c>
      <c r="O732" t="n">
        <v>0</v>
      </c>
      <c r="P732" t="n">
        <v>0</v>
      </c>
      <c r="Q732" t="n">
        <v>0</v>
      </c>
      <c r="R732" s="2" t="inlineStr"/>
    </row>
    <row r="733" ht="15" customHeight="1">
      <c r="A733" t="inlineStr">
        <is>
          <t>A 14157-2024</t>
        </is>
      </c>
      <c r="B733" s="1" t="n">
        <v>45392.92903935185</v>
      </c>
      <c r="C733" s="1" t="n">
        <v>45966</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52394-2025</t>
        </is>
      </c>
      <c r="B734" s="1" t="n">
        <v>45954.34466435185</v>
      </c>
      <c r="C734" s="1" t="n">
        <v>45966</v>
      </c>
      <c r="D734" t="inlineStr">
        <is>
          <t>JÄMTLANDS LÄN</t>
        </is>
      </c>
      <c r="E734" t="inlineStr">
        <is>
          <t>RAGUNDA</t>
        </is>
      </c>
      <c r="F734" t="inlineStr">
        <is>
          <t>SCA</t>
        </is>
      </c>
      <c r="G734" t="n">
        <v>53.8</v>
      </c>
      <c r="H734" t="n">
        <v>0</v>
      </c>
      <c r="I734" t="n">
        <v>0</v>
      </c>
      <c r="J734" t="n">
        <v>0</v>
      </c>
      <c r="K734" t="n">
        <v>0</v>
      </c>
      <c r="L734" t="n">
        <v>0</v>
      </c>
      <c r="M734" t="n">
        <v>0</v>
      </c>
      <c r="N734" t="n">
        <v>0</v>
      </c>
      <c r="O734" t="n">
        <v>0</v>
      </c>
      <c r="P734" t="n">
        <v>0</v>
      </c>
      <c r="Q734" t="n">
        <v>0</v>
      </c>
      <c r="R734" s="2" t="inlineStr"/>
    </row>
    <row r="735" ht="15" customHeight="1">
      <c r="A735" t="inlineStr">
        <is>
          <t>A 52395-2025</t>
        </is>
      </c>
      <c r="B735" s="1" t="n">
        <v>45954.34487268519</v>
      </c>
      <c r="C735" s="1" t="n">
        <v>45966</v>
      </c>
      <c r="D735" t="inlineStr">
        <is>
          <t>JÄMTLANDS LÄN</t>
        </is>
      </c>
      <c r="E735" t="inlineStr">
        <is>
          <t>RAGUNDA</t>
        </is>
      </c>
      <c r="F735" t="inlineStr">
        <is>
          <t>SCA</t>
        </is>
      </c>
      <c r="G735" t="n">
        <v>14.2</v>
      </c>
      <c r="H735" t="n">
        <v>0</v>
      </c>
      <c r="I735" t="n">
        <v>0</v>
      </c>
      <c r="J735" t="n">
        <v>0</v>
      </c>
      <c r="K735" t="n">
        <v>0</v>
      </c>
      <c r="L735" t="n">
        <v>0</v>
      </c>
      <c r="M735" t="n">
        <v>0</v>
      </c>
      <c r="N735" t="n">
        <v>0</v>
      </c>
      <c r="O735" t="n">
        <v>0</v>
      </c>
      <c r="P735" t="n">
        <v>0</v>
      </c>
      <c r="Q735" t="n">
        <v>0</v>
      </c>
      <c r="R735" s="2" t="inlineStr"/>
    </row>
    <row r="736" ht="15" customHeight="1">
      <c r="A736" t="inlineStr">
        <is>
          <t>A 22311-2024</t>
        </is>
      </c>
      <c r="B736" s="1" t="n">
        <v>45446.57052083333</v>
      </c>
      <c r="C736" s="1" t="n">
        <v>45966</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43812-2025</t>
        </is>
      </c>
      <c r="B737" s="1" t="n">
        <v>45912.59417824074</v>
      </c>
      <c r="C737" s="1" t="n">
        <v>45966</v>
      </c>
      <c r="D737" t="inlineStr">
        <is>
          <t>JÄMTLANDS LÄN</t>
        </is>
      </c>
      <c r="E737" t="inlineStr">
        <is>
          <t>RAGUNDA</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52430-2025</t>
        </is>
      </c>
      <c r="B738" s="1" t="n">
        <v>45954.38592592593</v>
      </c>
      <c r="C738" s="1" t="n">
        <v>45966</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43776-2025</t>
        </is>
      </c>
      <c r="B739" s="1" t="n">
        <v>45912.51086805556</v>
      </c>
      <c r="C739" s="1" t="n">
        <v>45966</v>
      </c>
      <c r="D739" t="inlineStr">
        <is>
          <t>JÄMTLANDS LÄN</t>
        </is>
      </c>
      <c r="E739" t="inlineStr">
        <is>
          <t>RAGUNDA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43971-2025</t>
        </is>
      </c>
      <c r="B740" s="1" t="n">
        <v>45915.40694444445</v>
      </c>
      <c r="C740" s="1" t="n">
        <v>45966</v>
      </c>
      <c r="D740" t="inlineStr">
        <is>
          <t>JÄMTLANDS LÄN</t>
        </is>
      </c>
      <c r="E740" t="inlineStr">
        <is>
          <t>RAGUNDA</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57889-2024</t>
        </is>
      </c>
      <c r="B741" s="1" t="n">
        <v>45631.46665509259</v>
      </c>
      <c r="C741" s="1" t="n">
        <v>45966</v>
      </c>
      <c r="D741" t="inlineStr">
        <is>
          <t>JÄMTLANDS LÄN</t>
        </is>
      </c>
      <c r="E741" t="inlineStr">
        <is>
          <t>RAGUNDA</t>
        </is>
      </c>
      <c r="G741" t="n">
        <v>11.1</v>
      </c>
      <c r="H741" t="n">
        <v>0</v>
      </c>
      <c r="I741" t="n">
        <v>0</v>
      </c>
      <c r="J741" t="n">
        <v>0</v>
      </c>
      <c r="K741" t="n">
        <v>0</v>
      </c>
      <c r="L741" t="n">
        <v>0</v>
      </c>
      <c r="M741" t="n">
        <v>0</v>
      </c>
      <c r="N741" t="n">
        <v>0</v>
      </c>
      <c r="O741" t="n">
        <v>0</v>
      </c>
      <c r="P741" t="n">
        <v>0</v>
      </c>
      <c r="Q741" t="n">
        <v>0</v>
      </c>
      <c r="R741" s="2" t="inlineStr"/>
    </row>
    <row r="742" ht="15" customHeight="1">
      <c r="A742" t="inlineStr">
        <is>
          <t>A 43804-2025</t>
        </is>
      </c>
      <c r="B742" s="1" t="n">
        <v>45912.57373842593</v>
      </c>
      <c r="C742" s="1" t="n">
        <v>45966</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19403-2025</t>
        </is>
      </c>
      <c r="B743" s="1" t="n">
        <v>45769.67790509259</v>
      </c>
      <c r="C743" s="1" t="n">
        <v>45966</v>
      </c>
      <c r="D743" t="inlineStr">
        <is>
          <t>JÄMTLANDS LÄN</t>
        </is>
      </c>
      <c r="E743" t="inlineStr">
        <is>
          <t>RAGUNDA</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60629-2023</t>
        </is>
      </c>
      <c r="B744" s="1" t="n">
        <v>45259</v>
      </c>
      <c r="C744" s="1" t="n">
        <v>45966</v>
      </c>
      <c r="D744" t="inlineStr">
        <is>
          <t>JÄMTLANDS LÄN</t>
        </is>
      </c>
      <c r="E744" t="inlineStr">
        <is>
          <t>RAGUNDA</t>
        </is>
      </c>
      <c r="G744" t="n">
        <v>3.4</v>
      </c>
      <c r="H744" t="n">
        <v>0</v>
      </c>
      <c r="I744" t="n">
        <v>0</v>
      </c>
      <c r="J744" t="n">
        <v>0</v>
      </c>
      <c r="K744" t="n">
        <v>0</v>
      </c>
      <c r="L744" t="n">
        <v>0</v>
      </c>
      <c r="M744" t="n">
        <v>0</v>
      </c>
      <c r="N744" t="n">
        <v>0</v>
      </c>
      <c r="O744" t="n">
        <v>0</v>
      </c>
      <c r="P744" t="n">
        <v>0</v>
      </c>
      <c r="Q744" t="n">
        <v>0</v>
      </c>
      <c r="R744" s="2" t="inlineStr"/>
    </row>
    <row r="745" ht="15" customHeight="1">
      <c r="A745" t="inlineStr">
        <is>
          <t>A 53075-2025</t>
        </is>
      </c>
      <c r="B745" s="1" t="n">
        <v>45958.38584490741</v>
      </c>
      <c r="C745" s="1" t="n">
        <v>45966</v>
      </c>
      <c r="D745" t="inlineStr">
        <is>
          <t>JÄMTLANDS LÄN</t>
        </is>
      </c>
      <c r="E745" t="inlineStr">
        <is>
          <t>RAGUNDA</t>
        </is>
      </c>
      <c r="F745" t="inlineStr">
        <is>
          <t>SCA</t>
        </is>
      </c>
      <c r="G745" t="n">
        <v>28.9</v>
      </c>
      <c r="H745" t="n">
        <v>0</v>
      </c>
      <c r="I745" t="n">
        <v>0</v>
      </c>
      <c r="J745" t="n">
        <v>0</v>
      </c>
      <c r="K745" t="n">
        <v>0</v>
      </c>
      <c r="L745" t="n">
        <v>0</v>
      </c>
      <c r="M745" t="n">
        <v>0</v>
      </c>
      <c r="N745" t="n">
        <v>0</v>
      </c>
      <c r="O745" t="n">
        <v>0</v>
      </c>
      <c r="P745" t="n">
        <v>0</v>
      </c>
      <c r="Q745" t="n">
        <v>0</v>
      </c>
      <c r="R745" s="2" t="inlineStr"/>
    </row>
    <row r="746" ht="15" customHeight="1">
      <c r="A746" t="inlineStr">
        <is>
          <t>A 11147-2025</t>
        </is>
      </c>
      <c r="B746" s="1" t="n">
        <v>45723.67777777778</v>
      </c>
      <c r="C746" s="1" t="n">
        <v>45966</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22388-2025</t>
        </is>
      </c>
      <c r="B747" s="1" t="n">
        <v>45786.51077546296</v>
      </c>
      <c r="C747" s="1" t="n">
        <v>45966</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9847-2025</t>
        </is>
      </c>
      <c r="B748" s="1" t="n">
        <v>45716.61487268518</v>
      </c>
      <c r="C748" s="1" t="n">
        <v>45966</v>
      </c>
      <c r="D748" t="inlineStr">
        <is>
          <t>JÄMTLANDS LÄN</t>
        </is>
      </c>
      <c r="E748" t="inlineStr">
        <is>
          <t>RAGUNDA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28173-2024</t>
        </is>
      </c>
      <c r="B749" s="1" t="n">
        <v>45476.94533564815</v>
      </c>
      <c r="C749" s="1" t="n">
        <v>45966</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23734-2024</t>
        </is>
      </c>
      <c r="B750" s="1" t="n">
        <v>45454.95960648148</v>
      </c>
      <c r="C750" s="1" t="n">
        <v>45966</v>
      </c>
      <c r="D750" t="inlineStr">
        <is>
          <t>JÄMTLANDS LÄN</t>
        </is>
      </c>
      <c r="E750" t="inlineStr">
        <is>
          <t>RAGUNDA</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38425-2022</t>
        </is>
      </c>
      <c r="B751" s="1" t="n">
        <v>44812.94709490741</v>
      </c>
      <c r="C751" s="1" t="n">
        <v>45966</v>
      </c>
      <c r="D751" t="inlineStr">
        <is>
          <t>JÄMTLANDS LÄN</t>
        </is>
      </c>
      <c r="E751" t="inlineStr">
        <is>
          <t>RAGUNDA</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12995-2023</t>
        </is>
      </c>
      <c r="B752" s="1" t="n">
        <v>45002.0328125</v>
      </c>
      <c r="C752" s="1" t="n">
        <v>45966</v>
      </c>
      <c r="D752" t="inlineStr">
        <is>
          <t>JÄMTLANDS LÄN</t>
        </is>
      </c>
      <c r="E752" t="inlineStr">
        <is>
          <t>RAGUNDA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53109-2025</t>
        </is>
      </c>
      <c r="B753" s="1" t="n">
        <v>45958.44135416667</v>
      </c>
      <c r="C753" s="1" t="n">
        <v>45966</v>
      </c>
      <c r="D753" t="inlineStr">
        <is>
          <t>JÄMTLANDS LÄN</t>
        </is>
      </c>
      <c r="E753" t="inlineStr">
        <is>
          <t>RAGUNDA</t>
        </is>
      </c>
      <c r="G753" t="n">
        <v>2.1</v>
      </c>
      <c r="H753" t="n">
        <v>0</v>
      </c>
      <c r="I753" t="n">
        <v>0</v>
      </c>
      <c r="J753" t="n">
        <v>0</v>
      </c>
      <c r="K753" t="n">
        <v>0</v>
      </c>
      <c r="L753" t="n">
        <v>0</v>
      </c>
      <c r="M753" t="n">
        <v>0</v>
      </c>
      <c r="N753" t="n">
        <v>0</v>
      </c>
      <c r="O753" t="n">
        <v>0</v>
      </c>
      <c r="P753" t="n">
        <v>0</v>
      </c>
      <c r="Q753" t="n">
        <v>0</v>
      </c>
      <c r="R753" s="2" t="inlineStr"/>
    </row>
    <row r="754" ht="15" customHeight="1">
      <c r="A754" t="inlineStr">
        <is>
          <t>A 53211-2025</t>
        </is>
      </c>
      <c r="B754" s="1" t="n">
        <v>45958.59490740741</v>
      </c>
      <c r="C754" s="1" t="n">
        <v>45966</v>
      </c>
      <c r="D754" t="inlineStr">
        <is>
          <t>JÄMTLANDS LÄN</t>
        </is>
      </c>
      <c r="E754" t="inlineStr">
        <is>
          <t>RAGUNDA</t>
        </is>
      </c>
      <c r="F754" t="inlineStr">
        <is>
          <t>SCA</t>
        </is>
      </c>
      <c r="G754" t="n">
        <v>7.4</v>
      </c>
      <c r="H754" t="n">
        <v>0</v>
      </c>
      <c r="I754" t="n">
        <v>0</v>
      </c>
      <c r="J754" t="n">
        <v>0</v>
      </c>
      <c r="K754" t="n">
        <v>0</v>
      </c>
      <c r="L754" t="n">
        <v>0</v>
      </c>
      <c r="M754" t="n">
        <v>0</v>
      </c>
      <c r="N754" t="n">
        <v>0</v>
      </c>
      <c r="O754" t="n">
        <v>0</v>
      </c>
      <c r="P754" t="n">
        <v>0</v>
      </c>
      <c r="Q754" t="n">
        <v>0</v>
      </c>
      <c r="R754" s="2" t="inlineStr"/>
    </row>
    <row r="755" ht="15" customHeight="1">
      <c r="A755" t="inlineStr">
        <is>
          <t>A 44755-2024</t>
        </is>
      </c>
      <c r="B755" s="1" t="n">
        <v>45574.61184027778</v>
      </c>
      <c r="C755" s="1" t="n">
        <v>45966</v>
      </c>
      <c r="D755" t="inlineStr">
        <is>
          <t>JÄMTLANDS LÄN</t>
        </is>
      </c>
      <c r="E755" t="inlineStr">
        <is>
          <t>RAGUNDA</t>
        </is>
      </c>
      <c r="G755" t="n">
        <v>4.4</v>
      </c>
      <c r="H755" t="n">
        <v>0</v>
      </c>
      <c r="I755" t="n">
        <v>0</v>
      </c>
      <c r="J755" t="n">
        <v>0</v>
      </c>
      <c r="K755" t="n">
        <v>0</v>
      </c>
      <c r="L755" t="n">
        <v>0</v>
      </c>
      <c r="M755" t="n">
        <v>0</v>
      </c>
      <c r="N755" t="n">
        <v>0</v>
      </c>
      <c r="O755" t="n">
        <v>0</v>
      </c>
      <c r="P755" t="n">
        <v>0</v>
      </c>
      <c r="Q755" t="n">
        <v>0</v>
      </c>
      <c r="R755" s="2" t="inlineStr"/>
    </row>
    <row r="756" ht="15" customHeight="1">
      <c r="A756" t="inlineStr">
        <is>
          <t>A 44766-2024</t>
        </is>
      </c>
      <c r="B756" s="1" t="n">
        <v>45574.62297453704</v>
      </c>
      <c r="C756" s="1" t="n">
        <v>45966</v>
      </c>
      <c r="D756" t="inlineStr">
        <is>
          <t>JÄMTLANDS LÄN</t>
        </is>
      </c>
      <c r="E756" t="inlineStr">
        <is>
          <t>RAGUNDA</t>
        </is>
      </c>
      <c r="G756" t="n">
        <v>3.2</v>
      </c>
      <c r="H756" t="n">
        <v>0</v>
      </c>
      <c r="I756" t="n">
        <v>0</v>
      </c>
      <c r="J756" t="n">
        <v>0</v>
      </c>
      <c r="K756" t="n">
        <v>0</v>
      </c>
      <c r="L756" t="n">
        <v>0</v>
      </c>
      <c r="M756" t="n">
        <v>0</v>
      </c>
      <c r="N756" t="n">
        <v>0</v>
      </c>
      <c r="O756" t="n">
        <v>0</v>
      </c>
      <c r="P756" t="n">
        <v>0</v>
      </c>
      <c r="Q756" t="n">
        <v>0</v>
      </c>
      <c r="R756" s="2" t="inlineStr"/>
    </row>
    <row r="757" ht="15" customHeight="1">
      <c r="A757" t="inlineStr">
        <is>
          <t>A 22898-2025</t>
        </is>
      </c>
      <c r="B757" s="1" t="n">
        <v>45790.40670138889</v>
      </c>
      <c r="C757" s="1" t="n">
        <v>45966</v>
      </c>
      <c r="D757" t="inlineStr">
        <is>
          <t>JÄMTLANDS LÄN</t>
        </is>
      </c>
      <c r="E757" t="inlineStr">
        <is>
          <t>RAGUNDA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16676-2022</t>
        </is>
      </c>
      <c r="B758" s="1" t="n">
        <v>44672.94018518519</v>
      </c>
      <c r="C758" s="1" t="n">
        <v>45966</v>
      </c>
      <c r="D758" t="inlineStr">
        <is>
          <t>JÄMTLANDS LÄN</t>
        </is>
      </c>
      <c r="E758" t="inlineStr">
        <is>
          <t>RAGUNDA</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55536-2024</t>
        </is>
      </c>
      <c r="B759" s="1" t="n">
        <v>45622</v>
      </c>
      <c r="C759" s="1" t="n">
        <v>45966</v>
      </c>
      <c r="D759" t="inlineStr">
        <is>
          <t>JÄMTLANDS LÄN</t>
        </is>
      </c>
      <c r="E759" t="inlineStr">
        <is>
          <t>RAGUNDA</t>
        </is>
      </c>
      <c r="G759" t="n">
        <v>0.8</v>
      </c>
      <c r="H759" t="n">
        <v>0</v>
      </c>
      <c r="I759" t="n">
        <v>0</v>
      </c>
      <c r="J759" t="n">
        <v>0</v>
      </c>
      <c r="K759" t="n">
        <v>0</v>
      </c>
      <c r="L759" t="n">
        <v>0</v>
      </c>
      <c r="M759" t="n">
        <v>0</v>
      </c>
      <c r="N759" t="n">
        <v>0</v>
      </c>
      <c r="O759" t="n">
        <v>0</v>
      </c>
      <c r="P759" t="n">
        <v>0</v>
      </c>
      <c r="Q759" t="n">
        <v>0</v>
      </c>
      <c r="R759" s="2" t="inlineStr"/>
    </row>
    <row r="760" ht="15" customHeight="1">
      <c r="A760" t="inlineStr">
        <is>
          <t>A 53032-2025</t>
        </is>
      </c>
      <c r="B760" s="1" t="n">
        <v>45958.34462962963</v>
      </c>
      <c r="C760" s="1" t="n">
        <v>45966</v>
      </c>
      <c r="D760" t="inlineStr">
        <is>
          <t>JÄMTLANDS LÄN</t>
        </is>
      </c>
      <c r="E760" t="inlineStr">
        <is>
          <t>RAGUNDA</t>
        </is>
      </c>
      <c r="G760" t="n">
        <v>2.6</v>
      </c>
      <c r="H760" t="n">
        <v>0</v>
      </c>
      <c r="I760" t="n">
        <v>0</v>
      </c>
      <c r="J760" t="n">
        <v>0</v>
      </c>
      <c r="K760" t="n">
        <v>0</v>
      </c>
      <c r="L760" t="n">
        <v>0</v>
      </c>
      <c r="M760" t="n">
        <v>0</v>
      </c>
      <c r="N760" t="n">
        <v>0</v>
      </c>
      <c r="O760" t="n">
        <v>0</v>
      </c>
      <c r="P760" t="n">
        <v>0</v>
      </c>
      <c r="Q760" t="n">
        <v>0</v>
      </c>
      <c r="R760" s="2" t="inlineStr"/>
    </row>
    <row r="761" ht="15" customHeight="1">
      <c r="A761" t="inlineStr">
        <is>
          <t>A 44597-2024</t>
        </is>
      </c>
      <c r="B761" s="1" t="n">
        <v>45574.51087962963</v>
      </c>
      <c r="C761" s="1" t="n">
        <v>45966</v>
      </c>
      <c r="D761" t="inlineStr">
        <is>
          <t>JÄMTLANDS LÄN</t>
        </is>
      </c>
      <c r="E761" t="inlineStr">
        <is>
          <t>RAGUNDA</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44598-2024</t>
        </is>
      </c>
      <c r="B762" s="1" t="n">
        <v>45574.51090277778</v>
      </c>
      <c r="C762" s="1" t="n">
        <v>45966</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53076-2025</t>
        </is>
      </c>
      <c r="B763" s="1" t="n">
        <v>45958.38604166666</v>
      </c>
      <c r="C763" s="1" t="n">
        <v>45966</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53765-2025</t>
        </is>
      </c>
      <c r="B764" s="1" t="n">
        <v>45960.67753472222</v>
      </c>
      <c r="C764" s="1" t="n">
        <v>45966</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23253-2025</t>
        </is>
      </c>
      <c r="B765" s="1" t="n">
        <v>45791.53238425926</v>
      </c>
      <c r="C765" s="1" t="n">
        <v>45966</v>
      </c>
      <c r="D765" t="inlineStr">
        <is>
          <t>JÄMTLANDS LÄN</t>
        </is>
      </c>
      <c r="E765" t="inlineStr">
        <is>
          <t>RAGUNDA</t>
        </is>
      </c>
      <c r="G765" t="n">
        <v>0.7</v>
      </c>
      <c r="H765" t="n">
        <v>0</v>
      </c>
      <c r="I765" t="n">
        <v>0</v>
      </c>
      <c r="J765" t="n">
        <v>0</v>
      </c>
      <c r="K765" t="n">
        <v>0</v>
      </c>
      <c r="L765" t="n">
        <v>0</v>
      </c>
      <c r="M765" t="n">
        <v>0</v>
      </c>
      <c r="N765" t="n">
        <v>0</v>
      </c>
      <c r="O765" t="n">
        <v>0</v>
      </c>
      <c r="P765" t="n">
        <v>0</v>
      </c>
      <c r="Q765" t="n">
        <v>0</v>
      </c>
      <c r="R765" s="2" t="inlineStr"/>
    </row>
    <row r="766" ht="15" customHeight="1">
      <c r="A766" t="inlineStr">
        <is>
          <t>A 53549-2025</t>
        </is>
      </c>
      <c r="B766" s="1" t="n">
        <v>45960.38576388889</v>
      </c>
      <c r="C766" s="1" t="n">
        <v>45966</v>
      </c>
      <c r="D766" t="inlineStr">
        <is>
          <t>JÄMTLANDS LÄN</t>
        </is>
      </c>
      <c r="E766" t="inlineStr">
        <is>
          <t>RAGUNDA</t>
        </is>
      </c>
      <c r="G766" t="n">
        <v>5.4</v>
      </c>
      <c r="H766" t="n">
        <v>0</v>
      </c>
      <c r="I766" t="n">
        <v>0</v>
      </c>
      <c r="J766" t="n">
        <v>0</v>
      </c>
      <c r="K766" t="n">
        <v>0</v>
      </c>
      <c r="L766" t="n">
        <v>0</v>
      </c>
      <c r="M766" t="n">
        <v>0</v>
      </c>
      <c r="N766" t="n">
        <v>0</v>
      </c>
      <c r="O766" t="n">
        <v>0</v>
      </c>
      <c r="P766" t="n">
        <v>0</v>
      </c>
      <c r="Q766" t="n">
        <v>0</v>
      </c>
      <c r="R766" s="2" t="inlineStr"/>
    </row>
    <row r="767" ht="15" customHeight="1">
      <c r="A767" t="inlineStr">
        <is>
          <t>A 53726-2025</t>
        </is>
      </c>
      <c r="B767" s="1" t="n">
        <v>45960.63597222222</v>
      </c>
      <c r="C767" s="1" t="n">
        <v>45966</v>
      </c>
      <c r="D767" t="inlineStr">
        <is>
          <t>JÄMTLANDS LÄN</t>
        </is>
      </c>
      <c r="E767" t="inlineStr">
        <is>
          <t>RAGUNDA</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53948-2025</t>
        </is>
      </c>
      <c r="B768" s="1" t="n">
        <v>45961.50033564815</v>
      </c>
      <c r="C768" s="1" t="n">
        <v>45966</v>
      </c>
      <c r="D768" t="inlineStr">
        <is>
          <t>JÄMTLANDS LÄN</t>
        </is>
      </c>
      <c r="E768" t="inlineStr">
        <is>
          <t>RAGUNDA</t>
        </is>
      </c>
      <c r="G768" t="n">
        <v>7.9</v>
      </c>
      <c r="H768" t="n">
        <v>0</v>
      </c>
      <c r="I768" t="n">
        <v>0</v>
      </c>
      <c r="J768" t="n">
        <v>0</v>
      </c>
      <c r="K768" t="n">
        <v>0</v>
      </c>
      <c r="L768" t="n">
        <v>0</v>
      </c>
      <c r="M768" t="n">
        <v>0</v>
      </c>
      <c r="N768" t="n">
        <v>0</v>
      </c>
      <c r="O768" t="n">
        <v>0</v>
      </c>
      <c r="P768" t="n">
        <v>0</v>
      </c>
      <c r="Q768" t="n">
        <v>0</v>
      </c>
      <c r="R768" s="2" t="inlineStr"/>
    </row>
    <row r="769" ht="15" customHeight="1">
      <c r="A769" t="inlineStr">
        <is>
          <t>A 23413-2025</t>
        </is>
      </c>
      <c r="B769" s="1" t="n">
        <v>45792.34606481482</v>
      </c>
      <c r="C769" s="1" t="n">
        <v>45966</v>
      </c>
      <c r="D769" t="inlineStr">
        <is>
          <t>JÄMTLANDS LÄN</t>
        </is>
      </c>
      <c r="E769" t="inlineStr">
        <is>
          <t>RAGUNDA</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23586-2025</t>
        </is>
      </c>
      <c r="B770" s="1" t="n">
        <v>45792.63584490741</v>
      </c>
      <c r="C770" s="1" t="n">
        <v>45966</v>
      </c>
      <c r="D770" t="inlineStr">
        <is>
          <t>JÄMTLANDS LÄN</t>
        </is>
      </c>
      <c r="E770" t="inlineStr">
        <is>
          <t>RAGUNDA</t>
        </is>
      </c>
      <c r="F770" t="inlineStr">
        <is>
          <t>SCA</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23841-2025</t>
        </is>
      </c>
      <c r="B771" s="1" t="n">
        <v>45793.61523148148</v>
      </c>
      <c r="C771" s="1" t="n">
        <v>45966</v>
      </c>
      <c r="D771" t="inlineStr">
        <is>
          <t>JÄMTLANDS LÄN</t>
        </is>
      </c>
      <c r="E771" t="inlineStr">
        <is>
          <t>RAGUNDA</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53986-2025</t>
        </is>
      </c>
      <c r="B772" s="1" t="n">
        <v>45961.57381944444</v>
      </c>
      <c r="C772" s="1" t="n">
        <v>45966</v>
      </c>
      <c r="D772" t="inlineStr">
        <is>
          <t>JÄMTLANDS LÄN</t>
        </is>
      </c>
      <c r="E772" t="inlineStr">
        <is>
          <t>RAGUNDA</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23507-2025</t>
        </is>
      </c>
      <c r="B773" s="1" t="n">
        <v>45792.49023148148</v>
      </c>
      <c r="C773" s="1" t="n">
        <v>45966</v>
      </c>
      <c r="D773" t="inlineStr">
        <is>
          <t>JÄMTLANDS LÄN</t>
        </is>
      </c>
      <c r="E773" t="inlineStr">
        <is>
          <t>RAGUNDA</t>
        </is>
      </c>
      <c r="F773" t="inlineStr">
        <is>
          <t>SCA</t>
        </is>
      </c>
      <c r="G773" t="n">
        <v>16.4</v>
      </c>
      <c r="H773" t="n">
        <v>0</v>
      </c>
      <c r="I773" t="n">
        <v>0</v>
      </c>
      <c r="J773" t="n">
        <v>0</v>
      </c>
      <c r="K773" t="n">
        <v>0</v>
      </c>
      <c r="L773" t="n">
        <v>0</v>
      </c>
      <c r="M773" t="n">
        <v>0</v>
      </c>
      <c r="N773" t="n">
        <v>0</v>
      </c>
      <c r="O773" t="n">
        <v>0</v>
      </c>
      <c r="P773" t="n">
        <v>0</v>
      </c>
      <c r="Q773" t="n">
        <v>0</v>
      </c>
      <c r="R773" s="2" t="inlineStr"/>
    </row>
    <row r="774" ht="15" customHeight="1">
      <c r="A774" t="inlineStr">
        <is>
          <t>A 23840-2025</t>
        </is>
      </c>
      <c r="B774" s="1" t="n">
        <v>45793</v>
      </c>
      <c r="C774" s="1" t="n">
        <v>45966</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23654-2025</t>
        </is>
      </c>
      <c r="B775" s="1" t="n">
        <v>45792.71905092592</v>
      </c>
      <c r="C775" s="1" t="n">
        <v>45966</v>
      </c>
      <c r="D775" t="inlineStr">
        <is>
          <t>JÄMTLANDS LÄN</t>
        </is>
      </c>
      <c r="E775" t="inlineStr">
        <is>
          <t>RAGUNDA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45279-2025</t>
        </is>
      </c>
      <c r="B776" s="1" t="n">
        <v>45919.71912037037</v>
      </c>
      <c r="C776" s="1" t="n">
        <v>45966</v>
      </c>
      <c r="D776" t="inlineStr">
        <is>
          <t>JÄMTLANDS LÄN</t>
        </is>
      </c>
      <c r="E776" t="inlineStr">
        <is>
          <t>RAGUNDA</t>
        </is>
      </c>
      <c r="F776" t="inlineStr">
        <is>
          <t>SCA</t>
        </is>
      </c>
      <c r="G776" t="n">
        <v>11.5</v>
      </c>
      <c r="H776" t="n">
        <v>0</v>
      </c>
      <c r="I776" t="n">
        <v>0</v>
      </c>
      <c r="J776" t="n">
        <v>0</v>
      </c>
      <c r="K776" t="n">
        <v>0</v>
      </c>
      <c r="L776" t="n">
        <v>0</v>
      </c>
      <c r="M776" t="n">
        <v>0</v>
      </c>
      <c r="N776" t="n">
        <v>0</v>
      </c>
      <c r="O776" t="n">
        <v>0</v>
      </c>
      <c r="P776" t="n">
        <v>0</v>
      </c>
      <c r="Q776" t="n">
        <v>0</v>
      </c>
      <c r="R776" s="2" t="inlineStr"/>
    </row>
    <row r="777" ht="15" customHeight="1">
      <c r="A777" t="inlineStr">
        <is>
          <t>A 53973-2025</t>
        </is>
      </c>
      <c r="B777" s="1" t="n">
        <v>45961.55246527777</v>
      </c>
      <c r="C777" s="1" t="n">
        <v>45966</v>
      </c>
      <c r="D777" t="inlineStr">
        <is>
          <t>JÄMTLANDS LÄN</t>
        </is>
      </c>
      <c r="E777" t="inlineStr">
        <is>
          <t>RAGUNDA</t>
        </is>
      </c>
      <c r="G777" t="n">
        <v>2.4</v>
      </c>
      <c r="H777" t="n">
        <v>0</v>
      </c>
      <c r="I777" t="n">
        <v>0</v>
      </c>
      <c r="J777" t="n">
        <v>0</v>
      </c>
      <c r="K777" t="n">
        <v>0</v>
      </c>
      <c r="L777" t="n">
        <v>0</v>
      </c>
      <c r="M777" t="n">
        <v>0</v>
      </c>
      <c r="N777" t="n">
        <v>0</v>
      </c>
      <c r="O777" t="n">
        <v>0</v>
      </c>
      <c r="P777" t="n">
        <v>0</v>
      </c>
      <c r="Q777" t="n">
        <v>0</v>
      </c>
      <c r="R777" s="2" t="inlineStr"/>
    </row>
    <row r="778" ht="15" customHeight="1">
      <c r="A778" t="inlineStr">
        <is>
          <t>A 23405-2025</t>
        </is>
      </c>
      <c r="B778" s="1" t="n">
        <v>45792.34527777778</v>
      </c>
      <c r="C778" s="1" t="n">
        <v>45966</v>
      </c>
      <c r="D778" t="inlineStr">
        <is>
          <t>JÄMTLANDS LÄN</t>
        </is>
      </c>
      <c r="E778" t="inlineStr">
        <is>
          <t>RAGUNDA</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18610-2024</t>
        </is>
      </c>
      <c r="B779" s="1" t="n">
        <v>45425.96230324074</v>
      </c>
      <c r="C779" s="1" t="n">
        <v>45966</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57116-2024</t>
        </is>
      </c>
      <c r="B780" s="1" t="n">
        <v>45629.36513888889</v>
      </c>
      <c r="C780" s="1" t="n">
        <v>45966</v>
      </c>
      <c r="D780" t="inlineStr">
        <is>
          <t>JÄMTLANDS LÄN</t>
        </is>
      </c>
      <c r="E780" t="inlineStr">
        <is>
          <t>RAGUNDA</t>
        </is>
      </c>
      <c r="G780" t="n">
        <v>0.6</v>
      </c>
      <c r="H780" t="n">
        <v>0</v>
      </c>
      <c r="I780" t="n">
        <v>0</v>
      </c>
      <c r="J780" t="n">
        <v>0</v>
      </c>
      <c r="K780" t="n">
        <v>0</v>
      </c>
      <c r="L780" t="n">
        <v>0</v>
      </c>
      <c r="M780" t="n">
        <v>0</v>
      </c>
      <c r="N780" t="n">
        <v>0</v>
      </c>
      <c r="O780" t="n">
        <v>0</v>
      </c>
      <c r="P780" t="n">
        <v>0</v>
      </c>
      <c r="Q780" t="n">
        <v>0</v>
      </c>
      <c r="R780" s="2" t="inlineStr"/>
    </row>
    <row r="781" ht="15" customHeight="1">
      <c r="A781" t="inlineStr">
        <is>
          <t>A 3104-2025</t>
        </is>
      </c>
      <c r="B781" s="1" t="n">
        <v>45678.67761574074</v>
      </c>
      <c r="C781" s="1" t="n">
        <v>45966</v>
      </c>
      <c r="D781" t="inlineStr">
        <is>
          <t>JÄMTLANDS LÄN</t>
        </is>
      </c>
      <c r="E781" t="inlineStr">
        <is>
          <t>RAGUNDA</t>
        </is>
      </c>
      <c r="F781" t="inlineStr">
        <is>
          <t>SCA</t>
        </is>
      </c>
      <c r="G781" t="n">
        <v>46.2</v>
      </c>
      <c r="H781" t="n">
        <v>0</v>
      </c>
      <c r="I781" t="n">
        <v>0</v>
      </c>
      <c r="J781" t="n">
        <v>0</v>
      </c>
      <c r="K781" t="n">
        <v>0</v>
      </c>
      <c r="L781" t="n">
        <v>0</v>
      </c>
      <c r="M781" t="n">
        <v>0</v>
      </c>
      <c r="N781" t="n">
        <v>0</v>
      </c>
      <c r="O781" t="n">
        <v>0</v>
      </c>
      <c r="P781" t="n">
        <v>0</v>
      </c>
      <c r="Q781" t="n">
        <v>0</v>
      </c>
      <c r="R781" s="2" t="inlineStr"/>
    </row>
    <row r="782" ht="15" customHeight="1">
      <c r="A782" t="inlineStr">
        <is>
          <t>A 18284-2025</t>
        </is>
      </c>
      <c r="B782" s="1" t="n">
        <v>45762.39876157408</v>
      </c>
      <c r="C782" s="1" t="n">
        <v>45966</v>
      </c>
      <c r="D782" t="inlineStr">
        <is>
          <t>JÄMTLANDS LÄN</t>
        </is>
      </c>
      <c r="E782" t="inlineStr">
        <is>
          <t>RAGUNDA</t>
        </is>
      </c>
      <c r="G782" t="n">
        <v>0.2</v>
      </c>
      <c r="H782" t="n">
        <v>0</v>
      </c>
      <c r="I782" t="n">
        <v>0</v>
      </c>
      <c r="J782" t="n">
        <v>0</v>
      </c>
      <c r="K782" t="n">
        <v>0</v>
      </c>
      <c r="L782" t="n">
        <v>0</v>
      </c>
      <c r="M782" t="n">
        <v>0</v>
      </c>
      <c r="N782" t="n">
        <v>0</v>
      </c>
      <c r="O782" t="n">
        <v>0</v>
      </c>
      <c r="P782" t="n">
        <v>0</v>
      </c>
      <c r="Q782" t="n">
        <v>0</v>
      </c>
      <c r="R782" s="2" t="inlineStr"/>
      <c r="U782">
        <f>HYPERLINK("https://klasma.github.io/Logging_2303/knärot/A 18284-2025 karta knärot.png", "A 18284-2025")</f>
        <v/>
      </c>
      <c r="V782">
        <f>HYPERLINK("https://klasma.github.io/Logging_2303/klagomål/A 18284-2025 FSC-klagomål.docx", "A 18284-2025")</f>
        <v/>
      </c>
      <c r="W782">
        <f>HYPERLINK("https://klasma.github.io/Logging_2303/klagomålsmail/A 18284-2025 FSC-klagomål mail.docx", "A 18284-2025")</f>
        <v/>
      </c>
      <c r="X782">
        <f>HYPERLINK("https://klasma.github.io/Logging_2303/tillsyn/A 18284-2025 tillsynsbegäran.docx", "A 18284-2025")</f>
        <v/>
      </c>
      <c r="Y782">
        <f>HYPERLINK("https://klasma.github.io/Logging_2303/tillsynsmail/A 18284-2025 tillsynsbegäran mail.docx", "A 18284-2025")</f>
        <v/>
      </c>
    </row>
    <row r="783" ht="15" customHeight="1">
      <c r="A783" t="inlineStr">
        <is>
          <t>A 44954-2025</t>
        </is>
      </c>
      <c r="B783" s="1" t="n">
        <v>45918.61203703703</v>
      </c>
      <c r="C783" s="1" t="n">
        <v>45966</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19263-2025</t>
        </is>
      </c>
      <c r="B784" s="1" t="n">
        <v>45769.51075231482</v>
      </c>
      <c r="C784" s="1" t="n">
        <v>45966</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24158-2025</t>
        </is>
      </c>
      <c r="B785" s="1" t="n">
        <v>45796</v>
      </c>
      <c r="C785" s="1" t="n">
        <v>45966</v>
      </c>
      <c r="D785" t="inlineStr">
        <is>
          <t>JÄMTLANDS LÄN</t>
        </is>
      </c>
      <c r="E785" t="inlineStr">
        <is>
          <t>RAGUNDA</t>
        </is>
      </c>
      <c r="G785" t="n">
        <v>2.9</v>
      </c>
      <c r="H785" t="n">
        <v>0</v>
      </c>
      <c r="I785" t="n">
        <v>0</v>
      </c>
      <c r="J785" t="n">
        <v>0</v>
      </c>
      <c r="K785" t="n">
        <v>0</v>
      </c>
      <c r="L785" t="n">
        <v>0</v>
      </c>
      <c r="M785" t="n">
        <v>0</v>
      </c>
      <c r="N785" t="n">
        <v>0</v>
      </c>
      <c r="O785" t="n">
        <v>0</v>
      </c>
      <c r="P785" t="n">
        <v>0</v>
      </c>
      <c r="Q785" t="n">
        <v>0</v>
      </c>
      <c r="R785" s="2" t="inlineStr"/>
      <c r="U785">
        <f>HYPERLINK("https://klasma.github.io/Logging_2303/knärot/A 24158-2025 karta knärot.png", "A 24158-2025")</f>
        <v/>
      </c>
      <c r="V785">
        <f>HYPERLINK("https://klasma.github.io/Logging_2303/klagomål/A 24158-2025 FSC-klagomål.docx", "A 24158-2025")</f>
        <v/>
      </c>
      <c r="W785">
        <f>HYPERLINK("https://klasma.github.io/Logging_2303/klagomålsmail/A 24158-2025 FSC-klagomål mail.docx", "A 24158-2025")</f>
        <v/>
      </c>
      <c r="X785">
        <f>HYPERLINK("https://klasma.github.io/Logging_2303/tillsyn/A 24158-2025 tillsynsbegäran.docx", "A 24158-2025")</f>
        <v/>
      </c>
      <c r="Y785">
        <f>HYPERLINK("https://klasma.github.io/Logging_2303/tillsynsmail/A 24158-2025 tillsynsbegäran mail.docx", "A 24158-2025")</f>
        <v/>
      </c>
    </row>
    <row r="786" ht="15" customHeight="1">
      <c r="A786" t="inlineStr">
        <is>
          <t>A 24161-2025</t>
        </is>
      </c>
      <c r="B786" s="1" t="n">
        <v>45796</v>
      </c>
      <c r="C786" s="1" t="n">
        <v>45966</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row>
    <row r="787" ht="15" customHeight="1">
      <c r="A787" t="inlineStr">
        <is>
          <t>A 53748-2025</t>
        </is>
      </c>
      <c r="B787" s="1" t="n">
        <v>45960.65673611111</v>
      </c>
      <c r="C787" s="1" t="n">
        <v>45966</v>
      </c>
      <c r="D787" t="inlineStr">
        <is>
          <t>JÄMTLANDS LÄN</t>
        </is>
      </c>
      <c r="E787" t="inlineStr">
        <is>
          <t>RAGUNDA</t>
        </is>
      </c>
      <c r="F787" t="inlineStr">
        <is>
          <t>SCA</t>
        </is>
      </c>
      <c r="G787" t="n">
        <v>14.9</v>
      </c>
      <c r="H787" t="n">
        <v>0</v>
      </c>
      <c r="I787" t="n">
        <v>0</v>
      </c>
      <c r="J787" t="n">
        <v>0</v>
      </c>
      <c r="K787" t="n">
        <v>0</v>
      </c>
      <c r="L787" t="n">
        <v>0</v>
      </c>
      <c r="M787" t="n">
        <v>0</v>
      </c>
      <c r="N787" t="n">
        <v>0</v>
      </c>
      <c r="O787" t="n">
        <v>0</v>
      </c>
      <c r="P787" t="n">
        <v>0</v>
      </c>
      <c r="Q787" t="n">
        <v>0</v>
      </c>
      <c r="R787" s="2" t="inlineStr"/>
    </row>
    <row r="788" ht="15" customHeight="1">
      <c r="A788" t="inlineStr">
        <is>
          <t>A 40246-2024</t>
        </is>
      </c>
      <c r="B788" s="1" t="n">
        <v>45554.61583333334</v>
      </c>
      <c r="C788" s="1" t="n">
        <v>45966</v>
      </c>
      <c r="D788" t="inlineStr">
        <is>
          <t>JÄMTLANDS LÄN</t>
        </is>
      </c>
      <c r="E788" t="inlineStr">
        <is>
          <t>RAGUNDA</t>
        </is>
      </c>
      <c r="G788" t="n">
        <v>1</v>
      </c>
      <c r="H788" t="n">
        <v>0</v>
      </c>
      <c r="I788" t="n">
        <v>0</v>
      </c>
      <c r="J788" t="n">
        <v>0</v>
      </c>
      <c r="K788" t="n">
        <v>0</v>
      </c>
      <c r="L788" t="n">
        <v>0</v>
      </c>
      <c r="M788" t="n">
        <v>0</v>
      </c>
      <c r="N788" t="n">
        <v>0</v>
      </c>
      <c r="O788" t="n">
        <v>0</v>
      </c>
      <c r="P788" t="n">
        <v>0</v>
      </c>
      <c r="Q788" t="n">
        <v>0</v>
      </c>
      <c r="R788" s="2" t="inlineStr"/>
    </row>
    <row r="789" ht="15" customHeight="1">
      <c r="A789" t="inlineStr">
        <is>
          <t>A 4878-2022</t>
        </is>
      </c>
      <c r="B789" s="1" t="n">
        <v>44593</v>
      </c>
      <c r="C789" s="1" t="n">
        <v>45966</v>
      </c>
      <c r="D789" t="inlineStr">
        <is>
          <t>JÄMTLANDS LÄN</t>
        </is>
      </c>
      <c r="E789" t="inlineStr">
        <is>
          <t>RAGUNDA</t>
        </is>
      </c>
      <c r="G789" t="n">
        <v>21.7</v>
      </c>
      <c r="H789" t="n">
        <v>0</v>
      </c>
      <c r="I789" t="n">
        <v>0</v>
      </c>
      <c r="J789" t="n">
        <v>0</v>
      </c>
      <c r="K789" t="n">
        <v>0</v>
      </c>
      <c r="L789" t="n">
        <v>0</v>
      </c>
      <c r="M789" t="n">
        <v>0</v>
      </c>
      <c r="N789" t="n">
        <v>0</v>
      </c>
      <c r="O789" t="n">
        <v>0</v>
      </c>
      <c r="P789" t="n">
        <v>0</v>
      </c>
      <c r="Q789" t="n">
        <v>0</v>
      </c>
      <c r="R789" s="2" t="inlineStr"/>
    </row>
    <row r="790" ht="15" customHeight="1">
      <c r="A790" t="inlineStr">
        <is>
          <t>A 53727-2025</t>
        </is>
      </c>
      <c r="B790" s="1" t="n">
        <v>45960.63630787037</v>
      </c>
      <c r="C790" s="1" t="n">
        <v>45966</v>
      </c>
      <c r="D790" t="inlineStr">
        <is>
          <t>JÄMTLANDS LÄN</t>
        </is>
      </c>
      <c r="E790" t="inlineStr">
        <is>
          <t>RAGUNDA</t>
        </is>
      </c>
      <c r="F790" t="inlineStr">
        <is>
          <t>SCA</t>
        </is>
      </c>
      <c r="G790" t="n">
        <v>6.4</v>
      </c>
      <c r="H790" t="n">
        <v>0</v>
      </c>
      <c r="I790" t="n">
        <v>0</v>
      </c>
      <c r="J790" t="n">
        <v>0</v>
      </c>
      <c r="K790" t="n">
        <v>0</v>
      </c>
      <c r="L790" t="n">
        <v>0</v>
      </c>
      <c r="M790" t="n">
        <v>0</v>
      </c>
      <c r="N790" t="n">
        <v>0</v>
      </c>
      <c r="O790" t="n">
        <v>0</v>
      </c>
      <c r="P790" t="n">
        <v>0</v>
      </c>
      <c r="Q790" t="n">
        <v>0</v>
      </c>
      <c r="R790" s="2" t="inlineStr"/>
    </row>
    <row r="791" ht="15" customHeight="1">
      <c r="A791" t="inlineStr">
        <is>
          <t>A 57237-2022</t>
        </is>
      </c>
      <c r="B791" s="1" t="n">
        <v>44889</v>
      </c>
      <c r="C791" s="1" t="n">
        <v>45966</v>
      </c>
      <c r="D791" t="inlineStr">
        <is>
          <t>JÄMTLANDS LÄN</t>
        </is>
      </c>
      <c r="E791" t="inlineStr">
        <is>
          <t>RAGUNDA</t>
        </is>
      </c>
      <c r="G791" t="n">
        <v>2.2</v>
      </c>
      <c r="H791" t="n">
        <v>0</v>
      </c>
      <c r="I791" t="n">
        <v>0</v>
      </c>
      <c r="J791" t="n">
        <v>0</v>
      </c>
      <c r="K791" t="n">
        <v>0</v>
      </c>
      <c r="L791" t="n">
        <v>0</v>
      </c>
      <c r="M791" t="n">
        <v>0</v>
      </c>
      <c r="N791" t="n">
        <v>0</v>
      </c>
      <c r="O791" t="n">
        <v>0</v>
      </c>
      <c r="P791" t="n">
        <v>0</v>
      </c>
      <c r="Q791" t="n">
        <v>0</v>
      </c>
      <c r="R791" s="2" t="inlineStr"/>
    </row>
    <row r="792" ht="15" customHeight="1">
      <c r="A792" t="inlineStr">
        <is>
          <t>A 53951-2025</t>
        </is>
      </c>
      <c r="B792" s="1" t="n">
        <v>45961.50200231482</v>
      </c>
      <c r="C792" s="1" t="n">
        <v>45966</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53975-2025</t>
        </is>
      </c>
      <c r="B793" s="1" t="n">
        <v>45961.55277777778</v>
      </c>
      <c r="C793" s="1" t="n">
        <v>45966</v>
      </c>
      <c r="D793" t="inlineStr">
        <is>
          <t>JÄMTLANDS LÄN</t>
        </is>
      </c>
      <c r="E793" t="inlineStr">
        <is>
          <t>RAGUNDA</t>
        </is>
      </c>
      <c r="F793" t="inlineStr">
        <is>
          <t>SCA</t>
        </is>
      </c>
      <c r="G793" t="n">
        <v>21.9</v>
      </c>
      <c r="H793" t="n">
        <v>0</v>
      </c>
      <c r="I793" t="n">
        <v>0</v>
      </c>
      <c r="J793" t="n">
        <v>0</v>
      </c>
      <c r="K793" t="n">
        <v>0</v>
      </c>
      <c r="L793" t="n">
        <v>0</v>
      </c>
      <c r="M793" t="n">
        <v>0</v>
      </c>
      <c r="N793" t="n">
        <v>0</v>
      </c>
      <c r="O793" t="n">
        <v>0</v>
      </c>
      <c r="P793" t="n">
        <v>0</v>
      </c>
      <c r="Q793" t="n">
        <v>0</v>
      </c>
      <c r="R793" s="2" t="inlineStr"/>
    </row>
    <row r="794" ht="15" customHeight="1">
      <c r="A794" t="inlineStr">
        <is>
          <t>A 24159-2025</t>
        </is>
      </c>
      <c r="B794" s="1" t="n">
        <v>45796</v>
      </c>
      <c r="C794" s="1" t="n">
        <v>45966</v>
      </c>
      <c r="D794" t="inlineStr">
        <is>
          <t>JÄMTLANDS LÄN</t>
        </is>
      </c>
      <c r="E794" t="inlineStr">
        <is>
          <t>RAGUNDA</t>
        </is>
      </c>
      <c r="G794" t="n">
        <v>0.8</v>
      </c>
      <c r="H794" t="n">
        <v>0</v>
      </c>
      <c r="I794" t="n">
        <v>0</v>
      </c>
      <c r="J794" t="n">
        <v>0</v>
      </c>
      <c r="K794" t="n">
        <v>0</v>
      </c>
      <c r="L794" t="n">
        <v>0</v>
      </c>
      <c r="M794" t="n">
        <v>0</v>
      </c>
      <c r="N794" t="n">
        <v>0</v>
      </c>
      <c r="O794" t="n">
        <v>0</v>
      </c>
      <c r="P794" t="n">
        <v>0</v>
      </c>
      <c r="Q794" t="n">
        <v>0</v>
      </c>
      <c r="R794" s="2" t="inlineStr"/>
    </row>
    <row r="795" ht="15" customHeight="1">
      <c r="A795" t="inlineStr">
        <is>
          <t>A 24391-2025</t>
        </is>
      </c>
      <c r="B795" s="1" t="n">
        <v>45797.63627314815</v>
      </c>
      <c r="C795" s="1" t="n">
        <v>45966</v>
      </c>
      <c r="D795" t="inlineStr">
        <is>
          <t>JÄMTLANDS LÄN</t>
        </is>
      </c>
      <c r="E795" t="inlineStr">
        <is>
          <t>RAGUNDA</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54396-2025</t>
        </is>
      </c>
      <c r="B796" s="1" t="n">
        <v>45965.44849537037</v>
      </c>
      <c r="C796" s="1" t="n">
        <v>45966</v>
      </c>
      <c r="D796" t="inlineStr">
        <is>
          <t>JÄMTLANDS LÄN</t>
        </is>
      </c>
      <c r="E796" t="inlineStr">
        <is>
          <t>RAGUNDA</t>
        </is>
      </c>
      <c r="F796" t="inlineStr">
        <is>
          <t>SCA</t>
        </is>
      </c>
      <c r="G796" t="n">
        <v>35.2</v>
      </c>
      <c r="H796" t="n">
        <v>0</v>
      </c>
      <c r="I796" t="n">
        <v>0</v>
      </c>
      <c r="J796" t="n">
        <v>0</v>
      </c>
      <c r="K796" t="n">
        <v>0</v>
      </c>
      <c r="L796" t="n">
        <v>0</v>
      </c>
      <c r="M796" t="n">
        <v>0</v>
      </c>
      <c r="N796" t="n">
        <v>0</v>
      </c>
      <c r="O796" t="n">
        <v>0</v>
      </c>
      <c r="P796" t="n">
        <v>0</v>
      </c>
      <c r="Q796" t="n">
        <v>0</v>
      </c>
      <c r="R796" s="2" t="inlineStr"/>
    </row>
    <row r="797" ht="15" customHeight="1">
      <c r="A797" t="inlineStr">
        <is>
          <t>A 2133-2023</t>
        </is>
      </c>
      <c r="B797" s="1" t="n">
        <v>44939</v>
      </c>
      <c r="C797" s="1" t="n">
        <v>45966</v>
      </c>
      <c r="D797" t="inlineStr">
        <is>
          <t>JÄMTLANDS LÄN</t>
        </is>
      </c>
      <c r="E797" t="inlineStr">
        <is>
          <t>RAGUNDA</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19419-2024</t>
        </is>
      </c>
      <c r="B798" s="1" t="n">
        <v>45429</v>
      </c>
      <c r="C798" s="1" t="n">
        <v>45966</v>
      </c>
      <c r="D798" t="inlineStr">
        <is>
          <t>JÄMTLANDS LÄN</t>
        </is>
      </c>
      <c r="E798" t="inlineStr">
        <is>
          <t>RAGUNDA</t>
        </is>
      </c>
      <c r="G798" t="n">
        <v>3.5</v>
      </c>
      <c r="H798" t="n">
        <v>0</v>
      </c>
      <c r="I798" t="n">
        <v>0</v>
      </c>
      <c r="J798" t="n">
        <v>0</v>
      </c>
      <c r="K798" t="n">
        <v>0</v>
      </c>
      <c r="L798" t="n">
        <v>0</v>
      </c>
      <c r="M798" t="n">
        <v>0</v>
      </c>
      <c r="N798" t="n">
        <v>0</v>
      </c>
      <c r="O798" t="n">
        <v>0</v>
      </c>
      <c r="P798" t="n">
        <v>0</v>
      </c>
      <c r="Q798" t="n">
        <v>0</v>
      </c>
      <c r="R798" s="2" t="inlineStr"/>
    </row>
    <row r="799" ht="15" customHeight="1">
      <c r="A799" t="inlineStr">
        <is>
          <t>A 20088-2023</t>
        </is>
      </c>
      <c r="B799" s="1" t="n">
        <v>45054</v>
      </c>
      <c r="C799" s="1" t="n">
        <v>45966</v>
      </c>
      <c r="D799" t="inlineStr">
        <is>
          <t>JÄMTLANDS LÄN</t>
        </is>
      </c>
      <c r="E799" t="inlineStr">
        <is>
          <t>RAGUNDA</t>
        </is>
      </c>
      <c r="F799" t="inlineStr">
        <is>
          <t>SCA</t>
        </is>
      </c>
      <c r="G799" t="n">
        <v>23.4</v>
      </c>
      <c r="H799" t="n">
        <v>0</v>
      </c>
      <c r="I799" t="n">
        <v>0</v>
      </c>
      <c r="J799" t="n">
        <v>0</v>
      </c>
      <c r="K799" t="n">
        <v>0</v>
      </c>
      <c r="L799" t="n">
        <v>0</v>
      </c>
      <c r="M799" t="n">
        <v>0</v>
      </c>
      <c r="N799" t="n">
        <v>0</v>
      </c>
      <c r="O799" t="n">
        <v>0</v>
      </c>
      <c r="P799" t="n">
        <v>0</v>
      </c>
      <c r="Q799" t="n">
        <v>0</v>
      </c>
      <c r="R799" s="2" t="inlineStr"/>
    </row>
    <row r="800" ht="15" customHeight="1">
      <c r="A800" t="inlineStr">
        <is>
          <t>A 19383-2025</t>
        </is>
      </c>
      <c r="B800" s="1" t="n">
        <v>45769.65688657408</v>
      </c>
      <c r="C800" s="1" t="n">
        <v>45966</v>
      </c>
      <c r="D800" t="inlineStr">
        <is>
          <t>JÄMTLANDS LÄN</t>
        </is>
      </c>
      <c r="E800" t="inlineStr">
        <is>
          <t>RAGUNDA</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62407-2023</t>
        </is>
      </c>
      <c r="B801" s="1" t="n">
        <v>45266</v>
      </c>
      <c r="C801" s="1" t="n">
        <v>45966</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49229-2024</t>
        </is>
      </c>
      <c r="B802" s="1" t="n">
        <v>45595.42738425926</v>
      </c>
      <c r="C802" s="1" t="n">
        <v>45966</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13700-2023</t>
        </is>
      </c>
      <c r="B803" s="1" t="n">
        <v>45006</v>
      </c>
      <c r="C803" s="1" t="n">
        <v>45966</v>
      </c>
      <c r="D803" t="inlineStr">
        <is>
          <t>JÄMTLANDS LÄN</t>
        </is>
      </c>
      <c r="E803" t="inlineStr">
        <is>
          <t>RAGUNDA</t>
        </is>
      </c>
      <c r="F803" t="inlineStr">
        <is>
          <t>SCA</t>
        </is>
      </c>
      <c r="G803" t="n">
        <v>50.3</v>
      </c>
      <c r="H803" t="n">
        <v>0</v>
      </c>
      <c r="I803" t="n">
        <v>0</v>
      </c>
      <c r="J803" t="n">
        <v>0</v>
      </c>
      <c r="K803" t="n">
        <v>0</v>
      </c>
      <c r="L803" t="n">
        <v>0</v>
      </c>
      <c r="M803" t="n">
        <v>0</v>
      </c>
      <c r="N803" t="n">
        <v>0</v>
      </c>
      <c r="O803" t="n">
        <v>0</v>
      </c>
      <c r="P803" t="n">
        <v>0</v>
      </c>
      <c r="Q803" t="n">
        <v>0</v>
      </c>
      <c r="R803" s="2" t="inlineStr"/>
    </row>
    <row r="804" ht="15" customHeight="1">
      <c r="A804" t="inlineStr">
        <is>
          <t>A 51389-2024</t>
        </is>
      </c>
      <c r="B804" s="1" t="n">
        <v>45604.40540509259</v>
      </c>
      <c r="C804" s="1" t="n">
        <v>45966</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51393-2024</t>
        </is>
      </c>
      <c r="B805" s="1" t="n">
        <v>45604.41625</v>
      </c>
      <c r="C805" s="1" t="n">
        <v>45966</v>
      </c>
      <c r="D805" t="inlineStr">
        <is>
          <t>JÄMTLANDS LÄN</t>
        </is>
      </c>
      <c r="E805" t="inlineStr">
        <is>
          <t>RAGUNDA</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4882-2023</t>
        </is>
      </c>
      <c r="B806" s="1" t="n">
        <v>44957.94075231482</v>
      </c>
      <c r="C806" s="1" t="n">
        <v>45966</v>
      </c>
      <c r="D806" t="inlineStr">
        <is>
          <t>JÄMTLANDS LÄN</t>
        </is>
      </c>
      <c r="E806" t="inlineStr">
        <is>
          <t>RAGUNDA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54195-2025</t>
        </is>
      </c>
      <c r="B807" s="1" t="n">
        <v>45964.57413194444</v>
      </c>
      <c r="C807" s="1" t="n">
        <v>45966</v>
      </c>
      <c r="D807" t="inlineStr">
        <is>
          <t>JÄMTLANDS LÄN</t>
        </is>
      </c>
      <c r="E807" t="inlineStr">
        <is>
          <t>RAGUNDA</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21524-2024</t>
        </is>
      </c>
      <c r="B808" s="1" t="n">
        <v>45441</v>
      </c>
      <c r="C808" s="1" t="n">
        <v>45966</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15554-2025</t>
        </is>
      </c>
      <c r="B809" s="1" t="n">
        <v>45747.67739583334</v>
      </c>
      <c r="C809" s="1" t="n">
        <v>45966</v>
      </c>
      <c r="D809" t="inlineStr">
        <is>
          <t>JÄMTLANDS LÄN</t>
        </is>
      </c>
      <c r="E809" t="inlineStr">
        <is>
          <t>RAGUNDA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38191-2024</t>
        </is>
      </c>
      <c r="B810" s="1" t="n">
        <v>45545.49078703704</v>
      </c>
      <c r="C810" s="1" t="n">
        <v>45966</v>
      </c>
      <c r="D810" t="inlineStr">
        <is>
          <t>JÄMTLANDS LÄN</t>
        </is>
      </c>
      <c r="E810" t="inlineStr">
        <is>
          <t>RAGUNDA</t>
        </is>
      </c>
      <c r="G810" t="n">
        <v>1.6</v>
      </c>
      <c r="H810" t="n">
        <v>0</v>
      </c>
      <c r="I810" t="n">
        <v>0</v>
      </c>
      <c r="J810" t="n">
        <v>0</v>
      </c>
      <c r="K810" t="n">
        <v>0</v>
      </c>
      <c r="L810" t="n">
        <v>0</v>
      </c>
      <c r="M810" t="n">
        <v>0</v>
      </c>
      <c r="N810" t="n">
        <v>0</v>
      </c>
      <c r="O810" t="n">
        <v>0</v>
      </c>
      <c r="P810" t="n">
        <v>0</v>
      </c>
      <c r="Q810" t="n">
        <v>0</v>
      </c>
      <c r="R810" s="2" t="inlineStr"/>
    </row>
    <row r="811" ht="15" customHeight="1">
      <c r="A811" t="inlineStr">
        <is>
          <t>A 20987-2023</t>
        </is>
      </c>
      <c r="B811" s="1" t="n">
        <v>45056</v>
      </c>
      <c r="C811" s="1" t="n">
        <v>45966</v>
      </c>
      <c r="D811" t="inlineStr">
        <is>
          <t>JÄMTLANDS LÄN</t>
        </is>
      </c>
      <c r="E811" t="inlineStr">
        <is>
          <t>RAGUNDA</t>
        </is>
      </c>
      <c r="G811" t="n">
        <v>1.1</v>
      </c>
      <c r="H811" t="n">
        <v>0</v>
      </c>
      <c r="I811" t="n">
        <v>0</v>
      </c>
      <c r="J811" t="n">
        <v>0</v>
      </c>
      <c r="K811" t="n">
        <v>0</v>
      </c>
      <c r="L811" t="n">
        <v>0</v>
      </c>
      <c r="M811" t="n">
        <v>0</v>
      </c>
      <c r="N811" t="n">
        <v>0</v>
      </c>
      <c r="O811" t="n">
        <v>0</v>
      </c>
      <c r="P811" t="n">
        <v>0</v>
      </c>
      <c r="Q811" t="n">
        <v>0</v>
      </c>
      <c r="R811" s="2" t="inlineStr"/>
    </row>
    <row r="812" ht="15" customHeight="1">
      <c r="A812" t="inlineStr">
        <is>
          <t>A 20994-2023</t>
        </is>
      </c>
      <c r="B812" s="1" t="n">
        <v>45056</v>
      </c>
      <c r="C812" s="1" t="n">
        <v>45966</v>
      </c>
      <c r="D812" t="inlineStr">
        <is>
          <t>JÄMTLANDS LÄN</t>
        </is>
      </c>
      <c r="E812" t="inlineStr">
        <is>
          <t>RAGUNDA</t>
        </is>
      </c>
      <c r="G812" t="n">
        <v>1.3</v>
      </c>
      <c r="H812" t="n">
        <v>0</v>
      </c>
      <c r="I812" t="n">
        <v>0</v>
      </c>
      <c r="J812" t="n">
        <v>0</v>
      </c>
      <c r="K812" t="n">
        <v>0</v>
      </c>
      <c r="L812" t="n">
        <v>0</v>
      </c>
      <c r="M812" t="n">
        <v>0</v>
      </c>
      <c r="N812" t="n">
        <v>0</v>
      </c>
      <c r="O812" t="n">
        <v>0</v>
      </c>
      <c r="P812" t="n">
        <v>0</v>
      </c>
      <c r="Q812" t="n">
        <v>0</v>
      </c>
      <c r="R812" s="2" t="inlineStr"/>
    </row>
    <row r="813" ht="15" customHeight="1">
      <c r="A813" t="inlineStr">
        <is>
          <t>A 65216-2023</t>
        </is>
      </c>
      <c r="B813" s="1" t="n">
        <v>45289</v>
      </c>
      <c r="C813" s="1" t="n">
        <v>45966</v>
      </c>
      <c r="D813" t="inlineStr">
        <is>
          <t>JÄMTLANDS LÄN</t>
        </is>
      </c>
      <c r="E813" t="inlineStr">
        <is>
          <t>RAGUNDA</t>
        </is>
      </c>
      <c r="G813" t="n">
        <v>2.9</v>
      </c>
      <c r="H813" t="n">
        <v>0</v>
      </c>
      <c r="I813" t="n">
        <v>0</v>
      </c>
      <c r="J813" t="n">
        <v>0</v>
      </c>
      <c r="K813" t="n">
        <v>0</v>
      </c>
      <c r="L813" t="n">
        <v>0</v>
      </c>
      <c r="M813" t="n">
        <v>0</v>
      </c>
      <c r="N813" t="n">
        <v>0</v>
      </c>
      <c r="O813" t="n">
        <v>0</v>
      </c>
      <c r="P813" t="n">
        <v>0</v>
      </c>
      <c r="Q813" t="n">
        <v>0</v>
      </c>
      <c r="R813" s="2" t="inlineStr"/>
    </row>
    <row r="814" ht="15" customHeight="1">
      <c r="A814" t="inlineStr">
        <is>
          <t>A 52148-2024</t>
        </is>
      </c>
      <c r="B814" s="1" t="n">
        <v>45608.52354166667</v>
      </c>
      <c r="C814" s="1" t="n">
        <v>45966</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55669-2023</t>
        </is>
      </c>
      <c r="B815" s="1" t="n">
        <v>45238.96797453704</v>
      </c>
      <c r="C815" s="1" t="n">
        <v>45966</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45894-2025</t>
        </is>
      </c>
      <c r="B816" s="1" t="n">
        <v>45923.67765046296</v>
      </c>
      <c r="C816" s="1" t="n">
        <v>45966</v>
      </c>
      <c r="D816" t="inlineStr">
        <is>
          <t>JÄMTLANDS LÄN</t>
        </is>
      </c>
      <c r="E816" t="inlineStr">
        <is>
          <t>RAGUNDA</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32063-2024</t>
        </is>
      </c>
      <c r="B817" s="1" t="n">
        <v>45510</v>
      </c>
      <c r="C817" s="1" t="n">
        <v>45966</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10641-2024</t>
        </is>
      </c>
      <c r="B818" s="1" t="n">
        <v>45367.69850694444</v>
      </c>
      <c r="C818" s="1" t="n">
        <v>45966</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10644-2024</t>
        </is>
      </c>
      <c r="B819" s="1" t="n">
        <v>45367.71348379629</v>
      </c>
      <c r="C819" s="1" t="n">
        <v>45966</v>
      </c>
      <c r="D819" t="inlineStr">
        <is>
          <t>JÄMTLANDS LÄN</t>
        </is>
      </c>
      <c r="E819" t="inlineStr">
        <is>
          <t>RAGUNDA</t>
        </is>
      </c>
      <c r="G819" t="n">
        <v>2</v>
      </c>
      <c r="H819" t="n">
        <v>0</v>
      </c>
      <c r="I819" t="n">
        <v>0</v>
      </c>
      <c r="J819" t="n">
        <v>0</v>
      </c>
      <c r="K819" t="n">
        <v>0</v>
      </c>
      <c r="L819" t="n">
        <v>0</v>
      </c>
      <c r="M819" t="n">
        <v>0</v>
      </c>
      <c r="N819" t="n">
        <v>0</v>
      </c>
      <c r="O819" t="n">
        <v>0</v>
      </c>
      <c r="P819" t="n">
        <v>0</v>
      </c>
      <c r="Q819" t="n">
        <v>0</v>
      </c>
      <c r="R819" s="2" t="inlineStr"/>
    </row>
    <row r="820" ht="15" customHeight="1">
      <c r="A820" t="inlineStr">
        <is>
          <t>A 25631-2025</t>
        </is>
      </c>
      <c r="B820" s="1" t="n">
        <v>45803.5946875</v>
      </c>
      <c r="C820" s="1" t="n">
        <v>45966</v>
      </c>
      <c r="D820" t="inlineStr">
        <is>
          <t>JÄMTLANDS LÄN</t>
        </is>
      </c>
      <c r="E820" t="inlineStr">
        <is>
          <t>RAGUNDA</t>
        </is>
      </c>
      <c r="G820" t="n">
        <v>1.1</v>
      </c>
      <c r="H820" t="n">
        <v>0</v>
      </c>
      <c r="I820" t="n">
        <v>0</v>
      </c>
      <c r="J820" t="n">
        <v>0</v>
      </c>
      <c r="K820" t="n">
        <v>0</v>
      </c>
      <c r="L820" t="n">
        <v>0</v>
      </c>
      <c r="M820" t="n">
        <v>0</v>
      </c>
      <c r="N820" t="n">
        <v>0</v>
      </c>
      <c r="O820" t="n">
        <v>0</v>
      </c>
      <c r="P820" t="n">
        <v>0</v>
      </c>
      <c r="Q820" t="n">
        <v>0</v>
      </c>
      <c r="R820" s="2" t="inlineStr"/>
    </row>
    <row r="821" ht="15" customHeight="1">
      <c r="A821" t="inlineStr">
        <is>
          <t>A 20426-2024</t>
        </is>
      </c>
      <c r="B821" s="1" t="n">
        <v>45435</v>
      </c>
      <c r="C821" s="1" t="n">
        <v>45966</v>
      </c>
      <c r="D821" t="inlineStr">
        <is>
          <t>JÄMTLANDS LÄN</t>
        </is>
      </c>
      <c r="E821" t="inlineStr">
        <is>
          <t>RAGUNDA</t>
        </is>
      </c>
      <c r="G821" t="n">
        <v>2.1</v>
      </c>
      <c r="H821" t="n">
        <v>0</v>
      </c>
      <c r="I821" t="n">
        <v>0</v>
      </c>
      <c r="J821" t="n">
        <v>0</v>
      </c>
      <c r="K821" t="n">
        <v>0</v>
      </c>
      <c r="L821" t="n">
        <v>0</v>
      </c>
      <c r="M821" t="n">
        <v>0</v>
      </c>
      <c r="N821" t="n">
        <v>0</v>
      </c>
      <c r="O821" t="n">
        <v>0</v>
      </c>
      <c r="P821" t="n">
        <v>0</v>
      </c>
      <c r="Q821" t="n">
        <v>0</v>
      </c>
      <c r="R821" s="2" t="inlineStr"/>
    </row>
    <row r="822" ht="15" customHeight="1">
      <c r="A822" t="inlineStr">
        <is>
          <t>A 17742-2022</t>
        </is>
      </c>
      <c r="B822" s="1" t="n">
        <v>44680.95246527778</v>
      </c>
      <c r="C822" s="1" t="n">
        <v>45966</v>
      </c>
      <c r="D822" t="inlineStr">
        <is>
          <t>JÄMTLANDS LÄN</t>
        </is>
      </c>
      <c r="E822" t="inlineStr">
        <is>
          <t>RAGUNDA</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25376-2025</t>
        </is>
      </c>
      <c r="B823" s="1" t="n">
        <v>45800.63619212963</v>
      </c>
      <c r="C823" s="1" t="n">
        <v>45966</v>
      </c>
      <c r="D823" t="inlineStr">
        <is>
          <t>JÄMTLANDS LÄN</t>
        </is>
      </c>
      <c r="E823" t="inlineStr">
        <is>
          <t>RAGUNDA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30825-2023</t>
        </is>
      </c>
      <c r="B824" s="1" t="n">
        <v>45112.94310185185</v>
      </c>
      <c r="C824" s="1" t="n">
        <v>45966</v>
      </c>
      <c r="D824" t="inlineStr">
        <is>
          <t>JÄMTLANDS LÄN</t>
        </is>
      </c>
      <c r="E824" t="inlineStr">
        <is>
          <t>RAGUNDA</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25175-2025</t>
        </is>
      </c>
      <c r="B825" s="1" t="n">
        <v>45800.44822916666</v>
      </c>
      <c r="C825" s="1" t="n">
        <v>45966</v>
      </c>
      <c r="D825" t="inlineStr">
        <is>
          <t>JÄMTLANDS LÄN</t>
        </is>
      </c>
      <c r="E825" t="inlineStr">
        <is>
          <t>RAGUNDA</t>
        </is>
      </c>
      <c r="F825" t="inlineStr">
        <is>
          <t>SCA</t>
        </is>
      </c>
      <c r="G825" t="n">
        <v>4.3</v>
      </c>
      <c r="H825" t="n">
        <v>0</v>
      </c>
      <c r="I825" t="n">
        <v>0</v>
      </c>
      <c r="J825" t="n">
        <v>0</v>
      </c>
      <c r="K825" t="n">
        <v>0</v>
      </c>
      <c r="L825" t="n">
        <v>0</v>
      </c>
      <c r="M825" t="n">
        <v>0</v>
      </c>
      <c r="N825" t="n">
        <v>0</v>
      </c>
      <c r="O825" t="n">
        <v>0</v>
      </c>
      <c r="P825" t="n">
        <v>0</v>
      </c>
      <c r="Q825" t="n">
        <v>0</v>
      </c>
      <c r="R825" s="2" t="inlineStr"/>
    </row>
    <row r="826" ht="15" customHeight="1">
      <c r="A826" t="inlineStr">
        <is>
          <t>A 25177-2025</t>
        </is>
      </c>
      <c r="B826" s="1" t="n">
        <v>45800.44862268519</v>
      </c>
      <c r="C826" s="1" t="n">
        <v>45966</v>
      </c>
      <c r="D826" t="inlineStr">
        <is>
          <t>JÄMTLANDS LÄN</t>
        </is>
      </c>
      <c r="E826" t="inlineStr">
        <is>
          <t>RAGUNDA</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25659-2025</t>
        </is>
      </c>
      <c r="B827" s="1" t="n">
        <v>45803.61552083334</v>
      </c>
      <c r="C827" s="1" t="n">
        <v>45966</v>
      </c>
      <c r="D827" t="inlineStr">
        <is>
          <t>JÄMTLANDS LÄN</t>
        </is>
      </c>
      <c r="E827" t="inlineStr">
        <is>
          <t>RAGUNDA</t>
        </is>
      </c>
      <c r="G827" t="n">
        <v>1.5</v>
      </c>
      <c r="H827" t="n">
        <v>0</v>
      </c>
      <c r="I827" t="n">
        <v>0</v>
      </c>
      <c r="J827" t="n">
        <v>0</v>
      </c>
      <c r="K827" t="n">
        <v>0</v>
      </c>
      <c r="L827" t="n">
        <v>0</v>
      </c>
      <c r="M827" t="n">
        <v>0</v>
      </c>
      <c r="N827" t="n">
        <v>0</v>
      </c>
      <c r="O827" t="n">
        <v>0</v>
      </c>
      <c r="P827" t="n">
        <v>0</v>
      </c>
      <c r="Q827" t="n">
        <v>0</v>
      </c>
      <c r="R827" s="2" t="inlineStr"/>
    </row>
    <row r="828" ht="15" customHeight="1">
      <c r="A828" t="inlineStr">
        <is>
          <t>A 25661-2025</t>
        </is>
      </c>
      <c r="B828" s="1" t="n">
        <v>45803.61557870371</v>
      </c>
      <c r="C828" s="1" t="n">
        <v>45966</v>
      </c>
      <c r="D828" t="inlineStr">
        <is>
          <t>JÄMTLANDS LÄN</t>
        </is>
      </c>
      <c r="E828" t="inlineStr">
        <is>
          <t>RAGUNDA</t>
        </is>
      </c>
      <c r="G828" t="n">
        <v>1.4</v>
      </c>
      <c r="H828" t="n">
        <v>0</v>
      </c>
      <c r="I828" t="n">
        <v>0</v>
      </c>
      <c r="J828" t="n">
        <v>0</v>
      </c>
      <c r="K828" t="n">
        <v>0</v>
      </c>
      <c r="L828" t="n">
        <v>0</v>
      </c>
      <c r="M828" t="n">
        <v>0</v>
      </c>
      <c r="N828" t="n">
        <v>0</v>
      </c>
      <c r="O828" t="n">
        <v>0</v>
      </c>
      <c r="P828" t="n">
        <v>0</v>
      </c>
      <c r="Q828" t="n">
        <v>0</v>
      </c>
      <c r="R828" s="2" t="inlineStr"/>
    </row>
    <row r="829" ht="15" customHeight="1">
      <c r="A829" t="inlineStr">
        <is>
          <t>A 25350-2025</t>
        </is>
      </c>
      <c r="B829" s="1" t="n">
        <v>45800</v>
      </c>
      <c r="C829" s="1" t="n">
        <v>45966</v>
      </c>
      <c r="D829" t="inlineStr">
        <is>
          <t>JÄMTLANDS LÄN</t>
        </is>
      </c>
      <c r="E829" t="inlineStr">
        <is>
          <t>RAGUNDA</t>
        </is>
      </c>
      <c r="G829" t="n">
        <v>2.4</v>
      </c>
      <c r="H829" t="n">
        <v>0</v>
      </c>
      <c r="I829" t="n">
        <v>0</v>
      </c>
      <c r="J829" t="n">
        <v>0</v>
      </c>
      <c r="K829" t="n">
        <v>0</v>
      </c>
      <c r="L829" t="n">
        <v>0</v>
      </c>
      <c r="M829" t="n">
        <v>0</v>
      </c>
      <c r="N829" t="n">
        <v>0</v>
      </c>
      <c r="O829" t="n">
        <v>0</v>
      </c>
      <c r="P829" t="n">
        <v>0</v>
      </c>
      <c r="Q829" t="n">
        <v>0</v>
      </c>
      <c r="R829" s="2" t="inlineStr"/>
    </row>
    <row r="830" ht="15" customHeight="1">
      <c r="A830" t="inlineStr">
        <is>
          <t>A 25152-2025</t>
        </is>
      </c>
      <c r="B830" s="1" t="n">
        <v>45800.42743055556</v>
      </c>
      <c r="C830" s="1" t="n">
        <v>45966</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19613-2023</t>
        </is>
      </c>
      <c r="B831" s="1" t="n">
        <v>45050.94020833333</v>
      </c>
      <c r="C831" s="1" t="n">
        <v>45966</v>
      </c>
      <c r="D831" t="inlineStr">
        <is>
          <t>JÄMTLANDS LÄN</t>
        </is>
      </c>
      <c r="E831" t="inlineStr">
        <is>
          <t>RAGUNDA</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9084-2023</t>
        </is>
      </c>
      <c r="B832" s="1" t="n">
        <v>44979</v>
      </c>
      <c r="C832" s="1" t="n">
        <v>45966</v>
      </c>
      <c r="D832" t="inlineStr">
        <is>
          <t>JÄMTLANDS LÄN</t>
        </is>
      </c>
      <c r="E832" t="inlineStr">
        <is>
          <t>RAGUNDA</t>
        </is>
      </c>
      <c r="G832" t="n">
        <v>1.9</v>
      </c>
      <c r="H832" t="n">
        <v>0</v>
      </c>
      <c r="I832" t="n">
        <v>0</v>
      </c>
      <c r="J832" t="n">
        <v>0</v>
      </c>
      <c r="K832" t="n">
        <v>0</v>
      </c>
      <c r="L832" t="n">
        <v>0</v>
      </c>
      <c r="M832" t="n">
        <v>0</v>
      </c>
      <c r="N832" t="n">
        <v>0</v>
      </c>
      <c r="O832" t="n">
        <v>0</v>
      </c>
      <c r="P832" t="n">
        <v>0</v>
      </c>
      <c r="Q832" t="n">
        <v>0</v>
      </c>
      <c r="R832" s="2" t="inlineStr"/>
    </row>
    <row r="833" ht="15" customHeight="1">
      <c r="A833" t="inlineStr">
        <is>
          <t>A 25814-2025</t>
        </is>
      </c>
      <c r="B833" s="1" t="n">
        <v>45804.42642361111</v>
      </c>
      <c r="C833" s="1" t="n">
        <v>45966</v>
      </c>
      <c r="D833" t="inlineStr">
        <is>
          <t>JÄMTLANDS LÄN</t>
        </is>
      </c>
      <c r="E833" t="inlineStr">
        <is>
          <t>RAGUNDA</t>
        </is>
      </c>
      <c r="G833" t="n">
        <v>0.8</v>
      </c>
      <c r="H833" t="n">
        <v>0</v>
      </c>
      <c r="I833" t="n">
        <v>0</v>
      </c>
      <c r="J833" t="n">
        <v>0</v>
      </c>
      <c r="K833" t="n">
        <v>0</v>
      </c>
      <c r="L833" t="n">
        <v>0</v>
      </c>
      <c r="M833" t="n">
        <v>0</v>
      </c>
      <c r="N833" t="n">
        <v>0</v>
      </c>
      <c r="O833" t="n">
        <v>0</v>
      </c>
      <c r="P833" t="n">
        <v>0</v>
      </c>
      <c r="Q833" t="n">
        <v>0</v>
      </c>
      <c r="R833" s="2" t="inlineStr"/>
    </row>
    <row r="834" ht="15" customHeight="1">
      <c r="A834" t="inlineStr">
        <is>
          <t>A 25944-2025</t>
        </is>
      </c>
      <c r="B834" s="1" t="n">
        <v>45804.59487268519</v>
      </c>
      <c r="C834" s="1" t="n">
        <v>45966</v>
      </c>
      <c r="D834" t="inlineStr">
        <is>
          <t>JÄMTLANDS LÄN</t>
        </is>
      </c>
      <c r="E834" t="inlineStr">
        <is>
          <t>RAGUNDA</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26283-2025</t>
        </is>
      </c>
      <c r="B835" s="1" t="n">
        <v>45805.61495370371</v>
      </c>
      <c r="C835" s="1" t="n">
        <v>45966</v>
      </c>
      <c r="D835" t="inlineStr">
        <is>
          <t>JÄMTLANDS LÄN</t>
        </is>
      </c>
      <c r="E835" t="inlineStr">
        <is>
          <t>RAGUNDA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10788-2025</t>
        </is>
      </c>
      <c r="B836" s="1" t="n">
        <v>45722.48982638889</v>
      </c>
      <c r="C836" s="1" t="n">
        <v>45966</v>
      </c>
      <c r="D836" t="inlineStr">
        <is>
          <t>JÄMTLANDS LÄN</t>
        </is>
      </c>
      <c r="E836" t="inlineStr">
        <is>
          <t>RAGUNDA</t>
        </is>
      </c>
      <c r="G836" t="n">
        <v>3.5</v>
      </c>
      <c r="H836" t="n">
        <v>0</v>
      </c>
      <c r="I836" t="n">
        <v>0</v>
      </c>
      <c r="J836" t="n">
        <v>0</v>
      </c>
      <c r="K836" t="n">
        <v>0</v>
      </c>
      <c r="L836" t="n">
        <v>0</v>
      </c>
      <c r="M836" t="n">
        <v>0</v>
      </c>
      <c r="N836" t="n">
        <v>0</v>
      </c>
      <c r="O836" t="n">
        <v>0</v>
      </c>
      <c r="P836" t="n">
        <v>0</v>
      </c>
      <c r="Q836" t="n">
        <v>0</v>
      </c>
      <c r="R836" s="2" t="inlineStr"/>
    </row>
    <row r="837" ht="15" customHeight="1">
      <c r="A837" t="inlineStr">
        <is>
          <t>A 9326-2024</t>
        </is>
      </c>
      <c r="B837" s="1" t="n">
        <v>45358.95818287037</v>
      </c>
      <c r="C837" s="1" t="n">
        <v>45966</v>
      </c>
      <c r="D837" t="inlineStr">
        <is>
          <t>JÄMTLANDS LÄN</t>
        </is>
      </c>
      <c r="E837" t="inlineStr">
        <is>
          <t>RAGUNDA</t>
        </is>
      </c>
      <c r="G837" t="n">
        <v>0.7</v>
      </c>
      <c r="H837" t="n">
        <v>0</v>
      </c>
      <c r="I837" t="n">
        <v>0</v>
      </c>
      <c r="J837" t="n">
        <v>0</v>
      </c>
      <c r="K837" t="n">
        <v>0</v>
      </c>
      <c r="L837" t="n">
        <v>0</v>
      </c>
      <c r="M837" t="n">
        <v>0</v>
      </c>
      <c r="N837" t="n">
        <v>0</v>
      </c>
      <c r="O837" t="n">
        <v>0</v>
      </c>
      <c r="P837" t="n">
        <v>0</v>
      </c>
      <c r="Q837" t="n">
        <v>0</v>
      </c>
      <c r="R837" s="2" t="inlineStr"/>
    </row>
    <row r="838" ht="15" customHeight="1">
      <c r="A838" t="inlineStr">
        <is>
          <t>A 24258-2025</t>
        </is>
      </c>
      <c r="B838" s="1" t="n">
        <v>45797.40800925926</v>
      </c>
      <c r="C838" s="1" t="n">
        <v>45966</v>
      </c>
      <c r="D838" t="inlineStr">
        <is>
          <t>JÄMTLANDS LÄN</t>
        </is>
      </c>
      <c r="E838" t="inlineStr">
        <is>
          <t>RAGUNDA</t>
        </is>
      </c>
      <c r="G838" t="n">
        <v>1.2</v>
      </c>
      <c r="H838" t="n">
        <v>0</v>
      </c>
      <c r="I838" t="n">
        <v>0</v>
      </c>
      <c r="J838" t="n">
        <v>0</v>
      </c>
      <c r="K838" t="n">
        <v>0</v>
      </c>
      <c r="L838" t="n">
        <v>0</v>
      </c>
      <c r="M838" t="n">
        <v>0</v>
      </c>
      <c r="N838" t="n">
        <v>0</v>
      </c>
      <c r="O838" t="n">
        <v>0</v>
      </c>
      <c r="P838" t="n">
        <v>0</v>
      </c>
      <c r="Q838" t="n">
        <v>0</v>
      </c>
      <c r="R838" s="2" t="inlineStr"/>
    </row>
    <row r="839" ht="15" customHeight="1">
      <c r="A839" t="inlineStr">
        <is>
          <t>A 25994-2025</t>
        </is>
      </c>
      <c r="B839" s="1" t="n">
        <v>45804.65672453704</v>
      </c>
      <c r="C839" s="1" t="n">
        <v>45966</v>
      </c>
      <c r="D839" t="inlineStr">
        <is>
          <t>JÄMTLANDS LÄN</t>
        </is>
      </c>
      <c r="E839" t="inlineStr">
        <is>
          <t>RAGUNDA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7520-2023</t>
        </is>
      </c>
      <c r="B840" s="1" t="n">
        <v>44971</v>
      </c>
      <c r="C840" s="1" t="n">
        <v>45966</v>
      </c>
      <c r="D840" t="inlineStr">
        <is>
          <t>JÄMTLANDS LÄN</t>
        </is>
      </c>
      <c r="E840" t="inlineStr">
        <is>
          <t>RAGUNDA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21662-2023</t>
        </is>
      </c>
      <c r="B841" s="1" t="n">
        <v>45063</v>
      </c>
      <c r="C841" s="1" t="n">
        <v>45966</v>
      </c>
      <c r="D841" t="inlineStr">
        <is>
          <t>JÄMTLANDS LÄN</t>
        </is>
      </c>
      <c r="E841" t="inlineStr">
        <is>
          <t>RAGUNDA</t>
        </is>
      </c>
      <c r="G841" t="n">
        <v>1.8</v>
      </c>
      <c r="H841" t="n">
        <v>0</v>
      </c>
      <c r="I841" t="n">
        <v>0</v>
      </c>
      <c r="J841" t="n">
        <v>0</v>
      </c>
      <c r="K841" t="n">
        <v>0</v>
      </c>
      <c r="L841" t="n">
        <v>0</v>
      </c>
      <c r="M841" t="n">
        <v>0</v>
      </c>
      <c r="N841" t="n">
        <v>0</v>
      </c>
      <c r="O841" t="n">
        <v>0</v>
      </c>
      <c r="P841" t="n">
        <v>0</v>
      </c>
      <c r="Q841" t="n">
        <v>0</v>
      </c>
      <c r="R841" s="2" t="inlineStr"/>
    </row>
    <row r="842" ht="15" customHeight="1">
      <c r="A842" t="inlineStr">
        <is>
          <t>A 26172-2025</t>
        </is>
      </c>
      <c r="B842" s="1" t="n">
        <v>45805.46613425926</v>
      </c>
      <c r="C842" s="1" t="n">
        <v>45966</v>
      </c>
      <c r="D842" t="inlineStr">
        <is>
          <t>JÄMTLANDS LÄN</t>
        </is>
      </c>
      <c r="E842" t="inlineStr">
        <is>
          <t>RAGUNDA</t>
        </is>
      </c>
      <c r="G842" t="n">
        <v>2.1</v>
      </c>
      <c r="H842" t="n">
        <v>0</v>
      </c>
      <c r="I842" t="n">
        <v>0</v>
      </c>
      <c r="J842" t="n">
        <v>0</v>
      </c>
      <c r="K842" t="n">
        <v>0</v>
      </c>
      <c r="L842" t="n">
        <v>0</v>
      </c>
      <c r="M842" t="n">
        <v>0</v>
      </c>
      <c r="N842" t="n">
        <v>0</v>
      </c>
      <c r="O842" t="n">
        <v>0</v>
      </c>
      <c r="P842" t="n">
        <v>0</v>
      </c>
      <c r="Q842" t="n">
        <v>0</v>
      </c>
      <c r="R842" s="2" t="inlineStr"/>
    </row>
    <row r="843" ht="15" customHeight="1">
      <c r="A843" t="inlineStr">
        <is>
          <t>A 26246-2025</t>
        </is>
      </c>
      <c r="B843" s="1" t="n">
        <v>45805.57390046296</v>
      </c>
      <c r="C843" s="1" t="n">
        <v>45966</v>
      </c>
      <c r="D843" t="inlineStr">
        <is>
          <t>JÄMTLANDS LÄN</t>
        </is>
      </c>
      <c r="E843" t="inlineStr">
        <is>
          <t>RAGUNDA</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44727-2024</t>
        </is>
      </c>
      <c r="B844" s="1" t="n">
        <v>45574.57967592592</v>
      </c>
      <c r="C844" s="1" t="n">
        <v>45966</v>
      </c>
      <c r="D844" t="inlineStr">
        <is>
          <t>JÄMTLANDS LÄN</t>
        </is>
      </c>
      <c r="E844" t="inlineStr">
        <is>
          <t>RAGUNDA</t>
        </is>
      </c>
      <c r="G844" t="n">
        <v>4.7</v>
      </c>
      <c r="H844" t="n">
        <v>0</v>
      </c>
      <c r="I844" t="n">
        <v>0</v>
      </c>
      <c r="J844" t="n">
        <v>0</v>
      </c>
      <c r="K844" t="n">
        <v>0</v>
      </c>
      <c r="L844" t="n">
        <v>0</v>
      </c>
      <c r="M844" t="n">
        <v>0</v>
      </c>
      <c r="N844" t="n">
        <v>0</v>
      </c>
      <c r="O844" t="n">
        <v>0</v>
      </c>
      <c r="P844" t="n">
        <v>0</v>
      </c>
      <c r="Q844" t="n">
        <v>0</v>
      </c>
      <c r="R844" s="2" t="inlineStr"/>
    </row>
    <row r="845" ht="15" customHeight="1">
      <c r="A845" t="inlineStr">
        <is>
          <t>A 73278-2021</t>
        </is>
      </c>
      <c r="B845" s="1" t="n">
        <v>44550.92168981482</v>
      </c>
      <c r="C845" s="1" t="n">
        <v>45966</v>
      </c>
      <c r="D845" t="inlineStr">
        <is>
          <t>JÄMTLANDS LÄN</t>
        </is>
      </c>
      <c r="E845" t="inlineStr">
        <is>
          <t>RAGUNDA</t>
        </is>
      </c>
      <c r="G845" t="n">
        <v>4.4</v>
      </c>
      <c r="H845" t="n">
        <v>0</v>
      </c>
      <c r="I845" t="n">
        <v>0</v>
      </c>
      <c r="J845" t="n">
        <v>0</v>
      </c>
      <c r="K845" t="n">
        <v>0</v>
      </c>
      <c r="L845" t="n">
        <v>0</v>
      </c>
      <c r="M845" t="n">
        <v>0</v>
      </c>
      <c r="N845" t="n">
        <v>0</v>
      </c>
      <c r="O845" t="n">
        <v>0</v>
      </c>
      <c r="P845" t="n">
        <v>0</v>
      </c>
      <c r="Q845" t="n">
        <v>0</v>
      </c>
      <c r="R845" s="2" t="inlineStr"/>
    </row>
    <row r="846" ht="15" customHeight="1">
      <c r="A846" t="inlineStr">
        <is>
          <t>A 21083-2024</t>
        </is>
      </c>
      <c r="B846" s="1" t="n">
        <v>45439.92752314815</v>
      </c>
      <c r="C846" s="1" t="n">
        <v>45966</v>
      </c>
      <c r="D846" t="inlineStr">
        <is>
          <t>JÄMTLANDS LÄN</t>
        </is>
      </c>
      <c r="E846" t="inlineStr">
        <is>
          <t>RAGUNDA</t>
        </is>
      </c>
      <c r="G846" t="n">
        <v>1.5</v>
      </c>
      <c r="H846" t="n">
        <v>0</v>
      </c>
      <c r="I846" t="n">
        <v>0</v>
      </c>
      <c r="J846" t="n">
        <v>0</v>
      </c>
      <c r="K846" t="n">
        <v>0</v>
      </c>
      <c r="L846" t="n">
        <v>0</v>
      </c>
      <c r="M846" t="n">
        <v>0</v>
      </c>
      <c r="N846" t="n">
        <v>0</v>
      </c>
      <c r="O846" t="n">
        <v>0</v>
      </c>
      <c r="P846" t="n">
        <v>0</v>
      </c>
      <c r="Q846" t="n">
        <v>0</v>
      </c>
      <c r="R846" s="2" t="inlineStr"/>
    </row>
    <row r="847" ht="15" customHeight="1">
      <c r="A847" t="inlineStr">
        <is>
          <t>A 462-2023</t>
        </is>
      </c>
      <c r="B847" s="1" t="n">
        <v>44929</v>
      </c>
      <c r="C847" s="1" t="n">
        <v>45966</v>
      </c>
      <c r="D847" t="inlineStr">
        <is>
          <t>JÄMTLANDS LÄN</t>
        </is>
      </c>
      <c r="E847" t="inlineStr">
        <is>
          <t>RAGUNDA</t>
        </is>
      </c>
      <c r="G847" t="n">
        <v>4.5</v>
      </c>
      <c r="H847" t="n">
        <v>0</v>
      </c>
      <c r="I847" t="n">
        <v>0</v>
      </c>
      <c r="J847" t="n">
        <v>0</v>
      </c>
      <c r="K847" t="n">
        <v>0</v>
      </c>
      <c r="L847" t="n">
        <v>0</v>
      </c>
      <c r="M847" t="n">
        <v>0</v>
      </c>
      <c r="N847" t="n">
        <v>0</v>
      </c>
      <c r="O847" t="n">
        <v>0</v>
      </c>
      <c r="P847" t="n">
        <v>0</v>
      </c>
      <c r="Q847" t="n">
        <v>0</v>
      </c>
      <c r="R847" s="2" t="inlineStr"/>
    </row>
    <row r="848" ht="15" customHeight="1">
      <c r="A848" t="inlineStr">
        <is>
          <t>A 51396-2024</t>
        </is>
      </c>
      <c r="B848" s="1" t="n">
        <v>45604.4190625</v>
      </c>
      <c r="C848" s="1" t="n">
        <v>45966</v>
      </c>
      <c r="D848" t="inlineStr">
        <is>
          <t>JÄMTLANDS LÄN</t>
        </is>
      </c>
      <c r="E848" t="inlineStr">
        <is>
          <t>RAGUNDA</t>
        </is>
      </c>
      <c r="G848" t="n">
        <v>0.8</v>
      </c>
      <c r="H848" t="n">
        <v>0</v>
      </c>
      <c r="I848" t="n">
        <v>0</v>
      </c>
      <c r="J848" t="n">
        <v>0</v>
      </c>
      <c r="K848" t="n">
        <v>0</v>
      </c>
      <c r="L848" t="n">
        <v>0</v>
      </c>
      <c r="M848" t="n">
        <v>0</v>
      </c>
      <c r="N848" t="n">
        <v>0</v>
      </c>
      <c r="O848" t="n">
        <v>0</v>
      </c>
      <c r="P848" t="n">
        <v>0</v>
      </c>
      <c r="Q848" t="n">
        <v>0</v>
      </c>
      <c r="R848" s="2" t="inlineStr"/>
    </row>
    <row r="849" ht="15" customHeight="1">
      <c r="A849" t="inlineStr">
        <is>
          <t>A 13276-2025</t>
        </is>
      </c>
      <c r="B849" s="1" t="n">
        <v>45735.5517824074</v>
      </c>
      <c r="C849" s="1" t="n">
        <v>45966</v>
      </c>
      <c r="D849" t="inlineStr">
        <is>
          <t>JÄMTLANDS LÄN</t>
        </is>
      </c>
      <c r="E849" t="inlineStr">
        <is>
          <t>RAGUNDA</t>
        </is>
      </c>
      <c r="G849" t="n">
        <v>16.6</v>
      </c>
      <c r="H849" t="n">
        <v>0</v>
      </c>
      <c r="I849" t="n">
        <v>0</v>
      </c>
      <c r="J849" t="n">
        <v>0</v>
      </c>
      <c r="K849" t="n">
        <v>0</v>
      </c>
      <c r="L849" t="n">
        <v>0</v>
      </c>
      <c r="M849" t="n">
        <v>0</v>
      </c>
      <c r="N849" t="n">
        <v>0</v>
      </c>
      <c r="O849" t="n">
        <v>0</v>
      </c>
      <c r="P849" t="n">
        <v>0</v>
      </c>
      <c r="Q849" t="n">
        <v>0</v>
      </c>
      <c r="R849" s="2" t="inlineStr"/>
    </row>
    <row r="850" ht="15" customHeight="1">
      <c r="A850" t="inlineStr">
        <is>
          <t>A 26640-2025</t>
        </is>
      </c>
      <c r="B850" s="1" t="n">
        <v>45810.36495370371</v>
      </c>
      <c r="C850" s="1" t="n">
        <v>45966</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12050-2023</t>
        </is>
      </c>
      <c r="B851" s="1" t="n">
        <v>44995.98644675926</v>
      </c>
      <c r="C851" s="1" t="n">
        <v>45966</v>
      </c>
      <c r="D851" t="inlineStr">
        <is>
          <t>JÄMTLANDS LÄN</t>
        </is>
      </c>
      <c r="E851" t="inlineStr">
        <is>
          <t>RAGUNDA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62358-2023</t>
        </is>
      </c>
      <c r="B852" s="1" t="n">
        <v>45267</v>
      </c>
      <c r="C852" s="1" t="n">
        <v>45966</v>
      </c>
      <c r="D852" t="inlineStr">
        <is>
          <t>JÄMTLANDS LÄN</t>
        </is>
      </c>
      <c r="E852" t="inlineStr">
        <is>
          <t>RAGUNDA</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18820-2023</t>
        </is>
      </c>
      <c r="B853" s="1" t="n">
        <v>45042</v>
      </c>
      <c r="C853" s="1" t="n">
        <v>45966</v>
      </c>
      <c r="D853" t="inlineStr">
        <is>
          <t>JÄMTLANDS LÄN</t>
        </is>
      </c>
      <c r="E853" t="inlineStr">
        <is>
          <t>RAGUNDA</t>
        </is>
      </c>
      <c r="G853" t="n">
        <v>18.8</v>
      </c>
      <c r="H853" t="n">
        <v>0</v>
      </c>
      <c r="I853" t="n">
        <v>0</v>
      </c>
      <c r="J853" t="n">
        <v>0</v>
      </c>
      <c r="K853" t="n">
        <v>0</v>
      </c>
      <c r="L853" t="n">
        <v>0</v>
      </c>
      <c r="M853" t="n">
        <v>0</v>
      </c>
      <c r="N853" t="n">
        <v>0</v>
      </c>
      <c r="O853" t="n">
        <v>0</v>
      </c>
      <c r="P853" t="n">
        <v>0</v>
      </c>
      <c r="Q853" t="n">
        <v>0</v>
      </c>
      <c r="R853" s="2" t="inlineStr"/>
    </row>
    <row r="854" ht="15" customHeight="1">
      <c r="A854" t="inlineStr">
        <is>
          <t>A 2001-2025</t>
        </is>
      </c>
      <c r="B854" s="1" t="n">
        <v>45672.44898148148</v>
      </c>
      <c r="C854" s="1" t="n">
        <v>45966</v>
      </c>
      <c r="D854" t="inlineStr">
        <is>
          <t>JÄMTLANDS LÄN</t>
        </is>
      </c>
      <c r="E854" t="inlineStr">
        <is>
          <t>RAGUNDA</t>
        </is>
      </c>
      <c r="F854" t="inlineStr">
        <is>
          <t>SCA</t>
        </is>
      </c>
      <c r="G854" t="n">
        <v>16.2</v>
      </c>
      <c r="H854" t="n">
        <v>0</v>
      </c>
      <c r="I854" t="n">
        <v>0</v>
      </c>
      <c r="J854" t="n">
        <v>0</v>
      </c>
      <c r="K854" t="n">
        <v>0</v>
      </c>
      <c r="L854" t="n">
        <v>0</v>
      </c>
      <c r="M854" t="n">
        <v>0</v>
      </c>
      <c r="N854" t="n">
        <v>0</v>
      </c>
      <c r="O854" t="n">
        <v>0</v>
      </c>
      <c r="P854" t="n">
        <v>0</v>
      </c>
      <c r="Q854" t="n">
        <v>0</v>
      </c>
      <c r="R854" s="2" t="inlineStr"/>
    </row>
    <row r="855" ht="15" customHeight="1">
      <c r="A855" t="inlineStr">
        <is>
          <t>A 53762-2023</t>
        </is>
      </c>
      <c r="B855" s="1" t="n">
        <v>45230.96376157407</v>
      </c>
      <c r="C855" s="1" t="n">
        <v>45966</v>
      </c>
      <c r="D855" t="inlineStr">
        <is>
          <t>JÄMTLANDS LÄN</t>
        </is>
      </c>
      <c r="E855" t="inlineStr">
        <is>
          <t>RAGUNDA</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49648-2023</t>
        </is>
      </c>
      <c r="B856" s="1" t="n">
        <v>45211.95061342593</v>
      </c>
      <c r="C856" s="1" t="n">
        <v>45966</v>
      </c>
      <c r="D856" t="inlineStr">
        <is>
          <t>JÄMTLANDS LÄN</t>
        </is>
      </c>
      <c r="E856" t="inlineStr">
        <is>
          <t>RAGUNDA</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51537-2022</t>
        </is>
      </c>
      <c r="B857" s="1" t="n">
        <v>44869</v>
      </c>
      <c r="C857" s="1" t="n">
        <v>45966</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59044-2022</t>
        </is>
      </c>
      <c r="B858" s="1" t="n">
        <v>44903</v>
      </c>
      <c r="C858" s="1" t="n">
        <v>45966</v>
      </c>
      <c r="D858" t="inlineStr">
        <is>
          <t>JÄMTLANDS LÄN</t>
        </is>
      </c>
      <c r="E858" t="inlineStr">
        <is>
          <t>RAGUNDA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19089-2024</t>
        </is>
      </c>
      <c r="B859" s="1" t="n">
        <v>45428.00471064815</v>
      </c>
      <c r="C859" s="1" t="n">
        <v>45966</v>
      </c>
      <c r="D859" t="inlineStr">
        <is>
          <t>JÄMTLANDS LÄN</t>
        </is>
      </c>
      <c r="E859" t="inlineStr">
        <is>
          <t>RAGUNDA</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5958-2023</t>
        </is>
      </c>
      <c r="B860" s="1" t="n">
        <v>44963</v>
      </c>
      <c r="C860" s="1" t="n">
        <v>45966</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45335-2023</t>
        </is>
      </c>
      <c r="B861" s="1" t="n">
        <v>45191</v>
      </c>
      <c r="C861" s="1" t="n">
        <v>45966</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8779-2025</t>
        </is>
      </c>
      <c r="B862" s="1" t="n">
        <v>45712.61552083334</v>
      </c>
      <c r="C862" s="1" t="n">
        <v>45966</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61400-2022</t>
        </is>
      </c>
      <c r="B863" s="1" t="n">
        <v>44915</v>
      </c>
      <c r="C863" s="1" t="n">
        <v>45966</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4348-2023</t>
        </is>
      </c>
      <c r="B864" s="1" t="n">
        <v>44953</v>
      </c>
      <c r="C864" s="1" t="n">
        <v>45966</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27510-2025</t>
        </is>
      </c>
      <c r="B865" s="1" t="n">
        <v>45813.42790509259</v>
      </c>
      <c r="C865" s="1" t="n">
        <v>45966</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19404-2025</t>
        </is>
      </c>
      <c r="B866" s="1" t="n">
        <v>45769.67802083334</v>
      </c>
      <c r="C866" s="1" t="n">
        <v>45966</v>
      </c>
      <c r="D866" t="inlineStr">
        <is>
          <t>JÄMTLANDS LÄN</t>
        </is>
      </c>
      <c r="E866" t="inlineStr">
        <is>
          <t>RAGUNDA</t>
        </is>
      </c>
      <c r="F866" t="inlineStr">
        <is>
          <t>SCA</t>
        </is>
      </c>
      <c r="G866" t="n">
        <v>3</v>
      </c>
      <c r="H866" t="n">
        <v>0</v>
      </c>
      <c r="I866" t="n">
        <v>0</v>
      </c>
      <c r="J866" t="n">
        <v>0</v>
      </c>
      <c r="K866" t="n">
        <v>0</v>
      </c>
      <c r="L866" t="n">
        <v>0</v>
      </c>
      <c r="M866" t="n">
        <v>0</v>
      </c>
      <c r="N866" t="n">
        <v>0</v>
      </c>
      <c r="O866" t="n">
        <v>0</v>
      </c>
      <c r="P866" t="n">
        <v>0</v>
      </c>
      <c r="Q866" t="n">
        <v>0</v>
      </c>
      <c r="R866" s="2" t="inlineStr"/>
      <c r="U866">
        <f>HYPERLINK("https://klasma.github.io/Logging_2303/knärot/A 19404-2025 karta knärot.png", "A 19404-2025")</f>
        <v/>
      </c>
      <c r="V866">
        <f>HYPERLINK("https://klasma.github.io/Logging_2303/klagomål/A 19404-2025 FSC-klagomål.docx", "A 19404-2025")</f>
        <v/>
      </c>
      <c r="W866">
        <f>HYPERLINK("https://klasma.github.io/Logging_2303/klagomålsmail/A 19404-2025 FSC-klagomål mail.docx", "A 19404-2025")</f>
        <v/>
      </c>
      <c r="X866">
        <f>HYPERLINK("https://klasma.github.io/Logging_2303/tillsyn/A 19404-2025 tillsynsbegäran.docx", "A 19404-2025")</f>
        <v/>
      </c>
      <c r="Y866">
        <f>HYPERLINK("https://klasma.github.io/Logging_2303/tillsynsmail/A 19404-2025 tillsynsbegäran mail.docx", "A 19404-2025")</f>
        <v/>
      </c>
    </row>
    <row r="867" ht="15" customHeight="1">
      <c r="A867" t="inlineStr">
        <is>
          <t>A 56286-2023</t>
        </is>
      </c>
      <c r="B867" s="1" t="n">
        <v>45241.95741898148</v>
      </c>
      <c r="C867" s="1" t="n">
        <v>45966</v>
      </c>
      <c r="D867" t="inlineStr">
        <is>
          <t>JÄMTLANDS LÄN</t>
        </is>
      </c>
      <c r="E867" t="inlineStr">
        <is>
          <t>RAGUNDA</t>
        </is>
      </c>
      <c r="F867" t="inlineStr">
        <is>
          <t>SCA</t>
        </is>
      </c>
      <c r="G867" t="n">
        <v>4.5</v>
      </c>
      <c r="H867" t="n">
        <v>0</v>
      </c>
      <c r="I867" t="n">
        <v>0</v>
      </c>
      <c r="J867" t="n">
        <v>0</v>
      </c>
      <c r="K867" t="n">
        <v>0</v>
      </c>
      <c r="L867" t="n">
        <v>0</v>
      </c>
      <c r="M867" t="n">
        <v>0</v>
      </c>
      <c r="N867" t="n">
        <v>0</v>
      </c>
      <c r="O867" t="n">
        <v>0</v>
      </c>
      <c r="P867" t="n">
        <v>0</v>
      </c>
      <c r="Q867" t="n">
        <v>0</v>
      </c>
      <c r="R867" s="2" t="inlineStr"/>
    </row>
    <row r="868" ht="15" customHeight="1">
      <c r="A868" t="inlineStr">
        <is>
          <t>A 56287-2023</t>
        </is>
      </c>
      <c r="B868" s="1" t="n">
        <v>45241</v>
      </c>
      <c r="C868" s="1" t="n">
        <v>45966</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55487-2023</t>
        </is>
      </c>
      <c r="B869" s="1" t="n">
        <v>45238</v>
      </c>
      <c r="C869" s="1" t="n">
        <v>45966</v>
      </c>
      <c r="D869" t="inlineStr">
        <is>
          <t>JÄMTLANDS LÄN</t>
        </is>
      </c>
      <c r="E869" t="inlineStr">
        <is>
          <t>RAGUNDA</t>
        </is>
      </c>
      <c r="G869" t="n">
        <v>3</v>
      </c>
      <c r="H869" t="n">
        <v>0</v>
      </c>
      <c r="I869" t="n">
        <v>0</v>
      </c>
      <c r="J869" t="n">
        <v>0</v>
      </c>
      <c r="K869" t="n">
        <v>0</v>
      </c>
      <c r="L869" t="n">
        <v>0</v>
      </c>
      <c r="M869" t="n">
        <v>0</v>
      </c>
      <c r="N869" t="n">
        <v>0</v>
      </c>
      <c r="O869" t="n">
        <v>0</v>
      </c>
      <c r="P869" t="n">
        <v>0</v>
      </c>
      <c r="Q869" t="n">
        <v>0</v>
      </c>
      <c r="R869" s="2" t="inlineStr"/>
    </row>
    <row r="870" ht="15" customHeight="1">
      <c r="A870" t="inlineStr">
        <is>
          <t>A 18454-2021</t>
        </is>
      </c>
      <c r="B870" s="1" t="n">
        <v>44305.92047453704</v>
      </c>
      <c r="C870" s="1" t="n">
        <v>45966</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62135-2024</t>
        </is>
      </c>
      <c r="B871" s="1" t="n">
        <v>45656.64223379629</v>
      </c>
      <c r="C871" s="1" t="n">
        <v>45966</v>
      </c>
      <c r="D871" t="inlineStr">
        <is>
          <t>JÄMTLANDS LÄN</t>
        </is>
      </c>
      <c r="E871" t="inlineStr">
        <is>
          <t>RAGUNDA</t>
        </is>
      </c>
      <c r="G871" t="n">
        <v>1.5</v>
      </c>
      <c r="H871" t="n">
        <v>0</v>
      </c>
      <c r="I871" t="n">
        <v>0</v>
      </c>
      <c r="J871" t="n">
        <v>0</v>
      </c>
      <c r="K871" t="n">
        <v>0</v>
      </c>
      <c r="L871" t="n">
        <v>0</v>
      </c>
      <c r="M871" t="n">
        <v>0</v>
      </c>
      <c r="N871" t="n">
        <v>0</v>
      </c>
      <c r="O871" t="n">
        <v>0</v>
      </c>
      <c r="P871" t="n">
        <v>0</v>
      </c>
      <c r="Q871" t="n">
        <v>0</v>
      </c>
      <c r="R871" s="2" t="inlineStr"/>
    </row>
    <row r="872" ht="15" customHeight="1">
      <c r="A872" t="inlineStr">
        <is>
          <t>A 18248-2023</t>
        </is>
      </c>
      <c r="B872" s="1" t="n">
        <v>45040</v>
      </c>
      <c r="C872" s="1" t="n">
        <v>45966</v>
      </c>
      <c r="D872" t="inlineStr">
        <is>
          <t>JÄMTLANDS LÄN</t>
        </is>
      </c>
      <c r="E872" t="inlineStr">
        <is>
          <t>RAGUNDA</t>
        </is>
      </c>
      <c r="G872" t="n">
        <v>4.3</v>
      </c>
      <c r="H872" t="n">
        <v>0</v>
      </c>
      <c r="I872" t="n">
        <v>0</v>
      </c>
      <c r="J872" t="n">
        <v>0</v>
      </c>
      <c r="K872" t="n">
        <v>0</v>
      </c>
      <c r="L872" t="n">
        <v>0</v>
      </c>
      <c r="M872" t="n">
        <v>0</v>
      </c>
      <c r="N872" t="n">
        <v>0</v>
      </c>
      <c r="O872" t="n">
        <v>0</v>
      </c>
      <c r="P872" t="n">
        <v>0</v>
      </c>
      <c r="Q872" t="n">
        <v>0</v>
      </c>
      <c r="R872" s="2" t="inlineStr"/>
    </row>
    <row r="873" ht="15" customHeight="1">
      <c r="A873" t="inlineStr">
        <is>
          <t>A 8802-2022</t>
        </is>
      </c>
      <c r="B873" s="1" t="n">
        <v>44614</v>
      </c>
      <c r="C873" s="1" t="n">
        <v>45966</v>
      </c>
      <c r="D873" t="inlineStr">
        <is>
          <t>JÄMTLANDS LÄN</t>
        </is>
      </c>
      <c r="E873" t="inlineStr">
        <is>
          <t>RAGUNDA</t>
        </is>
      </c>
      <c r="G873" t="n">
        <v>2.8</v>
      </c>
      <c r="H873" t="n">
        <v>0</v>
      </c>
      <c r="I873" t="n">
        <v>0</v>
      </c>
      <c r="J873" t="n">
        <v>0</v>
      </c>
      <c r="K873" t="n">
        <v>0</v>
      </c>
      <c r="L873" t="n">
        <v>0</v>
      </c>
      <c r="M873" t="n">
        <v>0</v>
      </c>
      <c r="N873" t="n">
        <v>0</v>
      </c>
      <c r="O873" t="n">
        <v>0</v>
      </c>
      <c r="P873" t="n">
        <v>0</v>
      </c>
      <c r="Q873" t="n">
        <v>0</v>
      </c>
      <c r="R873" s="2" t="inlineStr"/>
    </row>
    <row r="874" ht="15" customHeight="1">
      <c r="A874" t="inlineStr">
        <is>
          <t>A 39489-2023</t>
        </is>
      </c>
      <c r="B874" s="1" t="n">
        <v>45166</v>
      </c>
      <c r="C874" s="1" t="n">
        <v>45966</v>
      </c>
      <c r="D874" t="inlineStr">
        <is>
          <t>JÄMTLANDS LÄN</t>
        </is>
      </c>
      <c r="E874" t="inlineStr">
        <is>
          <t>RAGUNDA</t>
        </is>
      </c>
      <c r="G874" t="n">
        <v>5</v>
      </c>
      <c r="H874" t="n">
        <v>0</v>
      </c>
      <c r="I874" t="n">
        <v>0</v>
      </c>
      <c r="J874" t="n">
        <v>0</v>
      </c>
      <c r="K874" t="n">
        <v>0</v>
      </c>
      <c r="L874" t="n">
        <v>0</v>
      </c>
      <c r="M874" t="n">
        <v>0</v>
      </c>
      <c r="N874" t="n">
        <v>0</v>
      </c>
      <c r="O874" t="n">
        <v>0</v>
      </c>
      <c r="P874" t="n">
        <v>0</v>
      </c>
      <c r="Q874" t="n">
        <v>0</v>
      </c>
      <c r="R874" s="2" t="inlineStr"/>
    </row>
    <row r="875" ht="15" customHeight="1">
      <c r="A875" t="inlineStr">
        <is>
          <t>A 55214-2022</t>
        </is>
      </c>
      <c r="B875" s="1" t="n">
        <v>44886</v>
      </c>
      <c r="C875" s="1" t="n">
        <v>45966</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9360-2023</t>
        </is>
      </c>
      <c r="B876" s="1" t="n">
        <v>44980.93865740741</v>
      </c>
      <c r="C876" s="1" t="n">
        <v>45966</v>
      </c>
      <c r="D876" t="inlineStr">
        <is>
          <t>JÄMTLANDS LÄN</t>
        </is>
      </c>
      <c r="E876" t="inlineStr">
        <is>
          <t>RAGUNDA</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18989-2025</t>
        </is>
      </c>
      <c r="B877" s="1" t="n">
        <v>45764</v>
      </c>
      <c r="C877" s="1" t="n">
        <v>45966</v>
      </c>
      <c r="D877" t="inlineStr">
        <is>
          <t>JÄMTLANDS LÄN</t>
        </is>
      </c>
      <c r="E877" t="inlineStr">
        <is>
          <t>RAGUNDA</t>
        </is>
      </c>
      <c r="G877" t="n">
        <v>0.9</v>
      </c>
      <c r="H877" t="n">
        <v>0</v>
      </c>
      <c r="I877" t="n">
        <v>0</v>
      </c>
      <c r="J877" t="n">
        <v>0</v>
      </c>
      <c r="K877" t="n">
        <v>0</v>
      </c>
      <c r="L877" t="n">
        <v>0</v>
      </c>
      <c r="M877" t="n">
        <v>0</v>
      </c>
      <c r="N877" t="n">
        <v>0</v>
      </c>
      <c r="O877" t="n">
        <v>0</v>
      </c>
      <c r="P877" t="n">
        <v>0</v>
      </c>
      <c r="Q877" t="n">
        <v>0</v>
      </c>
      <c r="R877" s="2" t="inlineStr"/>
    </row>
    <row r="878" ht="15" customHeight="1">
      <c r="A878" t="inlineStr">
        <is>
          <t>A 13767-2022</t>
        </is>
      </c>
      <c r="B878" s="1" t="n">
        <v>44649.47048611111</v>
      </c>
      <c r="C878" s="1" t="n">
        <v>45966</v>
      </c>
      <c r="D878" t="inlineStr">
        <is>
          <t>JÄMTLANDS LÄN</t>
        </is>
      </c>
      <c r="E878" t="inlineStr">
        <is>
          <t>RAGUNDA</t>
        </is>
      </c>
      <c r="F878" t="inlineStr">
        <is>
          <t>Kommuner</t>
        </is>
      </c>
      <c r="G878" t="n">
        <v>3.1</v>
      </c>
      <c r="H878" t="n">
        <v>0</v>
      </c>
      <c r="I878" t="n">
        <v>0</v>
      </c>
      <c r="J878" t="n">
        <v>0</v>
      </c>
      <c r="K878" t="n">
        <v>0</v>
      </c>
      <c r="L878" t="n">
        <v>0</v>
      </c>
      <c r="M878" t="n">
        <v>0</v>
      </c>
      <c r="N878" t="n">
        <v>0</v>
      </c>
      <c r="O878" t="n">
        <v>0</v>
      </c>
      <c r="P878" t="n">
        <v>0</v>
      </c>
      <c r="Q878" t="n">
        <v>0</v>
      </c>
      <c r="R878" s="2" t="inlineStr"/>
    </row>
    <row r="879" ht="15" customHeight="1">
      <c r="A879" t="inlineStr">
        <is>
          <t>A 1308-2025</t>
        </is>
      </c>
      <c r="B879" s="1" t="n">
        <v>45667.55239583334</v>
      </c>
      <c r="C879" s="1" t="n">
        <v>45966</v>
      </c>
      <c r="D879" t="inlineStr">
        <is>
          <t>JÄMTLANDS LÄN</t>
        </is>
      </c>
      <c r="E879" t="inlineStr">
        <is>
          <t>RAGUNDA</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11252-2025</t>
        </is>
      </c>
      <c r="B880" s="1" t="n">
        <v>45726.38615740741</v>
      </c>
      <c r="C880" s="1" t="n">
        <v>45966</v>
      </c>
      <c r="D880" t="inlineStr">
        <is>
          <t>JÄMTLANDS LÄN</t>
        </is>
      </c>
      <c r="E880" t="inlineStr">
        <is>
          <t>RAGUNDA</t>
        </is>
      </c>
      <c r="G880" t="n">
        <v>1.9</v>
      </c>
      <c r="H880" t="n">
        <v>0</v>
      </c>
      <c r="I880" t="n">
        <v>0</v>
      </c>
      <c r="J880" t="n">
        <v>0</v>
      </c>
      <c r="K880" t="n">
        <v>0</v>
      </c>
      <c r="L880" t="n">
        <v>0</v>
      </c>
      <c r="M880" t="n">
        <v>0</v>
      </c>
      <c r="N880" t="n">
        <v>0</v>
      </c>
      <c r="O880" t="n">
        <v>0</v>
      </c>
      <c r="P880" t="n">
        <v>0</v>
      </c>
      <c r="Q880" t="n">
        <v>0</v>
      </c>
      <c r="R880" s="2" t="inlineStr"/>
    </row>
    <row r="881" ht="15" customHeight="1">
      <c r="A881" t="inlineStr">
        <is>
          <t>A 7722-2023</t>
        </is>
      </c>
      <c r="B881" s="1" t="n">
        <v>44972.94140046297</v>
      </c>
      <c r="C881" s="1" t="n">
        <v>45966</v>
      </c>
      <c r="D881" t="inlineStr">
        <is>
          <t>JÄMTLANDS LÄN</t>
        </is>
      </c>
      <c r="E881" t="inlineStr">
        <is>
          <t>RAGUNDA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12204-2025</t>
        </is>
      </c>
      <c r="B882" s="1" t="n">
        <v>45729.51074074074</v>
      </c>
      <c r="C882" s="1" t="n">
        <v>45966</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22569-2023</t>
        </is>
      </c>
      <c r="B883" s="1" t="n">
        <v>45069</v>
      </c>
      <c r="C883" s="1" t="n">
        <v>45966</v>
      </c>
      <c r="D883" t="inlineStr">
        <is>
          <t>JÄMTLANDS LÄN</t>
        </is>
      </c>
      <c r="E883" t="inlineStr">
        <is>
          <t>RAGUNDA</t>
        </is>
      </c>
      <c r="G883" t="n">
        <v>6.6</v>
      </c>
      <c r="H883" t="n">
        <v>0</v>
      </c>
      <c r="I883" t="n">
        <v>0</v>
      </c>
      <c r="J883" t="n">
        <v>0</v>
      </c>
      <c r="K883" t="n">
        <v>0</v>
      </c>
      <c r="L883" t="n">
        <v>0</v>
      </c>
      <c r="M883" t="n">
        <v>0</v>
      </c>
      <c r="N883" t="n">
        <v>0</v>
      </c>
      <c r="O883" t="n">
        <v>0</v>
      </c>
      <c r="P883" t="n">
        <v>0</v>
      </c>
      <c r="Q883" t="n">
        <v>0</v>
      </c>
      <c r="R883" s="2" t="inlineStr"/>
    </row>
    <row r="884" ht="15" customHeight="1">
      <c r="A884" t="inlineStr">
        <is>
          <t>A 28637-2025</t>
        </is>
      </c>
      <c r="B884" s="1" t="n">
        <v>45819.6359375</v>
      </c>
      <c r="C884" s="1" t="n">
        <v>45966</v>
      </c>
      <c r="D884" t="inlineStr">
        <is>
          <t>JÄMTLANDS LÄN</t>
        </is>
      </c>
      <c r="E884" t="inlineStr">
        <is>
          <t>RAGUNDA</t>
        </is>
      </c>
      <c r="F884" t="inlineStr">
        <is>
          <t>SCA</t>
        </is>
      </c>
      <c r="G884" t="n">
        <v>6.6</v>
      </c>
      <c r="H884" t="n">
        <v>0</v>
      </c>
      <c r="I884" t="n">
        <v>0</v>
      </c>
      <c r="J884" t="n">
        <v>0</v>
      </c>
      <c r="K884" t="n">
        <v>0</v>
      </c>
      <c r="L884" t="n">
        <v>0</v>
      </c>
      <c r="M884" t="n">
        <v>0</v>
      </c>
      <c r="N884" t="n">
        <v>0</v>
      </c>
      <c r="O884" t="n">
        <v>0</v>
      </c>
      <c r="P884" t="n">
        <v>0</v>
      </c>
      <c r="Q884" t="n">
        <v>0</v>
      </c>
      <c r="R884" s="2" t="inlineStr"/>
    </row>
    <row r="885" ht="15" customHeight="1">
      <c r="A885" t="inlineStr">
        <is>
          <t>A 13299-2024</t>
        </is>
      </c>
      <c r="B885" s="1" t="n">
        <v>45386.68003472222</v>
      </c>
      <c r="C885" s="1" t="n">
        <v>45966</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15024-2022</t>
        </is>
      </c>
      <c r="B886" s="1" t="n">
        <v>44657</v>
      </c>
      <c r="C886" s="1" t="n">
        <v>45966</v>
      </c>
      <c r="D886" t="inlineStr">
        <is>
          <t>JÄMTLANDS LÄN</t>
        </is>
      </c>
      <c r="E886" t="inlineStr">
        <is>
          <t>RAGUNDA</t>
        </is>
      </c>
      <c r="G886" t="n">
        <v>1.8</v>
      </c>
      <c r="H886" t="n">
        <v>0</v>
      </c>
      <c r="I886" t="n">
        <v>0</v>
      </c>
      <c r="J886" t="n">
        <v>0</v>
      </c>
      <c r="K886" t="n">
        <v>0</v>
      </c>
      <c r="L886" t="n">
        <v>0</v>
      </c>
      <c r="M886" t="n">
        <v>0</v>
      </c>
      <c r="N886" t="n">
        <v>0</v>
      </c>
      <c r="O886" t="n">
        <v>0</v>
      </c>
      <c r="P886" t="n">
        <v>0</v>
      </c>
      <c r="Q886" t="n">
        <v>0</v>
      </c>
      <c r="R886" s="2" t="inlineStr"/>
    </row>
    <row r="887" ht="15" customHeight="1">
      <c r="A887" t="inlineStr">
        <is>
          <t>A 28973-2025</t>
        </is>
      </c>
      <c r="B887" s="1" t="n">
        <v>45821.34513888889</v>
      </c>
      <c r="C887" s="1" t="n">
        <v>45966</v>
      </c>
      <c r="D887" t="inlineStr">
        <is>
          <t>JÄMTLANDS LÄN</t>
        </is>
      </c>
      <c r="E887" t="inlineStr">
        <is>
          <t>RAGUNDA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891-2022</t>
        </is>
      </c>
      <c r="B888" s="1" t="n">
        <v>44571</v>
      </c>
      <c r="C888" s="1" t="n">
        <v>45966</v>
      </c>
      <c r="D888" t="inlineStr">
        <is>
          <t>JÄMTLANDS LÄN</t>
        </is>
      </c>
      <c r="E888" t="inlineStr">
        <is>
          <t>RAGUNDA</t>
        </is>
      </c>
      <c r="G888" t="n">
        <v>1.7</v>
      </c>
      <c r="H888" t="n">
        <v>0</v>
      </c>
      <c r="I888" t="n">
        <v>0</v>
      </c>
      <c r="J888" t="n">
        <v>0</v>
      </c>
      <c r="K888" t="n">
        <v>0</v>
      </c>
      <c r="L888" t="n">
        <v>0</v>
      </c>
      <c r="M888" t="n">
        <v>0</v>
      </c>
      <c r="N888" t="n">
        <v>0</v>
      </c>
      <c r="O888" t="n">
        <v>0</v>
      </c>
      <c r="P888" t="n">
        <v>0</v>
      </c>
      <c r="Q888" t="n">
        <v>0</v>
      </c>
      <c r="R888" s="2" t="inlineStr"/>
    </row>
    <row r="889" ht="15" customHeight="1">
      <c r="A889" t="inlineStr">
        <is>
          <t>A 36371-2023</t>
        </is>
      </c>
      <c r="B889" s="1" t="n">
        <v>45149</v>
      </c>
      <c r="C889" s="1" t="n">
        <v>45966</v>
      </c>
      <c r="D889" t="inlineStr">
        <is>
          <t>JÄMTLANDS LÄN</t>
        </is>
      </c>
      <c r="E889" t="inlineStr">
        <is>
          <t>RAGUNDA</t>
        </is>
      </c>
      <c r="G889" t="n">
        <v>25.7</v>
      </c>
      <c r="H889" t="n">
        <v>0</v>
      </c>
      <c r="I889" t="n">
        <v>0</v>
      </c>
      <c r="J889" t="n">
        <v>0</v>
      </c>
      <c r="K889" t="n">
        <v>0</v>
      </c>
      <c r="L889" t="n">
        <v>0</v>
      </c>
      <c r="M889" t="n">
        <v>0</v>
      </c>
      <c r="N889" t="n">
        <v>0</v>
      </c>
      <c r="O889" t="n">
        <v>0</v>
      </c>
      <c r="P889" t="n">
        <v>0</v>
      </c>
      <c r="Q889" t="n">
        <v>0</v>
      </c>
      <c r="R889" s="2" t="inlineStr"/>
    </row>
    <row r="890" ht="15" customHeight="1">
      <c r="A890" t="inlineStr">
        <is>
          <t>A 56702-2023</t>
        </is>
      </c>
      <c r="B890" s="1" t="n">
        <v>45243</v>
      </c>
      <c r="C890" s="1" t="n">
        <v>45966</v>
      </c>
      <c r="D890" t="inlineStr">
        <is>
          <t>JÄMTLANDS LÄN</t>
        </is>
      </c>
      <c r="E890" t="inlineStr">
        <is>
          <t>RAGUNDA</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11048-2023</t>
        </is>
      </c>
      <c r="B891" s="1" t="n">
        <v>44991</v>
      </c>
      <c r="C891" s="1" t="n">
        <v>45966</v>
      </c>
      <c r="D891" t="inlineStr">
        <is>
          <t>JÄMTLANDS LÄN</t>
        </is>
      </c>
      <c r="E891" t="inlineStr">
        <is>
          <t>RAGUNDA</t>
        </is>
      </c>
      <c r="F891" t="inlineStr">
        <is>
          <t>SCA</t>
        </is>
      </c>
      <c r="G891" t="n">
        <v>13.5</v>
      </c>
      <c r="H891" t="n">
        <v>0</v>
      </c>
      <c r="I891" t="n">
        <v>0</v>
      </c>
      <c r="J891" t="n">
        <v>0</v>
      </c>
      <c r="K891" t="n">
        <v>0</v>
      </c>
      <c r="L891" t="n">
        <v>0</v>
      </c>
      <c r="M891" t="n">
        <v>0</v>
      </c>
      <c r="N891" t="n">
        <v>0</v>
      </c>
      <c r="O891" t="n">
        <v>0</v>
      </c>
      <c r="P891" t="n">
        <v>0</v>
      </c>
      <c r="Q891" t="n">
        <v>0</v>
      </c>
      <c r="R891" s="2" t="inlineStr"/>
    </row>
    <row r="892" ht="15" customHeight="1">
      <c r="A892" t="inlineStr">
        <is>
          <t>A 11062-2023</t>
        </is>
      </c>
      <c r="B892" s="1" t="n">
        <v>44991</v>
      </c>
      <c r="C892" s="1" t="n">
        <v>45966</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32259-2024</t>
        </is>
      </c>
      <c r="B893" s="1" t="n">
        <v>45511</v>
      </c>
      <c r="C893" s="1" t="n">
        <v>45966</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29731-2025</t>
        </is>
      </c>
      <c r="B894" s="1" t="n">
        <v>45825.58252314815</v>
      </c>
      <c r="C894" s="1" t="n">
        <v>45966</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29723-2025</t>
        </is>
      </c>
      <c r="B895" s="1" t="n">
        <v>45825.57675925926</v>
      </c>
      <c r="C895" s="1" t="n">
        <v>45966</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5313-2025</t>
        </is>
      </c>
      <c r="B896" s="1" t="n">
        <v>45692.51069444444</v>
      </c>
      <c r="C896" s="1" t="n">
        <v>45966</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5357-2025</t>
        </is>
      </c>
      <c r="B897" s="1" t="n">
        <v>45692.57326388889</v>
      </c>
      <c r="C897" s="1" t="n">
        <v>45966</v>
      </c>
      <c r="D897" t="inlineStr">
        <is>
          <t>JÄMTLANDS LÄN</t>
        </is>
      </c>
      <c r="E897" t="inlineStr">
        <is>
          <t>RAGUNDA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3018-2024</t>
        </is>
      </c>
      <c r="B898" s="1" t="n">
        <v>45315.9492824074</v>
      </c>
      <c r="C898" s="1" t="n">
        <v>45966</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44605-2024</t>
        </is>
      </c>
      <c r="B899" s="1" t="n">
        <v>45574.51185185185</v>
      </c>
      <c r="C899" s="1" t="n">
        <v>45966</v>
      </c>
      <c r="D899" t="inlineStr">
        <is>
          <t>JÄMTLANDS LÄN</t>
        </is>
      </c>
      <c r="E899" t="inlineStr">
        <is>
          <t>RAGUNDA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57064-2024</t>
        </is>
      </c>
      <c r="B900" s="1" t="n">
        <v>45629.35326388889</v>
      </c>
      <c r="C900" s="1" t="n">
        <v>45966</v>
      </c>
      <c r="D900" t="inlineStr">
        <is>
          <t>JÄMTLANDS LÄN</t>
        </is>
      </c>
      <c r="E900" t="inlineStr">
        <is>
          <t>RAGUNDA</t>
        </is>
      </c>
      <c r="F900" t="inlineStr">
        <is>
          <t>Naturvårdsverket</t>
        </is>
      </c>
      <c r="G900" t="n">
        <v>0.5</v>
      </c>
      <c r="H900" t="n">
        <v>0</v>
      </c>
      <c r="I900" t="n">
        <v>0</v>
      </c>
      <c r="J900" t="n">
        <v>0</v>
      </c>
      <c r="K900" t="n">
        <v>0</v>
      </c>
      <c r="L900" t="n">
        <v>0</v>
      </c>
      <c r="M900" t="n">
        <v>0</v>
      </c>
      <c r="N900" t="n">
        <v>0</v>
      </c>
      <c r="O900" t="n">
        <v>0</v>
      </c>
      <c r="P900" t="n">
        <v>0</v>
      </c>
      <c r="Q900" t="n">
        <v>0</v>
      </c>
      <c r="R900" s="2" t="inlineStr"/>
    </row>
    <row r="901" ht="15" customHeight="1">
      <c r="A901" t="inlineStr">
        <is>
          <t>A 20773-2024</t>
        </is>
      </c>
      <c r="B901" s="1" t="n">
        <v>45436.94636574074</v>
      </c>
      <c r="C901" s="1" t="n">
        <v>45966</v>
      </c>
      <c r="D901" t="inlineStr">
        <is>
          <t>JÄMTLANDS LÄN</t>
        </is>
      </c>
      <c r="E901" t="inlineStr">
        <is>
          <t>RAGUNDA</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34323-2023</t>
        </is>
      </c>
      <c r="B902" s="1" t="n">
        <v>45138.94925925926</v>
      </c>
      <c r="C902" s="1" t="n">
        <v>45966</v>
      </c>
      <c r="D902" t="inlineStr">
        <is>
          <t>JÄMTLANDS LÄN</t>
        </is>
      </c>
      <c r="E902" t="inlineStr">
        <is>
          <t>RAGUNDA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50486-2023</t>
        </is>
      </c>
      <c r="B903" s="1" t="n">
        <v>45216.92424768519</v>
      </c>
      <c r="C903" s="1" t="n">
        <v>45966</v>
      </c>
      <c r="D903" t="inlineStr">
        <is>
          <t>JÄMTLANDS LÄN</t>
        </is>
      </c>
      <c r="E903" t="inlineStr">
        <is>
          <t>RAGUNDA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30088-2025</t>
        </is>
      </c>
      <c r="B904" s="1" t="n">
        <v>45826.65759259259</v>
      </c>
      <c r="C904" s="1" t="n">
        <v>45966</v>
      </c>
      <c r="D904" t="inlineStr">
        <is>
          <t>JÄMTLANDS LÄN</t>
        </is>
      </c>
      <c r="E904" t="inlineStr">
        <is>
          <t>RAGUNDA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30348-2025</t>
        </is>
      </c>
      <c r="B905" s="1" t="n">
        <v>45827.53178240741</v>
      </c>
      <c r="C905" s="1" t="n">
        <v>45966</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45966</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30434-2025</t>
        </is>
      </c>
      <c r="B907" s="1" t="n">
        <v>45827.63582175926</v>
      </c>
      <c r="C907" s="1" t="n">
        <v>45966</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19854-2025</t>
        </is>
      </c>
      <c r="B908" s="1" t="n">
        <v>45771.51074074074</v>
      </c>
      <c r="C908" s="1" t="n">
        <v>45966</v>
      </c>
      <c r="D908" t="inlineStr">
        <is>
          <t>JÄMTLANDS LÄN</t>
        </is>
      </c>
      <c r="E908" t="inlineStr">
        <is>
          <t>RAGUNDA</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55524-2024</t>
        </is>
      </c>
      <c r="B909" s="1" t="n">
        <v>45622.47435185185</v>
      </c>
      <c r="C909" s="1" t="n">
        <v>45966</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50503-2024</t>
        </is>
      </c>
      <c r="B910" s="1" t="n">
        <v>45601.5315625</v>
      </c>
      <c r="C910" s="1" t="n">
        <v>45966</v>
      </c>
      <c r="D910" t="inlineStr">
        <is>
          <t>JÄMTLANDS LÄN</t>
        </is>
      </c>
      <c r="E910" t="inlineStr">
        <is>
          <t>RAGUNDA</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10610-2024</t>
        </is>
      </c>
      <c r="B911" s="1" t="n">
        <v>45367.04693287037</v>
      </c>
      <c r="C911" s="1" t="n">
        <v>45966</v>
      </c>
      <c r="D911" t="inlineStr">
        <is>
          <t>JÄMTLANDS LÄN</t>
        </is>
      </c>
      <c r="E911" t="inlineStr">
        <is>
          <t>RAGUNDA</t>
        </is>
      </c>
      <c r="F911" t="inlineStr">
        <is>
          <t>SCA</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31463-2024</t>
        </is>
      </c>
      <c r="B912" s="1" t="n">
        <v>45505</v>
      </c>
      <c r="C912" s="1" t="n">
        <v>45966</v>
      </c>
      <c r="D912" t="inlineStr">
        <is>
          <t>JÄMTLANDS LÄN</t>
        </is>
      </c>
      <c r="E912" t="inlineStr">
        <is>
          <t>RAGUNDA</t>
        </is>
      </c>
      <c r="F912" t="inlineStr">
        <is>
          <t>SCA</t>
        </is>
      </c>
      <c r="G912" t="n">
        <v>20.3</v>
      </c>
      <c r="H912" t="n">
        <v>0</v>
      </c>
      <c r="I912" t="n">
        <v>0</v>
      </c>
      <c r="J912" t="n">
        <v>0</v>
      </c>
      <c r="K912" t="n">
        <v>0</v>
      </c>
      <c r="L912" t="n">
        <v>0</v>
      </c>
      <c r="M912" t="n">
        <v>0</v>
      </c>
      <c r="N912" t="n">
        <v>0</v>
      </c>
      <c r="O912" t="n">
        <v>0</v>
      </c>
      <c r="P912" t="n">
        <v>0</v>
      </c>
      <c r="Q912" t="n">
        <v>0</v>
      </c>
      <c r="R912" s="2" t="inlineStr"/>
    </row>
    <row r="913" ht="15" customHeight="1">
      <c r="A913" t="inlineStr">
        <is>
          <t>A 25332-2023</t>
        </is>
      </c>
      <c r="B913" s="1" t="n">
        <v>45086.94010416666</v>
      </c>
      <c r="C913" s="1" t="n">
        <v>45966</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29920-2024</t>
        </is>
      </c>
      <c r="B914" s="1" t="n">
        <v>45487.92856481481</v>
      </c>
      <c r="C914" s="1" t="n">
        <v>45966</v>
      </c>
      <c r="D914" t="inlineStr">
        <is>
          <t>JÄMTLANDS LÄN</t>
        </is>
      </c>
      <c r="E914" t="inlineStr">
        <is>
          <t>RAGUNDA</t>
        </is>
      </c>
      <c r="G914" t="n">
        <v>3.4</v>
      </c>
      <c r="H914" t="n">
        <v>0</v>
      </c>
      <c r="I914" t="n">
        <v>0</v>
      </c>
      <c r="J914" t="n">
        <v>0</v>
      </c>
      <c r="K914" t="n">
        <v>0</v>
      </c>
      <c r="L914" t="n">
        <v>0</v>
      </c>
      <c r="M914" t="n">
        <v>0</v>
      </c>
      <c r="N914" t="n">
        <v>0</v>
      </c>
      <c r="O914" t="n">
        <v>0</v>
      </c>
      <c r="P914" t="n">
        <v>0</v>
      </c>
      <c r="Q914" t="n">
        <v>0</v>
      </c>
      <c r="R914" s="2" t="inlineStr"/>
    </row>
    <row r="915" ht="15" customHeight="1">
      <c r="A915" t="inlineStr">
        <is>
          <t>A 30887-2025</t>
        </is>
      </c>
      <c r="B915" s="1" t="n">
        <v>45832.3459375</v>
      </c>
      <c r="C915" s="1" t="n">
        <v>45966</v>
      </c>
      <c r="D915" t="inlineStr">
        <is>
          <t>JÄMTLANDS LÄN</t>
        </is>
      </c>
      <c r="E915" t="inlineStr">
        <is>
          <t>RAGUNDA</t>
        </is>
      </c>
      <c r="F915" t="inlineStr">
        <is>
          <t>SCA</t>
        </is>
      </c>
      <c r="G915" t="n">
        <v>10.1</v>
      </c>
      <c r="H915" t="n">
        <v>0</v>
      </c>
      <c r="I915" t="n">
        <v>0</v>
      </c>
      <c r="J915" t="n">
        <v>0</v>
      </c>
      <c r="K915" t="n">
        <v>0</v>
      </c>
      <c r="L915" t="n">
        <v>0</v>
      </c>
      <c r="M915" t="n">
        <v>0</v>
      </c>
      <c r="N915" t="n">
        <v>0</v>
      </c>
      <c r="O915" t="n">
        <v>0</v>
      </c>
      <c r="P915" t="n">
        <v>0</v>
      </c>
      <c r="Q915" t="n">
        <v>0</v>
      </c>
      <c r="R915" s="2" t="inlineStr"/>
    </row>
    <row r="916" ht="15" customHeight="1">
      <c r="A916" t="inlineStr">
        <is>
          <t>A 10706-2023</t>
        </is>
      </c>
      <c r="B916" s="1" t="n">
        <v>44984</v>
      </c>
      <c r="C916" s="1" t="n">
        <v>45966</v>
      </c>
      <c r="D916" t="inlineStr">
        <is>
          <t>JÄMTLANDS LÄN</t>
        </is>
      </c>
      <c r="E916" t="inlineStr">
        <is>
          <t>RAGUNDA</t>
        </is>
      </c>
      <c r="G916" t="n">
        <v>7.7</v>
      </c>
      <c r="H916" t="n">
        <v>0</v>
      </c>
      <c r="I916" t="n">
        <v>0</v>
      </c>
      <c r="J916" t="n">
        <v>0</v>
      </c>
      <c r="K916" t="n">
        <v>0</v>
      </c>
      <c r="L916" t="n">
        <v>0</v>
      </c>
      <c r="M916" t="n">
        <v>0</v>
      </c>
      <c r="N916" t="n">
        <v>0</v>
      </c>
      <c r="O916" t="n">
        <v>0</v>
      </c>
      <c r="P916" t="n">
        <v>0</v>
      </c>
      <c r="Q916" t="n">
        <v>0</v>
      </c>
      <c r="R916" s="2" t="inlineStr"/>
    </row>
    <row r="917" ht="15" customHeight="1">
      <c r="A917" t="inlineStr">
        <is>
          <t>A 30883-2025</t>
        </is>
      </c>
      <c r="B917" s="1" t="n">
        <v>45832.34552083333</v>
      </c>
      <c r="C917" s="1" t="n">
        <v>45966</v>
      </c>
      <c r="D917" t="inlineStr">
        <is>
          <t>JÄMTLANDS LÄN</t>
        </is>
      </c>
      <c r="E917" t="inlineStr">
        <is>
          <t>RAGUNDA</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63708-2023</t>
        </is>
      </c>
      <c r="B918" s="1" t="n">
        <v>45275.95060185185</v>
      </c>
      <c r="C918" s="1" t="n">
        <v>45966</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16250-2022</t>
        </is>
      </c>
      <c r="B919" s="1" t="n">
        <v>44670</v>
      </c>
      <c r="C919" s="1" t="n">
        <v>45966</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3767-2025</t>
        </is>
      </c>
      <c r="B920" s="1" t="n">
        <v>45681.60203703704</v>
      </c>
      <c r="C920" s="1" t="n">
        <v>45966</v>
      </c>
      <c r="D920" t="inlineStr">
        <is>
          <t>JÄMTLANDS LÄN</t>
        </is>
      </c>
      <c r="E920" t="inlineStr">
        <is>
          <t>RAGUNDA</t>
        </is>
      </c>
      <c r="G920" t="n">
        <v>4.9</v>
      </c>
      <c r="H920" t="n">
        <v>0</v>
      </c>
      <c r="I920" t="n">
        <v>0</v>
      </c>
      <c r="J920" t="n">
        <v>0</v>
      </c>
      <c r="K920" t="n">
        <v>0</v>
      </c>
      <c r="L920" t="n">
        <v>0</v>
      </c>
      <c r="M920" t="n">
        <v>0</v>
      </c>
      <c r="N920" t="n">
        <v>0</v>
      </c>
      <c r="O920" t="n">
        <v>0</v>
      </c>
      <c r="P920" t="n">
        <v>0</v>
      </c>
      <c r="Q920" t="n">
        <v>0</v>
      </c>
      <c r="R920" s="2" t="inlineStr"/>
    </row>
    <row r="921" ht="15" customHeight="1">
      <c r="A921" t="inlineStr">
        <is>
          <t>A 60663-2022</t>
        </is>
      </c>
      <c r="B921" s="1" t="n">
        <v>44911.93846064815</v>
      </c>
      <c r="C921" s="1" t="n">
        <v>45966</v>
      </c>
      <c r="D921" t="inlineStr">
        <is>
          <t>JÄMTLANDS LÄN</t>
        </is>
      </c>
      <c r="E921" t="inlineStr">
        <is>
          <t>RAGUNDA</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7280-2024</t>
        </is>
      </c>
      <c r="B922" s="1" t="n">
        <v>45344</v>
      </c>
      <c r="C922" s="1" t="n">
        <v>45966</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58847-2024</t>
        </is>
      </c>
      <c r="B923" s="1" t="n">
        <v>45636.3864699074</v>
      </c>
      <c r="C923" s="1" t="n">
        <v>45966</v>
      </c>
      <c r="D923" t="inlineStr">
        <is>
          <t>JÄMTLANDS LÄN</t>
        </is>
      </c>
      <c r="E923" t="inlineStr">
        <is>
          <t>RAGUNDA</t>
        </is>
      </c>
      <c r="F923" t="inlineStr">
        <is>
          <t>SCA</t>
        </is>
      </c>
      <c r="G923" t="n">
        <v>8</v>
      </c>
      <c r="H923" t="n">
        <v>0</v>
      </c>
      <c r="I923" t="n">
        <v>0</v>
      </c>
      <c r="J923" t="n">
        <v>0</v>
      </c>
      <c r="K923" t="n">
        <v>0</v>
      </c>
      <c r="L923" t="n">
        <v>0</v>
      </c>
      <c r="M923" t="n">
        <v>0</v>
      </c>
      <c r="N923" t="n">
        <v>0</v>
      </c>
      <c r="O923" t="n">
        <v>0</v>
      </c>
      <c r="P923" t="n">
        <v>0</v>
      </c>
      <c r="Q923" t="n">
        <v>0</v>
      </c>
      <c r="R923" s="2" t="inlineStr"/>
    </row>
    <row r="924" ht="15" customHeight="1">
      <c r="A924" t="inlineStr">
        <is>
          <t>A 27777-2022</t>
        </is>
      </c>
      <c r="B924" s="1" t="n">
        <v>44743</v>
      </c>
      <c r="C924" s="1" t="n">
        <v>45966</v>
      </c>
      <c r="D924" t="inlineStr">
        <is>
          <t>JÄMTLANDS LÄN</t>
        </is>
      </c>
      <c r="E924" t="inlineStr">
        <is>
          <t>RAGUNDA</t>
        </is>
      </c>
      <c r="G924" t="n">
        <v>1.5</v>
      </c>
      <c r="H924" t="n">
        <v>0</v>
      </c>
      <c r="I924" t="n">
        <v>0</v>
      </c>
      <c r="J924" t="n">
        <v>0</v>
      </c>
      <c r="K924" t="n">
        <v>0</v>
      </c>
      <c r="L924" t="n">
        <v>0</v>
      </c>
      <c r="M924" t="n">
        <v>0</v>
      </c>
      <c r="N924" t="n">
        <v>0</v>
      </c>
      <c r="O924" t="n">
        <v>0</v>
      </c>
      <c r="P924" t="n">
        <v>0</v>
      </c>
      <c r="Q924" t="n">
        <v>0</v>
      </c>
      <c r="R924" s="2" t="inlineStr"/>
    </row>
    <row r="925" ht="15" customHeight="1">
      <c r="A925" t="inlineStr">
        <is>
          <t>A 30880-2025</t>
        </is>
      </c>
      <c r="B925" s="1" t="n">
        <v>45832.34524305556</v>
      </c>
      <c r="C925" s="1" t="n">
        <v>45966</v>
      </c>
      <c r="D925" t="inlineStr">
        <is>
          <t>JÄMTLANDS LÄN</t>
        </is>
      </c>
      <c r="E925" t="inlineStr">
        <is>
          <t>RAGUNDA</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44778-2024</t>
        </is>
      </c>
      <c r="B926" s="1" t="n">
        <v>45574.63355324074</v>
      </c>
      <c r="C926" s="1" t="n">
        <v>45966</v>
      </c>
      <c r="D926" t="inlineStr">
        <is>
          <t>JÄMTLANDS LÄN</t>
        </is>
      </c>
      <c r="E926" t="inlineStr">
        <is>
          <t>RAGUNDA</t>
        </is>
      </c>
      <c r="G926" t="n">
        <v>5.5</v>
      </c>
      <c r="H926" t="n">
        <v>0</v>
      </c>
      <c r="I926" t="n">
        <v>0</v>
      </c>
      <c r="J926" t="n">
        <v>0</v>
      </c>
      <c r="K926" t="n">
        <v>0</v>
      </c>
      <c r="L926" t="n">
        <v>0</v>
      </c>
      <c r="M926" t="n">
        <v>0</v>
      </c>
      <c r="N926" t="n">
        <v>0</v>
      </c>
      <c r="O926" t="n">
        <v>0</v>
      </c>
      <c r="P926" t="n">
        <v>0</v>
      </c>
      <c r="Q926" t="n">
        <v>0</v>
      </c>
      <c r="R926" s="2" t="inlineStr"/>
    </row>
    <row r="927" ht="15" customHeight="1">
      <c r="A927" t="inlineStr">
        <is>
          <t>A 42875-2024</t>
        </is>
      </c>
      <c r="B927" s="1" t="n">
        <v>45566.68125</v>
      </c>
      <c r="C927" s="1" t="n">
        <v>45966</v>
      </c>
      <c r="D927" t="inlineStr">
        <is>
          <t>JÄMTLANDS LÄN</t>
        </is>
      </c>
      <c r="E927" t="inlineStr">
        <is>
          <t>RAGUNDA</t>
        </is>
      </c>
      <c r="G927" t="n">
        <v>0.5</v>
      </c>
      <c r="H927" t="n">
        <v>0</v>
      </c>
      <c r="I927" t="n">
        <v>0</v>
      </c>
      <c r="J927" t="n">
        <v>0</v>
      </c>
      <c r="K927" t="n">
        <v>0</v>
      </c>
      <c r="L927" t="n">
        <v>0</v>
      </c>
      <c r="M927" t="n">
        <v>0</v>
      </c>
      <c r="N927" t="n">
        <v>0</v>
      </c>
      <c r="O927" t="n">
        <v>0</v>
      </c>
      <c r="P927" t="n">
        <v>0</v>
      </c>
      <c r="Q927" t="n">
        <v>0</v>
      </c>
      <c r="R927" s="2" t="inlineStr"/>
    </row>
    <row r="928" ht="15" customHeight="1">
      <c r="A928" t="inlineStr">
        <is>
          <t>A 2673-2024</t>
        </is>
      </c>
      <c r="B928" s="1" t="n">
        <v>45314</v>
      </c>
      <c r="C928" s="1" t="n">
        <v>45966</v>
      </c>
      <c r="D928" t="inlineStr">
        <is>
          <t>JÄMTLANDS LÄN</t>
        </is>
      </c>
      <c r="E928" t="inlineStr">
        <is>
          <t>RAGUNDA</t>
        </is>
      </c>
      <c r="G928" t="n">
        <v>0.9</v>
      </c>
      <c r="H928" t="n">
        <v>0</v>
      </c>
      <c r="I928" t="n">
        <v>0</v>
      </c>
      <c r="J928" t="n">
        <v>0</v>
      </c>
      <c r="K928" t="n">
        <v>0</v>
      </c>
      <c r="L928" t="n">
        <v>0</v>
      </c>
      <c r="M928" t="n">
        <v>0</v>
      </c>
      <c r="N928" t="n">
        <v>0</v>
      </c>
      <c r="O928" t="n">
        <v>0</v>
      </c>
      <c r="P928" t="n">
        <v>0</v>
      </c>
      <c r="Q928" t="n">
        <v>0</v>
      </c>
      <c r="R928" s="2" t="inlineStr"/>
    </row>
    <row r="929" ht="15" customHeight="1">
      <c r="A929" t="inlineStr">
        <is>
          <t>A 64492-2023</t>
        </is>
      </c>
      <c r="B929" s="1" t="n">
        <v>45280.92645833334</v>
      </c>
      <c r="C929" s="1" t="n">
        <v>45966</v>
      </c>
      <c r="D929" t="inlineStr">
        <is>
          <t>JÄMTLANDS LÄN</t>
        </is>
      </c>
      <c r="E929" t="inlineStr">
        <is>
          <t>RAGUNDA</t>
        </is>
      </c>
      <c r="G929" t="n">
        <v>0.6</v>
      </c>
      <c r="H929" t="n">
        <v>0</v>
      </c>
      <c r="I929" t="n">
        <v>0</v>
      </c>
      <c r="J929" t="n">
        <v>0</v>
      </c>
      <c r="K929" t="n">
        <v>0</v>
      </c>
      <c r="L929" t="n">
        <v>0</v>
      </c>
      <c r="M929" t="n">
        <v>0</v>
      </c>
      <c r="N929" t="n">
        <v>0</v>
      </c>
      <c r="O929" t="n">
        <v>0</v>
      </c>
      <c r="P929" t="n">
        <v>0</v>
      </c>
      <c r="Q929" t="n">
        <v>0</v>
      </c>
      <c r="R929" s="2" t="inlineStr"/>
    </row>
    <row r="930" ht="15" customHeight="1">
      <c r="A930" t="inlineStr">
        <is>
          <t>A 53935-2022</t>
        </is>
      </c>
      <c r="B930" s="1" t="n">
        <v>44880</v>
      </c>
      <c r="C930" s="1" t="n">
        <v>45966</v>
      </c>
      <c r="D930" t="inlineStr">
        <is>
          <t>JÄMTLANDS LÄN</t>
        </is>
      </c>
      <c r="E930" t="inlineStr">
        <is>
          <t>RAGUNDA</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32096-2025</t>
        </is>
      </c>
      <c r="B931" s="1" t="n">
        <v>45835.46334490741</v>
      </c>
      <c r="C931" s="1" t="n">
        <v>45966</v>
      </c>
      <c r="D931" t="inlineStr">
        <is>
          <t>JÄMTLANDS LÄN</t>
        </is>
      </c>
      <c r="E931" t="inlineStr">
        <is>
          <t>RAGUNDA</t>
        </is>
      </c>
      <c r="G931" t="n">
        <v>0.9</v>
      </c>
      <c r="H931" t="n">
        <v>0</v>
      </c>
      <c r="I931" t="n">
        <v>0</v>
      </c>
      <c r="J931" t="n">
        <v>0</v>
      </c>
      <c r="K931" t="n">
        <v>0</v>
      </c>
      <c r="L931" t="n">
        <v>0</v>
      </c>
      <c r="M931" t="n">
        <v>0</v>
      </c>
      <c r="N931" t="n">
        <v>0</v>
      </c>
      <c r="O931" t="n">
        <v>0</v>
      </c>
      <c r="P931" t="n">
        <v>0</v>
      </c>
      <c r="Q931" t="n">
        <v>0</v>
      </c>
      <c r="R931" s="2" t="inlineStr"/>
    </row>
    <row r="932" ht="15" customHeight="1">
      <c r="A932" t="inlineStr">
        <is>
          <t>A 32151-2025</t>
        </is>
      </c>
      <c r="B932" s="1" t="n">
        <v>45835.53166666667</v>
      </c>
      <c r="C932" s="1" t="n">
        <v>45966</v>
      </c>
      <c r="D932" t="inlineStr">
        <is>
          <t>JÄMTLANDS LÄN</t>
        </is>
      </c>
      <c r="E932" t="inlineStr">
        <is>
          <t>RAGUNDA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32306-2025</t>
        </is>
      </c>
      <c r="B933" s="1" t="n">
        <v>45835.72046296296</v>
      </c>
      <c r="C933" s="1" t="n">
        <v>45966</v>
      </c>
      <c r="D933" t="inlineStr">
        <is>
          <t>JÄMTLANDS LÄN</t>
        </is>
      </c>
      <c r="E933" t="inlineStr">
        <is>
          <t>RAGUNDA</t>
        </is>
      </c>
      <c r="G933" t="n">
        <v>10.2</v>
      </c>
      <c r="H933" t="n">
        <v>0</v>
      </c>
      <c r="I933" t="n">
        <v>0</v>
      </c>
      <c r="J933" t="n">
        <v>0</v>
      </c>
      <c r="K933" t="n">
        <v>0</v>
      </c>
      <c r="L933" t="n">
        <v>0</v>
      </c>
      <c r="M933" t="n">
        <v>0</v>
      </c>
      <c r="N933" t="n">
        <v>0</v>
      </c>
      <c r="O933" t="n">
        <v>0</v>
      </c>
      <c r="P933" t="n">
        <v>0</v>
      </c>
      <c r="Q933" t="n">
        <v>0</v>
      </c>
      <c r="R933" s="2" t="inlineStr"/>
    </row>
    <row r="934" ht="15" customHeight="1">
      <c r="A934" t="inlineStr">
        <is>
          <t>A 14368-2024</t>
        </is>
      </c>
      <c r="B934" s="1" t="n">
        <v>45393.94431712963</v>
      </c>
      <c r="C934" s="1" t="n">
        <v>45966</v>
      </c>
      <c r="D934" t="inlineStr">
        <is>
          <t>JÄMTLANDS LÄN</t>
        </is>
      </c>
      <c r="E934" t="inlineStr">
        <is>
          <t>RAGUNDA</t>
        </is>
      </c>
      <c r="F934" t="inlineStr">
        <is>
          <t>Naturvårdsverket</t>
        </is>
      </c>
      <c r="G934" t="n">
        <v>1.6</v>
      </c>
      <c r="H934" t="n">
        <v>0</v>
      </c>
      <c r="I934" t="n">
        <v>0</v>
      </c>
      <c r="J934" t="n">
        <v>0</v>
      </c>
      <c r="K934" t="n">
        <v>0</v>
      </c>
      <c r="L934" t="n">
        <v>0</v>
      </c>
      <c r="M934" t="n">
        <v>0</v>
      </c>
      <c r="N934" t="n">
        <v>0</v>
      </c>
      <c r="O934" t="n">
        <v>0</v>
      </c>
      <c r="P934" t="n">
        <v>0</v>
      </c>
      <c r="Q934" t="n">
        <v>0</v>
      </c>
      <c r="R934" s="2" t="inlineStr"/>
    </row>
    <row r="935" ht="15" customHeight="1">
      <c r="A935" t="inlineStr">
        <is>
          <t>A 32021-2025</t>
        </is>
      </c>
      <c r="B935" s="1" t="n">
        <v>45835.40668981482</v>
      </c>
      <c r="C935" s="1" t="n">
        <v>45966</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31882-2025</t>
        </is>
      </c>
      <c r="B936" s="1" t="n">
        <v>45834.65662037037</v>
      </c>
      <c r="C936" s="1" t="n">
        <v>45966</v>
      </c>
      <c r="D936" t="inlineStr">
        <is>
          <t>JÄMTLANDS LÄN</t>
        </is>
      </c>
      <c r="E936" t="inlineStr">
        <is>
          <t>RAGUNDA</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41262-2021</t>
        </is>
      </c>
      <c r="B937" s="1" t="n">
        <v>44424</v>
      </c>
      <c r="C937" s="1" t="n">
        <v>45966</v>
      </c>
      <c r="D937" t="inlineStr">
        <is>
          <t>JÄMTLANDS LÄN</t>
        </is>
      </c>
      <c r="E937" t="inlineStr">
        <is>
          <t>RAGUNDA</t>
        </is>
      </c>
      <c r="G937" t="n">
        <v>2.6</v>
      </c>
      <c r="H937" t="n">
        <v>0</v>
      </c>
      <c r="I937" t="n">
        <v>0</v>
      </c>
      <c r="J937" t="n">
        <v>0</v>
      </c>
      <c r="K937" t="n">
        <v>0</v>
      </c>
      <c r="L937" t="n">
        <v>0</v>
      </c>
      <c r="M937" t="n">
        <v>0</v>
      </c>
      <c r="N937" t="n">
        <v>0</v>
      </c>
      <c r="O937" t="n">
        <v>0</v>
      </c>
      <c r="P937" t="n">
        <v>0</v>
      </c>
      <c r="Q937" t="n">
        <v>0</v>
      </c>
      <c r="R937" s="2" t="inlineStr"/>
    </row>
    <row r="938" ht="15" customHeight="1">
      <c r="A938" t="inlineStr">
        <is>
          <t>A 20221-2025</t>
        </is>
      </c>
      <c r="B938" s="1" t="n">
        <v>45772.6565625</v>
      </c>
      <c r="C938" s="1" t="n">
        <v>45966</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19438-2023</t>
        </is>
      </c>
      <c r="B939" s="1" t="n">
        <v>45049</v>
      </c>
      <c r="C939" s="1" t="n">
        <v>45966</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4015-2022</t>
        </is>
      </c>
      <c r="B940" s="1" t="n">
        <v>44587.92149305555</v>
      </c>
      <c r="C940" s="1" t="n">
        <v>45966</v>
      </c>
      <c r="D940" t="inlineStr">
        <is>
          <t>JÄMTLANDS LÄN</t>
        </is>
      </c>
      <c r="E940" t="inlineStr">
        <is>
          <t>RAGUNDA</t>
        </is>
      </c>
      <c r="G940" t="n">
        <v>3.9</v>
      </c>
      <c r="H940" t="n">
        <v>0</v>
      </c>
      <c r="I940" t="n">
        <v>0</v>
      </c>
      <c r="J940" t="n">
        <v>0</v>
      </c>
      <c r="K940" t="n">
        <v>0</v>
      </c>
      <c r="L940" t="n">
        <v>0</v>
      </c>
      <c r="M940" t="n">
        <v>0</v>
      </c>
      <c r="N940" t="n">
        <v>0</v>
      </c>
      <c r="O940" t="n">
        <v>0</v>
      </c>
      <c r="P940" t="n">
        <v>0</v>
      </c>
      <c r="Q940" t="n">
        <v>0</v>
      </c>
      <c r="R940" s="2" t="inlineStr"/>
    </row>
    <row r="941" ht="15" customHeight="1">
      <c r="A941" t="inlineStr">
        <is>
          <t>A 32796-2025</t>
        </is>
      </c>
      <c r="B941" s="1" t="n">
        <v>45839.49082175926</v>
      </c>
      <c r="C941" s="1" t="n">
        <v>45966</v>
      </c>
      <c r="D941" t="inlineStr">
        <is>
          <t>JÄMTLANDS LÄN</t>
        </is>
      </c>
      <c r="E941" t="inlineStr">
        <is>
          <t>RAGUNDA</t>
        </is>
      </c>
      <c r="G941" t="n">
        <v>1.7</v>
      </c>
      <c r="H941" t="n">
        <v>0</v>
      </c>
      <c r="I941" t="n">
        <v>0</v>
      </c>
      <c r="J941" t="n">
        <v>0</v>
      </c>
      <c r="K941" t="n">
        <v>0</v>
      </c>
      <c r="L941" t="n">
        <v>0</v>
      </c>
      <c r="M941" t="n">
        <v>0</v>
      </c>
      <c r="N941" t="n">
        <v>0</v>
      </c>
      <c r="O941" t="n">
        <v>0</v>
      </c>
      <c r="P941" t="n">
        <v>0</v>
      </c>
      <c r="Q941" t="n">
        <v>0</v>
      </c>
      <c r="R941" s="2" t="inlineStr"/>
    </row>
    <row r="942" ht="15" customHeight="1">
      <c r="A942" t="inlineStr">
        <is>
          <t>A 32655-2025</t>
        </is>
      </c>
      <c r="B942" s="1" t="n">
        <v>45838.67800925926</v>
      </c>
      <c r="C942" s="1" t="n">
        <v>45966</v>
      </c>
      <c r="D942" t="inlineStr">
        <is>
          <t>JÄMTLANDS LÄN</t>
        </is>
      </c>
      <c r="E942" t="inlineStr">
        <is>
          <t>RAGUNDA</t>
        </is>
      </c>
      <c r="G942" t="n">
        <v>2.8</v>
      </c>
      <c r="H942" t="n">
        <v>0</v>
      </c>
      <c r="I942" t="n">
        <v>0</v>
      </c>
      <c r="J942" t="n">
        <v>0</v>
      </c>
      <c r="K942" t="n">
        <v>0</v>
      </c>
      <c r="L942" t="n">
        <v>0</v>
      </c>
      <c r="M942" t="n">
        <v>0</v>
      </c>
      <c r="N942" t="n">
        <v>0</v>
      </c>
      <c r="O942" t="n">
        <v>0</v>
      </c>
      <c r="P942" t="n">
        <v>0</v>
      </c>
      <c r="Q942" t="n">
        <v>0</v>
      </c>
      <c r="R942" s="2" t="inlineStr"/>
    </row>
    <row r="943" ht="15" customHeight="1">
      <c r="A943" t="inlineStr">
        <is>
          <t>A 32751-2025</t>
        </is>
      </c>
      <c r="B943" s="1" t="n">
        <v>45839.42864583333</v>
      </c>
      <c r="C943" s="1" t="n">
        <v>45966</v>
      </c>
      <c r="D943" t="inlineStr">
        <is>
          <t>JÄMTLANDS LÄN</t>
        </is>
      </c>
      <c r="E943" t="inlineStr">
        <is>
          <t>RAGUNDA</t>
        </is>
      </c>
      <c r="F943" t="inlineStr">
        <is>
          <t>SCA</t>
        </is>
      </c>
      <c r="G943" t="n">
        <v>10</v>
      </c>
      <c r="H943" t="n">
        <v>0</v>
      </c>
      <c r="I943" t="n">
        <v>0</v>
      </c>
      <c r="J943" t="n">
        <v>0</v>
      </c>
      <c r="K943" t="n">
        <v>0</v>
      </c>
      <c r="L943" t="n">
        <v>0</v>
      </c>
      <c r="M943" t="n">
        <v>0</v>
      </c>
      <c r="N943" t="n">
        <v>0</v>
      </c>
      <c r="O943" t="n">
        <v>0</v>
      </c>
      <c r="P943" t="n">
        <v>0</v>
      </c>
      <c r="Q943" t="n">
        <v>0</v>
      </c>
      <c r="R943" s="2" t="inlineStr"/>
    </row>
    <row r="944" ht="15" customHeight="1">
      <c r="A944" t="inlineStr">
        <is>
          <t>A 8416-2023</t>
        </is>
      </c>
      <c r="B944" s="1" t="n">
        <v>44977.44373842593</v>
      </c>
      <c r="C944" s="1" t="n">
        <v>45966</v>
      </c>
      <c r="D944" t="inlineStr">
        <is>
          <t>JÄMTLANDS LÄN</t>
        </is>
      </c>
      <c r="E944" t="inlineStr">
        <is>
          <t>RAGUNDA</t>
        </is>
      </c>
      <c r="G944" t="n">
        <v>0.7</v>
      </c>
      <c r="H944" t="n">
        <v>0</v>
      </c>
      <c r="I944" t="n">
        <v>0</v>
      </c>
      <c r="J944" t="n">
        <v>0</v>
      </c>
      <c r="K944" t="n">
        <v>0</v>
      </c>
      <c r="L944" t="n">
        <v>0</v>
      </c>
      <c r="M944" t="n">
        <v>0</v>
      </c>
      <c r="N944" t="n">
        <v>0</v>
      </c>
      <c r="O944" t="n">
        <v>0</v>
      </c>
      <c r="P944" t="n">
        <v>0</v>
      </c>
      <c r="Q944" t="n">
        <v>0</v>
      </c>
      <c r="R944" s="2" t="inlineStr"/>
    </row>
    <row r="945" ht="15" customHeight="1">
      <c r="A945" t="inlineStr">
        <is>
          <t>A 45253-2023</t>
        </is>
      </c>
      <c r="B945" s="1" t="n">
        <v>45187</v>
      </c>
      <c r="C945" s="1" t="n">
        <v>45966</v>
      </c>
      <c r="D945" t="inlineStr">
        <is>
          <t>JÄMTLANDS LÄN</t>
        </is>
      </c>
      <c r="E945" t="inlineStr">
        <is>
          <t>RAGUNDA</t>
        </is>
      </c>
      <c r="G945" t="n">
        <v>3.3</v>
      </c>
      <c r="H945" t="n">
        <v>0</v>
      </c>
      <c r="I945" t="n">
        <v>0</v>
      </c>
      <c r="J945" t="n">
        <v>0</v>
      </c>
      <c r="K945" t="n">
        <v>0</v>
      </c>
      <c r="L945" t="n">
        <v>0</v>
      </c>
      <c r="M945" t="n">
        <v>0</v>
      </c>
      <c r="N945" t="n">
        <v>0</v>
      </c>
      <c r="O945" t="n">
        <v>0</v>
      </c>
      <c r="P945" t="n">
        <v>0</v>
      </c>
      <c r="Q945" t="n">
        <v>0</v>
      </c>
      <c r="R945" s="2" t="inlineStr"/>
    </row>
    <row r="946" ht="15" customHeight="1">
      <c r="A946" t="inlineStr">
        <is>
          <t>A 32777-2025</t>
        </is>
      </c>
      <c r="B946" s="1" t="n">
        <v>45839.46915509259</v>
      </c>
      <c r="C946" s="1" t="n">
        <v>45966</v>
      </c>
      <c r="D946" t="inlineStr">
        <is>
          <t>JÄMTLANDS LÄN</t>
        </is>
      </c>
      <c r="E946" t="inlineStr">
        <is>
          <t>RAGUNDA</t>
        </is>
      </c>
      <c r="F946" t="inlineStr">
        <is>
          <t>SCA</t>
        </is>
      </c>
      <c r="G946" t="n">
        <v>21.7</v>
      </c>
      <c r="H946" t="n">
        <v>0</v>
      </c>
      <c r="I946" t="n">
        <v>0</v>
      </c>
      <c r="J946" t="n">
        <v>0</v>
      </c>
      <c r="K946" t="n">
        <v>0</v>
      </c>
      <c r="L946" t="n">
        <v>0</v>
      </c>
      <c r="M946" t="n">
        <v>0</v>
      </c>
      <c r="N946" t="n">
        <v>0</v>
      </c>
      <c r="O946" t="n">
        <v>0</v>
      </c>
      <c r="P946" t="n">
        <v>0</v>
      </c>
      <c r="Q946" t="n">
        <v>0</v>
      </c>
      <c r="R946" s="2" t="inlineStr"/>
    </row>
    <row r="947" ht="15" customHeight="1">
      <c r="A947" t="inlineStr">
        <is>
          <t>A 14369-2024</t>
        </is>
      </c>
      <c r="B947" s="1" t="n">
        <v>45393.94459490741</v>
      </c>
      <c r="C947" s="1" t="n">
        <v>45966</v>
      </c>
      <c r="D947" t="inlineStr">
        <is>
          <t>JÄMTLANDS LÄN</t>
        </is>
      </c>
      <c r="E947" t="inlineStr">
        <is>
          <t>RAGUNDA</t>
        </is>
      </c>
      <c r="F947" t="inlineStr">
        <is>
          <t>Naturvårdsverket</t>
        </is>
      </c>
      <c r="G947" t="n">
        <v>1.8</v>
      </c>
      <c r="H947" t="n">
        <v>0</v>
      </c>
      <c r="I947" t="n">
        <v>0</v>
      </c>
      <c r="J947" t="n">
        <v>0</v>
      </c>
      <c r="K947" t="n">
        <v>0</v>
      </c>
      <c r="L947" t="n">
        <v>0</v>
      </c>
      <c r="M947" t="n">
        <v>0</v>
      </c>
      <c r="N947" t="n">
        <v>0</v>
      </c>
      <c r="O947" t="n">
        <v>0</v>
      </c>
      <c r="P947" t="n">
        <v>0</v>
      </c>
      <c r="Q947" t="n">
        <v>0</v>
      </c>
      <c r="R947" s="2" t="inlineStr"/>
    </row>
    <row r="948" ht="15" customHeight="1">
      <c r="A948" t="inlineStr">
        <is>
          <t>A 32430-2025</t>
        </is>
      </c>
      <c r="B948" s="1" t="n">
        <v>45838.36532407408</v>
      </c>
      <c r="C948" s="1" t="n">
        <v>45966</v>
      </c>
      <c r="D948" t="inlineStr">
        <is>
          <t>JÄMTLANDS LÄN</t>
        </is>
      </c>
      <c r="E948" t="inlineStr">
        <is>
          <t>RAGUNDA</t>
        </is>
      </c>
      <c r="F948" t="inlineStr">
        <is>
          <t>SCA</t>
        </is>
      </c>
      <c r="G948" t="n">
        <v>4.3</v>
      </c>
      <c r="H948" t="n">
        <v>0</v>
      </c>
      <c r="I948" t="n">
        <v>0</v>
      </c>
      <c r="J948" t="n">
        <v>0</v>
      </c>
      <c r="K948" t="n">
        <v>0</v>
      </c>
      <c r="L948" t="n">
        <v>0</v>
      </c>
      <c r="M948" t="n">
        <v>0</v>
      </c>
      <c r="N948" t="n">
        <v>0</v>
      </c>
      <c r="O948" t="n">
        <v>0</v>
      </c>
      <c r="P948" t="n">
        <v>0</v>
      </c>
      <c r="Q948" t="n">
        <v>0</v>
      </c>
      <c r="R948" s="2" t="inlineStr"/>
    </row>
    <row r="949" ht="15" customHeight="1">
      <c r="A949" t="inlineStr">
        <is>
          <t>A 32747-2025</t>
        </is>
      </c>
      <c r="B949" s="1" t="n">
        <v>45839.42810185185</v>
      </c>
      <c r="C949" s="1" t="n">
        <v>45966</v>
      </c>
      <c r="D949" t="inlineStr">
        <is>
          <t>JÄMTLANDS LÄN</t>
        </is>
      </c>
      <c r="E949" t="inlineStr">
        <is>
          <t>RAGUNDA</t>
        </is>
      </c>
      <c r="F949" t="inlineStr">
        <is>
          <t>SCA</t>
        </is>
      </c>
      <c r="G949" t="n">
        <v>4.5</v>
      </c>
      <c r="H949" t="n">
        <v>0</v>
      </c>
      <c r="I949" t="n">
        <v>0</v>
      </c>
      <c r="J949" t="n">
        <v>0</v>
      </c>
      <c r="K949" t="n">
        <v>0</v>
      </c>
      <c r="L949" t="n">
        <v>0</v>
      </c>
      <c r="M949" t="n">
        <v>0</v>
      </c>
      <c r="N949" t="n">
        <v>0</v>
      </c>
      <c r="O949" t="n">
        <v>0</v>
      </c>
      <c r="P949" t="n">
        <v>0</v>
      </c>
      <c r="Q949" t="n">
        <v>0</v>
      </c>
      <c r="R949" s="2" t="inlineStr"/>
    </row>
    <row r="950" ht="15" customHeight="1">
      <c r="A950" t="inlineStr">
        <is>
          <t>A 32757-2025</t>
        </is>
      </c>
      <c r="B950" s="1" t="n">
        <v>45838</v>
      </c>
      <c r="C950" s="1" t="n">
        <v>45966</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12783-2023</t>
        </is>
      </c>
      <c r="B951" s="1" t="n">
        <v>45000</v>
      </c>
      <c r="C951" s="1" t="n">
        <v>45966</v>
      </c>
      <c r="D951" t="inlineStr">
        <is>
          <t>JÄMTLANDS LÄN</t>
        </is>
      </c>
      <c r="E951" t="inlineStr">
        <is>
          <t>RAGUNDA</t>
        </is>
      </c>
      <c r="G951" t="n">
        <v>0.9</v>
      </c>
      <c r="H951" t="n">
        <v>0</v>
      </c>
      <c r="I951" t="n">
        <v>0</v>
      </c>
      <c r="J951" t="n">
        <v>0</v>
      </c>
      <c r="K951" t="n">
        <v>0</v>
      </c>
      <c r="L951" t="n">
        <v>0</v>
      </c>
      <c r="M951" t="n">
        <v>0</v>
      </c>
      <c r="N951" t="n">
        <v>0</v>
      </c>
      <c r="O951" t="n">
        <v>0</v>
      </c>
      <c r="P951" t="n">
        <v>0</v>
      </c>
      <c r="Q951" t="n">
        <v>0</v>
      </c>
      <c r="R951" s="2" t="inlineStr"/>
    </row>
    <row r="952" ht="15" customHeight="1">
      <c r="A952" t="inlineStr">
        <is>
          <t>A 53171-2024</t>
        </is>
      </c>
      <c r="B952" s="1" t="n">
        <v>45611.65679398148</v>
      </c>
      <c r="C952" s="1" t="n">
        <v>45966</v>
      </c>
      <c r="D952" t="inlineStr">
        <is>
          <t>JÄMTLANDS LÄN</t>
        </is>
      </c>
      <c r="E952" t="inlineStr">
        <is>
          <t>RAGUNDA</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7279-2024</t>
        </is>
      </c>
      <c r="B953" s="1" t="n">
        <v>45344.92822916667</v>
      </c>
      <c r="C953" s="1" t="n">
        <v>45966</v>
      </c>
      <c r="D953" t="inlineStr">
        <is>
          <t>JÄMTLANDS LÄN</t>
        </is>
      </c>
      <c r="E953" t="inlineStr">
        <is>
          <t>RAGUNDA</t>
        </is>
      </c>
      <c r="G953" t="n">
        <v>2.1</v>
      </c>
      <c r="H953" t="n">
        <v>0</v>
      </c>
      <c r="I953" t="n">
        <v>0</v>
      </c>
      <c r="J953" t="n">
        <v>0</v>
      </c>
      <c r="K953" t="n">
        <v>0</v>
      </c>
      <c r="L953" t="n">
        <v>0</v>
      </c>
      <c r="M953" t="n">
        <v>0</v>
      </c>
      <c r="N953" t="n">
        <v>0</v>
      </c>
      <c r="O953" t="n">
        <v>0</v>
      </c>
      <c r="P953" t="n">
        <v>0</v>
      </c>
      <c r="Q953" t="n">
        <v>0</v>
      </c>
      <c r="R953" s="2" t="inlineStr"/>
    </row>
    <row r="954" ht="15" customHeight="1">
      <c r="A954" t="inlineStr">
        <is>
          <t>A 32846-2025</t>
        </is>
      </c>
      <c r="B954" s="1" t="n">
        <v>45839.57331018519</v>
      </c>
      <c r="C954" s="1" t="n">
        <v>45966</v>
      </c>
      <c r="D954" t="inlineStr">
        <is>
          <t>JÄMTLANDS LÄN</t>
        </is>
      </c>
      <c r="E954" t="inlineStr">
        <is>
          <t>RAGUNDA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32748-2025</t>
        </is>
      </c>
      <c r="B955" s="1" t="n">
        <v>45839.42822916667</v>
      </c>
      <c r="C955" s="1" t="n">
        <v>45966</v>
      </c>
      <c r="D955" t="inlineStr">
        <is>
          <t>JÄMTLANDS LÄN</t>
        </is>
      </c>
      <c r="E955" t="inlineStr">
        <is>
          <t>RAGUNDA</t>
        </is>
      </c>
      <c r="F955" t="inlineStr">
        <is>
          <t>SCA</t>
        </is>
      </c>
      <c r="G955" t="n">
        <v>4.4</v>
      </c>
      <c r="H955" t="n">
        <v>0</v>
      </c>
      <c r="I955" t="n">
        <v>0</v>
      </c>
      <c r="J955" t="n">
        <v>0</v>
      </c>
      <c r="K955" t="n">
        <v>0</v>
      </c>
      <c r="L955" t="n">
        <v>0</v>
      </c>
      <c r="M955" t="n">
        <v>0</v>
      </c>
      <c r="N955" t="n">
        <v>0</v>
      </c>
      <c r="O955" t="n">
        <v>0</v>
      </c>
      <c r="P955" t="n">
        <v>0</v>
      </c>
      <c r="Q955" t="n">
        <v>0</v>
      </c>
      <c r="R955" s="2" t="inlineStr"/>
    </row>
    <row r="956" ht="15" customHeight="1">
      <c r="A956" t="inlineStr">
        <is>
          <t>A 182-2023</t>
        </is>
      </c>
      <c r="B956" s="1" t="n">
        <v>44922</v>
      </c>
      <c r="C956" s="1" t="n">
        <v>45966</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32762-2025</t>
        </is>
      </c>
      <c r="B957" s="1" t="n">
        <v>45838</v>
      </c>
      <c r="C957" s="1" t="n">
        <v>45966</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32660-2025</t>
        </is>
      </c>
      <c r="B958" s="1" t="n">
        <v>45838.67887731481</v>
      </c>
      <c r="C958" s="1" t="n">
        <v>45966</v>
      </c>
      <c r="D958" t="inlineStr">
        <is>
          <t>JÄMTLANDS LÄN</t>
        </is>
      </c>
      <c r="E958" t="inlineStr">
        <is>
          <t>RAGUNDA</t>
        </is>
      </c>
      <c r="F958" t="inlineStr">
        <is>
          <t>SCA</t>
        </is>
      </c>
      <c r="G958" t="n">
        <v>10.3</v>
      </c>
      <c r="H958" t="n">
        <v>0</v>
      </c>
      <c r="I958" t="n">
        <v>0</v>
      </c>
      <c r="J958" t="n">
        <v>0</v>
      </c>
      <c r="K958" t="n">
        <v>0</v>
      </c>
      <c r="L958" t="n">
        <v>0</v>
      </c>
      <c r="M958" t="n">
        <v>0</v>
      </c>
      <c r="N958" t="n">
        <v>0</v>
      </c>
      <c r="O958" t="n">
        <v>0</v>
      </c>
      <c r="P958" t="n">
        <v>0</v>
      </c>
      <c r="Q958" t="n">
        <v>0</v>
      </c>
      <c r="R958" s="2" t="inlineStr"/>
    </row>
    <row r="959" ht="15" customHeight="1">
      <c r="A959" t="inlineStr">
        <is>
          <t>A 32527-2025</t>
        </is>
      </c>
      <c r="B959" s="1" t="n">
        <v>45838.48996527777</v>
      </c>
      <c r="C959" s="1" t="n">
        <v>45966</v>
      </c>
      <c r="D959" t="inlineStr">
        <is>
          <t>JÄMTLANDS LÄN</t>
        </is>
      </c>
      <c r="E959" t="inlineStr">
        <is>
          <t>RAGUNDA</t>
        </is>
      </c>
      <c r="G959" t="n">
        <v>5</v>
      </c>
      <c r="H959" t="n">
        <v>0</v>
      </c>
      <c r="I959" t="n">
        <v>0</v>
      </c>
      <c r="J959" t="n">
        <v>0</v>
      </c>
      <c r="K959" t="n">
        <v>0</v>
      </c>
      <c r="L959" t="n">
        <v>0</v>
      </c>
      <c r="M959" t="n">
        <v>0</v>
      </c>
      <c r="N959" t="n">
        <v>0</v>
      </c>
      <c r="O959" t="n">
        <v>0</v>
      </c>
      <c r="P959" t="n">
        <v>0</v>
      </c>
      <c r="Q959" t="n">
        <v>0</v>
      </c>
      <c r="R959" s="2" t="inlineStr"/>
    </row>
    <row r="960" ht="15" customHeight="1">
      <c r="A960" t="inlineStr">
        <is>
          <t>A 6490-2022</t>
        </is>
      </c>
      <c r="B960" s="1" t="n">
        <v>44601</v>
      </c>
      <c r="C960" s="1" t="n">
        <v>45966</v>
      </c>
      <c r="D960" t="inlineStr">
        <is>
          <t>JÄMTLANDS LÄN</t>
        </is>
      </c>
      <c r="E960" t="inlineStr">
        <is>
          <t>RAGUNDA</t>
        </is>
      </c>
      <c r="G960" t="n">
        <v>3.8</v>
      </c>
      <c r="H960" t="n">
        <v>0</v>
      </c>
      <c r="I960" t="n">
        <v>0</v>
      </c>
      <c r="J960" t="n">
        <v>0</v>
      </c>
      <c r="K960" t="n">
        <v>0</v>
      </c>
      <c r="L960" t="n">
        <v>0</v>
      </c>
      <c r="M960" t="n">
        <v>0</v>
      </c>
      <c r="N960" t="n">
        <v>0</v>
      </c>
      <c r="O960" t="n">
        <v>0</v>
      </c>
      <c r="P960" t="n">
        <v>0</v>
      </c>
      <c r="Q960" t="n">
        <v>0</v>
      </c>
      <c r="R960" s="2" t="inlineStr"/>
    </row>
    <row r="961" ht="15" customHeight="1">
      <c r="A961" t="inlineStr">
        <is>
          <t>A 54599-2023</t>
        </is>
      </c>
      <c r="B961" s="1" t="n">
        <v>45233.92591435185</v>
      </c>
      <c r="C961" s="1" t="n">
        <v>45966</v>
      </c>
      <c r="D961" t="inlineStr">
        <is>
          <t>JÄMTLANDS LÄN</t>
        </is>
      </c>
      <c r="E961" t="inlineStr">
        <is>
          <t>RAGUNDA</t>
        </is>
      </c>
      <c r="G961" t="n">
        <v>3.7</v>
      </c>
      <c r="H961" t="n">
        <v>0</v>
      </c>
      <c r="I961" t="n">
        <v>0</v>
      </c>
      <c r="J961" t="n">
        <v>0</v>
      </c>
      <c r="K961" t="n">
        <v>0</v>
      </c>
      <c r="L961" t="n">
        <v>0</v>
      </c>
      <c r="M961" t="n">
        <v>0</v>
      </c>
      <c r="N961" t="n">
        <v>0</v>
      </c>
      <c r="O961" t="n">
        <v>0</v>
      </c>
      <c r="P961" t="n">
        <v>0</v>
      </c>
      <c r="Q961" t="n">
        <v>0</v>
      </c>
      <c r="R961" s="2" t="inlineStr"/>
    </row>
    <row r="962" ht="15" customHeight="1">
      <c r="A962" t="inlineStr">
        <is>
          <t>A 6802-2021</t>
        </is>
      </c>
      <c r="B962" s="1" t="n">
        <v>44236</v>
      </c>
      <c r="C962" s="1" t="n">
        <v>45966</v>
      </c>
      <c r="D962" t="inlineStr">
        <is>
          <t>JÄMTLANDS LÄN</t>
        </is>
      </c>
      <c r="E962" t="inlineStr">
        <is>
          <t>RAGUNDA</t>
        </is>
      </c>
      <c r="G962" t="n">
        <v>11.2</v>
      </c>
      <c r="H962" t="n">
        <v>0</v>
      </c>
      <c r="I962" t="n">
        <v>0</v>
      </c>
      <c r="J962" t="n">
        <v>0</v>
      </c>
      <c r="K962" t="n">
        <v>0</v>
      </c>
      <c r="L962" t="n">
        <v>0</v>
      </c>
      <c r="M962" t="n">
        <v>0</v>
      </c>
      <c r="N962" t="n">
        <v>0</v>
      </c>
      <c r="O962" t="n">
        <v>0</v>
      </c>
      <c r="P962" t="n">
        <v>0</v>
      </c>
      <c r="Q962" t="n">
        <v>0</v>
      </c>
      <c r="R962" s="2" t="inlineStr"/>
    </row>
    <row r="963" ht="15" customHeight="1">
      <c r="A963" t="inlineStr">
        <is>
          <t>A 6477-2024</t>
        </is>
      </c>
      <c r="B963" s="1" t="n">
        <v>45338.95405092592</v>
      </c>
      <c r="C963" s="1" t="n">
        <v>45966</v>
      </c>
      <c r="D963" t="inlineStr">
        <is>
          <t>JÄMTLANDS LÄN</t>
        </is>
      </c>
      <c r="E963" t="inlineStr">
        <is>
          <t>RAGUNDA</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33140-2025</t>
        </is>
      </c>
      <c r="B964" s="1" t="n">
        <v>45840.52225694444</v>
      </c>
      <c r="C964" s="1" t="n">
        <v>45966</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33556-2025</t>
        </is>
      </c>
      <c r="B965" s="1" t="n">
        <v>45841.57427083333</v>
      </c>
      <c r="C965" s="1" t="n">
        <v>45966</v>
      </c>
      <c r="D965" t="inlineStr">
        <is>
          <t>JÄMTLANDS LÄN</t>
        </is>
      </c>
      <c r="E965" t="inlineStr">
        <is>
          <t>RAGUNDA</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18193-2022</t>
        </is>
      </c>
      <c r="B966" s="1" t="n">
        <v>44684.94032407407</v>
      </c>
      <c r="C966" s="1" t="n">
        <v>45966</v>
      </c>
      <c r="D966" t="inlineStr">
        <is>
          <t>JÄMTLANDS LÄN</t>
        </is>
      </c>
      <c r="E966" t="inlineStr">
        <is>
          <t>RAGUNDA</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11551-2024</t>
        </is>
      </c>
      <c r="B967" s="1" t="n">
        <v>45372.95762731481</v>
      </c>
      <c r="C967" s="1" t="n">
        <v>45966</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49647-2024</t>
        </is>
      </c>
      <c r="B968" s="1" t="n">
        <v>45596.61533564814</v>
      </c>
      <c r="C968" s="1" t="n">
        <v>45966</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53264-2024</t>
        </is>
      </c>
      <c r="B969" s="1" t="n">
        <v>45614.34545138889</v>
      </c>
      <c r="C969" s="1" t="n">
        <v>45966</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13389-2025</t>
        </is>
      </c>
      <c r="B970" s="1" t="n">
        <v>45735.69842592593</v>
      </c>
      <c r="C970" s="1" t="n">
        <v>45966</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45631-2024</t>
        </is>
      </c>
      <c r="B971" s="1" t="n">
        <v>45579.47052083333</v>
      </c>
      <c r="C971" s="1" t="n">
        <v>45966</v>
      </c>
      <c r="D971" t="inlineStr">
        <is>
          <t>JÄMTLANDS LÄN</t>
        </is>
      </c>
      <c r="E971" t="inlineStr">
        <is>
          <t>RAGUNDA</t>
        </is>
      </c>
      <c r="G971" t="n">
        <v>15.1</v>
      </c>
      <c r="H971" t="n">
        <v>0</v>
      </c>
      <c r="I971" t="n">
        <v>0</v>
      </c>
      <c r="J971" t="n">
        <v>0</v>
      </c>
      <c r="K971" t="n">
        <v>0</v>
      </c>
      <c r="L971" t="n">
        <v>0</v>
      </c>
      <c r="M971" t="n">
        <v>0</v>
      </c>
      <c r="N971" t="n">
        <v>0</v>
      </c>
      <c r="O971" t="n">
        <v>0</v>
      </c>
      <c r="P971" t="n">
        <v>0</v>
      </c>
      <c r="Q971" t="n">
        <v>0</v>
      </c>
      <c r="R971" s="2" t="inlineStr"/>
    </row>
    <row r="972" ht="15" customHeight="1">
      <c r="A972" t="inlineStr">
        <is>
          <t>A 33790-2025</t>
        </is>
      </c>
      <c r="B972" s="1" t="n">
        <v>45842.42608796297</v>
      </c>
      <c r="C972" s="1" t="n">
        <v>45966</v>
      </c>
      <c r="D972" t="inlineStr">
        <is>
          <t>JÄMTLANDS LÄN</t>
        </is>
      </c>
      <c r="E972" t="inlineStr">
        <is>
          <t>RAGUNDA</t>
        </is>
      </c>
      <c r="G972" t="n">
        <v>0.3</v>
      </c>
      <c r="H972" t="n">
        <v>0</v>
      </c>
      <c r="I972" t="n">
        <v>0</v>
      </c>
      <c r="J972" t="n">
        <v>0</v>
      </c>
      <c r="K972" t="n">
        <v>0</v>
      </c>
      <c r="L972" t="n">
        <v>0</v>
      </c>
      <c r="M972" t="n">
        <v>0</v>
      </c>
      <c r="N972" t="n">
        <v>0</v>
      </c>
      <c r="O972" t="n">
        <v>0</v>
      </c>
      <c r="P972" t="n">
        <v>0</v>
      </c>
      <c r="Q972" t="n">
        <v>0</v>
      </c>
      <c r="R972" s="2" t="inlineStr"/>
    </row>
    <row r="973" ht="15" customHeight="1">
      <c r="A973" t="inlineStr">
        <is>
          <t>A 12660-2024</t>
        </is>
      </c>
      <c r="B973" s="1" t="n">
        <v>45384</v>
      </c>
      <c r="C973" s="1" t="n">
        <v>45966</v>
      </c>
      <c r="D973" t="inlineStr">
        <is>
          <t>JÄMTLANDS LÄN</t>
        </is>
      </c>
      <c r="E973" t="inlineStr">
        <is>
          <t>RAGUNDA</t>
        </is>
      </c>
      <c r="G973" t="n">
        <v>1.3</v>
      </c>
      <c r="H973" t="n">
        <v>0</v>
      </c>
      <c r="I973" t="n">
        <v>0</v>
      </c>
      <c r="J973" t="n">
        <v>0</v>
      </c>
      <c r="K973" t="n">
        <v>0</v>
      </c>
      <c r="L973" t="n">
        <v>0</v>
      </c>
      <c r="M973" t="n">
        <v>0</v>
      </c>
      <c r="N973" t="n">
        <v>0</v>
      </c>
      <c r="O973" t="n">
        <v>0</v>
      </c>
      <c r="P973" t="n">
        <v>0</v>
      </c>
      <c r="Q973" t="n">
        <v>0</v>
      </c>
      <c r="R973" s="2" t="inlineStr"/>
    </row>
    <row r="974" ht="15" customHeight="1">
      <c r="A974" t="inlineStr">
        <is>
          <t>A 34607-2025</t>
        </is>
      </c>
      <c r="B974" s="1" t="n">
        <v>45847.65703703704</v>
      </c>
      <c r="C974" s="1" t="n">
        <v>45966</v>
      </c>
      <c r="D974" t="inlineStr">
        <is>
          <t>JÄMTLANDS LÄN</t>
        </is>
      </c>
      <c r="E974" t="inlineStr">
        <is>
          <t>RAGUNDA</t>
        </is>
      </c>
      <c r="F974" t="inlineStr">
        <is>
          <t>SCA</t>
        </is>
      </c>
      <c r="G974" t="n">
        <v>31.4</v>
      </c>
      <c r="H974" t="n">
        <v>0</v>
      </c>
      <c r="I974" t="n">
        <v>0</v>
      </c>
      <c r="J974" t="n">
        <v>0</v>
      </c>
      <c r="K974" t="n">
        <v>0</v>
      </c>
      <c r="L974" t="n">
        <v>0</v>
      </c>
      <c r="M974" t="n">
        <v>0</v>
      </c>
      <c r="N974" t="n">
        <v>0</v>
      </c>
      <c r="O974" t="n">
        <v>0</v>
      </c>
      <c r="P974" t="n">
        <v>0</v>
      </c>
      <c r="Q974" t="n">
        <v>0</v>
      </c>
      <c r="R974" s="2" t="inlineStr"/>
    </row>
    <row r="975" ht="15" customHeight="1">
      <c r="A975" t="inlineStr">
        <is>
          <t>A 34461-2025</t>
        </is>
      </c>
      <c r="B975" s="1" t="n">
        <v>45847.34474537037</v>
      </c>
      <c r="C975" s="1" t="n">
        <v>45966</v>
      </c>
      <c r="D975" t="inlineStr">
        <is>
          <t>JÄMTLANDS LÄN</t>
        </is>
      </c>
      <c r="E975" t="inlineStr">
        <is>
          <t>RAGUNDA</t>
        </is>
      </c>
      <c r="F975" t="inlineStr">
        <is>
          <t>SCA</t>
        </is>
      </c>
      <c r="G975" t="n">
        <v>44.8</v>
      </c>
      <c r="H975" t="n">
        <v>0</v>
      </c>
      <c r="I975" t="n">
        <v>0</v>
      </c>
      <c r="J975" t="n">
        <v>0</v>
      </c>
      <c r="K975" t="n">
        <v>0</v>
      </c>
      <c r="L975" t="n">
        <v>0</v>
      </c>
      <c r="M975" t="n">
        <v>0</v>
      </c>
      <c r="N975" t="n">
        <v>0</v>
      </c>
      <c r="O975" t="n">
        <v>0</v>
      </c>
      <c r="P975" t="n">
        <v>0</v>
      </c>
      <c r="Q975" t="n">
        <v>0</v>
      </c>
      <c r="R975" s="2" t="inlineStr"/>
    </row>
    <row r="976" ht="15" customHeight="1">
      <c r="A976" t="inlineStr">
        <is>
          <t>A 34464-2025</t>
        </is>
      </c>
      <c r="B976" s="1" t="n">
        <v>45847.34528935186</v>
      </c>
      <c r="C976" s="1" t="n">
        <v>45966</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34468-2025</t>
        </is>
      </c>
      <c r="B977" s="1" t="n">
        <v>45847.34597222223</v>
      </c>
      <c r="C977" s="1" t="n">
        <v>45966</v>
      </c>
      <c r="D977" t="inlineStr">
        <is>
          <t>JÄMTLANDS LÄN</t>
        </is>
      </c>
      <c r="E977" t="inlineStr">
        <is>
          <t>RAGUNDA</t>
        </is>
      </c>
      <c r="F977" t="inlineStr">
        <is>
          <t>SCA</t>
        </is>
      </c>
      <c r="G977" t="n">
        <v>10</v>
      </c>
      <c r="H977" t="n">
        <v>0</v>
      </c>
      <c r="I977" t="n">
        <v>0</v>
      </c>
      <c r="J977" t="n">
        <v>0</v>
      </c>
      <c r="K977" t="n">
        <v>0</v>
      </c>
      <c r="L977" t="n">
        <v>0</v>
      </c>
      <c r="M977" t="n">
        <v>0</v>
      </c>
      <c r="N977" t="n">
        <v>0</v>
      </c>
      <c r="O977" t="n">
        <v>0</v>
      </c>
      <c r="P977" t="n">
        <v>0</v>
      </c>
      <c r="Q977" t="n">
        <v>0</v>
      </c>
      <c r="R977" s="2" t="inlineStr"/>
    </row>
    <row r="978" ht="15" customHeight="1">
      <c r="A978" t="inlineStr">
        <is>
          <t>A 34466-2025</t>
        </is>
      </c>
      <c r="B978" s="1" t="n">
        <v>45847.34565972222</v>
      </c>
      <c r="C978" s="1" t="n">
        <v>45966</v>
      </c>
      <c r="D978" t="inlineStr">
        <is>
          <t>JÄMTLANDS LÄN</t>
        </is>
      </c>
      <c r="E978" t="inlineStr">
        <is>
          <t>RAGUNDA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34463-2025</t>
        </is>
      </c>
      <c r="B979" s="1" t="n">
        <v>45847.34515046296</v>
      </c>
      <c r="C979" s="1" t="n">
        <v>45966</v>
      </c>
      <c r="D979" t="inlineStr">
        <is>
          <t>JÄMTLANDS LÄN</t>
        </is>
      </c>
      <c r="E979" t="inlineStr">
        <is>
          <t>RAGUNDA</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55701-2021</t>
        </is>
      </c>
      <c r="B980" s="1" t="n">
        <v>44475</v>
      </c>
      <c r="C980" s="1" t="n">
        <v>45966</v>
      </c>
      <c r="D980" t="inlineStr">
        <is>
          <t>JÄMTLANDS LÄN</t>
        </is>
      </c>
      <c r="E980" t="inlineStr">
        <is>
          <t>RAGUNDA</t>
        </is>
      </c>
      <c r="G980" t="n">
        <v>5.6</v>
      </c>
      <c r="H980" t="n">
        <v>0</v>
      </c>
      <c r="I980" t="n">
        <v>0</v>
      </c>
      <c r="J980" t="n">
        <v>0</v>
      </c>
      <c r="K980" t="n">
        <v>0</v>
      </c>
      <c r="L980" t="n">
        <v>0</v>
      </c>
      <c r="M980" t="n">
        <v>0</v>
      </c>
      <c r="N980" t="n">
        <v>0</v>
      </c>
      <c r="O980" t="n">
        <v>0</v>
      </c>
      <c r="P980" t="n">
        <v>0</v>
      </c>
      <c r="Q980" t="n">
        <v>0</v>
      </c>
      <c r="R980" s="2" t="inlineStr"/>
    </row>
    <row r="981" ht="15" customHeight="1">
      <c r="A981" t="inlineStr">
        <is>
          <t>A 34586-2025</t>
        </is>
      </c>
      <c r="B981" s="1" t="n">
        <v>45847.61513888889</v>
      </c>
      <c r="C981" s="1" t="n">
        <v>45966</v>
      </c>
      <c r="D981" t="inlineStr">
        <is>
          <t>JÄMTLANDS LÄN</t>
        </is>
      </c>
      <c r="E981" t="inlineStr">
        <is>
          <t>RAGUNDA</t>
        </is>
      </c>
      <c r="G981" t="n">
        <v>1.6</v>
      </c>
      <c r="H981" t="n">
        <v>0</v>
      </c>
      <c r="I981" t="n">
        <v>0</v>
      </c>
      <c r="J981" t="n">
        <v>0</v>
      </c>
      <c r="K981" t="n">
        <v>0</v>
      </c>
      <c r="L981" t="n">
        <v>0</v>
      </c>
      <c r="M981" t="n">
        <v>0</v>
      </c>
      <c r="N981" t="n">
        <v>0</v>
      </c>
      <c r="O981" t="n">
        <v>0</v>
      </c>
      <c r="P981" t="n">
        <v>0</v>
      </c>
      <c r="Q981" t="n">
        <v>0</v>
      </c>
      <c r="R981" s="2" t="inlineStr"/>
    </row>
    <row r="982" ht="15" customHeight="1">
      <c r="A982" t="inlineStr">
        <is>
          <t>A 34588-2025</t>
        </is>
      </c>
      <c r="B982" s="1" t="n">
        <v>45847.61548611111</v>
      </c>
      <c r="C982" s="1" t="n">
        <v>45966</v>
      </c>
      <c r="D982" t="inlineStr">
        <is>
          <t>JÄMTLANDS LÄN</t>
        </is>
      </c>
      <c r="E982" t="inlineStr">
        <is>
          <t>RAGUNDA</t>
        </is>
      </c>
      <c r="G982" t="n">
        <v>32.3</v>
      </c>
      <c r="H982" t="n">
        <v>0</v>
      </c>
      <c r="I982" t="n">
        <v>0</v>
      </c>
      <c r="J982" t="n">
        <v>0</v>
      </c>
      <c r="K982" t="n">
        <v>0</v>
      </c>
      <c r="L982" t="n">
        <v>0</v>
      </c>
      <c r="M982" t="n">
        <v>0</v>
      </c>
      <c r="N982" t="n">
        <v>0</v>
      </c>
      <c r="O982" t="n">
        <v>0</v>
      </c>
      <c r="P982" t="n">
        <v>0</v>
      </c>
      <c r="Q982" t="n">
        <v>0</v>
      </c>
      <c r="R982" s="2" t="inlineStr"/>
    </row>
    <row r="983" ht="15" customHeight="1">
      <c r="A983" t="inlineStr">
        <is>
          <t>A 34296-2025</t>
        </is>
      </c>
      <c r="B983" s="1" t="n">
        <v>45846.34454861111</v>
      </c>
      <c r="C983" s="1" t="n">
        <v>45966</v>
      </c>
      <c r="D983" t="inlineStr">
        <is>
          <t>JÄMTLANDS LÄN</t>
        </is>
      </c>
      <c r="E983" t="inlineStr">
        <is>
          <t>RAGUNDA</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55649-2023</t>
        </is>
      </c>
      <c r="B984" s="1" t="n">
        <v>45238</v>
      </c>
      <c r="C984" s="1" t="n">
        <v>45966</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34709-2025</t>
        </is>
      </c>
      <c r="B985" s="1" t="n">
        <v>45848.49761574074</v>
      </c>
      <c r="C985" s="1" t="n">
        <v>45966</v>
      </c>
      <c r="D985" t="inlineStr">
        <is>
          <t>JÄMTLANDS LÄN</t>
        </is>
      </c>
      <c r="E985" t="inlineStr">
        <is>
          <t>RAGUNDA</t>
        </is>
      </c>
      <c r="G985" t="n">
        <v>3.1</v>
      </c>
      <c r="H985" t="n">
        <v>0</v>
      </c>
      <c r="I985" t="n">
        <v>0</v>
      </c>
      <c r="J985" t="n">
        <v>0</v>
      </c>
      <c r="K985" t="n">
        <v>0</v>
      </c>
      <c r="L985" t="n">
        <v>0</v>
      </c>
      <c r="M985" t="n">
        <v>0</v>
      </c>
      <c r="N985" t="n">
        <v>0</v>
      </c>
      <c r="O985" t="n">
        <v>0</v>
      </c>
      <c r="P985" t="n">
        <v>0</v>
      </c>
      <c r="Q985" t="n">
        <v>0</v>
      </c>
      <c r="R985" s="2" t="inlineStr"/>
    </row>
    <row r="986" ht="15" customHeight="1">
      <c r="A986" t="inlineStr">
        <is>
          <t>A 34772-2025</t>
        </is>
      </c>
      <c r="B986" s="1" t="n">
        <v>45848.65658564815</v>
      </c>
      <c r="C986" s="1" t="n">
        <v>45966</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34710-2025</t>
        </is>
      </c>
      <c r="B987" s="1" t="n">
        <v>45848.49774305556</v>
      </c>
      <c r="C987" s="1" t="n">
        <v>45966</v>
      </c>
      <c r="D987" t="inlineStr">
        <is>
          <t>JÄMTLANDS LÄN</t>
        </is>
      </c>
      <c r="E987" t="inlineStr">
        <is>
          <t>RAGUNDA</t>
        </is>
      </c>
      <c r="G987" t="n">
        <v>4.1</v>
      </c>
      <c r="H987" t="n">
        <v>0</v>
      </c>
      <c r="I987" t="n">
        <v>0</v>
      </c>
      <c r="J987" t="n">
        <v>0</v>
      </c>
      <c r="K987" t="n">
        <v>0</v>
      </c>
      <c r="L987" t="n">
        <v>0</v>
      </c>
      <c r="M987" t="n">
        <v>0</v>
      </c>
      <c r="N987" t="n">
        <v>0</v>
      </c>
      <c r="O987" t="n">
        <v>0</v>
      </c>
      <c r="P987" t="n">
        <v>0</v>
      </c>
      <c r="Q987" t="n">
        <v>0</v>
      </c>
      <c r="R987" s="2" t="inlineStr"/>
    </row>
    <row r="988" ht="15" customHeight="1">
      <c r="A988" t="inlineStr">
        <is>
          <t>A 30484-2024</t>
        </is>
      </c>
      <c r="B988" s="1" t="n">
        <v>45491</v>
      </c>
      <c r="C988" s="1" t="n">
        <v>45966</v>
      </c>
      <c r="D988" t="inlineStr">
        <is>
          <t>JÄMTLANDS LÄN</t>
        </is>
      </c>
      <c r="E988" t="inlineStr">
        <is>
          <t>RAGUNDA</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34968-2025</t>
        </is>
      </c>
      <c r="B989" s="1" t="n">
        <v>45849.65663194445</v>
      </c>
      <c r="C989" s="1" t="n">
        <v>45966</v>
      </c>
      <c r="D989" t="inlineStr">
        <is>
          <t>JÄMTLANDS LÄN</t>
        </is>
      </c>
      <c r="E989" t="inlineStr">
        <is>
          <t>RAGUNDA</t>
        </is>
      </c>
      <c r="F989" t="inlineStr">
        <is>
          <t>SCA</t>
        </is>
      </c>
      <c r="G989" t="n">
        <v>20.2</v>
      </c>
      <c r="H989" t="n">
        <v>0</v>
      </c>
      <c r="I989" t="n">
        <v>0</v>
      </c>
      <c r="J989" t="n">
        <v>0</v>
      </c>
      <c r="K989" t="n">
        <v>0</v>
      </c>
      <c r="L989" t="n">
        <v>0</v>
      </c>
      <c r="M989" t="n">
        <v>0</v>
      </c>
      <c r="N989" t="n">
        <v>0</v>
      </c>
      <c r="O989" t="n">
        <v>0</v>
      </c>
      <c r="P989" t="n">
        <v>0</v>
      </c>
      <c r="Q989" t="n">
        <v>0</v>
      </c>
      <c r="R989" s="2" t="inlineStr"/>
    </row>
    <row r="990" ht="15" customHeight="1">
      <c r="A990" t="inlineStr">
        <is>
          <t>A 34998-2025</t>
        </is>
      </c>
      <c r="B990" s="1" t="n">
        <v>45850.34434027778</v>
      </c>
      <c r="C990" s="1" t="n">
        <v>45966</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34999-2025</t>
        </is>
      </c>
      <c r="B991" s="1" t="n">
        <v>45850.34450231482</v>
      </c>
      <c r="C991" s="1" t="n">
        <v>45966</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35092-2025</t>
        </is>
      </c>
      <c r="B992" s="1" t="n">
        <v>45852.53185185185</v>
      </c>
      <c r="C992" s="1" t="n">
        <v>45966</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35091-2025</t>
        </is>
      </c>
      <c r="B993" s="1" t="n">
        <v>45852.53168981482</v>
      </c>
      <c r="C993" s="1" t="n">
        <v>45966</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14513-2025</t>
        </is>
      </c>
      <c r="B994" s="1" t="n">
        <v>45741.63675925926</v>
      </c>
      <c r="C994" s="1" t="n">
        <v>45966</v>
      </c>
      <c r="D994" t="inlineStr">
        <is>
          <t>JÄMTLANDS LÄN</t>
        </is>
      </c>
      <c r="E994" t="inlineStr">
        <is>
          <t>RAGUNDA</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35462-2025</t>
        </is>
      </c>
      <c r="B995" s="1" t="n">
        <v>45855.61523148148</v>
      </c>
      <c r="C995" s="1" t="n">
        <v>45966</v>
      </c>
      <c r="D995" t="inlineStr">
        <is>
          <t>JÄMTLANDS LÄN</t>
        </is>
      </c>
      <c r="E995" t="inlineStr">
        <is>
          <t>RAGUNDA</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35355-2025</t>
        </is>
      </c>
      <c r="B996" s="1" t="n">
        <v>45854.65663194445</v>
      </c>
      <c r="C996" s="1" t="n">
        <v>45966</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55904-2022</t>
        </is>
      </c>
      <c r="B997" s="1" t="n">
        <v>44888</v>
      </c>
      <c r="C997" s="1" t="n">
        <v>45966</v>
      </c>
      <c r="D997" t="inlineStr">
        <is>
          <t>JÄMTLANDS LÄN</t>
        </is>
      </c>
      <c r="E997" t="inlineStr">
        <is>
          <t>RAGUNDA</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35477-2025</t>
        </is>
      </c>
      <c r="B998" s="1" t="n">
        <v>45855.67899305555</v>
      </c>
      <c r="C998" s="1" t="n">
        <v>45966</v>
      </c>
      <c r="D998" t="inlineStr">
        <is>
          <t>JÄMTLANDS LÄN</t>
        </is>
      </c>
      <c r="E998" t="inlineStr">
        <is>
          <t>RAGUNDA</t>
        </is>
      </c>
      <c r="G998" t="n">
        <v>3.6</v>
      </c>
      <c r="H998" t="n">
        <v>0</v>
      </c>
      <c r="I998" t="n">
        <v>0</v>
      </c>
      <c r="J998" t="n">
        <v>0</v>
      </c>
      <c r="K998" t="n">
        <v>0</v>
      </c>
      <c r="L998" t="n">
        <v>0</v>
      </c>
      <c r="M998" t="n">
        <v>0</v>
      </c>
      <c r="N998" t="n">
        <v>0</v>
      </c>
      <c r="O998" t="n">
        <v>0</v>
      </c>
      <c r="P998" t="n">
        <v>0</v>
      </c>
      <c r="Q998" t="n">
        <v>0</v>
      </c>
      <c r="R998" s="2" t="inlineStr"/>
    </row>
    <row r="999" ht="15" customHeight="1">
      <c r="A999" t="inlineStr">
        <is>
          <t>A 7281-2025</t>
        </is>
      </c>
      <c r="B999" s="1" t="n">
        <v>45702.63572916666</v>
      </c>
      <c r="C999" s="1" t="n">
        <v>45966</v>
      </c>
      <c r="D999" t="inlineStr">
        <is>
          <t>JÄMTLANDS LÄN</t>
        </is>
      </c>
      <c r="E999" t="inlineStr">
        <is>
          <t>RAGUNDA</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48192-2024</t>
        </is>
      </c>
      <c r="B1000" s="1" t="n">
        <v>45590</v>
      </c>
      <c r="C1000" s="1" t="n">
        <v>45966</v>
      </c>
      <c r="D1000" t="inlineStr">
        <is>
          <t>JÄMTLANDS LÄN</t>
        </is>
      </c>
      <c r="E1000" t="inlineStr">
        <is>
          <t>RAGUNDA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35541-2025</t>
        </is>
      </c>
      <c r="B1001" s="1" t="n">
        <v>45856.46931712963</v>
      </c>
      <c r="C1001" s="1" t="n">
        <v>45966</v>
      </c>
      <c r="D1001" t="inlineStr">
        <is>
          <t>JÄMTLANDS LÄN</t>
        </is>
      </c>
      <c r="E1001" t="inlineStr">
        <is>
          <t>RAGUNDA</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2599-2023</t>
        </is>
      </c>
      <c r="B1002" s="1" t="n">
        <v>44943.94802083333</v>
      </c>
      <c r="C1002" s="1" t="n">
        <v>45966</v>
      </c>
      <c r="D1002" t="inlineStr">
        <is>
          <t>JÄMTLANDS LÄN</t>
        </is>
      </c>
      <c r="E1002" t="inlineStr">
        <is>
          <t>RAGUNDA</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35658-2025</t>
        </is>
      </c>
      <c r="B1003" s="1" t="n">
        <v>45859.594375</v>
      </c>
      <c r="C1003" s="1" t="n">
        <v>45966</v>
      </c>
      <c r="D1003" t="inlineStr">
        <is>
          <t>JÄMTLANDS LÄN</t>
        </is>
      </c>
      <c r="E1003" t="inlineStr">
        <is>
          <t>RAGUNDA</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48249-2024</t>
        </is>
      </c>
      <c r="B1004" s="1" t="n">
        <v>45590.40675925926</v>
      </c>
      <c r="C1004" s="1" t="n">
        <v>45966</v>
      </c>
      <c r="D1004" t="inlineStr">
        <is>
          <t>JÄMTLANDS LÄN</t>
        </is>
      </c>
      <c r="E1004" t="inlineStr">
        <is>
          <t>RAGUNDA</t>
        </is>
      </c>
      <c r="F1004" t="inlineStr">
        <is>
          <t>SCA</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64265-2023</t>
        </is>
      </c>
      <c r="B1005" s="1" t="n">
        <v>45279.94572916667</v>
      </c>
      <c r="C1005" s="1" t="n">
        <v>45966</v>
      </c>
      <c r="D1005" t="inlineStr">
        <is>
          <t>JÄMTLANDS LÄN</t>
        </is>
      </c>
      <c r="E1005" t="inlineStr">
        <is>
          <t>RAGUNDA</t>
        </is>
      </c>
      <c r="F1005" t="inlineStr">
        <is>
          <t>SCA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35689-2025</t>
        </is>
      </c>
      <c r="B1006" s="1" t="n">
        <v>45860.30229166667</v>
      </c>
      <c r="C1006" s="1" t="n">
        <v>45966</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66706-2021</t>
        </is>
      </c>
      <c r="B1007" s="1" t="n">
        <v>44519.94440972222</v>
      </c>
      <c r="C1007" s="1" t="n">
        <v>45966</v>
      </c>
      <c r="D1007" t="inlineStr">
        <is>
          <t>JÄMTLANDS LÄN</t>
        </is>
      </c>
      <c r="E1007" t="inlineStr">
        <is>
          <t>RAGUNDA</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21401-2024</t>
        </is>
      </c>
      <c r="B1008" s="1" t="n">
        <v>45441.33313657407</v>
      </c>
      <c r="C1008" s="1" t="n">
        <v>45966</v>
      </c>
      <c r="D1008" t="inlineStr">
        <is>
          <t>JÄMTLANDS LÄN</t>
        </is>
      </c>
      <c r="E1008" t="inlineStr">
        <is>
          <t>RAGUNDA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12521-2023</t>
        </is>
      </c>
      <c r="B1009" s="1" t="n">
        <v>45000</v>
      </c>
      <c r="C1009" s="1" t="n">
        <v>45966</v>
      </c>
      <c r="D1009" t="inlineStr">
        <is>
          <t>JÄMTLANDS LÄN</t>
        </is>
      </c>
      <c r="E1009" t="inlineStr">
        <is>
          <t>RAGUNDA</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54092-2024</t>
        </is>
      </c>
      <c r="B1010" s="1" t="n">
        <v>45616.5108912037</v>
      </c>
      <c r="C1010" s="1" t="n">
        <v>45966</v>
      </c>
      <c r="D1010" t="inlineStr">
        <is>
          <t>JÄMTLANDS LÄN</t>
        </is>
      </c>
      <c r="E1010" t="inlineStr">
        <is>
          <t>RAGUNDA</t>
        </is>
      </c>
      <c r="F1010" t="inlineStr">
        <is>
          <t>Naturvårdsverket</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55222-2024</t>
        </is>
      </c>
      <c r="B1011" s="1" t="n">
        <v>45621.57395833333</v>
      </c>
      <c r="C1011" s="1" t="n">
        <v>45966</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46211-2024</t>
        </is>
      </c>
      <c r="B1012" s="1" t="n">
        <v>45581.55260416667</v>
      </c>
      <c r="C1012" s="1" t="n">
        <v>45966</v>
      </c>
      <c r="D1012" t="inlineStr">
        <is>
          <t>JÄMTLANDS LÄN</t>
        </is>
      </c>
      <c r="E1012" t="inlineStr">
        <is>
          <t>RAGUNDA</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31435-2022</t>
        </is>
      </c>
      <c r="B1013" s="1" t="n">
        <v>44774</v>
      </c>
      <c r="C1013" s="1" t="n">
        <v>45966</v>
      </c>
      <c r="D1013" t="inlineStr">
        <is>
          <t>JÄMTLANDS LÄN</t>
        </is>
      </c>
      <c r="E1013" t="inlineStr">
        <is>
          <t>RAGUNDA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39608-2024</t>
        </is>
      </c>
      <c r="B1014" s="1" t="n">
        <v>45552.39113425926</v>
      </c>
      <c r="C1014" s="1" t="n">
        <v>45966</v>
      </c>
      <c r="D1014" t="inlineStr">
        <is>
          <t>JÄMTLANDS LÄN</t>
        </is>
      </c>
      <c r="E1014" t="inlineStr">
        <is>
          <t>RAGUNDA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39626-2024</t>
        </is>
      </c>
      <c r="B1015" s="1" t="n">
        <v>45552.44096064815</v>
      </c>
      <c r="C1015" s="1" t="n">
        <v>45966</v>
      </c>
      <c r="D1015" t="inlineStr">
        <is>
          <t>JÄMTLANDS LÄN</t>
        </is>
      </c>
      <c r="E1015" t="inlineStr">
        <is>
          <t>RAGUNDA</t>
        </is>
      </c>
      <c r="G1015" t="n">
        <v>23.5</v>
      </c>
      <c r="H1015" t="n">
        <v>0</v>
      </c>
      <c r="I1015" t="n">
        <v>0</v>
      </c>
      <c r="J1015" t="n">
        <v>0</v>
      </c>
      <c r="K1015" t="n">
        <v>0</v>
      </c>
      <c r="L1015" t="n">
        <v>0</v>
      </c>
      <c r="M1015" t="n">
        <v>0</v>
      </c>
      <c r="N1015" t="n">
        <v>0</v>
      </c>
      <c r="O1015" t="n">
        <v>0</v>
      </c>
      <c r="P1015" t="n">
        <v>0</v>
      </c>
      <c r="Q1015" t="n">
        <v>0</v>
      </c>
      <c r="R1015" s="2" t="inlineStr"/>
    </row>
    <row r="1016" ht="15" customHeight="1">
      <c r="A1016" t="inlineStr">
        <is>
          <t>A 56984-2022</t>
        </is>
      </c>
      <c r="B1016" s="1" t="n">
        <v>44894.79018518519</v>
      </c>
      <c r="C1016" s="1" t="n">
        <v>45966</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36541-2025</t>
        </is>
      </c>
      <c r="B1017" s="1" t="n">
        <v>45869.65666666667</v>
      </c>
      <c r="C1017" s="1" t="n">
        <v>45966</v>
      </c>
      <c r="D1017" t="inlineStr">
        <is>
          <t>JÄMTLANDS LÄN</t>
        </is>
      </c>
      <c r="E1017" t="inlineStr">
        <is>
          <t>RAGUNDA</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36544-2025</t>
        </is>
      </c>
      <c r="B1018" s="1" t="n">
        <v>45869.67744212963</v>
      </c>
      <c r="C1018" s="1" t="n">
        <v>45966</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36553-2025</t>
        </is>
      </c>
      <c r="B1019" s="1" t="n">
        <v>45870.34439814815</v>
      </c>
      <c r="C1019" s="1" t="n">
        <v>45966</v>
      </c>
      <c r="D1019" t="inlineStr">
        <is>
          <t>JÄMTLANDS LÄN</t>
        </is>
      </c>
      <c r="E1019" t="inlineStr">
        <is>
          <t>RAGUNDA</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13264-2025</t>
        </is>
      </c>
      <c r="B1020" s="1" t="n">
        <v>45735</v>
      </c>
      <c r="C1020" s="1" t="n">
        <v>45966</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29319-2023</t>
        </is>
      </c>
      <c r="B1021" s="1" t="n">
        <v>45105</v>
      </c>
      <c r="C1021" s="1" t="n">
        <v>45966</v>
      </c>
      <c r="D1021" t="inlineStr">
        <is>
          <t>JÄMTLANDS LÄN</t>
        </is>
      </c>
      <c r="E1021" t="inlineStr">
        <is>
          <t>RAGUNDA</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18612-2024</t>
        </is>
      </c>
      <c r="B1022" s="1" t="n">
        <v>45425.96239583333</v>
      </c>
      <c r="C1022" s="1" t="n">
        <v>45966</v>
      </c>
      <c r="D1022" t="inlineStr">
        <is>
          <t>JÄMTLANDS LÄN</t>
        </is>
      </c>
      <c r="E1022" t="inlineStr">
        <is>
          <t>RAGUNDA</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5307-2025</t>
        </is>
      </c>
      <c r="B1023" s="1" t="n">
        <v>45692.48993055556</v>
      </c>
      <c r="C1023" s="1" t="n">
        <v>45966</v>
      </c>
      <c r="D1023" t="inlineStr">
        <is>
          <t>JÄMTLANDS LÄN</t>
        </is>
      </c>
      <c r="E1023" t="inlineStr">
        <is>
          <t>RAGUNDA</t>
        </is>
      </c>
      <c r="F1023" t="inlineStr">
        <is>
          <t>SCA</t>
        </is>
      </c>
      <c r="G1023" t="n">
        <v>20.9</v>
      </c>
      <c r="H1023" t="n">
        <v>0</v>
      </c>
      <c r="I1023" t="n">
        <v>0</v>
      </c>
      <c r="J1023" t="n">
        <v>0</v>
      </c>
      <c r="K1023" t="n">
        <v>0</v>
      </c>
      <c r="L1023" t="n">
        <v>0</v>
      </c>
      <c r="M1023" t="n">
        <v>0</v>
      </c>
      <c r="N1023" t="n">
        <v>0</v>
      </c>
      <c r="O1023" t="n">
        <v>0</v>
      </c>
      <c r="P1023" t="n">
        <v>0</v>
      </c>
      <c r="Q1023" t="n">
        <v>0</v>
      </c>
      <c r="R1023" s="2" t="inlineStr"/>
    </row>
    <row r="1024" ht="15" customHeight="1">
      <c r="A1024" t="inlineStr">
        <is>
          <t>A 464-2023</t>
        </is>
      </c>
      <c r="B1024" s="1" t="n">
        <v>44929.92489583333</v>
      </c>
      <c r="C1024" s="1" t="n">
        <v>45966</v>
      </c>
      <c r="D1024" t="inlineStr">
        <is>
          <t>JÄMTLANDS LÄN</t>
        </is>
      </c>
      <c r="E1024" t="inlineStr">
        <is>
          <t>RAGUNDA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38548-2024</t>
        </is>
      </c>
      <c r="B1025" s="1" t="n">
        <v>45546</v>
      </c>
      <c r="C1025" s="1" t="n">
        <v>45966</v>
      </c>
      <c r="D1025" t="inlineStr">
        <is>
          <t>JÄMTLANDS LÄN</t>
        </is>
      </c>
      <c r="E1025" t="inlineStr">
        <is>
          <t>RAGUNDA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53769-2023</t>
        </is>
      </c>
      <c r="B1026" s="1" t="n">
        <v>45230</v>
      </c>
      <c r="C1026" s="1" t="n">
        <v>45966</v>
      </c>
      <c r="D1026" t="inlineStr">
        <is>
          <t>JÄMTLANDS LÄN</t>
        </is>
      </c>
      <c r="E1026" t="inlineStr">
        <is>
          <t>RAGUNDA</t>
        </is>
      </c>
      <c r="F1026" t="inlineStr">
        <is>
          <t>SCA</t>
        </is>
      </c>
      <c r="G1026" t="n">
        <v>11.6</v>
      </c>
      <c r="H1026" t="n">
        <v>0</v>
      </c>
      <c r="I1026" t="n">
        <v>0</v>
      </c>
      <c r="J1026" t="n">
        <v>0</v>
      </c>
      <c r="K1026" t="n">
        <v>0</v>
      </c>
      <c r="L1026" t="n">
        <v>0</v>
      </c>
      <c r="M1026" t="n">
        <v>0</v>
      </c>
      <c r="N1026" t="n">
        <v>0</v>
      </c>
      <c r="O1026" t="n">
        <v>0</v>
      </c>
      <c r="P1026" t="n">
        <v>0</v>
      </c>
      <c r="Q1026" t="n">
        <v>0</v>
      </c>
      <c r="R1026" s="2" t="inlineStr"/>
    </row>
    <row r="1027" ht="15" customHeight="1">
      <c r="A1027" t="inlineStr">
        <is>
          <t>A 2411-2023</t>
        </is>
      </c>
      <c r="B1027" s="1" t="n">
        <v>44942</v>
      </c>
      <c r="C1027" s="1" t="n">
        <v>45966</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52228-2024</t>
        </is>
      </c>
      <c r="B1028" s="1" t="n">
        <v>45608.6078587963</v>
      </c>
      <c r="C1028" s="1" t="n">
        <v>45966</v>
      </c>
      <c r="D1028" t="inlineStr">
        <is>
          <t>JÄMTLANDS LÄN</t>
        </is>
      </c>
      <c r="E1028" t="inlineStr">
        <is>
          <t>RAGUNDA</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13935-2024</t>
        </is>
      </c>
      <c r="B1029" s="1" t="n">
        <v>45391.95329861111</v>
      </c>
      <c r="C1029" s="1" t="n">
        <v>45966</v>
      </c>
      <c r="D1029" t="inlineStr">
        <is>
          <t>JÄMTLANDS LÄN</t>
        </is>
      </c>
      <c r="E1029" t="inlineStr">
        <is>
          <t>RAGUNDA</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5308-2025</t>
        </is>
      </c>
      <c r="B1030" s="1" t="n">
        <v>45692.49008101852</v>
      </c>
      <c r="C1030" s="1" t="n">
        <v>45966</v>
      </c>
      <c r="D1030" t="inlineStr">
        <is>
          <t>JÄMTLANDS LÄN</t>
        </is>
      </c>
      <c r="E1030" t="inlineStr">
        <is>
          <t>RAGUNDA</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58194-2022</t>
        </is>
      </c>
      <c r="B1031" s="1" t="n">
        <v>44900</v>
      </c>
      <c r="C1031" s="1" t="n">
        <v>45966</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2242-2024</t>
        </is>
      </c>
      <c r="B1032" s="1" t="n">
        <v>45309</v>
      </c>
      <c r="C1032" s="1" t="n">
        <v>45966</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2248-2024</t>
        </is>
      </c>
      <c r="B1033" s="1" t="n">
        <v>45309</v>
      </c>
      <c r="C1033" s="1" t="n">
        <v>45966</v>
      </c>
      <c r="D1033" t="inlineStr">
        <is>
          <t>JÄMTLANDS LÄN</t>
        </is>
      </c>
      <c r="E1033" t="inlineStr">
        <is>
          <t>RAGUNDA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24171-2021</t>
        </is>
      </c>
      <c r="B1034" s="1" t="n">
        <v>44336</v>
      </c>
      <c r="C1034" s="1" t="n">
        <v>45966</v>
      </c>
      <c r="D1034" t="inlineStr">
        <is>
          <t>JÄMTLANDS LÄN</t>
        </is>
      </c>
      <c r="E1034" t="inlineStr">
        <is>
          <t>RAGUNDA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58843-2024</t>
        </is>
      </c>
      <c r="B1035" s="1" t="n">
        <v>45636.38599537037</v>
      </c>
      <c r="C1035" s="1" t="n">
        <v>45966</v>
      </c>
      <c r="D1035" t="inlineStr">
        <is>
          <t>JÄMTLANDS LÄN</t>
        </is>
      </c>
      <c r="E1035" t="inlineStr">
        <is>
          <t>RAGUNDA</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32075-2025</t>
        </is>
      </c>
      <c r="B1036" s="1" t="n">
        <v>45835.4506712963</v>
      </c>
      <c r="C1036" s="1" t="n">
        <v>45966</v>
      </c>
      <c r="D1036" t="inlineStr">
        <is>
          <t>JÄMTLANDS LÄN</t>
        </is>
      </c>
      <c r="E1036" t="inlineStr">
        <is>
          <t>RAGUNDA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32874-2025</t>
        </is>
      </c>
      <c r="B1037" s="1" t="n">
        <v>45839</v>
      </c>
      <c r="C1037" s="1" t="n">
        <v>45966</v>
      </c>
      <c r="D1037" t="inlineStr">
        <is>
          <t>JÄMTLANDS LÄN</t>
        </is>
      </c>
      <c r="E1037" t="inlineStr">
        <is>
          <t>RAGUNDA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36994-2025</t>
        </is>
      </c>
      <c r="B1038" s="1" t="n">
        <v>45874.67746527777</v>
      </c>
      <c r="C1038" s="1" t="n">
        <v>45966</v>
      </c>
      <c r="D1038" t="inlineStr">
        <is>
          <t>JÄMTLANDS LÄN</t>
        </is>
      </c>
      <c r="E1038" t="inlineStr">
        <is>
          <t>RAGUNDA</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53287-2022</t>
        </is>
      </c>
      <c r="B1039" s="1" t="n">
        <v>44876</v>
      </c>
      <c r="C1039" s="1" t="n">
        <v>45966</v>
      </c>
      <c r="D1039" t="inlineStr">
        <is>
          <t>JÄMTLANDS LÄN</t>
        </is>
      </c>
      <c r="E1039" t="inlineStr">
        <is>
          <t>RAGUNDA</t>
        </is>
      </c>
      <c r="F1039" t="inlineStr">
        <is>
          <t>SCA</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16320-2025</t>
        </is>
      </c>
      <c r="B1040" s="1" t="n">
        <v>45751.34859953704</v>
      </c>
      <c r="C1040" s="1" t="n">
        <v>45966</v>
      </c>
      <c r="D1040" t="inlineStr">
        <is>
          <t>JÄMTLANDS LÄN</t>
        </is>
      </c>
      <c r="E1040" t="inlineStr">
        <is>
          <t>RAGUNDA</t>
        </is>
      </c>
      <c r="F1040" t="inlineStr">
        <is>
          <t>SCA</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16321-2025</t>
        </is>
      </c>
      <c r="B1041" s="1" t="n">
        <v>45751.34873842593</v>
      </c>
      <c r="C1041" s="1" t="n">
        <v>45966</v>
      </c>
      <c r="D1041" t="inlineStr">
        <is>
          <t>JÄMTLANDS LÄN</t>
        </is>
      </c>
      <c r="E1041" t="inlineStr">
        <is>
          <t>RAGUNDA</t>
        </is>
      </c>
      <c r="F1041" t="inlineStr">
        <is>
          <t>SCA</t>
        </is>
      </c>
      <c r="G1041" t="n">
        <v>63.3</v>
      </c>
      <c r="H1041" t="n">
        <v>0</v>
      </c>
      <c r="I1041" t="n">
        <v>0</v>
      </c>
      <c r="J1041" t="n">
        <v>0</v>
      </c>
      <c r="K1041" t="n">
        <v>0</v>
      </c>
      <c r="L1041" t="n">
        <v>0</v>
      </c>
      <c r="M1041" t="n">
        <v>0</v>
      </c>
      <c r="N1041" t="n">
        <v>0</v>
      </c>
      <c r="O1041" t="n">
        <v>0</v>
      </c>
      <c r="P1041" t="n">
        <v>0</v>
      </c>
      <c r="Q1041" t="n">
        <v>0</v>
      </c>
      <c r="R1041" s="2" t="inlineStr"/>
    </row>
    <row r="1042" ht="15" customHeight="1">
      <c r="A1042" t="inlineStr">
        <is>
          <t>A 37008-2025</t>
        </is>
      </c>
      <c r="B1042" s="1" t="n">
        <v>45874.69844907407</v>
      </c>
      <c r="C1042" s="1" t="n">
        <v>45966</v>
      </c>
      <c r="D1042" t="inlineStr">
        <is>
          <t>JÄMTLANDS LÄN</t>
        </is>
      </c>
      <c r="E1042" t="inlineStr">
        <is>
          <t>RAGUNDA</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19264-2025</t>
        </is>
      </c>
      <c r="B1043" s="1" t="n">
        <v>45769.51087962963</v>
      </c>
      <c r="C1043" s="1" t="n">
        <v>45966</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36947-2025</t>
        </is>
      </c>
      <c r="B1044" s="1" t="n">
        <v>45874.59496527778</v>
      </c>
      <c r="C1044" s="1" t="n">
        <v>45966</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14696-2022</t>
        </is>
      </c>
      <c r="B1045" s="1" t="n">
        <v>44655</v>
      </c>
      <c r="C1045" s="1" t="n">
        <v>45966</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55514-2024</t>
        </is>
      </c>
      <c r="B1046" s="1" t="n">
        <v>45622.46910879629</v>
      </c>
      <c r="C1046" s="1" t="n">
        <v>45966</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18375-2022</t>
        </is>
      </c>
      <c r="B1047" s="1" t="n">
        <v>44685</v>
      </c>
      <c r="C1047" s="1" t="n">
        <v>45966</v>
      </c>
      <c r="D1047" t="inlineStr">
        <is>
          <t>JÄMTLANDS LÄN</t>
        </is>
      </c>
      <c r="E1047" t="inlineStr">
        <is>
          <t>RAGUNDA</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17248-2023</t>
        </is>
      </c>
      <c r="B1048" s="1" t="n">
        <v>45033</v>
      </c>
      <c r="C1048" s="1" t="n">
        <v>45966</v>
      </c>
      <c r="D1048" t="inlineStr">
        <is>
          <t>JÄMTLANDS LÄN</t>
        </is>
      </c>
      <c r="E1048" t="inlineStr">
        <is>
          <t>RAGUNDA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62011-2022</t>
        </is>
      </c>
      <c r="B1049" s="1" t="n">
        <v>44914</v>
      </c>
      <c r="C1049" s="1" t="n">
        <v>45966</v>
      </c>
      <c r="D1049" t="inlineStr">
        <is>
          <t>JÄMTLANDS LÄN</t>
        </is>
      </c>
      <c r="E1049" t="inlineStr">
        <is>
          <t>RAGUNDA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11557-2023</t>
        </is>
      </c>
      <c r="B1050" s="1" t="n">
        <v>44993.94950231481</v>
      </c>
      <c r="C1050" s="1" t="n">
        <v>45966</v>
      </c>
      <c r="D1050" t="inlineStr">
        <is>
          <t>JÄMTLANDS LÄN</t>
        </is>
      </c>
      <c r="E1050" t="inlineStr">
        <is>
          <t>RAGUNDA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11562-2023</t>
        </is>
      </c>
      <c r="B1051" s="1" t="n">
        <v>44993</v>
      </c>
      <c r="C1051" s="1" t="n">
        <v>45966</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29263-2024</t>
        </is>
      </c>
      <c r="B1052" s="1" t="n">
        <v>45482.94891203703</v>
      </c>
      <c r="C1052" s="1" t="n">
        <v>45966</v>
      </c>
      <c r="D1052" t="inlineStr">
        <is>
          <t>JÄMTLANDS LÄN</t>
        </is>
      </c>
      <c r="E1052" t="inlineStr">
        <is>
          <t>RAGUNDA</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22131-2021</t>
        </is>
      </c>
      <c r="B1053" s="1" t="n">
        <v>44323</v>
      </c>
      <c r="C1053" s="1" t="n">
        <v>45966</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37292-2025</t>
        </is>
      </c>
      <c r="B1054" s="1" t="n">
        <v>45876.53188657408</v>
      </c>
      <c r="C1054" s="1" t="n">
        <v>45966</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5971-2025</t>
        </is>
      </c>
      <c r="B1055" s="1" t="n">
        <v>45695.51070601852</v>
      </c>
      <c r="C1055" s="1" t="n">
        <v>45966</v>
      </c>
      <c r="D1055" t="inlineStr">
        <is>
          <t>JÄMTLANDS LÄN</t>
        </is>
      </c>
      <c r="E1055" t="inlineStr">
        <is>
          <t>RAGUNDA</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30563-2023</t>
        </is>
      </c>
      <c r="B1056" s="1" t="n">
        <v>45111.92793981481</v>
      </c>
      <c r="C1056" s="1" t="n">
        <v>45966</v>
      </c>
      <c r="D1056" t="inlineStr">
        <is>
          <t>JÄMTLANDS LÄN</t>
        </is>
      </c>
      <c r="E1056" t="inlineStr">
        <is>
          <t>RAGUNDA</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8800-2025</t>
        </is>
      </c>
      <c r="B1057" s="1" t="n">
        <v>45712.65671296296</v>
      </c>
      <c r="C1057" s="1" t="n">
        <v>45966</v>
      </c>
      <c r="D1057" t="inlineStr">
        <is>
          <t>JÄMTLANDS LÄN</t>
        </is>
      </c>
      <c r="E1057" t="inlineStr">
        <is>
          <t>RAGUNDA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36212-2023</t>
        </is>
      </c>
      <c r="B1058" s="1" t="n">
        <v>45149.95241898148</v>
      </c>
      <c r="C1058" s="1" t="n">
        <v>45966</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12768-2022</t>
        </is>
      </c>
      <c r="B1059" s="1" t="n">
        <v>44641</v>
      </c>
      <c r="C1059" s="1" t="n">
        <v>45966</v>
      </c>
      <c r="D1059" t="inlineStr">
        <is>
          <t>JÄMTLANDS LÄN</t>
        </is>
      </c>
      <c r="E1059" t="inlineStr">
        <is>
          <t>RAGUNDA</t>
        </is>
      </c>
      <c r="F1059" t="inlineStr">
        <is>
          <t>SCA</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12773-2022</t>
        </is>
      </c>
      <c r="B1060" s="1" t="n">
        <v>44641</v>
      </c>
      <c r="C1060" s="1" t="n">
        <v>45966</v>
      </c>
      <c r="D1060" t="inlineStr">
        <is>
          <t>JÄMTLANDS LÄN</t>
        </is>
      </c>
      <c r="E1060" t="inlineStr">
        <is>
          <t>RAGUNDA</t>
        </is>
      </c>
      <c r="F1060" t="inlineStr">
        <is>
          <t>SCA</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5067-2024</t>
        </is>
      </c>
      <c r="B1061" s="1" t="n">
        <v>45329.95806712963</v>
      </c>
      <c r="C1061" s="1" t="n">
        <v>45966</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29265-2024</t>
        </is>
      </c>
      <c r="B1062" s="1" t="n">
        <v>45482.9491087963</v>
      </c>
      <c r="C1062" s="1" t="n">
        <v>45966</v>
      </c>
      <c r="D1062" t="inlineStr">
        <is>
          <t>JÄMTLANDS LÄN</t>
        </is>
      </c>
      <c r="E1062" t="inlineStr">
        <is>
          <t>RAGUNDA</t>
        </is>
      </c>
      <c r="F1062" t="inlineStr">
        <is>
          <t>SCA</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14905-2022</t>
        </is>
      </c>
      <c r="B1063" s="1" t="n">
        <v>44656.94708333333</v>
      </c>
      <c r="C1063" s="1" t="n">
        <v>45966</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27291-2022</t>
        </is>
      </c>
      <c r="B1064" s="1" t="n">
        <v>44741.94070601852</v>
      </c>
      <c r="C1064" s="1" t="n">
        <v>45966</v>
      </c>
      <c r="D1064" t="inlineStr">
        <is>
          <t>JÄMTLANDS LÄN</t>
        </is>
      </c>
      <c r="E1064" t="inlineStr">
        <is>
          <t>RAGUNDA</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8776-2025</t>
        </is>
      </c>
      <c r="B1065" s="1" t="n">
        <v>45712.61510416667</v>
      </c>
      <c r="C1065" s="1" t="n">
        <v>45966</v>
      </c>
      <c r="D1065" t="inlineStr">
        <is>
          <t>JÄMTLANDS LÄN</t>
        </is>
      </c>
      <c r="E1065" t="inlineStr">
        <is>
          <t>RAGUNDA</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46275-2025</t>
        </is>
      </c>
      <c r="B1066" s="1" t="n">
        <v>45925.3711574074</v>
      </c>
      <c r="C1066" s="1" t="n">
        <v>45966</v>
      </c>
      <c r="D1066" t="inlineStr">
        <is>
          <t>JÄMTLANDS LÄN</t>
        </is>
      </c>
      <c r="E1066" t="inlineStr">
        <is>
          <t>RAGUNDA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29766-2023</t>
        </is>
      </c>
      <c r="B1067" s="1" t="n">
        <v>45098</v>
      </c>
      <c r="C1067" s="1" t="n">
        <v>45966</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61107-2024</t>
        </is>
      </c>
      <c r="B1068" s="1" t="n">
        <v>45645.55665509259</v>
      </c>
      <c r="C1068" s="1" t="n">
        <v>45966</v>
      </c>
      <c r="D1068" t="inlineStr">
        <is>
          <t>JÄMTLANDS LÄN</t>
        </is>
      </c>
      <c r="E1068" t="inlineStr">
        <is>
          <t>RAGUNDA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23287-2024</t>
        </is>
      </c>
      <c r="B1069" s="1" t="n">
        <v>45453.42041666667</v>
      </c>
      <c r="C1069" s="1" t="n">
        <v>45966</v>
      </c>
      <c r="D1069" t="inlineStr">
        <is>
          <t>JÄMTLANDS LÄN</t>
        </is>
      </c>
      <c r="E1069" t="inlineStr">
        <is>
          <t>RAGUNDA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9504-2025</t>
        </is>
      </c>
      <c r="B1070" s="1" t="n">
        <v>45714</v>
      </c>
      <c r="C1070" s="1" t="n">
        <v>45966</v>
      </c>
      <c r="D1070" t="inlineStr">
        <is>
          <t>JÄMTLANDS LÄN</t>
        </is>
      </c>
      <c r="E1070" t="inlineStr">
        <is>
          <t>RAGUNDA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36922-2022</t>
        </is>
      </c>
      <c r="B1071" s="1" t="n">
        <v>44805.94592592592</v>
      </c>
      <c r="C1071" s="1" t="n">
        <v>45966</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26347-2023</t>
        </is>
      </c>
      <c r="B1072" s="1" t="n">
        <v>45091</v>
      </c>
      <c r="C1072" s="1" t="n">
        <v>45966</v>
      </c>
      <c r="D1072" t="inlineStr">
        <is>
          <t>JÄMTLANDS LÄN</t>
        </is>
      </c>
      <c r="E1072" t="inlineStr">
        <is>
          <t>RAGUNDA</t>
        </is>
      </c>
      <c r="F1072" t="inlineStr">
        <is>
          <t>SCA</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46192-2025</t>
        </is>
      </c>
      <c r="B1073" s="1" t="n">
        <v>45924.67789351852</v>
      </c>
      <c r="C1073" s="1" t="n">
        <v>45966</v>
      </c>
      <c r="D1073" t="inlineStr">
        <is>
          <t>JÄMTLANDS LÄN</t>
        </is>
      </c>
      <c r="E1073" t="inlineStr">
        <is>
          <t>RAGUNDA</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34483-2023</t>
        </is>
      </c>
      <c r="B1074" s="1" t="n">
        <v>45139.94681712963</v>
      </c>
      <c r="C1074" s="1" t="n">
        <v>45966</v>
      </c>
      <c r="D1074" t="inlineStr">
        <is>
          <t>JÄMTLANDS LÄN</t>
        </is>
      </c>
      <c r="E1074" t="inlineStr">
        <is>
          <t>RAGUNDA</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14821-2025</t>
        </is>
      </c>
      <c r="B1075" s="1" t="n">
        <v>45743.36</v>
      </c>
      <c r="C1075" s="1" t="n">
        <v>45966</v>
      </c>
      <c r="D1075" t="inlineStr">
        <is>
          <t>JÄMTLANDS LÄN</t>
        </is>
      </c>
      <c r="E1075" t="inlineStr">
        <is>
          <t>RAGUNDA</t>
        </is>
      </c>
      <c r="F1075" t="inlineStr">
        <is>
          <t>Kyrkan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22948-2024</t>
        </is>
      </c>
      <c r="B1076" s="1" t="n">
        <v>45448.94600694445</v>
      </c>
      <c r="C1076" s="1" t="n">
        <v>45966</v>
      </c>
      <c r="D1076" t="inlineStr">
        <is>
          <t>JÄMTLANDS LÄN</t>
        </is>
      </c>
      <c r="E1076" t="inlineStr">
        <is>
          <t>RAGUNDA</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36375-2022</t>
        </is>
      </c>
      <c r="B1077" s="1" t="n">
        <v>44803.94351851852</v>
      </c>
      <c r="C1077" s="1" t="n">
        <v>45966</v>
      </c>
      <c r="D1077" t="inlineStr">
        <is>
          <t>JÄMTLANDS LÄN</t>
        </is>
      </c>
      <c r="E1077" t="inlineStr">
        <is>
          <t>RAGUNDA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8679-2023</t>
        </is>
      </c>
      <c r="B1078" s="1" t="n">
        <v>44977.98670138889</v>
      </c>
      <c r="C1078" s="1" t="n">
        <v>45966</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9325-2024</t>
        </is>
      </c>
      <c r="B1079" s="1" t="n">
        <v>45358.95813657407</v>
      </c>
      <c r="C1079" s="1" t="n">
        <v>45966</v>
      </c>
      <c r="D1079" t="inlineStr">
        <is>
          <t>JÄMTLANDS LÄN</t>
        </is>
      </c>
      <c r="E1079" t="inlineStr">
        <is>
          <t>RAGUNDA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5930-2025</t>
        </is>
      </c>
      <c r="B1080" s="1" t="n">
        <v>45695.44724537037</v>
      </c>
      <c r="C1080" s="1" t="n">
        <v>45966</v>
      </c>
      <c r="D1080" t="inlineStr">
        <is>
          <t>JÄMTLANDS LÄN</t>
        </is>
      </c>
      <c r="E1080" t="inlineStr">
        <is>
          <t>RAGUNDA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57170-2024</t>
        </is>
      </c>
      <c r="B1081" s="1" t="n">
        <v>45629.42759259259</v>
      </c>
      <c r="C1081" s="1" t="n">
        <v>45966</v>
      </c>
      <c r="D1081" t="inlineStr">
        <is>
          <t>JÄMTLANDS LÄN</t>
        </is>
      </c>
      <c r="E1081" t="inlineStr">
        <is>
          <t>RAGUNDA</t>
        </is>
      </c>
      <c r="F1081" t="inlineStr">
        <is>
          <t>SCA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65341-2020</t>
        </is>
      </c>
      <c r="B1082" s="1" t="n">
        <v>44173</v>
      </c>
      <c r="C1082" s="1" t="n">
        <v>45966</v>
      </c>
      <c r="D1082" t="inlineStr">
        <is>
          <t>JÄMTLANDS LÄN</t>
        </is>
      </c>
      <c r="E1082" t="inlineStr">
        <is>
          <t>RAGUNDA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8795-2022</t>
        </is>
      </c>
      <c r="B1083" s="1" t="n">
        <v>44614</v>
      </c>
      <c r="C1083" s="1" t="n">
        <v>45966</v>
      </c>
      <c r="D1083" t="inlineStr">
        <is>
          <t>JÄMTLANDS LÄN</t>
        </is>
      </c>
      <c r="E1083" t="inlineStr">
        <is>
          <t>RAGUNDA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35265-2023</t>
        </is>
      </c>
      <c r="B1084" s="1" t="n">
        <v>45145.95326388889</v>
      </c>
      <c r="C1084" s="1" t="n">
        <v>45966</v>
      </c>
      <c r="D1084" t="inlineStr">
        <is>
          <t>JÄMTLANDS LÄN</t>
        </is>
      </c>
      <c r="E1084" t="inlineStr">
        <is>
          <t>RAGUNDA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5148-2023</t>
        </is>
      </c>
      <c r="B1085" s="1" t="n">
        <v>44958</v>
      </c>
      <c r="C1085" s="1" t="n">
        <v>45966</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66471-2021</t>
        </is>
      </c>
      <c r="B1086" s="1" t="n">
        <v>44518</v>
      </c>
      <c r="C1086" s="1" t="n">
        <v>45966</v>
      </c>
      <c r="D1086" t="inlineStr">
        <is>
          <t>JÄMTLANDS LÄN</t>
        </is>
      </c>
      <c r="E1086" t="inlineStr">
        <is>
          <t>RAGUNDA</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18778-2024</t>
        </is>
      </c>
      <c r="B1087" s="1" t="n">
        <v>45426</v>
      </c>
      <c r="C1087" s="1" t="n">
        <v>45966</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59556-2024</t>
        </is>
      </c>
      <c r="B1088" s="1" t="n">
        <v>45638.63600694444</v>
      </c>
      <c r="C1088" s="1" t="n">
        <v>45966</v>
      </c>
      <c r="D1088" t="inlineStr">
        <is>
          <t>JÄMTLANDS LÄN</t>
        </is>
      </c>
      <c r="E1088" t="inlineStr">
        <is>
          <t>RAGUNDA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16529-2022</t>
        </is>
      </c>
      <c r="B1089" s="1" t="n">
        <v>44671</v>
      </c>
      <c r="C1089" s="1" t="n">
        <v>45966</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61934-2022</t>
        </is>
      </c>
      <c r="B1090" s="1" t="n">
        <v>44917</v>
      </c>
      <c r="C1090" s="1" t="n">
        <v>45966</v>
      </c>
      <c r="D1090" t="inlineStr">
        <is>
          <t>JÄMTLANDS LÄN</t>
        </is>
      </c>
      <c r="E1090" t="inlineStr">
        <is>
          <t>RAGUNDA</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8678-2023</t>
        </is>
      </c>
      <c r="B1091" s="1" t="n">
        <v>44977.98660879629</v>
      </c>
      <c r="C1091" s="1" t="n">
        <v>45966</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28742-2023</t>
        </is>
      </c>
      <c r="B1092" s="1" t="n">
        <v>45103</v>
      </c>
      <c r="C1092" s="1" t="n">
        <v>45966</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17323-2025</t>
        </is>
      </c>
      <c r="B1093" s="1" t="n">
        <v>45756.63601851852</v>
      </c>
      <c r="C1093" s="1" t="n">
        <v>45966</v>
      </c>
      <c r="D1093" t="inlineStr">
        <is>
          <t>JÄMTLANDS LÄN</t>
        </is>
      </c>
      <c r="E1093" t="inlineStr">
        <is>
          <t>RAGUNDA</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16364-2023</t>
        </is>
      </c>
      <c r="B1094" s="1" t="n">
        <v>45028</v>
      </c>
      <c r="C1094" s="1" t="n">
        <v>45966</v>
      </c>
      <c r="D1094" t="inlineStr">
        <is>
          <t>JÄMTLANDS LÄN</t>
        </is>
      </c>
      <c r="E1094" t="inlineStr">
        <is>
          <t>RAGUNDA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59136-2023</t>
        </is>
      </c>
      <c r="B1095" s="1" t="n">
        <v>45251</v>
      </c>
      <c r="C1095" s="1" t="n">
        <v>45966</v>
      </c>
      <c r="D1095" t="inlineStr">
        <is>
          <t>JÄMTLANDS LÄN</t>
        </is>
      </c>
      <c r="E1095" t="inlineStr">
        <is>
          <t>RAGUNDA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49659-2023</t>
        </is>
      </c>
      <c r="B1096" s="1" t="n">
        <v>45211.95134259259</v>
      </c>
      <c r="C1096" s="1" t="n">
        <v>45966</v>
      </c>
      <c r="D1096" t="inlineStr">
        <is>
          <t>JÄMTLANDS LÄN</t>
        </is>
      </c>
      <c r="E1096" t="inlineStr">
        <is>
          <t>RAGUNDA</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50521-2024</t>
        </is>
      </c>
      <c r="B1097" s="1" t="n">
        <v>45601.55331018518</v>
      </c>
      <c r="C1097" s="1" t="n">
        <v>45966</v>
      </c>
      <c r="D1097" t="inlineStr">
        <is>
          <t>JÄMTLANDS LÄN</t>
        </is>
      </c>
      <c r="E1097" t="inlineStr">
        <is>
          <t>RAGUNDA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4916-2025</t>
        </is>
      </c>
      <c r="B1098" s="1" t="n">
        <v>45688.68196759259</v>
      </c>
      <c r="C1098" s="1" t="n">
        <v>45966</v>
      </c>
      <c r="D1098" t="inlineStr">
        <is>
          <t>JÄMTLANDS LÄN</t>
        </is>
      </c>
      <c r="E1098" t="inlineStr">
        <is>
          <t>RAGUNDA</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59557-2023</t>
        </is>
      </c>
      <c r="B1099" s="1" t="n">
        <v>45253</v>
      </c>
      <c r="C1099" s="1" t="n">
        <v>45966</v>
      </c>
      <c r="D1099" t="inlineStr">
        <is>
          <t>JÄMTLANDS LÄN</t>
        </is>
      </c>
      <c r="E1099" t="inlineStr">
        <is>
          <t>RAGUNDA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57112-2024</t>
        </is>
      </c>
      <c r="B1100" s="1" t="n">
        <v>45629.36486111111</v>
      </c>
      <c r="C1100" s="1" t="n">
        <v>45966</v>
      </c>
      <c r="D1100" t="inlineStr">
        <is>
          <t>JÄMTLANDS LÄN</t>
        </is>
      </c>
      <c r="E1100" t="inlineStr">
        <is>
          <t>RAGUNDA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53136-2024</t>
        </is>
      </c>
      <c r="B1101" s="1" t="n">
        <v>45611.5953125</v>
      </c>
      <c r="C1101" s="1" t="n">
        <v>45966</v>
      </c>
      <c r="D1101" t="inlineStr">
        <is>
          <t>JÄMTLANDS LÄN</t>
        </is>
      </c>
      <c r="E1101" t="inlineStr">
        <is>
          <t>RAGUNDA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33621-2023</t>
        </is>
      </c>
      <c r="B1102" s="1" t="n">
        <v>45119</v>
      </c>
      <c r="C1102" s="1" t="n">
        <v>45966</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6694-2024</t>
        </is>
      </c>
      <c r="B1103" s="1" t="n">
        <v>45341.95381944445</v>
      </c>
      <c r="C1103" s="1" t="n">
        <v>45966</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1537-2024</t>
        </is>
      </c>
      <c r="B1104" s="1" t="n">
        <v>45306</v>
      </c>
      <c r="C1104" s="1" t="n">
        <v>45966</v>
      </c>
      <c r="D1104" t="inlineStr">
        <is>
          <t>JÄMTLANDS LÄN</t>
        </is>
      </c>
      <c r="E1104" t="inlineStr">
        <is>
          <t>RAGUNDA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60935-2024</t>
        </is>
      </c>
      <c r="B1105" s="1" t="n">
        <v>45645.36740740741</v>
      </c>
      <c r="C1105" s="1" t="n">
        <v>45966</v>
      </c>
      <c r="D1105" t="inlineStr">
        <is>
          <t>JÄMTLANDS LÄN</t>
        </is>
      </c>
      <c r="E1105" t="inlineStr">
        <is>
          <t>RAGUNDA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6257-2025</t>
        </is>
      </c>
      <c r="B1106" s="1" t="n">
        <v>45698.59409722222</v>
      </c>
      <c r="C1106" s="1" t="n">
        <v>45966</v>
      </c>
      <c r="D1106" t="inlineStr">
        <is>
          <t>JÄMTLANDS LÄN</t>
        </is>
      </c>
      <c r="E1106" t="inlineStr">
        <is>
          <t>RAGUNDA</t>
        </is>
      </c>
      <c r="F1106" t="inlineStr">
        <is>
          <t>SCA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14074-2023</t>
        </is>
      </c>
      <c r="B1107" s="1" t="n">
        <v>45009.089375</v>
      </c>
      <c r="C1107" s="1" t="n">
        <v>45966</v>
      </c>
      <c r="D1107" t="inlineStr">
        <is>
          <t>JÄMTLANDS LÄN</t>
        </is>
      </c>
      <c r="E1107" t="inlineStr">
        <is>
          <t>RAGUNDA</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37265-2024</t>
        </is>
      </c>
      <c r="B1108" s="1" t="n">
        <v>45540.38564814815</v>
      </c>
      <c r="C1108" s="1" t="n">
        <v>45966</v>
      </c>
      <c r="D1108" t="inlineStr">
        <is>
          <t>JÄMTLANDS LÄN</t>
        </is>
      </c>
      <c r="E1108" t="inlineStr">
        <is>
          <t>RAGUNDA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18777-2024</t>
        </is>
      </c>
      <c r="B1109" s="1" t="n">
        <v>45426</v>
      </c>
      <c r="C1109" s="1" t="n">
        <v>45966</v>
      </c>
      <c r="D1109" t="inlineStr">
        <is>
          <t>JÄMTLANDS LÄN</t>
        </is>
      </c>
      <c r="E1109" t="inlineStr">
        <is>
          <t>RAGUNDA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58564-2024</t>
        </is>
      </c>
      <c r="B1110" s="1" t="n">
        <v>45635.47243055556</v>
      </c>
      <c r="C1110" s="1" t="n">
        <v>45966</v>
      </c>
      <c r="D1110" t="inlineStr">
        <is>
          <t>JÄMTLANDS LÄN</t>
        </is>
      </c>
      <c r="E1110" t="inlineStr">
        <is>
          <t>RAGUNDA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8243-2024</t>
        </is>
      </c>
      <c r="B1111" s="1" t="n">
        <v>45351.98532407408</v>
      </c>
      <c r="C1111" s="1" t="n">
        <v>45966</v>
      </c>
      <c r="D1111" t="inlineStr">
        <is>
          <t>JÄMTLANDS LÄN</t>
        </is>
      </c>
      <c r="E1111" t="inlineStr">
        <is>
          <t>RAGUNDA</t>
        </is>
      </c>
      <c r="F1111" t="inlineStr">
        <is>
          <t>SCA</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1325-2025</t>
        </is>
      </c>
      <c r="B1112" s="1" t="n">
        <v>45667.57342592593</v>
      </c>
      <c r="C1112" s="1" t="n">
        <v>45966</v>
      </c>
      <c r="D1112" t="inlineStr">
        <is>
          <t>JÄMTLANDS LÄN</t>
        </is>
      </c>
      <c r="E1112" t="inlineStr">
        <is>
          <t>RAGUNDA</t>
        </is>
      </c>
      <c r="F1112" t="inlineStr">
        <is>
          <t>SCA</t>
        </is>
      </c>
      <c r="G1112" t="n">
        <v>20.2</v>
      </c>
      <c r="H1112" t="n">
        <v>0</v>
      </c>
      <c r="I1112" t="n">
        <v>0</v>
      </c>
      <c r="J1112" t="n">
        <v>0</v>
      </c>
      <c r="K1112" t="n">
        <v>0</v>
      </c>
      <c r="L1112" t="n">
        <v>0</v>
      </c>
      <c r="M1112" t="n">
        <v>0</v>
      </c>
      <c r="N1112" t="n">
        <v>0</v>
      </c>
      <c r="O1112" t="n">
        <v>0</v>
      </c>
      <c r="P1112" t="n">
        <v>0</v>
      </c>
      <c r="Q1112" t="n">
        <v>0</v>
      </c>
      <c r="R1112" s="2" t="inlineStr"/>
    </row>
    <row r="1113" ht="15" customHeight="1">
      <c r="A1113" t="inlineStr">
        <is>
          <t>A 18159-2023</t>
        </is>
      </c>
      <c r="B1113" s="1" t="n">
        <v>45040.94277777777</v>
      </c>
      <c r="C1113" s="1" t="n">
        <v>45966</v>
      </c>
      <c r="D1113" t="inlineStr">
        <is>
          <t>JÄMTLANDS LÄN</t>
        </is>
      </c>
      <c r="E1113" t="inlineStr">
        <is>
          <t>RAGUNDA</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19486-2024</t>
        </is>
      </c>
      <c r="B1114" s="1" t="n">
        <v>45429</v>
      </c>
      <c r="C1114" s="1" t="n">
        <v>45966</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1326-2025</t>
        </is>
      </c>
      <c r="B1115" s="1" t="n">
        <v>45667.57347222222</v>
      </c>
      <c r="C1115" s="1" t="n">
        <v>45966</v>
      </c>
      <c r="D1115" t="inlineStr">
        <is>
          <t>JÄMTLANDS LÄN</t>
        </is>
      </c>
      <c r="E1115" t="inlineStr">
        <is>
          <t>RAGUNDA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30642-2024</t>
        </is>
      </c>
      <c r="B1116" s="1" t="n">
        <v>45495.57677083334</v>
      </c>
      <c r="C1116" s="1" t="n">
        <v>45966</v>
      </c>
      <c r="D1116" t="inlineStr">
        <is>
          <t>JÄMTLANDS LÄN</t>
        </is>
      </c>
      <c r="E1116" t="inlineStr">
        <is>
          <t>RAGUNDA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993-2025</t>
        </is>
      </c>
      <c r="B1117" s="1" t="n">
        <v>45666.44943287037</v>
      </c>
      <c r="C1117" s="1" t="n">
        <v>45966</v>
      </c>
      <c r="D1117" t="inlineStr">
        <is>
          <t>JÄMTLANDS LÄN</t>
        </is>
      </c>
      <c r="E1117" t="inlineStr">
        <is>
          <t>RAGUNDA</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58193-2022</t>
        </is>
      </c>
      <c r="B1118" s="1" t="n">
        <v>44900.95700231481</v>
      </c>
      <c r="C1118" s="1" t="n">
        <v>45966</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28081-2022</t>
        </is>
      </c>
      <c r="B1119" s="1" t="n">
        <v>44746</v>
      </c>
      <c r="C1119" s="1" t="n">
        <v>45966</v>
      </c>
      <c r="D1119" t="inlineStr">
        <is>
          <t>JÄMTLANDS LÄN</t>
        </is>
      </c>
      <c r="E1119" t="inlineStr">
        <is>
          <t>RAGUNDA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51049-2024</t>
        </is>
      </c>
      <c r="B1120" s="1" t="n">
        <v>45603.44644675926</v>
      </c>
      <c r="C1120" s="1" t="n">
        <v>45966</v>
      </c>
      <c r="D1120" t="inlineStr">
        <is>
          <t>JÄMTLANDS LÄN</t>
        </is>
      </c>
      <c r="E1120" t="inlineStr">
        <is>
          <t>RAGUNDA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44759-2024</t>
        </is>
      </c>
      <c r="B1121" s="1" t="n">
        <v>45574.61634259259</v>
      </c>
      <c r="C1121" s="1" t="n">
        <v>45966</v>
      </c>
      <c r="D1121" t="inlineStr">
        <is>
          <t>JÄMTLANDS LÄN</t>
        </is>
      </c>
      <c r="E1121" t="inlineStr">
        <is>
          <t>RAGUNDA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37324-2022</t>
        </is>
      </c>
      <c r="B1122" s="1" t="n">
        <v>44806</v>
      </c>
      <c r="C1122" s="1" t="n">
        <v>45966</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41343-2024</t>
        </is>
      </c>
      <c r="B1123" s="1" t="n">
        <v>45559.67745370371</v>
      </c>
      <c r="C1123" s="1" t="n">
        <v>45966</v>
      </c>
      <c r="D1123" t="inlineStr">
        <is>
          <t>JÄMTLANDS LÄN</t>
        </is>
      </c>
      <c r="E1123" t="inlineStr">
        <is>
          <t>RAGUNDA</t>
        </is>
      </c>
      <c r="F1123" t="inlineStr">
        <is>
          <t>SCA</t>
        </is>
      </c>
      <c r="G1123" t="n">
        <v>25.1</v>
      </c>
      <c r="H1123" t="n">
        <v>0</v>
      </c>
      <c r="I1123" t="n">
        <v>0</v>
      </c>
      <c r="J1123" t="n">
        <v>0</v>
      </c>
      <c r="K1123" t="n">
        <v>0</v>
      </c>
      <c r="L1123" t="n">
        <v>0</v>
      </c>
      <c r="M1123" t="n">
        <v>0</v>
      </c>
      <c r="N1123" t="n">
        <v>0</v>
      </c>
      <c r="O1123" t="n">
        <v>0</v>
      </c>
      <c r="P1123" t="n">
        <v>0</v>
      </c>
      <c r="Q1123" t="n">
        <v>0</v>
      </c>
      <c r="R1123" s="2" t="inlineStr"/>
    </row>
    <row r="1124" ht="15" customHeight="1">
      <c r="A1124" t="inlineStr">
        <is>
          <t>A 45953-2023</t>
        </is>
      </c>
      <c r="B1124" s="1" t="n">
        <v>45195.94672453704</v>
      </c>
      <c r="C1124" s="1" t="n">
        <v>45966</v>
      </c>
      <c r="D1124" t="inlineStr">
        <is>
          <t>JÄMTLANDS LÄN</t>
        </is>
      </c>
      <c r="E1124" t="inlineStr">
        <is>
          <t>RAGUNDA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16982-2024</t>
        </is>
      </c>
      <c r="B1125" s="1" t="n">
        <v>45412.02506944445</v>
      </c>
      <c r="C1125" s="1" t="n">
        <v>45966</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49650-2024</t>
        </is>
      </c>
      <c r="B1126" s="1" t="n">
        <v>45596.61569444444</v>
      </c>
      <c r="C1126" s="1" t="n">
        <v>45966</v>
      </c>
      <c r="D1126" t="inlineStr">
        <is>
          <t>JÄMTLANDS LÄN</t>
        </is>
      </c>
      <c r="E1126" t="inlineStr">
        <is>
          <t>RAGUNDA</t>
        </is>
      </c>
      <c r="F1126" t="inlineStr">
        <is>
          <t>Naturvårdsverket</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49651-2024</t>
        </is>
      </c>
      <c r="B1127" s="1" t="n">
        <v>45596.61582175926</v>
      </c>
      <c r="C1127" s="1" t="n">
        <v>45966</v>
      </c>
      <c r="D1127" t="inlineStr">
        <is>
          <t>JÄMTLANDS LÄN</t>
        </is>
      </c>
      <c r="E1127" t="inlineStr">
        <is>
          <t>RAGUNDA</t>
        </is>
      </c>
      <c r="F1127" t="inlineStr">
        <is>
          <t>SCA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64264-2023</t>
        </is>
      </c>
      <c r="B1128" s="1" t="n">
        <v>45279.94564814815</v>
      </c>
      <c r="C1128" s="1" t="n">
        <v>45966</v>
      </c>
      <c r="D1128" t="inlineStr">
        <is>
          <t>JÄMTLANDS LÄN</t>
        </is>
      </c>
      <c r="E1128" t="inlineStr">
        <is>
          <t>RAGUNDA</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42893-2022</t>
        </is>
      </c>
      <c r="B1129" s="1" t="n">
        <v>44832</v>
      </c>
      <c r="C1129" s="1" t="n">
        <v>45966</v>
      </c>
      <c r="D1129" t="inlineStr">
        <is>
          <t>JÄMTLANDS LÄN</t>
        </is>
      </c>
      <c r="E1129" t="inlineStr">
        <is>
          <t>RAGUNDA</t>
        </is>
      </c>
      <c r="F1129" t="inlineStr">
        <is>
          <t>SCA</t>
        </is>
      </c>
      <c r="G1129" t="n">
        <v>28.4</v>
      </c>
      <c r="H1129" t="n">
        <v>0</v>
      </c>
      <c r="I1129" t="n">
        <v>0</v>
      </c>
      <c r="J1129" t="n">
        <v>0</v>
      </c>
      <c r="K1129" t="n">
        <v>0</v>
      </c>
      <c r="L1129" t="n">
        <v>0</v>
      </c>
      <c r="M1129" t="n">
        <v>0</v>
      </c>
      <c r="N1129" t="n">
        <v>0</v>
      </c>
      <c r="O1129" t="n">
        <v>0</v>
      </c>
      <c r="P1129" t="n">
        <v>0</v>
      </c>
      <c r="Q1129" t="n">
        <v>0</v>
      </c>
      <c r="R1129" s="2" t="inlineStr"/>
    </row>
    <row r="1130" ht="15" customHeight="1">
      <c r="A1130" t="inlineStr">
        <is>
          <t>A 29940-2023</t>
        </is>
      </c>
      <c r="B1130" s="1" t="n">
        <v>45107</v>
      </c>
      <c r="C1130" s="1" t="n">
        <v>45966</v>
      </c>
      <c r="D1130" t="inlineStr">
        <is>
          <t>JÄMTLANDS LÄN</t>
        </is>
      </c>
      <c r="E1130" t="inlineStr">
        <is>
          <t>RAGUNDA</t>
        </is>
      </c>
      <c r="G1130" t="n">
        <v>13.5</v>
      </c>
      <c r="H1130" t="n">
        <v>0</v>
      </c>
      <c r="I1130" t="n">
        <v>0</v>
      </c>
      <c r="J1130" t="n">
        <v>0</v>
      </c>
      <c r="K1130" t="n">
        <v>0</v>
      </c>
      <c r="L1130" t="n">
        <v>0</v>
      </c>
      <c r="M1130" t="n">
        <v>0</v>
      </c>
      <c r="N1130" t="n">
        <v>0</v>
      </c>
      <c r="O1130" t="n">
        <v>0</v>
      </c>
      <c r="P1130" t="n">
        <v>0</v>
      </c>
      <c r="Q1130" t="n">
        <v>0</v>
      </c>
      <c r="R1130" s="2" t="inlineStr"/>
    </row>
    <row r="1131" ht="15" customHeight="1">
      <c r="A1131" t="inlineStr">
        <is>
          <t>A 23303-2024</t>
        </is>
      </c>
      <c r="B1131" s="1" t="n">
        <v>45453.4444212963</v>
      </c>
      <c r="C1131" s="1" t="n">
        <v>45966</v>
      </c>
      <c r="D1131" t="inlineStr">
        <is>
          <t>JÄMTLANDS LÄN</t>
        </is>
      </c>
      <c r="E1131" t="inlineStr">
        <is>
          <t>RAGUNDA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179-2025</t>
        </is>
      </c>
      <c r="B1132" s="1" t="n">
        <v>45659.69822916666</v>
      </c>
      <c r="C1132" s="1" t="n">
        <v>45966</v>
      </c>
      <c r="D1132" t="inlineStr">
        <is>
          <t>JÄMTLANDS LÄN</t>
        </is>
      </c>
      <c r="E1132" t="inlineStr">
        <is>
          <t>RAGUNDA</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22412-2024</t>
        </is>
      </c>
      <c r="B1133" s="1" t="n">
        <v>45446.68947916666</v>
      </c>
      <c r="C1133" s="1" t="n">
        <v>45966</v>
      </c>
      <c r="D1133" t="inlineStr">
        <is>
          <t>JÄMTLANDS LÄN</t>
        </is>
      </c>
      <c r="E1133" t="inlineStr">
        <is>
          <t>RAGUNDA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13334-2024</t>
        </is>
      </c>
      <c r="B1134" s="1" t="n">
        <v>45386</v>
      </c>
      <c r="C1134" s="1" t="n">
        <v>45966</v>
      </c>
      <c r="D1134" t="inlineStr">
        <is>
          <t>JÄMTLANDS LÄN</t>
        </is>
      </c>
      <c r="E1134" t="inlineStr">
        <is>
          <t>RAGUNDA</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60443-2023</t>
        </is>
      </c>
      <c r="B1135" s="1" t="n">
        <v>45258</v>
      </c>
      <c r="C1135" s="1" t="n">
        <v>45966</v>
      </c>
      <c r="D1135" t="inlineStr">
        <is>
          <t>JÄMTLANDS LÄN</t>
        </is>
      </c>
      <c r="E1135" t="inlineStr">
        <is>
          <t>RAGUNDA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21726-2023</t>
        </is>
      </c>
      <c r="B1136" s="1" t="n">
        <v>45065.42894675926</v>
      </c>
      <c r="C1136" s="1" t="n">
        <v>45966</v>
      </c>
      <c r="D1136" t="inlineStr">
        <is>
          <t>JÄMTLANDS LÄN</t>
        </is>
      </c>
      <c r="E1136" t="inlineStr">
        <is>
          <t>RAGUNDA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45952-2023</t>
        </is>
      </c>
      <c r="B1137" s="1" t="n">
        <v>45195</v>
      </c>
      <c r="C1137" s="1" t="n">
        <v>45966</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45954-2023</t>
        </is>
      </c>
      <c r="B1138" s="1" t="n">
        <v>45195.94679398148</v>
      </c>
      <c r="C1138" s="1" t="n">
        <v>45966</v>
      </c>
      <c r="D1138" t="inlineStr">
        <is>
          <t>JÄMTLANDS LÄN</t>
        </is>
      </c>
      <c r="E1138" t="inlineStr">
        <is>
          <t>RAGUNDA</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45955-2023</t>
        </is>
      </c>
      <c r="B1139" s="1" t="n">
        <v>45195.94685185186</v>
      </c>
      <c r="C1139" s="1" t="n">
        <v>45966</v>
      </c>
      <c r="D1139" t="inlineStr">
        <is>
          <t>JÄMTLANDS LÄN</t>
        </is>
      </c>
      <c r="E1139" t="inlineStr">
        <is>
          <t>RAGUNDA</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60456-2023</t>
        </is>
      </c>
      <c r="B1140" s="1" t="n">
        <v>45258</v>
      </c>
      <c r="C1140" s="1" t="n">
        <v>45966</v>
      </c>
      <c r="D1140" t="inlineStr">
        <is>
          <t>JÄMTLANDS LÄN</t>
        </is>
      </c>
      <c r="E1140" t="inlineStr">
        <is>
          <t>RAGUNDA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16334-2025</t>
        </is>
      </c>
      <c r="B1141" s="1" t="n">
        <v>45751.36490740741</v>
      </c>
      <c r="C1141" s="1" t="n">
        <v>45966</v>
      </c>
      <c r="D1141" t="inlineStr">
        <is>
          <t>JÄMTLANDS LÄN</t>
        </is>
      </c>
      <c r="E1141" t="inlineStr">
        <is>
          <t>RAGUNDA</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58438-2022</t>
        </is>
      </c>
      <c r="B1142" s="1" t="n">
        <v>44901</v>
      </c>
      <c r="C1142" s="1" t="n">
        <v>45966</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58442-2022</t>
        </is>
      </c>
      <c r="B1143" s="1" t="n">
        <v>44901</v>
      </c>
      <c r="C1143" s="1" t="n">
        <v>45966</v>
      </c>
      <c r="D1143" t="inlineStr">
        <is>
          <t>JÄMTLANDS LÄN</t>
        </is>
      </c>
      <c r="E1143" t="inlineStr">
        <is>
          <t>RAGUNDA</t>
        </is>
      </c>
      <c r="F1143" t="inlineStr">
        <is>
          <t>SCA</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5806-2025</t>
        </is>
      </c>
      <c r="B1144" s="1" t="n">
        <v>45694.69826388889</v>
      </c>
      <c r="C1144" s="1" t="n">
        <v>45966</v>
      </c>
      <c r="D1144" t="inlineStr">
        <is>
          <t>JÄMTLANDS LÄN</t>
        </is>
      </c>
      <c r="E1144" t="inlineStr">
        <is>
          <t>RAGUNDA</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41179-2022</t>
        </is>
      </c>
      <c r="B1145" s="1" t="n">
        <v>44825</v>
      </c>
      <c r="C1145" s="1" t="n">
        <v>45966</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61598-2024</t>
        </is>
      </c>
      <c r="B1146" s="1" t="n">
        <v>45646.63605324074</v>
      </c>
      <c r="C1146" s="1" t="n">
        <v>45966</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17667-2025</t>
        </is>
      </c>
      <c r="B1147" s="1" t="n">
        <v>45758.36487268518</v>
      </c>
      <c r="C1147" s="1" t="n">
        <v>45966</v>
      </c>
      <c r="D1147" t="inlineStr">
        <is>
          <t>JÄMTLANDS LÄN</t>
        </is>
      </c>
      <c r="E1147" t="inlineStr">
        <is>
          <t>RAGUNDA</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50157-2023</t>
        </is>
      </c>
      <c r="B1148" s="1" t="n">
        <v>45208</v>
      </c>
      <c r="C1148" s="1" t="n">
        <v>45966</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12405-2025</t>
        </is>
      </c>
      <c r="B1149" s="1" t="n">
        <v>45730.42738425926</v>
      </c>
      <c r="C1149" s="1" t="n">
        <v>45966</v>
      </c>
      <c r="D1149" t="inlineStr">
        <is>
          <t>JÄMTLANDS LÄN</t>
        </is>
      </c>
      <c r="E1149" t="inlineStr">
        <is>
          <t>RAGUNDA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36986-2023</t>
        </is>
      </c>
      <c r="B1150" s="1" t="n">
        <v>45154.95525462963</v>
      </c>
      <c r="C1150" s="1" t="n">
        <v>45966</v>
      </c>
      <c r="D1150" t="inlineStr">
        <is>
          <t>JÄMTLANDS LÄN</t>
        </is>
      </c>
      <c r="E1150" t="inlineStr">
        <is>
          <t>RAGUNDA</t>
        </is>
      </c>
      <c r="F1150" t="inlineStr">
        <is>
          <t>SCA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2224-2024</t>
        </is>
      </c>
      <c r="B1151" s="1" t="n">
        <v>45309.92524305556</v>
      </c>
      <c r="C1151" s="1" t="n">
        <v>45966</v>
      </c>
      <c r="D1151" t="inlineStr">
        <is>
          <t>JÄMTLANDS LÄN</t>
        </is>
      </c>
      <c r="E1151" t="inlineStr">
        <is>
          <t>RAGUNDA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1523-2024</t>
        </is>
      </c>
      <c r="B1152" s="1" t="n">
        <v>45306</v>
      </c>
      <c r="C1152" s="1" t="n">
        <v>45966</v>
      </c>
      <c r="D1152" t="inlineStr">
        <is>
          <t>JÄMTLANDS LÄN</t>
        </is>
      </c>
      <c r="E1152" t="inlineStr">
        <is>
          <t>RAGUNDA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58630-2024</t>
        </is>
      </c>
      <c r="B1153" s="1" t="n">
        <v>45635.57331018519</v>
      </c>
      <c r="C1153" s="1" t="n">
        <v>45966</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46549-2023</t>
        </is>
      </c>
      <c r="B1154" s="1" t="n">
        <v>45197.94171296297</v>
      </c>
      <c r="C1154" s="1" t="n">
        <v>45966</v>
      </c>
      <c r="D1154" t="inlineStr">
        <is>
          <t>JÄMTLANDS LÄN</t>
        </is>
      </c>
      <c r="E1154" t="inlineStr">
        <is>
          <t>RAGUNDA</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32258-2024</t>
        </is>
      </c>
      <c r="B1155" s="1" t="n">
        <v>45511</v>
      </c>
      <c r="C1155" s="1" t="n">
        <v>45966</v>
      </c>
      <c r="D1155" t="inlineStr">
        <is>
          <t>JÄMTLANDS LÄN</t>
        </is>
      </c>
      <c r="E1155" t="inlineStr">
        <is>
          <t>RAGUNDA</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38270-2021</t>
        </is>
      </c>
      <c r="B1156" s="1" t="n">
        <v>44405.92065972222</v>
      </c>
      <c r="C1156" s="1" t="n">
        <v>45966</v>
      </c>
      <c r="D1156" t="inlineStr">
        <is>
          <t>JÄMTLANDS LÄN</t>
        </is>
      </c>
      <c r="E1156" t="inlineStr">
        <is>
          <t>RAGUNDA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29257-2024</t>
        </is>
      </c>
      <c r="B1157" s="1" t="n">
        <v>45482.94815972223</v>
      </c>
      <c r="C1157" s="1" t="n">
        <v>45966</v>
      </c>
      <c r="D1157" t="inlineStr">
        <is>
          <t>JÄMTLANDS LÄN</t>
        </is>
      </c>
      <c r="E1157" t="inlineStr">
        <is>
          <t>RAGUNDA</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27373-2023</t>
        </is>
      </c>
      <c r="B1158" s="1" t="n">
        <v>45096.93866898148</v>
      </c>
      <c r="C1158" s="1" t="n">
        <v>45966</v>
      </c>
      <c r="D1158" t="inlineStr">
        <is>
          <t>JÄMTLANDS LÄN</t>
        </is>
      </c>
      <c r="E1158" t="inlineStr">
        <is>
          <t>RAGUNDA</t>
        </is>
      </c>
      <c r="F1158" t="inlineStr">
        <is>
          <t>SCA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62115-2024</t>
        </is>
      </c>
      <c r="B1159" s="1" t="n">
        <v>45656</v>
      </c>
      <c r="C1159" s="1" t="n">
        <v>45966</v>
      </c>
      <c r="D1159" t="inlineStr">
        <is>
          <t>JÄMTLANDS LÄN</t>
        </is>
      </c>
      <c r="E1159" t="inlineStr">
        <is>
          <t>RAGUNDA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12653-2024</t>
        </is>
      </c>
      <c r="B1160" s="1" t="n">
        <v>45384</v>
      </c>
      <c r="C1160" s="1" t="n">
        <v>45966</v>
      </c>
      <c r="D1160" t="inlineStr">
        <is>
          <t>JÄMTLANDS LÄN</t>
        </is>
      </c>
      <c r="E1160" t="inlineStr">
        <is>
          <t>RAGUNDA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50211-2023</t>
        </is>
      </c>
      <c r="B1161" s="1" t="n">
        <v>45215.94657407407</v>
      </c>
      <c r="C1161" s="1" t="n">
        <v>45966</v>
      </c>
      <c r="D1161" t="inlineStr">
        <is>
          <t>JÄMTLANDS LÄN</t>
        </is>
      </c>
      <c r="E1161" t="inlineStr">
        <is>
          <t>RAGUNDA</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9232-2025</t>
        </is>
      </c>
      <c r="B1162" s="1" t="n">
        <v>45714.55064814815</v>
      </c>
      <c r="C1162" s="1" t="n">
        <v>45966</v>
      </c>
      <c r="D1162" t="inlineStr">
        <is>
          <t>JÄMTLANDS LÄN</t>
        </is>
      </c>
      <c r="E1162" t="inlineStr">
        <is>
          <t>RAGUNDA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29775-2023</t>
        </is>
      </c>
      <c r="B1163" s="1" t="n">
        <v>45098</v>
      </c>
      <c r="C1163" s="1" t="n">
        <v>45966</v>
      </c>
      <c r="D1163" t="inlineStr">
        <is>
          <t>JÄMTLANDS LÄN</t>
        </is>
      </c>
      <c r="E1163" t="inlineStr">
        <is>
          <t>RAGUNDA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44494-2024</t>
        </is>
      </c>
      <c r="B1164" s="1" t="n">
        <v>45574.39081018518</v>
      </c>
      <c r="C1164" s="1" t="n">
        <v>45966</v>
      </c>
      <c r="D1164" t="inlineStr">
        <is>
          <t>JÄMTLANDS LÄN</t>
        </is>
      </c>
      <c r="E1164" t="inlineStr">
        <is>
          <t>RAGUNDA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13898-2023</t>
        </is>
      </c>
      <c r="B1165" s="1" t="n">
        <v>45008.01408564814</v>
      </c>
      <c r="C1165" s="1" t="n">
        <v>45966</v>
      </c>
      <c r="D1165" t="inlineStr">
        <is>
          <t>JÄMTLANDS LÄN</t>
        </is>
      </c>
      <c r="E1165" t="inlineStr">
        <is>
          <t>RAGUNDA</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26026-2024</t>
        </is>
      </c>
      <c r="B1166" s="1" t="n">
        <v>45467.96207175926</v>
      </c>
      <c r="C1166" s="1" t="n">
        <v>45966</v>
      </c>
      <c r="D1166" t="inlineStr">
        <is>
          <t>JÄMTLANDS LÄN</t>
        </is>
      </c>
      <c r="E1166" t="inlineStr">
        <is>
          <t>RAGUNDA</t>
        </is>
      </c>
      <c r="F1166" t="inlineStr">
        <is>
          <t>SCA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5429-2024</t>
        </is>
      </c>
      <c r="B1167" s="1" t="n">
        <v>45331.92746527777</v>
      </c>
      <c r="C1167" s="1" t="n">
        <v>45966</v>
      </c>
      <c r="D1167" t="inlineStr">
        <is>
          <t>JÄMTLANDS LÄN</t>
        </is>
      </c>
      <c r="E1167" t="inlineStr">
        <is>
          <t>RAGUNDA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3720-2025</t>
        </is>
      </c>
      <c r="B1168" s="1" t="n">
        <v>45681.5315625</v>
      </c>
      <c r="C1168" s="1" t="n">
        <v>45966</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3770-2025</t>
        </is>
      </c>
      <c r="B1169" s="1" t="n">
        <v>45681.6050925926</v>
      </c>
      <c r="C1169" s="1" t="n">
        <v>45966</v>
      </c>
      <c r="D1169" t="inlineStr">
        <is>
          <t>JÄMTLANDS LÄN</t>
        </is>
      </c>
      <c r="E1169" t="inlineStr">
        <is>
          <t>RAGUNDA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51579-2024</t>
        </is>
      </c>
      <c r="B1170" s="1" t="n">
        <v>45604.63575231482</v>
      </c>
      <c r="C1170" s="1" t="n">
        <v>45966</v>
      </c>
      <c r="D1170" t="inlineStr">
        <is>
          <t>JÄMTLANDS LÄN</t>
        </is>
      </c>
      <c r="E1170" t="inlineStr">
        <is>
          <t>RAGUNDA</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8775-2025</t>
        </is>
      </c>
      <c r="B1171" s="1" t="n">
        <v>45712.61502314815</v>
      </c>
      <c r="C1171" s="1" t="n">
        <v>45966</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c r="A1172" t="inlineStr">
        <is>
          <t>A 2339-2025</t>
        </is>
      </c>
      <c r="B1172" s="1" t="n">
        <v>45673.66358796296</v>
      </c>
      <c r="C1172" s="1" t="n">
        <v>45966</v>
      </c>
      <c r="D1172" t="inlineStr">
        <is>
          <t>JÄMTLANDS LÄN</t>
        </is>
      </c>
      <c r="E1172" t="inlineStr">
        <is>
          <t>RAGUNDA</t>
        </is>
      </c>
      <c r="G1172" t="n">
        <v>5</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2025-11-05T10:12:01Z</dcterms:created>
  <dcterms:modified xmlns:dcterms="http://purl.org/dc/terms/" xmlns:xsi="http://www.w3.org/2001/XMLSchema-instance" xsi:type="dcterms:W3CDTF">2025-11-05T10:12:02Z</dcterms:modified>
</cp:coreProperties>
</file>