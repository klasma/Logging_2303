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46092</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46092</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46092</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46092</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46092</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46092</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46092</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46092</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46092</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46092</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46092</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46092</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46092</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46092</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46092</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46092</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46092</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46092</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46092</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46092</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46092</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32741-2025</t>
        </is>
      </c>
      <c r="B23" s="1" t="n">
        <v>45839</v>
      </c>
      <c r="C23" s="1" t="n">
        <v>46092</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9347-2024</t>
        </is>
      </c>
      <c r="B24" s="1" t="n">
        <v>45358.99375</v>
      </c>
      <c r="C24" s="1" t="n">
        <v>46092</v>
      </c>
      <c r="D24" t="inlineStr">
        <is>
          <t>JÄMTLANDS LÄN</t>
        </is>
      </c>
      <c r="E24" t="inlineStr">
        <is>
          <t>RAGUNDA</t>
        </is>
      </c>
      <c r="F24" t="inlineStr">
        <is>
          <t>SCA</t>
        </is>
      </c>
      <c r="G24" t="n">
        <v>1.6</v>
      </c>
      <c r="H24" t="n">
        <v>2</v>
      </c>
      <c r="I24" t="n">
        <v>3</v>
      </c>
      <c r="J24" t="n">
        <v>6</v>
      </c>
      <c r="K24" t="n">
        <v>2</v>
      </c>
      <c r="L24" t="n">
        <v>0</v>
      </c>
      <c r="M24" t="n">
        <v>0</v>
      </c>
      <c r="N24" t="n">
        <v>0</v>
      </c>
      <c r="O24" t="n">
        <v>8</v>
      </c>
      <c r="P24" t="n">
        <v>2</v>
      </c>
      <c r="Q24" t="n">
        <v>11</v>
      </c>
      <c r="R24" s="2" t="inlineStr">
        <is>
          <t>Knärot
Rynkskinn
Garnlav
Gultoppig fingersvamp
Kolflarnlav
Mörk kolflarnlav
Rosenticka
Vedskivlav
Rödfläckig zontaggsvamp
Svavelriska
Tvåblad</t>
        </is>
      </c>
      <c r="S24">
        <f>HYPERLINK("https://klasma.github.io/Logging_2303/artfynd/A 9347-2024 artfynd.xlsx", "A 9347-2024")</f>
        <v/>
      </c>
      <c r="T24">
        <f>HYPERLINK("https://klasma.github.io/Logging_2303/kartor/A 9347-2024 karta.png", "A 9347-2024")</f>
        <v/>
      </c>
      <c r="U24">
        <f>HYPERLINK("https://klasma.github.io/Logging_2303/knärot/A 9347-2024 karta knärot.png", "A 9347-2024")</f>
        <v/>
      </c>
      <c r="V24">
        <f>HYPERLINK("https://klasma.github.io/Logging_2303/klagomål/A 9347-2024 FSC-klagomål.docx", "A 9347-2024")</f>
        <v/>
      </c>
      <c r="W24">
        <f>HYPERLINK("https://klasma.github.io/Logging_2303/klagomålsmail/A 9347-2024 FSC-klagomål mail.docx", "A 9347-2024")</f>
        <v/>
      </c>
      <c r="X24">
        <f>HYPERLINK("https://klasma.github.io/Logging_2303/tillsyn/A 9347-2024 tillsynsbegäran.docx", "A 9347-2024")</f>
        <v/>
      </c>
      <c r="Y24">
        <f>HYPERLINK("https://klasma.github.io/Logging_2303/tillsynsmail/A 9347-2024 tillsynsbegäran mail.docx", "A 9347-2024")</f>
        <v/>
      </c>
    </row>
    <row r="25" ht="15" customHeight="1">
      <c r="A25" t="inlineStr">
        <is>
          <t>A 31839-2022</t>
        </is>
      </c>
      <c r="B25" s="1" t="n">
        <v>44776</v>
      </c>
      <c r="C25" s="1" t="n">
        <v>46092</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46092</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46092</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46092</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4591-2024</t>
        </is>
      </c>
      <c r="B29" s="1" t="n">
        <v>45327</v>
      </c>
      <c r="C29" s="1" t="n">
        <v>46092</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46092</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13483-2022</t>
        </is>
      </c>
      <c r="B31" s="1" t="n">
        <v>44645.99859953704</v>
      </c>
      <c r="C31" s="1" t="n">
        <v>46092</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46092</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58876-2025</t>
        </is>
      </c>
      <c r="B33" s="1" t="n">
        <v>45987.46929398148</v>
      </c>
      <c r="C33" s="1" t="n">
        <v>46092</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25016-2025</t>
        </is>
      </c>
      <c r="B34" s="1" t="n">
        <v>45799.63574074074</v>
      </c>
      <c r="C34" s="1" t="n">
        <v>46092</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32068-2024</t>
        </is>
      </c>
      <c r="B35" s="1" t="n">
        <v>45510</v>
      </c>
      <c r="C35" s="1" t="n">
        <v>46092</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24735-2025</t>
        </is>
      </c>
      <c r="B36" s="1" t="n">
        <v>45799.34461805555</v>
      </c>
      <c r="C36" s="1" t="n">
        <v>46092</v>
      </c>
      <c r="D36" t="inlineStr">
        <is>
          <t>JÄMTLANDS LÄN</t>
        </is>
      </c>
      <c r="E36" t="inlineStr">
        <is>
          <t>RAGUNDA</t>
        </is>
      </c>
      <c r="F36" t="inlineStr">
        <is>
          <t>SCA</t>
        </is>
      </c>
      <c r="G36" t="n">
        <v>7.1</v>
      </c>
      <c r="H36" t="n">
        <v>1</v>
      </c>
      <c r="I36" t="n">
        <v>4</v>
      </c>
      <c r="J36" t="n">
        <v>5</v>
      </c>
      <c r="K36" t="n">
        <v>0</v>
      </c>
      <c r="L36" t="n">
        <v>0</v>
      </c>
      <c r="M36" t="n">
        <v>0</v>
      </c>
      <c r="N36" t="n">
        <v>0</v>
      </c>
      <c r="O36" t="n">
        <v>5</v>
      </c>
      <c r="P36" t="n">
        <v>0</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41406-2023</t>
        </is>
      </c>
      <c r="B37" s="1" t="n">
        <v>45174</v>
      </c>
      <c r="C37" s="1" t="n">
        <v>46092</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30876-2025</t>
        </is>
      </c>
      <c r="B38" s="1" t="n">
        <v>45832.34461805555</v>
      </c>
      <c r="C38" s="1" t="n">
        <v>46092</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46092</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2316-2026</t>
        </is>
      </c>
      <c r="B40" s="1" t="n">
        <v>46036.59826388889</v>
      </c>
      <c r="C40" s="1" t="n">
        <v>46092</v>
      </c>
      <c r="D40" t="inlineStr">
        <is>
          <t>JÄMTLANDS LÄN</t>
        </is>
      </c>
      <c r="E40" t="inlineStr">
        <is>
          <t>RAGUNDA</t>
        </is>
      </c>
      <c r="G40" t="n">
        <v>5.1</v>
      </c>
      <c r="H40" t="n">
        <v>3</v>
      </c>
      <c r="I40" t="n">
        <v>0</v>
      </c>
      <c r="J40" t="n">
        <v>9</v>
      </c>
      <c r="K40" t="n">
        <v>0</v>
      </c>
      <c r="L40" t="n">
        <v>0</v>
      </c>
      <c r="M40" t="n">
        <v>0</v>
      </c>
      <c r="N40" t="n">
        <v>0</v>
      </c>
      <c r="O40" t="n">
        <v>9</v>
      </c>
      <c r="P40" t="n">
        <v>0</v>
      </c>
      <c r="Q40" t="n">
        <v>9</v>
      </c>
      <c r="R40" s="2" t="inlineStr">
        <is>
          <t>Garnlav
Harticka
Kolflarnlav
Liten svartspik
Lunglav
Talltita
Tretåig hackspett
Utter
Vitgrynig nållav</t>
        </is>
      </c>
      <c r="S40">
        <f>HYPERLINK("https://klasma.github.io/Logging_2303/artfynd/A 2316-2026 artfynd.xlsx", "A 2316-2026")</f>
        <v/>
      </c>
      <c r="T40">
        <f>HYPERLINK("https://klasma.github.io/Logging_2303/kartor/A 2316-2026 karta.png", "A 2316-2026")</f>
        <v/>
      </c>
      <c r="V40">
        <f>HYPERLINK("https://klasma.github.io/Logging_2303/klagomål/A 2316-2026 FSC-klagomål.docx", "A 2316-2026")</f>
        <v/>
      </c>
      <c r="W40">
        <f>HYPERLINK("https://klasma.github.io/Logging_2303/klagomålsmail/A 2316-2026 FSC-klagomål mail.docx", "A 2316-2026")</f>
        <v/>
      </c>
      <c r="X40">
        <f>HYPERLINK("https://klasma.github.io/Logging_2303/tillsyn/A 2316-2026 tillsynsbegäran.docx", "A 2316-2026")</f>
        <v/>
      </c>
      <c r="Y40">
        <f>HYPERLINK("https://klasma.github.io/Logging_2303/tillsynsmail/A 2316-2026 tillsynsbegäran mail.docx", "A 2316-2026")</f>
        <v/>
      </c>
      <c r="Z40">
        <f>HYPERLINK("https://klasma.github.io/Logging_2303/fåglar/A 2316-2026 prioriterade fågelarter.docx", "A 2316-2026")</f>
        <v/>
      </c>
    </row>
    <row r="41" ht="15" customHeight="1">
      <c r="A41" t="inlineStr">
        <is>
          <t>A 45008-2023</t>
        </is>
      </c>
      <c r="B41" s="1" t="n">
        <v>45190.96092592592</v>
      </c>
      <c r="C41" s="1" t="n">
        <v>46092</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46092</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46092</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46092</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46092</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60129-2025</t>
        </is>
      </c>
      <c r="B46" s="1" t="n">
        <v>45994.34461805555</v>
      </c>
      <c r="C46" s="1" t="n">
        <v>46092</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24732-2025</t>
        </is>
      </c>
      <c r="B47" s="1" t="n">
        <v>45799.34421296296</v>
      </c>
      <c r="C47" s="1" t="n">
        <v>46092</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62738-2025</t>
        </is>
      </c>
      <c r="B48" s="1" t="n">
        <v>46008.57341435185</v>
      </c>
      <c r="C48" s="1" t="n">
        <v>46092</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46092</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30335-2025</t>
        </is>
      </c>
      <c r="B50" s="1" t="n">
        <v>45827.5110300926</v>
      </c>
      <c r="C50" s="1" t="n">
        <v>46092</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51037-2025</t>
        </is>
      </c>
      <c r="B51" s="1" t="n">
        <v>45947.40729166667</v>
      </c>
      <c r="C51" s="1" t="n">
        <v>46092</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15665-2022</t>
        </is>
      </c>
      <c r="B52" s="1" t="n">
        <v>44662</v>
      </c>
      <c r="C52" s="1" t="n">
        <v>46092</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46092</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46092</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46092</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46092</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46092</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46092</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26750-2025</t>
        </is>
      </c>
      <c r="B59" s="1" t="n">
        <v>45810.55061342593</v>
      </c>
      <c r="C59" s="1" t="n">
        <v>46092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19399-2025</t>
        </is>
      </c>
      <c r="B60" s="1" t="n">
        <v>45769.67740740741</v>
      </c>
      <c r="C60" s="1" t="n">
        <v>46092</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27913-2024</t>
        </is>
      </c>
      <c r="B61" s="1" t="n">
        <v>45475.94796296296</v>
      </c>
      <c r="C61" s="1" t="n">
        <v>46092</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46092</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46092</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46092</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46092</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46092</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46092</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30637-2024</t>
        </is>
      </c>
      <c r="B68" s="1" t="n">
        <v>45495</v>
      </c>
      <c r="C68" s="1" t="n">
        <v>46092</v>
      </c>
      <c r="D68" t="inlineStr">
        <is>
          <t>JÄMTLANDS LÄN</t>
        </is>
      </c>
      <c r="E68" t="inlineStr">
        <is>
          <t>RAGUNDA</t>
        </is>
      </c>
      <c r="G68" t="n">
        <v>4.1</v>
      </c>
      <c r="H68" t="n">
        <v>5</v>
      </c>
      <c r="I68" t="n">
        <v>0</v>
      </c>
      <c r="J68" t="n">
        <v>4</v>
      </c>
      <c r="K68" t="n">
        <v>1</v>
      </c>
      <c r="L68" t="n">
        <v>0</v>
      </c>
      <c r="M68" t="n">
        <v>0</v>
      </c>
      <c r="N68" t="n">
        <v>0</v>
      </c>
      <c r="O68" t="n">
        <v>5</v>
      </c>
      <c r="P68" t="n">
        <v>1</v>
      </c>
      <c r="Q68" t="n">
        <v>6</v>
      </c>
      <c r="R68" s="2" t="inlineStr">
        <is>
          <t>Knärot
Lunglav
Spillkråka
Talltita
Tretåig hackspett
Vanlig groda</t>
        </is>
      </c>
      <c r="S68">
        <f>HYPERLINK("https://klasma.github.io/Logging_2303/artfynd/A 30637-2024 artfynd.xlsx", "A 30637-2024")</f>
        <v/>
      </c>
      <c r="T68">
        <f>HYPERLINK("https://klasma.github.io/Logging_2303/kartor/A 30637-2024 karta.png", "A 30637-2024")</f>
        <v/>
      </c>
      <c r="U68">
        <f>HYPERLINK("https://klasma.github.io/Logging_2303/knärot/A 30637-2024 karta knärot.png", "A 30637-2024")</f>
        <v/>
      </c>
      <c r="V68">
        <f>HYPERLINK("https://klasma.github.io/Logging_2303/klagomål/A 30637-2024 FSC-klagomål.docx", "A 30637-2024")</f>
        <v/>
      </c>
      <c r="W68">
        <f>HYPERLINK("https://klasma.github.io/Logging_2303/klagomålsmail/A 30637-2024 FSC-klagomål mail.docx", "A 30637-2024")</f>
        <v/>
      </c>
      <c r="X68">
        <f>HYPERLINK("https://klasma.github.io/Logging_2303/tillsyn/A 30637-2024 tillsynsbegäran.docx", "A 30637-2024")</f>
        <v/>
      </c>
      <c r="Y68">
        <f>HYPERLINK("https://klasma.github.io/Logging_2303/tillsynsmail/A 30637-2024 tillsynsbegäran mail.docx", "A 30637-2024")</f>
        <v/>
      </c>
      <c r="Z68">
        <f>HYPERLINK("https://klasma.github.io/Logging_2303/fåglar/A 30637-2024 prioriterade fågelarter.docx", "A 30637-2024")</f>
        <v/>
      </c>
    </row>
    <row r="69" ht="15" customHeight="1">
      <c r="A69" t="inlineStr">
        <is>
          <t>A 9197-2026</t>
        </is>
      </c>
      <c r="B69" s="1" t="n">
        <v>46070.40322916667</v>
      </c>
      <c r="C69" s="1" t="n">
        <v>46092</v>
      </c>
      <c r="D69" t="inlineStr">
        <is>
          <t>JÄMTLANDS LÄN</t>
        </is>
      </c>
      <c r="E69" t="inlineStr">
        <is>
          <t>RAGUNDA</t>
        </is>
      </c>
      <c r="G69" t="n">
        <v>3.3</v>
      </c>
      <c r="H69" t="n">
        <v>5</v>
      </c>
      <c r="I69" t="n">
        <v>0</v>
      </c>
      <c r="J69" t="n">
        <v>4</v>
      </c>
      <c r="K69" t="n">
        <v>0</v>
      </c>
      <c r="L69" t="n">
        <v>0</v>
      </c>
      <c r="M69" t="n">
        <v>0</v>
      </c>
      <c r="N69" t="n">
        <v>0</v>
      </c>
      <c r="O69" t="n">
        <v>4</v>
      </c>
      <c r="P69" t="n">
        <v>0</v>
      </c>
      <c r="Q69" t="n">
        <v>6</v>
      </c>
      <c r="R69" s="2" t="inlineStr">
        <is>
          <t>Granticka
Järpe
Spillkråka
Talltita
Grönsiska
Kungsfågel</t>
        </is>
      </c>
      <c r="S69">
        <f>HYPERLINK("https://klasma.github.io/Logging_2303/artfynd/A 9197-2026 artfynd.xlsx", "A 9197-2026")</f>
        <v/>
      </c>
      <c r="T69">
        <f>HYPERLINK("https://klasma.github.io/Logging_2303/kartor/A 9197-2026 karta.png", "A 9197-2026")</f>
        <v/>
      </c>
      <c r="V69">
        <f>HYPERLINK("https://klasma.github.io/Logging_2303/klagomål/A 9197-2026 FSC-klagomål.docx", "A 9197-2026")</f>
        <v/>
      </c>
      <c r="W69">
        <f>HYPERLINK("https://klasma.github.io/Logging_2303/klagomålsmail/A 9197-2026 FSC-klagomål mail.docx", "A 9197-2026")</f>
        <v/>
      </c>
      <c r="X69">
        <f>HYPERLINK("https://klasma.github.io/Logging_2303/tillsyn/A 9197-2026 tillsynsbegäran.docx", "A 9197-2026")</f>
        <v/>
      </c>
      <c r="Y69">
        <f>HYPERLINK("https://klasma.github.io/Logging_2303/tillsynsmail/A 9197-2026 tillsynsbegäran mail.docx", "A 9197-2026")</f>
        <v/>
      </c>
      <c r="Z69">
        <f>HYPERLINK("https://klasma.github.io/Logging_2303/fåglar/A 9197-2026 prioriterade fågelarter.docx", "A 9197-2026")</f>
        <v/>
      </c>
    </row>
    <row r="70" ht="15" customHeight="1">
      <c r="A70" t="inlineStr">
        <is>
          <t>A 53021-2022</t>
        </is>
      </c>
      <c r="B70" s="1" t="n">
        <v>44875</v>
      </c>
      <c r="C70" s="1" t="n">
        <v>46092</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49291-2025</t>
        </is>
      </c>
      <c r="B71" s="1" t="n">
        <v>45938.53188657408</v>
      </c>
      <c r="C71" s="1" t="n">
        <v>46092</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19402-2025</t>
        </is>
      </c>
      <c r="B72" s="1" t="n">
        <v>45769.67778935185</v>
      </c>
      <c r="C72" s="1" t="n">
        <v>46092</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30884-2025</t>
        </is>
      </c>
      <c r="B73" s="1" t="n">
        <v>45832.34564814815</v>
      </c>
      <c r="C73" s="1" t="n">
        <v>46092</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2193-2026</t>
        </is>
      </c>
      <c r="B74" s="1" t="n">
        <v>46036.46946759259</v>
      </c>
      <c r="C74" s="1" t="n">
        <v>46092</v>
      </c>
      <c r="D74" t="inlineStr">
        <is>
          <t>JÄMTLANDS LÄN</t>
        </is>
      </c>
      <c r="E74" t="inlineStr">
        <is>
          <t>RAGUNDA</t>
        </is>
      </c>
      <c r="F74" t="inlineStr">
        <is>
          <t>SCA</t>
        </is>
      </c>
      <c r="G74" t="n">
        <v>2.4</v>
      </c>
      <c r="H74" t="n">
        <v>1</v>
      </c>
      <c r="I74" t="n">
        <v>1</v>
      </c>
      <c r="J74" t="n">
        <v>4</v>
      </c>
      <c r="K74" t="n">
        <v>1</v>
      </c>
      <c r="L74" t="n">
        <v>0</v>
      </c>
      <c r="M74" t="n">
        <v>0</v>
      </c>
      <c r="N74" t="n">
        <v>0</v>
      </c>
      <c r="O74" t="n">
        <v>5</v>
      </c>
      <c r="P74" t="n">
        <v>1</v>
      </c>
      <c r="Q74" t="n">
        <v>6</v>
      </c>
      <c r="R74" s="2" t="inlineStr">
        <is>
          <t>Knärot
Garnlav
Lunglav
Rosenticka
Ullticka
Luddlav</t>
        </is>
      </c>
      <c r="S74">
        <f>HYPERLINK("https://klasma.github.io/Logging_2303/artfynd/A 2193-2026 artfynd.xlsx", "A 2193-2026")</f>
        <v/>
      </c>
      <c r="T74">
        <f>HYPERLINK("https://klasma.github.io/Logging_2303/kartor/A 2193-2026 karta.png", "A 2193-2026")</f>
        <v/>
      </c>
      <c r="U74">
        <f>HYPERLINK("https://klasma.github.io/Logging_2303/knärot/A 2193-2026 karta knärot.png", "A 2193-2026")</f>
        <v/>
      </c>
      <c r="V74">
        <f>HYPERLINK("https://klasma.github.io/Logging_2303/klagomål/A 2193-2026 FSC-klagomål.docx", "A 2193-2026")</f>
        <v/>
      </c>
      <c r="W74">
        <f>HYPERLINK("https://klasma.github.io/Logging_2303/klagomålsmail/A 2193-2026 FSC-klagomål mail.docx", "A 2193-2026")</f>
        <v/>
      </c>
      <c r="X74">
        <f>HYPERLINK("https://klasma.github.io/Logging_2303/tillsyn/A 2193-2026 tillsynsbegäran.docx", "A 2193-2026")</f>
        <v/>
      </c>
      <c r="Y74">
        <f>HYPERLINK("https://klasma.github.io/Logging_2303/tillsynsmail/A 2193-2026 tillsynsbegäran mail.docx", "A 2193-2026")</f>
        <v/>
      </c>
    </row>
    <row r="75" ht="15" customHeight="1">
      <c r="A75" t="inlineStr">
        <is>
          <t>A 47115-2025</t>
        </is>
      </c>
      <c r="B75" s="1" t="n">
        <v>45929</v>
      </c>
      <c r="C75" s="1" t="n">
        <v>46092</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36276-2025</t>
        </is>
      </c>
      <c r="B76" s="1" t="n">
        <v>45867.63619212963</v>
      </c>
      <c r="C76" s="1" t="n">
        <v>46092</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11828-2023</t>
        </is>
      </c>
      <c r="B77" s="1" t="n">
        <v>44994</v>
      </c>
      <c r="C77" s="1" t="n">
        <v>46092</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46092</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46092</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46092</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46092</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46092</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46092</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46092</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46092</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57073-2023</t>
        </is>
      </c>
      <c r="B86" s="1" t="n">
        <v>45244</v>
      </c>
      <c r="C86" s="1" t="n">
        <v>46092</v>
      </c>
      <c r="D86" t="inlineStr">
        <is>
          <t>JÄMTLANDS LÄN</t>
        </is>
      </c>
      <c r="E86" t="inlineStr">
        <is>
          <t>RAGUNDA</t>
        </is>
      </c>
      <c r="F86" t="inlineStr">
        <is>
          <t>SCA</t>
        </is>
      </c>
      <c r="G86" t="n">
        <v>4.1</v>
      </c>
      <c r="H86" t="n">
        <v>1</v>
      </c>
      <c r="I86" t="n">
        <v>0</v>
      </c>
      <c r="J86" t="n">
        <v>4</v>
      </c>
      <c r="K86" t="n">
        <v>1</v>
      </c>
      <c r="L86" t="n">
        <v>0</v>
      </c>
      <c r="M86" t="n">
        <v>0</v>
      </c>
      <c r="N86" t="n">
        <v>0</v>
      </c>
      <c r="O86" t="n">
        <v>5</v>
      </c>
      <c r="P86" t="n">
        <v>1</v>
      </c>
      <c r="Q86" t="n">
        <v>5</v>
      </c>
      <c r="R86" s="2" t="inlineStr">
        <is>
          <t>Läderlappslav
Granticka
Lunglav
Tretåig hackspett
Ullticka</t>
        </is>
      </c>
      <c r="S86">
        <f>HYPERLINK("https://klasma.github.io/Logging_2303/artfynd/A 57073-2023 artfynd.xlsx", "A 57073-2023")</f>
        <v/>
      </c>
      <c r="T86">
        <f>HYPERLINK("https://klasma.github.io/Logging_2303/kartor/A 57073-2023 karta.png", "A 57073-2023")</f>
        <v/>
      </c>
      <c r="V86">
        <f>HYPERLINK("https://klasma.github.io/Logging_2303/klagomål/A 57073-2023 FSC-klagomål.docx", "A 57073-2023")</f>
        <v/>
      </c>
      <c r="W86">
        <f>HYPERLINK("https://klasma.github.io/Logging_2303/klagomålsmail/A 57073-2023 FSC-klagomål mail.docx", "A 57073-2023")</f>
        <v/>
      </c>
      <c r="X86">
        <f>HYPERLINK("https://klasma.github.io/Logging_2303/tillsyn/A 57073-2023 tillsynsbegäran.docx", "A 57073-2023")</f>
        <v/>
      </c>
      <c r="Y86">
        <f>HYPERLINK("https://klasma.github.io/Logging_2303/tillsynsmail/A 57073-2023 tillsynsbegäran mail.docx", "A 57073-2023")</f>
        <v/>
      </c>
      <c r="Z86">
        <f>HYPERLINK("https://klasma.github.io/Logging_2303/fåglar/A 57073-2023 prioriterade fågelarter.docx", "A 57073-2023")</f>
        <v/>
      </c>
    </row>
    <row r="87" ht="15" customHeight="1">
      <c r="A87" t="inlineStr">
        <is>
          <t>A 39365-2024</t>
        </is>
      </c>
      <c r="B87" s="1" t="n">
        <v>45551.46912037037</v>
      </c>
      <c r="C87" s="1" t="n">
        <v>46092</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15244-2025</t>
        </is>
      </c>
      <c r="B88" s="1" t="n">
        <v>45744.61550925926</v>
      </c>
      <c r="C88" s="1" t="n">
        <v>46092</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27313-2024</t>
        </is>
      </c>
      <c r="B89" s="1" t="n">
        <v>45471.94623842592</v>
      </c>
      <c r="C89" s="1" t="n">
        <v>46092</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30886-2025</t>
        </is>
      </c>
      <c r="B90" s="1" t="n">
        <v>45832.34578703704</v>
      </c>
      <c r="C90" s="1" t="n">
        <v>46092</v>
      </c>
      <c r="D90" t="inlineStr">
        <is>
          <t>JÄMTLANDS LÄN</t>
        </is>
      </c>
      <c r="E90" t="inlineStr">
        <is>
          <t>RAGUNDA</t>
        </is>
      </c>
      <c r="F90" t="inlineStr">
        <is>
          <t>SCA</t>
        </is>
      </c>
      <c r="G90" t="n">
        <v>4.4</v>
      </c>
      <c r="H90" t="n">
        <v>3</v>
      </c>
      <c r="I90" t="n">
        <v>1</v>
      </c>
      <c r="J90" t="n">
        <v>2</v>
      </c>
      <c r="K90" t="n">
        <v>1</v>
      </c>
      <c r="L90" t="n">
        <v>0</v>
      </c>
      <c r="M90" t="n">
        <v>0</v>
      </c>
      <c r="N90" t="n">
        <v>0</v>
      </c>
      <c r="O90" t="n">
        <v>3</v>
      </c>
      <c r="P90" t="n">
        <v>1</v>
      </c>
      <c r="Q90" t="n">
        <v>5</v>
      </c>
      <c r="R90" s="2" t="inlineStr">
        <is>
          <t>Knärot
Järpe
Lunglav
Ögonpyrola
Nattviol</t>
        </is>
      </c>
      <c r="S90">
        <f>HYPERLINK("https://klasma.github.io/Logging_2303/artfynd/A 30886-2025 artfynd.xlsx", "A 30886-2025")</f>
        <v/>
      </c>
      <c r="T90">
        <f>HYPERLINK("https://klasma.github.io/Logging_2303/kartor/A 30886-2025 karta.png", "A 30886-2025")</f>
        <v/>
      </c>
      <c r="U90">
        <f>HYPERLINK("https://klasma.github.io/Logging_2303/knärot/A 30886-2025 karta knärot.png", "A 30886-2025")</f>
        <v/>
      </c>
      <c r="V90">
        <f>HYPERLINK("https://klasma.github.io/Logging_2303/klagomål/A 30886-2025 FSC-klagomål.docx", "A 30886-2025")</f>
        <v/>
      </c>
      <c r="W90">
        <f>HYPERLINK("https://klasma.github.io/Logging_2303/klagomålsmail/A 30886-2025 FSC-klagomål mail.docx", "A 30886-2025")</f>
        <v/>
      </c>
      <c r="X90">
        <f>HYPERLINK("https://klasma.github.io/Logging_2303/tillsyn/A 30886-2025 tillsynsbegäran.docx", "A 30886-2025")</f>
        <v/>
      </c>
      <c r="Y90">
        <f>HYPERLINK("https://klasma.github.io/Logging_2303/tillsynsmail/A 30886-2025 tillsynsbegäran mail.docx", "A 30886-2025")</f>
        <v/>
      </c>
      <c r="Z90">
        <f>HYPERLINK("https://klasma.github.io/Logging_2303/fåglar/A 30886-2025 prioriterade fågelarter.docx", "A 30886-2025")</f>
        <v/>
      </c>
    </row>
    <row r="91" ht="15" customHeight="1">
      <c r="A91" t="inlineStr">
        <is>
          <t>A 11641-2026</t>
        </is>
      </c>
      <c r="B91" s="1" t="n">
        <v>46084.50094907408</v>
      </c>
      <c r="C91" s="1" t="n">
        <v>46092</v>
      </c>
      <c r="D91" t="inlineStr">
        <is>
          <t>JÄMTLANDS LÄN</t>
        </is>
      </c>
      <c r="E91" t="inlineStr">
        <is>
          <t>RAGUNDA</t>
        </is>
      </c>
      <c r="G91" t="n">
        <v>1.8</v>
      </c>
      <c r="H91" t="n">
        <v>0</v>
      </c>
      <c r="I91" t="n">
        <v>2</v>
      </c>
      <c r="J91" t="n">
        <v>3</v>
      </c>
      <c r="K91" t="n">
        <v>0</v>
      </c>
      <c r="L91" t="n">
        <v>0</v>
      </c>
      <c r="M91" t="n">
        <v>0</v>
      </c>
      <c r="N91" t="n">
        <v>0</v>
      </c>
      <c r="O91" t="n">
        <v>3</v>
      </c>
      <c r="P91" t="n">
        <v>0</v>
      </c>
      <c r="Q91" t="n">
        <v>5</v>
      </c>
      <c r="R91" s="2" t="inlineStr">
        <is>
          <t>Lunglav
Skrovellav
Vitgrynig nållav
Bårdlav
Stuplav</t>
        </is>
      </c>
      <c r="S91">
        <f>HYPERLINK("https://klasma.github.io/Logging_2303/artfynd/A 11641-2026 artfynd.xlsx", "A 11641-2026")</f>
        <v/>
      </c>
      <c r="T91">
        <f>HYPERLINK("https://klasma.github.io/Logging_2303/kartor/A 11641-2026 karta.png", "A 11641-2026")</f>
        <v/>
      </c>
      <c r="U91">
        <f>HYPERLINK("https://klasma.github.io/Logging_2303/knärot/A 11641-2026 karta knärot.png", "A 11641-2026")</f>
        <v/>
      </c>
      <c r="V91">
        <f>HYPERLINK("https://klasma.github.io/Logging_2303/klagomål/A 11641-2026 FSC-klagomål.docx", "A 11641-2026")</f>
        <v/>
      </c>
      <c r="W91">
        <f>HYPERLINK("https://klasma.github.io/Logging_2303/klagomålsmail/A 11641-2026 FSC-klagomål mail.docx", "A 11641-2026")</f>
        <v/>
      </c>
      <c r="X91">
        <f>HYPERLINK("https://klasma.github.io/Logging_2303/tillsyn/A 11641-2026 tillsynsbegäran.docx", "A 11641-2026")</f>
        <v/>
      </c>
      <c r="Y91">
        <f>HYPERLINK("https://klasma.github.io/Logging_2303/tillsynsmail/A 11641-2026 tillsynsbegäran mail.docx", "A 11641-2026")</f>
        <v/>
      </c>
    </row>
    <row r="92" ht="15" customHeight="1">
      <c r="A92" t="inlineStr">
        <is>
          <t>A 35344-2025</t>
        </is>
      </c>
      <c r="B92" s="1" t="n">
        <v>45854.61494212963</v>
      </c>
      <c r="C92" s="1" t="n">
        <v>46092</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agg.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46092</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13266-2023</t>
        </is>
      </c>
      <c r="B94" s="1" t="n">
        <v>45002.94356481481</v>
      </c>
      <c r="C94" s="1" t="n">
        <v>46092</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38169-2024</t>
        </is>
      </c>
      <c r="B95" s="1" t="n">
        <v>45545.45748842593</v>
      </c>
      <c r="C95" s="1" t="n">
        <v>46092</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12024-2022</t>
        </is>
      </c>
      <c r="B96" s="1" t="n">
        <v>44635</v>
      </c>
      <c r="C96" s="1" t="n">
        <v>46092</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43106-2023</t>
        </is>
      </c>
      <c r="B97" s="1" t="n">
        <v>45182</v>
      </c>
      <c r="C97" s="1" t="n">
        <v>46092</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46092</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46092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46092</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46092</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46092</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46092</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12640-2024</t>
        </is>
      </c>
      <c r="B104" s="1" t="n">
        <v>45384</v>
      </c>
      <c r="C104" s="1" t="n">
        <v>46092</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46092</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32903-2024</t>
        </is>
      </c>
      <c r="B106" s="1" t="n">
        <v>45516.94723379629</v>
      </c>
      <c r="C106" s="1" t="n">
        <v>46092</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46092</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46092</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46092</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43960-2023</t>
        </is>
      </c>
      <c r="B110" s="1" t="n">
        <v>45187</v>
      </c>
      <c r="C110" s="1" t="n">
        <v>46092</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46092</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46092</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26082-2025</t>
        </is>
      </c>
      <c r="B113" s="1" t="n">
        <v>45805.34415509259</v>
      </c>
      <c r="C113" s="1" t="n">
        <v>46092</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50342-2025</t>
        </is>
      </c>
      <c r="B114" s="1" t="n">
        <v>45944.53186342592</v>
      </c>
      <c r="C114" s="1" t="n">
        <v>46092</v>
      </c>
      <c r="D114" t="inlineStr">
        <is>
          <t>JÄMTLANDS LÄN</t>
        </is>
      </c>
      <c r="E114" t="inlineStr">
        <is>
          <t>RAGUNDA</t>
        </is>
      </c>
      <c r="F114" t="inlineStr">
        <is>
          <t>SCA</t>
        </is>
      </c>
      <c r="G114" t="n">
        <v>20.7</v>
      </c>
      <c r="H114" t="n">
        <v>1</v>
      </c>
      <c r="I114" t="n">
        <v>1</v>
      </c>
      <c r="J114" t="n">
        <v>3</v>
      </c>
      <c r="K114" t="n">
        <v>0</v>
      </c>
      <c r="L114" t="n">
        <v>0</v>
      </c>
      <c r="M114" t="n">
        <v>0</v>
      </c>
      <c r="N114" t="n">
        <v>0</v>
      </c>
      <c r="O114" t="n">
        <v>3</v>
      </c>
      <c r="P114" t="n">
        <v>0</v>
      </c>
      <c r="Q114" t="n">
        <v>4</v>
      </c>
      <c r="R114" s="2" t="inlineStr">
        <is>
          <t>Garnlav
Granticka
Tretåig hackspett
Trådticka</t>
        </is>
      </c>
      <c r="S114">
        <f>HYPERLINK("https://klasma.github.io/Logging_2303/artfynd/A 50342-2025 artfynd.xlsx", "A 50342-2025")</f>
        <v/>
      </c>
      <c r="T114">
        <f>HYPERLINK("https://klasma.github.io/Logging_2303/kartor/A 50342-2025 karta.png", "A 50342-2025")</f>
        <v/>
      </c>
      <c r="V114">
        <f>HYPERLINK("https://klasma.github.io/Logging_2303/klagomål/A 50342-2025 FSC-klagomål.docx", "A 50342-2025")</f>
        <v/>
      </c>
      <c r="W114">
        <f>HYPERLINK("https://klasma.github.io/Logging_2303/klagomålsmail/A 50342-2025 FSC-klagomål mail.docx", "A 50342-2025")</f>
        <v/>
      </c>
      <c r="X114">
        <f>HYPERLINK("https://klasma.github.io/Logging_2303/tillsyn/A 50342-2025 tillsynsbegäran.docx", "A 50342-2025")</f>
        <v/>
      </c>
      <c r="Y114">
        <f>HYPERLINK("https://klasma.github.io/Logging_2303/tillsynsmail/A 50342-2025 tillsynsbegäran mail.docx", "A 50342-2025")</f>
        <v/>
      </c>
      <c r="Z114">
        <f>HYPERLINK("https://klasma.github.io/Logging_2303/fåglar/A 50342-2025 prioriterade fågelarter.docx", "A 50342-2025")</f>
        <v/>
      </c>
    </row>
    <row r="115" ht="15" customHeight="1">
      <c r="A115" t="inlineStr">
        <is>
          <t>A 32067-2024</t>
        </is>
      </c>
      <c r="B115" s="1" t="n">
        <v>45510</v>
      </c>
      <c r="C115" s="1" t="n">
        <v>46092</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2282-2026</t>
        </is>
      </c>
      <c r="B116" s="1" t="n">
        <v>46036.57798611111</v>
      </c>
      <c r="C116" s="1" t="n">
        <v>46092</v>
      </c>
      <c r="D116" t="inlineStr">
        <is>
          <t>JÄMTLANDS LÄN</t>
        </is>
      </c>
      <c r="E116" t="inlineStr">
        <is>
          <t>RAGUNDA</t>
        </is>
      </c>
      <c r="G116" t="n">
        <v>2</v>
      </c>
      <c r="H116" t="n">
        <v>1</v>
      </c>
      <c r="I116" t="n">
        <v>0</v>
      </c>
      <c r="J116" t="n">
        <v>4</v>
      </c>
      <c r="K116" t="n">
        <v>0</v>
      </c>
      <c r="L116" t="n">
        <v>0</v>
      </c>
      <c r="M116" t="n">
        <v>0</v>
      </c>
      <c r="N116" t="n">
        <v>0</v>
      </c>
      <c r="O116" t="n">
        <v>4</v>
      </c>
      <c r="P116" t="n">
        <v>0</v>
      </c>
      <c r="Q116" t="n">
        <v>4</v>
      </c>
      <c r="R116" s="2" t="inlineStr">
        <is>
          <t>Garnlav
Harticka
Lunglav
Tretåig hackspett</t>
        </is>
      </c>
      <c r="S116">
        <f>HYPERLINK("https://klasma.github.io/Logging_2303/artfynd/A 2282-2026 artfynd.xlsx", "A 2282-2026")</f>
        <v/>
      </c>
      <c r="T116">
        <f>HYPERLINK("https://klasma.github.io/Logging_2303/kartor/A 2282-2026 karta.png", "A 2282-2026")</f>
        <v/>
      </c>
      <c r="V116">
        <f>HYPERLINK("https://klasma.github.io/Logging_2303/klagomål/A 2282-2026 FSC-klagomål.docx", "A 2282-2026")</f>
        <v/>
      </c>
      <c r="W116">
        <f>HYPERLINK("https://klasma.github.io/Logging_2303/klagomålsmail/A 2282-2026 FSC-klagomål mail.docx", "A 2282-2026")</f>
        <v/>
      </c>
      <c r="X116">
        <f>HYPERLINK("https://klasma.github.io/Logging_2303/tillsyn/A 2282-2026 tillsynsbegäran.docx", "A 2282-2026")</f>
        <v/>
      </c>
      <c r="Y116">
        <f>HYPERLINK("https://klasma.github.io/Logging_2303/tillsynsmail/A 2282-2026 tillsynsbegäran mail.docx", "A 2282-2026")</f>
        <v/>
      </c>
      <c r="Z116">
        <f>HYPERLINK("https://klasma.github.io/Logging_2303/fåglar/A 2282-2026 prioriterade fågelarter.docx", "A 2282-2026")</f>
        <v/>
      </c>
    </row>
    <row r="117" ht="15" customHeight="1">
      <c r="A117" t="inlineStr">
        <is>
          <t>A 52168-2025</t>
        </is>
      </c>
      <c r="B117" s="1" t="n">
        <v>45953.365625</v>
      </c>
      <c r="C117" s="1" t="n">
        <v>46092</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3809-2026</t>
        </is>
      </c>
      <c r="B118" s="1" t="n">
        <v>46043.58364583334</v>
      </c>
      <c r="C118" s="1" t="n">
        <v>46092</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15836-2024</t>
        </is>
      </c>
      <c r="B119" s="1" t="n">
        <v>45404</v>
      </c>
      <c r="C119" s="1" t="n">
        <v>46092</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30465-2024</t>
        </is>
      </c>
      <c r="B120" s="1" t="n">
        <v>45491</v>
      </c>
      <c r="C120" s="1" t="n">
        <v>46092</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52644-2024</t>
        </is>
      </c>
      <c r="B121" s="1" t="n">
        <v>45610.34415509259</v>
      </c>
      <c r="C121" s="1" t="n">
        <v>46092</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19401-2025</t>
        </is>
      </c>
      <c r="B122" s="1" t="n">
        <v>45769.67767361111</v>
      </c>
      <c r="C122" s="1" t="n">
        <v>46092</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46092</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21372-2025</t>
        </is>
      </c>
      <c r="B124" s="1" t="n">
        <v>45782.44871527778</v>
      </c>
      <c r="C124" s="1" t="n">
        <v>46092</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46092</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46092</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46092</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46092</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57667-2025</t>
        </is>
      </c>
      <c r="B129" s="1" t="n">
        <v>45981.42767361111</v>
      </c>
      <c r="C129" s="1" t="n">
        <v>46092</v>
      </c>
      <c r="D129" t="inlineStr">
        <is>
          <t>JÄMTLANDS LÄN</t>
        </is>
      </c>
      <c r="E129" t="inlineStr">
        <is>
          <t>RAGUNDA</t>
        </is>
      </c>
      <c r="F129" t="inlineStr">
        <is>
          <t>SCA</t>
        </is>
      </c>
      <c r="G129" t="n">
        <v>1.7</v>
      </c>
      <c r="H129" t="n">
        <v>0</v>
      </c>
      <c r="I129" t="n">
        <v>2</v>
      </c>
      <c r="J129" t="n">
        <v>1</v>
      </c>
      <c r="K129" t="n">
        <v>0</v>
      </c>
      <c r="L129" t="n">
        <v>0</v>
      </c>
      <c r="M129" t="n">
        <v>0</v>
      </c>
      <c r="N129" t="n">
        <v>0</v>
      </c>
      <c r="O129" t="n">
        <v>1</v>
      </c>
      <c r="P129" t="n">
        <v>0</v>
      </c>
      <c r="Q129" t="n">
        <v>3</v>
      </c>
      <c r="R129" s="2" t="inlineStr">
        <is>
          <t>Lunglav
Korallblylav
Luddlav</t>
        </is>
      </c>
      <c r="S129">
        <f>HYPERLINK("https://klasma.github.io/Logging_2303/artfynd/A 57667-2025 artfynd.xlsx", "A 57667-2025")</f>
        <v/>
      </c>
      <c r="T129">
        <f>HYPERLINK("https://klasma.github.io/Logging_2303/kartor/A 57667-2025 karta.png", "A 57667-2025")</f>
        <v/>
      </c>
      <c r="V129">
        <f>HYPERLINK("https://klasma.github.io/Logging_2303/klagomål/A 57667-2025 FSC-klagomål.docx", "A 57667-2025")</f>
        <v/>
      </c>
      <c r="W129">
        <f>HYPERLINK("https://klasma.github.io/Logging_2303/klagomålsmail/A 57667-2025 FSC-klagomål mail.docx", "A 57667-2025")</f>
        <v/>
      </c>
      <c r="X129">
        <f>HYPERLINK("https://klasma.github.io/Logging_2303/tillsyn/A 57667-2025 tillsynsbegäran.docx", "A 57667-2025")</f>
        <v/>
      </c>
      <c r="Y129">
        <f>HYPERLINK("https://klasma.github.io/Logging_2303/tillsynsmail/A 57667-2025 tillsynsbegäran mail.docx", "A 57667-2025")</f>
        <v/>
      </c>
    </row>
    <row r="130" ht="15" customHeight="1">
      <c r="A130" t="inlineStr">
        <is>
          <t>A 52345-2024</t>
        </is>
      </c>
      <c r="B130" s="1" t="n">
        <v>45609.34412037037</v>
      </c>
      <c r="C130" s="1" t="n">
        <v>46092</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59179-2025</t>
        </is>
      </c>
      <c r="B131" s="1" t="n">
        <v>45988.57350694444</v>
      </c>
      <c r="C131" s="1" t="n">
        <v>46092</v>
      </c>
      <c r="D131" t="inlineStr">
        <is>
          <t>JÄMTLANDS LÄN</t>
        </is>
      </c>
      <c r="E131" t="inlineStr">
        <is>
          <t>RAGUNDA</t>
        </is>
      </c>
      <c r="F131" t="inlineStr">
        <is>
          <t>SCA</t>
        </is>
      </c>
      <c r="G131" t="n">
        <v>2.3</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HYPERLINK("https://klasma.github.io/Logging_2303/artfynd/A 59179-2025 artfynd.xlsx", "A 59179-2025")</f>
        <v/>
      </c>
      <c r="T131">
        <f>HYPERLINK("https://klasma.github.io/Logging_2303/kartor/A 59179-2025 karta.png", "A 59179-2025")</f>
        <v/>
      </c>
      <c r="V131">
        <f>HYPERLINK("https://klasma.github.io/Logging_2303/klagomål/A 59179-2025 FSC-klagomål.docx", "A 59179-2025")</f>
        <v/>
      </c>
      <c r="W131">
        <f>HYPERLINK("https://klasma.github.io/Logging_2303/klagomålsmail/A 59179-2025 FSC-klagomål mail.docx", "A 59179-2025")</f>
        <v/>
      </c>
      <c r="X131">
        <f>HYPERLINK("https://klasma.github.io/Logging_2303/tillsyn/A 59179-2025 tillsynsbegäran.docx", "A 59179-2025")</f>
        <v/>
      </c>
      <c r="Y131">
        <f>HYPERLINK("https://klasma.github.io/Logging_2303/tillsynsmail/A 59179-2025 tillsynsbegäran mail.docx", "A 59179-2025")</f>
        <v/>
      </c>
    </row>
    <row r="132" ht="15" customHeight="1">
      <c r="A132" t="inlineStr">
        <is>
          <t>A 53022-2022</t>
        </is>
      </c>
      <c r="B132" s="1" t="n">
        <v>44875</v>
      </c>
      <c r="C132" s="1" t="n">
        <v>46092</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61954-2025</t>
        </is>
      </c>
      <c r="B133" s="1" t="n">
        <v>46003.57381944444</v>
      </c>
      <c r="C133" s="1" t="n">
        <v>46092</v>
      </c>
      <c r="D133" t="inlineStr">
        <is>
          <t>JÄMTLANDS LÄN</t>
        </is>
      </c>
      <c r="E133" t="inlineStr">
        <is>
          <t>RAGUNDA</t>
        </is>
      </c>
      <c r="F133" t="inlineStr">
        <is>
          <t>SCA</t>
        </is>
      </c>
      <c r="G133" t="n">
        <v>6.5</v>
      </c>
      <c r="H133" t="n">
        <v>0</v>
      </c>
      <c r="I133" t="n">
        <v>1</v>
      </c>
      <c r="J133" t="n">
        <v>2</v>
      </c>
      <c r="K133" t="n">
        <v>0</v>
      </c>
      <c r="L133" t="n">
        <v>0</v>
      </c>
      <c r="M133" t="n">
        <v>0</v>
      </c>
      <c r="N133" t="n">
        <v>0</v>
      </c>
      <c r="O133" t="n">
        <v>2</v>
      </c>
      <c r="P133" t="n">
        <v>0</v>
      </c>
      <c r="Q133" t="n">
        <v>3</v>
      </c>
      <c r="R133" s="2" t="inlineStr">
        <is>
          <t>Garnlav
Lunglav
Trådticka</t>
        </is>
      </c>
      <c r="S133">
        <f>HYPERLINK("https://klasma.github.io/Logging_2303/artfynd/A 61954-2025 artfynd.xlsx", "A 61954-2025")</f>
        <v/>
      </c>
      <c r="T133">
        <f>HYPERLINK("https://klasma.github.io/Logging_2303/kartor/A 61954-2025 karta.png", "A 61954-2025")</f>
        <v/>
      </c>
      <c r="V133">
        <f>HYPERLINK("https://klasma.github.io/Logging_2303/klagomål/A 61954-2025 FSC-klagomål.docx", "A 61954-2025")</f>
        <v/>
      </c>
      <c r="W133">
        <f>HYPERLINK("https://klasma.github.io/Logging_2303/klagomålsmail/A 61954-2025 FSC-klagomål mail.docx", "A 61954-2025")</f>
        <v/>
      </c>
      <c r="X133">
        <f>HYPERLINK("https://klasma.github.io/Logging_2303/tillsyn/A 61954-2025 tillsynsbegäran.docx", "A 61954-2025")</f>
        <v/>
      </c>
      <c r="Y133">
        <f>HYPERLINK("https://klasma.github.io/Logging_2303/tillsynsmail/A 61954-2025 tillsynsbegäran mail.docx", "A 61954-2025")</f>
        <v/>
      </c>
    </row>
    <row r="134" ht="15" customHeight="1">
      <c r="A134" t="inlineStr">
        <is>
          <t>A 5731-2026</t>
        </is>
      </c>
      <c r="B134" s="1" t="n">
        <v>46051.57355324074</v>
      </c>
      <c r="C134" s="1" t="n">
        <v>46092</v>
      </c>
      <c r="D134" t="inlineStr">
        <is>
          <t>JÄMTLANDS LÄN</t>
        </is>
      </c>
      <c r="E134" t="inlineStr">
        <is>
          <t>RAGUNDA</t>
        </is>
      </c>
      <c r="F134" t="inlineStr">
        <is>
          <t>SCA</t>
        </is>
      </c>
      <c r="G134" t="n">
        <v>2</v>
      </c>
      <c r="H134" t="n">
        <v>1</v>
      </c>
      <c r="I134" t="n">
        <v>0</v>
      </c>
      <c r="J134" t="n">
        <v>2</v>
      </c>
      <c r="K134" t="n">
        <v>0</v>
      </c>
      <c r="L134" t="n">
        <v>0</v>
      </c>
      <c r="M134" t="n">
        <v>0</v>
      </c>
      <c r="N134" t="n">
        <v>0</v>
      </c>
      <c r="O134" t="n">
        <v>2</v>
      </c>
      <c r="P134" t="n">
        <v>0</v>
      </c>
      <c r="Q134" t="n">
        <v>3</v>
      </c>
      <c r="R134" s="2" t="inlineStr">
        <is>
          <t>Garnlav
Lunglav
Lavskrika</t>
        </is>
      </c>
      <c r="S134">
        <f>HYPERLINK("https://klasma.github.io/Logging_2303/artfynd/A 5731-2026 artfynd.xlsx", "A 5731-2026")</f>
        <v/>
      </c>
      <c r="T134">
        <f>HYPERLINK("https://klasma.github.io/Logging_2303/kartor/A 5731-2026 karta.png", "A 5731-2026")</f>
        <v/>
      </c>
      <c r="V134">
        <f>HYPERLINK("https://klasma.github.io/Logging_2303/klagomål/A 5731-2026 FSC-klagomål.docx", "A 5731-2026")</f>
        <v/>
      </c>
      <c r="W134">
        <f>HYPERLINK("https://klasma.github.io/Logging_2303/klagomålsmail/A 5731-2026 FSC-klagomål mail.docx", "A 5731-2026")</f>
        <v/>
      </c>
      <c r="X134">
        <f>HYPERLINK("https://klasma.github.io/Logging_2303/tillsyn/A 5731-2026 tillsynsbegäran.docx", "A 5731-2026")</f>
        <v/>
      </c>
      <c r="Y134">
        <f>HYPERLINK("https://klasma.github.io/Logging_2303/tillsynsmail/A 5731-2026 tillsynsbegäran mail.docx", "A 5731-2026")</f>
        <v/>
      </c>
      <c r="Z134">
        <f>HYPERLINK("https://klasma.github.io/Logging_2303/fåglar/A 5731-2026 prioriterade fågelarter.docx", "A 5731-2026")</f>
        <v/>
      </c>
    </row>
    <row r="135" ht="15" customHeight="1">
      <c r="A135" t="inlineStr">
        <is>
          <t>A 30470-2024</t>
        </is>
      </c>
      <c r="B135" s="1" t="n">
        <v>45491</v>
      </c>
      <c r="C135" s="1" t="n">
        <v>46092</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58737-2022</t>
        </is>
      </c>
      <c r="B136" s="1" t="n">
        <v>44902</v>
      </c>
      <c r="C136" s="1" t="n">
        <v>46092</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25769-2025</t>
        </is>
      </c>
      <c r="B137" s="1" t="n">
        <v>45804.34474537037</v>
      </c>
      <c r="C137" s="1" t="n">
        <v>46092</v>
      </c>
      <c r="D137" t="inlineStr">
        <is>
          <t>JÄMTLANDS LÄN</t>
        </is>
      </c>
      <c r="E137" t="inlineStr">
        <is>
          <t>RAGUNDA</t>
        </is>
      </c>
      <c r="F137" t="inlineStr">
        <is>
          <t>SCA</t>
        </is>
      </c>
      <c r="G137" t="n">
        <v>5.3</v>
      </c>
      <c r="H137" t="n">
        <v>2</v>
      </c>
      <c r="I137" t="n">
        <v>0</v>
      </c>
      <c r="J137" t="n">
        <v>3</v>
      </c>
      <c r="K137" t="n">
        <v>0</v>
      </c>
      <c r="L137" t="n">
        <v>0</v>
      </c>
      <c r="M137" t="n">
        <v>0</v>
      </c>
      <c r="N137" t="n">
        <v>0</v>
      </c>
      <c r="O137" t="n">
        <v>3</v>
      </c>
      <c r="P137" t="n">
        <v>0</v>
      </c>
      <c r="Q137" t="n">
        <v>3</v>
      </c>
      <c r="R137" s="2" t="inlineStr">
        <is>
          <t>Garnlav
Rödvingetrast
Tretåig hackspett</t>
        </is>
      </c>
      <c r="S137">
        <f>HYPERLINK("https://klasma.github.io/Logging_2303/artfynd/A 25769-2025 artfynd.xlsx", "A 25769-2025")</f>
        <v/>
      </c>
      <c r="T137">
        <f>HYPERLINK("https://klasma.github.io/Logging_2303/kartor/A 25769-2025 karta.png", "A 25769-2025")</f>
        <v/>
      </c>
      <c r="V137">
        <f>HYPERLINK("https://klasma.github.io/Logging_2303/klagomål/A 25769-2025 FSC-klagomål.docx", "A 25769-2025")</f>
        <v/>
      </c>
      <c r="W137">
        <f>HYPERLINK("https://klasma.github.io/Logging_2303/klagomålsmail/A 25769-2025 FSC-klagomål mail.docx", "A 25769-2025")</f>
        <v/>
      </c>
      <c r="X137">
        <f>HYPERLINK("https://klasma.github.io/Logging_2303/tillsyn/A 25769-2025 tillsynsbegäran.docx", "A 25769-2025")</f>
        <v/>
      </c>
      <c r="Y137">
        <f>HYPERLINK("https://klasma.github.io/Logging_2303/tillsynsmail/A 25769-2025 tillsynsbegäran mail.docx", "A 25769-2025")</f>
        <v/>
      </c>
      <c r="Z137">
        <f>HYPERLINK("https://klasma.github.io/Logging_2303/fåglar/A 25769-2025 prioriterade fågelarter.docx", "A 25769-2025")</f>
        <v/>
      </c>
    </row>
    <row r="138" ht="15" customHeight="1">
      <c r="A138" t="inlineStr">
        <is>
          <t>A 28178-2023</t>
        </is>
      </c>
      <c r="B138" s="1" t="n">
        <v>45093</v>
      </c>
      <c r="C138" s="1" t="n">
        <v>46092</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22571-2025</t>
        </is>
      </c>
      <c r="B139" s="1" t="n">
        <v>45789.36503472222</v>
      </c>
      <c r="C139" s="1" t="n">
        <v>46092</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49047-2023</t>
        </is>
      </c>
      <c r="B140" s="1" t="n">
        <v>45209</v>
      </c>
      <c r="C140" s="1" t="n">
        <v>46092</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57941-2024</t>
        </is>
      </c>
      <c r="B141" s="1" t="n">
        <v>45631</v>
      </c>
      <c r="C141" s="1" t="n">
        <v>46092</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34585-2025</t>
        </is>
      </c>
      <c r="B142" s="1" t="n">
        <v>45847.61498842593</v>
      </c>
      <c r="C142" s="1" t="n">
        <v>46092</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32416-2025</t>
        </is>
      </c>
      <c r="B143" s="1" t="n">
        <v>45838</v>
      </c>
      <c r="C143" s="1" t="n">
        <v>46092</v>
      </c>
      <c r="D143" t="inlineStr">
        <is>
          <t>JÄMTLANDS LÄN</t>
        </is>
      </c>
      <c r="E143" t="inlineStr">
        <is>
          <t>RAGUNDA</t>
        </is>
      </c>
      <c r="F143" t="inlineStr">
        <is>
          <t>SCA</t>
        </is>
      </c>
      <c r="G143" t="n">
        <v>1.1</v>
      </c>
      <c r="H143" t="n">
        <v>2</v>
      </c>
      <c r="I143" t="n">
        <v>1</v>
      </c>
      <c r="J143" t="n">
        <v>0</v>
      </c>
      <c r="K143" t="n">
        <v>0</v>
      </c>
      <c r="L143" t="n">
        <v>0</v>
      </c>
      <c r="M143" t="n">
        <v>0</v>
      </c>
      <c r="N143" t="n">
        <v>0</v>
      </c>
      <c r="O143" t="n">
        <v>0</v>
      </c>
      <c r="P143" t="n">
        <v>0</v>
      </c>
      <c r="Q143" t="n">
        <v>3</v>
      </c>
      <c r="R143" s="2" t="inlineStr">
        <is>
          <t>Underviol
Blåsippa
Revlummer</t>
        </is>
      </c>
      <c r="S143">
        <f>HYPERLINK("https://klasma.github.io/Logging_2303/artfynd/A 32416-2025 artfynd.xlsx", "A 32416-2025")</f>
        <v/>
      </c>
      <c r="T143">
        <f>HYPERLINK("https://klasma.github.io/Logging_2303/kartor/A 32416-2025 karta.png", "A 32416-2025")</f>
        <v/>
      </c>
      <c r="V143">
        <f>HYPERLINK("https://klasma.github.io/Logging_2303/klagomål/A 32416-2025 FSC-klagomål.docx", "A 32416-2025")</f>
        <v/>
      </c>
      <c r="W143">
        <f>HYPERLINK("https://klasma.github.io/Logging_2303/klagomålsmail/A 32416-2025 FSC-klagomål mail.docx", "A 32416-2025")</f>
        <v/>
      </c>
      <c r="X143">
        <f>HYPERLINK("https://klasma.github.io/Logging_2303/tillsyn/A 32416-2025 tillsynsbegäran.docx", "A 32416-2025")</f>
        <v/>
      </c>
      <c r="Y143">
        <f>HYPERLINK("https://klasma.github.io/Logging_2303/tillsynsmail/A 32416-2025 tillsynsbegäran mail.docx", "A 32416-2025")</f>
        <v/>
      </c>
    </row>
    <row r="144" ht="15" customHeight="1">
      <c r="A144" t="inlineStr">
        <is>
          <t>A 14814-2024</t>
        </is>
      </c>
      <c r="B144" s="1" t="n">
        <v>45397.95748842593</v>
      </c>
      <c r="C144" s="1" t="n">
        <v>46092</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33278-2022</t>
        </is>
      </c>
      <c r="B145" s="1" t="n">
        <v>44788</v>
      </c>
      <c r="C145" s="1" t="n">
        <v>46092</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7519-2023</t>
        </is>
      </c>
      <c r="B146" s="1" t="n">
        <v>44971</v>
      </c>
      <c r="C146" s="1" t="n">
        <v>46092</v>
      </c>
      <c r="D146" t="inlineStr">
        <is>
          <t>JÄMTLANDS LÄN</t>
        </is>
      </c>
      <c r="E146" t="inlineStr">
        <is>
          <t>RAGUNDA</t>
        </is>
      </c>
      <c r="F146" t="inlineStr">
        <is>
          <t>SCA</t>
        </is>
      </c>
      <c r="G146" t="n">
        <v>3.2</v>
      </c>
      <c r="H146" t="n">
        <v>0</v>
      </c>
      <c r="I146" t="n">
        <v>1</v>
      </c>
      <c r="J146" t="n">
        <v>2</v>
      </c>
      <c r="K146" t="n">
        <v>0</v>
      </c>
      <c r="L146" t="n">
        <v>0</v>
      </c>
      <c r="M146" t="n">
        <v>0</v>
      </c>
      <c r="N146" t="n">
        <v>0</v>
      </c>
      <c r="O146" t="n">
        <v>2</v>
      </c>
      <c r="P146" t="n">
        <v>0</v>
      </c>
      <c r="Q146" t="n">
        <v>3</v>
      </c>
      <c r="R146" s="2" t="inlineStr">
        <is>
          <t>Granticka
Lunglav
Stor aspticka</t>
        </is>
      </c>
      <c r="S146">
        <f>HYPERLINK("https://klasma.github.io/Logging_2303/artfynd/A 7519-2023 artfynd.xlsx", "A 7519-2023")</f>
        <v/>
      </c>
      <c r="T146">
        <f>HYPERLINK("https://klasma.github.io/Logging_2303/kartor/A 7519-2023 karta.png", "A 7519-2023")</f>
        <v/>
      </c>
      <c r="V146">
        <f>HYPERLINK("https://klasma.github.io/Logging_2303/klagomål/A 7519-2023 FSC-klagomål.docx", "A 7519-2023")</f>
        <v/>
      </c>
      <c r="W146">
        <f>HYPERLINK("https://klasma.github.io/Logging_2303/klagomålsmail/A 7519-2023 FSC-klagomål mail.docx", "A 7519-2023")</f>
        <v/>
      </c>
      <c r="X146">
        <f>HYPERLINK("https://klasma.github.io/Logging_2303/tillsyn/A 7519-2023 tillsynsbegäran.docx", "A 7519-2023")</f>
        <v/>
      </c>
      <c r="Y146">
        <f>HYPERLINK("https://klasma.github.io/Logging_2303/tillsynsmail/A 7519-2023 tillsynsbegäran mail.docx", "A 7519-2023")</f>
        <v/>
      </c>
    </row>
    <row r="147" ht="15" customHeight="1">
      <c r="A147" t="inlineStr">
        <is>
          <t>A 12737-2025</t>
        </is>
      </c>
      <c r="B147" s="1" t="n">
        <v>45733</v>
      </c>
      <c r="C147" s="1" t="n">
        <v>46092</v>
      </c>
      <c r="D147" t="inlineStr">
        <is>
          <t>JÄMTLANDS LÄN</t>
        </is>
      </c>
      <c r="E147" t="inlineStr">
        <is>
          <t>RAGUNDA</t>
        </is>
      </c>
      <c r="G147" t="n">
        <v>16.1</v>
      </c>
      <c r="H147" t="n">
        <v>2</v>
      </c>
      <c r="I147" t="n">
        <v>2</v>
      </c>
      <c r="J147" t="n">
        <v>0</v>
      </c>
      <c r="K147" t="n">
        <v>1</v>
      </c>
      <c r="L147" t="n">
        <v>0</v>
      </c>
      <c r="M147" t="n">
        <v>0</v>
      </c>
      <c r="N147" t="n">
        <v>0</v>
      </c>
      <c r="O147" t="n">
        <v>1</v>
      </c>
      <c r="P147" t="n">
        <v>1</v>
      </c>
      <c r="Q147" t="n">
        <v>3</v>
      </c>
      <c r="R147" s="2" t="inlineStr">
        <is>
          <t>Knärot
Plattlummer
Skarp dropptaggsvamp</t>
        </is>
      </c>
      <c r="S147">
        <f>HYPERLINK("https://klasma.github.io/Logging_2303/artfynd/A 12737-2025 artfynd.xlsx", "A 12737-2025")</f>
        <v/>
      </c>
      <c r="T147">
        <f>HYPERLINK("https://klasma.github.io/Logging_2303/kartor/A 12737-2025 karta.png", "A 12737-2025")</f>
        <v/>
      </c>
      <c r="U147">
        <f>HYPERLINK("https://klasma.github.io/Logging_2303/knärot/A 12737-2025 karta knärot.png", "A 12737-2025")</f>
        <v/>
      </c>
      <c r="V147">
        <f>HYPERLINK("https://klasma.github.io/Logging_2303/klagomål/A 12737-2025 FSC-klagomål.docx", "A 12737-2025")</f>
        <v/>
      </c>
      <c r="W147">
        <f>HYPERLINK("https://klasma.github.io/Logging_2303/klagomålsmail/A 12737-2025 FSC-klagomål mail.docx", "A 12737-2025")</f>
        <v/>
      </c>
      <c r="X147">
        <f>HYPERLINK("https://klasma.github.io/Logging_2303/tillsyn/A 12737-2025 tillsynsbegäran.docx", "A 12737-2025")</f>
        <v/>
      </c>
      <c r="Y147">
        <f>HYPERLINK("https://klasma.github.io/Logging_2303/tillsynsmail/A 12737-2025 tillsynsbegäran mail.docx", "A 12737-2025")</f>
        <v/>
      </c>
    </row>
    <row r="148" ht="15" customHeight="1">
      <c r="A148" t="inlineStr">
        <is>
          <t>A 5048-2025</t>
        </is>
      </c>
      <c r="B148" s="1" t="n">
        <v>45691.44769675926</v>
      </c>
      <c r="C148" s="1" t="n">
        <v>46092</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61790-2023</t>
        </is>
      </c>
      <c r="B149" s="1" t="n">
        <v>45265</v>
      </c>
      <c r="C149" s="1" t="n">
        <v>46092</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46092</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46092</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46092</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46092</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46092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46092</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46092</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46092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46092</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62636-2025</t>
        </is>
      </c>
      <c r="B160" s="1" t="n">
        <v>46008.3653587963</v>
      </c>
      <c r="C160" s="1" t="n">
        <v>46092</v>
      </c>
      <c r="D160" t="inlineStr">
        <is>
          <t>JÄMTLANDS LÄN</t>
        </is>
      </c>
      <c r="E160" t="inlineStr">
        <is>
          <t>RAGUNDA</t>
        </is>
      </c>
      <c r="G160" t="n">
        <v>3.1</v>
      </c>
      <c r="H160" t="n">
        <v>1</v>
      </c>
      <c r="I160" t="n">
        <v>0</v>
      </c>
      <c r="J160" t="n">
        <v>2</v>
      </c>
      <c r="K160" t="n">
        <v>0</v>
      </c>
      <c r="L160" t="n">
        <v>0</v>
      </c>
      <c r="M160" t="n">
        <v>0</v>
      </c>
      <c r="N160" t="n">
        <v>0</v>
      </c>
      <c r="O160" t="n">
        <v>2</v>
      </c>
      <c r="P160" t="n">
        <v>0</v>
      </c>
      <c r="Q160" t="n">
        <v>2</v>
      </c>
      <c r="R160" s="2" t="inlineStr">
        <is>
          <t>Garnlav
Talltita</t>
        </is>
      </c>
      <c r="S160">
        <f>HYPERLINK("https://klasma.github.io/Logging_2303/artfynd/A 62636-2025 artfynd.xlsx", "A 62636-2025")</f>
        <v/>
      </c>
      <c r="T160">
        <f>HYPERLINK("https://klasma.github.io/Logging_2303/kartor/A 62636-2025 karta.png", "A 62636-2025")</f>
        <v/>
      </c>
      <c r="V160">
        <f>HYPERLINK("https://klasma.github.io/Logging_2303/klagomål/A 62636-2025 FSC-klagomål.docx", "A 62636-2025")</f>
        <v/>
      </c>
      <c r="W160">
        <f>HYPERLINK("https://klasma.github.io/Logging_2303/klagomålsmail/A 62636-2025 FSC-klagomål mail.docx", "A 62636-2025")</f>
        <v/>
      </c>
      <c r="X160">
        <f>HYPERLINK("https://klasma.github.io/Logging_2303/tillsyn/A 62636-2025 tillsynsbegäran.docx", "A 62636-2025")</f>
        <v/>
      </c>
      <c r="Y160">
        <f>HYPERLINK("https://klasma.github.io/Logging_2303/tillsynsmail/A 62636-2025 tillsynsbegäran mail.docx", "A 62636-2025")</f>
        <v/>
      </c>
      <c r="Z160">
        <f>HYPERLINK("https://klasma.github.io/Logging_2303/fåglar/A 62636-2025 prioriterade fågelarter.docx", "A 62636-2025")</f>
        <v/>
      </c>
    </row>
    <row r="161" ht="15" customHeight="1">
      <c r="A161" t="inlineStr">
        <is>
          <t>A 32736-2023</t>
        </is>
      </c>
      <c r="B161" s="1" t="n">
        <v>45121</v>
      </c>
      <c r="C161" s="1" t="n">
        <v>46092</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46092</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56634-2025</t>
        </is>
      </c>
      <c r="B163" s="1" t="n">
        <v>45975.61619212963</v>
      </c>
      <c r="C163" s="1" t="n">
        <v>46092</v>
      </c>
      <c r="D163" t="inlineStr">
        <is>
          <t>JÄMTLANDS LÄN</t>
        </is>
      </c>
      <c r="E163" t="inlineStr">
        <is>
          <t>RAGUNDA</t>
        </is>
      </c>
      <c r="F163" t="inlineStr">
        <is>
          <t>SCA</t>
        </is>
      </c>
      <c r="G163" t="n">
        <v>86.59999999999999</v>
      </c>
      <c r="H163" t="n">
        <v>0</v>
      </c>
      <c r="I163" t="n">
        <v>1</v>
      </c>
      <c r="J163" t="n">
        <v>1</v>
      </c>
      <c r="K163" t="n">
        <v>0</v>
      </c>
      <c r="L163" t="n">
        <v>0</v>
      </c>
      <c r="M163" t="n">
        <v>0</v>
      </c>
      <c r="N163" t="n">
        <v>0</v>
      </c>
      <c r="O163" t="n">
        <v>1</v>
      </c>
      <c r="P163" t="n">
        <v>0</v>
      </c>
      <c r="Q163" t="n">
        <v>2</v>
      </c>
      <c r="R163" s="2" t="inlineStr">
        <is>
          <t>Garnlav
Skuggblåslav</t>
        </is>
      </c>
      <c r="S163">
        <f>HYPERLINK("https://klasma.github.io/Logging_2303/artfynd/A 56634-2025 artfynd.xlsx", "A 56634-2025")</f>
        <v/>
      </c>
      <c r="T163">
        <f>HYPERLINK("https://klasma.github.io/Logging_2303/kartor/A 56634-2025 karta.png", "A 56634-2025")</f>
        <v/>
      </c>
      <c r="V163">
        <f>HYPERLINK("https://klasma.github.io/Logging_2303/klagomål/A 56634-2025 FSC-klagomål.docx", "A 56634-2025")</f>
        <v/>
      </c>
      <c r="W163">
        <f>HYPERLINK("https://klasma.github.io/Logging_2303/klagomålsmail/A 56634-2025 FSC-klagomål mail.docx", "A 56634-2025")</f>
        <v/>
      </c>
      <c r="X163">
        <f>HYPERLINK("https://klasma.github.io/Logging_2303/tillsyn/A 56634-2025 tillsynsbegäran.docx", "A 56634-2025")</f>
        <v/>
      </c>
      <c r="Y163">
        <f>HYPERLINK("https://klasma.github.io/Logging_2303/tillsynsmail/A 56634-2025 tillsynsbegäran mail.docx", "A 56634-2025")</f>
        <v/>
      </c>
    </row>
    <row r="164" ht="15" customHeight="1">
      <c r="A164" t="inlineStr">
        <is>
          <t>A 25155-2025</t>
        </is>
      </c>
      <c r="B164" s="1" t="n">
        <v>45800.42782407408</v>
      </c>
      <c r="C164" s="1" t="n">
        <v>46092</v>
      </c>
      <c r="D164" t="inlineStr">
        <is>
          <t>JÄMTLANDS LÄN</t>
        </is>
      </c>
      <c r="E164" t="inlineStr">
        <is>
          <t>RAGUNDA</t>
        </is>
      </c>
      <c r="F164" t="inlineStr">
        <is>
          <t>SCA</t>
        </is>
      </c>
      <c r="G164" t="n">
        <v>1.7</v>
      </c>
      <c r="H164" t="n">
        <v>1</v>
      </c>
      <c r="I164" t="n">
        <v>0</v>
      </c>
      <c r="J164" t="n">
        <v>1</v>
      </c>
      <c r="K164" t="n">
        <v>0</v>
      </c>
      <c r="L164" t="n">
        <v>0</v>
      </c>
      <c r="M164" t="n">
        <v>0</v>
      </c>
      <c r="N164" t="n">
        <v>0</v>
      </c>
      <c r="O164" t="n">
        <v>1</v>
      </c>
      <c r="P164" t="n">
        <v>0</v>
      </c>
      <c r="Q164" t="n">
        <v>2</v>
      </c>
      <c r="R164" s="2" t="inlineStr">
        <is>
          <t>Kötticka
Fläcknycklar</t>
        </is>
      </c>
      <c r="S164">
        <f>HYPERLINK("https://klasma.github.io/Logging_2303/artfynd/A 25155-2025 artfynd.xlsx", "A 25155-2025")</f>
        <v/>
      </c>
      <c r="T164">
        <f>HYPERLINK("https://klasma.github.io/Logging_2303/kartor/A 25155-2025 karta.png", "A 25155-2025")</f>
        <v/>
      </c>
      <c r="V164">
        <f>HYPERLINK("https://klasma.github.io/Logging_2303/klagomål/A 25155-2025 FSC-klagomål.docx", "A 25155-2025")</f>
        <v/>
      </c>
      <c r="W164">
        <f>HYPERLINK("https://klasma.github.io/Logging_2303/klagomålsmail/A 25155-2025 FSC-klagomål mail.docx", "A 25155-2025")</f>
        <v/>
      </c>
      <c r="X164">
        <f>HYPERLINK("https://klasma.github.io/Logging_2303/tillsyn/A 25155-2025 tillsynsbegäran.docx", "A 25155-2025")</f>
        <v/>
      </c>
      <c r="Y164">
        <f>HYPERLINK("https://klasma.github.io/Logging_2303/tillsynsmail/A 25155-2025 tillsynsbegäran mail.docx", "A 25155-2025")</f>
        <v/>
      </c>
    </row>
    <row r="165" ht="15" customHeight="1">
      <c r="A165" t="inlineStr">
        <is>
          <t>A 47267-2022</t>
        </is>
      </c>
      <c r="B165" s="1" t="n">
        <v>44852</v>
      </c>
      <c r="C165" s="1" t="n">
        <v>46092</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46092</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47850-2025</t>
        </is>
      </c>
      <c r="B167" s="1" t="n">
        <v>45932.38626157407</v>
      </c>
      <c r="C167" s="1" t="n">
        <v>46092</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9749-2026</t>
        </is>
      </c>
      <c r="B168" s="1" t="n">
        <v>46072.53167824074</v>
      </c>
      <c r="C168" s="1" t="n">
        <v>46092</v>
      </c>
      <c r="D168" t="inlineStr">
        <is>
          <t>JÄMTLANDS LÄN</t>
        </is>
      </c>
      <c r="E168" t="inlineStr">
        <is>
          <t>RAGUNDA</t>
        </is>
      </c>
      <c r="F168" t="inlineStr">
        <is>
          <t>SCA</t>
        </is>
      </c>
      <c r="G168" t="n">
        <v>2.7</v>
      </c>
      <c r="H168" t="n">
        <v>1</v>
      </c>
      <c r="I168" t="n">
        <v>0</v>
      </c>
      <c r="J168" t="n">
        <v>2</v>
      </c>
      <c r="K168" t="n">
        <v>0</v>
      </c>
      <c r="L168" t="n">
        <v>0</v>
      </c>
      <c r="M168" t="n">
        <v>0</v>
      </c>
      <c r="N168" t="n">
        <v>0</v>
      </c>
      <c r="O168" t="n">
        <v>2</v>
      </c>
      <c r="P168" t="n">
        <v>0</v>
      </c>
      <c r="Q168" t="n">
        <v>2</v>
      </c>
      <c r="R168" s="2" t="inlineStr">
        <is>
          <t>Järpe
Ullticka</t>
        </is>
      </c>
      <c r="S168">
        <f>HYPERLINK("https://klasma.github.io/Logging_2303/artfynd/A 9749-2026 artfynd.xlsx", "A 9749-2026")</f>
        <v/>
      </c>
      <c r="T168">
        <f>HYPERLINK("https://klasma.github.io/Logging_2303/kartor/A 9749-2026 karta.png", "A 9749-2026")</f>
        <v/>
      </c>
      <c r="V168">
        <f>HYPERLINK("https://klasma.github.io/Logging_2303/klagomål/A 9749-2026 FSC-klagomål.docx", "A 9749-2026")</f>
        <v/>
      </c>
      <c r="W168">
        <f>HYPERLINK("https://klasma.github.io/Logging_2303/klagomålsmail/A 9749-2026 FSC-klagomål mail.docx", "A 9749-2026")</f>
        <v/>
      </c>
      <c r="X168">
        <f>HYPERLINK("https://klasma.github.io/Logging_2303/tillsyn/A 9749-2026 tillsynsbegäran.docx", "A 9749-2026")</f>
        <v/>
      </c>
      <c r="Y168">
        <f>HYPERLINK("https://klasma.github.io/Logging_2303/tillsynsmail/A 9749-2026 tillsynsbegäran mail.docx", "A 9749-2026")</f>
        <v/>
      </c>
      <c r="Z168">
        <f>HYPERLINK("https://klasma.github.io/Logging_2303/fåglar/A 9749-2026 prioriterade fågelarter.docx", "A 9749-2026")</f>
        <v/>
      </c>
    </row>
    <row r="169" ht="15" customHeight="1">
      <c r="A169" t="inlineStr">
        <is>
          <t>A 48427-2023</t>
        </is>
      </c>
      <c r="B169" s="1" t="n">
        <v>45205</v>
      </c>
      <c r="C169" s="1" t="n">
        <v>46092</v>
      </c>
      <c r="D169" t="inlineStr">
        <is>
          <t>JÄMTLANDS LÄN</t>
        </is>
      </c>
      <c r="E169" t="inlineStr">
        <is>
          <t>RAGUNDA</t>
        </is>
      </c>
      <c r="F169" t="inlineStr">
        <is>
          <t>SCA</t>
        </is>
      </c>
      <c r="G169" t="n">
        <v>10.1</v>
      </c>
      <c r="H169" t="n">
        <v>0</v>
      </c>
      <c r="I169" t="n">
        <v>1</v>
      </c>
      <c r="J169" t="n">
        <v>1</v>
      </c>
      <c r="K169" t="n">
        <v>0</v>
      </c>
      <c r="L169" t="n">
        <v>0</v>
      </c>
      <c r="M169" t="n">
        <v>0</v>
      </c>
      <c r="N169" t="n">
        <v>0</v>
      </c>
      <c r="O169" t="n">
        <v>1</v>
      </c>
      <c r="P169" t="n">
        <v>0</v>
      </c>
      <c r="Q169" t="n">
        <v>2</v>
      </c>
      <c r="R169" s="2" t="inlineStr">
        <is>
          <t>Lunglav
Luddlav</t>
        </is>
      </c>
      <c r="S169">
        <f>HYPERLINK("https://klasma.github.io/Logging_2303/artfynd/A 48427-2023 artfynd.xlsx", "A 48427-2023")</f>
        <v/>
      </c>
      <c r="T169">
        <f>HYPERLINK("https://klasma.github.io/Logging_2303/kartor/A 48427-2023 karta.png", "A 48427-2023")</f>
        <v/>
      </c>
      <c r="V169">
        <f>HYPERLINK("https://klasma.github.io/Logging_2303/klagomål/A 48427-2023 FSC-klagomål.docx", "A 48427-2023")</f>
        <v/>
      </c>
      <c r="W169">
        <f>HYPERLINK("https://klasma.github.io/Logging_2303/klagomålsmail/A 48427-2023 FSC-klagomål mail.docx", "A 48427-2023")</f>
        <v/>
      </c>
      <c r="X169">
        <f>HYPERLINK("https://klasma.github.io/Logging_2303/tillsyn/A 48427-2023 tillsynsbegäran.docx", "A 48427-2023")</f>
        <v/>
      </c>
      <c r="Y169">
        <f>HYPERLINK("https://klasma.github.io/Logging_2303/tillsynsmail/A 48427-2023 tillsynsbegäran mail.docx", "A 48427-2023")</f>
        <v/>
      </c>
    </row>
    <row r="170" ht="15" customHeight="1">
      <c r="A170" t="inlineStr">
        <is>
          <t>A 30053-2024</t>
        </is>
      </c>
      <c r="B170" s="1" t="n">
        <v>45488.94747685185</v>
      </c>
      <c r="C170" s="1" t="n">
        <v>46092</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46092</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31960-2025</t>
        </is>
      </c>
      <c r="B172" s="1" t="n">
        <v>45835.344375</v>
      </c>
      <c r="C172" s="1" t="n">
        <v>46092</v>
      </c>
      <c r="D172" t="inlineStr">
        <is>
          <t>JÄMTLANDS LÄN</t>
        </is>
      </c>
      <c r="E172" t="inlineStr">
        <is>
          <t>RAGUNDA</t>
        </is>
      </c>
      <c r="F172" t="inlineStr">
        <is>
          <t>SCA</t>
        </is>
      </c>
      <c r="G172" t="n">
        <v>1.6</v>
      </c>
      <c r="H172" t="n">
        <v>0</v>
      </c>
      <c r="I172" t="n">
        <v>0</v>
      </c>
      <c r="J172" t="n">
        <v>2</v>
      </c>
      <c r="K172" t="n">
        <v>0</v>
      </c>
      <c r="L172" t="n">
        <v>0</v>
      </c>
      <c r="M172" t="n">
        <v>0</v>
      </c>
      <c r="N172" t="n">
        <v>0</v>
      </c>
      <c r="O172" t="n">
        <v>2</v>
      </c>
      <c r="P172" t="n">
        <v>0</v>
      </c>
      <c r="Q172" t="n">
        <v>2</v>
      </c>
      <c r="R172" s="2" t="inlineStr">
        <is>
          <t>Gammelgransskål
Garnlav</t>
        </is>
      </c>
      <c r="S172">
        <f>HYPERLINK("https://klasma.github.io/Logging_2303/artfynd/A 31960-2025 artfynd.xlsx", "A 31960-2025")</f>
        <v/>
      </c>
      <c r="T172">
        <f>HYPERLINK("https://klasma.github.io/Logging_2303/kartor/A 31960-2025 karta.png", "A 31960-2025")</f>
        <v/>
      </c>
      <c r="V172">
        <f>HYPERLINK("https://klasma.github.io/Logging_2303/klagomål/A 31960-2025 FSC-klagomål.docx", "A 31960-2025")</f>
        <v/>
      </c>
      <c r="W172">
        <f>HYPERLINK("https://klasma.github.io/Logging_2303/klagomålsmail/A 31960-2025 FSC-klagomål mail.docx", "A 31960-2025")</f>
        <v/>
      </c>
      <c r="X172">
        <f>HYPERLINK("https://klasma.github.io/Logging_2303/tillsyn/A 31960-2025 tillsynsbegäran.docx", "A 31960-2025")</f>
        <v/>
      </c>
      <c r="Y172">
        <f>HYPERLINK("https://klasma.github.io/Logging_2303/tillsynsmail/A 31960-2025 tillsynsbegäran mail.docx", "A 31960-2025")</f>
        <v/>
      </c>
    </row>
    <row r="173" ht="15" customHeight="1">
      <c r="A173" t="inlineStr">
        <is>
          <t>A 57940-2024</t>
        </is>
      </c>
      <c r="B173" s="1" t="n">
        <v>45631</v>
      </c>
      <c r="C173" s="1" t="n">
        <v>46092</v>
      </c>
      <c r="D173" t="inlineStr">
        <is>
          <t>JÄMTLANDS LÄN</t>
        </is>
      </c>
      <c r="E173" t="inlineStr">
        <is>
          <t>RAGUNDA</t>
        </is>
      </c>
      <c r="F173" t="inlineStr">
        <is>
          <t>SCA</t>
        </is>
      </c>
      <c r="G173" t="n">
        <v>1.9</v>
      </c>
      <c r="H173" t="n">
        <v>1</v>
      </c>
      <c r="I173" t="n">
        <v>0</v>
      </c>
      <c r="J173" t="n">
        <v>2</v>
      </c>
      <c r="K173" t="n">
        <v>0</v>
      </c>
      <c r="L173" t="n">
        <v>0</v>
      </c>
      <c r="M173" t="n">
        <v>0</v>
      </c>
      <c r="N173" t="n">
        <v>0</v>
      </c>
      <c r="O173" t="n">
        <v>2</v>
      </c>
      <c r="P173" t="n">
        <v>0</v>
      </c>
      <c r="Q173" t="n">
        <v>2</v>
      </c>
      <c r="R173" s="2" t="inlineStr">
        <is>
          <t>Lunglav
Tretåig hackspett</t>
        </is>
      </c>
      <c r="S173">
        <f>HYPERLINK("https://klasma.github.io/Logging_2303/artfynd/A 57940-2024 artfynd.xlsx", "A 57940-2024")</f>
        <v/>
      </c>
      <c r="T173">
        <f>HYPERLINK("https://klasma.github.io/Logging_2303/kartor/A 57940-2024 karta.png", "A 57940-2024")</f>
        <v/>
      </c>
      <c r="V173">
        <f>HYPERLINK("https://klasma.github.io/Logging_2303/klagomål/A 57940-2024 FSC-klagomål.docx", "A 57940-2024")</f>
        <v/>
      </c>
      <c r="W173">
        <f>HYPERLINK("https://klasma.github.io/Logging_2303/klagomålsmail/A 57940-2024 FSC-klagomål mail.docx", "A 57940-2024")</f>
        <v/>
      </c>
      <c r="X173">
        <f>HYPERLINK("https://klasma.github.io/Logging_2303/tillsyn/A 57940-2024 tillsynsbegäran.docx", "A 57940-2024")</f>
        <v/>
      </c>
      <c r="Y173">
        <f>HYPERLINK("https://klasma.github.io/Logging_2303/tillsynsmail/A 57940-2024 tillsynsbegäran mail.docx", "A 57940-2024")</f>
        <v/>
      </c>
      <c r="Z173">
        <f>HYPERLINK("https://klasma.github.io/Logging_2303/fåglar/A 57940-2024 prioriterade fågelarter.docx", "A 57940-2024")</f>
        <v/>
      </c>
    </row>
    <row r="174" ht="15" customHeight="1">
      <c r="A174" t="inlineStr">
        <is>
          <t>A 35131-2025</t>
        </is>
      </c>
      <c r="B174" s="1" t="n">
        <v>45852.63597222222</v>
      </c>
      <c r="C174" s="1" t="n">
        <v>46092</v>
      </c>
      <c r="D174" t="inlineStr">
        <is>
          <t>JÄMTLANDS LÄN</t>
        </is>
      </c>
      <c r="E174" t="inlineStr">
        <is>
          <t>RAGUNDA</t>
        </is>
      </c>
      <c r="F174" t="inlineStr">
        <is>
          <t>SCA</t>
        </is>
      </c>
      <c r="G174" t="n">
        <v>6.9</v>
      </c>
      <c r="H174" t="n">
        <v>1</v>
      </c>
      <c r="I174" t="n">
        <v>1</v>
      </c>
      <c r="J174" t="n">
        <v>0</v>
      </c>
      <c r="K174" t="n">
        <v>0</v>
      </c>
      <c r="L174" t="n">
        <v>0</v>
      </c>
      <c r="M174" t="n">
        <v>0</v>
      </c>
      <c r="N174" t="n">
        <v>0</v>
      </c>
      <c r="O174" t="n">
        <v>0</v>
      </c>
      <c r="P174" t="n">
        <v>0</v>
      </c>
      <c r="Q174" t="n">
        <v>2</v>
      </c>
      <c r="R174" s="2" t="inlineStr">
        <is>
          <t>Ögonpyrola
Nattviol</t>
        </is>
      </c>
      <c r="S174">
        <f>HYPERLINK("https://klasma.github.io/Logging_2303/artfynd/A 35131-2025 artfynd.xlsx", "A 35131-2025")</f>
        <v/>
      </c>
      <c r="T174">
        <f>HYPERLINK("https://klasma.github.io/Logging_2303/kartor/A 35131-2025 karta.png", "A 35131-2025")</f>
        <v/>
      </c>
      <c r="V174">
        <f>HYPERLINK("https://klasma.github.io/Logging_2303/klagomål/A 35131-2025 FSC-klagomål.docx", "A 35131-2025")</f>
        <v/>
      </c>
      <c r="W174">
        <f>HYPERLINK("https://klasma.github.io/Logging_2303/klagomålsmail/A 35131-2025 FSC-klagomål mail.docx", "A 35131-2025")</f>
        <v/>
      </c>
      <c r="X174">
        <f>HYPERLINK("https://klasma.github.io/Logging_2303/tillsyn/A 35131-2025 tillsynsbegäran.docx", "A 35131-2025")</f>
        <v/>
      </c>
      <c r="Y174">
        <f>HYPERLINK("https://klasma.github.io/Logging_2303/tillsynsmail/A 35131-2025 tillsynsbegäran mail.docx", "A 35131-2025")</f>
        <v/>
      </c>
    </row>
    <row r="175" ht="15" customHeight="1">
      <c r="A175" t="inlineStr">
        <is>
          <t>A 11086-2025</t>
        </is>
      </c>
      <c r="B175" s="1" t="n">
        <v>45723.57329861111</v>
      </c>
      <c r="C175" s="1" t="n">
        <v>46092</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40826-2023</t>
        </is>
      </c>
      <c r="B176" s="1" t="n">
        <v>45171</v>
      </c>
      <c r="C176" s="1" t="n">
        <v>46092</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41490-2022</t>
        </is>
      </c>
      <c r="B177" s="1" t="n">
        <v>44826.94976851852</v>
      </c>
      <c r="C177" s="1" t="n">
        <v>46092</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14502-2024</t>
        </is>
      </c>
      <c r="B178" s="1" t="n">
        <v>45394</v>
      </c>
      <c r="C178" s="1" t="n">
        <v>46092</v>
      </c>
      <c r="D178" t="inlineStr">
        <is>
          <t>JÄMTLANDS LÄN</t>
        </is>
      </c>
      <c r="E178" t="inlineStr">
        <is>
          <t>RAGUNDA</t>
        </is>
      </c>
      <c r="G178" t="n">
        <v>11.6</v>
      </c>
      <c r="H178" t="n">
        <v>0</v>
      </c>
      <c r="I178" t="n">
        <v>0</v>
      </c>
      <c r="J178" t="n">
        <v>2</v>
      </c>
      <c r="K178" t="n">
        <v>0</v>
      </c>
      <c r="L178" t="n">
        <v>0</v>
      </c>
      <c r="M178" t="n">
        <v>0</v>
      </c>
      <c r="N178" t="n">
        <v>0</v>
      </c>
      <c r="O178" t="n">
        <v>2</v>
      </c>
      <c r="P178" t="n">
        <v>0</v>
      </c>
      <c r="Q178" t="n">
        <v>2</v>
      </c>
      <c r="R178" s="2" t="inlineStr">
        <is>
          <t>Garnlav
Stjärntagging</t>
        </is>
      </c>
      <c r="S178">
        <f>HYPERLINK("https://klasma.github.io/Logging_2303/artfynd/A 14502-2024 artfynd.xlsx", "A 14502-2024")</f>
        <v/>
      </c>
      <c r="T178">
        <f>HYPERLINK("https://klasma.github.io/Logging_2303/kartor/A 14502-2024 karta.png", "A 14502-2024")</f>
        <v/>
      </c>
      <c r="V178">
        <f>HYPERLINK("https://klasma.github.io/Logging_2303/klagomål/A 14502-2024 FSC-klagomål.docx", "A 14502-2024")</f>
        <v/>
      </c>
      <c r="W178">
        <f>HYPERLINK("https://klasma.github.io/Logging_2303/klagomålsmail/A 14502-2024 FSC-klagomål mail.docx", "A 14502-2024")</f>
        <v/>
      </c>
      <c r="X178">
        <f>HYPERLINK("https://klasma.github.io/Logging_2303/tillsyn/A 14502-2024 tillsynsbegäran.docx", "A 14502-2024")</f>
        <v/>
      </c>
      <c r="Y178">
        <f>HYPERLINK("https://klasma.github.io/Logging_2303/tillsynsmail/A 14502-2024 tillsynsbegäran mail.docx", "A 14502-2024")</f>
        <v/>
      </c>
    </row>
    <row r="179" ht="15" customHeight="1">
      <c r="A179" t="inlineStr">
        <is>
          <t>A 46771-2024</t>
        </is>
      </c>
      <c r="B179" s="1" t="n">
        <v>45583.49642361111</v>
      </c>
      <c r="C179" s="1" t="n">
        <v>46092</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44409-2023</t>
        </is>
      </c>
      <c r="B180" s="1" t="n">
        <v>45188</v>
      </c>
      <c r="C180" s="1" t="n">
        <v>46092</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46092</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46092</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10866-2025</t>
        </is>
      </c>
      <c r="B183" s="1" t="n">
        <v>45722.61543981481</v>
      </c>
      <c r="C183" s="1" t="n">
        <v>46092</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10884-2025</t>
        </is>
      </c>
      <c r="B184" s="1" t="n">
        <v>45722.65670138889</v>
      </c>
      <c r="C184" s="1" t="n">
        <v>46092</v>
      </c>
      <c r="D184" t="inlineStr">
        <is>
          <t>JÄMTLANDS LÄN</t>
        </is>
      </c>
      <c r="E184" t="inlineStr">
        <is>
          <t>RAGUNDA</t>
        </is>
      </c>
      <c r="F184" t="inlineStr">
        <is>
          <t>SCA</t>
        </is>
      </c>
      <c r="G184" t="n">
        <v>5.4</v>
      </c>
      <c r="H184" t="n">
        <v>0</v>
      </c>
      <c r="I184" t="n">
        <v>1</v>
      </c>
      <c r="J184" t="n">
        <v>1</v>
      </c>
      <c r="K184" t="n">
        <v>0</v>
      </c>
      <c r="L184" t="n">
        <v>0</v>
      </c>
      <c r="M184" t="n">
        <v>0</v>
      </c>
      <c r="N184" t="n">
        <v>0</v>
      </c>
      <c r="O184" t="n">
        <v>1</v>
      </c>
      <c r="P184" t="n">
        <v>0</v>
      </c>
      <c r="Q184" t="n">
        <v>2</v>
      </c>
      <c r="R184" s="2" t="inlineStr">
        <is>
          <t>Vitgrynig nållav
Dropptaggsvamp</t>
        </is>
      </c>
      <c r="S184">
        <f>HYPERLINK("https://klasma.github.io/Logging_2303/artfynd/A 10884-2025 artfynd.xlsx", "A 10884-2025")</f>
        <v/>
      </c>
      <c r="T184">
        <f>HYPERLINK("https://klasma.github.io/Logging_2303/kartor/A 10884-2025 karta.png", "A 10884-2025")</f>
        <v/>
      </c>
      <c r="V184">
        <f>HYPERLINK("https://klasma.github.io/Logging_2303/klagomål/A 10884-2025 FSC-klagomål.docx", "A 10884-2025")</f>
        <v/>
      </c>
      <c r="W184">
        <f>HYPERLINK("https://klasma.github.io/Logging_2303/klagomålsmail/A 10884-2025 FSC-klagomål mail.docx", "A 10884-2025")</f>
        <v/>
      </c>
      <c r="X184">
        <f>HYPERLINK("https://klasma.github.io/Logging_2303/tillsyn/A 10884-2025 tillsynsbegäran.docx", "A 10884-2025")</f>
        <v/>
      </c>
      <c r="Y184">
        <f>HYPERLINK("https://klasma.github.io/Logging_2303/tillsynsmail/A 10884-2025 tillsynsbegäran mail.docx", "A 10884-2025")</f>
        <v/>
      </c>
    </row>
    <row r="185" ht="15" customHeight="1">
      <c r="A185" t="inlineStr">
        <is>
          <t>A 3838-2024</t>
        </is>
      </c>
      <c r="B185" s="1" t="n">
        <v>45321</v>
      </c>
      <c r="C185" s="1" t="n">
        <v>46092</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46092</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46092</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46092</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46092</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46092</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46092</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46092</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46092</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46092</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46092</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46092</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46092</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46092</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46092</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46092</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46092</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46092</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46092</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46092</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46092</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46092</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46092</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46092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46092</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55756-2025</t>
        </is>
      </c>
      <c r="B210" s="1" t="n">
        <v>45972.59438657408</v>
      </c>
      <c r="C210" s="1" t="n">
        <v>46092</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Garnlav</t>
        </is>
      </c>
      <c r="S210">
        <f>HYPERLINK("https://klasma.github.io/Logging_2303/artfynd/A 55756-2025 artfynd.xlsx", "A 55756-2025")</f>
        <v/>
      </c>
      <c r="T210">
        <f>HYPERLINK("https://klasma.github.io/Logging_2303/kartor/A 55756-2025 karta.png", "A 55756-2025")</f>
        <v/>
      </c>
      <c r="V210">
        <f>HYPERLINK("https://klasma.github.io/Logging_2303/klagomål/A 55756-2025 FSC-klagomål.docx", "A 55756-2025")</f>
        <v/>
      </c>
      <c r="W210">
        <f>HYPERLINK("https://klasma.github.io/Logging_2303/klagomålsmail/A 55756-2025 FSC-klagomål mail.docx", "A 55756-2025")</f>
        <v/>
      </c>
      <c r="X210">
        <f>HYPERLINK("https://klasma.github.io/Logging_2303/tillsyn/A 55756-2025 tillsynsbegäran.docx", "A 55756-2025")</f>
        <v/>
      </c>
      <c r="Y210">
        <f>HYPERLINK("https://klasma.github.io/Logging_2303/tillsynsmail/A 55756-2025 tillsynsbegäran mail.docx", "A 55756-2025")</f>
        <v/>
      </c>
    </row>
    <row r="211" ht="15" customHeight="1">
      <c r="A211" t="inlineStr">
        <is>
          <t>A 44066-2024</t>
        </is>
      </c>
      <c r="B211" s="1" t="n">
        <v>45572.60363425926</v>
      </c>
      <c r="C211" s="1" t="n">
        <v>46092</v>
      </c>
      <c r="D211" t="inlineStr">
        <is>
          <t>JÄMTLANDS LÄN</t>
        </is>
      </c>
      <c r="E211" t="inlineStr">
        <is>
          <t>RAGUNDA</t>
        </is>
      </c>
      <c r="G211" t="n">
        <v>6.4</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44066-2024 artfynd.xlsx", "A 44066-2024")</f>
        <v/>
      </c>
      <c r="T211">
        <f>HYPERLINK("https://klasma.github.io/Logging_2303/kartor/A 44066-2024 karta.png", "A 44066-2024")</f>
        <v/>
      </c>
      <c r="V211">
        <f>HYPERLINK("https://klasma.github.io/Logging_2303/klagomål/A 44066-2024 FSC-klagomål.docx", "A 44066-2024")</f>
        <v/>
      </c>
      <c r="W211">
        <f>HYPERLINK("https://klasma.github.io/Logging_2303/klagomålsmail/A 44066-2024 FSC-klagomål mail.docx", "A 44066-2024")</f>
        <v/>
      </c>
      <c r="X211">
        <f>HYPERLINK("https://klasma.github.io/Logging_2303/tillsyn/A 44066-2024 tillsynsbegäran.docx", "A 44066-2024")</f>
        <v/>
      </c>
      <c r="Y211">
        <f>HYPERLINK("https://klasma.github.io/Logging_2303/tillsynsmail/A 44066-2024 tillsynsbegäran mail.docx", "A 44066-2024")</f>
        <v/>
      </c>
      <c r="Z211">
        <f>HYPERLINK("https://klasma.github.io/Logging_2303/fåglar/A 44066-2024 prioriterade fågelarter.docx", "A 44066-2024")</f>
        <v/>
      </c>
    </row>
    <row r="212" ht="15" customHeight="1">
      <c r="A212" t="inlineStr">
        <is>
          <t>A 36975-2023</t>
        </is>
      </c>
      <c r="B212" s="1" t="n">
        <v>45154</v>
      </c>
      <c r="C212" s="1" t="n">
        <v>46092</v>
      </c>
      <c r="D212" t="inlineStr">
        <is>
          <t>JÄMTLANDS LÄN</t>
        </is>
      </c>
      <c r="E212" t="inlineStr">
        <is>
          <t>RAGUNDA</t>
        </is>
      </c>
      <c r="F212" t="inlineStr">
        <is>
          <t>SCA</t>
        </is>
      </c>
      <c r="G212" t="n">
        <v>3.8</v>
      </c>
      <c r="H212" t="n">
        <v>0</v>
      </c>
      <c r="I212" t="n">
        <v>0</v>
      </c>
      <c r="J212" t="n">
        <v>0</v>
      </c>
      <c r="K212" t="n">
        <v>1</v>
      </c>
      <c r="L212" t="n">
        <v>0</v>
      </c>
      <c r="M212" t="n">
        <v>0</v>
      </c>
      <c r="N212" t="n">
        <v>0</v>
      </c>
      <c r="O212" t="n">
        <v>1</v>
      </c>
      <c r="P212" t="n">
        <v>1</v>
      </c>
      <c r="Q212" t="n">
        <v>1</v>
      </c>
      <c r="R212" s="2" t="inlineStr">
        <is>
          <t>Gräddporing</t>
        </is>
      </c>
      <c r="S212">
        <f>HYPERLINK("https://klasma.github.io/Logging_2303/artfynd/A 36975-2023 artfynd.xlsx", "A 36975-2023")</f>
        <v/>
      </c>
      <c r="T212">
        <f>HYPERLINK("https://klasma.github.io/Logging_2303/kartor/A 36975-2023 karta.png", "A 36975-2023")</f>
        <v/>
      </c>
      <c r="V212">
        <f>HYPERLINK("https://klasma.github.io/Logging_2303/klagomål/A 36975-2023 FSC-klagomål.docx", "A 36975-2023")</f>
        <v/>
      </c>
      <c r="W212">
        <f>HYPERLINK("https://klasma.github.io/Logging_2303/klagomålsmail/A 36975-2023 FSC-klagomål mail.docx", "A 36975-2023")</f>
        <v/>
      </c>
      <c r="X212">
        <f>HYPERLINK("https://klasma.github.io/Logging_2303/tillsyn/A 36975-2023 tillsynsbegäran.docx", "A 36975-2023")</f>
        <v/>
      </c>
      <c r="Y212">
        <f>HYPERLINK("https://klasma.github.io/Logging_2303/tillsynsmail/A 36975-2023 tillsynsbegäran mail.docx", "A 36975-2023")</f>
        <v/>
      </c>
    </row>
    <row r="213" ht="15" customHeight="1">
      <c r="A213" t="inlineStr">
        <is>
          <t>A 56599-2025</t>
        </is>
      </c>
      <c r="B213" s="1" t="n">
        <v>45975.5734837963</v>
      </c>
      <c r="C213" s="1" t="n">
        <v>46092</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Lunglav</t>
        </is>
      </c>
      <c r="S213">
        <f>HYPERLINK("https://klasma.github.io/Logging_2303/artfynd/A 56599-2025 artfynd.xlsx", "A 56599-2025")</f>
        <v/>
      </c>
      <c r="T213">
        <f>HYPERLINK("https://klasma.github.io/Logging_2303/kartor/A 56599-2025 karta.png", "A 56599-2025")</f>
        <v/>
      </c>
      <c r="V213">
        <f>HYPERLINK("https://klasma.github.io/Logging_2303/klagomål/A 56599-2025 FSC-klagomål.docx", "A 56599-2025")</f>
        <v/>
      </c>
      <c r="W213">
        <f>HYPERLINK("https://klasma.github.io/Logging_2303/klagomålsmail/A 56599-2025 FSC-klagomål mail.docx", "A 56599-2025")</f>
        <v/>
      </c>
      <c r="X213">
        <f>HYPERLINK("https://klasma.github.io/Logging_2303/tillsyn/A 56599-2025 tillsynsbegäran.docx", "A 56599-2025")</f>
        <v/>
      </c>
      <c r="Y213">
        <f>HYPERLINK("https://klasma.github.io/Logging_2303/tillsynsmail/A 56599-2025 tillsynsbegäran mail.docx", "A 56599-2025")</f>
        <v/>
      </c>
    </row>
    <row r="214" ht="15" customHeight="1">
      <c r="A214" t="inlineStr">
        <is>
          <t>A 57253-2025</t>
        </is>
      </c>
      <c r="B214" s="1" t="n">
        <v>45979.64381944444</v>
      </c>
      <c r="C214" s="1" t="n">
        <v>46092</v>
      </c>
      <c r="D214" t="inlineStr">
        <is>
          <t>JÄMTLANDS LÄN</t>
        </is>
      </c>
      <c r="E214" t="inlineStr">
        <is>
          <t>RAGUNDA</t>
        </is>
      </c>
      <c r="G214" t="n">
        <v>1.2</v>
      </c>
      <c r="H214" t="n">
        <v>0</v>
      </c>
      <c r="I214" t="n">
        <v>1</v>
      </c>
      <c r="J214" t="n">
        <v>0</v>
      </c>
      <c r="K214" t="n">
        <v>0</v>
      </c>
      <c r="L214" t="n">
        <v>0</v>
      </c>
      <c r="M214" t="n">
        <v>0</v>
      </c>
      <c r="N214" t="n">
        <v>0</v>
      </c>
      <c r="O214" t="n">
        <v>0</v>
      </c>
      <c r="P214" t="n">
        <v>0</v>
      </c>
      <c r="Q214" t="n">
        <v>1</v>
      </c>
      <c r="R214" s="2" t="inlineStr">
        <is>
          <t>Skinnlav</t>
        </is>
      </c>
      <c r="S214">
        <f>HYPERLINK("https://klasma.github.io/Logging_2303/artfynd/A 57253-2025 artfynd.xlsx", "A 57253-2025")</f>
        <v/>
      </c>
      <c r="T214">
        <f>HYPERLINK("https://klasma.github.io/Logging_2303/kartor/A 57253-2025 karta.png", "A 57253-2025")</f>
        <v/>
      </c>
      <c r="V214">
        <f>HYPERLINK("https://klasma.github.io/Logging_2303/klagomål/A 57253-2025 FSC-klagomål.docx", "A 57253-2025")</f>
        <v/>
      </c>
      <c r="W214">
        <f>HYPERLINK("https://klasma.github.io/Logging_2303/klagomålsmail/A 57253-2025 FSC-klagomål mail.docx", "A 57253-2025")</f>
        <v/>
      </c>
      <c r="X214">
        <f>HYPERLINK("https://klasma.github.io/Logging_2303/tillsyn/A 57253-2025 tillsynsbegäran.docx", "A 57253-2025")</f>
        <v/>
      </c>
      <c r="Y214">
        <f>HYPERLINK("https://klasma.github.io/Logging_2303/tillsynsmail/A 57253-2025 tillsynsbegäran mail.docx", "A 57253-2025")</f>
        <v/>
      </c>
    </row>
    <row r="215" ht="15" customHeight="1">
      <c r="A215" t="inlineStr">
        <is>
          <t>A 50233-2024</t>
        </is>
      </c>
      <c r="B215" s="1" t="n">
        <v>45600.55265046296</v>
      </c>
      <c r="C215" s="1" t="n">
        <v>46092</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57479-2025</t>
        </is>
      </c>
      <c r="B216" s="1" t="n">
        <v>45980.5737037037</v>
      </c>
      <c r="C216" s="1" t="n">
        <v>46092</v>
      </c>
      <c r="D216" t="inlineStr">
        <is>
          <t>JÄMTLANDS LÄN</t>
        </is>
      </c>
      <c r="E216" t="inlineStr">
        <is>
          <t>RAGUNDA</t>
        </is>
      </c>
      <c r="F216" t="inlineStr">
        <is>
          <t>SCA</t>
        </is>
      </c>
      <c r="G216" t="n">
        <v>12</v>
      </c>
      <c r="H216" t="n">
        <v>0</v>
      </c>
      <c r="I216" t="n">
        <v>0</v>
      </c>
      <c r="J216" t="n">
        <v>1</v>
      </c>
      <c r="K216" t="n">
        <v>0</v>
      </c>
      <c r="L216" t="n">
        <v>0</v>
      </c>
      <c r="M216" t="n">
        <v>0</v>
      </c>
      <c r="N216" t="n">
        <v>0</v>
      </c>
      <c r="O216" t="n">
        <v>1</v>
      </c>
      <c r="P216" t="n">
        <v>0</v>
      </c>
      <c r="Q216" t="n">
        <v>1</v>
      </c>
      <c r="R216" s="2" t="inlineStr">
        <is>
          <t>Kolflarnlav</t>
        </is>
      </c>
      <c r="S216">
        <f>HYPERLINK("https://klasma.github.io/Logging_2303/artfynd/A 57479-2025 artfynd.xlsx", "A 57479-2025")</f>
        <v/>
      </c>
      <c r="T216">
        <f>HYPERLINK("https://klasma.github.io/Logging_2303/kartor/A 57479-2025 karta.png", "A 57479-2025")</f>
        <v/>
      </c>
      <c r="V216">
        <f>HYPERLINK("https://klasma.github.io/Logging_2303/klagomål/A 57479-2025 FSC-klagomål.docx", "A 57479-2025")</f>
        <v/>
      </c>
      <c r="W216">
        <f>HYPERLINK("https://klasma.github.io/Logging_2303/klagomålsmail/A 57479-2025 FSC-klagomål mail.docx", "A 57479-2025")</f>
        <v/>
      </c>
      <c r="X216">
        <f>HYPERLINK("https://klasma.github.io/Logging_2303/tillsyn/A 57479-2025 tillsynsbegäran.docx", "A 57479-2025")</f>
        <v/>
      </c>
      <c r="Y216">
        <f>HYPERLINK("https://klasma.github.io/Logging_2303/tillsynsmail/A 57479-2025 tillsynsbegäran mail.docx", "A 57479-2025")</f>
        <v/>
      </c>
    </row>
    <row r="217" ht="15" customHeight="1">
      <c r="A217" t="inlineStr">
        <is>
          <t>A 57478-2025</t>
        </is>
      </c>
      <c r="B217" s="1" t="n">
        <v>45980.57349537037</v>
      </c>
      <c r="C217" s="1" t="n">
        <v>46092</v>
      </c>
      <c r="D217" t="inlineStr">
        <is>
          <t>JÄMTLANDS LÄN</t>
        </is>
      </c>
      <c r="E217" t="inlineStr">
        <is>
          <t>RAGUNDA</t>
        </is>
      </c>
      <c r="F217" t="inlineStr">
        <is>
          <t>SCA</t>
        </is>
      </c>
      <c r="G217" t="n">
        <v>3.3</v>
      </c>
      <c r="H217" t="n">
        <v>0</v>
      </c>
      <c r="I217" t="n">
        <v>0</v>
      </c>
      <c r="J217" t="n">
        <v>1</v>
      </c>
      <c r="K217" t="n">
        <v>0</v>
      </c>
      <c r="L217" t="n">
        <v>0</v>
      </c>
      <c r="M217" t="n">
        <v>0</v>
      </c>
      <c r="N217" t="n">
        <v>0</v>
      </c>
      <c r="O217" t="n">
        <v>1</v>
      </c>
      <c r="P217" t="n">
        <v>0</v>
      </c>
      <c r="Q217" t="n">
        <v>1</v>
      </c>
      <c r="R217" s="2" t="inlineStr">
        <is>
          <t>Lunglav</t>
        </is>
      </c>
      <c r="S217">
        <f>HYPERLINK("https://klasma.github.io/Logging_2303/artfynd/A 57478-2025 artfynd.xlsx", "A 57478-2025")</f>
        <v/>
      </c>
      <c r="T217">
        <f>HYPERLINK("https://klasma.github.io/Logging_2303/kartor/A 57478-2025 karta.png", "A 57478-2025")</f>
        <v/>
      </c>
      <c r="V217">
        <f>HYPERLINK("https://klasma.github.io/Logging_2303/klagomål/A 57478-2025 FSC-klagomål.docx", "A 57478-2025")</f>
        <v/>
      </c>
      <c r="W217">
        <f>HYPERLINK("https://klasma.github.io/Logging_2303/klagomålsmail/A 57478-2025 FSC-klagomål mail.docx", "A 57478-2025")</f>
        <v/>
      </c>
      <c r="X217">
        <f>HYPERLINK("https://klasma.github.io/Logging_2303/tillsyn/A 57478-2025 tillsynsbegäran.docx", "A 57478-2025")</f>
        <v/>
      </c>
      <c r="Y217">
        <f>HYPERLINK("https://klasma.github.io/Logging_2303/tillsynsmail/A 57478-2025 tillsynsbegäran mail.docx", "A 57478-2025")</f>
        <v/>
      </c>
    </row>
    <row r="218" ht="15" customHeight="1">
      <c r="A218" t="inlineStr">
        <is>
          <t>A 58990-2025</t>
        </is>
      </c>
      <c r="B218" s="1" t="n">
        <v>45987</v>
      </c>
      <c r="C218" s="1" t="n">
        <v>46092</v>
      </c>
      <c r="D218" t="inlineStr">
        <is>
          <t>JÄMTLANDS LÄN</t>
        </is>
      </c>
      <c r="E218" t="inlineStr">
        <is>
          <t>RAGUNDA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58990-2025 artfynd.xlsx", "A 58990-2025")</f>
        <v/>
      </c>
      <c r="T218">
        <f>HYPERLINK("https://klasma.github.io/Logging_2303/kartor/A 58990-2025 karta.png", "A 58990-2025")</f>
        <v/>
      </c>
      <c r="V218">
        <f>HYPERLINK("https://klasma.github.io/Logging_2303/klagomål/A 58990-2025 FSC-klagomål.docx", "A 58990-2025")</f>
        <v/>
      </c>
      <c r="W218">
        <f>HYPERLINK("https://klasma.github.io/Logging_2303/klagomålsmail/A 58990-2025 FSC-klagomål mail.docx", "A 58990-2025")</f>
        <v/>
      </c>
      <c r="X218">
        <f>HYPERLINK("https://klasma.github.io/Logging_2303/tillsyn/A 58990-2025 tillsynsbegäran.docx", "A 58990-2025")</f>
        <v/>
      </c>
      <c r="Y218">
        <f>HYPERLINK("https://klasma.github.io/Logging_2303/tillsynsmail/A 58990-2025 tillsynsbegäran mail.docx", "A 58990-2025")</f>
        <v/>
      </c>
      <c r="Z218">
        <f>HYPERLINK("https://klasma.github.io/Logging_2303/fåglar/A 58990-2025 prioriterade fågelarter.docx", "A 58990-2025")</f>
        <v/>
      </c>
    </row>
    <row r="219" ht="15" customHeight="1">
      <c r="A219" t="inlineStr">
        <is>
          <t>A 29921-2024</t>
        </is>
      </c>
      <c r="B219" s="1" t="n">
        <v>45487.92863425926</v>
      </c>
      <c r="C219" s="1" t="n">
        <v>46092</v>
      </c>
      <c r="D219" t="inlineStr">
        <is>
          <t>JÄMTLANDS LÄN</t>
        </is>
      </c>
      <c r="E219" t="inlineStr">
        <is>
          <t>RAGUNDA</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HYPERLINK("https://klasma.github.io/Logging_2303/artfynd/A 29921-2024 artfynd.xlsx", "A 29921-2024")</f>
        <v/>
      </c>
      <c r="T219">
        <f>HYPERLINK("https://klasma.github.io/Logging_2303/kartor/A 29921-2024 karta.png", "A 29921-2024")</f>
        <v/>
      </c>
      <c r="U219">
        <f>HYPERLINK("https://klasma.github.io/Logging_2303/knärot/A 29921-2024 karta knärot.png", "A 29921-2024")</f>
        <v/>
      </c>
      <c r="V219">
        <f>HYPERLINK("https://klasma.github.io/Logging_2303/klagomål/A 29921-2024 FSC-klagomål.docx", "A 29921-2024")</f>
        <v/>
      </c>
      <c r="W219">
        <f>HYPERLINK("https://klasma.github.io/Logging_2303/klagomålsmail/A 29921-2024 FSC-klagomål mail.docx", "A 29921-2024")</f>
        <v/>
      </c>
      <c r="X219">
        <f>HYPERLINK("https://klasma.github.io/Logging_2303/tillsyn/A 29921-2024 tillsynsbegäran.docx", "A 29921-2024")</f>
        <v/>
      </c>
      <c r="Y219">
        <f>HYPERLINK("https://klasma.github.io/Logging_2303/tillsynsmail/A 29921-2024 tillsynsbegäran mail.docx", "A 29921-2024")</f>
        <v/>
      </c>
    </row>
    <row r="220" ht="15" customHeight="1">
      <c r="A220" t="inlineStr">
        <is>
          <t>A 30485-2024</t>
        </is>
      </c>
      <c r="B220" s="1" t="n">
        <v>45491.95008101852</v>
      </c>
      <c r="C220" s="1" t="n">
        <v>46092</v>
      </c>
      <c r="D220" t="inlineStr">
        <is>
          <t>JÄMTLANDS LÄN</t>
        </is>
      </c>
      <c r="E220" t="inlineStr">
        <is>
          <t>RAGUNDA</t>
        </is>
      </c>
      <c r="F220" t="inlineStr">
        <is>
          <t>SCA</t>
        </is>
      </c>
      <c r="G220" t="n">
        <v>2</v>
      </c>
      <c r="H220" t="n">
        <v>0</v>
      </c>
      <c r="I220" t="n">
        <v>0</v>
      </c>
      <c r="J220" t="n">
        <v>1</v>
      </c>
      <c r="K220" t="n">
        <v>0</v>
      </c>
      <c r="L220" t="n">
        <v>0</v>
      </c>
      <c r="M220" t="n">
        <v>0</v>
      </c>
      <c r="N220" t="n">
        <v>0</v>
      </c>
      <c r="O220" t="n">
        <v>1</v>
      </c>
      <c r="P220" t="n">
        <v>0</v>
      </c>
      <c r="Q220" t="n">
        <v>1</v>
      </c>
      <c r="R220" s="2" t="inlineStr">
        <is>
          <t>Garnlav</t>
        </is>
      </c>
      <c r="S220">
        <f>HYPERLINK("https://klasma.github.io/Logging_2303/artfynd/A 30485-2024 artfynd.xlsx", "A 30485-2024")</f>
        <v/>
      </c>
      <c r="T220">
        <f>HYPERLINK("https://klasma.github.io/Logging_2303/kartor/A 30485-2024 karta.png", "A 30485-2024")</f>
        <v/>
      </c>
      <c r="V220">
        <f>HYPERLINK("https://klasma.github.io/Logging_2303/klagomål/A 30485-2024 FSC-klagomål.docx", "A 30485-2024")</f>
        <v/>
      </c>
      <c r="W220">
        <f>HYPERLINK("https://klasma.github.io/Logging_2303/klagomålsmail/A 30485-2024 FSC-klagomål mail.docx", "A 30485-2024")</f>
        <v/>
      </c>
      <c r="X220">
        <f>HYPERLINK("https://klasma.github.io/Logging_2303/tillsyn/A 30485-2024 tillsynsbegäran.docx", "A 30485-2024")</f>
        <v/>
      </c>
      <c r="Y220">
        <f>HYPERLINK("https://klasma.github.io/Logging_2303/tillsynsmail/A 30485-2024 tillsynsbegäran mail.docx", "A 30485-2024")</f>
        <v/>
      </c>
    </row>
    <row r="221" ht="15" customHeight="1">
      <c r="A221" t="inlineStr">
        <is>
          <t>A 36224-2023</t>
        </is>
      </c>
      <c r="B221" s="1" t="n">
        <v>45149</v>
      </c>
      <c r="C221" s="1" t="n">
        <v>46092</v>
      </c>
      <c r="D221" t="inlineStr">
        <is>
          <t>JÄMTLANDS LÄN</t>
        </is>
      </c>
      <c r="E221" t="inlineStr">
        <is>
          <t>RAGUNDA</t>
        </is>
      </c>
      <c r="F221" t="inlineStr">
        <is>
          <t>SCA</t>
        </is>
      </c>
      <c r="G221" t="n">
        <v>8.1</v>
      </c>
      <c r="H221" t="n">
        <v>0</v>
      </c>
      <c r="I221" t="n">
        <v>0</v>
      </c>
      <c r="J221" t="n">
        <v>1</v>
      </c>
      <c r="K221" t="n">
        <v>0</v>
      </c>
      <c r="L221" t="n">
        <v>0</v>
      </c>
      <c r="M221" t="n">
        <v>0</v>
      </c>
      <c r="N221" t="n">
        <v>0</v>
      </c>
      <c r="O221" t="n">
        <v>1</v>
      </c>
      <c r="P221" t="n">
        <v>0</v>
      </c>
      <c r="Q221" t="n">
        <v>1</v>
      </c>
      <c r="R221" s="2" t="inlineStr">
        <is>
          <t>Garnlav</t>
        </is>
      </c>
      <c r="S221">
        <f>HYPERLINK("https://klasma.github.io/Logging_2303/artfynd/A 36224-2023 artfynd.xlsx", "A 36224-2023")</f>
        <v/>
      </c>
      <c r="T221">
        <f>HYPERLINK("https://klasma.github.io/Logging_2303/kartor/A 36224-2023 karta.png", "A 36224-2023")</f>
        <v/>
      </c>
      <c r="V221">
        <f>HYPERLINK("https://klasma.github.io/Logging_2303/klagomål/A 36224-2023 FSC-klagomål.docx", "A 36224-2023")</f>
        <v/>
      </c>
      <c r="W221">
        <f>HYPERLINK("https://klasma.github.io/Logging_2303/klagomålsmail/A 36224-2023 FSC-klagomål mail.docx", "A 36224-2023")</f>
        <v/>
      </c>
      <c r="X221">
        <f>HYPERLINK("https://klasma.github.io/Logging_2303/tillsyn/A 36224-2023 tillsynsbegäran.docx", "A 36224-2023")</f>
        <v/>
      </c>
      <c r="Y221">
        <f>HYPERLINK("https://klasma.github.io/Logging_2303/tillsynsmail/A 36224-2023 tillsynsbegäran mail.docx", "A 36224-2023")</f>
        <v/>
      </c>
    </row>
    <row r="222" ht="15" customHeight="1">
      <c r="A222" t="inlineStr">
        <is>
          <t>A 40841-2025</t>
        </is>
      </c>
      <c r="B222" s="1" t="n">
        <v>45897.531875</v>
      </c>
      <c r="C222" s="1" t="n">
        <v>46092</v>
      </c>
      <c r="D222" t="inlineStr">
        <is>
          <t>JÄMTLANDS LÄN</t>
        </is>
      </c>
      <c r="E222" t="inlineStr">
        <is>
          <t>RAGUNDA</t>
        </is>
      </c>
      <c r="F222" t="inlineStr">
        <is>
          <t>SCA</t>
        </is>
      </c>
      <c r="G222" t="n">
        <v>1.1</v>
      </c>
      <c r="H222" t="n">
        <v>0</v>
      </c>
      <c r="I222" t="n">
        <v>0</v>
      </c>
      <c r="J222" t="n">
        <v>1</v>
      </c>
      <c r="K222" t="n">
        <v>0</v>
      </c>
      <c r="L222" t="n">
        <v>0</v>
      </c>
      <c r="M222" t="n">
        <v>0</v>
      </c>
      <c r="N222" t="n">
        <v>0</v>
      </c>
      <c r="O222" t="n">
        <v>1</v>
      </c>
      <c r="P222" t="n">
        <v>0</v>
      </c>
      <c r="Q222" t="n">
        <v>1</v>
      </c>
      <c r="R222" s="2" t="inlineStr">
        <is>
          <t>Garnlav</t>
        </is>
      </c>
      <c r="S222">
        <f>HYPERLINK("https://klasma.github.io/Logging_2303/artfynd/A 40841-2025 artfynd.xlsx", "A 40841-2025")</f>
        <v/>
      </c>
      <c r="T222">
        <f>HYPERLINK("https://klasma.github.io/Logging_2303/kartor/A 40841-2025 karta.png", "A 40841-2025")</f>
        <v/>
      </c>
      <c r="V222">
        <f>HYPERLINK("https://klasma.github.io/Logging_2303/klagomål/A 40841-2025 FSC-klagomål.docx", "A 40841-2025")</f>
        <v/>
      </c>
      <c r="W222">
        <f>HYPERLINK("https://klasma.github.io/Logging_2303/klagomålsmail/A 40841-2025 FSC-klagomål mail.docx", "A 40841-2025")</f>
        <v/>
      </c>
      <c r="X222">
        <f>HYPERLINK("https://klasma.github.io/Logging_2303/tillsyn/A 40841-2025 tillsynsbegäran.docx", "A 40841-2025")</f>
        <v/>
      </c>
      <c r="Y222">
        <f>HYPERLINK("https://klasma.github.io/Logging_2303/tillsynsmail/A 40841-2025 tillsynsbegäran mail.docx", "A 40841-2025")</f>
        <v/>
      </c>
    </row>
    <row r="223" ht="15" customHeight="1">
      <c r="A223" t="inlineStr">
        <is>
          <t>A 43404-2023</t>
        </is>
      </c>
      <c r="B223" s="1" t="n">
        <v>45183</v>
      </c>
      <c r="C223" s="1" t="n">
        <v>46092</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43526-2025</t>
        </is>
      </c>
      <c r="B224" s="1" t="n">
        <v>45911</v>
      </c>
      <c r="C224" s="1" t="n">
        <v>46092</v>
      </c>
      <c r="D224" t="inlineStr">
        <is>
          <t>JÄMTLANDS LÄN</t>
        </is>
      </c>
      <c r="E224" t="inlineStr">
        <is>
          <t>RAGUNDA</t>
        </is>
      </c>
      <c r="G224" t="n">
        <v>5.5</v>
      </c>
      <c r="H224" t="n">
        <v>0</v>
      </c>
      <c r="I224" t="n">
        <v>0</v>
      </c>
      <c r="J224" t="n">
        <v>1</v>
      </c>
      <c r="K224" t="n">
        <v>0</v>
      </c>
      <c r="L224" t="n">
        <v>0</v>
      </c>
      <c r="M224" t="n">
        <v>0</v>
      </c>
      <c r="N224" t="n">
        <v>0</v>
      </c>
      <c r="O224" t="n">
        <v>1</v>
      </c>
      <c r="P224" t="n">
        <v>0</v>
      </c>
      <c r="Q224" t="n">
        <v>1</v>
      </c>
      <c r="R224" s="2" t="inlineStr">
        <is>
          <t>Lunglav</t>
        </is>
      </c>
      <c r="S224">
        <f>HYPERLINK("https://klasma.github.io/Logging_2303/artfynd/A 43526-2025 artfynd.xlsx", "A 43526-2025")</f>
        <v/>
      </c>
      <c r="T224">
        <f>HYPERLINK("https://klasma.github.io/Logging_2303/kartor/A 43526-2025 karta.png", "A 43526-2025")</f>
        <v/>
      </c>
      <c r="V224">
        <f>HYPERLINK("https://klasma.github.io/Logging_2303/klagomål/A 43526-2025 FSC-klagomål.docx", "A 43526-2025")</f>
        <v/>
      </c>
      <c r="W224">
        <f>HYPERLINK("https://klasma.github.io/Logging_2303/klagomålsmail/A 43526-2025 FSC-klagomål mail.docx", "A 43526-2025")</f>
        <v/>
      </c>
      <c r="X224">
        <f>HYPERLINK("https://klasma.github.io/Logging_2303/tillsyn/A 43526-2025 tillsynsbegäran.docx", "A 43526-2025")</f>
        <v/>
      </c>
      <c r="Y224">
        <f>HYPERLINK("https://klasma.github.io/Logging_2303/tillsynsmail/A 43526-2025 tillsynsbegäran mail.docx", "A 43526-2025")</f>
        <v/>
      </c>
    </row>
    <row r="225" ht="15" customHeight="1">
      <c r="A225" t="inlineStr">
        <is>
          <t>A 24443-2024</t>
        </is>
      </c>
      <c r="B225" s="1" t="n">
        <v>45457.9640625</v>
      </c>
      <c r="C225" s="1" t="n">
        <v>46092</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46092</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978-2024</t>
        </is>
      </c>
      <c r="B227" s="1" t="n">
        <v>45301</v>
      </c>
      <c r="C227" s="1" t="n">
        <v>46092</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46092</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27573-2025</t>
        </is>
      </c>
      <c r="B229" s="1" t="n">
        <v>45813.49061342593</v>
      </c>
      <c r="C229" s="1" t="n">
        <v>46092</v>
      </c>
      <c r="D229" t="inlineStr">
        <is>
          <t>JÄMTLANDS LÄN</t>
        </is>
      </c>
      <c r="E229" t="inlineStr">
        <is>
          <t>RAGUNDA</t>
        </is>
      </c>
      <c r="F229" t="inlineStr">
        <is>
          <t>SCA</t>
        </is>
      </c>
      <c r="G229" t="n">
        <v>14.9</v>
      </c>
      <c r="H229" t="n">
        <v>0</v>
      </c>
      <c r="I229" t="n">
        <v>1</v>
      </c>
      <c r="J229" t="n">
        <v>0</v>
      </c>
      <c r="K229" t="n">
        <v>0</v>
      </c>
      <c r="L229" t="n">
        <v>0</v>
      </c>
      <c r="M229" t="n">
        <v>0</v>
      </c>
      <c r="N229" t="n">
        <v>0</v>
      </c>
      <c r="O229" t="n">
        <v>0</v>
      </c>
      <c r="P229" t="n">
        <v>0</v>
      </c>
      <c r="Q229" t="n">
        <v>1</v>
      </c>
      <c r="R229" s="2" t="inlineStr">
        <is>
          <t>Skinnlav</t>
        </is>
      </c>
      <c r="S229">
        <f>HYPERLINK("https://klasma.github.io/Logging_2303/artfynd/A 27573-2025 artfynd.xlsx", "A 27573-2025")</f>
        <v/>
      </c>
      <c r="T229">
        <f>HYPERLINK("https://klasma.github.io/Logging_2303/kartor/A 27573-2025 karta.png", "A 27573-2025")</f>
        <v/>
      </c>
      <c r="U229">
        <f>HYPERLINK("https://klasma.github.io/Logging_2303/knärot/A 27573-2025 karta knärot.png", "A 27573-2025")</f>
        <v/>
      </c>
      <c r="V229">
        <f>HYPERLINK("https://klasma.github.io/Logging_2303/klagomål/A 27573-2025 FSC-klagomål.docx", "A 27573-2025")</f>
        <v/>
      </c>
      <c r="W229">
        <f>HYPERLINK("https://klasma.github.io/Logging_2303/klagomålsmail/A 27573-2025 FSC-klagomål mail.docx", "A 27573-2025")</f>
        <v/>
      </c>
      <c r="X229">
        <f>HYPERLINK("https://klasma.github.io/Logging_2303/tillsyn/A 27573-2025 tillsynsbegäran.docx", "A 27573-2025")</f>
        <v/>
      </c>
      <c r="Y229">
        <f>HYPERLINK("https://klasma.github.io/Logging_2303/tillsynsmail/A 27573-2025 tillsynsbegäran mail.docx", "A 27573-2025")</f>
        <v/>
      </c>
    </row>
    <row r="230" ht="15" customHeight="1">
      <c r="A230" t="inlineStr">
        <is>
          <t>A 31773-2021</t>
        </is>
      </c>
      <c r="B230" s="1" t="n">
        <v>44369</v>
      </c>
      <c r="C230" s="1" t="n">
        <v>46092</v>
      </c>
      <c r="D230" t="inlineStr">
        <is>
          <t>JÄMTLANDS LÄN</t>
        </is>
      </c>
      <c r="E230" t="inlineStr">
        <is>
          <t>RAGUNDA</t>
        </is>
      </c>
      <c r="G230" t="n">
        <v>0.8</v>
      </c>
      <c r="H230" t="n">
        <v>0</v>
      </c>
      <c r="I230" t="n">
        <v>0</v>
      </c>
      <c r="J230" t="n">
        <v>0</v>
      </c>
      <c r="K230" t="n">
        <v>1</v>
      </c>
      <c r="L230" t="n">
        <v>0</v>
      </c>
      <c r="M230" t="n">
        <v>0</v>
      </c>
      <c r="N230" t="n">
        <v>0</v>
      </c>
      <c r="O230" t="n">
        <v>1</v>
      </c>
      <c r="P230" t="n">
        <v>1</v>
      </c>
      <c r="Q230" t="n">
        <v>1</v>
      </c>
      <c r="R230" s="2" t="inlineStr">
        <is>
          <t>Strandsandjägare</t>
        </is>
      </c>
      <c r="S230">
        <f>HYPERLINK("https://klasma.github.io/Logging_2303/artfynd/A 31773-2021 artfynd.xlsx", "A 31773-2021")</f>
        <v/>
      </c>
      <c r="T230">
        <f>HYPERLINK("https://klasma.github.io/Logging_2303/kartor/A 31773-2021 karta.png", "A 31773-2021")</f>
        <v/>
      </c>
      <c r="V230">
        <f>HYPERLINK("https://klasma.github.io/Logging_2303/klagomål/A 31773-2021 FSC-klagomål.docx", "A 31773-2021")</f>
        <v/>
      </c>
      <c r="W230">
        <f>HYPERLINK("https://klasma.github.io/Logging_2303/klagomålsmail/A 31773-2021 FSC-klagomål mail.docx", "A 31773-2021")</f>
        <v/>
      </c>
      <c r="X230">
        <f>HYPERLINK("https://klasma.github.io/Logging_2303/tillsyn/A 31773-2021 tillsynsbegäran.docx", "A 31773-2021")</f>
        <v/>
      </c>
      <c r="Y230">
        <f>HYPERLINK("https://klasma.github.io/Logging_2303/tillsynsmail/A 31773-2021 tillsynsbegäran mail.docx", "A 31773-2021")</f>
        <v/>
      </c>
    </row>
    <row r="231" ht="15" customHeight="1">
      <c r="A231" t="inlineStr">
        <is>
          <t>A 50164-2023</t>
        </is>
      </c>
      <c r="B231" s="1" t="n">
        <v>45208</v>
      </c>
      <c r="C231" s="1" t="n">
        <v>46092</v>
      </c>
      <c r="D231" t="inlineStr">
        <is>
          <t>JÄMTLANDS LÄN</t>
        </is>
      </c>
      <c r="E231" t="inlineStr">
        <is>
          <t>RAGUNDA</t>
        </is>
      </c>
      <c r="G231" t="n">
        <v>2.9</v>
      </c>
      <c r="H231" t="n">
        <v>0</v>
      </c>
      <c r="I231" t="n">
        <v>0</v>
      </c>
      <c r="J231" t="n">
        <v>0</v>
      </c>
      <c r="K231" t="n">
        <v>1</v>
      </c>
      <c r="L231" t="n">
        <v>0</v>
      </c>
      <c r="M231" t="n">
        <v>0</v>
      </c>
      <c r="N231" t="n">
        <v>0</v>
      </c>
      <c r="O231" t="n">
        <v>1</v>
      </c>
      <c r="P231" t="n">
        <v>1</v>
      </c>
      <c r="Q231" t="n">
        <v>1</v>
      </c>
      <c r="R231" s="2" t="inlineStr">
        <is>
          <t>Mindre barkplattbagge</t>
        </is>
      </c>
      <c r="S231">
        <f>HYPERLINK("https://klasma.github.io/Logging_2303/artfynd/A 50164-2023 artfynd.xlsx", "A 50164-2023")</f>
        <v/>
      </c>
      <c r="T231">
        <f>HYPERLINK("https://klasma.github.io/Logging_2303/kartor/A 50164-2023 karta.png", "A 50164-2023")</f>
        <v/>
      </c>
      <c r="V231">
        <f>HYPERLINK("https://klasma.github.io/Logging_2303/klagomål/A 50164-2023 FSC-klagomål.docx", "A 50164-2023")</f>
        <v/>
      </c>
      <c r="W231">
        <f>HYPERLINK("https://klasma.github.io/Logging_2303/klagomålsmail/A 50164-2023 FSC-klagomål mail.docx", "A 50164-2023")</f>
        <v/>
      </c>
      <c r="X231">
        <f>HYPERLINK("https://klasma.github.io/Logging_2303/tillsyn/A 50164-2023 tillsynsbegäran.docx", "A 50164-2023")</f>
        <v/>
      </c>
      <c r="Y231">
        <f>HYPERLINK("https://klasma.github.io/Logging_2303/tillsynsmail/A 50164-2023 tillsynsbegäran mail.docx", "A 50164-2023")</f>
        <v/>
      </c>
    </row>
    <row r="232" ht="15" customHeight="1">
      <c r="A232" t="inlineStr">
        <is>
          <t>A 49053-2025</t>
        </is>
      </c>
      <c r="B232" s="1" t="n">
        <v>45937.64009259259</v>
      </c>
      <c r="C232" s="1" t="n">
        <v>46092</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30390-2025</t>
        </is>
      </c>
      <c r="B233" s="1" t="n">
        <v>45827.57371527778</v>
      </c>
      <c r="C233" s="1" t="n">
        <v>46092</v>
      </c>
      <c r="D233" t="inlineStr">
        <is>
          <t>JÄMTLANDS LÄN</t>
        </is>
      </c>
      <c r="E233" t="inlineStr">
        <is>
          <t>RAGUNDA</t>
        </is>
      </c>
      <c r="F233" t="inlineStr">
        <is>
          <t>SCA</t>
        </is>
      </c>
      <c r="G233" t="n">
        <v>11.2</v>
      </c>
      <c r="H233" t="n">
        <v>0</v>
      </c>
      <c r="I233" t="n">
        <v>0</v>
      </c>
      <c r="J233" t="n">
        <v>1</v>
      </c>
      <c r="K233" t="n">
        <v>0</v>
      </c>
      <c r="L233" t="n">
        <v>0</v>
      </c>
      <c r="M233" t="n">
        <v>0</v>
      </c>
      <c r="N233" t="n">
        <v>0</v>
      </c>
      <c r="O233" t="n">
        <v>1</v>
      </c>
      <c r="P233" t="n">
        <v>0</v>
      </c>
      <c r="Q233" t="n">
        <v>1</v>
      </c>
      <c r="R233" s="2" t="inlineStr">
        <is>
          <t>Lunglav</t>
        </is>
      </c>
      <c r="S233">
        <f>HYPERLINK("https://klasma.github.io/Logging_2303/artfynd/A 30390-2025 artfynd.xlsx", "A 30390-2025")</f>
        <v/>
      </c>
      <c r="T233">
        <f>HYPERLINK("https://klasma.github.io/Logging_2303/kartor/A 30390-2025 karta.png", "A 30390-2025")</f>
        <v/>
      </c>
      <c r="U233">
        <f>HYPERLINK("https://klasma.github.io/Logging_2303/knärot/A 30390-2025 karta knärot.png", "A 30390-2025")</f>
        <v/>
      </c>
      <c r="V233">
        <f>HYPERLINK("https://klasma.github.io/Logging_2303/klagomål/A 30390-2025 FSC-klagomål.docx", "A 30390-2025")</f>
        <v/>
      </c>
      <c r="W233">
        <f>HYPERLINK("https://klasma.github.io/Logging_2303/klagomålsmail/A 30390-2025 FSC-klagomål mail.docx", "A 30390-2025")</f>
        <v/>
      </c>
      <c r="X233">
        <f>HYPERLINK("https://klasma.github.io/Logging_2303/tillsyn/A 30390-2025 tillsynsbegäran.docx", "A 30390-2025")</f>
        <v/>
      </c>
      <c r="Y233">
        <f>HYPERLINK("https://klasma.github.io/Logging_2303/tillsynsmail/A 30390-2025 tillsynsbegäran mail.docx", "A 30390-2025")</f>
        <v/>
      </c>
    </row>
    <row r="234" ht="15" customHeight="1">
      <c r="A234" t="inlineStr">
        <is>
          <t>A 10358-2026</t>
        </is>
      </c>
      <c r="B234" s="1" t="n">
        <v>46076</v>
      </c>
      <c r="C234" s="1" t="n">
        <v>46092</v>
      </c>
      <c r="D234" t="inlineStr">
        <is>
          <t>JÄMTLANDS LÄN</t>
        </is>
      </c>
      <c r="E234" t="inlineStr">
        <is>
          <t>RAGUNDA</t>
        </is>
      </c>
      <c r="G234" t="n">
        <v>5.4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10358-2026 artfynd.xlsx", "A 10358-2026")</f>
        <v/>
      </c>
      <c r="T234">
        <f>HYPERLINK("https://klasma.github.io/Logging_2303/kartor/A 10358-2026 karta.png", "A 10358-2026")</f>
        <v/>
      </c>
      <c r="V234">
        <f>HYPERLINK("https://klasma.github.io/Logging_2303/klagomål/A 10358-2026 FSC-klagomål.docx", "A 10358-2026")</f>
        <v/>
      </c>
      <c r="W234">
        <f>HYPERLINK("https://klasma.github.io/Logging_2303/klagomålsmail/A 10358-2026 FSC-klagomål mail.docx", "A 10358-2026")</f>
        <v/>
      </c>
      <c r="X234">
        <f>HYPERLINK("https://klasma.github.io/Logging_2303/tillsyn/A 10358-2026 tillsynsbegäran.docx", "A 10358-2026")</f>
        <v/>
      </c>
      <c r="Y234">
        <f>HYPERLINK("https://klasma.github.io/Logging_2303/tillsynsmail/A 10358-2026 tillsynsbegäran mail.docx", "A 10358-2026")</f>
        <v/>
      </c>
      <c r="Z234">
        <f>HYPERLINK("https://klasma.github.io/Logging_2303/fåglar/A 10358-2026 prioriterade fågelarter.docx", "A 10358-2026")</f>
        <v/>
      </c>
    </row>
    <row r="235" ht="15" customHeight="1">
      <c r="A235" t="inlineStr">
        <is>
          <t>A 2097-2026</t>
        </is>
      </c>
      <c r="B235" s="1" t="n">
        <v>46036.36556712963</v>
      </c>
      <c r="C235" s="1" t="n">
        <v>46092</v>
      </c>
      <c r="D235" t="inlineStr">
        <is>
          <t>JÄMTLANDS LÄN</t>
        </is>
      </c>
      <c r="E235" t="inlineStr">
        <is>
          <t>RAGUNDA</t>
        </is>
      </c>
      <c r="F235" t="inlineStr">
        <is>
          <t>SCA</t>
        </is>
      </c>
      <c r="G235" t="n">
        <v>0.9</v>
      </c>
      <c r="H235" t="n">
        <v>0</v>
      </c>
      <c r="I235" t="n">
        <v>0</v>
      </c>
      <c r="J235" t="n">
        <v>0</v>
      </c>
      <c r="K235" t="n">
        <v>0</v>
      </c>
      <c r="L235" t="n">
        <v>1</v>
      </c>
      <c r="M235" t="n">
        <v>0</v>
      </c>
      <c r="N235" t="n">
        <v>0</v>
      </c>
      <c r="O235" t="n">
        <v>1</v>
      </c>
      <c r="P235" t="n">
        <v>1</v>
      </c>
      <c r="Q235" t="n">
        <v>1</v>
      </c>
      <c r="R235" s="2" t="inlineStr">
        <is>
          <t>Trolldruvemätare</t>
        </is>
      </c>
      <c r="S235">
        <f>HYPERLINK("https://klasma.github.io/Logging_2303/artfynd/A 2097-2026 artfynd.xlsx", "A 2097-2026")</f>
        <v/>
      </c>
      <c r="T235">
        <f>HYPERLINK("https://klasma.github.io/Logging_2303/kartor/A 2097-2026 karta.png", "A 2097-2026")</f>
        <v/>
      </c>
      <c r="V235">
        <f>HYPERLINK("https://klasma.github.io/Logging_2303/klagomål/A 2097-2026 FSC-klagomål.docx", "A 2097-2026")</f>
        <v/>
      </c>
      <c r="W235">
        <f>HYPERLINK("https://klasma.github.io/Logging_2303/klagomålsmail/A 2097-2026 FSC-klagomål mail.docx", "A 2097-2026")</f>
        <v/>
      </c>
      <c r="X235">
        <f>HYPERLINK("https://klasma.github.io/Logging_2303/tillsyn/A 2097-2026 tillsynsbegäran.docx", "A 2097-2026")</f>
        <v/>
      </c>
      <c r="Y235">
        <f>HYPERLINK("https://klasma.github.io/Logging_2303/tillsynsmail/A 2097-2026 tillsynsbegäran mail.docx", "A 2097-2026")</f>
        <v/>
      </c>
    </row>
    <row r="236" ht="15" customHeight="1">
      <c r="A236" t="inlineStr">
        <is>
          <t>A 26317-2024</t>
        </is>
      </c>
      <c r="B236" s="1" t="n">
        <v>45468</v>
      </c>
      <c r="C236" s="1" t="n">
        <v>46092</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51912-2025</t>
        </is>
      </c>
      <c r="B237" s="1" t="n">
        <v>45952.46939814815</v>
      </c>
      <c r="C237" s="1" t="n">
        <v>46092</v>
      </c>
      <c r="D237" t="inlineStr">
        <is>
          <t>JÄMTLANDS LÄN</t>
        </is>
      </c>
      <c r="E237" t="inlineStr">
        <is>
          <t>RAGUNDA</t>
        </is>
      </c>
      <c r="F237" t="inlineStr">
        <is>
          <t>SCA</t>
        </is>
      </c>
      <c r="G237" t="n">
        <v>24.2</v>
      </c>
      <c r="H237" t="n">
        <v>1</v>
      </c>
      <c r="I237" t="n">
        <v>0</v>
      </c>
      <c r="J237" t="n">
        <v>0</v>
      </c>
      <c r="K237" t="n">
        <v>1</v>
      </c>
      <c r="L237" t="n">
        <v>0</v>
      </c>
      <c r="M237" t="n">
        <v>0</v>
      </c>
      <c r="N237" t="n">
        <v>0</v>
      </c>
      <c r="O237" t="n">
        <v>1</v>
      </c>
      <c r="P237" t="n">
        <v>1</v>
      </c>
      <c r="Q237" t="n">
        <v>1</v>
      </c>
      <c r="R237" s="2" t="inlineStr">
        <is>
          <t>Norna</t>
        </is>
      </c>
      <c r="S237">
        <f>HYPERLINK("https://klasma.github.io/Logging_2303/artfynd/A 51912-2025 artfynd.xlsx", "A 51912-2025")</f>
        <v/>
      </c>
      <c r="T237">
        <f>HYPERLINK("https://klasma.github.io/Logging_2303/kartor/A 51912-2025 karta.png", "A 51912-2025")</f>
        <v/>
      </c>
      <c r="V237">
        <f>HYPERLINK("https://klasma.github.io/Logging_2303/klagomål/A 51912-2025 FSC-klagomål.docx", "A 51912-2025")</f>
        <v/>
      </c>
      <c r="W237">
        <f>HYPERLINK("https://klasma.github.io/Logging_2303/klagomålsmail/A 51912-2025 FSC-klagomål mail.docx", "A 51912-2025")</f>
        <v/>
      </c>
      <c r="X237">
        <f>HYPERLINK("https://klasma.github.io/Logging_2303/tillsyn/A 51912-2025 tillsynsbegäran.docx", "A 51912-2025")</f>
        <v/>
      </c>
      <c r="Y237">
        <f>HYPERLINK("https://klasma.github.io/Logging_2303/tillsynsmail/A 51912-2025 tillsynsbegäran mail.docx", "A 51912-2025")</f>
        <v/>
      </c>
    </row>
    <row r="238" ht="15" customHeight="1">
      <c r="A238" t="inlineStr">
        <is>
          <t>A 22054-2025</t>
        </is>
      </c>
      <c r="B238" s="1" t="n">
        <v>45785.36525462963</v>
      </c>
      <c r="C238" s="1" t="n">
        <v>46092</v>
      </c>
      <c r="D238" t="inlineStr">
        <is>
          <t>JÄMTLANDS LÄN</t>
        </is>
      </c>
      <c r="E238" t="inlineStr">
        <is>
          <t>RAGUNDA</t>
        </is>
      </c>
      <c r="F238" t="inlineStr">
        <is>
          <t>SCA</t>
        </is>
      </c>
      <c r="G238" t="n">
        <v>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22054-2025 artfynd.xlsx", "A 22054-2025")</f>
        <v/>
      </c>
      <c r="T238">
        <f>HYPERLINK("https://klasma.github.io/Logging_2303/kartor/A 22054-2025 karta.png", "A 22054-2025")</f>
        <v/>
      </c>
      <c r="V238">
        <f>HYPERLINK("https://klasma.github.io/Logging_2303/klagomål/A 22054-2025 FSC-klagomål.docx", "A 22054-2025")</f>
        <v/>
      </c>
      <c r="W238">
        <f>HYPERLINK("https://klasma.github.io/Logging_2303/klagomålsmail/A 22054-2025 FSC-klagomål mail.docx", "A 22054-2025")</f>
        <v/>
      </c>
      <c r="X238">
        <f>HYPERLINK("https://klasma.github.io/Logging_2303/tillsyn/A 22054-2025 tillsynsbegäran.docx", "A 22054-2025")</f>
        <v/>
      </c>
      <c r="Y238">
        <f>HYPERLINK("https://klasma.github.io/Logging_2303/tillsynsmail/A 22054-2025 tillsynsbegäran mail.docx", "A 22054-2025")</f>
        <v/>
      </c>
      <c r="Z238">
        <f>HYPERLINK("https://klasma.github.io/Logging_2303/fåglar/A 22054-2025 prioriterade fågelarter.docx", "A 22054-2025")</f>
        <v/>
      </c>
    </row>
    <row r="239" ht="15" customHeight="1">
      <c r="A239" t="inlineStr">
        <is>
          <t>A 32445-2025</t>
        </is>
      </c>
      <c r="B239" s="1" t="n">
        <v>45838.38627314815</v>
      </c>
      <c r="C239" s="1" t="n">
        <v>46092</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49091-2022</t>
        </is>
      </c>
      <c r="B240" s="1" t="n">
        <v>44860</v>
      </c>
      <c r="C240" s="1" t="n">
        <v>46092</v>
      </c>
      <c r="D240" t="inlineStr">
        <is>
          <t>JÄMTLANDS LÄN</t>
        </is>
      </c>
      <c r="E240" t="inlineStr">
        <is>
          <t>RAGUNDA</t>
        </is>
      </c>
      <c r="G240" t="n">
        <v>3.5</v>
      </c>
      <c r="H240" t="n">
        <v>1</v>
      </c>
      <c r="I240" t="n">
        <v>0</v>
      </c>
      <c r="J240" t="n">
        <v>0</v>
      </c>
      <c r="K240" t="n">
        <v>1</v>
      </c>
      <c r="L240" t="n">
        <v>0</v>
      </c>
      <c r="M240" t="n">
        <v>0</v>
      </c>
      <c r="N240" t="n">
        <v>0</v>
      </c>
      <c r="O240" t="n">
        <v>1</v>
      </c>
      <c r="P240" t="n">
        <v>1</v>
      </c>
      <c r="Q240" t="n">
        <v>1</v>
      </c>
      <c r="R240" s="2" t="inlineStr">
        <is>
          <t>Doftticka</t>
        </is>
      </c>
      <c r="S240">
        <f>HYPERLINK("https://klasma.github.io/Logging_2303/artfynd/A 49091-2022 artfynd.xlsx", "A 49091-2022")</f>
        <v/>
      </c>
      <c r="T240">
        <f>HYPERLINK("https://klasma.github.io/Logging_2303/kartor/A 49091-2022 karta.png", "A 49091-2022")</f>
        <v/>
      </c>
      <c r="V240">
        <f>HYPERLINK("https://klasma.github.io/Logging_2303/klagomål/A 49091-2022 FSC-klagomål.docx", "A 49091-2022")</f>
        <v/>
      </c>
      <c r="W240">
        <f>HYPERLINK("https://klasma.github.io/Logging_2303/klagomålsmail/A 49091-2022 FSC-klagomål mail.docx", "A 49091-2022")</f>
        <v/>
      </c>
      <c r="X240">
        <f>HYPERLINK("https://klasma.github.io/Logging_2303/tillsyn/A 49091-2022 tillsynsbegäran.docx", "A 49091-2022")</f>
        <v/>
      </c>
      <c r="Y240">
        <f>HYPERLINK("https://klasma.github.io/Logging_2303/tillsynsmail/A 49091-2022 tillsynsbegäran mail.docx", "A 49091-2022")</f>
        <v/>
      </c>
    </row>
    <row r="241" ht="15" customHeight="1">
      <c r="A241" t="inlineStr">
        <is>
          <t>A 4157-2026</t>
        </is>
      </c>
      <c r="B241" s="1" t="n">
        <v>46044.65694444445</v>
      </c>
      <c r="C241" s="1" t="n">
        <v>46092</v>
      </c>
      <c r="D241" t="inlineStr">
        <is>
          <t>JÄMTLANDS LÄN</t>
        </is>
      </c>
      <c r="E241" t="inlineStr">
        <is>
          <t>RAGUNDA</t>
        </is>
      </c>
      <c r="F241" t="inlineStr">
        <is>
          <t>SCA</t>
        </is>
      </c>
      <c r="G241" t="n">
        <v>2.6</v>
      </c>
      <c r="H241" t="n">
        <v>1</v>
      </c>
      <c r="I241" t="n">
        <v>1</v>
      </c>
      <c r="J241" t="n">
        <v>0</v>
      </c>
      <c r="K241" t="n">
        <v>0</v>
      </c>
      <c r="L241" t="n">
        <v>0</v>
      </c>
      <c r="M241" t="n">
        <v>0</v>
      </c>
      <c r="N241" t="n">
        <v>0</v>
      </c>
      <c r="O241" t="n">
        <v>0</v>
      </c>
      <c r="P241" t="n">
        <v>0</v>
      </c>
      <c r="Q241" t="n">
        <v>1</v>
      </c>
      <c r="R241" s="2" t="inlineStr">
        <is>
          <t>Tvåblad</t>
        </is>
      </c>
      <c r="S241">
        <f>HYPERLINK("https://klasma.github.io/Logging_2303/artfynd/A 4157-2026 artfynd.xlsx", "A 4157-2026")</f>
        <v/>
      </c>
      <c r="T241">
        <f>HYPERLINK("https://klasma.github.io/Logging_2303/kartor/A 4157-2026 karta.png", "A 4157-2026")</f>
        <v/>
      </c>
      <c r="V241">
        <f>HYPERLINK("https://klasma.github.io/Logging_2303/klagomål/A 4157-2026 FSC-klagomål.docx", "A 4157-2026")</f>
        <v/>
      </c>
      <c r="W241">
        <f>HYPERLINK("https://klasma.github.io/Logging_2303/klagomålsmail/A 4157-2026 FSC-klagomål mail.docx", "A 4157-2026")</f>
        <v/>
      </c>
      <c r="X241">
        <f>HYPERLINK("https://klasma.github.io/Logging_2303/tillsyn/A 4157-2026 tillsynsbegäran.docx", "A 4157-2026")</f>
        <v/>
      </c>
      <c r="Y241">
        <f>HYPERLINK("https://klasma.github.io/Logging_2303/tillsynsmail/A 4157-2026 tillsynsbegäran mail.docx", "A 4157-2026")</f>
        <v/>
      </c>
    </row>
    <row r="242" ht="15" customHeight="1">
      <c r="A242" t="inlineStr">
        <is>
          <t>A 34474-2025</t>
        </is>
      </c>
      <c r="B242" s="1" t="n">
        <v>45847.36528935185</v>
      </c>
      <c r="C242" s="1" t="n">
        <v>46092</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48429-2023</t>
        </is>
      </c>
      <c r="B243" s="1" t="n">
        <v>45205</v>
      </c>
      <c r="C243" s="1" t="n">
        <v>46092</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48429-2023 artfynd.xlsx", "A 48429-2023")</f>
        <v/>
      </c>
      <c r="T243">
        <f>HYPERLINK("https://klasma.github.io/Logging_2303/kartor/A 48429-2023 karta.png", "A 48429-2023")</f>
        <v/>
      </c>
      <c r="V243">
        <f>HYPERLINK("https://klasma.github.io/Logging_2303/klagomål/A 48429-2023 FSC-klagomål.docx", "A 48429-2023")</f>
        <v/>
      </c>
      <c r="W243">
        <f>HYPERLINK("https://klasma.github.io/Logging_2303/klagomålsmail/A 48429-2023 FSC-klagomål mail.docx", "A 48429-2023")</f>
        <v/>
      </c>
      <c r="X243">
        <f>HYPERLINK("https://klasma.github.io/Logging_2303/tillsyn/A 48429-2023 tillsynsbegäran.docx", "A 48429-2023")</f>
        <v/>
      </c>
      <c r="Y243">
        <f>HYPERLINK("https://klasma.github.io/Logging_2303/tillsynsmail/A 48429-2023 tillsynsbegäran mail.docx", "A 48429-2023")</f>
        <v/>
      </c>
    </row>
    <row r="244" ht="15" customHeight="1">
      <c r="A244" t="inlineStr">
        <is>
          <t>A 17340-2023</t>
        </is>
      </c>
      <c r="B244" s="1" t="n">
        <v>45033</v>
      </c>
      <c r="C244" s="1" t="n">
        <v>46092</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26322-2024</t>
        </is>
      </c>
      <c r="B245" s="1" t="n">
        <v>45468.97461805555</v>
      </c>
      <c r="C245" s="1" t="n">
        <v>46092</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48477-2023</t>
        </is>
      </c>
      <c r="B246" s="1" t="n">
        <v>45206</v>
      </c>
      <c r="C246" s="1" t="n">
        <v>46092</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16724-2025</t>
        </is>
      </c>
      <c r="B247" s="1" t="n">
        <v>45754.51064814815</v>
      </c>
      <c r="C247" s="1" t="n">
        <v>46092</v>
      </c>
      <c r="D247" t="inlineStr">
        <is>
          <t>JÄMTLANDS LÄN</t>
        </is>
      </c>
      <c r="E247" t="inlineStr">
        <is>
          <t>RAGUNDA</t>
        </is>
      </c>
      <c r="G247" t="n">
        <v>3.5</v>
      </c>
      <c r="H247" t="n">
        <v>0</v>
      </c>
      <c r="I247" t="n">
        <v>0</v>
      </c>
      <c r="J247" t="n">
        <v>1</v>
      </c>
      <c r="K247" t="n">
        <v>0</v>
      </c>
      <c r="L247" t="n">
        <v>0</v>
      </c>
      <c r="M247" t="n">
        <v>0</v>
      </c>
      <c r="N247" t="n">
        <v>0</v>
      </c>
      <c r="O247" t="n">
        <v>1</v>
      </c>
      <c r="P247" t="n">
        <v>0</v>
      </c>
      <c r="Q247" t="n">
        <v>1</v>
      </c>
      <c r="R247" s="2" t="inlineStr">
        <is>
          <t>Kolflarnlav</t>
        </is>
      </c>
      <c r="S247">
        <f>HYPERLINK("https://klasma.github.io/Logging_2303/artfynd/A 16724-2025 artfynd.xlsx", "A 16724-2025")</f>
        <v/>
      </c>
      <c r="T247">
        <f>HYPERLINK("https://klasma.github.io/Logging_2303/kartor/A 16724-2025 karta.png", "A 16724-2025")</f>
        <v/>
      </c>
      <c r="V247">
        <f>HYPERLINK("https://klasma.github.io/Logging_2303/klagomål/A 16724-2025 FSC-klagomål.docx", "A 16724-2025")</f>
        <v/>
      </c>
      <c r="W247">
        <f>HYPERLINK("https://klasma.github.io/Logging_2303/klagomålsmail/A 16724-2025 FSC-klagomål mail.docx", "A 16724-2025")</f>
        <v/>
      </c>
      <c r="X247">
        <f>HYPERLINK("https://klasma.github.io/Logging_2303/tillsyn/A 16724-2025 tillsynsbegäran.docx", "A 16724-2025")</f>
        <v/>
      </c>
      <c r="Y247">
        <f>HYPERLINK("https://klasma.github.io/Logging_2303/tillsynsmail/A 16724-2025 tillsynsbegäran mail.docx", "A 16724-2025")</f>
        <v/>
      </c>
    </row>
    <row r="248" ht="15" customHeight="1">
      <c r="A248" t="inlineStr">
        <is>
          <t>A 49770-2024</t>
        </is>
      </c>
      <c r="B248" s="1" t="n">
        <v>45597.34461805555</v>
      </c>
      <c r="C248" s="1" t="n">
        <v>46092</v>
      </c>
      <c r="D248" t="inlineStr">
        <is>
          <t>JÄMTLANDS LÄN</t>
        </is>
      </c>
      <c r="E248" t="inlineStr">
        <is>
          <t>RAGUNDA</t>
        </is>
      </c>
      <c r="F248" t="inlineStr">
        <is>
          <t>Naturvårdsverket</t>
        </is>
      </c>
      <c r="G248" t="n">
        <v>8.9</v>
      </c>
      <c r="H248" t="n">
        <v>1</v>
      </c>
      <c r="I248" t="n">
        <v>0</v>
      </c>
      <c r="J248" t="n">
        <v>0</v>
      </c>
      <c r="K248" t="n">
        <v>1</v>
      </c>
      <c r="L248" t="n">
        <v>0</v>
      </c>
      <c r="M248" t="n">
        <v>0</v>
      </c>
      <c r="N248" t="n">
        <v>0</v>
      </c>
      <c r="O248" t="n">
        <v>1</v>
      </c>
      <c r="P248" t="n">
        <v>1</v>
      </c>
      <c r="Q248" t="n">
        <v>1</v>
      </c>
      <c r="R248" s="2" t="inlineStr">
        <is>
          <t>Doftticka</t>
        </is>
      </c>
      <c r="S248">
        <f>HYPERLINK("https://klasma.github.io/Logging_2303/artfynd/A 49770-2024 artfynd.xlsx", "A 49770-2024")</f>
        <v/>
      </c>
      <c r="T248">
        <f>HYPERLINK("https://klasma.github.io/Logging_2303/kartor/A 49770-2024 karta.png", "A 49770-2024")</f>
        <v/>
      </c>
      <c r="V248">
        <f>HYPERLINK("https://klasma.github.io/Logging_2303/klagomål/A 49770-2024 FSC-klagomål.docx", "A 49770-2024")</f>
        <v/>
      </c>
      <c r="W248">
        <f>HYPERLINK("https://klasma.github.io/Logging_2303/klagomålsmail/A 49770-2024 FSC-klagomål mail.docx", "A 49770-2024")</f>
        <v/>
      </c>
      <c r="X248">
        <f>HYPERLINK("https://klasma.github.io/Logging_2303/tillsyn/A 49770-2024 tillsynsbegäran.docx", "A 49770-2024")</f>
        <v/>
      </c>
      <c r="Y248">
        <f>HYPERLINK("https://klasma.github.io/Logging_2303/tillsynsmail/A 49770-2024 tillsynsbegäran mail.docx", "A 49770-2024")</f>
        <v/>
      </c>
    </row>
    <row r="249" ht="15" customHeight="1">
      <c r="A249" t="inlineStr">
        <is>
          <t>A 61324-2024</t>
        </is>
      </c>
      <c r="B249" s="1" t="n">
        <v>45646.34438657408</v>
      </c>
      <c r="C249" s="1" t="n">
        <v>46092</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32069-2024</t>
        </is>
      </c>
      <c r="B250" s="1" t="n">
        <v>45510</v>
      </c>
      <c r="C250" s="1" t="n">
        <v>46092</v>
      </c>
      <c r="D250" t="inlineStr">
        <is>
          <t>JÄMTLANDS LÄN</t>
        </is>
      </c>
      <c r="E250" t="inlineStr">
        <is>
          <t>RAGUNDA</t>
        </is>
      </c>
      <c r="F250" t="inlineStr">
        <is>
          <t>SCA</t>
        </is>
      </c>
      <c r="G250" t="n">
        <v>1.8</v>
      </c>
      <c r="H250" t="n">
        <v>0</v>
      </c>
      <c r="I250" t="n">
        <v>0</v>
      </c>
      <c r="J250" t="n">
        <v>1</v>
      </c>
      <c r="K250" t="n">
        <v>0</v>
      </c>
      <c r="L250" t="n">
        <v>0</v>
      </c>
      <c r="M250" t="n">
        <v>0</v>
      </c>
      <c r="N250" t="n">
        <v>0</v>
      </c>
      <c r="O250" t="n">
        <v>1</v>
      </c>
      <c r="P250" t="n">
        <v>0</v>
      </c>
      <c r="Q250" t="n">
        <v>1</v>
      </c>
      <c r="R250" s="2" t="inlineStr">
        <is>
          <t>Lunglav</t>
        </is>
      </c>
      <c r="S250">
        <f>HYPERLINK("https://klasma.github.io/Logging_2303/artfynd/A 32069-2024 artfynd.xlsx", "A 32069-2024")</f>
        <v/>
      </c>
      <c r="T250">
        <f>HYPERLINK("https://klasma.github.io/Logging_2303/kartor/A 32069-2024 karta.png", "A 32069-2024")</f>
        <v/>
      </c>
      <c r="V250">
        <f>HYPERLINK("https://klasma.github.io/Logging_2303/klagomål/A 32069-2024 FSC-klagomål.docx", "A 32069-2024")</f>
        <v/>
      </c>
      <c r="W250">
        <f>HYPERLINK("https://klasma.github.io/Logging_2303/klagomålsmail/A 32069-2024 FSC-klagomål mail.docx", "A 32069-2024")</f>
        <v/>
      </c>
      <c r="X250">
        <f>HYPERLINK("https://klasma.github.io/Logging_2303/tillsyn/A 32069-2024 tillsynsbegäran.docx", "A 32069-2024")</f>
        <v/>
      </c>
      <c r="Y250">
        <f>HYPERLINK("https://klasma.github.io/Logging_2303/tillsynsmail/A 32069-2024 tillsynsbegäran mail.docx", "A 32069-2024")</f>
        <v/>
      </c>
    </row>
    <row r="251" ht="15" customHeight="1">
      <c r="A251" t="inlineStr">
        <is>
          <t>A 19751-2025</t>
        </is>
      </c>
      <c r="B251" s="1" t="n">
        <v>45771.3859837963</v>
      </c>
      <c r="C251" s="1" t="n">
        <v>46092</v>
      </c>
      <c r="D251" t="inlineStr">
        <is>
          <t>JÄMTLANDS LÄN</t>
        </is>
      </c>
      <c r="E251" t="inlineStr">
        <is>
          <t>RAGUNDA</t>
        </is>
      </c>
      <c r="F251" t="inlineStr">
        <is>
          <t>SCA</t>
        </is>
      </c>
      <c r="G251" t="n">
        <v>1.1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19751-2025 artfynd.xlsx", "A 19751-2025")</f>
        <v/>
      </c>
      <c r="T251">
        <f>HYPERLINK("https://klasma.github.io/Logging_2303/kartor/A 19751-2025 karta.png", "A 19751-2025")</f>
        <v/>
      </c>
      <c r="V251">
        <f>HYPERLINK("https://klasma.github.io/Logging_2303/klagomål/A 19751-2025 FSC-klagomål.docx", "A 19751-2025")</f>
        <v/>
      </c>
      <c r="W251">
        <f>HYPERLINK("https://klasma.github.io/Logging_2303/klagomålsmail/A 19751-2025 FSC-klagomål mail.docx", "A 19751-2025")</f>
        <v/>
      </c>
      <c r="X251">
        <f>HYPERLINK("https://klasma.github.io/Logging_2303/tillsyn/A 19751-2025 tillsynsbegäran.docx", "A 19751-2025")</f>
        <v/>
      </c>
      <c r="Y251">
        <f>HYPERLINK("https://klasma.github.io/Logging_2303/tillsynsmail/A 19751-2025 tillsynsbegäran mail.docx", "A 19751-2025")</f>
        <v/>
      </c>
      <c r="Z251">
        <f>HYPERLINK("https://klasma.github.io/Logging_2303/fåglar/A 19751-2025 prioriterade fågelarter.docx", "A 19751-2025")</f>
        <v/>
      </c>
    </row>
    <row r="252" ht="15" customHeight="1">
      <c r="A252" t="inlineStr">
        <is>
          <t>A 19387-2025</t>
        </is>
      </c>
      <c r="B252" s="1" t="n">
        <v>45769.65736111111</v>
      </c>
      <c r="C252" s="1" t="n">
        <v>46092</v>
      </c>
      <c r="D252" t="inlineStr">
        <is>
          <t>JÄMTLANDS LÄN</t>
        </is>
      </c>
      <c r="E252" t="inlineStr">
        <is>
          <t>RAGUNDA</t>
        </is>
      </c>
      <c r="F252" t="inlineStr">
        <is>
          <t>SCA</t>
        </is>
      </c>
      <c r="G252" t="n">
        <v>16.4</v>
      </c>
      <c r="H252" t="n">
        <v>1</v>
      </c>
      <c r="I252" t="n">
        <v>0</v>
      </c>
      <c r="J252" t="n">
        <v>0</v>
      </c>
      <c r="K252" t="n">
        <v>1</v>
      </c>
      <c r="L252" t="n">
        <v>0</v>
      </c>
      <c r="M252" t="n">
        <v>0</v>
      </c>
      <c r="N252" t="n">
        <v>0</v>
      </c>
      <c r="O252" t="n">
        <v>1</v>
      </c>
      <c r="P252" t="n">
        <v>1</v>
      </c>
      <c r="Q252" t="n">
        <v>1</v>
      </c>
      <c r="R252" s="2" t="inlineStr">
        <is>
          <t>Norna</t>
        </is>
      </c>
      <c r="S252">
        <f>HYPERLINK("https://klasma.github.io/Logging_2303/artfynd/A 19387-2025 artfynd.xlsx", "A 19387-2025")</f>
        <v/>
      </c>
      <c r="T252">
        <f>HYPERLINK("https://klasma.github.io/Logging_2303/kartor/A 19387-2025 karta.png", "A 19387-2025")</f>
        <v/>
      </c>
      <c r="V252">
        <f>HYPERLINK("https://klasma.github.io/Logging_2303/klagomål/A 19387-2025 FSC-klagomål.docx", "A 19387-2025")</f>
        <v/>
      </c>
      <c r="W252">
        <f>HYPERLINK("https://klasma.github.io/Logging_2303/klagomålsmail/A 19387-2025 FSC-klagomål mail.docx", "A 19387-2025")</f>
        <v/>
      </c>
      <c r="X252">
        <f>HYPERLINK("https://klasma.github.io/Logging_2303/tillsyn/A 19387-2025 tillsynsbegäran.docx", "A 19387-2025")</f>
        <v/>
      </c>
      <c r="Y252">
        <f>HYPERLINK("https://klasma.github.io/Logging_2303/tillsynsmail/A 19387-2025 tillsynsbegäran mail.docx", "A 19387-2025")</f>
        <v/>
      </c>
    </row>
    <row r="253" ht="15" customHeight="1">
      <c r="A253" t="inlineStr">
        <is>
          <t>A 2929-2024</t>
        </is>
      </c>
      <c r="B253" s="1" t="n">
        <v>45315</v>
      </c>
      <c r="C253" s="1" t="n">
        <v>46092</v>
      </c>
      <c r="D253" t="inlineStr">
        <is>
          <t>JÄMTLANDS LÄN</t>
        </is>
      </c>
      <c r="E253" t="inlineStr">
        <is>
          <t>RAGUNDA</t>
        </is>
      </c>
      <c r="G253" t="n">
        <v>1</v>
      </c>
      <c r="H253" t="n">
        <v>0</v>
      </c>
      <c r="I253" t="n">
        <v>0</v>
      </c>
      <c r="J253" t="n">
        <v>1</v>
      </c>
      <c r="K253" t="n">
        <v>0</v>
      </c>
      <c r="L253" t="n">
        <v>0</v>
      </c>
      <c r="M253" t="n">
        <v>0</v>
      </c>
      <c r="N253" t="n">
        <v>0</v>
      </c>
      <c r="O253" t="n">
        <v>1</v>
      </c>
      <c r="P253" t="n">
        <v>0</v>
      </c>
      <c r="Q253" t="n">
        <v>1</v>
      </c>
      <c r="R253" s="2" t="inlineStr">
        <is>
          <t>Klådris</t>
        </is>
      </c>
      <c r="S253">
        <f>HYPERLINK("https://klasma.github.io/Logging_2303/artfynd/A 2929-2024 artfynd.xlsx", "A 2929-2024")</f>
        <v/>
      </c>
      <c r="T253">
        <f>HYPERLINK("https://klasma.github.io/Logging_2303/kartor/A 2929-2024 karta.png", "A 2929-2024")</f>
        <v/>
      </c>
      <c r="V253">
        <f>HYPERLINK("https://klasma.github.io/Logging_2303/klagomål/A 2929-2024 FSC-klagomål.docx", "A 2929-2024")</f>
        <v/>
      </c>
      <c r="W253">
        <f>HYPERLINK("https://klasma.github.io/Logging_2303/klagomålsmail/A 2929-2024 FSC-klagomål mail.docx", "A 2929-2024")</f>
        <v/>
      </c>
      <c r="X253">
        <f>HYPERLINK("https://klasma.github.io/Logging_2303/tillsyn/A 2929-2024 tillsynsbegäran.docx", "A 2929-2024")</f>
        <v/>
      </c>
      <c r="Y253">
        <f>HYPERLINK("https://klasma.github.io/Logging_2303/tillsynsmail/A 2929-2024 tillsynsbegäran mail.docx", "A 2929-2024")</f>
        <v/>
      </c>
    </row>
    <row r="254" ht="15" customHeight="1">
      <c r="A254" t="inlineStr">
        <is>
          <t>A 58846-2024</t>
        </is>
      </c>
      <c r="B254" s="1" t="n">
        <v>45636.3863425926</v>
      </c>
      <c r="C254" s="1" t="n">
        <v>46092</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36854-2023</t>
        </is>
      </c>
      <c r="B255" s="1" t="n">
        <v>45153</v>
      </c>
      <c r="C255" s="1" t="n">
        <v>46092</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18985-2023</t>
        </is>
      </c>
      <c r="B256" s="1" t="n">
        <v>45044</v>
      </c>
      <c r="C256" s="1" t="n">
        <v>46092</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35750-2023</t>
        </is>
      </c>
      <c r="B257" s="1" t="n">
        <v>45147</v>
      </c>
      <c r="C257" s="1" t="n">
        <v>46092</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62072-2023</t>
        </is>
      </c>
      <c r="B258" s="1" t="n">
        <v>45266</v>
      </c>
      <c r="C258" s="1" t="n">
        <v>46092</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Lappuggla</t>
        </is>
      </c>
      <c r="S258">
        <f>HYPERLINK("https://klasma.github.io/Logging_2303/artfynd/A 62072-2023 artfynd.xlsx", "A 62072-2023")</f>
        <v/>
      </c>
      <c r="T258">
        <f>HYPERLINK("https://klasma.github.io/Logging_2303/kartor/A 62072-2023 karta.png", "A 62072-2023")</f>
        <v/>
      </c>
      <c r="V258">
        <f>HYPERLINK("https://klasma.github.io/Logging_2303/klagomål/A 62072-2023 FSC-klagomål.docx", "A 62072-2023")</f>
        <v/>
      </c>
      <c r="W258">
        <f>HYPERLINK("https://klasma.github.io/Logging_2303/klagomålsmail/A 62072-2023 FSC-klagomål mail.docx", "A 62072-2023")</f>
        <v/>
      </c>
      <c r="X258">
        <f>HYPERLINK("https://klasma.github.io/Logging_2303/tillsyn/A 62072-2023 tillsynsbegäran.docx", "A 62072-2023")</f>
        <v/>
      </c>
      <c r="Y258">
        <f>HYPERLINK("https://klasma.github.io/Logging_2303/tillsynsmail/A 62072-2023 tillsynsbegäran mail.docx", "A 62072-2023")</f>
        <v/>
      </c>
      <c r="Z258">
        <f>HYPERLINK("https://klasma.github.io/Logging_2303/fåglar/A 62072-2023 prioriterade fågelarter.docx", "A 62072-2023")</f>
        <v/>
      </c>
    </row>
    <row r="259" ht="15" customHeight="1">
      <c r="A259" t="inlineStr">
        <is>
          <t>A 20774-2024</t>
        </is>
      </c>
      <c r="B259" s="1" t="n">
        <v>45436.94644675926</v>
      </c>
      <c r="C259" s="1" t="n">
        <v>46092</v>
      </c>
      <c r="D259" t="inlineStr">
        <is>
          <t>JÄMTLANDS LÄN</t>
        </is>
      </c>
      <c r="E259" t="inlineStr">
        <is>
          <t>RAGUNDA</t>
        </is>
      </c>
      <c r="F259" t="inlineStr">
        <is>
          <t>SCA</t>
        </is>
      </c>
      <c r="G259" t="n">
        <v>2.3</v>
      </c>
      <c r="H259" t="n">
        <v>0</v>
      </c>
      <c r="I259" t="n">
        <v>1</v>
      </c>
      <c r="J259" t="n">
        <v>0</v>
      </c>
      <c r="K259" t="n">
        <v>0</v>
      </c>
      <c r="L259" t="n">
        <v>0</v>
      </c>
      <c r="M259" t="n">
        <v>0</v>
      </c>
      <c r="N259" t="n">
        <v>0</v>
      </c>
      <c r="O259" t="n">
        <v>0</v>
      </c>
      <c r="P259" t="n">
        <v>0</v>
      </c>
      <c r="Q259" t="n">
        <v>1</v>
      </c>
      <c r="R259" s="2" t="inlineStr">
        <is>
          <t>Fjällig taggsvamp s.str.</t>
        </is>
      </c>
      <c r="S259">
        <f>HYPERLINK("https://klasma.github.io/Logging_2303/artfynd/A 20774-2024 artfynd.xlsx", "A 20774-2024")</f>
        <v/>
      </c>
      <c r="T259">
        <f>HYPERLINK("https://klasma.github.io/Logging_2303/kartor/A 20774-2024 karta.png", "A 20774-2024")</f>
        <v/>
      </c>
      <c r="V259">
        <f>HYPERLINK("https://klasma.github.io/Logging_2303/klagomål/A 20774-2024 FSC-klagomål.docx", "A 20774-2024")</f>
        <v/>
      </c>
      <c r="W259">
        <f>HYPERLINK("https://klasma.github.io/Logging_2303/klagomålsmail/A 20774-2024 FSC-klagomål mail.docx", "A 20774-2024")</f>
        <v/>
      </c>
      <c r="X259">
        <f>HYPERLINK("https://klasma.github.io/Logging_2303/tillsyn/A 20774-2024 tillsynsbegäran.docx", "A 20774-2024")</f>
        <v/>
      </c>
      <c r="Y259">
        <f>HYPERLINK("https://klasma.github.io/Logging_2303/tillsynsmail/A 20774-2024 tillsynsbegäran mail.docx", "A 20774-2024")</f>
        <v/>
      </c>
    </row>
    <row r="260" ht="15" customHeight="1">
      <c r="A260" t="inlineStr">
        <is>
          <t>A 36757-2023</t>
        </is>
      </c>
      <c r="B260" s="1" t="n">
        <v>45153</v>
      </c>
      <c r="C260" s="1" t="n">
        <v>46092</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21212-2025</t>
        </is>
      </c>
      <c r="B261" s="1" t="n">
        <v>45779.48993055556</v>
      </c>
      <c r="C261" s="1" t="n">
        <v>46092</v>
      </c>
      <c r="D261" t="inlineStr">
        <is>
          <t>JÄMTLANDS LÄN</t>
        </is>
      </c>
      <c r="E261" t="inlineStr">
        <is>
          <t>RAGUNDA</t>
        </is>
      </c>
      <c r="F261" t="inlineStr">
        <is>
          <t>SCA</t>
        </is>
      </c>
      <c r="G261" t="n">
        <v>2.6</v>
      </c>
      <c r="H261" t="n">
        <v>0</v>
      </c>
      <c r="I261" t="n">
        <v>0</v>
      </c>
      <c r="J261" t="n">
        <v>1</v>
      </c>
      <c r="K261" t="n">
        <v>0</v>
      </c>
      <c r="L261" t="n">
        <v>0</v>
      </c>
      <c r="M261" t="n">
        <v>0</v>
      </c>
      <c r="N261" t="n">
        <v>0</v>
      </c>
      <c r="O261" t="n">
        <v>1</v>
      </c>
      <c r="P261" t="n">
        <v>0</v>
      </c>
      <c r="Q261" t="n">
        <v>1</v>
      </c>
      <c r="R261" s="2" t="inlineStr">
        <is>
          <t>Garnlav</t>
        </is>
      </c>
      <c r="S261">
        <f>HYPERLINK("https://klasma.github.io/Logging_2303/artfynd/A 21212-2025 artfynd.xlsx", "A 21212-2025")</f>
        <v/>
      </c>
      <c r="T261">
        <f>HYPERLINK("https://klasma.github.io/Logging_2303/kartor/A 21212-2025 karta.png", "A 21212-2025")</f>
        <v/>
      </c>
      <c r="V261">
        <f>HYPERLINK("https://klasma.github.io/Logging_2303/klagomål/A 21212-2025 FSC-klagomål.docx", "A 21212-2025")</f>
        <v/>
      </c>
      <c r="W261">
        <f>HYPERLINK("https://klasma.github.io/Logging_2303/klagomålsmail/A 21212-2025 FSC-klagomål mail.docx", "A 21212-2025")</f>
        <v/>
      </c>
      <c r="X261">
        <f>HYPERLINK("https://klasma.github.io/Logging_2303/tillsyn/A 21212-2025 tillsynsbegäran.docx", "A 21212-2025")</f>
        <v/>
      </c>
      <c r="Y261">
        <f>HYPERLINK("https://klasma.github.io/Logging_2303/tillsynsmail/A 21212-2025 tillsynsbegäran mail.docx", "A 21212-2025")</f>
        <v/>
      </c>
    </row>
    <row r="262" ht="15" customHeight="1">
      <c r="A262" t="inlineStr">
        <is>
          <t>A 66059-2021</t>
        </is>
      </c>
      <c r="B262" s="1" t="n">
        <v>44517</v>
      </c>
      <c r="C262" s="1" t="n">
        <v>46092</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46092</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46050-2022</t>
        </is>
      </c>
      <c r="B264" s="1" t="n">
        <v>44846</v>
      </c>
      <c r="C264" s="1" t="n">
        <v>46092</v>
      </c>
      <c r="D264" t="inlineStr">
        <is>
          <t>JÄMTLANDS LÄN</t>
        </is>
      </c>
      <c r="E264" t="inlineStr">
        <is>
          <t>RAGUNDA</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46092</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46092</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46092</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46092</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46092</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48053-2022</t>
        </is>
      </c>
      <c r="B270" s="1" t="n">
        <v>44855.94125</v>
      </c>
      <c r="C270" s="1" t="n">
        <v>46092</v>
      </c>
      <c r="D270" t="inlineStr">
        <is>
          <t>JÄMTLANDS LÄN</t>
        </is>
      </c>
      <c r="E270" t="inlineStr">
        <is>
          <t>RAGUNDA</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46092</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46092</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46092</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46092</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46092</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46092</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46092</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46092</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46092</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46092</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46092</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46092</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46092</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46092</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46092</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46092</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46092</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49197-2022</t>
        </is>
      </c>
      <c r="B288" s="1" t="n">
        <v>44860</v>
      </c>
      <c r="C288" s="1" t="n">
        <v>46092</v>
      </c>
      <c r="D288" t="inlineStr">
        <is>
          <t>JÄMTLANDS LÄN</t>
        </is>
      </c>
      <c r="E288" t="inlineStr">
        <is>
          <t>RAGUNDA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46092</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46092</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46092</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46092</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46092</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46092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46092</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46092</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46092</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46092</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46092</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46092</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46092</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46092</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46092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46092</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46092</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46092</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46092</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46092</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46092</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46092</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46092</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46092</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46092</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46092</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46092</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46092</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46092</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46092</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46092</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46092</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46092</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46092</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46092</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46092</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46092</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22772-2022</t>
        </is>
      </c>
      <c r="B326" s="1" t="n">
        <v>44714.94162037037</v>
      </c>
      <c r="C326" s="1" t="n">
        <v>46092</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46092</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46092</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46092</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19850-2022</t>
        </is>
      </c>
      <c r="B330" s="1" t="n">
        <v>44696.93986111111</v>
      </c>
      <c r="C330" s="1" t="n">
        <v>46092</v>
      </c>
      <c r="D330" t="inlineStr">
        <is>
          <t>JÄMTLANDS LÄN</t>
        </is>
      </c>
      <c r="E330" t="inlineStr">
        <is>
          <t>RAGUNDA</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46092</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32780-2022</t>
        </is>
      </c>
      <c r="B332" s="1" t="n">
        <v>44783</v>
      </c>
      <c r="C332" s="1" t="n">
        <v>46092</v>
      </c>
      <c r="D332" t="inlineStr">
        <is>
          <t>JÄMTLANDS LÄN</t>
        </is>
      </c>
      <c r="E332" t="inlineStr">
        <is>
          <t>RAGUNDA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46092</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19595-2021</t>
        </is>
      </c>
      <c r="B334" s="1" t="n">
        <v>44308</v>
      </c>
      <c r="C334" s="1" t="n">
        <v>46092</v>
      </c>
      <c r="D334" t="inlineStr">
        <is>
          <t>JÄMTLANDS LÄN</t>
        </is>
      </c>
      <c r="E334" t="inlineStr">
        <is>
          <t>RAGUNDA</t>
        </is>
      </c>
      <c r="G334" t="n">
        <v>5.4</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46092</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57194-2021</t>
        </is>
      </c>
      <c r="B336" s="1" t="n">
        <v>44482.92271990741</v>
      </c>
      <c r="C336" s="1" t="n">
        <v>46092</v>
      </c>
      <c r="D336" t="inlineStr">
        <is>
          <t>JÄMTLANDS LÄN</t>
        </is>
      </c>
      <c r="E336" t="inlineStr">
        <is>
          <t>RAGUNDA</t>
        </is>
      </c>
      <c r="G336" t="n">
        <v>7.3</v>
      </c>
      <c r="H336" t="n">
        <v>0</v>
      </c>
      <c r="I336" t="n">
        <v>0</v>
      </c>
      <c r="J336" t="n">
        <v>0</v>
      </c>
      <c r="K336" t="n">
        <v>0</v>
      </c>
      <c r="L336" t="n">
        <v>0</v>
      </c>
      <c r="M336" t="n">
        <v>0</v>
      </c>
      <c r="N336" t="n">
        <v>0</v>
      </c>
      <c r="O336" t="n">
        <v>0</v>
      </c>
      <c r="P336" t="n">
        <v>0</v>
      </c>
      <c r="Q336" t="n">
        <v>0</v>
      </c>
      <c r="R336" s="2" t="inlineStr"/>
    </row>
    <row r="337" ht="15" customHeight="1">
      <c r="A337" t="inlineStr">
        <is>
          <t>A 40829-2022</t>
        </is>
      </c>
      <c r="B337" s="1" t="n">
        <v>44824.94635416667</v>
      </c>
      <c r="C337" s="1" t="n">
        <v>46092</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46992-2022</t>
        </is>
      </c>
      <c r="B338" s="1" t="n">
        <v>44851.95488425926</v>
      </c>
      <c r="C338" s="1" t="n">
        <v>46092</v>
      </c>
      <c r="D338" t="inlineStr">
        <is>
          <t>JÄMTLANDS LÄN</t>
        </is>
      </c>
      <c r="E338" t="inlineStr">
        <is>
          <t>RAGUNDA</t>
        </is>
      </c>
      <c r="F338" t="inlineStr">
        <is>
          <t>SCA</t>
        </is>
      </c>
      <c r="G338" t="n">
        <v>26.4</v>
      </c>
      <c r="H338" t="n">
        <v>0</v>
      </c>
      <c r="I338" t="n">
        <v>0</v>
      </c>
      <c r="J338" t="n">
        <v>0</v>
      </c>
      <c r="K338" t="n">
        <v>0</v>
      </c>
      <c r="L338" t="n">
        <v>0</v>
      </c>
      <c r="M338" t="n">
        <v>0</v>
      </c>
      <c r="N338" t="n">
        <v>0</v>
      </c>
      <c r="O338" t="n">
        <v>0</v>
      </c>
      <c r="P338" t="n">
        <v>0</v>
      </c>
      <c r="Q338" t="n">
        <v>0</v>
      </c>
      <c r="R338" s="2" t="inlineStr"/>
    </row>
    <row r="339" ht="15" customHeight="1">
      <c r="A339" t="inlineStr">
        <is>
          <t>A 34348-2021</t>
        </is>
      </c>
      <c r="B339" s="1" t="n">
        <v>44379</v>
      </c>
      <c r="C339" s="1" t="n">
        <v>46092</v>
      </c>
      <c r="D339" t="inlineStr">
        <is>
          <t>JÄMTLANDS LÄN</t>
        </is>
      </c>
      <c r="E339" t="inlineStr">
        <is>
          <t>RAGUNDA</t>
        </is>
      </c>
      <c r="G339" t="n">
        <v>8.1</v>
      </c>
      <c r="H339" t="n">
        <v>0</v>
      </c>
      <c r="I339" t="n">
        <v>0</v>
      </c>
      <c r="J339" t="n">
        <v>0</v>
      </c>
      <c r="K339" t="n">
        <v>0</v>
      </c>
      <c r="L339" t="n">
        <v>0</v>
      </c>
      <c r="M339" t="n">
        <v>0</v>
      </c>
      <c r="N339" t="n">
        <v>0</v>
      </c>
      <c r="O339" t="n">
        <v>0</v>
      </c>
      <c r="P339" t="n">
        <v>0</v>
      </c>
      <c r="Q339" t="n">
        <v>0</v>
      </c>
      <c r="R339" s="2" t="inlineStr"/>
    </row>
    <row r="340" ht="15" customHeight="1">
      <c r="A340" t="inlineStr">
        <is>
          <t>A 25253-2022</t>
        </is>
      </c>
      <c r="B340" s="1" t="n">
        <v>44729.94136574074</v>
      </c>
      <c r="C340" s="1" t="n">
        <v>46092</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35749-2022</t>
        </is>
      </c>
      <c r="B341" s="1" t="n">
        <v>44799.94394675926</v>
      </c>
      <c r="C341" s="1" t="n">
        <v>46092</v>
      </c>
      <c r="D341" t="inlineStr">
        <is>
          <t>JÄMTLANDS LÄN</t>
        </is>
      </c>
      <c r="E341" t="inlineStr">
        <is>
          <t>RAGUNDA</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46092</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46092</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58984-2021</t>
        </is>
      </c>
      <c r="B344" s="1" t="n">
        <v>44489.94711805556</v>
      </c>
      <c r="C344" s="1" t="n">
        <v>46092</v>
      </c>
      <c r="D344" t="inlineStr">
        <is>
          <t>JÄMTLANDS LÄN</t>
        </is>
      </c>
      <c r="E344" t="inlineStr">
        <is>
          <t>RAGUNDA</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46092</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46092</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46092</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41613-2021</t>
        </is>
      </c>
      <c r="B348" s="1" t="n">
        <v>44425</v>
      </c>
      <c r="C348" s="1" t="n">
        <v>46092</v>
      </c>
      <c r="D348" t="inlineStr">
        <is>
          <t>JÄMTLANDS LÄN</t>
        </is>
      </c>
      <c r="E348" t="inlineStr">
        <is>
          <t>RAGUNDA</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29409-2021</t>
        </is>
      </c>
      <c r="B349" s="1" t="n">
        <v>44361.55445601852</v>
      </c>
      <c r="C349" s="1" t="n">
        <v>46092</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25027-2022</t>
        </is>
      </c>
      <c r="B350" s="1" t="n">
        <v>44728.94392361111</v>
      </c>
      <c r="C350" s="1" t="n">
        <v>46092</v>
      </c>
      <c r="D350" t="inlineStr">
        <is>
          <t>JÄMTLANDS LÄN</t>
        </is>
      </c>
      <c r="E350" t="inlineStr">
        <is>
          <t>RAGUNDA</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28597-2021</t>
        </is>
      </c>
      <c r="B351" s="1" t="n">
        <v>44356.91935185185</v>
      </c>
      <c r="C351" s="1" t="n">
        <v>46092</v>
      </c>
      <c r="D351" t="inlineStr">
        <is>
          <t>JÄMTLANDS LÄN</t>
        </is>
      </c>
      <c r="E351" t="inlineStr">
        <is>
          <t>RAGUNDA</t>
        </is>
      </c>
      <c r="G351" t="n">
        <v>3.1</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46092</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20548-2021</t>
        </is>
      </c>
      <c r="B353" s="1" t="n">
        <v>44315</v>
      </c>
      <c r="C353" s="1" t="n">
        <v>46092</v>
      </c>
      <c r="D353" t="inlineStr">
        <is>
          <t>JÄMTLANDS LÄN</t>
        </is>
      </c>
      <c r="E353" t="inlineStr">
        <is>
          <t>RAGUNDA</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46092</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47568-2022</t>
        </is>
      </c>
      <c r="B355" s="1" t="n">
        <v>44853.9499537037</v>
      </c>
      <c r="C355" s="1" t="n">
        <v>46092</v>
      </c>
      <c r="D355" t="inlineStr">
        <is>
          <t>JÄMTLANDS LÄN</t>
        </is>
      </c>
      <c r="E355" t="inlineStr">
        <is>
          <t>RAGUNDA</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15664-2022</t>
        </is>
      </c>
      <c r="B356" s="1" t="n">
        <v>44662</v>
      </c>
      <c r="C356" s="1" t="n">
        <v>46092</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46092</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46092</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46092</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44777.95504629629</v>
      </c>
      <c r="C360" s="1" t="n">
        <v>46092</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44855.9471875</v>
      </c>
      <c r="C361" s="1" t="n">
        <v>46092</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46092</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33279-2022</t>
        </is>
      </c>
      <c r="B363" s="1" t="n">
        <v>44788</v>
      </c>
      <c r="C363" s="1" t="n">
        <v>46092</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47567-2022</t>
        </is>
      </c>
      <c r="B364" s="1" t="n">
        <v>44853</v>
      </c>
      <c r="C364" s="1" t="n">
        <v>46092</v>
      </c>
      <c r="D364" t="inlineStr">
        <is>
          <t>JÄMTLANDS LÄN</t>
        </is>
      </c>
      <c r="E364" t="inlineStr">
        <is>
          <t>RAGUNDA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46092</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46092</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46092</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46092</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32288-2022</t>
        </is>
      </c>
      <c r="B369" s="1" t="n">
        <v>44781</v>
      </c>
      <c r="C369" s="1" t="n">
        <v>46092</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46092</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46092</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46092</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46092</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46092</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46092</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26945-2021</t>
        </is>
      </c>
      <c r="B376" s="1" t="n">
        <v>44349.91995370371</v>
      </c>
      <c r="C376" s="1" t="n">
        <v>46092</v>
      </c>
      <c r="D376" t="inlineStr">
        <is>
          <t>JÄMTLANDS LÄN</t>
        </is>
      </c>
      <c r="E376" t="inlineStr">
        <is>
          <t>RAGUNDA</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44241-2021</t>
        </is>
      </c>
      <c r="B377" s="1" t="n">
        <v>44434.94517361111</v>
      </c>
      <c r="C377" s="1" t="n">
        <v>46092</v>
      </c>
      <c r="D377" t="inlineStr">
        <is>
          <t>JÄMTLANDS LÄN</t>
        </is>
      </c>
      <c r="E377" t="inlineStr">
        <is>
          <t>RAGUNDA</t>
        </is>
      </c>
      <c r="G377" t="n">
        <v>0.8</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46092</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46092</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46092</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59996-2021</t>
        </is>
      </c>
      <c r="B381" s="1" t="n">
        <v>44494.93930555556</v>
      </c>
      <c r="C381" s="1" t="n">
        <v>46092</v>
      </c>
      <c r="D381" t="inlineStr">
        <is>
          <t>JÄMTLANDS LÄN</t>
        </is>
      </c>
      <c r="E381" t="inlineStr">
        <is>
          <t>RAGUNDA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37806-2021</t>
        </is>
      </c>
      <c r="B382" s="1" t="n">
        <v>44402.42243055555</v>
      </c>
      <c r="C382" s="1" t="n">
        <v>46092</v>
      </c>
      <c r="D382" t="inlineStr">
        <is>
          <t>JÄMTLANDS LÄN</t>
        </is>
      </c>
      <c r="E382" t="inlineStr">
        <is>
          <t>RAGUNDA</t>
        </is>
      </c>
      <c r="G382" t="n">
        <v>0.3</v>
      </c>
      <c r="H382" t="n">
        <v>0</v>
      </c>
      <c r="I382" t="n">
        <v>0</v>
      </c>
      <c r="J382" t="n">
        <v>0</v>
      </c>
      <c r="K382" t="n">
        <v>0</v>
      </c>
      <c r="L382" t="n">
        <v>0</v>
      </c>
      <c r="M382" t="n">
        <v>0</v>
      </c>
      <c r="N382" t="n">
        <v>0</v>
      </c>
      <c r="O382" t="n">
        <v>0</v>
      </c>
      <c r="P382" t="n">
        <v>0</v>
      </c>
      <c r="Q382" t="n">
        <v>0</v>
      </c>
      <c r="R382" s="2" t="inlineStr"/>
    </row>
    <row r="383" ht="15" customHeight="1">
      <c r="A383" t="inlineStr">
        <is>
          <t>A 31854-2022</t>
        </is>
      </c>
      <c r="B383" s="1" t="n">
        <v>44776</v>
      </c>
      <c r="C383" s="1" t="n">
        <v>46092</v>
      </c>
      <c r="D383" t="inlineStr">
        <is>
          <t>JÄMTLANDS LÄN</t>
        </is>
      </c>
      <c r="E383" t="inlineStr">
        <is>
          <t>RAGUNDA</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65017-2021</t>
        </is>
      </c>
      <c r="B384" s="1" t="n">
        <v>44512</v>
      </c>
      <c r="C384" s="1" t="n">
        <v>46092</v>
      </c>
      <c r="D384" t="inlineStr">
        <is>
          <t>JÄMTLANDS LÄN</t>
        </is>
      </c>
      <c r="E384" t="inlineStr">
        <is>
          <t>RAGUNDA</t>
        </is>
      </c>
      <c r="G384" t="n">
        <v>2.3</v>
      </c>
      <c r="H384" t="n">
        <v>0</v>
      </c>
      <c r="I384" t="n">
        <v>0</v>
      </c>
      <c r="J384" t="n">
        <v>0</v>
      </c>
      <c r="K384" t="n">
        <v>0</v>
      </c>
      <c r="L384" t="n">
        <v>0</v>
      </c>
      <c r="M384" t="n">
        <v>0</v>
      </c>
      <c r="N384" t="n">
        <v>0</v>
      </c>
      <c r="O384" t="n">
        <v>0</v>
      </c>
      <c r="P384" t="n">
        <v>0</v>
      </c>
      <c r="Q384" t="n">
        <v>0</v>
      </c>
      <c r="R384" s="2" t="inlineStr"/>
    </row>
    <row r="385" ht="15" customHeight="1">
      <c r="A385" t="inlineStr">
        <is>
          <t>A 26948-2021</t>
        </is>
      </c>
      <c r="B385" s="1" t="n">
        <v>44349.92013888889</v>
      </c>
      <c r="C385" s="1" t="n">
        <v>46092</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46092</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46092</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21195-2022</t>
        </is>
      </c>
      <c r="B388" s="1" t="n">
        <v>44704.94229166667</v>
      </c>
      <c r="C388" s="1" t="n">
        <v>46092</v>
      </c>
      <c r="D388" t="inlineStr">
        <is>
          <t>JÄMTLANDS LÄN</t>
        </is>
      </c>
      <c r="E388" t="inlineStr">
        <is>
          <t>RAGUNDA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49531-2022</t>
        </is>
      </c>
      <c r="B389" s="1" t="n">
        <v>44861</v>
      </c>
      <c r="C389" s="1" t="n">
        <v>46092</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10120-2022</t>
        </is>
      </c>
      <c r="B390" s="1" t="n">
        <v>44621</v>
      </c>
      <c r="C390" s="1" t="n">
        <v>46092</v>
      </c>
      <c r="D390" t="inlineStr">
        <is>
          <t>JÄMTLANDS LÄN</t>
        </is>
      </c>
      <c r="E390" t="inlineStr">
        <is>
          <t>RAGUNDA</t>
        </is>
      </c>
      <c r="G390" t="n">
        <v>0.4</v>
      </c>
      <c r="H390" t="n">
        <v>0</v>
      </c>
      <c r="I390" t="n">
        <v>0</v>
      </c>
      <c r="J390" t="n">
        <v>0</v>
      </c>
      <c r="K390" t="n">
        <v>0</v>
      </c>
      <c r="L390" t="n">
        <v>0</v>
      </c>
      <c r="M390" t="n">
        <v>0</v>
      </c>
      <c r="N390" t="n">
        <v>0</v>
      </c>
      <c r="O390" t="n">
        <v>0</v>
      </c>
      <c r="P390" t="n">
        <v>0</v>
      </c>
      <c r="Q390" t="n">
        <v>0</v>
      </c>
      <c r="R390" s="2" t="inlineStr"/>
    </row>
    <row r="391" ht="15" customHeight="1">
      <c r="A391" t="inlineStr">
        <is>
          <t>A 13964-2022</t>
        </is>
      </c>
      <c r="B391" s="1" t="n">
        <v>44650</v>
      </c>
      <c r="C391" s="1" t="n">
        <v>46092</v>
      </c>
      <c r="D391" t="inlineStr">
        <is>
          <t>JÄMTLANDS LÄN</t>
        </is>
      </c>
      <c r="E391" t="inlineStr">
        <is>
          <t>RAGUNDA</t>
        </is>
      </c>
      <c r="G391" t="n">
        <v>2.6</v>
      </c>
      <c r="H391" t="n">
        <v>0</v>
      </c>
      <c r="I391" t="n">
        <v>0</v>
      </c>
      <c r="J391" t="n">
        <v>0</v>
      </c>
      <c r="K391" t="n">
        <v>0</v>
      </c>
      <c r="L391" t="n">
        <v>0</v>
      </c>
      <c r="M391" t="n">
        <v>0</v>
      </c>
      <c r="N391" t="n">
        <v>0</v>
      </c>
      <c r="O391" t="n">
        <v>0</v>
      </c>
      <c r="P391" t="n">
        <v>0</v>
      </c>
      <c r="Q391" t="n">
        <v>0</v>
      </c>
      <c r="R391" s="2" t="inlineStr"/>
    </row>
    <row r="392" ht="15" customHeight="1">
      <c r="A392" t="inlineStr">
        <is>
          <t>A 9187-2022</t>
        </is>
      </c>
      <c r="B392" s="1" t="n">
        <v>44615</v>
      </c>
      <c r="C392" s="1" t="n">
        <v>46092</v>
      </c>
      <c r="D392" t="inlineStr">
        <is>
          <t>JÄMTLANDS LÄN</t>
        </is>
      </c>
      <c r="E392" t="inlineStr">
        <is>
          <t>RAGUNDA</t>
        </is>
      </c>
      <c r="G392" t="n">
        <v>2</v>
      </c>
      <c r="H392" t="n">
        <v>0</v>
      </c>
      <c r="I392" t="n">
        <v>0</v>
      </c>
      <c r="J392" t="n">
        <v>0</v>
      </c>
      <c r="K392" t="n">
        <v>0</v>
      </c>
      <c r="L392" t="n">
        <v>0</v>
      </c>
      <c r="M392" t="n">
        <v>0</v>
      </c>
      <c r="N392" t="n">
        <v>0</v>
      </c>
      <c r="O392" t="n">
        <v>0</v>
      </c>
      <c r="P392" t="n">
        <v>0</v>
      </c>
      <c r="Q392" t="n">
        <v>0</v>
      </c>
      <c r="R392" s="2" t="inlineStr"/>
    </row>
    <row r="393" ht="15" customHeight="1">
      <c r="A393" t="inlineStr">
        <is>
          <t>A 6177-2022</t>
        </is>
      </c>
      <c r="B393" s="1" t="n">
        <v>44599.98685185185</v>
      </c>
      <c r="C393" s="1" t="n">
        <v>46092</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46092</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44704.9422337963</v>
      </c>
      <c r="C395" s="1" t="n">
        <v>46092</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46092</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56193-2022</t>
        </is>
      </c>
      <c r="B397" s="1" t="n">
        <v>44889</v>
      </c>
      <c r="C397" s="1" t="n">
        <v>46092</v>
      </c>
      <c r="D397" t="inlineStr">
        <is>
          <t>JÄMTLANDS LÄN</t>
        </is>
      </c>
      <c r="E397" t="inlineStr">
        <is>
          <t>RAGUNDA</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5515-2022</t>
        </is>
      </c>
      <c r="B398" s="1" t="n">
        <v>44595</v>
      </c>
      <c r="C398" s="1" t="n">
        <v>46092</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60957-2021</t>
        </is>
      </c>
      <c r="B399" s="1" t="n">
        <v>44496</v>
      </c>
      <c r="C399" s="1" t="n">
        <v>46092</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46092</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46092</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5175-2023</t>
        </is>
      </c>
      <c r="B402" s="1" t="n">
        <v>44958.94298611111</v>
      </c>
      <c r="C402" s="1" t="n">
        <v>46092</v>
      </c>
      <c r="D402" t="inlineStr">
        <is>
          <t>JÄMTLANDS LÄN</t>
        </is>
      </c>
      <c r="E402" t="inlineStr">
        <is>
          <t>RAGUNDA</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14896-2022</t>
        </is>
      </c>
      <c r="B403" s="1" t="n">
        <v>44656</v>
      </c>
      <c r="C403" s="1" t="n">
        <v>46092</v>
      </c>
      <c r="D403" t="inlineStr">
        <is>
          <t>JÄMTLANDS LÄN</t>
        </is>
      </c>
      <c r="E403" t="inlineStr">
        <is>
          <t>RAGUNDA</t>
        </is>
      </c>
      <c r="F403" t="inlineStr">
        <is>
          <t>SCA</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20574-2025</t>
        </is>
      </c>
      <c r="B404" s="1" t="n">
        <v>45775.67747685185</v>
      </c>
      <c r="C404" s="1" t="n">
        <v>46092</v>
      </c>
      <c r="D404" t="inlineStr">
        <is>
          <t>JÄMTLANDS LÄN</t>
        </is>
      </c>
      <c r="E404" t="inlineStr">
        <is>
          <t>RAGUNDA</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58537-2022</t>
        </is>
      </c>
      <c r="B405" s="1" t="n">
        <v>44894</v>
      </c>
      <c r="C405" s="1" t="n">
        <v>46092</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24197-2024</t>
        </is>
      </c>
      <c r="B406" s="1" t="n">
        <v>45456.96601851852</v>
      </c>
      <c r="C406" s="1" t="n">
        <v>46092</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35153-2024</t>
        </is>
      </c>
      <c r="B407" s="1" t="n">
        <v>45530</v>
      </c>
      <c r="C407" s="1" t="n">
        <v>46092</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44630-2023</t>
        </is>
      </c>
      <c r="B408" s="1" t="n">
        <v>45184</v>
      </c>
      <c r="C408" s="1" t="n">
        <v>46092</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46092</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24196-2024</t>
        </is>
      </c>
      <c r="B410" s="1" t="n">
        <v>45456.96569444444</v>
      </c>
      <c r="C410" s="1" t="n">
        <v>46092</v>
      </c>
      <c r="D410" t="inlineStr">
        <is>
          <t>JÄMTLANDS LÄN</t>
        </is>
      </c>
      <c r="E410" t="inlineStr">
        <is>
          <t>RAGUNDA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11558-2023</t>
        </is>
      </c>
      <c r="B411" s="1" t="n">
        <v>44993.94958333333</v>
      </c>
      <c r="C411" s="1" t="n">
        <v>46092</v>
      </c>
      <c r="D411" t="inlineStr">
        <is>
          <t>JÄMTLANDS LÄN</t>
        </is>
      </c>
      <c r="E411" t="inlineStr">
        <is>
          <t>RAGUNDA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14156-2024</t>
        </is>
      </c>
      <c r="B412" s="1" t="n">
        <v>45392</v>
      </c>
      <c r="C412" s="1" t="n">
        <v>46092</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14157-2024</t>
        </is>
      </c>
      <c r="B413" s="1" t="n">
        <v>45392.92903935185</v>
      </c>
      <c r="C413" s="1" t="n">
        <v>46092</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46092</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46092</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46092</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52148-2024</t>
        </is>
      </c>
      <c r="B417" s="1" t="n">
        <v>45608.52354166667</v>
      </c>
      <c r="C417" s="1" t="n">
        <v>46092</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55487-2023</t>
        </is>
      </c>
      <c r="B418" s="1" t="n">
        <v>45238</v>
      </c>
      <c r="C418" s="1" t="n">
        <v>46092</v>
      </c>
      <c r="D418" t="inlineStr">
        <is>
          <t>JÄMTLANDS LÄN</t>
        </is>
      </c>
      <c r="E418" t="inlineStr">
        <is>
          <t>RAGUNDA</t>
        </is>
      </c>
      <c r="G418" t="n">
        <v>3</v>
      </c>
      <c r="H418" t="n">
        <v>0</v>
      </c>
      <c r="I418" t="n">
        <v>0</v>
      </c>
      <c r="J418" t="n">
        <v>0</v>
      </c>
      <c r="K418" t="n">
        <v>0</v>
      </c>
      <c r="L418" t="n">
        <v>0</v>
      </c>
      <c r="M418" t="n">
        <v>0</v>
      </c>
      <c r="N418" t="n">
        <v>0</v>
      </c>
      <c r="O418" t="n">
        <v>0</v>
      </c>
      <c r="P418" t="n">
        <v>0</v>
      </c>
      <c r="Q418" t="n">
        <v>0</v>
      </c>
      <c r="R418" s="2" t="inlineStr"/>
    </row>
    <row r="419" ht="15" customHeight="1">
      <c r="A419" t="inlineStr">
        <is>
          <t>A 18454-2021</t>
        </is>
      </c>
      <c r="B419" s="1" t="n">
        <v>44305.92047453704</v>
      </c>
      <c r="C419" s="1" t="n">
        <v>46092</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46092</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20088-2023</t>
        </is>
      </c>
      <c r="B421" s="1" t="n">
        <v>45054</v>
      </c>
      <c r="C421" s="1" t="n">
        <v>46092</v>
      </c>
      <c r="D421" t="inlineStr">
        <is>
          <t>JÄMTLANDS LÄN</t>
        </is>
      </c>
      <c r="E421" t="inlineStr">
        <is>
          <t>RAGUNDA</t>
        </is>
      </c>
      <c r="F421" t="inlineStr">
        <is>
          <t>SCA</t>
        </is>
      </c>
      <c r="G421" t="n">
        <v>23.4</v>
      </c>
      <c r="H421" t="n">
        <v>0</v>
      </c>
      <c r="I421" t="n">
        <v>0</v>
      </c>
      <c r="J421" t="n">
        <v>0</v>
      </c>
      <c r="K421" t="n">
        <v>0</v>
      </c>
      <c r="L421" t="n">
        <v>0</v>
      </c>
      <c r="M421" t="n">
        <v>0</v>
      </c>
      <c r="N421" t="n">
        <v>0</v>
      </c>
      <c r="O421" t="n">
        <v>0</v>
      </c>
      <c r="P421" t="n">
        <v>0</v>
      </c>
      <c r="Q421" t="n">
        <v>0</v>
      </c>
      <c r="R421" s="2" t="inlineStr"/>
    </row>
    <row r="422" ht="15" customHeight="1">
      <c r="A422" t="inlineStr">
        <is>
          <t>A 9360-2023</t>
        </is>
      </c>
      <c r="B422" s="1" t="n">
        <v>44980.93865740741</v>
      </c>
      <c r="C422" s="1" t="n">
        <v>46092</v>
      </c>
      <c r="D422" t="inlineStr">
        <is>
          <t>JÄMTLANDS LÄN</t>
        </is>
      </c>
      <c r="E422" t="inlineStr">
        <is>
          <t>RAGUNDA</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13276-2025</t>
        </is>
      </c>
      <c r="B423" s="1" t="n">
        <v>45735.5517824074</v>
      </c>
      <c r="C423" s="1" t="n">
        <v>46092</v>
      </c>
      <c r="D423" t="inlineStr">
        <is>
          <t>JÄMTLANDS LÄN</t>
        </is>
      </c>
      <c r="E423" t="inlineStr">
        <is>
          <t>RAGUNDA</t>
        </is>
      </c>
      <c r="G423" t="n">
        <v>16.6</v>
      </c>
      <c r="H423" t="n">
        <v>0</v>
      </c>
      <c r="I423" t="n">
        <v>0</v>
      </c>
      <c r="J423" t="n">
        <v>0</v>
      </c>
      <c r="K423" t="n">
        <v>0</v>
      </c>
      <c r="L423" t="n">
        <v>0</v>
      </c>
      <c r="M423" t="n">
        <v>0</v>
      </c>
      <c r="N423" t="n">
        <v>0</v>
      </c>
      <c r="O423" t="n">
        <v>0</v>
      </c>
      <c r="P423" t="n">
        <v>0</v>
      </c>
      <c r="Q423" t="n">
        <v>0</v>
      </c>
      <c r="R423" s="2" t="inlineStr"/>
    </row>
    <row r="424" ht="15" customHeight="1">
      <c r="A424" t="inlineStr">
        <is>
          <t>A 1308-2025</t>
        </is>
      </c>
      <c r="B424" s="1" t="n">
        <v>45667.55239583334</v>
      </c>
      <c r="C424" s="1" t="n">
        <v>46092</v>
      </c>
      <c r="D424" t="inlineStr">
        <is>
          <t>JÄMTLANDS LÄN</t>
        </is>
      </c>
      <c r="E424" t="inlineStr">
        <is>
          <t>RAGUNDA</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11252-2025</t>
        </is>
      </c>
      <c r="B425" s="1" t="n">
        <v>45726.38615740741</v>
      </c>
      <c r="C425" s="1" t="n">
        <v>46092</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22569-2023</t>
        </is>
      </c>
      <c r="B426" s="1" t="n">
        <v>45069</v>
      </c>
      <c r="C426" s="1" t="n">
        <v>46092</v>
      </c>
      <c r="D426" t="inlineStr">
        <is>
          <t>JÄMTLANDS LÄN</t>
        </is>
      </c>
      <c r="E426" t="inlineStr">
        <is>
          <t>RAGUNDA</t>
        </is>
      </c>
      <c r="G426" t="n">
        <v>6.6</v>
      </c>
      <c r="H426" t="n">
        <v>0</v>
      </c>
      <c r="I426" t="n">
        <v>0</v>
      </c>
      <c r="J426" t="n">
        <v>0</v>
      </c>
      <c r="K426" t="n">
        <v>0</v>
      </c>
      <c r="L426" t="n">
        <v>0</v>
      </c>
      <c r="M426" t="n">
        <v>0</v>
      </c>
      <c r="N426" t="n">
        <v>0</v>
      </c>
      <c r="O426" t="n">
        <v>0</v>
      </c>
      <c r="P426" t="n">
        <v>0</v>
      </c>
      <c r="Q426" t="n">
        <v>0</v>
      </c>
      <c r="R426" s="2" t="inlineStr"/>
    </row>
    <row r="427" ht="15" customHeight="1">
      <c r="A427" t="inlineStr">
        <is>
          <t>A 57889-2024</t>
        </is>
      </c>
      <c r="B427" s="1" t="n">
        <v>45631.46665509259</v>
      </c>
      <c r="C427" s="1" t="n">
        <v>46092</v>
      </c>
      <c r="D427" t="inlineStr">
        <is>
          <t>JÄMTLANDS LÄN</t>
        </is>
      </c>
      <c r="E427" t="inlineStr">
        <is>
          <t>RAGUNDA</t>
        </is>
      </c>
      <c r="G427" t="n">
        <v>11.1</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46092</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11048-2023</t>
        </is>
      </c>
      <c r="B429" s="1" t="n">
        <v>44991</v>
      </c>
      <c r="C429" s="1" t="n">
        <v>46092</v>
      </c>
      <c r="D429" t="inlineStr">
        <is>
          <t>JÄMTLANDS LÄN</t>
        </is>
      </c>
      <c r="E429" t="inlineStr">
        <is>
          <t>RAGUNDA</t>
        </is>
      </c>
      <c r="F429" t="inlineStr">
        <is>
          <t>SCA</t>
        </is>
      </c>
      <c r="G429" t="n">
        <v>13.5</v>
      </c>
      <c r="H429" t="n">
        <v>0</v>
      </c>
      <c r="I429" t="n">
        <v>0</v>
      </c>
      <c r="J429" t="n">
        <v>0</v>
      </c>
      <c r="K429" t="n">
        <v>0</v>
      </c>
      <c r="L429" t="n">
        <v>0</v>
      </c>
      <c r="M429" t="n">
        <v>0</v>
      </c>
      <c r="N429" t="n">
        <v>0</v>
      </c>
      <c r="O429" t="n">
        <v>0</v>
      </c>
      <c r="P429" t="n">
        <v>0</v>
      </c>
      <c r="Q429" t="n">
        <v>0</v>
      </c>
      <c r="R429" s="2" t="inlineStr"/>
    </row>
    <row r="430" ht="15" customHeight="1">
      <c r="A430" t="inlineStr">
        <is>
          <t>A 11062-2023</t>
        </is>
      </c>
      <c r="B430" s="1" t="n">
        <v>44991</v>
      </c>
      <c r="C430" s="1" t="n">
        <v>46092</v>
      </c>
      <c r="D430" t="inlineStr">
        <is>
          <t>JÄMTLANDS LÄN</t>
        </is>
      </c>
      <c r="E430" t="inlineStr">
        <is>
          <t>RAGUNDA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57064-2024</t>
        </is>
      </c>
      <c r="B431" s="1" t="n">
        <v>45629.35326388889</v>
      </c>
      <c r="C431" s="1" t="n">
        <v>46092</v>
      </c>
      <c r="D431" t="inlineStr">
        <is>
          <t>JÄMTLANDS LÄN</t>
        </is>
      </c>
      <c r="E431" t="inlineStr">
        <is>
          <t>RAGUNDA</t>
        </is>
      </c>
      <c r="F431" t="inlineStr">
        <is>
          <t>Naturvårdsverket</t>
        </is>
      </c>
      <c r="G431" t="n">
        <v>0.5</v>
      </c>
      <c r="H431" t="n">
        <v>0</v>
      </c>
      <c r="I431" t="n">
        <v>0</v>
      </c>
      <c r="J431" t="n">
        <v>0</v>
      </c>
      <c r="K431" t="n">
        <v>0</v>
      </c>
      <c r="L431" t="n">
        <v>0</v>
      </c>
      <c r="M431" t="n">
        <v>0</v>
      </c>
      <c r="N431" t="n">
        <v>0</v>
      </c>
      <c r="O431" t="n">
        <v>0</v>
      </c>
      <c r="P431" t="n">
        <v>0</v>
      </c>
      <c r="Q431" t="n">
        <v>0</v>
      </c>
      <c r="R431" s="2" t="inlineStr"/>
    </row>
    <row r="432" ht="15" customHeight="1">
      <c r="A432" t="inlineStr">
        <is>
          <t>A 60629-2023</t>
        </is>
      </c>
      <c r="B432" s="1" t="n">
        <v>45259</v>
      </c>
      <c r="C432" s="1" t="n">
        <v>46092</v>
      </c>
      <c r="D432" t="inlineStr">
        <is>
          <t>JÄMTLANDS LÄN</t>
        </is>
      </c>
      <c r="E432" t="inlineStr">
        <is>
          <t>RAGUNDA</t>
        </is>
      </c>
      <c r="G432" t="n">
        <v>3.4</v>
      </c>
      <c r="H432" t="n">
        <v>0</v>
      </c>
      <c r="I432" t="n">
        <v>0</v>
      </c>
      <c r="J432" t="n">
        <v>0</v>
      </c>
      <c r="K432" t="n">
        <v>0</v>
      </c>
      <c r="L432" t="n">
        <v>0</v>
      </c>
      <c r="M432" t="n">
        <v>0</v>
      </c>
      <c r="N432" t="n">
        <v>0</v>
      </c>
      <c r="O432" t="n">
        <v>0</v>
      </c>
      <c r="P432" t="n">
        <v>0</v>
      </c>
      <c r="Q432" t="n">
        <v>0</v>
      </c>
      <c r="R432" s="2" t="inlineStr"/>
    </row>
    <row r="433" ht="15" customHeight="1">
      <c r="A433" t="inlineStr">
        <is>
          <t>A 55524-2024</t>
        </is>
      </c>
      <c r="B433" s="1" t="n">
        <v>45622.47435185185</v>
      </c>
      <c r="C433" s="1" t="n">
        <v>46092</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25332-2023</t>
        </is>
      </c>
      <c r="B434" s="1" t="n">
        <v>45086.94010416666</v>
      </c>
      <c r="C434" s="1" t="n">
        <v>46092</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29920-2024</t>
        </is>
      </c>
      <c r="B435" s="1" t="n">
        <v>45487.92856481481</v>
      </c>
      <c r="C435" s="1" t="n">
        <v>46092</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55897-2025</t>
        </is>
      </c>
      <c r="B436" s="1" t="n">
        <v>45973.38600694444</v>
      </c>
      <c r="C436" s="1" t="n">
        <v>46092</v>
      </c>
      <c r="D436" t="inlineStr">
        <is>
          <t>JÄMTLANDS LÄN</t>
        </is>
      </c>
      <c r="E436" t="inlineStr">
        <is>
          <t>RAGUNDA</t>
        </is>
      </c>
      <c r="F436" t="inlineStr">
        <is>
          <t>SCA</t>
        </is>
      </c>
      <c r="G436" t="n">
        <v>14.1</v>
      </c>
      <c r="H436" t="n">
        <v>0</v>
      </c>
      <c r="I436" t="n">
        <v>0</v>
      </c>
      <c r="J436" t="n">
        <v>0</v>
      </c>
      <c r="K436" t="n">
        <v>0</v>
      </c>
      <c r="L436" t="n">
        <v>0</v>
      </c>
      <c r="M436" t="n">
        <v>0</v>
      </c>
      <c r="N436" t="n">
        <v>0</v>
      </c>
      <c r="O436" t="n">
        <v>0</v>
      </c>
      <c r="P436" t="n">
        <v>0</v>
      </c>
      <c r="Q436" t="n">
        <v>0</v>
      </c>
      <c r="R436" s="2" t="inlineStr"/>
    </row>
    <row r="437" ht="15" customHeight="1">
      <c r="A437" t="inlineStr">
        <is>
          <t>A 3767-2025</t>
        </is>
      </c>
      <c r="B437" s="1" t="n">
        <v>45681.60203703704</v>
      </c>
      <c r="C437" s="1" t="n">
        <v>46092</v>
      </c>
      <c r="D437" t="inlineStr">
        <is>
          <t>JÄMTLANDS LÄN</t>
        </is>
      </c>
      <c r="E437" t="inlineStr">
        <is>
          <t>RAGUNDA</t>
        </is>
      </c>
      <c r="G437" t="n">
        <v>4.9</v>
      </c>
      <c r="H437" t="n">
        <v>0</v>
      </c>
      <c r="I437" t="n">
        <v>0</v>
      </c>
      <c r="J437" t="n">
        <v>0</v>
      </c>
      <c r="K437" t="n">
        <v>0</v>
      </c>
      <c r="L437" t="n">
        <v>0</v>
      </c>
      <c r="M437" t="n">
        <v>0</v>
      </c>
      <c r="N437" t="n">
        <v>0</v>
      </c>
      <c r="O437" t="n">
        <v>0</v>
      </c>
      <c r="P437" t="n">
        <v>0</v>
      </c>
      <c r="Q437" t="n">
        <v>0</v>
      </c>
      <c r="R437" s="2" t="inlineStr"/>
    </row>
    <row r="438" ht="15" customHeight="1">
      <c r="A438" t="inlineStr">
        <is>
          <t>A 7280-2024</t>
        </is>
      </c>
      <c r="B438" s="1" t="n">
        <v>45344</v>
      </c>
      <c r="C438" s="1" t="n">
        <v>46092</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44778-2024</t>
        </is>
      </c>
      <c r="B439" s="1" t="n">
        <v>45574.63355324074</v>
      </c>
      <c r="C439" s="1" t="n">
        <v>46092</v>
      </c>
      <c r="D439" t="inlineStr">
        <is>
          <t>JÄMTLANDS LÄN</t>
        </is>
      </c>
      <c r="E439" t="inlineStr">
        <is>
          <t>RAGUNDA</t>
        </is>
      </c>
      <c r="G439" t="n">
        <v>5.5</v>
      </c>
      <c r="H439" t="n">
        <v>0</v>
      </c>
      <c r="I439" t="n">
        <v>0</v>
      </c>
      <c r="J439" t="n">
        <v>0</v>
      </c>
      <c r="K439" t="n">
        <v>0</v>
      </c>
      <c r="L439" t="n">
        <v>0</v>
      </c>
      <c r="M439" t="n">
        <v>0</v>
      </c>
      <c r="N439" t="n">
        <v>0</v>
      </c>
      <c r="O439" t="n">
        <v>0</v>
      </c>
      <c r="P439" t="n">
        <v>0</v>
      </c>
      <c r="Q439" t="n">
        <v>0</v>
      </c>
      <c r="R439" s="2" t="inlineStr"/>
    </row>
    <row r="440" ht="15" customHeight="1">
      <c r="A440" t="inlineStr">
        <is>
          <t>A 2673-2024</t>
        </is>
      </c>
      <c r="B440" s="1" t="n">
        <v>45314</v>
      </c>
      <c r="C440" s="1" t="n">
        <v>46092</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46092</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22388-2025</t>
        </is>
      </c>
      <c r="B442" s="1" t="n">
        <v>45786.51077546296</v>
      </c>
      <c r="C442" s="1" t="n">
        <v>46092</v>
      </c>
      <c r="D442" t="inlineStr">
        <is>
          <t>JÄMTLANDS LÄN</t>
        </is>
      </c>
      <c r="E442" t="inlineStr">
        <is>
          <t>RAGUNDA</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14368-2024</t>
        </is>
      </c>
      <c r="B443" s="1" t="n">
        <v>45393.94431712963</v>
      </c>
      <c r="C443" s="1" t="n">
        <v>46092</v>
      </c>
      <c r="D443" t="inlineStr">
        <is>
          <t>JÄMTLANDS LÄN</t>
        </is>
      </c>
      <c r="E443" t="inlineStr">
        <is>
          <t>RAGUNDA</t>
        </is>
      </c>
      <c r="F443" t="inlineStr">
        <is>
          <t>Naturvårdsverket</t>
        </is>
      </c>
      <c r="G443" t="n">
        <v>1.6</v>
      </c>
      <c r="H443" t="n">
        <v>0</v>
      </c>
      <c r="I443" t="n">
        <v>0</v>
      </c>
      <c r="J443" t="n">
        <v>0</v>
      </c>
      <c r="K443" t="n">
        <v>0</v>
      </c>
      <c r="L443" t="n">
        <v>0</v>
      </c>
      <c r="M443" t="n">
        <v>0</v>
      </c>
      <c r="N443" t="n">
        <v>0</v>
      </c>
      <c r="O443" t="n">
        <v>0</v>
      </c>
      <c r="P443" t="n">
        <v>0</v>
      </c>
      <c r="Q443" t="n">
        <v>0</v>
      </c>
      <c r="R443" s="2" t="inlineStr"/>
    </row>
    <row r="444" ht="15" customHeight="1">
      <c r="A444" t="inlineStr">
        <is>
          <t>A 56435-2025</t>
        </is>
      </c>
      <c r="B444" s="1" t="n">
        <v>45975.34679398148</v>
      </c>
      <c r="C444" s="1" t="n">
        <v>46092</v>
      </c>
      <c r="D444" t="inlineStr">
        <is>
          <t>JÄMTLANDS LÄN</t>
        </is>
      </c>
      <c r="E444" t="inlineStr">
        <is>
          <t>RAGUNDA</t>
        </is>
      </c>
      <c r="F444" t="inlineStr">
        <is>
          <t>SCA</t>
        </is>
      </c>
      <c r="G444" t="n">
        <v>9.199999999999999</v>
      </c>
      <c r="H444" t="n">
        <v>0</v>
      </c>
      <c r="I444" t="n">
        <v>0</v>
      </c>
      <c r="J444" t="n">
        <v>0</v>
      </c>
      <c r="K444" t="n">
        <v>0</v>
      </c>
      <c r="L444" t="n">
        <v>0</v>
      </c>
      <c r="M444" t="n">
        <v>0</v>
      </c>
      <c r="N444" t="n">
        <v>0</v>
      </c>
      <c r="O444" t="n">
        <v>0</v>
      </c>
      <c r="P444" t="n">
        <v>0</v>
      </c>
      <c r="Q444" t="n">
        <v>0</v>
      </c>
      <c r="R444" s="2" t="inlineStr"/>
      <c r="U444">
        <f>HYPERLINK("https://klasma.github.io/Logging_2303/knärot/A 56435-2025 karta knärot.png", "A 56435-2025")</f>
        <v/>
      </c>
      <c r="V444">
        <f>HYPERLINK("https://klasma.github.io/Logging_2303/klagomål/A 56435-2025 FSC-klagomål.docx", "A 56435-2025")</f>
        <v/>
      </c>
      <c r="W444">
        <f>HYPERLINK("https://klasma.github.io/Logging_2303/klagomålsmail/A 56435-2025 FSC-klagomål mail.docx", "A 56435-2025")</f>
        <v/>
      </c>
      <c r="X444">
        <f>HYPERLINK("https://klasma.github.io/Logging_2303/tillsyn/A 56435-2025 tillsynsbegäran.docx", "A 56435-2025")</f>
        <v/>
      </c>
      <c r="Y444">
        <f>HYPERLINK("https://klasma.github.io/Logging_2303/tillsynsmail/A 56435-2025 tillsynsbegäran mail.docx", "A 56435-2025")</f>
        <v/>
      </c>
    </row>
    <row r="445" ht="15" customHeight="1">
      <c r="A445" t="inlineStr">
        <is>
          <t>A 56170-2025</t>
        </is>
      </c>
      <c r="B445" s="1" t="n">
        <v>45974.39398148148</v>
      </c>
      <c r="C445" s="1" t="n">
        <v>46092</v>
      </c>
      <c r="D445" t="inlineStr">
        <is>
          <t>JÄMTLANDS LÄN</t>
        </is>
      </c>
      <c r="E445" t="inlineStr">
        <is>
          <t>RAGUNDA</t>
        </is>
      </c>
      <c r="G445" t="n">
        <v>2</v>
      </c>
      <c r="H445" t="n">
        <v>0</v>
      </c>
      <c r="I445" t="n">
        <v>0</v>
      </c>
      <c r="J445" t="n">
        <v>0</v>
      </c>
      <c r="K445" t="n">
        <v>0</v>
      </c>
      <c r="L445" t="n">
        <v>0</v>
      </c>
      <c r="M445" t="n">
        <v>0</v>
      </c>
      <c r="N445" t="n">
        <v>0</v>
      </c>
      <c r="O445" t="n">
        <v>0</v>
      </c>
      <c r="P445" t="n">
        <v>0</v>
      </c>
      <c r="Q445" t="n">
        <v>0</v>
      </c>
      <c r="R445" s="2" t="inlineStr"/>
    </row>
    <row r="446" ht="15" customHeight="1">
      <c r="A446" t="inlineStr">
        <is>
          <t>A 12783-2023</t>
        </is>
      </c>
      <c r="B446" s="1" t="n">
        <v>45000</v>
      </c>
      <c r="C446" s="1" t="n">
        <v>46092</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53171-2024</t>
        </is>
      </c>
      <c r="B447" s="1" t="n">
        <v>45611.65679398148</v>
      </c>
      <c r="C447" s="1" t="n">
        <v>46092</v>
      </c>
      <c r="D447" t="inlineStr">
        <is>
          <t>JÄMTLANDS LÄN</t>
        </is>
      </c>
      <c r="E447" t="inlineStr">
        <is>
          <t>RAGUNDA</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7279-2024</t>
        </is>
      </c>
      <c r="B448" s="1" t="n">
        <v>45344.92822916667</v>
      </c>
      <c r="C448" s="1" t="n">
        <v>46092</v>
      </c>
      <c r="D448" t="inlineStr">
        <is>
          <t>JÄMTLANDS LÄN</t>
        </is>
      </c>
      <c r="E448" t="inlineStr">
        <is>
          <t>RAGUNDA</t>
        </is>
      </c>
      <c r="G448" t="n">
        <v>2.1</v>
      </c>
      <c r="H448" t="n">
        <v>0</v>
      </c>
      <c r="I448" t="n">
        <v>0</v>
      </c>
      <c r="J448" t="n">
        <v>0</v>
      </c>
      <c r="K448" t="n">
        <v>0</v>
      </c>
      <c r="L448" t="n">
        <v>0</v>
      </c>
      <c r="M448" t="n">
        <v>0</v>
      </c>
      <c r="N448" t="n">
        <v>0</v>
      </c>
      <c r="O448" t="n">
        <v>0</v>
      </c>
      <c r="P448" t="n">
        <v>0</v>
      </c>
      <c r="Q448" t="n">
        <v>0</v>
      </c>
      <c r="R448" s="2" t="inlineStr"/>
    </row>
    <row r="449" ht="15" customHeight="1">
      <c r="A449" t="inlineStr">
        <is>
          <t>A 57111-2025</t>
        </is>
      </c>
      <c r="B449" s="1" t="n">
        <v>45978</v>
      </c>
      <c r="C449" s="1" t="n">
        <v>46092</v>
      </c>
      <c r="D449" t="inlineStr">
        <is>
          <t>JÄMTLANDS LÄN</t>
        </is>
      </c>
      <c r="E449" t="inlineStr">
        <is>
          <t>RAGUNDA</t>
        </is>
      </c>
      <c r="G449" t="n">
        <v>2.3</v>
      </c>
      <c r="H449" t="n">
        <v>0</v>
      </c>
      <c r="I449" t="n">
        <v>0</v>
      </c>
      <c r="J449" t="n">
        <v>0</v>
      </c>
      <c r="K449" t="n">
        <v>0</v>
      </c>
      <c r="L449" t="n">
        <v>0</v>
      </c>
      <c r="M449" t="n">
        <v>0</v>
      </c>
      <c r="N449" t="n">
        <v>0</v>
      </c>
      <c r="O449" t="n">
        <v>0</v>
      </c>
      <c r="P449" t="n">
        <v>0</v>
      </c>
      <c r="Q449" t="n">
        <v>0</v>
      </c>
      <c r="R449" s="2" t="inlineStr"/>
    </row>
    <row r="450" ht="15" customHeight="1">
      <c r="A450" t="inlineStr">
        <is>
          <t>A 57117-2025</t>
        </is>
      </c>
      <c r="B450" s="1" t="n">
        <v>45978</v>
      </c>
      <c r="C450" s="1" t="n">
        <v>46092</v>
      </c>
      <c r="D450" t="inlineStr">
        <is>
          <t>JÄMTLANDS LÄN</t>
        </is>
      </c>
      <c r="E450" t="inlineStr">
        <is>
          <t>RAGUNDA</t>
        </is>
      </c>
      <c r="G450" t="n">
        <v>4.2</v>
      </c>
      <c r="H450" t="n">
        <v>0</v>
      </c>
      <c r="I450" t="n">
        <v>0</v>
      </c>
      <c r="J450" t="n">
        <v>0</v>
      </c>
      <c r="K450" t="n">
        <v>0</v>
      </c>
      <c r="L450" t="n">
        <v>0</v>
      </c>
      <c r="M450" t="n">
        <v>0</v>
      </c>
      <c r="N450" t="n">
        <v>0</v>
      </c>
      <c r="O450" t="n">
        <v>0</v>
      </c>
      <c r="P450" t="n">
        <v>0</v>
      </c>
      <c r="Q450" t="n">
        <v>0</v>
      </c>
      <c r="R450" s="2" t="inlineStr"/>
    </row>
    <row r="451" ht="15" customHeight="1">
      <c r="A451" t="inlineStr">
        <is>
          <t>A 54599-2023</t>
        </is>
      </c>
      <c r="B451" s="1" t="n">
        <v>45233.92591435185</v>
      </c>
      <c r="C451" s="1" t="n">
        <v>46092</v>
      </c>
      <c r="D451" t="inlineStr">
        <is>
          <t>JÄMTLANDS LÄN</t>
        </is>
      </c>
      <c r="E451" t="inlineStr">
        <is>
          <t>RAGUNDA</t>
        </is>
      </c>
      <c r="G451" t="n">
        <v>3.7</v>
      </c>
      <c r="H451" t="n">
        <v>0</v>
      </c>
      <c r="I451" t="n">
        <v>0</v>
      </c>
      <c r="J451" t="n">
        <v>0</v>
      </c>
      <c r="K451" t="n">
        <v>0</v>
      </c>
      <c r="L451" t="n">
        <v>0</v>
      </c>
      <c r="M451" t="n">
        <v>0</v>
      </c>
      <c r="N451" t="n">
        <v>0</v>
      </c>
      <c r="O451" t="n">
        <v>0</v>
      </c>
      <c r="P451" t="n">
        <v>0</v>
      </c>
      <c r="Q451" t="n">
        <v>0</v>
      </c>
      <c r="R451" s="2" t="inlineStr"/>
    </row>
    <row r="452" ht="15" customHeight="1">
      <c r="A452" t="inlineStr">
        <is>
          <t>A 56751-2025</t>
        </is>
      </c>
      <c r="B452" s="1" t="n">
        <v>45978.36538194444</v>
      </c>
      <c r="C452" s="1" t="n">
        <v>46092</v>
      </c>
      <c r="D452" t="inlineStr">
        <is>
          <t>JÄMTLANDS LÄN</t>
        </is>
      </c>
      <c r="E452" t="inlineStr">
        <is>
          <t>RAGUNDA</t>
        </is>
      </c>
      <c r="F452" t="inlineStr">
        <is>
          <t>SCA</t>
        </is>
      </c>
      <c r="G452" t="n">
        <v>34.5</v>
      </c>
      <c r="H452" t="n">
        <v>0</v>
      </c>
      <c r="I452" t="n">
        <v>0</v>
      </c>
      <c r="J452" t="n">
        <v>0</v>
      </c>
      <c r="K452" t="n">
        <v>0</v>
      </c>
      <c r="L452" t="n">
        <v>0</v>
      </c>
      <c r="M452" t="n">
        <v>0</v>
      </c>
      <c r="N452" t="n">
        <v>0</v>
      </c>
      <c r="O452" t="n">
        <v>0</v>
      </c>
      <c r="P452" t="n">
        <v>0</v>
      </c>
      <c r="Q452" t="n">
        <v>0</v>
      </c>
      <c r="R452" s="2" t="inlineStr"/>
    </row>
    <row r="453" ht="15" customHeight="1">
      <c r="A453" t="inlineStr">
        <is>
          <t>A 56806-2025</t>
        </is>
      </c>
      <c r="B453" s="1" t="n">
        <v>45978.44842592593</v>
      </c>
      <c r="C453" s="1" t="n">
        <v>46092</v>
      </c>
      <c r="D453" t="inlineStr">
        <is>
          <t>JÄMTLANDS LÄN</t>
        </is>
      </c>
      <c r="E453" t="inlineStr">
        <is>
          <t>RAGUNDA</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57184-2025</t>
        </is>
      </c>
      <c r="B454" s="1" t="n">
        <v>45979.57361111111</v>
      </c>
      <c r="C454" s="1" t="n">
        <v>46092</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57561-2025</t>
        </is>
      </c>
      <c r="B455" s="1" t="n">
        <v>45980.69885416667</v>
      </c>
      <c r="C455" s="1" t="n">
        <v>46092</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57332-2025</t>
        </is>
      </c>
      <c r="B456" s="1" t="n">
        <v>45980.34467592592</v>
      </c>
      <c r="C456" s="1" t="n">
        <v>46092</v>
      </c>
      <c r="D456" t="inlineStr">
        <is>
          <t>JÄMTLANDS LÄN</t>
        </is>
      </c>
      <c r="E456" t="inlineStr">
        <is>
          <t>RAGUNDA</t>
        </is>
      </c>
      <c r="F456" t="inlineStr">
        <is>
          <t>SCA</t>
        </is>
      </c>
      <c r="G456" t="n">
        <v>22.6</v>
      </c>
      <c r="H456" t="n">
        <v>0</v>
      </c>
      <c r="I456" t="n">
        <v>0</v>
      </c>
      <c r="J456" t="n">
        <v>0</v>
      </c>
      <c r="K456" t="n">
        <v>0</v>
      </c>
      <c r="L456" t="n">
        <v>0</v>
      </c>
      <c r="M456" t="n">
        <v>0</v>
      </c>
      <c r="N456" t="n">
        <v>0</v>
      </c>
      <c r="O456" t="n">
        <v>0</v>
      </c>
      <c r="P456" t="n">
        <v>0</v>
      </c>
      <c r="Q456" t="n">
        <v>0</v>
      </c>
      <c r="R456" s="2" t="inlineStr"/>
    </row>
    <row r="457" ht="15" customHeight="1">
      <c r="A457" t="inlineStr">
        <is>
          <t>A 57560-2025</t>
        </is>
      </c>
      <c r="B457" s="1" t="n">
        <v>45980.6987962963</v>
      </c>
      <c r="C457" s="1" t="n">
        <v>46092</v>
      </c>
      <c r="D457" t="inlineStr">
        <is>
          <t>JÄMTLANDS LÄN</t>
        </is>
      </c>
      <c r="E457" t="inlineStr">
        <is>
          <t>RAGUNDA</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22898-2025</t>
        </is>
      </c>
      <c r="B458" s="1" t="n">
        <v>45790.40670138889</v>
      </c>
      <c r="C458" s="1" t="n">
        <v>46092</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57916-2025</t>
        </is>
      </c>
      <c r="B459" s="1" t="n">
        <v>45981</v>
      </c>
      <c r="C459" s="1" t="n">
        <v>46092</v>
      </c>
      <c r="D459" t="inlineStr">
        <is>
          <t>JÄMTLANDS LÄN</t>
        </is>
      </c>
      <c r="E459" t="inlineStr">
        <is>
          <t>RAGUNDA</t>
        </is>
      </c>
      <c r="G459" t="n">
        <v>5.3</v>
      </c>
      <c r="H459" t="n">
        <v>0</v>
      </c>
      <c r="I459" t="n">
        <v>0</v>
      </c>
      <c r="J459" t="n">
        <v>0</v>
      </c>
      <c r="K459" t="n">
        <v>0</v>
      </c>
      <c r="L459" t="n">
        <v>0</v>
      </c>
      <c r="M459" t="n">
        <v>0</v>
      </c>
      <c r="N459" t="n">
        <v>0</v>
      </c>
      <c r="O459" t="n">
        <v>0</v>
      </c>
      <c r="P459" t="n">
        <v>0</v>
      </c>
      <c r="Q459" t="n">
        <v>0</v>
      </c>
      <c r="R459" s="2" t="inlineStr"/>
    </row>
    <row r="460" ht="15" customHeight="1">
      <c r="A460" t="inlineStr">
        <is>
          <t>A 57914-2025</t>
        </is>
      </c>
      <c r="B460" s="1" t="n">
        <v>45981</v>
      </c>
      <c r="C460" s="1" t="n">
        <v>46092</v>
      </c>
      <c r="D460" t="inlineStr">
        <is>
          <t>JÄMTLANDS LÄN</t>
        </is>
      </c>
      <c r="E460" t="inlineStr">
        <is>
          <t>RAGUNDA</t>
        </is>
      </c>
      <c r="G460" t="n">
        <v>3.2</v>
      </c>
      <c r="H460" t="n">
        <v>0</v>
      </c>
      <c r="I460" t="n">
        <v>0</v>
      </c>
      <c r="J460" t="n">
        <v>0</v>
      </c>
      <c r="K460" t="n">
        <v>0</v>
      </c>
      <c r="L460" t="n">
        <v>0</v>
      </c>
      <c r="M460" t="n">
        <v>0</v>
      </c>
      <c r="N460" t="n">
        <v>0</v>
      </c>
      <c r="O460" t="n">
        <v>0</v>
      </c>
      <c r="P460" t="n">
        <v>0</v>
      </c>
      <c r="Q460" t="n">
        <v>0</v>
      </c>
      <c r="R460" s="2" t="inlineStr"/>
    </row>
    <row r="461" ht="15" customHeight="1">
      <c r="A461" t="inlineStr">
        <is>
          <t>A 12660-2024</t>
        </is>
      </c>
      <c r="B461" s="1" t="n">
        <v>45384</v>
      </c>
      <c r="C461" s="1" t="n">
        <v>46092</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55649-2023</t>
        </is>
      </c>
      <c r="B462" s="1" t="n">
        <v>45238</v>
      </c>
      <c r="C462" s="1" t="n">
        <v>46092</v>
      </c>
      <c r="D462" t="inlineStr">
        <is>
          <t>JÄMTLANDS LÄN</t>
        </is>
      </c>
      <c r="E462" t="inlineStr">
        <is>
          <t>RAGUNDA</t>
        </is>
      </c>
      <c r="F462" t="inlineStr">
        <is>
          <t>SCA</t>
        </is>
      </c>
      <c r="G462" t="n">
        <v>6</v>
      </c>
      <c r="H462" t="n">
        <v>0</v>
      </c>
      <c r="I462" t="n">
        <v>0</v>
      </c>
      <c r="J462" t="n">
        <v>0</v>
      </c>
      <c r="K462" t="n">
        <v>0</v>
      </c>
      <c r="L462" t="n">
        <v>0</v>
      </c>
      <c r="M462" t="n">
        <v>0</v>
      </c>
      <c r="N462" t="n">
        <v>0</v>
      </c>
      <c r="O462" t="n">
        <v>0</v>
      </c>
      <c r="P462" t="n">
        <v>0</v>
      </c>
      <c r="Q462" t="n">
        <v>0</v>
      </c>
      <c r="R462" s="2" t="inlineStr"/>
    </row>
    <row r="463" ht="15" customHeight="1">
      <c r="A463" t="inlineStr">
        <is>
          <t>A 39192-2025</t>
        </is>
      </c>
      <c r="B463" s="1" t="n">
        <v>45888.6775</v>
      </c>
      <c r="C463" s="1" t="n">
        <v>46092</v>
      </c>
      <c r="D463" t="inlineStr">
        <is>
          <t>JÄMTLANDS LÄN</t>
        </is>
      </c>
      <c r="E463" t="inlineStr">
        <is>
          <t>RAGUNDA</t>
        </is>
      </c>
      <c r="F463" t="inlineStr">
        <is>
          <t>Naturvårdsverket</t>
        </is>
      </c>
      <c r="G463" t="n">
        <v>2.3</v>
      </c>
      <c r="H463" t="n">
        <v>0</v>
      </c>
      <c r="I463" t="n">
        <v>0</v>
      </c>
      <c r="J463" t="n">
        <v>0</v>
      </c>
      <c r="K463" t="n">
        <v>0</v>
      </c>
      <c r="L463" t="n">
        <v>0</v>
      </c>
      <c r="M463" t="n">
        <v>0</v>
      </c>
      <c r="N463" t="n">
        <v>0</v>
      </c>
      <c r="O463" t="n">
        <v>0</v>
      </c>
      <c r="P463" t="n">
        <v>0</v>
      </c>
      <c r="Q463" t="n">
        <v>0</v>
      </c>
      <c r="R463" s="2" t="inlineStr"/>
    </row>
    <row r="464" ht="15" customHeight="1">
      <c r="A464" t="inlineStr">
        <is>
          <t>A 57915-2025</t>
        </is>
      </c>
      <c r="B464" s="1" t="n">
        <v>45981</v>
      </c>
      <c r="C464" s="1" t="n">
        <v>46092</v>
      </c>
      <c r="D464" t="inlineStr">
        <is>
          <t>JÄMTLANDS LÄN</t>
        </is>
      </c>
      <c r="E464" t="inlineStr">
        <is>
          <t>RAGUNDA</t>
        </is>
      </c>
      <c r="G464" t="n">
        <v>6.4</v>
      </c>
      <c r="H464" t="n">
        <v>0</v>
      </c>
      <c r="I464" t="n">
        <v>0</v>
      </c>
      <c r="J464" t="n">
        <v>0</v>
      </c>
      <c r="K464" t="n">
        <v>0</v>
      </c>
      <c r="L464" t="n">
        <v>0</v>
      </c>
      <c r="M464" t="n">
        <v>0</v>
      </c>
      <c r="N464" t="n">
        <v>0</v>
      </c>
      <c r="O464" t="n">
        <v>0</v>
      </c>
      <c r="P464" t="n">
        <v>0</v>
      </c>
      <c r="Q464" t="n">
        <v>0</v>
      </c>
      <c r="R464" s="2" t="inlineStr"/>
    </row>
    <row r="465" ht="15" customHeight="1">
      <c r="A465" t="inlineStr">
        <is>
          <t>A 57833-2025</t>
        </is>
      </c>
      <c r="B465" s="1" t="n">
        <v>45981.61541666667</v>
      </c>
      <c r="C465" s="1" t="n">
        <v>46092</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64108-2025</t>
        </is>
      </c>
      <c r="B466" s="1" t="n">
        <v>46013</v>
      </c>
      <c r="C466" s="1" t="n">
        <v>46092</v>
      </c>
      <c r="D466" t="inlineStr">
        <is>
          <t>JÄMTLANDS LÄN</t>
        </is>
      </c>
      <c r="E466" t="inlineStr">
        <is>
          <t>RAGUNDA</t>
        </is>
      </c>
      <c r="F466" t="inlineStr">
        <is>
          <t>Kyrkan</t>
        </is>
      </c>
      <c r="G466" t="n">
        <v>1.6</v>
      </c>
      <c r="H466" t="n">
        <v>0</v>
      </c>
      <c r="I466" t="n">
        <v>0</v>
      </c>
      <c r="J466" t="n">
        <v>0</v>
      </c>
      <c r="K466" t="n">
        <v>0</v>
      </c>
      <c r="L466" t="n">
        <v>0</v>
      </c>
      <c r="M466" t="n">
        <v>0</v>
      </c>
      <c r="N466" t="n">
        <v>0</v>
      </c>
      <c r="O466" t="n">
        <v>0</v>
      </c>
      <c r="P466" t="n">
        <v>0</v>
      </c>
      <c r="Q466" t="n">
        <v>0</v>
      </c>
      <c r="R466" s="2" t="inlineStr"/>
    </row>
    <row r="467" ht="15" customHeight="1">
      <c r="A467" t="inlineStr">
        <is>
          <t>A 57785-2025</t>
        </is>
      </c>
      <c r="B467" s="1" t="n">
        <v>45981.57393518519</v>
      </c>
      <c r="C467" s="1" t="n">
        <v>46092</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58093-2025</t>
        </is>
      </c>
      <c r="B468" s="1" t="n">
        <v>45982.5741087963</v>
      </c>
      <c r="C468" s="1" t="n">
        <v>46092</v>
      </c>
      <c r="D468" t="inlineStr">
        <is>
          <t>JÄMTLANDS LÄN</t>
        </is>
      </c>
      <c r="E468" t="inlineStr">
        <is>
          <t>RAGUNDA</t>
        </is>
      </c>
      <c r="G468" t="n">
        <v>22.2</v>
      </c>
      <c r="H468" t="n">
        <v>0</v>
      </c>
      <c r="I468" t="n">
        <v>0</v>
      </c>
      <c r="J468" t="n">
        <v>0</v>
      </c>
      <c r="K468" t="n">
        <v>0</v>
      </c>
      <c r="L468" t="n">
        <v>0</v>
      </c>
      <c r="M468" t="n">
        <v>0</v>
      </c>
      <c r="N468" t="n">
        <v>0</v>
      </c>
      <c r="O468" t="n">
        <v>0</v>
      </c>
      <c r="P468" t="n">
        <v>0</v>
      </c>
      <c r="Q468" t="n">
        <v>0</v>
      </c>
      <c r="R468" s="2" t="inlineStr"/>
    </row>
    <row r="469" ht="15" customHeight="1">
      <c r="A469" t="inlineStr">
        <is>
          <t>A 12521-2023</t>
        </is>
      </c>
      <c r="B469" s="1" t="n">
        <v>45000</v>
      </c>
      <c r="C469" s="1" t="n">
        <v>46092</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57970-2025</t>
        </is>
      </c>
      <c r="B470" s="1" t="n">
        <v>45982.38582175926</v>
      </c>
      <c r="C470" s="1" t="n">
        <v>46092</v>
      </c>
      <c r="D470" t="inlineStr">
        <is>
          <t>JÄMTLANDS LÄN</t>
        </is>
      </c>
      <c r="E470" t="inlineStr">
        <is>
          <t>RAGUNDA</t>
        </is>
      </c>
      <c r="G470" t="n">
        <v>4.9</v>
      </c>
      <c r="H470" t="n">
        <v>0</v>
      </c>
      <c r="I470" t="n">
        <v>0</v>
      </c>
      <c r="J470" t="n">
        <v>0</v>
      </c>
      <c r="K470" t="n">
        <v>0</v>
      </c>
      <c r="L470" t="n">
        <v>0</v>
      </c>
      <c r="M470" t="n">
        <v>0</v>
      </c>
      <c r="N470" t="n">
        <v>0</v>
      </c>
      <c r="O470" t="n">
        <v>0</v>
      </c>
      <c r="P470" t="n">
        <v>0</v>
      </c>
      <c r="Q470" t="n">
        <v>0</v>
      </c>
      <c r="R470" s="2" t="inlineStr"/>
    </row>
    <row r="471" ht="15" customHeight="1">
      <c r="A471" t="inlineStr">
        <is>
          <t>A 39384-2025</t>
        </is>
      </c>
      <c r="B471" s="1" t="n">
        <v>45889.61517361111</v>
      </c>
      <c r="C471" s="1" t="n">
        <v>46092</v>
      </c>
      <c r="D471" t="inlineStr">
        <is>
          <t>JÄMTLANDS LÄN</t>
        </is>
      </c>
      <c r="E471" t="inlineStr">
        <is>
          <t>RAGUNDA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58076-2025</t>
        </is>
      </c>
      <c r="B472" s="1" t="n">
        <v>45982.55273148148</v>
      </c>
      <c r="C472" s="1" t="n">
        <v>46092</v>
      </c>
      <c r="D472" t="inlineStr">
        <is>
          <t>JÄMTLANDS LÄN</t>
        </is>
      </c>
      <c r="E472" t="inlineStr">
        <is>
          <t>RAGUNDA</t>
        </is>
      </c>
      <c r="G472" t="n">
        <v>0.1</v>
      </c>
      <c r="H472" t="n">
        <v>0</v>
      </c>
      <c r="I472" t="n">
        <v>0</v>
      </c>
      <c r="J472" t="n">
        <v>0</v>
      </c>
      <c r="K472" t="n">
        <v>0</v>
      </c>
      <c r="L472" t="n">
        <v>0</v>
      </c>
      <c r="M472" t="n">
        <v>0</v>
      </c>
      <c r="N472" t="n">
        <v>0</v>
      </c>
      <c r="O472" t="n">
        <v>0</v>
      </c>
      <c r="P472" t="n">
        <v>0</v>
      </c>
      <c r="Q472" t="n">
        <v>0</v>
      </c>
      <c r="R472" s="2" t="inlineStr"/>
    </row>
    <row r="473" ht="15" customHeight="1">
      <c r="A473" t="inlineStr">
        <is>
          <t>A 57963-2025</t>
        </is>
      </c>
      <c r="B473" s="1" t="n">
        <v>45982.37800925926</v>
      </c>
      <c r="C473" s="1" t="n">
        <v>46092</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28216-2025</t>
        </is>
      </c>
      <c r="B474" s="1" t="n">
        <v>45818.46898148148</v>
      </c>
      <c r="C474" s="1" t="n">
        <v>46092</v>
      </c>
      <c r="D474" t="inlineStr">
        <is>
          <t>JÄMTLANDS LÄN</t>
        </is>
      </c>
      <c r="E474" t="inlineStr">
        <is>
          <t>RAGUNDA</t>
        </is>
      </c>
      <c r="G474" t="n">
        <v>6.6</v>
      </c>
      <c r="H474" t="n">
        <v>0</v>
      </c>
      <c r="I474" t="n">
        <v>0</v>
      </c>
      <c r="J474" t="n">
        <v>0</v>
      </c>
      <c r="K474" t="n">
        <v>0</v>
      </c>
      <c r="L474" t="n">
        <v>0</v>
      </c>
      <c r="M474" t="n">
        <v>0</v>
      </c>
      <c r="N474" t="n">
        <v>0</v>
      </c>
      <c r="O474" t="n">
        <v>0</v>
      </c>
      <c r="P474" t="n">
        <v>0</v>
      </c>
      <c r="Q474" t="n">
        <v>0</v>
      </c>
      <c r="R474" s="2" t="inlineStr"/>
    </row>
    <row r="475" ht="15" customHeight="1">
      <c r="A475" t="inlineStr">
        <is>
          <t>A 29319-2023</t>
        </is>
      </c>
      <c r="B475" s="1" t="n">
        <v>45105</v>
      </c>
      <c r="C475" s="1" t="n">
        <v>46092</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18612-2024</t>
        </is>
      </c>
      <c r="B476" s="1" t="n">
        <v>45425.96239583333</v>
      </c>
      <c r="C476" s="1" t="n">
        <v>46092</v>
      </c>
      <c r="D476" t="inlineStr">
        <is>
          <t>JÄMTLANDS LÄN</t>
        </is>
      </c>
      <c r="E476" t="inlineStr">
        <is>
          <t>RAGUNDA</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464-2023</t>
        </is>
      </c>
      <c r="B477" s="1" t="n">
        <v>44929.92489583333</v>
      </c>
      <c r="C477" s="1" t="n">
        <v>46092</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53769-2023</t>
        </is>
      </c>
      <c r="B478" s="1" t="n">
        <v>45230</v>
      </c>
      <c r="C478" s="1" t="n">
        <v>46092</v>
      </c>
      <c r="D478" t="inlineStr">
        <is>
          <t>JÄMTLANDS LÄN</t>
        </is>
      </c>
      <c r="E478" t="inlineStr">
        <is>
          <t>RAGUNDA</t>
        </is>
      </c>
      <c r="F478" t="inlineStr">
        <is>
          <t>SCA</t>
        </is>
      </c>
      <c r="G478" t="n">
        <v>11.6</v>
      </c>
      <c r="H478" t="n">
        <v>0</v>
      </c>
      <c r="I478" t="n">
        <v>0</v>
      </c>
      <c r="J478" t="n">
        <v>0</v>
      </c>
      <c r="K478" t="n">
        <v>0</v>
      </c>
      <c r="L478" t="n">
        <v>0</v>
      </c>
      <c r="M478" t="n">
        <v>0</v>
      </c>
      <c r="N478" t="n">
        <v>0</v>
      </c>
      <c r="O478" t="n">
        <v>0</v>
      </c>
      <c r="P478" t="n">
        <v>0</v>
      </c>
      <c r="Q478" t="n">
        <v>0</v>
      </c>
      <c r="R478" s="2" t="inlineStr"/>
    </row>
    <row r="479" ht="15" customHeight="1">
      <c r="A479" t="inlineStr">
        <is>
          <t>A 52228-2024</t>
        </is>
      </c>
      <c r="B479" s="1" t="n">
        <v>45608.6078587963</v>
      </c>
      <c r="C479" s="1" t="n">
        <v>46092</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53109-2025</t>
        </is>
      </c>
      <c r="B480" s="1" t="n">
        <v>45958</v>
      </c>
      <c r="C480" s="1" t="n">
        <v>46092</v>
      </c>
      <c r="D480" t="inlineStr">
        <is>
          <t>JÄMTLANDS LÄN</t>
        </is>
      </c>
      <c r="E480" t="inlineStr">
        <is>
          <t>RAGUNDA</t>
        </is>
      </c>
      <c r="G480" t="n">
        <v>2.1</v>
      </c>
      <c r="H480" t="n">
        <v>0</v>
      </c>
      <c r="I480" t="n">
        <v>0</v>
      </c>
      <c r="J480" t="n">
        <v>0</v>
      </c>
      <c r="K480" t="n">
        <v>0</v>
      </c>
      <c r="L480" t="n">
        <v>0</v>
      </c>
      <c r="M480" t="n">
        <v>0</v>
      </c>
      <c r="N480" t="n">
        <v>0</v>
      </c>
      <c r="O480" t="n">
        <v>0</v>
      </c>
      <c r="P480" t="n">
        <v>0</v>
      </c>
      <c r="Q480" t="n">
        <v>0</v>
      </c>
      <c r="R480" s="2" t="inlineStr"/>
    </row>
    <row r="481" ht="15" customHeight="1">
      <c r="A481" t="inlineStr">
        <is>
          <t>A 23253-2025</t>
        </is>
      </c>
      <c r="B481" s="1" t="n">
        <v>45791.53238425926</v>
      </c>
      <c r="C481" s="1" t="n">
        <v>46092</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58918-2025</t>
        </is>
      </c>
      <c r="B482" s="1" t="n">
        <v>45987.52952546296</v>
      </c>
      <c r="C482" s="1" t="n">
        <v>46092</v>
      </c>
      <c r="D482" t="inlineStr">
        <is>
          <t>JÄMTLANDS LÄN</t>
        </is>
      </c>
      <c r="E482" t="inlineStr">
        <is>
          <t>RAGUNDA</t>
        </is>
      </c>
      <c r="G482" t="n">
        <v>2</v>
      </c>
      <c r="H482" t="n">
        <v>0</v>
      </c>
      <c r="I482" t="n">
        <v>0</v>
      </c>
      <c r="J482" t="n">
        <v>0</v>
      </c>
      <c r="K482" t="n">
        <v>0</v>
      </c>
      <c r="L482" t="n">
        <v>0</v>
      </c>
      <c r="M482" t="n">
        <v>0</v>
      </c>
      <c r="N482" t="n">
        <v>0</v>
      </c>
      <c r="O482" t="n">
        <v>0</v>
      </c>
      <c r="P482" t="n">
        <v>0</v>
      </c>
      <c r="Q482" t="n">
        <v>0</v>
      </c>
      <c r="R482" s="2" t="inlineStr"/>
    </row>
    <row r="483" ht="15" customHeight="1">
      <c r="A483" t="inlineStr">
        <is>
          <t>A 2242-2024</t>
        </is>
      </c>
      <c r="B483" s="1" t="n">
        <v>45309</v>
      </c>
      <c r="C483" s="1" t="n">
        <v>46092</v>
      </c>
      <c r="D483" t="inlineStr">
        <is>
          <t>JÄMTLANDS LÄN</t>
        </is>
      </c>
      <c r="E483" t="inlineStr">
        <is>
          <t>RAGUNDA</t>
        </is>
      </c>
      <c r="G483" t="n">
        <v>0.9</v>
      </c>
      <c r="H483" t="n">
        <v>0</v>
      </c>
      <c r="I483" t="n">
        <v>0</v>
      </c>
      <c r="J483" t="n">
        <v>0</v>
      </c>
      <c r="K483" t="n">
        <v>0</v>
      </c>
      <c r="L483" t="n">
        <v>0</v>
      </c>
      <c r="M483" t="n">
        <v>0</v>
      </c>
      <c r="N483" t="n">
        <v>0</v>
      </c>
      <c r="O483" t="n">
        <v>0</v>
      </c>
      <c r="P483" t="n">
        <v>0</v>
      </c>
      <c r="Q483" t="n">
        <v>0</v>
      </c>
      <c r="R483" s="2" t="inlineStr"/>
    </row>
    <row r="484" ht="15" customHeight="1">
      <c r="A484" t="inlineStr">
        <is>
          <t>A 2248-2024</t>
        </is>
      </c>
      <c r="B484" s="1" t="n">
        <v>45309</v>
      </c>
      <c r="C484" s="1" t="n">
        <v>46092</v>
      </c>
      <c r="D484" t="inlineStr">
        <is>
          <t>JÄMTLANDS LÄN</t>
        </is>
      </c>
      <c r="E484" t="inlineStr">
        <is>
          <t>RAGUNDA</t>
        </is>
      </c>
      <c r="G484" t="n">
        <v>4.2</v>
      </c>
      <c r="H484" t="n">
        <v>0</v>
      </c>
      <c r="I484" t="n">
        <v>0</v>
      </c>
      <c r="J484" t="n">
        <v>0</v>
      </c>
      <c r="K484" t="n">
        <v>0</v>
      </c>
      <c r="L484" t="n">
        <v>0</v>
      </c>
      <c r="M484" t="n">
        <v>0</v>
      </c>
      <c r="N484" t="n">
        <v>0</v>
      </c>
      <c r="O484" t="n">
        <v>0</v>
      </c>
      <c r="P484" t="n">
        <v>0</v>
      </c>
      <c r="Q484" t="n">
        <v>0</v>
      </c>
      <c r="R484" s="2" t="inlineStr"/>
    </row>
    <row r="485" ht="15" customHeight="1">
      <c r="A485" t="inlineStr">
        <is>
          <t>A 58638-2025</t>
        </is>
      </c>
      <c r="B485" s="1" t="n">
        <v>45986.49016203704</v>
      </c>
      <c r="C485" s="1" t="n">
        <v>46092</v>
      </c>
      <c r="D485" t="inlineStr">
        <is>
          <t>JÄMTLANDS LÄN</t>
        </is>
      </c>
      <c r="E485" t="inlineStr">
        <is>
          <t>RAGUNDA</t>
        </is>
      </c>
      <c r="G485" t="n">
        <v>1.3</v>
      </c>
      <c r="H485" t="n">
        <v>0</v>
      </c>
      <c r="I485" t="n">
        <v>0</v>
      </c>
      <c r="J485" t="n">
        <v>0</v>
      </c>
      <c r="K485" t="n">
        <v>0</v>
      </c>
      <c r="L485" t="n">
        <v>0</v>
      </c>
      <c r="M485" t="n">
        <v>0</v>
      </c>
      <c r="N485" t="n">
        <v>0</v>
      </c>
      <c r="O485" t="n">
        <v>0</v>
      </c>
      <c r="P485" t="n">
        <v>0</v>
      </c>
      <c r="Q485" t="n">
        <v>0</v>
      </c>
      <c r="R485" s="2" t="inlineStr"/>
    </row>
    <row r="486" ht="15" customHeight="1">
      <c r="A486" t="inlineStr">
        <is>
          <t>A 58559-2025</t>
        </is>
      </c>
      <c r="B486" s="1" t="n">
        <v>45986.34475694445</v>
      </c>
      <c r="C486" s="1" t="n">
        <v>46092</v>
      </c>
      <c r="D486" t="inlineStr">
        <is>
          <t>JÄMTLANDS LÄN</t>
        </is>
      </c>
      <c r="E486" t="inlineStr">
        <is>
          <t>RAGUNDA</t>
        </is>
      </c>
      <c r="F486" t="inlineStr">
        <is>
          <t>SCA</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19264-2025</t>
        </is>
      </c>
      <c r="B487" s="1" t="n">
        <v>45769.51087962963</v>
      </c>
      <c r="C487" s="1" t="n">
        <v>46092</v>
      </c>
      <c r="D487" t="inlineStr">
        <is>
          <t>JÄMTLANDS LÄN</t>
        </is>
      </c>
      <c r="E487" t="inlineStr">
        <is>
          <t>RAGUNDA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59214-2025</t>
        </is>
      </c>
      <c r="B488" s="1" t="n">
        <v>45988.61623842592</v>
      </c>
      <c r="C488" s="1" t="n">
        <v>46092</v>
      </c>
      <c r="D488" t="inlineStr">
        <is>
          <t>JÄMTLANDS LÄN</t>
        </is>
      </c>
      <c r="E488" t="inlineStr">
        <is>
          <t>RAGUNDA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29263-2024</t>
        </is>
      </c>
      <c r="B489" s="1" t="n">
        <v>45482.94891203703</v>
      </c>
      <c r="C489" s="1" t="n">
        <v>46092</v>
      </c>
      <c r="D489" t="inlineStr">
        <is>
          <t>JÄMTLANDS LÄN</t>
        </is>
      </c>
      <c r="E489" t="inlineStr">
        <is>
          <t>RAGUNDA</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59499-2025</t>
        </is>
      </c>
      <c r="B490" s="1" t="n">
        <v>45989.61846064815</v>
      </c>
      <c r="C490" s="1" t="n">
        <v>46092</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8800-2025</t>
        </is>
      </c>
      <c r="B491" s="1" t="n">
        <v>45712.65671296296</v>
      </c>
      <c r="C491" s="1" t="n">
        <v>46092</v>
      </c>
      <c r="D491" t="inlineStr">
        <is>
          <t>JÄMTLANDS LÄN</t>
        </is>
      </c>
      <c r="E491" t="inlineStr">
        <is>
          <t>RAGUNDA</t>
        </is>
      </c>
      <c r="G491" t="n">
        <v>2.6</v>
      </c>
      <c r="H491" t="n">
        <v>0</v>
      </c>
      <c r="I491" t="n">
        <v>0</v>
      </c>
      <c r="J491" t="n">
        <v>0</v>
      </c>
      <c r="K491" t="n">
        <v>0</v>
      </c>
      <c r="L491" t="n">
        <v>0</v>
      </c>
      <c r="M491" t="n">
        <v>0</v>
      </c>
      <c r="N491" t="n">
        <v>0</v>
      </c>
      <c r="O491" t="n">
        <v>0</v>
      </c>
      <c r="P491" t="n">
        <v>0</v>
      </c>
      <c r="Q491" t="n">
        <v>0</v>
      </c>
      <c r="R491" s="2" t="inlineStr"/>
    </row>
    <row r="492" ht="15" customHeight="1">
      <c r="A492" t="inlineStr">
        <is>
          <t>A 39947-2025</t>
        </is>
      </c>
      <c r="B492" s="1" t="n">
        <v>45892.34438657408</v>
      </c>
      <c r="C492" s="1" t="n">
        <v>46092</v>
      </c>
      <c r="D492" t="inlineStr">
        <is>
          <t>JÄMTLANDS LÄN</t>
        </is>
      </c>
      <c r="E492" t="inlineStr">
        <is>
          <t>RAGUNDA</t>
        </is>
      </c>
      <c r="G492" t="n">
        <v>6.6</v>
      </c>
      <c r="H492" t="n">
        <v>0</v>
      </c>
      <c r="I492" t="n">
        <v>0</v>
      </c>
      <c r="J492" t="n">
        <v>0</v>
      </c>
      <c r="K492" t="n">
        <v>0</v>
      </c>
      <c r="L492" t="n">
        <v>0</v>
      </c>
      <c r="M492" t="n">
        <v>0</v>
      </c>
      <c r="N492" t="n">
        <v>0</v>
      </c>
      <c r="O492" t="n">
        <v>0</v>
      </c>
      <c r="P492" t="n">
        <v>0</v>
      </c>
      <c r="Q492" t="n">
        <v>0</v>
      </c>
      <c r="R492" s="2" t="inlineStr"/>
    </row>
    <row r="493" ht="15" customHeight="1">
      <c r="A493" t="inlineStr">
        <is>
          <t>A 39951-2025</t>
        </is>
      </c>
      <c r="B493" s="1" t="n">
        <v>45892.38657407407</v>
      </c>
      <c r="C493" s="1" t="n">
        <v>46092</v>
      </c>
      <c r="D493" t="inlineStr">
        <is>
          <t>JÄMTLANDS LÄN</t>
        </is>
      </c>
      <c r="E493" t="inlineStr">
        <is>
          <t>RAGUNDA</t>
        </is>
      </c>
      <c r="G493" t="n">
        <v>2.3</v>
      </c>
      <c r="H493" t="n">
        <v>0</v>
      </c>
      <c r="I493" t="n">
        <v>0</v>
      </c>
      <c r="J493" t="n">
        <v>0</v>
      </c>
      <c r="K493" t="n">
        <v>0</v>
      </c>
      <c r="L493" t="n">
        <v>0</v>
      </c>
      <c r="M493" t="n">
        <v>0</v>
      </c>
      <c r="N493" t="n">
        <v>0</v>
      </c>
      <c r="O493" t="n">
        <v>0</v>
      </c>
      <c r="P493" t="n">
        <v>0</v>
      </c>
      <c r="Q493" t="n">
        <v>0</v>
      </c>
      <c r="R493" s="2" t="inlineStr"/>
    </row>
    <row r="494" ht="15" customHeight="1">
      <c r="A494" t="inlineStr">
        <is>
          <t>A 39948-2025</t>
        </is>
      </c>
      <c r="B494" s="1" t="n">
        <v>45892.38591435185</v>
      </c>
      <c r="C494" s="1" t="n">
        <v>46092</v>
      </c>
      <c r="D494" t="inlineStr">
        <is>
          <t>JÄMTLANDS LÄN</t>
        </is>
      </c>
      <c r="E494" t="inlineStr">
        <is>
          <t>RAGUNDA</t>
        </is>
      </c>
      <c r="G494" t="n">
        <v>5</v>
      </c>
      <c r="H494" t="n">
        <v>0</v>
      </c>
      <c r="I494" t="n">
        <v>0</v>
      </c>
      <c r="J494" t="n">
        <v>0</v>
      </c>
      <c r="K494" t="n">
        <v>0</v>
      </c>
      <c r="L494" t="n">
        <v>0</v>
      </c>
      <c r="M494" t="n">
        <v>0</v>
      </c>
      <c r="N494" t="n">
        <v>0</v>
      </c>
      <c r="O494" t="n">
        <v>0</v>
      </c>
      <c r="P494" t="n">
        <v>0</v>
      </c>
      <c r="Q494" t="n">
        <v>0</v>
      </c>
      <c r="R494" s="2" t="inlineStr"/>
    </row>
    <row r="495" ht="15" customHeight="1">
      <c r="A495" t="inlineStr">
        <is>
          <t>A 39946-2025</t>
        </is>
      </c>
      <c r="B495" s="1" t="n">
        <v>45892.34423611111</v>
      </c>
      <c r="C495" s="1" t="n">
        <v>46092</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39950-2025</t>
        </is>
      </c>
      <c r="B496" s="1" t="n">
        <v>45892.38641203703</v>
      </c>
      <c r="C496" s="1" t="n">
        <v>46092</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39955-2025</t>
        </is>
      </c>
      <c r="B497" s="1" t="n">
        <v>45892.44824074074</v>
      </c>
      <c r="C497" s="1" t="n">
        <v>46092</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39956-2025</t>
        </is>
      </c>
      <c r="B498" s="1" t="n">
        <v>45892.44840277778</v>
      </c>
      <c r="C498" s="1" t="n">
        <v>46092</v>
      </c>
      <c r="D498" t="inlineStr">
        <is>
          <t>JÄMTLANDS LÄN</t>
        </is>
      </c>
      <c r="E498" t="inlineStr">
        <is>
          <t>RAGUNDA</t>
        </is>
      </c>
      <c r="G498" t="n">
        <v>3.6</v>
      </c>
      <c r="H498" t="n">
        <v>0</v>
      </c>
      <c r="I498" t="n">
        <v>0</v>
      </c>
      <c r="J498" t="n">
        <v>0</v>
      </c>
      <c r="K498" t="n">
        <v>0</v>
      </c>
      <c r="L498" t="n">
        <v>0</v>
      </c>
      <c r="M498" t="n">
        <v>0</v>
      </c>
      <c r="N498" t="n">
        <v>0</v>
      </c>
      <c r="O498" t="n">
        <v>0</v>
      </c>
      <c r="P498" t="n">
        <v>0</v>
      </c>
      <c r="Q498" t="n">
        <v>0</v>
      </c>
      <c r="R498" s="2" t="inlineStr"/>
    </row>
    <row r="499" ht="15" customHeight="1">
      <c r="A499" t="inlineStr">
        <is>
          <t>A 59491-2025</t>
        </is>
      </c>
      <c r="B499" s="1" t="n">
        <v>45989.60376157407</v>
      </c>
      <c r="C499" s="1" t="n">
        <v>46092</v>
      </c>
      <c r="D499" t="inlineStr">
        <is>
          <t>JÄMTLANDS LÄN</t>
        </is>
      </c>
      <c r="E499" t="inlineStr">
        <is>
          <t>RAGUNDA</t>
        </is>
      </c>
      <c r="G499" t="n">
        <v>0.9</v>
      </c>
      <c r="H499" t="n">
        <v>0</v>
      </c>
      <c r="I499" t="n">
        <v>0</v>
      </c>
      <c r="J499" t="n">
        <v>0</v>
      </c>
      <c r="K499" t="n">
        <v>0</v>
      </c>
      <c r="L499" t="n">
        <v>0</v>
      </c>
      <c r="M499" t="n">
        <v>0</v>
      </c>
      <c r="N499" t="n">
        <v>0</v>
      </c>
      <c r="O499" t="n">
        <v>0</v>
      </c>
      <c r="P499" t="n">
        <v>0</v>
      </c>
      <c r="Q499" t="n">
        <v>0</v>
      </c>
      <c r="R499" s="2" t="inlineStr"/>
    </row>
    <row r="500" ht="15" customHeight="1">
      <c r="A500" t="inlineStr">
        <is>
          <t>A 23413-2025</t>
        </is>
      </c>
      <c r="B500" s="1" t="n">
        <v>45792.34606481482</v>
      </c>
      <c r="C500" s="1" t="n">
        <v>46092</v>
      </c>
      <c r="D500" t="inlineStr">
        <is>
          <t>JÄMTLANDS LÄN</t>
        </is>
      </c>
      <c r="E500" t="inlineStr">
        <is>
          <t>RAGUNDA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29265-2024</t>
        </is>
      </c>
      <c r="B501" s="1" t="n">
        <v>45482.9491087963</v>
      </c>
      <c r="C501" s="1" t="n">
        <v>46092</v>
      </c>
      <c r="D501" t="inlineStr">
        <is>
          <t>JÄMTLANDS LÄN</t>
        </is>
      </c>
      <c r="E501" t="inlineStr">
        <is>
          <t>RAGUNDA</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27291-2022</t>
        </is>
      </c>
      <c r="B502" s="1" t="n">
        <v>44741.94070601852</v>
      </c>
      <c r="C502" s="1" t="n">
        <v>46092</v>
      </c>
      <c r="D502" t="inlineStr">
        <is>
          <t>JÄMTLANDS LÄN</t>
        </is>
      </c>
      <c r="E502" t="inlineStr">
        <is>
          <t>RAGUNDA</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39949-2025</t>
        </is>
      </c>
      <c r="B503" s="1" t="n">
        <v>45892.38619212963</v>
      </c>
      <c r="C503" s="1" t="n">
        <v>46092</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8776-2025</t>
        </is>
      </c>
      <c r="B504" s="1" t="n">
        <v>45712.61510416667</v>
      </c>
      <c r="C504" s="1" t="n">
        <v>46092</v>
      </c>
      <c r="D504" t="inlineStr">
        <is>
          <t>JÄMTLANDS LÄN</t>
        </is>
      </c>
      <c r="E504" t="inlineStr">
        <is>
          <t>RAGUNDA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59503-2025</t>
        </is>
      </c>
      <c r="B505" s="1" t="n">
        <v>45989.62703703704</v>
      </c>
      <c r="C505" s="1" t="n">
        <v>46092</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23586-2025</t>
        </is>
      </c>
      <c r="B506" s="1" t="n">
        <v>45792.63584490741</v>
      </c>
      <c r="C506" s="1" t="n">
        <v>46092</v>
      </c>
      <c r="D506" t="inlineStr">
        <is>
          <t>JÄMTLANDS LÄN</t>
        </is>
      </c>
      <c r="E506" t="inlineStr">
        <is>
          <t>RAGUNDA</t>
        </is>
      </c>
      <c r="F506" t="inlineStr">
        <is>
          <t>SCA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59692-2025</t>
        </is>
      </c>
      <c r="B507" s="1" t="n">
        <v>45992.49001157407</v>
      </c>
      <c r="C507" s="1" t="n">
        <v>46092</v>
      </c>
      <c r="D507" t="inlineStr">
        <is>
          <t>JÄMTLANDS LÄN</t>
        </is>
      </c>
      <c r="E507" t="inlineStr">
        <is>
          <t>RAGUNDA</t>
        </is>
      </c>
      <c r="G507" t="n">
        <v>2.7</v>
      </c>
      <c r="H507" t="n">
        <v>0</v>
      </c>
      <c r="I507" t="n">
        <v>0</v>
      </c>
      <c r="J507" t="n">
        <v>0</v>
      </c>
      <c r="K507" t="n">
        <v>0</v>
      </c>
      <c r="L507" t="n">
        <v>0</v>
      </c>
      <c r="M507" t="n">
        <v>0</v>
      </c>
      <c r="N507" t="n">
        <v>0</v>
      </c>
      <c r="O507" t="n">
        <v>0</v>
      </c>
      <c r="P507" t="n">
        <v>0</v>
      </c>
      <c r="Q507" t="n">
        <v>0</v>
      </c>
      <c r="R507" s="2" t="inlineStr"/>
    </row>
    <row r="508" ht="15" customHeight="1">
      <c r="A508" t="inlineStr">
        <is>
          <t>A 14821-2025</t>
        </is>
      </c>
      <c r="B508" s="1" t="n">
        <v>45743.36</v>
      </c>
      <c r="C508" s="1" t="n">
        <v>46092</v>
      </c>
      <c r="D508" t="inlineStr">
        <is>
          <t>JÄMTLANDS LÄN</t>
        </is>
      </c>
      <c r="E508" t="inlineStr">
        <is>
          <t>RAGUNDA</t>
        </is>
      </c>
      <c r="F508" t="inlineStr">
        <is>
          <t>Kyrkan</t>
        </is>
      </c>
      <c r="G508" t="n">
        <v>6.4</v>
      </c>
      <c r="H508" t="n">
        <v>0</v>
      </c>
      <c r="I508" t="n">
        <v>0</v>
      </c>
      <c r="J508" t="n">
        <v>0</v>
      </c>
      <c r="K508" t="n">
        <v>0</v>
      </c>
      <c r="L508" t="n">
        <v>0</v>
      </c>
      <c r="M508" t="n">
        <v>0</v>
      </c>
      <c r="N508" t="n">
        <v>0</v>
      </c>
      <c r="O508" t="n">
        <v>0</v>
      </c>
      <c r="P508" t="n">
        <v>0</v>
      </c>
      <c r="Q508" t="n">
        <v>0</v>
      </c>
      <c r="R508" s="2" t="inlineStr"/>
    </row>
    <row r="509" ht="15" customHeight="1">
      <c r="A509" t="inlineStr">
        <is>
          <t>A 59738-2025</t>
        </is>
      </c>
      <c r="B509" s="1" t="n">
        <v>45992.57408564815</v>
      </c>
      <c r="C509" s="1" t="n">
        <v>46092</v>
      </c>
      <c r="D509" t="inlineStr">
        <is>
          <t>JÄMTLANDS LÄN</t>
        </is>
      </c>
      <c r="E509" t="inlineStr">
        <is>
          <t>RAGUNDA</t>
        </is>
      </c>
      <c r="F509" t="inlineStr">
        <is>
          <t>SCA</t>
        </is>
      </c>
      <c r="G509" t="n">
        <v>12.5</v>
      </c>
      <c r="H509" t="n">
        <v>0</v>
      </c>
      <c r="I509" t="n">
        <v>0</v>
      </c>
      <c r="J509" t="n">
        <v>0</v>
      </c>
      <c r="K509" t="n">
        <v>0</v>
      </c>
      <c r="L509" t="n">
        <v>0</v>
      </c>
      <c r="M509" t="n">
        <v>0</v>
      </c>
      <c r="N509" t="n">
        <v>0</v>
      </c>
      <c r="O509" t="n">
        <v>0</v>
      </c>
      <c r="P509" t="n">
        <v>0</v>
      </c>
      <c r="Q509" t="n">
        <v>0</v>
      </c>
      <c r="R509" s="2" t="inlineStr"/>
    </row>
    <row r="510" ht="15" customHeight="1">
      <c r="A510" t="inlineStr">
        <is>
          <t>A 59739-2025</t>
        </is>
      </c>
      <c r="B510" s="1" t="n">
        <v>45992.57417824074</v>
      </c>
      <c r="C510" s="1" t="n">
        <v>46092</v>
      </c>
      <c r="D510" t="inlineStr">
        <is>
          <t>JÄMTLANDS LÄN</t>
        </is>
      </c>
      <c r="E510" t="inlineStr">
        <is>
          <t>RAGUNDA</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59740-2025</t>
        </is>
      </c>
      <c r="B511" s="1" t="n">
        <v>45992.5743287037</v>
      </c>
      <c r="C511" s="1" t="n">
        <v>46092</v>
      </c>
      <c r="D511" t="inlineStr">
        <is>
          <t>JÄMTLANDS LÄN</t>
        </is>
      </c>
      <c r="E511" t="inlineStr">
        <is>
          <t>RAGUNDA</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23841-2025</t>
        </is>
      </c>
      <c r="B512" s="1" t="n">
        <v>45793.61523148148</v>
      </c>
      <c r="C512" s="1" t="n">
        <v>46092</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59931-2025</t>
        </is>
      </c>
      <c r="B513" s="1" t="n">
        <v>45993.40177083333</v>
      </c>
      <c r="C513" s="1" t="n">
        <v>46092</v>
      </c>
      <c r="D513" t="inlineStr">
        <is>
          <t>JÄMTLANDS LÄN</t>
        </is>
      </c>
      <c r="E513" t="inlineStr">
        <is>
          <t>RAGUNDA</t>
        </is>
      </c>
      <c r="G513" t="n">
        <v>4</v>
      </c>
      <c r="H513" t="n">
        <v>0</v>
      </c>
      <c r="I513" t="n">
        <v>0</v>
      </c>
      <c r="J513" t="n">
        <v>0</v>
      </c>
      <c r="K513" t="n">
        <v>0</v>
      </c>
      <c r="L513" t="n">
        <v>0</v>
      </c>
      <c r="M513" t="n">
        <v>0</v>
      </c>
      <c r="N513" t="n">
        <v>0</v>
      </c>
      <c r="O513" t="n">
        <v>0</v>
      </c>
      <c r="P513" t="n">
        <v>0</v>
      </c>
      <c r="Q513" t="n">
        <v>0</v>
      </c>
      <c r="R513" s="2" t="inlineStr"/>
    </row>
    <row r="514" ht="15" customHeight="1">
      <c r="A514" t="inlineStr">
        <is>
          <t>A 59693-2025</t>
        </is>
      </c>
      <c r="B514" s="1" t="n">
        <v>45992.49009259259</v>
      </c>
      <c r="C514" s="1" t="n">
        <v>46092</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36375-2022</t>
        </is>
      </c>
      <c r="B515" s="1" t="n">
        <v>44803.94351851852</v>
      </c>
      <c r="C515" s="1" t="n">
        <v>46092</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40586-2025</t>
        </is>
      </c>
      <c r="B516" s="1" t="n">
        <v>45896.52478009259</v>
      </c>
      <c r="C516" s="1" t="n">
        <v>46092</v>
      </c>
      <c r="D516" t="inlineStr">
        <is>
          <t>JÄMTLANDS LÄN</t>
        </is>
      </c>
      <c r="E516" t="inlineStr">
        <is>
          <t>RAGUNDA</t>
        </is>
      </c>
      <c r="G516" t="n">
        <v>1.2</v>
      </c>
      <c r="H516" t="n">
        <v>0</v>
      </c>
      <c r="I516" t="n">
        <v>0</v>
      </c>
      <c r="J516" t="n">
        <v>0</v>
      </c>
      <c r="K516" t="n">
        <v>0</v>
      </c>
      <c r="L516" t="n">
        <v>0</v>
      </c>
      <c r="M516" t="n">
        <v>0</v>
      </c>
      <c r="N516" t="n">
        <v>0</v>
      </c>
      <c r="O516" t="n">
        <v>0</v>
      </c>
      <c r="P516" t="n">
        <v>0</v>
      </c>
      <c r="Q516" t="n">
        <v>0</v>
      </c>
      <c r="R516" s="2" t="inlineStr"/>
    </row>
    <row r="517" ht="15" customHeight="1">
      <c r="A517" t="inlineStr">
        <is>
          <t>A 8679-2023</t>
        </is>
      </c>
      <c r="B517" s="1" t="n">
        <v>44977.98670138889</v>
      </c>
      <c r="C517" s="1" t="n">
        <v>46092</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60062-2025</t>
        </is>
      </c>
      <c r="B518" s="1" t="n">
        <v>45993.65694444445</v>
      </c>
      <c r="C518" s="1" t="n">
        <v>46092</v>
      </c>
      <c r="D518" t="inlineStr">
        <is>
          <t>JÄMTLANDS LÄN</t>
        </is>
      </c>
      <c r="E518" t="inlineStr">
        <is>
          <t>RAGUNDA</t>
        </is>
      </c>
      <c r="F518" t="inlineStr">
        <is>
          <t>SCA</t>
        </is>
      </c>
      <c r="G518" t="n">
        <v>5.8</v>
      </c>
      <c r="H518" t="n">
        <v>0</v>
      </c>
      <c r="I518" t="n">
        <v>0</v>
      </c>
      <c r="J518" t="n">
        <v>0</v>
      </c>
      <c r="K518" t="n">
        <v>0</v>
      </c>
      <c r="L518" t="n">
        <v>0</v>
      </c>
      <c r="M518" t="n">
        <v>0</v>
      </c>
      <c r="N518" t="n">
        <v>0</v>
      </c>
      <c r="O518" t="n">
        <v>0</v>
      </c>
      <c r="P518" t="n">
        <v>0</v>
      </c>
      <c r="Q518" t="n">
        <v>0</v>
      </c>
      <c r="R518" s="2" t="inlineStr"/>
    </row>
    <row r="519" ht="15" customHeight="1">
      <c r="A519" t="inlineStr">
        <is>
          <t>A 9325-2024</t>
        </is>
      </c>
      <c r="B519" s="1" t="n">
        <v>45358.95813657407</v>
      </c>
      <c r="C519" s="1" t="n">
        <v>46092</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5930-2025</t>
        </is>
      </c>
      <c r="B520" s="1" t="n">
        <v>45695.44724537037</v>
      </c>
      <c r="C520" s="1" t="n">
        <v>46092</v>
      </c>
      <c r="D520" t="inlineStr">
        <is>
          <t>JÄMTLANDS LÄN</t>
        </is>
      </c>
      <c r="E520" t="inlineStr">
        <is>
          <t>RAGUNDA</t>
        </is>
      </c>
      <c r="G520" t="n">
        <v>0.7</v>
      </c>
      <c r="H520" t="n">
        <v>0</v>
      </c>
      <c r="I520" t="n">
        <v>0</v>
      </c>
      <c r="J520" t="n">
        <v>0</v>
      </c>
      <c r="K520" t="n">
        <v>0</v>
      </c>
      <c r="L520" t="n">
        <v>0</v>
      </c>
      <c r="M520" t="n">
        <v>0</v>
      </c>
      <c r="N520" t="n">
        <v>0</v>
      </c>
      <c r="O520" t="n">
        <v>0</v>
      </c>
      <c r="P520" t="n">
        <v>0</v>
      </c>
      <c r="Q520" t="n">
        <v>0</v>
      </c>
      <c r="R520" s="2" t="inlineStr"/>
    </row>
    <row r="521" ht="15" customHeight="1">
      <c r="A521" t="inlineStr">
        <is>
          <t>A 57170-2024</t>
        </is>
      </c>
      <c r="B521" s="1" t="n">
        <v>45629.42759259259</v>
      </c>
      <c r="C521" s="1" t="n">
        <v>46092</v>
      </c>
      <c r="D521" t="inlineStr">
        <is>
          <t>JÄMTLANDS LÄN</t>
        </is>
      </c>
      <c r="E521" t="inlineStr">
        <is>
          <t>RAGUNDA</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60128-2025</t>
        </is>
      </c>
      <c r="B522" s="1" t="n">
        <v>45994.34456018519</v>
      </c>
      <c r="C522" s="1" t="n">
        <v>46092</v>
      </c>
      <c r="D522" t="inlineStr">
        <is>
          <t>JÄMTLANDS LÄN</t>
        </is>
      </c>
      <c r="E522" t="inlineStr">
        <is>
          <t>RAGUNDA</t>
        </is>
      </c>
      <c r="G522" t="n">
        <v>7.1</v>
      </c>
      <c r="H522" t="n">
        <v>0</v>
      </c>
      <c r="I522" t="n">
        <v>0</v>
      </c>
      <c r="J522" t="n">
        <v>0</v>
      </c>
      <c r="K522" t="n">
        <v>0</v>
      </c>
      <c r="L522" t="n">
        <v>0</v>
      </c>
      <c r="M522" t="n">
        <v>0</v>
      </c>
      <c r="N522" t="n">
        <v>0</v>
      </c>
      <c r="O522" t="n">
        <v>0</v>
      </c>
      <c r="P522" t="n">
        <v>0</v>
      </c>
      <c r="Q522" t="n">
        <v>0</v>
      </c>
      <c r="R522" s="2" t="inlineStr"/>
    </row>
    <row r="523" ht="15" customHeight="1">
      <c r="A523" t="inlineStr">
        <is>
          <t>A 60389-2025</t>
        </is>
      </c>
      <c r="B523" s="1" t="n">
        <v>45995.38628472222</v>
      </c>
      <c r="C523" s="1" t="n">
        <v>46092</v>
      </c>
      <c r="D523" t="inlineStr">
        <is>
          <t>JÄMTLANDS LÄN</t>
        </is>
      </c>
      <c r="E523" t="inlineStr">
        <is>
          <t>RAGUNDA</t>
        </is>
      </c>
      <c r="G523" t="n">
        <v>3.3</v>
      </c>
      <c r="H523" t="n">
        <v>0</v>
      </c>
      <c r="I523" t="n">
        <v>0</v>
      </c>
      <c r="J523" t="n">
        <v>0</v>
      </c>
      <c r="K523" t="n">
        <v>0</v>
      </c>
      <c r="L523" t="n">
        <v>0</v>
      </c>
      <c r="M523" t="n">
        <v>0</v>
      </c>
      <c r="N523" t="n">
        <v>0</v>
      </c>
      <c r="O523" t="n">
        <v>0</v>
      </c>
      <c r="P523" t="n">
        <v>0</v>
      </c>
      <c r="Q523" t="n">
        <v>0</v>
      </c>
      <c r="R523" s="2" t="inlineStr"/>
    </row>
    <row r="524" ht="15" customHeight="1">
      <c r="A524" t="inlineStr">
        <is>
          <t>A 41161-2025</t>
        </is>
      </c>
      <c r="B524" s="1" t="n">
        <v>45898.53193287037</v>
      </c>
      <c r="C524" s="1" t="n">
        <v>46092</v>
      </c>
      <c r="D524" t="inlineStr">
        <is>
          <t>JÄMTLANDS LÄN</t>
        </is>
      </c>
      <c r="E524" t="inlineStr">
        <is>
          <t>RAGUNDA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23507-2025</t>
        </is>
      </c>
      <c r="B525" s="1" t="n">
        <v>45792.49023148148</v>
      </c>
      <c r="C525" s="1" t="n">
        <v>46092</v>
      </c>
      <c r="D525" t="inlineStr">
        <is>
          <t>JÄMTLANDS LÄN</t>
        </is>
      </c>
      <c r="E525" t="inlineStr">
        <is>
          <t>RAGUNDA</t>
        </is>
      </c>
      <c r="F525" t="inlineStr">
        <is>
          <t>SCA</t>
        </is>
      </c>
      <c r="G525" t="n">
        <v>16.4</v>
      </c>
      <c r="H525" t="n">
        <v>0</v>
      </c>
      <c r="I525" t="n">
        <v>0</v>
      </c>
      <c r="J525" t="n">
        <v>0</v>
      </c>
      <c r="K525" t="n">
        <v>0</v>
      </c>
      <c r="L525" t="n">
        <v>0</v>
      </c>
      <c r="M525" t="n">
        <v>0</v>
      </c>
      <c r="N525" t="n">
        <v>0</v>
      </c>
      <c r="O525" t="n">
        <v>0</v>
      </c>
      <c r="P525" t="n">
        <v>0</v>
      </c>
      <c r="Q525" t="n">
        <v>0</v>
      </c>
      <c r="R525" s="2" t="inlineStr"/>
    </row>
    <row r="526" ht="15" customHeight="1">
      <c r="A526" t="inlineStr">
        <is>
          <t>A 41233-2025</t>
        </is>
      </c>
      <c r="B526" s="1" t="n">
        <v>45898.59295138889</v>
      </c>
      <c r="C526" s="1" t="n">
        <v>46092</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60387-2025</t>
        </is>
      </c>
      <c r="B527" s="1" t="n">
        <v>45995.38611111111</v>
      </c>
      <c r="C527" s="1" t="n">
        <v>46092</v>
      </c>
      <c r="D527" t="inlineStr">
        <is>
          <t>JÄMTLANDS LÄN</t>
        </is>
      </c>
      <c r="E527" t="inlineStr">
        <is>
          <t>RAGUNDA</t>
        </is>
      </c>
      <c r="G527" t="n">
        <v>8.5</v>
      </c>
      <c r="H527" t="n">
        <v>0</v>
      </c>
      <c r="I527" t="n">
        <v>0</v>
      </c>
      <c r="J527" t="n">
        <v>0</v>
      </c>
      <c r="K527" t="n">
        <v>0</v>
      </c>
      <c r="L527" t="n">
        <v>0</v>
      </c>
      <c r="M527" t="n">
        <v>0</v>
      </c>
      <c r="N527" t="n">
        <v>0</v>
      </c>
      <c r="O527" t="n">
        <v>0</v>
      </c>
      <c r="P527" t="n">
        <v>0</v>
      </c>
      <c r="Q527" t="n">
        <v>0</v>
      </c>
      <c r="R527" s="2" t="inlineStr"/>
    </row>
    <row r="528" ht="15" customHeight="1">
      <c r="A528" t="inlineStr">
        <is>
          <t>A 23840-2025</t>
        </is>
      </c>
      <c r="B528" s="1" t="n">
        <v>45793</v>
      </c>
      <c r="C528" s="1" t="n">
        <v>46092</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60307-2025</t>
        </is>
      </c>
      <c r="B529" s="1" t="n">
        <v>45994.6842824074</v>
      </c>
      <c r="C529" s="1" t="n">
        <v>46092</v>
      </c>
      <c r="D529" t="inlineStr">
        <is>
          <t>JÄMTLANDS LÄN</t>
        </is>
      </c>
      <c r="E529" t="inlineStr">
        <is>
          <t>RAGUNDA</t>
        </is>
      </c>
      <c r="G529" t="n">
        <v>4</v>
      </c>
      <c r="H529" t="n">
        <v>0</v>
      </c>
      <c r="I529" t="n">
        <v>0</v>
      </c>
      <c r="J529" t="n">
        <v>0</v>
      </c>
      <c r="K529" t="n">
        <v>0</v>
      </c>
      <c r="L529" t="n">
        <v>0</v>
      </c>
      <c r="M529" t="n">
        <v>0</v>
      </c>
      <c r="N529" t="n">
        <v>0</v>
      </c>
      <c r="O529" t="n">
        <v>0</v>
      </c>
      <c r="P529" t="n">
        <v>0</v>
      </c>
      <c r="Q529" t="n">
        <v>0</v>
      </c>
      <c r="R529" s="2" t="inlineStr"/>
    </row>
    <row r="530" ht="15" customHeight="1">
      <c r="A530" t="inlineStr">
        <is>
          <t>A 41262-2025</t>
        </is>
      </c>
      <c r="B530" s="1" t="n">
        <v>45898.61502314815</v>
      </c>
      <c r="C530" s="1" t="n">
        <v>46092</v>
      </c>
      <c r="D530" t="inlineStr">
        <is>
          <t>JÄMTLANDS LÄN</t>
        </is>
      </c>
      <c r="E530" t="inlineStr">
        <is>
          <t>RAGUNDA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23654-2025</t>
        </is>
      </c>
      <c r="B531" s="1" t="n">
        <v>45792.71905092592</v>
      </c>
      <c r="C531" s="1" t="n">
        <v>46092</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60130-2025</t>
        </is>
      </c>
      <c r="B532" s="1" t="n">
        <v>45994.34467592592</v>
      </c>
      <c r="C532" s="1" t="n">
        <v>46092</v>
      </c>
      <c r="D532" t="inlineStr">
        <is>
          <t>JÄMTLANDS LÄN</t>
        </is>
      </c>
      <c r="E532" t="inlineStr">
        <is>
          <t>RAGUNDA</t>
        </is>
      </c>
      <c r="G532" t="n">
        <v>4.9</v>
      </c>
      <c r="H532" t="n">
        <v>0</v>
      </c>
      <c r="I532" t="n">
        <v>0</v>
      </c>
      <c r="J532" t="n">
        <v>0</v>
      </c>
      <c r="K532" t="n">
        <v>0</v>
      </c>
      <c r="L532" t="n">
        <v>0</v>
      </c>
      <c r="M532" t="n">
        <v>0</v>
      </c>
      <c r="N532" t="n">
        <v>0</v>
      </c>
      <c r="O532" t="n">
        <v>0</v>
      </c>
      <c r="P532" t="n">
        <v>0</v>
      </c>
      <c r="Q532" t="n">
        <v>0</v>
      </c>
      <c r="R532" s="2" t="inlineStr"/>
    </row>
    <row r="533" ht="15" customHeight="1">
      <c r="A533" t="inlineStr">
        <is>
          <t>A 60775-2025</t>
        </is>
      </c>
      <c r="B533" s="1" t="n">
        <v>45999.3905787037</v>
      </c>
      <c r="C533" s="1" t="n">
        <v>46092</v>
      </c>
      <c r="D533" t="inlineStr">
        <is>
          <t>JÄMTLANDS LÄN</t>
        </is>
      </c>
      <c r="E533" t="inlineStr">
        <is>
          <t>RAGUNDA</t>
        </is>
      </c>
      <c r="G533" t="n">
        <v>15.7</v>
      </c>
      <c r="H533" t="n">
        <v>0</v>
      </c>
      <c r="I533" t="n">
        <v>0</v>
      </c>
      <c r="J533" t="n">
        <v>0</v>
      </c>
      <c r="K533" t="n">
        <v>0</v>
      </c>
      <c r="L533" t="n">
        <v>0</v>
      </c>
      <c r="M533" t="n">
        <v>0</v>
      </c>
      <c r="N533" t="n">
        <v>0</v>
      </c>
      <c r="O533" t="n">
        <v>0</v>
      </c>
      <c r="P533" t="n">
        <v>0</v>
      </c>
      <c r="Q533" t="n">
        <v>0</v>
      </c>
      <c r="R533" s="2" t="inlineStr"/>
    </row>
    <row r="534" ht="15" customHeight="1">
      <c r="A534" t="inlineStr">
        <is>
          <t>A 8795-2022</t>
        </is>
      </c>
      <c r="B534" s="1" t="n">
        <v>44614</v>
      </c>
      <c r="C534" s="1" t="n">
        <v>46092</v>
      </c>
      <c r="D534" t="inlineStr">
        <is>
          <t>JÄMTLANDS LÄN</t>
        </is>
      </c>
      <c r="E534" t="inlineStr">
        <is>
          <t>RAGUNDA</t>
        </is>
      </c>
      <c r="G534" t="n">
        <v>3.9</v>
      </c>
      <c r="H534" t="n">
        <v>0</v>
      </c>
      <c r="I534" t="n">
        <v>0</v>
      </c>
      <c r="J534" t="n">
        <v>0</v>
      </c>
      <c r="K534" t="n">
        <v>0</v>
      </c>
      <c r="L534" t="n">
        <v>0</v>
      </c>
      <c r="M534" t="n">
        <v>0</v>
      </c>
      <c r="N534" t="n">
        <v>0</v>
      </c>
      <c r="O534" t="n">
        <v>0</v>
      </c>
      <c r="P534" t="n">
        <v>0</v>
      </c>
      <c r="Q534" t="n">
        <v>0</v>
      </c>
      <c r="R534" s="2" t="inlineStr"/>
    </row>
    <row r="535" ht="15" customHeight="1">
      <c r="A535" t="inlineStr">
        <is>
          <t>A 41423-2025</t>
        </is>
      </c>
      <c r="B535" s="1" t="n">
        <v>45901.38578703703</v>
      </c>
      <c r="C535" s="1" t="n">
        <v>46092</v>
      </c>
      <c r="D535" t="inlineStr">
        <is>
          <t>JÄMTLANDS LÄN</t>
        </is>
      </c>
      <c r="E535" t="inlineStr">
        <is>
          <t>RAGUNDA</t>
        </is>
      </c>
      <c r="G535" t="n">
        <v>0.7</v>
      </c>
      <c r="H535" t="n">
        <v>0</v>
      </c>
      <c r="I535" t="n">
        <v>0</v>
      </c>
      <c r="J535" t="n">
        <v>0</v>
      </c>
      <c r="K535" t="n">
        <v>0</v>
      </c>
      <c r="L535" t="n">
        <v>0</v>
      </c>
      <c r="M535" t="n">
        <v>0</v>
      </c>
      <c r="N535" t="n">
        <v>0</v>
      </c>
      <c r="O535" t="n">
        <v>0</v>
      </c>
      <c r="P535" t="n">
        <v>0</v>
      </c>
      <c r="Q535" t="n">
        <v>0</v>
      </c>
      <c r="R535" s="2" t="inlineStr"/>
    </row>
    <row r="536" ht="15" customHeight="1">
      <c r="A536" t="inlineStr">
        <is>
          <t>A 60760-2025</t>
        </is>
      </c>
      <c r="B536" s="1" t="n">
        <v>45999.38597222222</v>
      </c>
      <c r="C536" s="1" t="n">
        <v>46092</v>
      </c>
      <c r="D536" t="inlineStr">
        <is>
          <t>JÄMTLANDS LÄN</t>
        </is>
      </c>
      <c r="E536" t="inlineStr">
        <is>
          <t>RAGUNDA</t>
        </is>
      </c>
      <c r="F536" t="inlineStr">
        <is>
          <t>SCA</t>
        </is>
      </c>
      <c r="G536" t="n">
        <v>5.6</v>
      </c>
      <c r="H536" t="n">
        <v>0</v>
      </c>
      <c r="I536" t="n">
        <v>0</v>
      </c>
      <c r="J536" t="n">
        <v>0</v>
      </c>
      <c r="K536" t="n">
        <v>0</v>
      </c>
      <c r="L536" t="n">
        <v>0</v>
      </c>
      <c r="M536" t="n">
        <v>0</v>
      </c>
      <c r="N536" t="n">
        <v>0</v>
      </c>
      <c r="O536" t="n">
        <v>0</v>
      </c>
      <c r="P536" t="n">
        <v>0</v>
      </c>
      <c r="Q536" t="n">
        <v>0</v>
      </c>
      <c r="R536" s="2" t="inlineStr"/>
    </row>
    <row r="537" ht="15" customHeight="1">
      <c r="A537" t="inlineStr">
        <is>
          <t>A 60630-2025</t>
        </is>
      </c>
      <c r="B537" s="1" t="n">
        <v>45996.42120370371</v>
      </c>
      <c r="C537" s="1" t="n">
        <v>46092</v>
      </c>
      <c r="D537" t="inlineStr">
        <is>
          <t>JÄMTLANDS LÄN</t>
        </is>
      </c>
      <c r="E537" t="inlineStr">
        <is>
          <t>RAGUNDA</t>
        </is>
      </c>
      <c r="G537" t="n">
        <v>13.2</v>
      </c>
      <c r="H537" t="n">
        <v>0</v>
      </c>
      <c r="I537" t="n">
        <v>0</v>
      </c>
      <c r="J537" t="n">
        <v>0</v>
      </c>
      <c r="K537" t="n">
        <v>0</v>
      </c>
      <c r="L537" t="n">
        <v>0</v>
      </c>
      <c r="M537" t="n">
        <v>0</v>
      </c>
      <c r="N537" t="n">
        <v>0</v>
      </c>
      <c r="O537" t="n">
        <v>0</v>
      </c>
      <c r="P537" t="n">
        <v>0</v>
      </c>
      <c r="Q537" t="n">
        <v>0</v>
      </c>
      <c r="R537" s="2" t="inlineStr"/>
    </row>
    <row r="538" ht="15" customHeight="1">
      <c r="A538" t="inlineStr">
        <is>
          <t>A 35265-2023</t>
        </is>
      </c>
      <c r="B538" s="1" t="n">
        <v>45145.95326388889</v>
      </c>
      <c r="C538" s="1" t="n">
        <v>46092</v>
      </c>
      <c r="D538" t="inlineStr">
        <is>
          <t>JÄMTLANDS LÄN</t>
        </is>
      </c>
      <c r="E538" t="inlineStr">
        <is>
          <t>RAGUNDA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5148-2023</t>
        </is>
      </c>
      <c r="B539" s="1" t="n">
        <v>44958</v>
      </c>
      <c r="C539" s="1" t="n">
        <v>46092</v>
      </c>
      <c r="D539" t="inlineStr">
        <is>
          <t>JÄMTLANDS LÄN</t>
        </is>
      </c>
      <c r="E539" t="inlineStr">
        <is>
          <t>RAGUNDA</t>
        </is>
      </c>
      <c r="G539" t="n">
        <v>2.9</v>
      </c>
      <c r="H539" t="n">
        <v>0</v>
      </c>
      <c r="I539" t="n">
        <v>0</v>
      </c>
      <c r="J539" t="n">
        <v>0</v>
      </c>
      <c r="K539" t="n">
        <v>0</v>
      </c>
      <c r="L539" t="n">
        <v>0</v>
      </c>
      <c r="M539" t="n">
        <v>0</v>
      </c>
      <c r="N539" t="n">
        <v>0</v>
      </c>
      <c r="O539" t="n">
        <v>0</v>
      </c>
      <c r="P539" t="n">
        <v>0</v>
      </c>
      <c r="Q539" t="n">
        <v>0</v>
      </c>
      <c r="R539" s="2" t="inlineStr"/>
    </row>
    <row r="540" ht="15" customHeight="1">
      <c r="A540" t="inlineStr">
        <is>
          <t>A 61233-2025</t>
        </is>
      </c>
      <c r="B540" s="1" t="n">
        <v>46000.6359837963</v>
      </c>
      <c r="C540" s="1" t="n">
        <v>46092</v>
      </c>
      <c r="D540" t="inlineStr">
        <is>
          <t>JÄMTLANDS LÄN</t>
        </is>
      </c>
      <c r="E540" t="inlineStr">
        <is>
          <t>RAGUNDA</t>
        </is>
      </c>
      <c r="F540" t="inlineStr">
        <is>
          <t>SCA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66471-2021</t>
        </is>
      </c>
      <c r="B541" s="1" t="n">
        <v>44518</v>
      </c>
      <c r="C541" s="1" t="n">
        <v>46092</v>
      </c>
      <c r="D541" t="inlineStr">
        <is>
          <t>JÄMTLANDS LÄN</t>
        </is>
      </c>
      <c r="E541" t="inlineStr">
        <is>
          <t>RAGUNDA</t>
        </is>
      </c>
      <c r="G541" t="n">
        <v>13.4</v>
      </c>
      <c r="H541" t="n">
        <v>0</v>
      </c>
      <c r="I541" t="n">
        <v>0</v>
      </c>
      <c r="J541" t="n">
        <v>0</v>
      </c>
      <c r="K541" t="n">
        <v>0</v>
      </c>
      <c r="L541" t="n">
        <v>0</v>
      </c>
      <c r="M541" t="n">
        <v>0</v>
      </c>
      <c r="N541" t="n">
        <v>0</v>
      </c>
      <c r="O541" t="n">
        <v>0</v>
      </c>
      <c r="P541" t="n">
        <v>0</v>
      </c>
      <c r="Q541" t="n">
        <v>0</v>
      </c>
      <c r="R541" s="2" t="inlineStr"/>
    </row>
    <row r="542" ht="15" customHeight="1">
      <c r="A542" t="inlineStr">
        <is>
          <t>A 18778-2024</t>
        </is>
      </c>
      <c r="B542" s="1" t="n">
        <v>45426</v>
      </c>
      <c r="C542" s="1" t="n">
        <v>46092</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59556-2024</t>
        </is>
      </c>
      <c r="B543" s="1" t="n">
        <v>45638.63600694444</v>
      </c>
      <c r="C543" s="1" t="n">
        <v>46092</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41424-2025</t>
        </is>
      </c>
      <c r="B544" s="1" t="n">
        <v>45901.38584490741</v>
      </c>
      <c r="C544" s="1" t="n">
        <v>46092</v>
      </c>
      <c r="D544" t="inlineStr">
        <is>
          <t>JÄMTLANDS LÄN</t>
        </is>
      </c>
      <c r="E544" t="inlineStr">
        <is>
          <t>RAGUNDA</t>
        </is>
      </c>
      <c r="G544" t="n">
        <v>3</v>
      </c>
      <c r="H544" t="n">
        <v>0</v>
      </c>
      <c r="I544" t="n">
        <v>0</v>
      </c>
      <c r="J544" t="n">
        <v>0</v>
      </c>
      <c r="K544" t="n">
        <v>0</v>
      </c>
      <c r="L544" t="n">
        <v>0</v>
      </c>
      <c r="M544" t="n">
        <v>0</v>
      </c>
      <c r="N544" t="n">
        <v>0</v>
      </c>
      <c r="O544" t="n">
        <v>0</v>
      </c>
      <c r="P544" t="n">
        <v>0</v>
      </c>
      <c r="Q544" t="n">
        <v>0</v>
      </c>
      <c r="R544" s="2" t="inlineStr"/>
    </row>
    <row r="545" ht="15" customHeight="1">
      <c r="A545" t="inlineStr">
        <is>
          <t>A 61509-2025</t>
        </is>
      </c>
      <c r="B545" s="1" t="n">
        <v>46001.68189814815</v>
      </c>
      <c r="C545" s="1" t="n">
        <v>46092</v>
      </c>
      <c r="D545" t="inlineStr">
        <is>
          <t>JÄMTLANDS LÄN</t>
        </is>
      </c>
      <c r="E545" t="inlineStr">
        <is>
          <t>RAGUNDA</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23405-2025</t>
        </is>
      </c>
      <c r="B546" s="1" t="n">
        <v>45792.34527777778</v>
      </c>
      <c r="C546" s="1" t="n">
        <v>46092</v>
      </c>
      <c r="D546" t="inlineStr">
        <is>
          <t>JÄMTLANDS LÄN</t>
        </is>
      </c>
      <c r="E546" t="inlineStr">
        <is>
          <t>RAGUNDA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41140-2025</t>
        </is>
      </c>
      <c r="B547" s="1" t="n">
        <v>45898.49012731481</v>
      </c>
      <c r="C547" s="1" t="n">
        <v>46092</v>
      </c>
      <c r="D547" t="inlineStr">
        <is>
          <t>JÄMTLANDS LÄN</t>
        </is>
      </c>
      <c r="E547" t="inlineStr">
        <is>
          <t>RAGUNDA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41422-2025</t>
        </is>
      </c>
      <c r="B548" s="1" t="n">
        <v>45901.38572916666</v>
      </c>
      <c r="C548" s="1" t="n">
        <v>46092</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41876-2025</t>
        </is>
      </c>
      <c r="B549" s="1" t="n">
        <v>45903.34555555556</v>
      </c>
      <c r="C549" s="1" t="n">
        <v>46092</v>
      </c>
      <c r="D549" t="inlineStr">
        <is>
          <t>JÄMTLANDS LÄN</t>
        </is>
      </c>
      <c r="E549" t="inlineStr">
        <is>
          <t>RAGUNDA</t>
        </is>
      </c>
      <c r="G549" t="n">
        <v>2</v>
      </c>
      <c r="H549" t="n">
        <v>0</v>
      </c>
      <c r="I549" t="n">
        <v>0</v>
      </c>
      <c r="J549" t="n">
        <v>0</v>
      </c>
      <c r="K549" t="n">
        <v>0</v>
      </c>
      <c r="L549" t="n">
        <v>0</v>
      </c>
      <c r="M549" t="n">
        <v>0</v>
      </c>
      <c r="N549" t="n">
        <v>0</v>
      </c>
      <c r="O549" t="n">
        <v>0</v>
      </c>
      <c r="P549" t="n">
        <v>0</v>
      </c>
      <c r="Q549" t="n">
        <v>0</v>
      </c>
      <c r="R549" s="2" t="inlineStr"/>
    </row>
    <row r="550" ht="15" customHeight="1">
      <c r="A550" t="inlineStr">
        <is>
          <t>A 61266-2025</t>
        </is>
      </c>
      <c r="B550" s="1" t="n">
        <v>46000.67784722222</v>
      </c>
      <c r="C550" s="1" t="n">
        <v>46092</v>
      </c>
      <c r="D550" t="inlineStr">
        <is>
          <t>JÄMTLANDS LÄN</t>
        </is>
      </c>
      <c r="E550" t="inlineStr">
        <is>
          <t>RAGUNDA</t>
        </is>
      </c>
      <c r="G550" t="n">
        <v>7.9</v>
      </c>
      <c r="H550" t="n">
        <v>0</v>
      </c>
      <c r="I550" t="n">
        <v>0</v>
      </c>
      <c r="J550" t="n">
        <v>0</v>
      </c>
      <c r="K550" t="n">
        <v>0</v>
      </c>
      <c r="L550" t="n">
        <v>0</v>
      </c>
      <c r="M550" t="n">
        <v>0</v>
      </c>
      <c r="N550" t="n">
        <v>0</v>
      </c>
      <c r="O550" t="n">
        <v>0</v>
      </c>
      <c r="P550" t="n">
        <v>0</v>
      </c>
      <c r="Q550" t="n">
        <v>0</v>
      </c>
      <c r="R550" s="2" t="inlineStr"/>
    </row>
    <row r="551" ht="15" customHeight="1">
      <c r="A551" t="inlineStr">
        <is>
          <t>A 18284-2025</t>
        </is>
      </c>
      <c r="B551" s="1" t="n">
        <v>45762.39876157408</v>
      </c>
      <c r="C551" s="1" t="n">
        <v>46092</v>
      </c>
      <c r="D551" t="inlineStr">
        <is>
          <t>JÄMTLANDS LÄN</t>
        </is>
      </c>
      <c r="E551" t="inlineStr">
        <is>
          <t>RAGUNDA</t>
        </is>
      </c>
      <c r="G551" t="n">
        <v>0.2</v>
      </c>
      <c r="H551" t="n">
        <v>0</v>
      </c>
      <c r="I551" t="n">
        <v>0</v>
      </c>
      <c r="J551" t="n">
        <v>0</v>
      </c>
      <c r="K551" t="n">
        <v>0</v>
      </c>
      <c r="L551" t="n">
        <v>0</v>
      </c>
      <c r="M551" t="n">
        <v>0</v>
      </c>
      <c r="N551" t="n">
        <v>0</v>
      </c>
      <c r="O551" t="n">
        <v>0</v>
      </c>
      <c r="P551" t="n">
        <v>0</v>
      </c>
      <c r="Q551" t="n">
        <v>0</v>
      </c>
      <c r="R551" s="2" t="inlineStr"/>
      <c r="U551">
        <f>HYPERLINK("https://klasma.github.io/Logging_2303/knärot/A 18284-2025 karta knärot.png", "A 18284-2025")</f>
        <v/>
      </c>
      <c r="V551">
        <f>HYPERLINK("https://klasma.github.io/Logging_2303/klagomål/A 18284-2025 FSC-klagomål.docx", "A 18284-2025")</f>
        <v/>
      </c>
      <c r="W551">
        <f>HYPERLINK("https://klasma.github.io/Logging_2303/klagomålsmail/A 18284-2025 FSC-klagomål mail.docx", "A 18284-2025")</f>
        <v/>
      </c>
      <c r="X551">
        <f>HYPERLINK("https://klasma.github.io/Logging_2303/tillsyn/A 18284-2025 tillsynsbegäran.docx", "A 18284-2025")</f>
        <v/>
      </c>
      <c r="Y551">
        <f>HYPERLINK("https://klasma.github.io/Logging_2303/tillsynsmail/A 18284-2025 tillsynsbegäran mail.docx", "A 18284-2025")</f>
        <v/>
      </c>
    </row>
    <row r="552" ht="15" customHeight="1">
      <c r="A552" t="inlineStr">
        <is>
          <t>A 19263-2025</t>
        </is>
      </c>
      <c r="B552" s="1" t="n">
        <v>45769.51075231482</v>
      </c>
      <c r="C552" s="1" t="n">
        <v>46092</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24158-2025</t>
        </is>
      </c>
      <c r="B553" s="1" t="n">
        <v>45796</v>
      </c>
      <c r="C553" s="1" t="n">
        <v>46092</v>
      </c>
      <c r="D553" t="inlineStr">
        <is>
          <t>JÄMTLANDS LÄN</t>
        </is>
      </c>
      <c r="E553" t="inlineStr">
        <is>
          <t>RAGUNDA</t>
        </is>
      </c>
      <c r="G553" t="n">
        <v>2.9</v>
      </c>
      <c r="H553" t="n">
        <v>0</v>
      </c>
      <c r="I553" t="n">
        <v>0</v>
      </c>
      <c r="J553" t="n">
        <v>0</v>
      </c>
      <c r="K553" t="n">
        <v>0</v>
      </c>
      <c r="L553" t="n">
        <v>0</v>
      </c>
      <c r="M553" t="n">
        <v>0</v>
      </c>
      <c r="N553" t="n">
        <v>0</v>
      </c>
      <c r="O553" t="n">
        <v>0</v>
      </c>
      <c r="P553" t="n">
        <v>0</v>
      </c>
      <c r="Q553" t="n">
        <v>0</v>
      </c>
      <c r="R553" s="2" t="inlineStr"/>
      <c r="U553">
        <f>HYPERLINK("https://klasma.github.io/Logging_2303/knärot/A 24158-2025 karta knärot.png", "A 24158-2025")</f>
        <v/>
      </c>
      <c r="V553">
        <f>HYPERLINK("https://klasma.github.io/Logging_2303/klagomål/A 24158-2025 FSC-klagomål.docx", "A 24158-2025")</f>
        <v/>
      </c>
      <c r="W553">
        <f>HYPERLINK("https://klasma.github.io/Logging_2303/klagomålsmail/A 24158-2025 FSC-klagomål mail.docx", "A 24158-2025")</f>
        <v/>
      </c>
      <c r="X553">
        <f>HYPERLINK("https://klasma.github.io/Logging_2303/tillsyn/A 24158-2025 tillsynsbegäran.docx", "A 24158-2025")</f>
        <v/>
      </c>
      <c r="Y553">
        <f>HYPERLINK("https://klasma.github.io/Logging_2303/tillsynsmail/A 24158-2025 tillsynsbegäran mail.docx", "A 24158-2025")</f>
        <v/>
      </c>
    </row>
    <row r="554" ht="15" customHeight="1">
      <c r="A554" t="inlineStr">
        <is>
          <t>A 24161-2025</t>
        </is>
      </c>
      <c r="B554" s="1" t="n">
        <v>45796</v>
      </c>
      <c r="C554" s="1" t="n">
        <v>46092</v>
      </c>
      <c r="D554" t="inlineStr">
        <is>
          <t>JÄMTLANDS LÄN</t>
        </is>
      </c>
      <c r="E554" t="inlineStr">
        <is>
          <t>RAGUNDA</t>
        </is>
      </c>
      <c r="G554" t="n">
        <v>2.4</v>
      </c>
      <c r="H554" t="n">
        <v>0</v>
      </c>
      <c r="I554" t="n">
        <v>0</v>
      </c>
      <c r="J554" t="n">
        <v>0</v>
      </c>
      <c r="K554" t="n">
        <v>0</v>
      </c>
      <c r="L554" t="n">
        <v>0</v>
      </c>
      <c r="M554" t="n">
        <v>0</v>
      </c>
      <c r="N554" t="n">
        <v>0</v>
      </c>
      <c r="O554" t="n">
        <v>0</v>
      </c>
      <c r="P554" t="n">
        <v>0</v>
      </c>
      <c r="Q554" t="n">
        <v>0</v>
      </c>
      <c r="R554" s="2" t="inlineStr"/>
    </row>
    <row r="555" ht="15" customHeight="1">
      <c r="A555" t="inlineStr">
        <is>
          <t>A 41656-2025</t>
        </is>
      </c>
      <c r="B555" s="1" t="n">
        <v>45902.34423611111</v>
      </c>
      <c r="C555" s="1" t="n">
        <v>46092</v>
      </c>
      <c r="D555" t="inlineStr">
        <is>
          <t>JÄMTLANDS LÄN</t>
        </is>
      </c>
      <c r="E555" t="inlineStr">
        <is>
          <t>RAGUNDA</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24159-2025</t>
        </is>
      </c>
      <c r="B556" s="1" t="n">
        <v>45796</v>
      </c>
      <c r="C556" s="1" t="n">
        <v>46092</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24391-2025</t>
        </is>
      </c>
      <c r="B557" s="1" t="n">
        <v>45797.63627314815</v>
      </c>
      <c r="C557" s="1" t="n">
        <v>46092</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16529-2022</t>
        </is>
      </c>
      <c r="B558" s="1" t="n">
        <v>44671</v>
      </c>
      <c r="C558" s="1" t="n">
        <v>46092</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61755-2025</t>
        </is>
      </c>
      <c r="B559" s="1" t="n">
        <v>46002</v>
      </c>
      <c r="C559" s="1" t="n">
        <v>46092</v>
      </c>
      <c r="D559" t="inlineStr">
        <is>
          <t>JÄMTLANDS LÄN</t>
        </is>
      </c>
      <c r="E559" t="inlineStr">
        <is>
          <t>RAGUNDA</t>
        </is>
      </c>
      <c r="G559" t="n">
        <v>0.9</v>
      </c>
      <c r="H559" t="n">
        <v>0</v>
      </c>
      <c r="I559" t="n">
        <v>0</v>
      </c>
      <c r="J559" t="n">
        <v>0</v>
      </c>
      <c r="K559" t="n">
        <v>0</v>
      </c>
      <c r="L559" t="n">
        <v>0</v>
      </c>
      <c r="M559" t="n">
        <v>0</v>
      </c>
      <c r="N559" t="n">
        <v>0</v>
      </c>
      <c r="O559" t="n">
        <v>0</v>
      </c>
      <c r="P559" t="n">
        <v>0</v>
      </c>
      <c r="Q559" t="n">
        <v>0</v>
      </c>
      <c r="R559" s="2" t="inlineStr"/>
    </row>
    <row r="560" ht="15" customHeight="1">
      <c r="A560" t="inlineStr">
        <is>
          <t>A 62407-2023</t>
        </is>
      </c>
      <c r="B560" s="1" t="n">
        <v>45266</v>
      </c>
      <c r="C560" s="1" t="n">
        <v>46092</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21524-2024</t>
        </is>
      </c>
      <c r="B561" s="1" t="n">
        <v>45441</v>
      </c>
      <c r="C561" s="1" t="n">
        <v>46092</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61934-2022</t>
        </is>
      </c>
      <c r="B562" s="1" t="n">
        <v>44917</v>
      </c>
      <c r="C562" s="1" t="n">
        <v>46092</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38191-2024</t>
        </is>
      </c>
      <c r="B563" s="1" t="n">
        <v>45545.49078703704</v>
      </c>
      <c r="C563" s="1" t="n">
        <v>46092</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8678-2023</t>
        </is>
      </c>
      <c r="B564" s="1" t="n">
        <v>44977.98660879629</v>
      </c>
      <c r="C564" s="1" t="n">
        <v>46092</v>
      </c>
      <c r="D564" t="inlineStr">
        <is>
          <t>JÄMTLANDS LÄN</t>
        </is>
      </c>
      <c r="E564" t="inlineStr">
        <is>
          <t>RAGUNDA</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3841-2026</t>
        </is>
      </c>
      <c r="B565" s="1" t="n">
        <v>46043</v>
      </c>
      <c r="C565" s="1" t="n">
        <v>46092</v>
      </c>
      <c r="D565" t="inlineStr">
        <is>
          <t>JÄMTLANDS LÄN</t>
        </is>
      </c>
      <c r="E565" t="inlineStr">
        <is>
          <t>RAGUNDA</t>
        </is>
      </c>
      <c r="F565" t="inlineStr">
        <is>
          <t>Kommuner</t>
        </is>
      </c>
      <c r="G565" t="n">
        <v>0.6</v>
      </c>
      <c r="H565" t="n">
        <v>0</v>
      </c>
      <c r="I565" t="n">
        <v>0</v>
      </c>
      <c r="J565" t="n">
        <v>0</v>
      </c>
      <c r="K565" t="n">
        <v>0</v>
      </c>
      <c r="L565" t="n">
        <v>0</v>
      </c>
      <c r="M565" t="n">
        <v>0</v>
      </c>
      <c r="N565" t="n">
        <v>0</v>
      </c>
      <c r="O565" t="n">
        <v>0</v>
      </c>
      <c r="P565" t="n">
        <v>0</v>
      </c>
      <c r="Q565" t="n">
        <v>0</v>
      </c>
      <c r="R565" s="2" t="inlineStr"/>
    </row>
    <row r="566" ht="15" customHeight="1">
      <c r="A566" t="inlineStr">
        <is>
          <t>A 61697-2025</t>
        </is>
      </c>
      <c r="B566" s="1" t="n">
        <v>46002</v>
      </c>
      <c r="C566" s="1" t="n">
        <v>46092</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28742-2023</t>
        </is>
      </c>
      <c r="B567" s="1" t="n">
        <v>45103</v>
      </c>
      <c r="C567" s="1" t="n">
        <v>46092</v>
      </c>
      <c r="D567" t="inlineStr">
        <is>
          <t>JÄMTLANDS LÄN</t>
        </is>
      </c>
      <c r="E567" t="inlineStr">
        <is>
          <t>RAGUNDA</t>
        </is>
      </c>
      <c r="G567" t="n">
        <v>1.8</v>
      </c>
      <c r="H567" t="n">
        <v>0</v>
      </c>
      <c r="I567" t="n">
        <v>0</v>
      </c>
      <c r="J567" t="n">
        <v>0</v>
      </c>
      <c r="K567" t="n">
        <v>0</v>
      </c>
      <c r="L567" t="n">
        <v>0</v>
      </c>
      <c r="M567" t="n">
        <v>0</v>
      </c>
      <c r="N567" t="n">
        <v>0</v>
      </c>
      <c r="O567" t="n">
        <v>0</v>
      </c>
      <c r="P567" t="n">
        <v>0</v>
      </c>
      <c r="Q567" t="n">
        <v>0</v>
      </c>
      <c r="R567" s="2" t="inlineStr"/>
    </row>
    <row r="568" ht="15" customHeight="1">
      <c r="A568" t="inlineStr">
        <is>
          <t>A 17323-2025</t>
        </is>
      </c>
      <c r="B568" s="1" t="n">
        <v>45756.63601851852</v>
      </c>
      <c r="C568" s="1" t="n">
        <v>46092</v>
      </c>
      <c r="D568" t="inlineStr">
        <is>
          <t>JÄMTLANDS LÄN</t>
        </is>
      </c>
      <c r="E568" t="inlineStr">
        <is>
          <t>RAGUNDA</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62490-2025</t>
        </is>
      </c>
      <c r="B569" s="1" t="n">
        <v>46007.5697337963</v>
      </c>
      <c r="C569" s="1" t="n">
        <v>46092</v>
      </c>
      <c r="D569" t="inlineStr">
        <is>
          <t>JÄMTLANDS LÄN</t>
        </is>
      </c>
      <c r="E569" t="inlineStr">
        <is>
          <t>RAGUNDA</t>
        </is>
      </c>
      <c r="F569" t="inlineStr">
        <is>
          <t>Kommuner</t>
        </is>
      </c>
      <c r="G569" t="n">
        <v>0.8</v>
      </c>
      <c r="H569" t="n">
        <v>0</v>
      </c>
      <c r="I569" t="n">
        <v>0</v>
      </c>
      <c r="J569" t="n">
        <v>0</v>
      </c>
      <c r="K569" t="n">
        <v>0</v>
      </c>
      <c r="L569" t="n">
        <v>0</v>
      </c>
      <c r="M569" t="n">
        <v>0</v>
      </c>
      <c r="N569" t="n">
        <v>0</v>
      </c>
      <c r="O569" t="n">
        <v>0</v>
      </c>
      <c r="P569" t="n">
        <v>0</v>
      </c>
      <c r="Q569" t="n">
        <v>0</v>
      </c>
      <c r="R569" s="2" t="inlineStr"/>
    </row>
    <row r="570" ht="15" customHeight="1">
      <c r="A570" t="inlineStr">
        <is>
          <t>A 42269-2025</t>
        </is>
      </c>
      <c r="B570" s="1" t="n">
        <v>45904.60431712963</v>
      </c>
      <c r="C570" s="1" t="n">
        <v>46092</v>
      </c>
      <c r="D570" t="inlineStr">
        <is>
          <t>JÄMTLANDS LÄN</t>
        </is>
      </c>
      <c r="E570" t="inlineStr">
        <is>
          <t>RAGUNDA</t>
        </is>
      </c>
      <c r="G570" t="n">
        <v>4.3</v>
      </c>
      <c r="H570" t="n">
        <v>0</v>
      </c>
      <c r="I570" t="n">
        <v>0</v>
      </c>
      <c r="J570" t="n">
        <v>0</v>
      </c>
      <c r="K570" t="n">
        <v>0</v>
      </c>
      <c r="L570" t="n">
        <v>0</v>
      </c>
      <c r="M570" t="n">
        <v>0</v>
      </c>
      <c r="N570" t="n">
        <v>0</v>
      </c>
      <c r="O570" t="n">
        <v>0</v>
      </c>
      <c r="P570" t="n">
        <v>0</v>
      </c>
      <c r="Q570" t="n">
        <v>0</v>
      </c>
      <c r="R570" s="2" t="inlineStr"/>
    </row>
    <row r="571" ht="15" customHeight="1">
      <c r="A571" t="inlineStr">
        <is>
          <t>A 16364-2023</t>
        </is>
      </c>
      <c r="B571" s="1" t="n">
        <v>45028</v>
      </c>
      <c r="C571" s="1" t="n">
        <v>46092</v>
      </c>
      <c r="D571" t="inlineStr">
        <is>
          <t>JÄMTLANDS LÄN</t>
        </is>
      </c>
      <c r="E571" t="inlineStr">
        <is>
          <t>RAGUNDA</t>
        </is>
      </c>
      <c r="G571" t="n">
        <v>0.5</v>
      </c>
      <c r="H571" t="n">
        <v>0</v>
      </c>
      <c r="I571" t="n">
        <v>0</v>
      </c>
      <c r="J571" t="n">
        <v>0</v>
      </c>
      <c r="K571" t="n">
        <v>0</v>
      </c>
      <c r="L571" t="n">
        <v>0</v>
      </c>
      <c r="M571" t="n">
        <v>0</v>
      </c>
      <c r="N571" t="n">
        <v>0</v>
      </c>
      <c r="O571" t="n">
        <v>0</v>
      </c>
      <c r="P571" t="n">
        <v>0</v>
      </c>
      <c r="Q571" t="n">
        <v>0</v>
      </c>
      <c r="R571" s="2" t="inlineStr"/>
    </row>
    <row r="572" ht="15" customHeight="1">
      <c r="A572" t="inlineStr">
        <is>
          <t>A 62436-2025</t>
        </is>
      </c>
      <c r="B572" s="1" t="n">
        <v>46007</v>
      </c>
      <c r="C572" s="1" t="n">
        <v>46092</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59136-2023</t>
        </is>
      </c>
      <c r="B573" s="1" t="n">
        <v>45251</v>
      </c>
      <c r="C573" s="1" t="n">
        <v>46092</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62432-2025</t>
        </is>
      </c>
      <c r="B574" s="1" t="n">
        <v>46007</v>
      </c>
      <c r="C574" s="1" t="n">
        <v>46092</v>
      </c>
      <c r="D574" t="inlineStr">
        <is>
          <t>JÄMTLANDS LÄN</t>
        </is>
      </c>
      <c r="E574" t="inlineStr">
        <is>
          <t>RAGUNDA</t>
        </is>
      </c>
      <c r="G574" t="n">
        <v>4.7</v>
      </c>
      <c r="H574" t="n">
        <v>0</v>
      </c>
      <c r="I574" t="n">
        <v>0</v>
      </c>
      <c r="J574" t="n">
        <v>0</v>
      </c>
      <c r="K574" t="n">
        <v>0</v>
      </c>
      <c r="L574" t="n">
        <v>0</v>
      </c>
      <c r="M574" t="n">
        <v>0</v>
      </c>
      <c r="N574" t="n">
        <v>0</v>
      </c>
      <c r="O574" t="n">
        <v>0</v>
      </c>
      <c r="P574" t="n">
        <v>0</v>
      </c>
      <c r="Q574" t="n">
        <v>0</v>
      </c>
      <c r="R574" s="2" t="inlineStr"/>
    </row>
    <row r="575" ht="15" customHeight="1">
      <c r="A575" t="inlineStr">
        <is>
          <t>A 25631-2025</t>
        </is>
      </c>
      <c r="B575" s="1" t="n">
        <v>45803.5946875</v>
      </c>
      <c r="C575" s="1" t="n">
        <v>46092</v>
      </c>
      <c r="D575" t="inlineStr">
        <is>
          <t>JÄMTLANDS LÄN</t>
        </is>
      </c>
      <c r="E575" t="inlineStr">
        <is>
          <t>RAGUNDA</t>
        </is>
      </c>
      <c r="G575" t="n">
        <v>1.1</v>
      </c>
      <c r="H575" t="n">
        <v>0</v>
      </c>
      <c r="I575" t="n">
        <v>0</v>
      </c>
      <c r="J575" t="n">
        <v>0</v>
      </c>
      <c r="K575" t="n">
        <v>0</v>
      </c>
      <c r="L575" t="n">
        <v>0</v>
      </c>
      <c r="M575" t="n">
        <v>0</v>
      </c>
      <c r="N575" t="n">
        <v>0</v>
      </c>
      <c r="O575" t="n">
        <v>0</v>
      </c>
      <c r="P575" t="n">
        <v>0</v>
      </c>
      <c r="Q575" t="n">
        <v>0</v>
      </c>
      <c r="R575" s="2" t="inlineStr"/>
    </row>
    <row r="576" ht="15" customHeight="1">
      <c r="A576" t="inlineStr">
        <is>
          <t>A 62467-2025</t>
        </is>
      </c>
      <c r="B576" s="1" t="n">
        <v>46007.5108912037</v>
      </c>
      <c r="C576" s="1" t="n">
        <v>46092</v>
      </c>
      <c r="D576" t="inlineStr">
        <is>
          <t>JÄMTLANDS LÄN</t>
        </is>
      </c>
      <c r="E576" t="inlineStr">
        <is>
          <t>RAGUNDA</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63057-2025</t>
        </is>
      </c>
      <c r="B577" s="1" t="n">
        <v>46009.63837962963</v>
      </c>
      <c r="C577" s="1" t="n">
        <v>46092</v>
      </c>
      <c r="D577" t="inlineStr">
        <is>
          <t>JÄMTLANDS LÄN</t>
        </is>
      </c>
      <c r="E577" t="inlineStr">
        <is>
          <t>RAGUNDA</t>
        </is>
      </c>
      <c r="G577" t="n">
        <v>13.7</v>
      </c>
      <c r="H577" t="n">
        <v>0</v>
      </c>
      <c r="I577" t="n">
        <v>0</v>
      </c>
      <c r="J577" t="n">
        <v>0</v>
      </c>
      <c r="K577" t="n">
        <v>0</v>
      </c>
      <c r="L577" t="n">
        <v>0</v>
      </c>
      <c r="M577" t="n">
        <v>0</v>
      </c>
      <c r="N577" t="n">
        <v>0</v>
      </c>
      <c r="O577" t="n">
        <v>0</v>
      </c>
      <c r="P577" t="n">
        <v>0</v>
      </c>
      <c r="Q577" t="n">
        <v>0</v>
      </c>
      <c r="R577" s="2" t="inlineStr"/>
    </row>
    <row r="578" ht="15" customHeight="1">
      <c r="A578" t="inlineStr">
        <is>
          <t>A 49659-2023</t>
        </is>
      </c>
      <c r="B578" s="1" t="n">
        <v>45211.95134259259</v>
      </c>
      <c r="C578" s="1" t="n">
        <v>46092</v>
      </c>
      <c r="D578" t="inlineStr">
        <is>
          <t>JÄMTLANDS LÄN</t>
        </is>
      </c>
      <c r="E578" t="inlineStr">
        <is>
          <t>RAGUNDA</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5359-2026</t>
        </is>
      </c>
      <c r="B579" s="1" t="n">
        <v>46050.4484837963</v>
      </c>
      <c r="C579" s="1" t="n">
        <v>46092</v>
      </c>
      <c r="D579" t="inlineStr">
        <is>
          <t>JÄMTLANDS LÄN</t>
        </is>
      </c>
      <c r="E579" t="inlineStr">
        <is>
          <t>RAGUNDA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62691-2025</t>
        </is>
      </c>
      <c r="B580" s="1" t="n">
        <v>46008.4759837963</v>
      </c>
      <c r="C580" s="1" t="n">
        <v>46092</v>
      </c>
      <c r="D580" t="inlineStr">
        <is>
          <t>JÄMTLANDS LÄN</t>
        </is>
      </c>
      <c r="E580" t="inlineStr">
        <is>
          <t>RAGUNDA</t>
        </is>
      </c>
      <c r="G580" t="n">
        <v>2.6</v>
      </c>
      <c r="H580" t="n">
        <v>0</v>
      </c>
      <c r="I580" t="n">
        <v>0</v>
      </c>
      <c r="J580" t="n">
        <v>0</v>
      </c>
      <c r="K580" t="n">
        <v>0</v>
      </c>
      <c r="L580" t="n">
        <v>0</v>
      </c>
      <c r="M580" t="n">
        <v>0</v>
      </c>
      <c r="N580" t="n">
        <v>0</v>
      </c>
      <c r="O580" t="n">
        <v>0</v>
      </c>
      <c r="P580" t="n">
        <v>0</v>
      </c>
      <c r="Q580" t="n">
        <v>0</v>
      </c>
      <c r="R580" s="2" t="inlineStr"/>
    </row>
    <row r="581" ht="15" customHeight="1">
      <c r="A581" t="inlineStr">
        <is>
          <t>A 33763-2025</t>
        </is>
      </c>
      <c r="B581" s="1" t="n">
        <v>45842.38579861111</v>
      </c>
      <c r="C581" s="1" t="n">
        <v>46092</v>
      </c>
      <c r="D581" t="inlineStr">
        <is>
          <t>JÄMTLANDS LÄN</t>
        </is>
      </c>
      <c r="E581" t="inlineStr">
        <is>
          <t>RAGUNDA</t>
        </is>
      </c>
      <c r="F581" t="inlineStr">
        <is>
          <t>SCA</t>
        </is>
      </c>
      <c r="G581" t="n">
        <v>13.4</v>
      </c>
      <c r="H581" t="n">
        <v>0</v>
      </c>
      <c r="I581" t="n">
        <v>0</v>
      </c>
      <c r="J581" t="n">
        <v>0</v>
      </c>
      <c r="K581" t="n">
        <v>0</v>
      </c>
      <c r="L581" t="n">
        <v>0</v>
      </c>
      <c r="M581" t="n">
        <v>0</v>
      </c>
      <c r="N581" t="n">
        <v>0</v>
      </c>
      <c r="O581" t="n">
        <v>0</v>
      </c>
      <c r="P581" t="n">
        <v>0</v>
      </c>
      <c r="Q581" t="n">
        <v>0</v>
      </c>
      <c r="R581" s="2" t="inlineStr"/>
    </row>
    <row r="582" ht="15" customHeight="1">
      <c r="A582" t="inlineStr">
        <is>
          <t>A 62927-2025</t>
        </is>
      </c>
      <c r="B582" s="1" t="n">
        <v>46009.38609953703</v>
      </c>
      <c r="C582" s="1" t="n">
        <v>46092</v>
      </c>
      <c r="D582" t="inlineStr">
        <is>
          <t>JÄMTLANDS LÄN</t>
        </is>
      </c>
      <c r="E582" t="inlineStr">
        <is>
          <t>RAGUNDA</t>
        </is>
      </c>
      <c r="G582" t="n">
        <v>6.3</v>
      </c>
      <c r="H582" t="n">
        <v>0</v>
      </c>
      <c r="I582" t="n">
        <v>0</v>
      </c>
      <c r="J582" t="n">
        <v>0</v>
      </c>
      <c r="K582" t="n">
        <v>0</v>
      </c>
      <c r="L582" t="n">
        <v>0</v>
      </c>
      <c r="M582" t="n">
        <v>0</v>
      </c>
      <c r="N582" t="n">
        <v>0</v>
      </c>
      <c r="O582" t="n">
        <v>0</v>
      </c>
      <c r="P582" t="n">
        <v>0</v>
      </c>
      <c r="Q582" t="n">
        <v>0</v>
      </c>
      <c r="R582" s="2" t="inlineStr"/>
      <c r="U582">
        <f>HYPERLINK("https://klasma.github.io/Logging_2303/knärot/A 62927-2025 karta knärot.png", "A 62927-2025")</f>
        <v/>
      </c>
      <c r="V582">
        <f>HYPERLINK("https://klasma.github.io/Logging_2303/klagomål/A 62927-2025 FSC-klagomål.docx", "A 62927-2025")</f>
        <v/>
      </c>
      <c r="W582">
        <f>HYPERLINK("https://klasma.github.io/Logging_2303/klagomålsmail/A 62927-2025 FSC-klagomål mail.docx", "A 62927-2025")</f>
        <v/>
      </c>
      <c r="X582">
        <f>HYPERLINK("https://klasma.github.io/Logging_2303/tillsyn/A 62927-2025 tillsynsbegäran.docx", "A 62927-2025")</f>
        <v/>
      </c>
      <c r="Y582">
        <f>HYPERLINK("https://klasma.github.io/Logging_2303/tillsynsmail/A 62927-2025 tillsynsbegäran mail.docx", "A 62927-2025")</f>
        <v/>
      </c>
    </row>
    <row r="583" ht="15" customHeight="1">
      <c r="A583" t="inlineStr">
        <is>
          <t>A 50521-2024</t>
        </is>
      </c>
      <c r="B583" s="1" t="n">
        <v>45601.55331018518</v>
      </c>
      <c r="C583" s="1" t="n">
        <v>46092</v>
      </c>
      <c r="D583" t="inlineStr">
        <is>
          <t>JÄMTLANDS LÄN</t>
        </is>
      </c>
      <c r="E583" t="inlineStr">
        <is>
          <t>RAGUNDA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4916-2025</t>
        </is>
      </c>
      <c r="B584" s="1" t="n">
        <v>45688.68196759259</v>
      </c>
      <c r="C584" s="1" t="n">
        <v>46092</v>
      </c>
      <c r="D584" t="inlineStr">
        <is>
          <t>JÄMTLANDS LÄN</t>
        </is>
      </c>
      <c r="E584" t="inlineStr">
        <is>
          <t>RAGUNDA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62638-2025</t>
        </is>
      </c>
      <c r="B585" s="1" t="n">
        <v>46008.36564814814</v>
      </c>
      <c r="C585" s="1" t="n">
        <v>46092</v>
      </c>
      <c r="D585" t="inlineStr">
        <is>
          <t>JÄMTLANDS LÄN</t>
        </is>
      </c>
      <c r="E585" t="inlineStr">
        <is>
          <t>RAGUNDA</t>
        </is>
      </c>
      <c r="G585" t="n">
        <v>0.9</v>
      </c>
      <c r="H585" t="n">
        <v>0</v>
      </c>
      <c r="I585" t="n">
        <v>0</v>
      </c>
      <c r="J585" t="n">
        <v>0</v>
      </c>
      <c r="K585" t="n">
        <v>0</v>
      </c>
      <c r="L585" t="n">
        <v>0</v>
      </c>
      <c r="M585" t="n">
        <v>0</v>
      </c>
      <c r="N585" t="n">
        <v>0</v>
      </c>
      <c r="O585" t="n">
        <v>0</v>
      </c>
      <c r="P585" t="n">
        <v>0</v>
      </c>
      <c r="Q585" t="n">
        <v>0</v>
      </c>
      <c r="R585" s="2" t="inlineStr"/>
    </row>
    <row r="586" ht="15" customHeight="1">
      <c r="A586" t="inlineStr">
        <is>
          <t>A 59557-2023</t>
        </is>
      </c>
      <c r="B586" s="1" t="n">
        <v>45253</v>
      </c>
      <c r="C586" s="1" t="n">
        <v>46092</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63060-2025</t>
        </is>
      </c>
      <c r="B587" s="1" t="n">
        <v>46009.64414351852</v>
      </c>
      <c r="C587" s="1" t="n">
        <v>46092</v>
      </c>
      <c r="D587" t="inlineStr">
        <is>
          <t>JÄMTLANDS LÄN</t>
        </is>
      </c>
      <c r="E587" t="inlineStr">
        <is>
          <t>RAGUNDA</t>
        </is>
      </c>
      <c r="G587" t="n">
        <v>6.5</v>
      </c>
      <c r="H587" t="n">
        <v>0</v>
      </c>
      <c r="I587" t="n">
        <v>0</v>
      </c>
      <c r="J587" t="n">
        <v>0</v>
      </c>
      <c r="K587" t="n">
        <v>0</v>
      </c>
      <c r="L587" t="n">
        <v>0</v>
      </c>
      <c r="M587" t="n">
        <v>0</v>
      </c>
      <c r="N587" t="n">
        <v>0</v>
      </c>
      <c r="O587" t="n">
        <v>0</v>
      </c>
      <c r="P587" t="n">
        <v>0</v>
      </c>
      <c r="Q587" t="n">
        <v>0</v>
      </c>
      <c r="R587" s="2" t="inlineStr"/>
    </row>
    <row r="588" ht="15" customHeight="1">
      <c r="A588" t="inlineStr">
        <is>
          <t>A 57112-2024</t>
        </is>
      </c>
      <c r="B588" s="1" t="n">
        <v>45629.36486111111</v>
      </c>
      <c r="C588" s="1" t="n">
        <v>46092</v>
      </c>
      <c r="D588" t="inlineStr">
        <is>
          <t>JÄMTLANDS LÄN</t>
        </is>
      </c>
      <c r="E588" t="inlineStr">
        <is>
          <t>RAGUNDA</t>
        </is>
      </c>
      <c r="G588" t="n">
        <v>0.7</v>
      </c>
      <c r="H588" t="n">
        <v>0</v>
      </c>
      <c r="I588" t="n">
        <v>0</v>
      </c>
      <c r="J588" t="n">
        <v>0</v>
      </c>
      <c r="K588" t="n">
        <v>0</v>
      </c>
      <c r="L588" t="n">
        <v>0</v>
      </c>
      <c r="M588" t="n">
        <v>0</v>
      </c>
      <c r="N588" t="n">
        <v>0</v>
      </c>
      <c r="O588" t="n">
        <v>0</v>
      </c>
      <c r="P588" t="n">
        <v>0</v>
      </c>
      <c r="Q588" t="n">
        <v>0</v>
      </c>
      <c r="R588" s="2" t="inlineStr"/>
    </row>
    <row r="589" ht="15" customHeight="1">
      <c r="A589" t="inlineStr">
        <is>
          <t>A 53136-2024</t>
        </is>
      </c>
      <c r="B589" s="1" t="n">
        <v>45611.5953125</v>
      </c>
      <c r="C589" s="1" t="n">
        <v>46092</v>
      </c>
      <c r="D589" t="inlineStr">
        <is>
          <t>JÄMTLANDS LÄN</t>
        </is>
      </c>
      <c r="E589" t="inlineStr">
        <is>
          <t>RAGUNDA</t>
        </is>
      </c>
      <c r="G589" t="n">
        <v>3.8</v>
      </c>
      <c r="H589" t="n">
        <v>0</v>
      </c>
      <c r="I589" t="n">
        <v>0</v>
      </c>
      <c r="J589" t="n">
        <v>0</v>
      </c>
      <c r="K589" t="n">
        <v>0</v>
      </c>
      <c r="L589" t="n">
        <v>0</v>
      </c>
      <c r="M589" t="n">
        <v>0</v>
      </c>
      <c r="N589" t="n">
        <v>0</v>
      </c>
      <c r="O589" t="n">
        <v>0</v>
      </c>
      <c r="P589" t="n">
        <v>0</v>
      </c>
      <c r="Q589" t="n">
        <v>0</v>
      </c>
      <c r="R589" s="2" t="inlineStr"/>
    </row>
    <row r="590" ht="15" customHeight="1">
      <c r="A590" t="inlineStr">
        <is>
          <t>A 62819-2025</t>
        </is>
      </c>
      <c r="B590" s="1" t="n">
        <v>46008</v>
      </c>
      <c r="C590" s="1" t="n">
        <v>46092</v>
      </c>
      <c r="D590" t="inlineStr">
        <is>
          <t>JÄMTLANDS LÄN</t>
        </is>
      </c>
      <c r="E590" t="inlineStr">
        <is>
          <t>RAGUNDA</t>
        </is>
      </c>
      <c r="G590" t="n">
        <v>3.5</v>
      </c>
      <c r="H590" t="n">
        <v>0</v>
      </c>
      <c r="I590" t="n">
        <v>0</v>
      </c>
      <c r="J590" t="n">
        <v>0</v>
      </c>
      <c r="K590" t="n">
        <v>0</v>
      </c>
      <c r="L590" t="n">
        <v>0</v>
      </c>
      <c r="M590" t="n">
        <v>0</v>
      </c>
      <c r="N590" t="n">
        <v>0</v>
      </c>
      <c r="O590" t="n">
        <v>0</v>
      </c>
      <c r="P590" t="n">
        <v>0</v>
      </c>
      <c r="Q590" t="n">
        <v>0</v>
      </c>
      <c r="R590" s="2" t="inlineStr"/>
    </row>
    <row r="591" ht="15" customHeight="1">
      <c r="A591" t="inlineStr">
        <is>
          <t>A 43177-2025</t>
        </is>
      </c>
      <c r="B591" s="1" t="n">
        <v>45910.40667824074</v>
      </c>
      <c r="C591" s="1" t="n">
        <v>46092</v>
      </c>
      <c r="D591" t="inlineStr">
        <is>
          <t>JÄMTLANDS LÄN</t>
        </is>
      </c>
      <c r="E591" t="inlineStr">
        <is>
          <t>RAGUNDA</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33621-2023</t>
        </is>
      </c>
      <c r="B592" s="1" t="n">
        <v>45119</v>
      </c>
      <c r="C592" s="1" t="n">
        <v>46092</v>
      </c>
      <c r="D592" t="inlineStr">
        <is>
          <t>JÄMTLANDS LÄN</t>
        </is>
      </c>
      <c r="E592" t="inlineStr">
        <is>
          <t>RAGUNDA</t>
        </is>
      </c>
      <c r="G592" t="n">
        <v>0.5</v>
      </c>
      <c r="H592" t="n">
        <v>0</v>
      </c>
      <c r="I592" t="n">
        <v>0</v>
      </c>
      <c r="J592" t="n">
        <v>0</v>
      </c>
      <c r="K592" t="n">
        <v>0</v>
      </c>
      <c r="L592" t="n">
        <v>0</v>
      </c>
      <c r="M592" t="n">
        <v>0</v>
      </c>
      <c r="N592" t="n">
        <v>0</v>
      </c>
      <c r="O592" t="n">
        <v>0</v>
      </c>
      <c r="P592" t="n">
        <v>0</v>
      </c>
      <c r="Q592" t="n">
        <v>0</v>
      </c>
      <c r="R592" s="2" t="inlineStr"/>
    </row>
    <row r="593" ht="15" customHeight="1">
      <c r="A593" t="inlineStr">
        <is>
          <t>A 43181-2025</t>
        </is>
      </c>
      <c r="B593" s="1" t="n">
        <v>45910.40721064815</v>
      </c>
      <c r="C593" s="1" t="n">
        <v>46092</v>
      </c>
      <c r="D593" t="inlineStr">
        <is>
          <t>JÄMTLANDS LÄN</t>
        </is>
      </c>
      <c r="E593" t="inlineStr">
        <is>
          <t>RAGUNDA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6694-2024</t>
        </is>
      </c>
      <c r="B594" s="1" t="n">
        <v>45341.95381944445</v>
      </c>
      <c r="C594" s="1" t="n">
        <v>46092</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1537-2024</t>
        </is>
      </c>
      <c r="B595" s="1" t="n">
        <v>45306</v>
      </c>
      <c r="C595" s="1" t="n">
        <v>46092</v>
      </c>
      <c r="D595" t="inlineStr">
        <is>
          <t>JÄMTLANDS LÄN</t>
        </is>
      </c>
      <c r="E595" t="inlineStr">
        <is>
          <t>RAGUNDA</t>
        </is>
      </c>
      <c r="G595" t="n">
        <v>0.2</v>
      </c>
      <c r="H595" t="n">
        <v>0</v>
      </c>
      <c r="I595" t="n">
        <v>0</v>
      </c>
      <c r="J595" t="n">
        <v>0</v>
      </c>
      <c r="K595" t="n">
        <v>0</v>
      </c>
      <c r="L595" t="n">
        <v>0</v>
      </c>
      <c r="M595" t="n">
        <v>0</v>
      </c>
      <c r="N595" t="n">
        <v>0</v>
      </c>
      <c r="O595" t="n">
        <v>0</v>
      </c>
      <c r="P595" t="n">
        <v>0</v>
      </c>
      <c r="Q595" t="n">
        <v>0</v>
      </c>
      <c r="R595" s="2" t="inlineStr"/>
    </row>
    <row r="596" ht="15" customHeight="1">
      <c r="A596" t="inlineStr">
        <is>
          <t>A 60935-2024</t>
        </is>
      </c>
      <c r="B596" s="1" t="n">
        <v>45645.36740740741</v>
      </c>
      <c r="C596" s="1" t="n">
        <v>46092</v>
      </c>
      <c r="D596" t="inlineStr">
        <is>
          <t>JÄMTLANDS LÄN</t>
        </is>
      </c>
      <c r="E596" t="inlineStr">
        <is>
          <t>RAGUNDA</t>
        </is>
      </c>
      <c r="G596" t="n">
        <v>2.6</v>
      </c>
      <c r="H596" t="n">
        <v>0</v>
      </c>
      <c r="I596" t="n">
        <v>0</v>
      </c>
      <c r="J596" t="n">
        <v>0</v>
      </c>
      <c r="K596" t="n">
        <v>0</v>
      </c>
      <c r="L596" t="n">
        <v>0</v>
      </c>
      <c r="M596" t="n">
        <v>0</v>
      </c>
      <c r="N596" t="n">
        <v>0</v>
      </c>
      <c r="O596" t="n">
        <v>0</v>
      </c>
      <c r="P596" t="n">
        <v>0</v>
      </c>
      <c r="Q596" t="n">
        <v>0</v>
      </c>
      <c r="R596" s="2" t="inlineStr"/>
    </row>
    <row r="597" ht="15" customHeight="1">
      <c r="A597" t="inlineStr">
        <is>
          <t>A 43330-2025</t>
        </is>
      </c>
      <c r="B597" s="1" t="n">
        <v>45910.67766203704</v>
      </c>
      <c r="C597" s="1" t="n">
        <v>46092</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6257-2025</t>
        </is>
      </c>
      <c r="B598" s="1" t="n">
        <v>45698.59409722222</v>
      </c>
      <c r="C598" s="1" t="n">
        <v>46092</v>
      </c>
      <c r="D598" t="inlineStr">
        <is>
          <t>JÄMTLANDS LÄN</t>
        </is>
      </c>
      <c r="E598" t="inlineStr">
        <is>
          <t>RAGUNDA</t>
        </is>
      </c>
      <c r="F598" t="inlineStr">
        <is>
          <t>SCA</t>
        </is>
      </c>
      <c r="G598" t="n">
        <v>7</v>
      </c>
      <c r="H598" t="n">
        <v>0</v>
      </c>
      <c r="I598" t="n">
        <v>0</v>
      </c>
      <c r="J598" t="n">
        <v>0</v>
      </c>
      <c r="K598" t="n">
        <v>0</v>
      </c>
      <c r="L598" t="n">
        <v>0</v>
      </c>
      <c r="M598" t="n">
        <v>0</v>
      </c>
      <c r="N598" t="n">
        <v>0</v>
      </c>
      <c r="O598" t="n">
        <v>0</v>
      </c>
      <c r="P598" t="n">
        <v>0</v>
      </c>
      <c r="Q598" t="n">
        <v>0</v>
      </c>
      <c r="R598" s="2" t="inlineStr"/>
    </row>
    <row r="599" ht="15" customHeight="1">
      <c r="A599" t="inlineStr">
        <is>
          <t>A 63578-2025</t>
        </is>
      </c>
      <c r="B599" s="1" t="n">
        <v>46013.67690972222</v>
      </c>
      <c r="C599" s="1" t="n">
        <v>46092</v>
      </c>
      <c r="D599" t="inlineStr">
        <is>
          <t>JÄMTLANDS LÄN</t>
        </is>
      </c>
      <c r="E599" t="inlineStr">
        <is>
          <t>RAGUNDA</t>
        </is>
      </c>
      <c r="G599" t="n">
        <v>2.7</v>
      </c>
      <c r="H599" t="n">
        <v>0</v>
      </c>
      <c r="I599" t="n">
        <v>0</v>
      </c>
      <c r="J599" t="n">
        <v>0</v>
      </c>
      <c r="K599" t="n">
        <v>0</v>
      </c>
      <c r="L599" t="n">
        <v>0</v>
      </c>
      <c r="M599" t="n">
        <v>0</v>
      </c>
      <c r="N599" t="n">
        <v>0</v>
      </c>
      <c r="O599" t="n">
        <v>0</v>
      </c>
      <c r="P599" t="n">
        <v>0</v>
      </c>
      <c r="Q599" t="n">
        <v>0</v>
      </c>
      <c r="R599" s="2" t="inlineStr"/>
    </row>
    <row r="600" ht="15" customHeight="1">
      <c r="A600" t="inlineStr">
        <is>
          <t>A 25376-2025</t>
        </is>
      </c>
      <c r="B600" s="1" t="n">
        <v>45800.63619212963</v>
      </c>
      <c r="C600" s="1" t="n">
        <v>46092</v>
      </c>
      <c r="D600" t="inlineStr">
        <is>
          <t>JÄMTLANDS LÄN</t>
        </is>
      </c>
      <c r="E600" t="inlineStr">
        <is>
          <t>RAGUNDA</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14074-2023</t>
        </is>
      </c>
      <c r="B601" s="1" t="n">
        <v>45009.089375</v>
      </c>
      <c r="C601" s="1" t="n">
        <v>46092</v>
      </c>
      <c r="D601" t="inlineStr">
        <is>
          <t>JÄMTLANDS LÄN</t>
        </is>
      </c>
      <c r="E601" t="inlineStr">
        <is>
          <t>RAGUNDA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37265-2024</t>
        </is>
      </c>
      <c r="B602" s="1" t="n">
        <v>45540.38564814815</v>
      </c>
      <c r="C602" s="1" t="n">
        <v>46092</v>
      </c>
      <c r="D602" t="inlineStr">
        <is>
          <t>JÄMTLANDS LÄN</t>
        </is>
      </c>
      <c r="E602" t="inlineStr">
        <is>
          <t>RAGUNDA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43776-2025</t>
        </is>
      </c>
      <c r="B603" s="1" t="n">
        <v>45912.51086805556</v>
      </c>
      <c r="C603" s="1" t="n">
        <v>46092</v>
      </c>
      <c r="D603" t="inlineStr">
        <is>
          <t>JÄMTLANDS LÄN</t>
        </is>
      </c>
      <c r="E603" t="inlineStr">
        <is>
          <t>RAGUNDA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43971-2025</t>
        </is>
      </c>
      <c r="B604" s="1" t="n">
        <v>45915.40694444445</v>
      </c>
      <c r="C604" s="1" t="n">
        <v>46092</v>
      </c>
      <c r="D604" t="inlineStr">
        <is>
          <t>JÄMTLANDS LÄN</t>
        </is>
      </c>
      <c r="E604" t="inlineStr">
        <is>
          <t>RAGUNDA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43804-2025</t>
        </is>
      </c>
      <c r="B605" s="1" t="n">
        <v>45912.57373842593</v>
      </c>
      <c r="C605" s="1" t="n">
        <v>46092</v>
      </c>
      <c r="D605" t="inlineStr">
        <is>
          <t>JÄMTLANDS LÄN</t>
        </is>
      </c>
      <c r="E605" t="inlineStr">
        <is>
          <t>RAGUNDA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63141-2025</t>
        </is>
      </c>
      <c r="B606" s="1" t="n">
        <v>46010.34440972222</v>
      </c>
      <c r="C606" s="1" t="n">
        <v>46092</v>
      </c>
      <c r="D606" t="inlineStr">
        <is>
          <t>JÄMTLANDS LÄN</t>
        </is>
      </c>
      <c r="E606" t="inlineStr">
        <is>
          <t>RAGUNDA</t>
        </is>
      </c>
      <c r="F606" t="inlineStr">
        <is>
          <t>SCA</t>
        </is>
      </c>
      <c r="G606" t="n">
        <v>24.4</v>
      </c>
      <c r="H606" t="n">
        <v>0</v>
      </c>
      <c r="I606" t="n">
        <v>0</v>
      </c>
      <c r="J606" t="n">
        <v>0</v>
      </c>
      <c r="K606" t="n">
        <v>0</v>
      </c>
      <c r="L606" t="n">
        <v>0</v>
      </c>
      <c r="M606" t="n">
        <v>0</v>
      </c>
      <c r="N606" t="n">
        <v>0</v>
      </c>
      <c r="O606" t="n">
        <v>0</v>
      </c>
      <c r="P606" t="n">
        <v>0</v>
      </c>
      <c r="Q606" t="n">
        <v>0</v>
      </c>
      <c r="R606" s="2" t="inlineStr"/>
    </row>
    <row r="607" ht="15" customHeight="1">
      <c r="A607" t="inlineStr">
        <is>
          <t>A 18777-2024</t>
        </is>
      </c>
      <c r="B607" s="1" t="n">
        <v>45426</v>
      </c>
      <c r="C607" s="1" t="n">
        <v>46092</v>
      </c>
      <c r="D607" t="inlineStr">
        <is>
          <t>JÄMTLANDS LÄN</t>
        </is>
      </c>
      <c r="E607" t="inlineStr">
        <is>
          <t>RAGUNDA</t>
        </is>
      </c>
      <c r="G607" t="n">
        <v>1.9</v>
      </c>
      <c r="H607" t="n">
        <v>0</v>
      </c>
      <c r="I607" t="n">
        <v>0</v>
      </c>
      <c r="J607" t="n">
        <v>0</v>
      </c>
      <c r="K607" t="n">
        <v>0</v>
      </c>
      <c r="L607" t="n">
        <v>0</v>
      </c>
      <c r="M607" t="n">
        <v>0</v>
      </c>
      <c r="N607" t="n">
        <v>0</v>
      </c>
      <c r="O607" t="n">
        <v>0</v>
      </c>
      <c r="P607" t="n">
        <v>0</v>
      </c>
      <c r="Q607" t="n">
        <v>0</v>
      </c>
      <c r="R607" s="2" t="inlineStr"/>
    </row>
    <row r="608" ht="15" customHeight="1">
      <c r="A608" t="inlineStr">
        <is>
          <t>A 6174-2026</t>
        </is>
      </c>
      <c r="B608" s="1" t="n">
        <v>46055.34457175926</v>
      </c>
      <c r="C608" s="1" t="n">
        <v>46092</v>
      </c>
      <c r="D608" t="inlineStr">
        <is>
          <t>JÄMTLANDS LÄN</t>
        </is>
      </c>
      <c r="E608" t="inlineStr">
        <is>
          <t>RAGUNDA</t>
        </is>
      </c>
      <c r="F608" t="inlineStr">
        <is>
          <t>SCA</t>
        </is>
      </c>
      <c r="G608" t="n">
        <v>24.3</v>
      </c>
      <c r="H608" t="n">
        <v>0</v>
      </c>
      <c r="I608" t="n">
        <v>0</v>
      </c>
      <c r="J608" t="n">
        <v>0</v>
      </c>
      <c r="K608" t="n">
        <v>0</v>
      </c>
      <c r="L608" t="n">
        <v>0</v>
      </c>
      <c r="M608" t="n">
        <v>0</v>
      </c>
      <c r="N608" t="n">
        <v>0</v>
      </c>
      <c r="O608" t="n">
        <v>0</v>
      </c>
      <c r="P608" t="n">
        <v>0</v>
      </c>
      <c r="Q608" t="n">
        <v>0</v>
      </c>
      <c r="R608" s="2" t="inlineStr"/>
    </row>
    <row r="609" ht="15" customHeight="1">
      <c r="A609" t="inlineStr">
        <is>
          <t>A 58564-2024</t>
        </is>
      </c>
      <c r="B609" s="1" t="n">
        <v>45635.47243055556</v>
      </c>
      <c r="C609" s="1" t="n">
        <v>46092</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8243-2024</t>
        </is>
      </c>
      <c r="B610" s="1" t="n">
        <v>45351.98532407408</v>
      </c>
      <c r="C610" s="1" t="n">
        <v>46092</v>
      </c>
      <c r="D610" t="inlineStr">
        <is>
          <t>JÄMTLANDS LÄN</t>
        </is>
      </c>
      <c r="E610" t="inlineStr">
        <is>
          <t>RAGUNDA</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1325-2025</t>
        </is>
      </c>
      <c r="B611" s="1" t="n">
        <v>45667.57342592593</v>
      </c>
      <c r="C611" s="1" t="n">
        <v>46092</v>
      </c>
      <c r="D611" t="inlineStr">
        <is>
          <t>JÄMTLANDS LÄN</t>
        </is>
      </c>
      <c r="E611" t="inlineStr">
        <is>
          <t>RAGUNDA</t>
        </is>
      </c>
      <c r="F611" t="inlineStr">
        <is>
          <t>SCA</t>
        </is>
      </c>
      <c r="G611" t="n">
        <v>20.2</v>
      </c>
      <c r="H611" t="n">
        <v>0</v>
      </c>
      <c r="I611" t="n">
        <v>0</v>
      </c>
      <c r="J611" t="n">
        <v>0</v>
      </c>
      <c r="K611" t="n">
        <v>0</v>
      </c>
      <c r="L611" t="n">
        <v>0</v>
      </c>
      <c r="M611" t="n">
        <v>0</v>
      </c>
      <c r="N611" t="n">
        <v>0</v>
      </c>
      <c r="O611" t="n">
        <v>0</v>
      </c>
      <c r="P611" t="n">
        <v>0</v>
      </c>
      <c r="Q611" t="n">
        <v>0</v>
      </c>
      <c r="R611" s="2" t="inlineStr"/>
    </row>
    <row r="612" ht="15" customHeight="1">
      <c r="A612" t="inlineStr">
        <is>
          <t>A 18159-2023</t>
        </is>
      </c>
      <c r="B612" s="1" t="n">
        <v>45040.94277777777</v>
      </c>
      <c r="C612" s="1" t="n">
        <v>46092</v>
      </c>
      <c r="D612" t="inlineStr">
        <is>
          <t>JÄMTLANDS LÄN</t>
        </is>
      </c>
      <c r="E612" t="inlineStr">
        <is>
          <t>RAGUNDA</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6693-2026</t>
        </is>
      </c>
      <c r="B613" s="1" t="n">
        <v>46056.63649305556</v>
      </c>
      <c r="C613" s="1" t="n">
        <v>46092</v>
      </c>
      <c r="D613" t="inlineStr">
        <is>
          <t>JÄMTLANDS LÄN</t>
        </is>
      </c>
      <c r="E613" t="inlineStr">
        <is>
          <t>RAGUNDA</t>
        </is>
      </c>
      <c r="G613" t="n">
        <v>4.3</v>
      </c>
      <c r="H613" t="n">
        <v>0</v>
      </c>
      <c r="I613" t="n">
        <v>0</v>
      </c>
      <c r="J613" t="n">
        <v>0</v>
      </c>
      <c r="K613" t="n">
        <v>0</v>
      </c>
      <c r="L613" t="n">
        <v>0</v>
      </c>
      <c r="M613" t="n">
        <v>0</v>
      </c>
      <c r="N613" t="n">
        <v>0</v>
      </c>
      <c r="O613" t="n">
        <v>0</v>
      </c>
      <c r="P613" t="n">
        <v>0</v>
      </c>
      <c r="Q613" t="n">
        <v>0</v>
      </c>
      <c r="R613" s="2" t="inlineStr"/>
    </row>
    <row r="614" ht="15" customHeight="1">
      <c r="A614" t="inlineStr">
        <is>
          <t>A 45279-2025</t>
        </is>
      </c>
      <c r="B614" s="1" t="n">
        <v>45919.71912037037</v>
      </c>
      <c r="C614" s="1" t="n">
        <v>46092</v>
      </c>
      <c r="D614" t="inlineStr">
        <is>
          <t>JÄMTLANDS LÄN</t>
        </is>
      </c>
      <c r="E614" t="inlineStr">
        <is>
          <t>RAGUNDA</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19486-2024</t>
        </is>
      </c>
      <c r="B615" s="1" t="n">
        <v>45429</v>
      </c>
      <c r="C615" s="1" t="n">
        <v>46092</v>
      </c>
      <c r="D615" t="inlineStr">
        <is>
          <t>JÄMTLANDS LÄN</t>
        </is>
      </c>
      <c r="E615" t="inlineStr">
        <is>
          <t>RAGUNDA</t>
        </is>
      </c>
      <c r="G615" t="n">
        <v>2.3</v>
      </c>
      <c r="H615" t="n">
        <v>0</v>
      </c>
      <c r="I615" t="n">
        <v>0</v>
      </c>
      <c r="J615" t="n">
        <v>0</v>
      </c>
      <c r="K615" t="n">
        <v>0</v>
      </c>
      <c r="L615" t="n">
        <v>0</v>
      </c>
      <c r="M615" t="n">
        <v>0</v>
      </c>
      <c r="N615" t="n">
        <v>0</v>
      </c>
      <c r="O615" t="n">
        <v>0</v>
      </c>
      <c r="P615" t="n">
        <v>0</v>
      </c>
      <c r="Q615" t="n">
        <v>0</v>
      </c>
      <c r="R615" s="2" t="inlineStr"/>
    </row>
    <row r="616" ht="15" customHeight="1">
      <c r="A616" t="inlineStr">
        <is>
          <t>A 1326-2025</t>
        </is>
      </c>
      <c r="B616" s="1" t="n">
        <v>45667.57347222222</v>
      </c>
      <c r="C616" s="1" t="n">
        <v>46092</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30642-2024</t>
        </is>
      </c>
      <c r="B617" s="1" t="n">
        <v>45495.57677083334</v>
      </c>
      <c r="C617" s="1" t="n">
        <v>46092</v>
      </c>
      <c r="D617" t="inlineStr">
        <is>
          <t>JÄMTLANDS LÄN</t>
        </is>
      </c>
      <c r="E617" t="inlineStr">
        <is>
          <t>RAGUNDA</t>
        </is>
      </c>
      <c r="G617" t="n">
        <v>2.7</v>
      </c>
      <c r="H617" t="n">
        <v>0</v>
      </c>
      <c r="I617" t="n">
        <v>0</v>
      </c>
      <c r="J617" t="n">
        <v>0</v>
      </c>
      <c r="K617" t="n">
        <v>0</v>
      </c>
      <c r="L617" t="n">
        <v>0</v>
      </c>
      <c r="M617" t="n">
        <v>0</v>
      </c>
      <c r="N617" t="n">
        <v>0</v>
      </c>
      <c r="O617" t="n">
        <v>0</v>
      </c>
      <c r="P617" t="n">
        <v>0</v>
      </c>
      <c r="Q617" t="n">
        <v>0</v>
      </c>
      <c r="R617" s="2" t="inlineStr"/>
    </row>
    <row r="618" ht="15" customHeight="1">
      <c r="A618" t="inlineStr">
        <is>
          <t>A 993-2025</t>
        </is>
      </c>
      <c r="B618" s="1" t="n">
        <v>45666.44943287037</v>
      </c>
      <c r="C618" s="1" t="n">
        <v>46092</v>
      </c>
      <c r="D618" t="inlineStr">
        <is>
          <t>JÄMTLANDS LÄN</t>
        </is>
      </c>
      <c r="E618" t="inlineStr">
        <is>
          <t>RAGUNDA</t>
        </is>
      </c>
      <c r="G618" t="n">
        <v>11.3</v>
      </c>
      <c r="H618" t="n">
        <v>0</v>
      </c>
      <c r="I618" t="n">
        <v>0</v>
      </c>
      <c r="J618" t="n">
        <v>0</v>
      </c>
      <c r="K618" t="n">
        <v>0</v>
      </c>
      <c r="L618" t="n">
        <v>0</v>
      </c>
      <c r="M618" t="n">
        <v>0</v>
      </c>
      <c r="N618" t="n">
        <v>0</v>
      </c>
      <c r="O618" t="n">
        <v>0</v>
      </c>
      <c r="P618" t="n">
        <v>0</v>
      </c>
      <c r="Q618" t="n">
        <v>0</v>
      </c>
      <c r="R618" s="2" t="inlineStr"/>
    </row>
    <row r="619" ht="15" customHeight="1">
      <c r="A619" t="inlineStr">
        <is>
          <t>A 44954-2025</t>
        </is>
      </c>
      <c r="B619" s="1" t="n">
        <v>45918.61203703703</v>
      </c>
      <c r="C619" s="1" t="n">
        <v>46092</v>
      </c>
      <c r="D619" t="inlineStr">
        <is>
          <t>JÄMTLANDS LÄN</t>
        </is>
      </c>
      <c r="E619" t="inlineStr">
        <is>
          <t>RAGUNDA</t>
        </is>
      </c>
      <c r="G619" t="n">
        <v>3</v>
      </c>
      <c r="H619" t="n">
        <v>0</v>
      </c>
      <c r="I619" t="n">
        <v>0</v>
      </c>
      <c r="J619" t="n">
        <v>0</v>
      </c>
      <c r="K619" t="n">
        <v>0</v>
      </c>
      <c r="L619" t="n">
        <v>0</v>
      </c>
      <c r="M619" t="n">
        <v>0</v>
      </c>
      <c r="N619" t="n">
        <v>0</v>
      </c>
      <c r="O619" t="n">
        <v>0</v>
      </c>
      <c r="P619" t="n">
        <v>0</v>
      </c>
      <c r="Q619" t="n">
        <v>0</v>
      </c>
      <c r="R619" s="2" t="inlineStr"/>
    </row>
    <row r="620" ht="15" customHeight="1">
      <c r="A620" t="inlineStr">
        <is>
          <t>A 58193-2022</t>
        </is>
      </c>
      <c r="B620" s="1" t="n">
        <v>44900.95700231481</v>
      </c>
      <c r="C620" s="1" t="n">
        <v>46092</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63672-2025</t>
        </is>
      </c>
      <c r="B621" s="1" t="n">
        <v>46014.47575231481</v>
      </c>
      <c r="C621" s="1" t="n">
        <v>46092</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63714-2025</t>
        </is>
      </c>
      <c r="B622" s="1" t="n">
        <v>46014</v>
      </c>
      <c r="C622" s="1" t="n">
        <v>46092</v>
      </c>
      <c r="D622" t="inlineStr">
        <is>
          <t>JÄMTLANDS LÄN</t>
        </is>
      </c>
      <c r="E622" t="inlineStr">
        <is>
          <t>RAGUNDA</t>
        </is>
      </c>
      <c r="F622" t="inlineStr">
        <is>
          <t>Sveaskog</t>
        </is>
      </c>
      <c r="G622" t="n">
        <v>8.5</v>
      </c>
      <c r="H622" t="n">
        <v>0</v>
      </c>
      <c r="I622" t="n">
        <v>0</v>
      </c>
      <c r="J622" t="n">
        <v>0</v>
      </c>
      <c r="K622" t="n">
        <v>0</v>
      </c>
      <c r="L622" t="n">
        <v>0</v>
      </c>
      <c r="M622" t="n">
        <v>0</v>
      </c>
      <c r="N622" t="n">
        <v>0</v>
      </c>
      <c r="O622" t="n">
        <v>0</v>
      </c>
      <c r="P622" t="n">
        <v>0</v>
      </c>
      <c r="Q622" t="n">
        <v>0</v>
      </c>
      <c r="R622" s="2" t="inlineStr"/>
    </row>
    <row r="623" ht="15" customHeight="1">
      <c r="A623" t="inlineStr">
        <is>
          <t>A 63671-2025</t>
        </is>
      </c>
      <c r="B623" s="1" t="n">
        <v>46014.46555555556</v>
      </c>
      <c r="C623" s="1" t="n">
        <v>46092</v>
      </c>
      <c r="D623" t="inlineStr">
        <is>
          <t>JÄMTLANDS LÄN</t>
        </is>
      </c>
      <c r="E623" t="inlineStr">
        <is>
          <t>RAGUNDA</t>
        </is>
      </c>
      <c r="G623" t="n">
        <v>0.9</v>
      </c>
      <c r="H623" t="n">
        <v>0</v>
      </c>
      <c r="I623" t="n">
        <v>0</v>
      </c>
      <c r="J623" t="n">
        <v>0</v>
      </c>
      <c r="K623" t="n">
        <v>0</v>
      </c>
      <c r="L623" t="n">
        <v>0</v>
      </c>
      <c r="M623" t="n">
        <v>0</v>
      </c>
      <c r="N623" t="n">
        <v>0</v>
      </c>
      <c r="O623" t="n">
        <v>0</v>
      </c>
      <c r="P623" t="n">
        <v>0</v>
      </c>
      <c r="Q623" t="n">
        <v>0</v>
      </c>
      <c r="R623" s="2" t="inlineStr"/>
    </row>
    <row r="624" ht="15" customHeight="1">
      <c r="A624" t="inlineStr">
        <is>
          <t>A 28081-2022</t>
        </is>
      </c>
      <c r="B624" s="1" t="n">
        <v>44746</v>
      </c>
      <c r="C624" s="1" t="n">
        <v>46092</v>
      </c>
      <c r="D624" t="inlineStr">
        <is>
          <t>JÄMTLANDS LÄN</t>
        </is>
      </c>
      <c r="E624" t="inlineStr">
        <is>
          <t>RAGUNDA</t>
        </is>
      </c>
      <c r="G624" t="n">
        <v>7.2</v>
      </c>
      <c r="H624" t="n">
        <v>0</v>
      </c>
      <c r="I624" t="n">
        <v>0</v>
      </c>
      <c r="J624" t="n">
        <v>0</v>
      </c>
      <c r="K624" t="n">
        <v>0</v>
      </c>
      <c r="L624" t="n">
        <v>0</v>
      </c>
      <c r="M624" t="n">
        <v>0</v>
      </c>
      <c r="N624" t="n">
        <v>0</v>
      </c>
      <c r="O624" t="n">
        <v>0</v>
      </c>
      <c r="P624" t="n">
        <v>0</v>
      </c>
      <c r="Q624" t="n">
        <v>0</v>
      </c>
      <c r="R624" s="2" t="inlineStr"/>
    </row>
    <row r="625" ht="15" customHeight="1">
      <c r="A625" t="inlineStr">
        <is>
          <t>A 6569-2026</t>
        </is>
      </c>
      <c r="B625" s="1" t="n">
        <v>46052</v>
      </c>
      <c r="C625" s="1" t="n">
        <v>46092</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55547-2025</t>
        </is>
      </c>
      <c r="B626" s="1" t="n">
        <v>45971</v>
      </c>
      <c r="C626" s="1" t="n">
        <v>46092</v>
      </c>
      <c r="D626" t="inlineStr">
        <is>
          <t>JÄMTLANDS LÄN</t>
        </is>
      </c>
      <c r="E626" t="inlineStr">
        <is>
          <t>RAGUNDA</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25175-2025</t>
        </is>
      </c>
      <c r="B627" s="1" t="n">
        <v>45800.44822916666</v>
      </c>
      <c r="C627" s="1" t="n">
        <v>46092</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25177-2025</t>
        </is>
      </c>
      <c r="B628" s="1" t="n">
        <v>45800.44862268519</v>
      </c>
      <c r="C628" s="1" t="n">
        <v>46092</v>
      </c>
      <c r="D628" t="inlineStr">
        <is>
          <t>JÄMTLANDS LÄN</t>
        </is>
      </c>
      <c r="E628" t="inlineStr">
        <is>
          <t>RAGUNDA</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51049-2024</t>
        </is>
      </c>
      <c r="B629" s="1" t="n">
        <v>45603.44644675926</v>
      </c>
      <c r="C629" s="1" t="n">
        <v>46092</v>
      </c>
      <c r="D629" t="inlineStr">
        <is>
          <t>JÄMTLANDS LÄN</t>
        </is>
      </c>
      <c r="E629" t="inlineStr">
        <is>
          <t>RAGUNDA</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44759-2024</t>
        </is>
      </c>
      <c r="B630" s="1" t="n">
        <v>45574.61634259259</v>
      </c>
      <c r="C630" s="1" t="n">
        <v>46092</v>
      </c>
      <c r="D630" t="inlineStr">
        <is>
          <t>JÄMTLANDS LÄN</t>
        </is>
      </c>
      <c r="E630" t="inlineStr">
        <is>
          <t>RAGUNDA</t>
        </is>
      </c>
      <c r="G630" t="n">
        <v>1.9</v>
      </c>
      <c r="H630" t="n">
        <v>0</v>
      </c>
      <c r="I630" t="n">
        <v>0</v>
      </c>
      <c r="J630" t="n">
        <v>0</v>
      </c>
      <c r="K630" t="n">
        <v>0</v>
      </c>
      <c r="L630" t="n">
        <v>0</v>
      </c>
      <c r="M630" t="n">
        <v>0</v>
      </c>
      <c r="N630" t="n">
        <v>0</v>
      </c>
      <c r="O630" t="n">
        <v>0</v>
      </c>
      <c r="P630" t="n">
        <v>0</v>
      </c>
      <c r="Q630" t="n">
        <v>0</v>
      </c>
      <c r="R630" s="2" t="inlineStr"/>
    </row>
    <row r="631" ht="15" customHeight="1">
      <c r="A631" t="inlineStr">
        <is>
          <t>A 37324-2022</t>
        </is>
      </c>
      <c r="B631" s="1" t="n">
        <v>44806</v>
      </c>
      <c r="C631" s="1" t="n">
        <v>46092</v>
      </c>
      <c r="D631" t="inlineStr">
        <is>
          <t>JÄMTLANDS LÄN</t>
        </is>
      </c>
      <c r="E631" t="inlineStr">
        <is>
          <t>RAGUNDA</t>
        </is>
      </c>
      <c r="G631" t="n">
        <v>2.3</v>
      </c>
      <c r="H631" t="n">
        <v>0</v>
      </c>
      <c r="I631" t="n">
        <v>0</v>
      </c>
      <c r="J631" t="n">
        <v>0</v>
      </c>
      <c r="K631" t="n">
        <v>0</v>
      </c>
      <c r="L631" t="n">
        <v>0</v>
      </c>
      <c r="M631" t="n">
        <v>0</v>
      </c>
      <c r="N631" t="n">
        <v>0</v>
      </c>
      <c r="O631" t="n">
        <v>0</v>
      </c>
      <c r="P631" t="n">
        <v>0</v>
      </c>
      <c r="Q631" t="n">
        <v>0</v>
      </c>
      <c r="R631" s="2" t="inlineStr"/>
    </row>
    <row r="632" ht="15" customHeight="1">
      <c r="A632" t="inlineStr">
        <is>
          <t>A 55633-2025</t>
        </is>
      </c>
      <c r="B632" s="1" t="n">
        <v>45972</v>
      </c>
      <c r="C632" s="1" t="n">
        <v>46092</v>
      </c>
      <c r="D632" t="inlineStr">
        <is>
          <t>JÄMTLANDS LÄN</t>
        </is>
      </c>
      <c r="E632" t="inlineStr">
        <is>
          <t>RAGUNDA</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55671-2025</t>
        </is>
      </c>
      <c r="B633" s="1" t="n">
        <v>45972</v>
      </c>
      <c r="C633" s="1" t="n">
        <v>46092</v>
      </c>
      <c r="D633" t="inlineStr">
        <is>
          <t>JÄMTLANDS LÄN</t>
        </is>
      </c>
      <c r="E633" t="inlineStr">
        <is>
          <t>RAGUNDA</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55797-2025</t>
        </is>
      </c>
      <c r="B634" s="1" t="n">
        <v>45972.65693287037</v>
      </c>
      <c r="C634" s="1" t="n">
        <v>46092</v>
      </c>
      <c r="D634" t="inlineStr">
        <is>
          <t>JÄMTLANDS LÄN</t>
        </is>
      </c>
      <c r="E634" t="inlineStr">
        <is>
          <t>RAGUNDA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41343-2024</t>
        </is>
      </c>
      <c r="B635" s="1" t="n">
        <v>45559.67745370371</v>
      </c>
      <c r="C635" s="1" t="n">
        <v>46092</v>
      </c>
      <c r="D635" t="inlineStr">
        <is>
          <t>JÄMTLANDS LÄN</t>
        </is>
      </c>
      <c r="E635" t="inlineStr">
        <is>
          <t>RAGUNDA</t>
        </is>
      </c>
      <c r="F635" t="inlineStr">
        <is>
          <t>SCA</t>
        </is>
      </c>
      <c r="G635" t="n">
        <v>25.1</v>
      </c>
      <c r="H635" t="n">
        <v>0</v>
      </c>
      <c r="I635" t="n">
        <v>0</v>
      </c>
      <c r="J635" t="n">
        <v>0</v>
      </c>
      <c r="K635" t="n">
        <v>0</v>
      </c>
      <c r="L635" t="n">
        <v>0</v>
      </c>
      <c r="M635" t="n">
        <v>0</v>
      </c>
      <c r="N635" t="n">
        <v>0</v>
      </c>
      <c r="O635" t="n">
        <v>0</v>
      </c>
      <c r="P635" t="n">
        <v>0</v>
      </c>
      <c r="Q635" t="n">
        <v>0</v>
      </c>
      <c r="R635" s="2" t="inlineStr"/>
    </row>
    <row r="636" ht="15" customHeight="1">
      <c r="A636" t="inlineStr">
        <is>
          <t>A 25659-2025</t>
        </is>
      </c>
      <c r="B636" s="1" t="n">
        <v>45803.61552083334</v>
      </c>
      <c r="C636" s="1" t="n">
        <v>46092</v>
      </c>
      <c r="D636" t="inlineStr">
        <is>
          <t>JÄMTLANDS LÄN</t>
        </is>
      </c>
      <c r="E636" t="inlineStr">
        <is>
          <t>RAGUNDA</t>
        </is>
      </c>
      <c r="G636" t="n">
        <v>1.5</v>
      </c>
      <c r="H636" t="n">
        <v>0</v>
      </c>
      <c r="I636" t="n">
        <v>0</v>
      </c>
      <c r="J636" t="n">
        <v>0</v>
      </c>
      <c r="K636" t="n">
        <v>0</v>
      </c>
      <c r="L636" t="n">
        <v>0</v>
      </c>
      <c r="M636" t="n">
        <v>0</v>
      </c>
      <c r="N636" t="n">
        <v>0</v>
      </c>
      <c r="O636" t="n">
        <v>0</v>
      </c>
      <c r="P636" t="n">
        <v>0</v>
      </c>
      <c r="Q636" t="n">
        <v>0</v>
      </c>
      <c r="R636" s="2" t="inlineStr"/>
    </row>
    <row r="637" ht="15" customHeight="1">
      <c r="A637" t="inlineStr">
        <is>
          <t>A 25661-2025</t>
        </is>
      </c>
      <c r="B637" s="1" t="n">
        <v>45803.61557870371</v>
      </c>
      <c r="C637" s="1" t="n">
        <v>46092</v>
      </c>
      <c r="D637" t="inlineStr">
        <is>
          <t>JÄMTLANDS LÄN</t>
        </is>
      </c>
      <c r="E637" t="inlineStr">
        <is>
          <t>RAGUNDA</t>
        </is>
      </c>
      <c r="G637" t="n">
        <v>1.4</v>
      </c>
      <c r="H637" t="n">
        <v>0</v>
      </c>
      <c r="I637" t="n">
        <v>0</v>
      </c>
      <c r="J637" t="n">
        <v>0</v>
      </c>
      <c r="K637" t="n">
        <v>0</v>
      </c>
      <c r="L637" t="n">
        <v>0</v>
      </c>
      <c r="M637" t="n">
        <v>0</v>
      </c>
      <c r="N637" t="n">
        <v>0</v>
      </c>
      <c r="O637" t="n">
        <v>0</v>
      </c>
      <c r="P637" t="n">
        <v>0</v>
      </c>
      <c r="Q637" t="n">
        <v>0</v>
      </c>
      <c r="R637" s="2" t="inlineStr"/>
    </row>
    <row r="638" ht="15" customHeight="1">
      <c r="A638" t="inlineStr">
        <is>
          <t>A 53727-2025</t>
        </is>
      </c>
      <c r="B638" s="1" t="n">
        <v>45960.63630787037</v>
      </c>
      <c r="C638" s="1" t="n">
        <v>46092</v>
      </c>
      <c r="D638" t="inlineStr">
        <is>
          <t>JÄMTLANDS LÄN</t>
        </is>
      </c>
      <c r="E638" t="inlineStr">
        <is>
          <t>RAGUNDA</t>
        </is>
      </c>
      <c r="F638" t="inlineStr">
        <is>
          <t>SCA</t>
        </is>
      </c>
      <c r="G638" t="n">
        <v>6.4</v>
      </c>
      <c r="H638" t="n">
        <v>0</v>
      </c>
      <c r="I638" t="n">
        <v>0</v>
      </c>
      <c r="J638" t="n">
        <v>0</v>
      </c>
      <c r="K638" t="n">
        <v>0</v>
      </c>
      <c r="L638" t="n">
        <v>0</v>
      </c>
      <c r="M638" t="n">
        <v>0</v>
      </c>
      <c r="N638" t="n">
        <v>0</v>
      </c>
      <c r="O638" t="n">
        <v>0</v>
      </c>
      <c r="P638" t="n">
        <v>0</v>
      </c>
      <c r="Q638" t="n">
        <v>0</v>
      </c>
      <c r="R638" s="2" t="inlineStr"/>
    </row>
    <row r="639" ht="15" customHeight="1">
      <c r="A639" t="inlineStr">
        <is>
          <t>A 45953-2023</t>
        </is>
      </c>
      <c r="B639" s="1" t="n">
        <v>45195.94672453704</v>
      </c>
      <c r="C639" s="1" t="n">
        <v>46092</v>
      </c>
      <c r="D639" t="inlineStr">
        <is>
          <t>JÄMTLANDS LÄN</t>
        </is>
      </c>
      <c r="E639" t="inlineStr">
        <is>
          <t>RAGUNDA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16982-2024</t>
        </is>
      </c>
      <c r="B640" s="1" t="n">
        <v>45412.02506944445</v>
      </c>
      <c r="C640" s="1" t="n">
        <v>46092</v>
      </c>
      <c r="D640" t="inlineStr">
        <is>
          <t>JÄMTLANDS LÄN</t>
        </is>
      </c>
      <c r="E640" t="inlineStr">
        <is>
          <t>RAGUNDA</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33650-2025</t>
        </is>
      </c>
      <c r="B641" s="1" t="n">
        <v>45841</v>
      </c>
      <c r="C641" s="1" t="n">
        <v>46092</v>
      </c>
      <c r="D641" t="inlineStr">
        <is>
          <t>JÄMTLANDS LÄN</t>
        </is>
      </c>
      <c r="E641" t="inlineStr">
        <is>
          <t>RAGUNDA</t>
        </is>
      </c>
      <c r="G641" t="n">
        <v>1.4</v>
      </c>
      <c r="H641" t="n">
        <v>0</v>
      </c>
      <c r="I641" t="n">
        <v>0</v>
      </c>
      <c r="J641" t="n">
        <v>0</v>
      </c>
      <c r="K641" t="n">
        <v>0</v>
      </c>
      <c r="L641" t="n">
        <v>0</v>
      </c>
      <c r="M641" t="n">
        <v>0</v>
      </c>
      <c r="N641" t="n">
        <v>0</v>
      </c>
      <c r="O641" t="n">
        <v>0</v>
      </c>
      <c r="P641" t="n">
        <v>0</v>
      </c>
      <c r="Q641" t="n">
        <v>0</v>
      </c>
      <c r="R641" s="2" t="inlineStr"/>
    </row>
    <row r="642" ht="15" customHeight="1">
      <c r="A642" t="inlineStr">
        <is>
          <t>A 49650-2024</t>
        </is>
      </c>
      <c r="B642" s="1" t="n">
        <v>45596.61569444444</v>
      </c>
      <c r="C642" s="1" t="n">
        <v>46092</v>
      </c>
      <c r="D642" t="inlineStr">
        <is>
          <t>JÄMTLANDS LÄN</t>
        </is>
      </c>
      <c r="E642" t="inlineStr">
        <is>
          <t>RAGUNDA</t>
        </is>
      </c>
      <c r="F642" t="inlineStr">
        <is>
          <t>Naturvårdsverket</t>
        </is>
      </c>
      <c r="G642" t="n">
        <v>3</v>
      </c>
      <c r="H642" t="n">
        <v>0</v>
      </c>
      <c r="I642" t="n">
        <v>0</v>
      </c>
      <c r="J642" t="n">
        <v>0</v>
      </c>
      <c r="K642" t="n">
        <v>0</v>
      </c>
      <c r="L642" t="n">
        <v>0</v>
      </c>
      <c r="M642" t="n">
        <v>0</v>
      </c>
      <c r="N642" t="n">
        <v>0</v>
      </c>
      <c r="O642" t="n">
        <v>0</v>
      </c>
      <c r="P642" t="n">
        <v>0</v>
      </c>
      <c r="Q642" t="n">
        <v>0</v>
      </c>
      <c r="R642" s="2" t="inlineStr"/>
    </row>
    <row r="643" ht="15" customHeight="1">
      <c r="A643" t="inlineStr">
        <is>
          <t>A 49651-2024</t>
        </is>
      </c>
      <c r="B643" s="1" t="n">
        <v>45596.61582175926</v>
      </c>
      <c r="C643" s="1" t="n">
        <v>46092</v>
      </c>
      <c r="D643" t="inlineStr">
        <is>
          <t>JÄMTLANDS LÄN</t>
        </is>
      </c>
      <c r="E643" t="inlineStr">
        <is>
          <t>RAGUNDA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63828-2025</t>
        </is>
      </c>
      <c r="B644" s="1" t="n">
        <v>46020.37814814815</v>
      </c>
      <c r="C644" s="1" t="n">
        <v>46092</v>
      </c>
      <c r="D644" t="inlineStr">
        <is>
          <t>JÄMTLANDS LÄN</t>
        </is>
      </c>
      <c r="E644" t="inlineStr">
        <is>
          <t>RAGUNDA</t>
        </is>
      </c>
      <c r="G644" t="n">
        <v>4.7</v>
      </c>
      <c r="H644" t="n">
        <v>0</v>
      </c>
      <c r="I644" t="n">
        <v>0</v>
      </c>
      <c r="J644" t="n">
        <v>0</v>
      </c>
      <c r="K644" t="n">
        <v>0</v>
      </c>
      <c r="L644" t="n">
        <v>0</v>
      </c>
      <c r="M644" t="n">
        <v>0</v>
      </c>
      <c r="N644" t="n">
        <v>0</v>
      </c>
      <c r="O644" t="n">
        <v>0</v>
      </c>
      <c r="P644" t="n">
        <v>0</v>
      </c>
      <c r="Q644" t="n">
        <v>0</v>
      </c>
      <c r="R644" s="2" t="inlineStr"/>
    </row>
    <row r="645" ht="15" customHeight="1">
      <c r="A645" t="inlineStr">
        <is>
          <t>A 45894-2025</t>
        </is>
      </c>
      <c r="B645" s="1" t="n">
        <v>45923.67765046296</v>
      </c>
      <c r="C645" s="1" t="n">
        <v>46092</v>
      </c>
      <c r="D645" t="inlineStr">
        <is>
          <t>JÄMTLANDS LÄN</t>
        </is>
      </c>
      <c r="E645" t="inlineStr">
        <is>
          <t>RAGUNDA</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46092</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64264-2023</t>
        </is>
      </c>
      <c r="B647" s="1" t="n">
        <v>45279.94564814815</v>
      </c>
      <c r="C647" s="1" t="n">
        <v>46092</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25350-2025</t>
        </is>
      </c>
      <c r="B648" s="1" t="n">
        <v>45800</v>
      </c>
      <c r="C648" s="1" t="n">
        <v>46092</v>
      </c>
      <c r="D648" t="inlineStr">
        <is>
          <t>JÄMTLANDS LÄN</t>
        </is>
      </c>
      <c r="E648" t="inlineStr">
        <is>
          <t>RAGUNDA</t>
        </is>
      </c>
      <c r="G648" t="n">
        <v>2.4</v>
      </c>
      <c r="H648" t="n">
        <v>0</v>
      </c>
      <c r="I648" t="n">
        <v>0</v>
      </c>
      <c r="J648" t="n">
        <v>0</v>
      </c>
      <c r="K648" t="n">
        <v>0</v>
      </c>
      <c r="L648" t="n">
        <v>0</v>
      </c>
      <c r="M648" t="n">
        <v>0</v>
      </c>
      <c r="N648" t="n">
        <v>0</v>
      </c>
      <c r="O648" t="n">
        <v>0</v>
      </c>
      <c r="P648" t="n">
        <v>0</v>
      </c>
      <c r="Q648" t="n">
        <v>0</v>
      </c>
      <c r="R648" s="2" t="inlineStr"/>
    </row>
    <row r="649" ht="15" customHeight="1">
      <c r="A649" t="inlineStr">
        <is>
          <t>A 557-2026</t>
        </is>
      </c>
      <c r="B649" s="1" t="n">
        <v>46021</v>
      </c>
      <c r="C649" s="1" t="n">
        <v>46092</v>
      </c>
      <c r="D649" t="inlineStr">
        <is>
          <t>JÄMTLANDS LÄN</t>
        </is>
      </c>
      <c r="E649" t="inlineStr">
        <is>
          <t>RAGUNDA</t>
        </is>
      </c>
      <c r="G649" t="n">
        <v>1.5</v>
      </c>
      <c r="H649" t="n">
        <v>0</v>
      </c>
      <c r="I649" t="n">
        <v>0</v>
      </c>
      <c r="J649" t="n">
        <v>0</v>
      </c>
      <c r="K649" t="n">
        <v>0</v>
      </c>
      <c r="L649" t="n">
        <v>0</v>
      </c>
      <c r="M649" t="n">
        <v>0</v>
      </c>
      <c r="N649" t="n">
        <v>0</v>
      </c>
      <c r="O649" t="n">
        <v>0</v>
      </c>
      <c r="P649" t="n">
        <v>0</v>
      </c>
      <c r="Q649" t="n">
        <v>0</v>
      </c>
      <c r="R649" s="2" t="inlineStr"/>
    </row>
    <row r="650" ht="15" customHeight="1">
      <c r="A650" t="inlineStr">
        <is>
          <t>A 25152-2025</t>
        </is>
      </c>
      <c r="B650" s="1" t="n">
        <v>45800.42743055556</v>
      </c>
      <c r="C650" s="1" t="n">
        <v>46092</v>
      </c>
      <c r="D650" t="inlineStr">
        <is>
          <t>JÄMTLANDS LÄN</t>
        </is>
      </c>
      <c r="E650" t="inlineStr">
        <is>
          <t>RAGUNDA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7777-2026</t>
        </is>
      </c>
      <c r="B651" s="1" t="n">
        <v>46062.57324074074</v>
      </c>
      <c r="C651" s="1" t="n">
        <v>46092</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19613-2023</t>
        </is>
      </c>
      <c r="B652" s="1" t="n">
        <v>45050.94020833333</v>
      </c>
      <c r="C652" s="1" t="n">
        <v>46092</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25814-2025</t>
        </is>
      </c>
      <c r="B653" s="1" t="n">
        <v>45804.42642361111</v>
      </c>
      <c r="C653" s="1" t="n">
        <v>46092</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25944-2025</t>
        </is>
      </c>
      <c r="B654" s="1" t="n">
        <v>45804.59487268519</v>
      </c>
      <c r="C654" s="1" t="n">
        <v>46092</v>
      </c>
      <c r="D654" t="inlineStr">
        <is>
          <t>JÄMTLANDS LÄN</t>
        </is>
      </c>
      <c r="E654" t="inlineStr">
        <is>
          <t>RAGUNDA</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46275-2025</t>
        </is>
      </c>
      <c r="B655" s="1" t="n">
        <v>45925.3711574074</v>
      </c>
      <c r="C655" s="1" t="n">
        <v>46092</v>
      </c>
      <c r="D655" t="inlineStr">
        <is>
          <t>JÄMTLANDS LÄN</t>
        </is>
      </c>
      <c r="E655" t="inlineStr">
        <is>
          <t>RAGUNDA</t>
        </is>
      </c>
      <c r="G655" t="n">
        <v>2.7</v>
      </c>
      <c r="H655" t="n">
        <v>0</v>
      </c>
      <c r="I655" t="n">
        <v>0</v>
      </c>
      <c r="J655" t="n">
        <v>0</v>
      </c>
      <c r="K655" t="n">
        <v>0</v>
      </c>
      <c r="L655" t="n">
        <v>0</v>
      </c>
      <c r="M655" t="n">
        <v>0</v>
      </c>
      <c r="N655" t="n">
        <v>0</v>
      </c>
      <c r="O655" t="n">
        <v>0</v>
      </c>
      <c r="P655" t="n">
        <v>0</v>
      </c>
      <c r="Q655" t="n">
        <v>0</v>
      </c>
      <c r="R655" s="2" t="inlineStr"/>
    </row>
    <row r="656" ht="15" customHeight="1">
      <c r="A656" t="inlineStr">
        <is>
          <t>A 8067-2026</t>
        </is>
      </c>
      <c r="B656" s="1" t="n">
        <v>46063.6358912037</v>
      </c>
      <c r="C656" s="1" t="n">
        <v>46092</v>
      </c>
      <c r="D656" t="inlineStr">
        <is>
          <t>JÄMTLANDS LÄN</t>
        </is>
      </c>
      <c r="E656" t="inlineStr">
        <is>
          <t>RAGUNDA</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42893-2022</t>
        </is>
      </c>
      <c r="B657" s="1" t="n">
        <v>44832</v>
      </c>
      <c r="C657" s="1" t="n">
        <v>46092</v>
      </c>
      <c r="D657" t="inlineStr">
        <is>
          <t>JÄMTLANDS LÄN</t>
        </is>
      </c>
      <c r="E657" t="inlineStr">
        <is>
          <t>RAGUNDA</t>
        </is>
      </c>
      <c r="F657" t="inlineStr">
        <is>
          <t>SCA</t>
        </is>
      </c>
      <c r="G657" t="n">
        <v>28.4</v>
      </c>
      <c r="H657" t="n">
        <v>0</v>
      </c>
      <c r="I657" t="n">
        <v>0</v>
      </c>
      <c r="J657" t="n">
        <v>0</v>
      </c>
      <c r="K657" t="n">
        <v>0</v>
      </c>
      <c r="L657" t="n">
        <v>0</v>
      </c>
      <c r="M657" t="n">
        <v>0</v>
      </c>
      <c r="N657" t="n">
        <v>0</v>
      </c>
      <c r="O657" t="n">
        <v>0</v>
      </c>
      <c r="P657" t="n">
        <v>0</v>
      </c>
      <c r="Q657" t="n">
        <v>0</v>
      </c>
      <c r="R657" s="2" t="inlineStr"/>
    </row>
    <row r="658" ht="15" customHeight="1">
      <c r="A658" t="inlineStr">
        <is>
          <t>A 26283-2025</t>
        </is>
      </c>
      <c r="B658" s="1" t="n">
        <v>45805.61495370371</v>
      </c>
      <c r="C658" s="1" t="n">
        <v>46092</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10788-2025</t>
        </is>
      </c>
      <c r="B659" s="1" t="n">
        <v>45722.48982638889</v>
      </c>
      <c r="C659" s="1" t="n">
        <v>46092</v>
      </c>
      <c r="D659" t="inlineStr">
        <is>
          <t>JÄMTLANDS LÄN</t>
        </is>
      </c>
      <c r="E659" t="inlineStr">
        <is>
          <t>RAGUNDA</t>
        </is>
      </c>
      <c r="G659" t="n">
        <v>3.5</v>
      </c>
      <c r="H659" t="n">
        <v>0</v>
      </c>
      <c r="I659" t="n">
        <v>0</v>
      </c>
      <c r="J659" t="n">
        <v>0</v>
      </c>
      <c r="K659" t="n">
        <v>0</v>
      </c>
      <c r="L659" t="n">
        <v>0</v>
      </c>
      <c r="M659" t="n">
        <v>0</v>
      </c>
      <c r="N659" t="n">
        <v>0</v>
      </c>
      <c r="O659" t="n">
        <v>0</v>
      </c>
      <c r="P659" t="n">
        <v>0</v>
      </c>
      <c r="Q659" t="n">
        <v>0</v>
      </c>
      <c r="R659" s="2" t="inlineStr"/>
    </row>
    <row r="660" ht="15" customHeight="1">
      <c r="A660" t="inlineStr">
        <is>
          <t>A 24258-2025</t>
        </is>
      </c>
      <c r="B660" s="1" t="n">
        <v>45797.40800925926</v>
      </c>
      <c r="C660" s="1" t="n">
        <v>46092</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46825-2025</t>
        </is>
      </c>
      <c r="B661" s="1" t="n">
        <v>45926.92506944444</v>
      </c>
      <c r="C661" s="1" t="n">
        <v>46092</v>
      </c>
      <c r="D661" t="inlineStr">
        <is>
          <t>JÄMTLANDS LÄN</t>
        </is>
      </c>
      <c r="E661" t="inlineStr">
        <is>
          <t>RAGUNDA</t>
        </is>
      </c>
      <c r="G661" t="n">
        <v>1.4</v>
      </c>
      <c r="H661" t="n">
        <v>0</v>
      </c>
      <c r="I661" t="n">
        <v>0</v>
      </c>
      <c r="J661" t="n">
        <v>0</v>
      </c>
      <c r="K661" t="n">
        <v>0</v>
      </c>
      <c r="L661" t="n">
        <v>0</v>
      </c>
      <c r="M661" t="n">
        <v>0</v>
      </c>
      <c r="N661" t="n">
        <v>0</v>
      </c>
      <c r="O661" t="n">
        <v>0</v>
      </c>
      <c r="P661" t="n">
        <v>0</v>
      </c>
      <c r="Q661" t="n">
        <v>0</v>
      </c>
      <c r="R661" s="2" t="inlineStr"/>
    </row>
    <row r="662" ht="15" customHeight="1">
      <c r="A662" t="inlineStr">
        <is>
          <t>A 25994-2025</t>
        </is>
      </c>
      <c r="B662" s="1" t="n">
        <v>45804.65672453704</v>
      </c>
      <c r="C662" s="1" t="n">
        <v>46092</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46710-2025</t>
        </is>
      </c>
      <c r="B663" s="1" t="n">
        <v>45926.57337962963</v>
      </c>
      <c r="C663" s="1" t="n">
        <v>46092</v>
      </c>
      <c r="D663" t="inlineStr">
        <is>
          <t>JÄMTLANDS LÄN</t>
        </is>
      </c>
      <c r="E663" t="inlineStr">
        <is>
          <t>RAGUNDA</t>
        </is>
      </c>
      <c r="F663" t="inlineStr">
        <is>
          <t>SCA</t>
        </is>
      </c>
      <c r="G663" t="n">
        <v>6</v>
      </c>
      <c r="H663" t="n">
        <v>0</v>
      </c>
      <c r="I663" t="n">
        <v>0</v>
      </c>
      <c r="J663" t="n">
        <v>0</v>
      </c>
      <c r="K663" t="n">
        <v>0</v>
      </c>
      <c r="L663" t="n">
        <v>0</v>
      </c>
      <c r="M663" t="n">
        <v>0</v>
      </c>
      <c r="N663" t="n">
        <v>0</v>
      </c>
      <c r="O663" t="n">
        <v>0</v>
      </c>
      <c r="P663" t="n">
        <v>0</v>
      </c>
      <c r="Q663" t="n">
        <v>0</v>
      </c>
      <c r="R663" s="2" t="inlineStr"/>
    </row>
    <row r="664" ht="15" customHeight="1">
      <c r="A664" t="inlineStr">
        <is>
          <t>A 47075-2025</t>
        </is>
      </c>
      <c r="B664" s="1" t="n">
        <v>45929.63728009259</v>
      </c>
      <c r="C664" s="1" t="n">
        <v>46092</v>
      </c>
      <c r="D664" t="inlineStr">
        <is>
          <t>JÄMTLANDS LÄN</t>
        </is>
      </c>
      <c r="E664" t="inlineStr">
        <is>
          <t>RAGUNDA</t>
        </is>
      </c>
      <c r="F664" t="inlineStr">
        <is>
          <t>SCA</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29940-2023</t>
        </is>
      </c>
      <c r="B665" s="1" t="n">
        <v>45107</v>
      </c>
      <c r="C665" s="1" t="n">
        <v>46092</v>
      </c>
      <c r="D665" t="inlineStr">
        <is>
          <t>JÄMTLANDS LÄN</t>
        </is>
      </c>
      <c r="E665" t="inlineStr">
        <is>
          <t>RAGUNDA</t>
        </is>
      </c>
      <c r="G665" t="n">
        <v>13.5</v>
      </c>
      <c r="H665" t="n">
        <v>0</v>
      </c>
      <c r="I665" t="n">
        <v>0</v>
      </c>
      <c r="J665" t="n">
        <v>0</v>
      </c>
      <c r="K665" t="n">
        <v>0</v>
      </c>
      <c r="L665" t="n">
        <v>0</v>
      </c>
      <c r="M665" t="n">
        <v>0</v>
      </c>
      <c r="N665" t="n">
        <v>0</v>
      </c>
      <c r="O665" t="n">
        <v>0</v>
      </c>
      <c r="P665" t="n">
        <v>0</v>
      </c>
      <c r="Q665" t="n">
        <v>0</v>
      </c>
      <c r="R665" s="2" t="inlineStr"/>
    </row>
    <row r="666" ht="15" customHeight="1">
      <c r="A666" t="inlineStr">
        <is>
          <t>A 47119-2025</t>
        </is>
      </c>
      <c r="B666" s="1" t="n">
        <v>45929.67795138889</v>
      </c>
      <c r="C666" s="1" t="n">
        <v>46092</v>
      </c>
      <c r="D666" t="inlineStr">
        <is>
          <t>JÄMTLANDS LÄN</t>
        </is>
      </c>
      <c r="E666" t="inlineStr">
        <is>
          <t>RAGUNDA</t>
        </is>
      </c>
      <c r="F666" t="inlineStr">
        <is>
          <t>SCA</t>
        </is>
      </c>
      <c r="G666" t="n">
        <v>22.7</v>
      </c>
      <c r="H666" t="n">
        <v>0</v>
      </c>
      <c r="I666" t="n">
        <v>0</v>
      </c>
      <c r="J666" t="n">
        <v>0</v>
      </c>
      <c r="K666" t="n">
        <v>0</v>
      </c>
      <c r="L666" t="n">
        <v>0</v>
      </c>
      <c r="M666" t="n">
        <v>0</v>
      </c>
      <c r="N666" t="n">
        <v>0</v>
      </c>
      <c r="O666" t="n">
        <v>0</v>
      </c>
      <c r="P666" t="n">
        <v>0</v>
      </c>
      <c r="Q666" t="n">
        <v>0</v>
      </c>
      <c r="R666" s="2" t="inlineStr"/>
    </row>
    <row r="667" ht="15" customHeight="1">
      <c r="A667" t="inlineStr">
        <is>
          <t>A 46689-2025</t>
        </is>
      </c>
      <c r="B667" s="1" t="n">
        <v>45926.55307870371</v>
      </c>
      <c r="C667" s="1" t="n">
        <v>46092</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46909-2025</t>
        </is>
      </c>
      <c r="B668" s="1" t="n">
        <v>45929.40673611111</v>
      </c>
      <c r="C668" s="1" t="n">
        <v>46092</v>
      </c>
      <c r="D668" t="inlineStr">
        <is>
          <t>JÄMTLANDS LÄN</t>
        </is>
      </c>
      <c r="E668" t="inlineStr">
        <is>
          <t>RAGUNDA</t>
        </is>
      </c>
      <c r="G668" t="n">
        <v>5.7</v>
      </c>
      <c r="H668" t="n">
        <v>0</v>
      </c>
      <c r="I668" t="n">
        <v>0</v>
      </c>
      <c r="J668" t="n">
        <v>0</v>
      </c>
      <c r="K668" t="n">
        <v>0</v>
      </c>
      <c r="L668" t="n">
        <v>0</v>
      </c>
      <c r="M668" t="n">
        <v>0</v>
      </c>
      <c r="N668" t="n">
        <v>0</v>
      </c>
      <c r="O668" t="n">
        <v>0</v>
      </c>
      <c r="P668" t="n">
        <v>0</v>
      </c>
      <c r="Q668" t="n">
        <v>0</v>
      </c>
      <c r="R668" s="2" t="inlineStr"/>
    </row>
    <row r="669" ht="15" customHeight="1">
      <c r="A669" t="inlineStr">
        <is>
          <t>A 26172-2025</t>
        </is>
      </c>
      <c r="B669" s="1" t="n">
        <v>45805.46613425926</v>
      </c>
      <c r="C669" s="1" t="n">
        <v>46092</v>
      </c>
      <c r="D669" t="inlineStr">
        <is>
          <t>JÄMTLANDS LÄN</t>
        </is>
      </c>
      <c r="E669" t="inlineStr">
        <is>
          <t>RAGUNDA</t>
        </is>
      </c>
      <c r="G669" t="n">
        <v>2.1</v>
      </c>
      <c r="H669" t="n">
        <v>0</v>
      </c>
      <c r="I669" t="n">
        <v>0</v>
      </c>
      <c r="J669" t="n">
        <v>0</v>
      </c>
      <c r="K669" t="n">
        <v>0</v>
      </c>
      <c r="L669" t="n">
        <v>0</v>
      </c>
      <c r="M669" t="n">
        <v>0</v>
      </c>
      <c r="N669" t="n">
        <v>0</v>
      </c>
      <c r="O669" t="n">
        <v>0</v>
      </c>
      <c r="P669" t="n">
        <v>0</v>
      </c>
      <c r="Q669" t="n">
        <v>0</v>
      </c>
      <c r="R669" s="2" t="inlineStr"/>
    </row>
    <row r="670" ht="15" customHeight="1">
      <c r="A670" t="inlineStr">
        <is>
          <t>A 47122-2025</t>
        </is>
      </c>
      <c r="B670" s="1" t="n">
        <v>45929.67878472222</v>
      </c>
      <c r="C670" s="1" t="n">
        <v>46092</v>
      </c>
      <c r="D670" t="inlineStr">
        <is>
          <t>JÄMTLANDS LÄN</t>
        </is>
      </c>
      <c r="E670" t="inlineStr">
        <is>
          <t>RAGUNDA</t>
        </is>
      </c>
      <c r="F670" t="inlineStr">
        <is>
          <t>SCA</t>
        </is>
      </c>
      <c r="G670" t="n">
        <v>31.1</v>
      </c>
      <c r="H670" t="n">
        <v>0</v>
      </c>
      <c r="I670" t="n">
        <v>0</v>
      </c>
      <c r="J670" t="n">
        <v>0</v>
      </c>
      <c r="K670" t="n">
        <v>0</v>
      </c>
      <c r="L670" t="n">
        <v>0</v>
      </c>
      <c r="M670" t="n">
        <v>0</v>
      </c>
      <c r="N670" t="n">
        <v>0</v>
      </c>
      <c r="O670" t="n">
        <v>0</v>
      </c>
      <c r="P670" t="n">
        <v>0</v>
      </c>
      <c r="Q670" t="n">
        <v>0</v>
      </c>
      <c r="R670" s="2" t="inlineStr"/>
    </row>
    <row r="671" ht="15" customHeight="1">
      <c r="A671" t="inlineStr">
        <is>
          <t>A 46974-2025</t>
        </is>
      </c>
      <c r="B671" s="1" t="n">
        <v>45929.51104166666</v>
      </c>
      <c r="C671" s="1" t="n">
        <v>46092</v>
      </c>
      <c r="D671" t="inlineStr">
        <is>
          <t>JÄMTLANDS LÄN</t>
        </is>
      </c>
      <c r="E671" t="inlineStr">
        <is>
          <t>RAGUNDA</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46751-2025</t>
        </is>
      </c>
      <c r="B672" s="1" t="n">
        <v>45926.6153125</v>
      </c>
      <c r="C672" s="1" t="n">
        <v>46092</v>
      </c>
      <c r="D672" t="inlineStr">
        <is>
          <t>JÄMTLANDS LÄN</t>
        </is>
      </c>
      <c r="E672" t="inlineStr">
        <is>
          <t>RAGUNDA</t>
        </is>
      </c>
      <c r="F672" t="inlineStr">
        <is>
          <t>SCA</t>
        </is>
      </c>
      <c r="G672" t="n">
        <v>7.8</v>
      </c>
      <c r="H672" t="n">
        <v>0</v>
      </c>
      <c r="I672" t="n">
        <v>0</v>
      </c>
      <c r="J672" t="n">
        <v>0</v>
      </c>
      <c r="K672" t="n">
        <v>0</v>
      </c>
      <c r="L672" t="n">
        <v>0</v>
      </c>
      <c r="M672" t="n">
        <v>0</v>
      </c>
      <c r="N672" t="n">
        <v>0</v>
      </c>
      <c r="O672" t="n">
        <v>0</v>
      </c>
      <c r="P672" t="n">
        <v>0</v>
      </c>
      <c r="Q672" t="n">
        <v>0</v>
      </c>
      <c r="R672" s="2" t="inlineStr"/>
    </row>
    <row r="673" ht="15" customHeight="1">
      <c r="A673" t="inlineStr">
        <is>
          <t>A 46753-2025</t>
        </is>
      </c>
      <c r="B673" s="1" t="n">
        <v>45926.61552083334</v>
      </c>
      <c r="C673" s="1" t="n">
        <v>46092</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26246-2025</t>
        </is>
      </c>
      <c r="B674" s="1" t="n">
        <v>45805.57390046296</v>
      </c>
      <c r="C674" s="1" t="n">
        <v>46092</v>
      </c>
      <c r="D674" t="inlineStr">
        <is>
          <t>JÄMTLANDS LÄN</t>
        </is>
      </c>
      <c r="E674" t="inlineStr">
        <is>
          <t>RAGUNDA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47037-2025</t>
        </is>
      </c>
      <c r="B675" s="1" t="n">
        <v>45929.59456018519</v>
      </c>
      <c r="C675" s="1" t="n">
        <v>46092</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222-2026</t>
        </is>
      </c>
      <c r="B676" s="1" t="n">
        <v>46026.84054398148</v>
      </c>
      <c r="C676" s="1" t="n">
        <v>46092</v>
      </c>
      <c r="D676" t="inlineStr">
        <is>
          <t>JÄMTLANDS LÄN</t>
        </is>
      </c>
      <c r="E676" t="inlineStr">
        <is>
          <t>RAGUNDA</t>
        </is>
      </c>
      <c r="G676" t="n">
        <v>10.6</v>
      </c>
      <c r="H676" t="n">
        <v>0</v>
      </c>
      <c r="I676" t="n">
        <v>0</v>
      </c>
      <c r="J676" t="n">
        <v>0</v>
      </c>
      <c r="K676" t="n">
        <v>0</v>
      </c>
      <c r="L676" t="n">
        <v>0</v>
      </c>
      <c r="M676" t="n">
        <v>0</v>
      </c>
      <c r="N676" t="n">
        <v>0</v>
      </c>
      <c r="O676" t="n">
        <v>0</v>
      </c>
      <c r="P676" t="n">
        <v>0</v>
      </c>
      <c r="Q676" t="n">
        <v>0</v>
      </c>
      <c r="R676" s="2" t="inlineStr"/>
    </row>
    <row r="677" ht="15" customHeight="1">
      <c r="A677" t="inlineStr">
        <is>
          <t>A 23303-2024</t>
        </is>
      </c>
      <c r="B677" s="1" t="n">
        <v>45453.4444212963</v>
      </c>
      <c r="C677" s="1" t="n">
        <v>46092</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265-2026</t>
        </is>
      </c>
      <c r="B678" s="1" t="n">
        <v>46027.44956018519</v>
      </c>
      <c r="C678" s="1" t="n">
        <v>46092</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179-2025</t>
        </is>
      </c>
      <c r="B679" s="1" t="n">
        <v>45659.69822916666</v>
      </c>
      <c r="C679" s="1" t="n">
        <v>46092</v>
      </c>
      <c r="D679" t="inlineStr">
        <is>
          <t>JÄMTLANDS LÄN</t>
        </is>
      </c>
      <c r="E679" t="inlineStr">
        <is>
          <t>RAGUNDA</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122-2026</t>
        </is>
      </c>
      <c r="B680" s="1" t="n">
        <v>46024.57335648148</v>
      </c>
      <c r="C680" s="1" t="n">
        <v>46092</v>
      </c>
      <c r="D680" t="inlineStr">
        <is>
          <t>JÄMTLANDS LÄN</t>
        </is>
      </c>
      <c r="E680" t="inlineStr">
        <is>
          <t>RAGUNDA</t>
        </is>
      </c>
      <c r="F680" t="inlineStr">
        <is>
          <t>SCA</t>
        </is>
      </c>
      <c r="G680" t="n">
        <v>15.3</v>
      </c>
      <c r="H680" t="n">
        <v>0</v>
      </c>
      <c r="I680" t="n">
        <v>0</v>
      </c>
      <c r="J680" t="n">
        <v>0</v>
      </c>
      <c r="K680" t="n">
        <v>0</v>
      </c>
      <c r="L680" t="n">
        <v>0</v>
      </c>
      <c r="M680" t="n">
        <v>0</v>
      </c>
      <c r="N680" t="n">
        <v>0</v>
      </c>
      <c r="O680" t="n">
        <v>0</v>
      </c>
      <c r="P680" t="n">
        <v>0</v>
      </c>
      <c r="Q680" t="n">
        <v>0</v>
      </c>
      <c r="R680" s="2" t="inlineStr"/>
    </row>
    <row r="681" ht="15" customHeight="1">
      <c r="A681" t="inlineStr">
        <is>
          <t>A 9042-2026</t>
        </is>
      </c>
      <c r="B681" s="1" t="n">
        <v>46069.54721064815</v>
      </c>
      <c r="C681" s="1" t="n">
        <v>46092</v>
      </c>
      <c r="D681" t="inlineStr">
        <is>
          <t>JÄMTLANDS LÄN</t>
        </is>
      </c>
      <c r="E681" t="inlineStr">
        <is>
          <t>RAGUNDA</t>
        </is>
      </c>
      <c r="G681" t="n">
        <v>1.7</v>
      </c>
      <c r="H681" t="n">
        <v>0</v>
      </c>
      <c r="I681" t="n">
        <v>0</v>
      </c>
      <c r="J681" t="n">
        <v>0</v>
      </c>
      <c r="K681" t="n">
        <v>0</v>
      </c>
      <c r="L681" t="n">
        <v>0</v>
      </c>
      <c r="M681" t="n">
        <v>0</v>
      </c>
      <c r="N681" t="n">
        <v>0</v>
      </c>
      <c r="O681" t="n">
        <v>0</v>
      </c>
      <c r="P681" t="n">
        <v>0</v>
      </c>
      <c r="Q681" t="n">
        <v>0</v>
      </c>
      <c r="R681" s="2" t="inlineStr"/>
    </row>
    <row r="682" ht="15" customHeight="1">
      <c r="A682" t="inlineStr">
        <is>
          <t>A 22412-2024</t>
        </is>
      </c>
      <c r="B682" s="1" t="n">
        <v>45446.68947916666</v>
      </c>
      <c r="C682" s="1" t="n">
        <v>46092</v>
      </c>
      <c r="D682" t="inlineStr">
        <is>
          <t>JÄMTLANDS LÄN</t>
        </is>
      </c>
      <c r="E682" t="inlineStr">
        <is>
          <t>RAGUNDA</t>
        </is>
      </c>
      <c r="G682" t="n">
        <v>0.8</v>
      </c>
      <c r="H682" t="n">
        <v>0</v>
      </c>
      <c r="I682" t="n">
        <v>0</v>
      </c>
      <c r="J682" t="n">
        <v>0</v>
      </c>
      <c r="K682" t="n">
        <v>0</v>
      </c>
      <c r="L682" t="n">
        <v>0</v>
      </c>
      <c r="M682" t="n">
        <v>0</v>
      </c>
      <c r="N682" t="n">
        <v>0</v>
      </c>
      <c r="O682" t="n">
        <v>0</v>
      </c>
      <c r="P682" t="n">
        <v>0</v>
      </c>
      <c r="Q682" t="n">
        <v>0</v>
      </c>
      <c r="R682" s="2" t="inlineStr"/>
    </row>
    <row r="683" ht="15" customHeight="1">
      <c r="A683" t="inlineStr">
        <is>
          <t>A 9097-2026</t>
        </is>
      </c>
      <c r="B683" s="1" t="n">
        <v>46069.63592592593</v>
      </c>
      <c r="C683" s="1" t="n">
        <v>46092</v>
      </c>
      <c r="D683" t="inlineStr">
        <is>
          <t>JÄMTLANDS LÄN</t>
        </is>
      </c>
      <c r="E683" t="inlineStr">
        <is>
          <t>RAGUNDA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19438-2023</t>
        </is>
      </c>
      <c r="B684" s="1" t="n">
        <v>45049</v>
      </c>
      <c r="C684" s="1" t="n">
        <v>46092</v>
      </c>
      <c r="D684" t="inlineStr">
        <is>
          <t>JÄMTLANDS LÄN</t>
        </is>
      </c>
      <c r="E684" t="inlineStr">
        <is>
          <t>RAGUNDA</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73278-2021</t>
        </is>
      </c>
      <c r="B685" s="1" t="n">
        <v>44550.92168981482</v>
      </c>
      <c r="C685" s="1" t="n">
        <v>46092</v>
      </c>
      <c r="D685" t="inlineStr">
        <is>
          <t>JÄMTLANDS LÄN</t>
        </is>
      </c>
      <c r="E685" t="inlineStr">
        <is>
          <t>RAGUNDA</t>
        </is>
      </c>
      <c r="G685" t="n">
        <v>4.4</v>
      </c>
      <c r="H685" t="n">
        <v>0</v>
      </c>
      <c r="I685" t="n">
        <v>0</v>
      </c>
      <c r="J685" t="n">
        <v>0</v>
      </c>
      <c r="K685" t="n">
        <v>0</v>
      </c>
      <c r="L685" t="n">
        <v>0</v>
      </c>
      <c r="M685" t="n">
        <v>0</v>
      </c>
      <c r="N685" t="n">
        <v>0</v>
      </c>
      <c r="O685" t="n">
        <v>0</v>
      </c>
      <c r="P685" t="n">
        <v>0</v>
      </c>
      <c r="Q685" t="n">
        <v>0</v>
      </c>
      <c r="R685" s="2" t="inlineStr"/>
    </row>
    <row r="686" ht="15" customHeight="1">
      <c r="A686" t="inlineStr">
        <is>
          <t>A 47749-2025</t>
        </is>
      </c>
      <c r="B686" s="1" t="n">
        <v>45931.65711805555</v>
      </c>
      <c r="C686" s="1" t="n">
        <v>46092</v>
      </c>
      <c r="D686" t="inlineStr">
        <is>
          <t>JÄMTLANDS LÄN</t>
        </is>
      </c>
      <c r="E686" t="inlineStr">
        <is>
          <t>RAGUNDA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47228-2025</t>
        </is>
      </c>
      <c r="B687" s="1" t="n">
        <v>45930.3990162037</v>
      </c>
      <c r="C687" s="1" t="n">
        <v>46092</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13334-2024</t>
        </is>
      </c>
      <c r="B688" s="1" t="n">
        <v>45386</v>
      </c>
      <c r="C688" s="1" t="n">
        <v>46092</v>
      </c>
      <c r="D688" t="inlineStr">
        <is>
          <t>JÄMTLANDS LÄN</t>
        </is>
      </c>
      <c r="E688" t="inlineStr">
        <is>
          <t>RAGUNDA</t>
        </is>
      </c>
      <c r="G688" t="n">
        <v>8.6</v>
      </c>
      <c r="H688" t="n">
        <v>0</v>
      </c>
      <c r="I688" t="n">
        <v>0</v>
      </c>
      <c r="J688" t="n">
        <v>0</v>
      </c>
      <c r="K688" t="n">
        <v>0</v>
      </c>
      <c r="L688" t="n">
        <v>0</v>
      </c>
      <c r="M688" t="n">
        <v>0</v>
      </c>
      <c r="N688" t="n">
        <v>0</v>
      </c>
      <c r="O688" t="n">
        <v>0</v>
      </c>
      <c r="P688" t="n">
        <v>0</v>
      </c>
      <c r="Q688" t="n">
        <v>0</v>
      </c>
      <c r="R688" s="2" t="inlineStr"/>
    </row>
    <row r="689" ht="15" customHeight="1">
      <c r="A689" t="inlineStr">
        <is>
          <t>A 51396-2024</t>
        </is>
      </c>
      <c r="B689" s="1" t="n">
        <v>45604.4190625</v>
      </c>
      <c r="C689" s="1" t="n">
        <v>46092</v>
      </c>
      <c r="D689" t="inlineStr">
        <is>
          <t>JÄMTLANDS LÄN</t>
        </is>
      </c>
      <c r="E689" t="inlineStr">
        <is>
          <t>RAGUNDA</t>
        </is>
      </c>
      <c r="G689" t="n">
        <v>0.8</v>
      </c>
      <c r="H689" t="n">
        <v>0</v>
      </c>
      <c r="I689" t="n">
        <v>0</v>
      </c>
      <c r="J689" t="n">
        <v>0</v>
      </c>
      <c r="K689" t="n">
        <v>0</v>
      </c>
      <c r="L689" t="n">
        <v>0</v>
      </c>
      <c r="M689" t="n">
        <v>0</v>
      </c>
      <c r="N689" t="n">
        <v>0</v>
      </c>
      <c r="O689" t="n">
        <v>0</v>
      </c>
      <c r="P689" t="n">
        <v>0</v>
      </c>
      <c r="Q689" t="n">
        <v>0</v>
      </c>
      <c r="R689" s="2" t="inlineStr"/>
    </row>
    <row r="690" ht="15" customHeight="1">
      <c r="A690" t="inlineStr">
        <is>
          <t>A 60443-2023</t>
        </is>
      </c>
      <c r="B690" s="1" t="n">
        <v>45258</v>
      </c>
      <c r="C690" s="1" t="n">
        <v>46092</v>
      </c>
      <c r="D690" t="inlineStr">
        <is>
          <t>JÄMTLANDS LÄN</t>
        </is>
      </c>
      <c r="E690" t="inlineStr">
        <is>
          <t>RAGUNDA</t>
        </is>
      </c>
      <c r="G690" t="n">
        <v>2.9</v>
      </c>
      <c r="H690" t="n">
        <v>0</v>
      </c>
      <c r="I690" t="n">
        <v>0</v>
      </c>
      <c r="J690" t="n">
        <v>0</v>
      </c>
      <c r="K690" t="n">
        <v>0</v>
      </c>
      <c r="L690" t="n">
        <v>0</v>
      </c>
      <c r="M690" t="n">
        <v>0</v>
      </c>
      <c r="N690" t="n">
        <v>0</v>
      </c>
      <c r="O690" t="n">
        <v>0</v>
      </c>
      <c r="P690" t="n">
        <v>0</v>
      </c>
      <c r="Q690" t="n">
        <v>0</v>
      </c>
      <c r="R690" s="2" t="inlineStr"/>
    </row>
    <row r="691" ht="15" customHeight="1">
      <c r="A691" t="inlineStr">
        <is>
          <t>A 21726-2023</t>
        </is>
      </c>
      <c r="B691" s="1" t="n">
        <v>45065.42894675926</v>
      </c>
      <c r="C691" s="1" t="n">
        <v>46092</v>
      </c>
      <c r="D691" t="inlineStr">
        <is>
          <t>JÄMTLANDS LÄN</t>
        </is>
      </c>
      <c r="E691" t="inlineStr">
        <is>
          <t>RAGUNDA</t>
        </is>
      </c>
      <c r="G691" t="n">
        <v>0.4</v>
      </c>
      <c r="H691" t="n">
        <v>0</v>
      </c>
      <c r="I691" t="n">
        <v>0</v>
      </c>
      <c r="J691" t="n">
        <v>0</v>
      </c>
      <c r="K691" t="n">
        <v>0</v>
      </c>
      <c r="L691" t="n">
        <v>0</v>
      </c>
      <c r="M691" t="n">
        <v>0</v>
      </c>
      <c r="N691" t="n">
        <v>0</v>
      </c>
      <c r="O691" t="n">
        <v>0</v>
      </c>
      <c r="P691" t="n">
        <v>0</v>
      </c>
      <c r="Q691" t="n">
        <v>0</v>
      </c>
      <c r="R691" s="2" t="inlineStr"/>
    </row>
    <row r="692" ht="15" customHeight="1">
      <c r="A692" t="inlineStr">
        <is>
          <t>A 47229-2025</t>
        </is>
      </c>
      <c r="B692" s="1" t="n">
        <v>45930.40166666666</v>
      </c>
      <c r="C692" s="1" t="n">
        <v>46092</v>
      </c>
      <c r="D692" t="inlineStr">
        <is>
          <t>JÄMTLANDS LÄN</t>
        </is>
      </c>
      <c r="E692" t="inlineStr">
        <is>
          <t>RAGUNDA</t>
        </is>
      </c>
      <c r="G692" t="n">
        <v>1.8</v>
      </c>
      <c r="H692" t="n">
        <v>0</v>
      </c>
      <c r="I692" t="n">
        <v>0</v>
      </c>
      <c r="J692" t="n">
        <v>0</v>
      </c>
      <c r="K692" t="n">
        <v>0</v>
      </c>
      <c r="L692" t="n">
        <v>0</v>
      </c>
      <c r="M692" t="n">
        <v>0</v>
      </c>
      <c r="N692" t="n">
        <v>0</v>
      </c>
      <c r="O692" t="n">
        <v>0</v>
      </c>
      <c r="P692" t="n">
        <v>0</v>
      </c>
      <c r="Q692" t="n">
        <v>0</v>
      </c>
      <c r="R692" s="2" t="inlineStr"/>
    </row>
    <row r="693" ht="15" customHeight="1">
      <c r="A693" t="inlineStr">
        <is>
          <t>A 47748-2025</t>
        </is>
      </c>
      <c r="B693" s="1" t="n">
        <v>45931.65693287037</v>
      </c>
      <c r="C693" s="1" t="n">
        <v>46092</v>
      </c>
      <c r="D693" t="inlineStr">
        <is>
          <t>JÄMTLANDS LÄN</t>
        </is>
      </c>
      <c r="E693" t="inlineStr">
        <is>
          <t>RAGUNDA</t>
        </is>
      </c>
      <c r="F693" t="inlineStr">
        <is>
          <t>SCA</t>
        </is>
      </c>
      <c r="G693" t="n">
        <v>8.6</v>
      </c>
      <c r="H693" t="n">
        <v>0</v>
      </c>
      <c r="I693" t="n">
        <v>0</v>
      </c>
      <c r="J693" t="n">
        <v>0</v>
      </c>
      <c r="K693" t="n">
        <v>0</v>
      </c>
      <c r="L693" t="n">
        <v>0</v>
      </c>
      <c r="M693" t="n">
        <v>0</v>
      </c>
      <c r="N693" t="n">
        <v>0</v>
      </c>
      <c r="O693" t="n">
        <v>0</v>
      </c>
      <c r="P693" t="n">
        <v>0</v>
      </c>
      <c r="Q693" t="n">
        <v>0</v>
      </c>
      <c r="R693" s="2" t="inlineStr"/>
    </row>
    <row r="694" ht="15" customHeight="1">
      <c r="A694" t="inlineStr">
        <is>
          <t>A 45952-2023</t>
        </is>
      </c>
      <c r="B694" s="1" t="n">
        <v>45195</v>
      </c>
      <c r="C694" s="1" t="n">
        <v>46092</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45954-2023</t>
        </is>
      </c>
      <c r="B695" s="1" t="n">
        <v>45195.94679398148</v>
      </c>
      <c r="C695" s="1" t="n">
        <v>46092</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45955-2023</t>
        </is>
      </c>
      <c r="B696" s="1" t="n">
        <v>45195.94685185186</v>
      </c>
      <c r="C696" s="1" t="n">
        <v>46092</v>
      </c>
      <c r="D696" t="inlineStr">
        <is>
          <t>JÄMTLANDS LÄN</t>
        </is>
      </c>
      <c r="E696" t="inlineStr">
        <is>
          <t>RAGUNDA</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8312-2026</t>
        </is>
      </c>
      <c r="B697" s="1" t="n">
        <v>46064</v>
      </c>
      <c r="C697" s="1" t="n">
        <v>46092</v>
      </c>
      <c r="D697" t="inlineStr">
        <is>
          <t>JÄMTLANDS LÄN</t>
        </is>
      </c>
      <c r="E697" t="inlineStr">
        <is>
          <t>RAGUNDA</t>
        </is>
      </c>
      <c r="G697" t="n">
        <v>4.8</v>
      </c>
      <c r="H697" t="n">
        <v>0</v>
      </c>
      <c r="I697" t="n">
        <v>0</v>
      </c>
      <c r="J697" t="n">
        <v>0</v>
      </c>
      <c r="K697" t="n">
        <v>0</v>
      </c>
      <c r="L697" t="n">
        <v>0</v>
      </c>
      <c r="M697" t="n">
        <v>0</v>
      </c>
      <c r="N697" t="n">
        <v>0</v>
      </c>
      <c r="O697" t="n">
        <v>0</v>
      </c>
      <c r="P697" t="n">
        <v>0</v>
      </c>
      <c r="Q697" t="n">
        <v>0</v>
      </c>
      <c r="R697" s="2" t="inlineStr"/>
    </row>
    <row r="698" ht="15" customHeight="1">
      <c r="A698" t="inlineStr">
        <is>
          <t>A 21332-2025</t>
        </is>
      </c>
      <c r="B698" s="1" t="n">
        <v>45782.36506944444</v>
      </c>
      <c r="C698" s="1" t="n">
        <v>46092</v>
      </c>
      <c r="D698" t="inlineStr">
        <is>
          <t>JÄMTLANDS LÄN</t>
        </is>
      </c>
      <c r="E698" t="inlineStr">
        <is>
          <t>RAGUNDA</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26640-2025</t>
        </is>
      </c>
      <c r="B699" s="1" t="n">
        <v>45810.36495370371</v>
      </c>
      <c r="C699" s="1" t="n">
        <v>46092</v>
      </c>
      <c r="D699" t="inlineStr">
        <is>
          <t>JÄMTLANDS LÄN</t>
        </is>
      </c>
      <c r="E699" t="inlineStr">
        <is>
          <t>RAGUNDA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9566-2026</t>
        </is>
      </c>
      <c r="B700" s="1" t="n">
        <v>46071.65679398148</v>
      </c>
      <c r="C700" s="1" t="n">
        <v>46092</v>
      </c>
      <c r="D700" t="inlineStr">
        <is>
          <t>JÄMTLANDS LÄN</t>
        </is>
      </c>
      <c r="E700" t="inlineStr">
        <is>
          <t>RAGUNDA</t>
        </is>
      </c>
      <c r="F700" t="inlineStr">
        <is>
          <t>SCA</t>
        </is>
      </c>
      <c r="G700" t="n">
        <v>18.9</v>
      </c>
      <c r="H700" t="n">
        <v>0</v>
      </c>
      <c r="I700" t="n">
        <v>0</v>
      </c>
      <c r="J700" t="n">
        <v>0</v>
      </c>
      <c r="K700" t="n">
        <v>0</v>
      </c>
      <c r="L700" t="n">
        <v>0</v>
      </c>
      <c r="M700" t="n">
        <v>0</v>
      </c>
      <c r="N700" t="n">
        <v>0</v>
      </c>
      <c r="O700" t="n">
        <v>0</v>
      </c>
      <c r="P700" t="n">
        <v>0</v>
      </c>
      <c r="Q700" t="n">
        <v>0</v>
      </c>
      <c r="R700" s="2" t="inlineStr"/>
    </row>
    <row r="701" ht="15" customHeight="1">
      <c r="A701" t="inlineStr">
        <is>
          <t>A 60456-2023</t>
        </is>
      </c>
      <c r="B701" s="1" t="n">
        <v>45258</v>
      </c>
      <c r="C701" s="1" t="n">
        <v>46092</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16334-2025</t>
        </is>
      </c>
      <c r="B702" s="1" t="n">
        <v>45751.36490740741</v>
      </c>
      <c r="C702" s="1" t="n">
        <v>46092</v>
      </c>
      <c r="D702" t="inlineStr">
        <is>
          <t>JÄMTLANDS LÄN</t>
        </is>
      </c>
      <c r="E702" t="inlineStr">
        <is>
          <t>RAGUNDA</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9538-2026</t>
        </is>
      </c>
      <c r="B703" s="1" t="n">
        <v>46071.61511574074</v>
      </c>
      <c r="C703" s="1" t="n">
        <v>46092</v>
      </c>
      <c r="D703" t="inlineStr">
        <is>
          <t>JÄMTLANDS LÄN</t>
        </is>
      </c>
      <c r="E703" t="inlineStr">
        <is>
          <t>RAGUNDA</t>
        </is>
      </c>
      <c r="G703" t="n">
        <v>1.7</v>
      </c>
      <c r="H703" t="n">
        <v>0</v>
      </c>
      <c r="I703" t="n">
        <v>0</v>
      </c>
      <c r="J703" t="n">
        <v>0</v>
      </c>
      <c r="K703" t="n">
        <v>0</v>
      </c>
      <c r="L703" t="n">
        <v>0</v>
      </c>
      <c r="M703" t="n">
        <v>0</v>
      </c>
      <c r="N703" t="n">
        <v>0</v>
      </c>
      <c r="O703" t="n">
        <v>0</v>
      </c>
      <c r="P703" t="n">
        <v>0</v>
      </c>
      <c r="Q703" t="n">
        <v>0</v>
      </c>
      <c r="R703" s="2" t="inlineStr"/>
    </row>
    <row r="704" ht="15" customHeight="1">
      <c r="A704" t="inlineStr">
        <is>
          <t>A 58438-2022</t>
        </is>
      </c>
      <c r="B704" s="1" t="n">
        <v>44901</v>
      </c>
      <c r="C704" s="1" t="n">
        <v>46092</v>
      </c>
      <c r="D704" t="inlineStr">
        <is>
          <t>JÄMTLANDS LÄN</t>
        </is>
      </c>
      <c r="E704" t="inlineStr">
        <is>
          <t>RAGUNDA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58442-2022</t>
        </is>
      </c>
      <c r="B705" s="1" t="n">
        <v>44901</v>
      </c>
      <c r="C705" s="1" t="n">
        <v>46092</v>
      </c>
      <c r="D705" t="inlineStr">
        <is>
          <t>JÄMTLANDS LÄN</t>
        </is>
      </c>
      <c r="E705" t="inlineStr">
        <is>
          <t>RAGUNDA</t>
        </is>
      </c>
      <c r="F705" t="inlineStr">
        <is>
          <t>SCA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5806-2025</t>
        </is>
      </c>
      <c r="B706" s="1" t="n">
        <v>45694.69826388889</v>
      </c>
      <c r="C706" s="1" t="n">
        <v>46092</v>
      </c>
      <c r="D706" t="inlineStr">
        <is>
          <t>JÄMTLANDS LÄN</t>
        </is>
      </c>
      <c r="E706" t="inlineStr">
        <is>
          <t>RAGUNDA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647-2026</t>
        </is>
      </c>
      <c r="B707" s="1" t="n">
        <v>46029.57357638889</v>
      </c>
      <c r="C707" s="1" t="n">
        <v>46092</v>
      </c>
      <c r="D707" t="inlineStr">
        <is>
          <t>JÄMTLANDS LÄN</t>
        </is>
      </c>
      <c r="E707" t="inlineStr">
        <is>
          <t>RAGUNDA</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41179-2022</t>
        </is>
      </c>
      <c r="B708" s="1" t="n">
        <v>44825</v>
      </c>
      <c r="C708" s="1" t="n">
        <v>46092</v>
      </c>
      <c r="D708" t="inlineStr">
        <is>
          <t>JÄMTLANDS LÄN</t>
        </is>
      </c>
      <c r="E708" t="inlineStr">
        <is>
          <t>RAGUNDA</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9316-2026</t>
        </is>
      </c>
      <c r="B709" s="1" t="n">
        <v>46070.62200231481</v>
      </c>
      <c r="C709" s="1" t="n">
        <v>46092</v>
      </c>
      <c r="D709" t="inlineStr">
        <is>
          <t>JÄMTLANDS LÄN</t>
        </is>
      </c>
      <c r="E709" t="inlineStr">
        <is>
          <t>RAGUNDA</t>
        </is>
      </c>
      <c r="G709" t="n">
        <v>3</v>
      </c>
      <c r="H709" t="n">
        <v>0</v>
      </c>
      <c r="I709" t="n">
        <v>0</v>
      </c>
      <c r="J709" t="n">
        <v>0</v>
      </c>
      <c r="K709" t="n">
        <v>0</v>
      </c>
      <c r="L709" t="n">
        <v>0</v>
      </c>
      <c r="M709" t="n">
        <v>0</v>
      </c>
      <c r="N709" t="n">
        <v>0</v>
      </c>
      <c r="O709" t="n">
        <v>0</v>
      </c>
      <c r="P709" t="n">
        <v>0</v>
      </c>
      <c r="Q709" t="n">
        <v>0</v>
      </c>
      <c r="R709" s="2" t="inlineStr"/>
    </row>
    <row r="710" ht="15" customHeight="1">
      <c r="A710" t="inlineStr">
        <is>
          <t>A 2001-2025</t>
        </is>
      </c>
      <c r="B710" s="1" t="n">
        <v>45672.44898148148</v>
      </c>
      <c r="C710" s="1" t="n">
        <v>46092</v>
      </c>
      <c r="D710" t="inlineStr">
        <is>
          <t>JÄMTLANDS LÄN</t>
        </is>
      </c>
      <c r="E710" t="inlineStr">
        <is>
          <t>RAGUNDA</t>
        </is>
      </c>
      <c r="F710" t="inlineStr">
        <is>
          <t>SCA</t>
        </is>
      </c>
      <c r="G710" t="n">
        <v>16.2</v>
      </c>
      <c r="H710" t="n">
        <v>0</v>
      </c>
      <c r="I710" t="n">
        <v>0</v>
      </c>
      <c r="J710" t="n">
        <v>0</v>
      </c>
      <c r="K710" t="n">
        <v>0</v>
      </c>
      <c r="L710" t="n">
        <v>0</v>
      </c>
      <c r="M710" t="n">
        <v>0</v>
      </c>
      <c r="N710" t="n">
        <v>0</v>
      </c>
      <c r="O710" t="n">
        <v>0</v>
      </c>
      <c r="P710" t="n">
        <v>0</v>
      </c>
      <c r="Q710" t="n">
        <v>0</v>
      </c>
      <c r="R710" s="2" t="inlineStr"/>
    </row>
    <row r="711" ht="15" customHeight="1">
      <c r="A711" t="inlineStr">
        <is>
          <t>A 53762-2023</t>
        </is>
      </c>
      <c r="B711" s="1" t="n">
        <v>45230.96376157407</v>
      </c>
      <c r="C711" s="1" t="n">
        <v>46092</v>
      </c>
      <c r="D711" t="inlineStr">
        <is>
          <t>JÄMTLANDS LÄN</t>
        </is>
      </c>
      <c r="E711" t="inlineStr">
        <is>
          <t>RAGUNDA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9513-2026</t>
        </is>
      </c>
      <c r="B712" s="1" t="n">
        <v>46071.59444444445</v>
      </c>
      <c r="C712" s="1" t="n">
        <v>46092</v>
      </c>
      <c r="D712" t="inlineStr">
        <is>
          <t>JÄMTLANDS LÄN</t>
        </is>
      </c>
      <c r="E712" t="inlineStr">
        <is>
          <t>RAGUNDA</t>
        </is>
      </c>
      <c r="F712" t="inlineStr">
        <is>
          <t>SCA</t>
        </is>
      </c>
      <c r="G712" t="n">
        <v>26.1</v>
      </c>
      <c r="H712" t="n">
        <v>0</v>
      </c>
      <c r="I712" t="n">
        <v>0</v>
      </c>
      <c r="J712" t="n">
        <v>0</v>
      </c>
      <c r="K712" t="n">
        <v>0</v>
      </c>
      <c r="L712" t="n">
        <v>0</v>
      </c>
      <c r="M712" t="n">
        <v>0</v>
      </c>
      <c r="N712" t="n">
        <v>0</v>
      </c>
      <c r="O712" t="n">
        <v>0</v>
      </c>
      <c r="P712" t="n">
        <v>0</v>
      </c>
      <c r="Q712" t="n">
        <v>0</v>
      </c>
      <c r="R712" s="2" t="inlineStr"/>
    </row>
    <row r="713" ht="15" customHeight="1">
      <c r="A713" t="inlineStr">
        <is>
          <t>A 9537-2026</t>
        </is>
      </c>
      <c r="B713" s="1" t="n">
        <v>46071.61503472222</v>
      </c>
      <c r="C713" s="1" t="n">
        <v>46092</v>
      </c>
      <c r="D713" t="inlineStr">
        <is>
          <t>JÄMTLANDS LÄN</t>
        </is>
      </c>
      <c r="E713" t="inlineStr">
        <is>
          <t>RAGUNDA</t>
        </is>
      </c>
      <c r="G713" t="n">
        <v>0.7</v>
      </c>
      <c r="H713" t="n">
        <v>0</v>
      </c>
      <c r="I713" t="n">
        <v>0</v>
      </c>
      <c r="J713" t="n">
        <v>0</v>
      </c>
      <c r="K713" t="n">
        <v>0</v>
      </c>
      <c r="L713" t="n">
        <v>0</v>
      </c>
      <c r="M713" t="n">
        <v>0</v>
      </c>
      <c r="N713" t="n">
        <v>0</v>
      </c>
      <c r="O713" t="n">
        <v>0</v>
      </c>
      <c r="P713" t="n">
        <v>0</v>
      </c>
      <c r="Q713" t="n">
        <v>0</v>
      </c>
      <c r="R713" s="2" t="inlineStr"/>
    </row>
    <row r="714" ht="15" customHeight="1">
      <c r="A714" t="inlineStr">
        <is>
          <t>A 19089-2024</t>
        </is>
      </c>
      <c r="B714" s="1" t="n">
        <v>45428.00471064815</v>
      </c>
      <c r="C714" s="1" t="n">
        <v>46092</v>
      </c>
      <c r="D714" t="inlineStr">
        <is>
          <t>JÄMTLANDS LÄN</t>
        </is>
      </c>
      <c r="E714" t="inlineStr">
        <is>
          <t>RAGUNDA</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10090-2026</t>
        </is>
      </c>
      <c r="B715" s="1" t="n">
        <v>46073.69875</v>
      </c>
      <c r="C715" s="1" t="n">
        <v>46092</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27510-2025</t>
        </is>
      </c>
      <c r="B716" s="1" t="n">
        <v>45813.42790509259</v>
      </c>
      <c r="C716" s="1" t="n">
        <v>46092</v>
      </c>
      <c r="D716" t="inlineStr">
        <is>
          <t>JÄMTLANDS LÄN</t>
        </is>
      </c>
      <c r="E716" t="inlineStr">
        <is>
          <t>RAGUNDA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19404-2025</t>
        </is>
      </c>
      <c r="B717" s="1" t="n">
        <v>45769.67802083334</v>
      </c>
      <c r="C717" s="1" t="n">
        <v>46092</v>
      </c>
      <c r="D717" t="inlineStr">
        <is>
          <t>JÄMTLANDS LÄN</t>
        </is>
      </c>
      <c r="E717" t="inlineStr">
        <is>
          <t>RAGUNDA</t>
        </is>
      </c>
      <c r="F717" t="inlineStr">
        <is>
          <t>SCA</t>
        </is>
      </c>
      <c r="G717" t="n">
        <v>3</v>
      </c>
      <c r="H717" t="n">
        <v>0</v>
      </c>
      <c r="I717" t="n">
        <v>0</v>
      </c>
      <c r="J717" t="n">
        <v>0</v>
      </c>
      <c r="K717" t="n">
        <v>0</v>
      </c>
      <c r="L717" t="n">
        <v>0</v>
      </c>
      <c r="M717" t="n">
        <v>0</v>
      </c>
      <c r="N717" t="n">
        <v>0</v>
      </c>
      <c r="O717" t="n">
        <v>0</v>
      </c>
      <c r="P717" t="n">
        <v>0</v>
      </c>
      <c r="Q717" t="n">
        <v>0</v>
      </c>
      <c r="R717" s="2" t="inlineStr"/>
      <c r="U717">
        <f>HYPERLINK("https://klasma.github.io/Logging_2303/knärot/A 19404-2025 karta knärot.png", "A 19404-2025")</f>
        <v/>
      </c>
      <c r="V717">
        <f>HYPERLINK("https://klasma.github.io/Logging_2303/klagomål/A 19404-2025 FSC-klagomål.docx", "A 19404-2025")</f>
        <v/>
      </c>
      <c r="W717">
        <f>HYPERLINK("https://klasma.github.io/Logging_2303/klagomålsmail/A 19404-2025 FSC-klagomål mail.docx", "A 19404-2025")</f>
        <v/>
      </c>
      <c r="X717">
        <f>HYPERLINK("https://klasma.github.io/Logging_2303/tillsyn/A 19404-2025 tillsynsbegäran.docx", "A 19404-2025")</f>
        <v/>
      </c>
      <c r="Y717">
        <f>HYPERLINK("https://klasma.github.io/Logging_2303/tillsynsmail/A 19404-2025 tillsynsbegäran mail.docx", "A 19404-2025")</f>
        <v/>
      </c>
    </row>
    <row r="718" ht="15" customHeight="1">
      <c r="A718" t="inlineStr">
        <is>
          <t>A 61598-2024</t>
        </is>
      </c>
      <c r="B718" s="1" t="n">
        <v>45646.63605324074</v>
      </c>
      <c r="C718" s="1" t="n">
        <v>46092</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17667-2025</t>
        </is>
      </c>
      <c r="B719" s="1" t="n">
        <v>45758.36487268518</v>
      </c>
      <c r="C719" s="1" t="n">
        <v>46092</v>
      </c>
      <c r="D719" t="inlineStr">
        <is>
          <t>JÄMTLANDS LÄN</t>
        </is>
      </c>
      <c r="E719" t="inlineStr">
        <is>
          <t>RAGUNDA</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18989-2025</t>
        </is>
      </c>
      <c r="B720" s="1" t="n">
        <v>45764</v>
      </c>
      <c r="C720" s="1" t="n">
        <v>46092</v>
      </c>
      <c r="D720" t="inlineStr">
        <is>
          <t>JÄMTLANDS LÄN</t>
        </is>
      </c>
      <c r="E720" t="inlineStr">
        <is>
          <t>RAGUNDA</t>
        </is>
      </c>
      <c r="G720" t="n">
        <v>0.9</v>
      </c>
      <c r="H720" t="n">
        <v>0</v>
      </c>
      <c r="I720" t="n">
        <v>0</v>
      </c>
      <c r="J720" t="n">
        <v>0</v>
      </c>
      <c r="K720" t="n">
        <v>0</v>
      </c>
      <c r="L720" t="n">
        <v>0</v>
      </c>
      <c r="M720" t="n">
        <v>0</v>
      </c>
      <c r="N720" t="n">
        <v>0</v>
      </c>
      <c r="O720" t="n">
        <v>0</v>
      </c>
      <c r="P720" t="n">
        <v>0</v>
      </c>
      <c r="Q720" t="n">
        <v>0</v>
      </c>
      <c r="R720" s="2" t="inlineStr"/>
    </row>
    <row r="721" ht="15" customHeight="1">
      <c r="A721" t="inlineStr">
        <is>
          <t>A 48748-2025</t>
        </is>
      </c>
      <c r="B721" s="1" t="n">
        <v>45936.67912037037</v>
      </c>
      <c r="C721" s="1" t="n">
        <v>46092</v>
      </c>
      <c r="D721" t="inlineStr">
        <is>
          <t>JÄMTLANDS LÄN</t>
        </is>
      </c>
      <c r="E721" t="inlineStr">
        <is>
          <t>RAGUNDA</t>
        </is>
      </c>
      <c r="F721" t="inlineStr">
        <is>
          <t>SCA</t>
        </is>
      </c>
      <c r="G721" t="n">
        <v>11.1</v>
      </c>
      <c r="H721" t="n">
        <v>0</v>
      </c>
      <c r="I721" t="n">
        <v>0</v>
      </c>
      <c r="J721" t="n">
        <v>0</v>
      </c>
      <c r="K721" t="n">
        <v>0</v>
      </c>
      <c r="L721" t="n">
        <v>0</v>
      </c>
      <c r="M721" t="n">
        <v>0</v>
      </c>
      <c r="N721" t="n">
        <v>0</v>
      </c>
      <c r="O721" t="n">
        <v>0</v>
      </c>
      <c r="P721" t="n">
        <v>0</v>
      </c>
      <c r="Q721" t="n">
        <v>0</v>
      </c>
      <c r="R721" s="2" t="inlineStr"/>
    </row>
    <row r="722" ht="15" customHeight="1">
      <c r="A722" t="inlineStr">
        <is>
          <t>A 12405-2025</t>
        </is>
      </c>
      <c r="B722" s="1" t="n">
        <v>45730.42738425926</v>
      </c>
      <c r="C722" s="1" t="n">
        <v>46092</v>
      </c>
      <c r="D722" t="inlineStr">
        <is>
          <t>JÄMTLANDS LÄN</t>
        </is>
      </c>
      <c r="E722" t="inlineStr">
        <is>
          <t>RAGUNDA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48528-2025</t>
        </is>
      </c>
      <c r="B723" s="1" t="n">
        <v>45936.40758101852</v>
      </c>
      <c r="C723" s="1" t="n">
        <v>46092</v>
      </c>
      <c r="D723" t="inlineStr">
        <is>
          <t>JÄMTLANDS LÄN</t>
        </is>
      </c>
      <c r="E723" t="inlineStr">
        <is>
          <t>RAGUNDA</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48742-2025</t>
        </is>
      </c>
      <c r="B724" s="1" t="n">
        <v>45936.67810185185</v>
      </c>
      <c r="C724" s="1" t="n">
        <v>46092</v>
      </c>
      <c r="D724" t="inlineStr">
        <is>
          <t>JÄMTLANDS LÄN</t>
        </is>
      </c>
      <c r="E724" t="inlineStr">
        <is>
          <t>RAGUNDA</t>
        </is>
      </c>
      <c r="F724" t="inlineStr">
        <is>
          <t>SCA</t>
        </is>
      </c>
      <c r="G724" t="n">
        <v>8.9</v>
      </c>
      <c r="H724" t="n">
        <v>0</v>
      </c>
      <c r="I724" t="n">
        <v>0</v>
      </c>
      <c r="J724" t="n">
        <v>0</v>
      </c>
      <c r="K724" t="n">
        <v>0</v>
      </c>
      <c r="L724" t="n">
        <v>0</v>
      </c>
      <c r="M724" t="n">
        <v>0</v>
      </c>
      <c r="N724" t="n">
        <v>0</v>
      </c>
      <c r="O724" t="n">
        <v>0</v>
      </c>
      <c r="P724" t="n">
        <v>0</v>
      </c>
      <c r="Q724" t="n">
        <v>0</v>
      </c>
      <c r="R724" s="2" t="inlineStr"/>
    </row>
    <row r="725" ht="15" customHeight="1">
      <c r="A725" t="inlineStr">
        <is>
          <t>A 36986-2023</t>
        </is>
      </c>
      <c r="B725" s="1" t="n">
        <v>45154.95525462963</v>
      </c>
      <c r="C725" s="1" t="n">
        <v>46092</v>
      </c>
      <c r="D725" t="inlineStr">
        <is>
          <t>JÄMTLANDS LÄN</t>
        </is>
      </c>
      <c r="E725" t="inlineStr">
        <is>
          <t>RAGUNDA</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48746-2025</t>
        </is>
      </c>
      <c r="B726" s="1" t="n">
        <v>45936.67878472222</v>
      </c>
      <c r="C726" s="1" t="n">
        <v>46092</v>
      </c>
      <c r="D726" t="inlineStr">
        <is>
          <t>JÄMTLANDS LÄN</t>
        </is>
      </c>
      <c r="E726" t="inlineStr">
        <is>
          <t>RAGUNDA</t>
        </is>
      </c>
      <c r="F726" t="inlineStr">
        <is>
          <t>SCA</t>
        </is>
      </c>
      <c r="G726" t="n">
        <v>6.5</v>
      </c>
      <c r="H726" t="n">
        <v>0</v>
      </c>
      <c r="I726" t="n">
        <v>0</v>
      </c>
      <c r="J726" t="n">
        <v>0</v>
      </c>
      <c r="K726" t="n">
        <v>0</v>
      </c>
      <c r="L726" t="n">
        <v>0</v>
      </c>
      <c r="M726" t="n">
        <v>0</v>
      </c>
      <c r="N726" t="n">
        <v>0</v>
      </c>
      <c r="O726" t="n">
        <v>0</v>
      </c>
      <c r="P726" t="n">
        <v>0</v>
      </c>
      <c r="Q726" t="n">
        <v>0</v>
      </c>
      <c r="R726" s="2" t="inlineStr"/>
    </row>
    <row r="727" ht="15" customHeight="1">
      <c r="A727" t="inlineStr">
        <is>
          <t>A 9736-2026</t>
        </is>
      </c>
      <c r="B727" s="1" t="n">
        <v>46072.49005787037</v>
      </c>
      <c r="C727" s="1" t="n">
        <v>46092</v>
      </c>
      <c r="D727" t="inlineStr">
        <is>
          <t>JÄMTLANDS LÄN</t>
        </is>
      </c>
      <c r="E727" t="inlineStr">
        <is>
          <t>RAGUNDA</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1333-2026</t>
        </is>
      </c>
      <c r="B728" s="1" t="n">
        <v>46031.57340277778</v>
      </c>
      <c r="C728" s="1" t="n">
        <v>46092</v>
      </c>
      <c r="D728" t="inlineStr">
        <is>
          <t>JÄMTLANDS LÄN</t>
        </is>
      </c>
      <c r="E728" t="inlineStr">
        <is>
          <t>RAGUNDA</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28637-2025</t>
        </is>
      </c>
      <c r="B729" s="1" t="n">
        <v>45819.6359375</v>
      </c>
      <c r="C729" s="1" t="n">
        <v>46092</v>
      </c>
      <c r="D729" t="inlineStr">
        <is>
          <t>JÄMTLANDS LÄN</t>
        </is>
      </c>
      <c r="E729" t="inlineStr">
        <is>
          <t>RAGUNDA</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2224-2024</t>
        </is>
      </c>
      <c r="B730" s="1" t="n">
        <v>45309.92524305556</v>
      </c>
      <c r="C730" s="1" t="n">
        <v>46092</v>
      </c>
      <c r="D730" t="inlineStr">
        <is>
          <t>JÄMTLANDS LÄN</t>
        </is>
      </c>
      <c r="E730" t="inlineStr">
        <is>
          <t>RAGUNDA</t>
        </is>
      </c>
      <c r="G730" t="n">
        <v>0.9</v>
      </c>
      <c r="H730" t="n">
        <v>0</v>
      </c>
      <c r="I730" t="n">
        <v>0</v>
      </c>
      <c r="J730" t="n">
        <v>0</v>
      </c>
      <c r="K730" t="n">
        <v>0</v>
      </c>
      <c r="L730" t="n">
        <v>0</v>
      </c>
      <c r="M730" t="n">
        <v>0</v>
      </c>
      <c r="N730" t="n">
        <v>0</v>
      </c>
      <c r="O730" t="n">
        <v>0</v>
      </c>
      <c r="P730" t="n">
        <v>0</v>
      </c>
      <c r="Q730" t="n">
        <v>0</v>
      </c>
      <c r="R730" s="2" t="inlineStr"/>
    </row>
    <row r="731" ht="15" customHeight="1">
      <c r="A731" t="inlineStr">
        <is>
          <t>A 1523-2024</t>
        </is>
      </c>
      <c r="B731" s="1" t="n">
        <v>45306</v>
      </c>
      <c r="C731" s="1" t="n">
        <v>46092</v>
      </c>
      <c r="D731" t="inlineStr">
        <is>
          <t>JÄMTLANDS LÄN</t>
        </is>
      </c>
      <c r="E731" t="inlineStr">
        <is>
          <t>RAGUNDA</t>
        </is>
      </c>
      <c r="G731" t="n">
        <v>4.1</v>
      </c>
      <c r="H731" t="n">
        <v>0</v>
      </c>
      <c r="I731" t="n">
        <v>0</v>
      </c>
      <c r="J731" t="n">
        <v>0</v>
      </c>
      <c r="K731" t="n">
        <v>0</v>
      </c>
      <c r="L731" t="n">
        <v>0</v>
      </c>
      <c r="M731" t="n">
        <v>0</v>
      </c>
      <c r="N731" t="n">
        <v>0</v>
      </c>
      <c r="O731" t="n">
        <v>0</v>
      </c>
      <c r="P731" t="n">
        <v>0</v>
      </c>
      <c r="Q731" t="n">
        <v>0</v>
      </c>
      <c r="R731" s="2" t="inlineStr"/>
    </row>
    <row r="732" ht="15" customHeight="1">
      <c r="A732" t="inlineStr">
        <is>
          <t>A 28973-2025</t>
        </is>
      </c>
      <c r="B732" s="1" t="n">
        <v>45821.34513888889</v>
      </c>
      <c r="C732" s="1" t="n">
        <v>46092</v>
      </c>
      <c r="D732" t="inlineStr">
        <is>
          <t>JÄMTLANDS LÄN</t>
        </is>
      </c>
      <c r="E732" t="inlineStr">
        <is>
          <t>RAGUNDA</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49639-2025</t>
        </is>
      </c>
      <c r="B733" s="1" t="n">
        <v>45939.61253472222</v>
      </c>
      <c r="C733" s="1" t="n">
        <v>46092</v>
      </c>
      <c r="D733" t="inlineStr">
        <is>
          <t>JÄMTLANDS LÄN</t>
        </is>
      </c>
      <c r="E733" t="inlineStr">
        <is>
          <t>RAGUNDA</t>
        </is>
      </c>
      <c r="F733" t="inlineStr">
        <is>
          <t>Kommuner</t>
        </is>
      </c>
      <c r="G733" t="n">
        <v>13.6</v>
      </c>
      <c r="H733" t="n">
        <v>0</v>
      </c>
      <c r="I733" t="n">
        <v>0</v>
      </c>
      <c r="J733" t="n">
        <v>0</v>
      </c>
      <c r="K733" t="n">
        <v>0</v>
      </c>
      <c r="L733" t="n">
        <v>0</v>
      </c>
      <c r="M733" t="n">
        <v>0</v>
      </c>
      <c r="N733" t="n">
        <v>0</v>
      </c>
      <c r="O733" t="n">
        <v>0</v>
      </c>
      <c r="P733" t="n">
        <v>0</v>
      </c>
      <c r="Q733" t="n">
        <v>0</v>
      </c>
      <c r="R733" s="2" t="inlineStr"/>
    </row>
    <row r="734" ht="15" customHeight="1">
      <c r="A734" t="inlineStr">
        <is>
          <t>A 10344-2026</t>
        </is>
      </c>
      <c r="B734" s="1" t="n">
        <v>46076.68523148148</v>
      </c>
      <c r="C734" s="1" t="n">
        <v>46092</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58630-2024</t>
        </is>
      </c>
      <c r="B735" s="1" t="n">
        <v>45635.57331018519</v>
      </c>
      <c r="C735" s="1" t="n">
        <v>46092</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46549-2023</t>
        </is>
      </c>
      <c r="B736" s="1" t="n">
        <v>45197.94171296297</v>
      </c>
      <c r="C736" s="1" t="n">
        <v>46092</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49059-2025</t>
        </is>
      </c>
      <c r="B737" s="1" t="n">
        <v>45937.64123842592</v>
      </c>
      <c r="C737" s="1" t="n">
        <v>46092</v>
      </c>
      <c r="D737" t="inlineStr">
        <is>
          <t>JÄMTLANDS LÄN</t>
        </is>
      </c>
      <c r="E737" t="inlineStr">
        <is>
          <t>RAGUNDA</t>
        </is>
      </c>
      <c r="G737" t="n">
        <v>2.1</v>
      </c>
      <c r="H737" t="n">
        <v>0</v>
      </c>
      <c r="I737" t="n">
        <v>0</v>
      </c>
      <c r="J737" t="n">
        <v>0</v>
      </c>
      <c r="K737" t="n">
        <v>0</v>
      </c>
      <c r="L737" t="n">
        <v>0</v>
      </c>
      <c r="M737" t="n">
        <v>0</v>
      </c>
      <c r="N737" t="n">
        <v>0</v>
      </c>
      <c r="O737" t="n">
        <v>0</v>
      </c>
      <c r="P737" t="n">
        <v>0</v>
      </c>
      <c r="Q737" t="n">
        <v>0</v>
      </c>
      <c r="R737" s="2" t="inlineStr"/>
    </row>
    <row r="738" ht="15" customHeight="1">
      <c r="A738" t="inlineStr">
        <is>
          <t>A 50160-2023</t>
        </is>
      </c>
      <c r="B738" s="1" t="n">
        <v>45208</v>
      </c>
      <c r="C738" s="1" t="n">
        <v>46092</v>
      </c>
      <c r="D738" t="inlineStr">
        <is>
          <t>JÄMTLANDS LÄN</t>
        </is>
      </c>
      <c r="E738" t="inlineStr">
        <is>
          <t>RAGUNDA</t>
        </is>
      </c>
      <c r="G738" t="n">
        <v>4.6</v>
      </c>
      <c r="H738" t="n">
        <v>0</v>
      </c>
      <c r="I738" t="n">
        <v>0</v>
      </c>
      <c r="J738" t="n">
        <v>0</v>
      </c>
      <c r="K738" t="n">
        <v>0</v>
      </c>
      <c r="L738" t="n">
        <v>0</v>
      </c>
      <c r="M738" t="n">
        <v>0</v>
      </c>
      <c r="N738" t="n">
        <v>0</v>
      </c>
      <c r="O738" t="n">
        <v>0</v>
      </c>
      <c r="P738" t="n">
        <v>0</v>
      </c>
      <c r="Q738" t="n">
        <v>0</v>
      </c>
      <c r="R738" s="2" t="inlineStr"/>
    </row>
    <row r="739" ht="15" customHeight="1">
      <c r="A739" t="inlineStr">
        <is>
          <t>A 29731-2025</t>
        </is>
      </c>
      <c r="B739" s="1" t="n">
        <v>45825.58252314815</v>
      </c>
      <c r="C739" s="1" t="n">
        <v>46092</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49193-2025</t>
        </is>
      </c>
      <c r="B740" s="1" t="n">
        <v>45938.40831018519</v>
      </c>
      <c r="C740" s="1" t="n">
        <v>46092</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32258-2024</t>
        </is>
      </c>
      <c r="B741" s="1" t="n">
        <v>45511</v>
      </c>
      <c r="C741" s="1" t="n">
        <v>46092</v>
      </c>
      <c r="D741" t="inlineStr">
        <is>
          <t>JÄMTLANDS LÄN</t>
        </is>
      </c>
      <c r="E741" t="inlineStr">
        <is>
          <t>RAGUNDA</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38270-2021</t>
        </is>
      </c>
      <c r="B742" s="1" t="n">
        <v>44405.92065972222</v>
      </c>
      <c r="C742" s="1" t="n">
        <v>46092</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50157-2023</t>
        </is>
      </c>
      <c r="B743" s="1" t="n">
        <v>45208</v>
      </c>
      <c r="C743" s="1" t="n">
        <v>46092</v>
      </c>
      <c r="D743" t="inlineStr">
        <is>
          <t>JÄMTLANDS LÄN</t>
        </is>
      </c>
      <c r="E743" t="inlineStr">
        <is>
          <t>RAGUNDA</t>
        </is>
      </c>
      <c r="G743" t="n">
        <v>0.9</v>
      </c>
      <c r="H743" t="n">
        <v>0</v>
      </c>
      <c r="I743" t="n">
        <v>0</v>
      </c>
      <c r="J743" t="n">
        <v>0</v>
      </c>
      <c r="K743" t="n">
        <v>0</v>
      </c>
      <c r="L743" t="n">
        <v>0</v>
      </c>
      <c r="M743" t="n">
        <v>0</v>
      </c>
      <c r="N743" t="n">
        <v>0</v>
      </c>
      <c r="O743" t="n">
        <v>0</v>
      </c>
      <c r="P743" t="n">
        <v>0</v>
      </c>
      <c r="Q743" t="n">
        <v>0</v>
      </c>
      <c r="R743" s="2" t="inlineStr"/>
    </row>
    <row r="744" ht="15" customHeight="1">
      <c r="A744" t="inlineStr">
        <is>
          <t>A 29257-2024</t>
        </is>
      </c>
      <c r="B744" s="1" t="n">
        <v>45482.94815972223</v>
      </c>
      <c r="C744" s="1" t="n">
        <v>46092</v>
      </c>
      <c r="D744" t="inlineStr">
        <is>
          <t>JÄMTLANDS LÄN</t>
        </is>
      </c>
      <c r="E744" t="inlineStr">
        <is>
          <t>RAGUNDA</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27373-2023</t>
        </is>
      </c>
      <c r="B745" s="1" t="n">
        <v>45096.93866898148</v>
      </c>
      <c r="C745" s="1" t="n">
        <v>46092</v>
      </c>
      <c r="D745" t="inlineStr">
        <is>
          <t>JÄMTLANDS LÄN</t>
        </is>
      </c>
      <c r="E745" t="inlineStr">
        <is>
          <t>RAGUNDA</t>
        </is>
      </c>
      <c r="F745" t="inlineStr">
        <is>
          <t>SCA</t>
        </is>
      </c>
      <c r="G745" t="n">
        <v>6.9</v>
      </c>
      <c r="H745" t="n">
        <v>0</v>
      </c>
      <c r="I745" t="n">
        <v>0</v>
      </c>
      <c r="J745" t="n">
        <v>0</v>
      </c>
      <c r="K745" t="n">
        <v>0</v>
      </c>
      <c r="L745" t="n">
        <v>0</v>
      </c>
      <c r="M745" t="n">
        <v>0</v>
      </c>
      <c r="N745" t="n">
        <v>0</v>
      </c>
      <c r="O745" t="n">
        <v>0</v>
      </c>
      <c r="P745" t="n">
        <v>0</v>
      </c>
      <c r="Q745" t="n">
        <v>0</v>
      </c>
      <c r="R745" s="2" t="inlineStr"/>
    </row>
    <row r="746" ht="15" customHeight="1">
      <c r="A746" t="inlineStr">
        <is>
          <t>A 62115-2024</t>
        </is>
      </c>
      <c r="B746" s="1" t="n">
        <v>45656</v>
      </c>
      <c r="C746" s="1" t="n">
        <v>46092</v>
      </c>
      <c r="D746" t="inlineStr">
        <is>
          <t>JÄMTLANDS LÄN</t>
        </is>
      </c>
      <c r="E746" t="inlineStr">
        <is>
          <t>RAGUNDA</t>
        </is>
      </c>
      <c r="G746" t="n">
        <v>3.3</v>
      </c>
      <c r="H746" t="n">
        <v>0</v>
      </c>
      <c r="I746" t="n">
        <v>0</v>
      </c>
      <c r="J746" t="n">
        <v>0</v>
      </c>
      <c r="K746" t="n">
        <v>0</v>
      </c>
      <c r="L746" t="n">
        <v>0</v>
      </c>
      <c r="M746" t="n">
        <v>0</v>
      </c>
      <c r="N746" t="n">
        <v>0</v>
      </c>
      <c r="O746" t="n">
        <v>0</v>
      </c>
      <c r="P746" t="n">
        <v>0</v>
      </c>
      <c r="Q746" t="n">
        <v>0</v>
      </c>
      <c r="R746" s="2" t="inlineStr"/>
    </row>
    <row r="747" ht="15" customHeight="1">
      <c r="A747" t="inlineStr">
        <is>
          <t>A 12653-2024</t>
        </is>
      </c>
      <c r="B747" s="1" t="n">
        <v>45384</v>
      </c>
      <c r="C747" s="1" t="n">
        <v>46092</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50211-2023</t>
        </is>
      </c>
      <c r="B748" s="1" t="n">
        <v>45215.94657407407</v>
      </c>
      <c r="C748" s="1" t="n">
        <v>46092</v>
      </c>
      <c r="D748" t="inlineStr">
        <is>
          <t>JÄMTLANDS LÄN</t>
        </is>
      </c>
      <c r="E748" t="inlineStr">
        <is>
          <t>RAGUNDA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29723-2025</t>
        </is>
      </c>
      <c r="B749" s="1" t="n">
        <v>45825.57675925926</v>
      </c>
      <c r="C749" s="1" t="n">
        <v>46092</v>
      </c>
      <c r="D749" t="inlineStr">
        <is>
          <t>JÄMTLANDS LÄN</t>
        </is>
      </c>
      <c r="E749" t="inlineStr">
        <is>
          <t>RAGUNDA</t>
        </is>
      </c>
      <c r="G749" t="n">
        <v>3.1</v>
      </c>
      <c r="H749" t="n">
        <v>0</v>
      </c>
      <c r="I749" t="n">
        <v>0</v>
      </c>
      <c r="J749" t="n">
        <v>0</v>
      </c>
      <c r="K749" t="n">
        <v>0</v>
      </c>
      <c r="L749" t="n">
        <v>0</v>
      </c>
      <c r="M749" t="n">
        <v>0</v>
      </c>
      <c r="N749" t="n">
        <v>0</v>
      </c>
      <c r="O749" t="n">
        <v>0</v>
      </c>
      <c r="P749" t="n">
        <v>0</v>
      </c>
      <c r="Q749" t="n">
        <v>0</v>
      </c>
      <c r="R749" s="2" t="inlineStr"/>
    </row>
    <row r="750" ht="15" customHeight="1">
      <c r="A750" t="inlineStr">
        <is>
          <t>A 10410-2026</t>
        </is>
      </c>
      <c r="B750" s="1" t="n">
        <v>46077.34527777778</v>
      </c>
      <c r="C750" s="1" t="n">
        <v>46092</v>
      </c>
      <c r="D750" t="inlineStr">
        <is>
          <t>JÄMTLANDS LÄN</t>
        </is>
      </c>
      <c r="E750" t="inlineStr">
        <is>
          <t>RAGUNDA</t>
        </is>
      </c>
      <c r="F750" t="inlineStr">
        <is>
          <t>SCA</t>
        </is>
      </c>
      <c r="G750" t="n">
        <v>46.5</v>
      </c>
      <c r="H750" t="n">
        <v>0</v>
      </c>
      <c r="I750" t="n">
        <v>0</v>
      </c>
      <c r="J750" t="n">
        <v>0</v>
      </c>
      <c r="K750" t="n">
        <v>0</v>
      </c>
      <c r="L750" t="n">
        <v>0</v>
      </c>
      <c r="M750" t="n">
        <v>0</v>
      </c>
      <c r="N750" t="n">
        <v>0</v>
      </c>
      <c r="O750" t="n">
        <v>0</v>
      </c>
      <c r="P750" t="n">
        <v>0</v>
      </c>
      <c r="Q750" t="n">
        <v>0</v>
      </c>
      <c r="R750" s="2" t="inlineStr"/>
    </row>
    <row r="751" ht="15" customHeight="1">
      <c r="A751" t="inlineStr">
        <is>
          <t>A 10570-2026</t>
        </is>
      </c>
      <c r="B751" s="1" t="n">
        <v>46077.6568287037</v>
      </c>
      <c r="C751" s="1" t="n">
        <v>46092</v>
      </c>
      <c r="D751" t="inlineStr">
        <is>
          <t>JÄMTLANDS LÄN</t>
        </is>
      </c>
      <c r="E751" t="inlineStr">
        <is>
          <t>RAGUNDA</t>
        </is>
      </c>
      <c r="F751" t="inlineStr">
        <is>
          <t>SCA</t>
        </is>
      </c>
      <c r="G751" t="n">
        <v>22.9</v>
      </c>
      <c r="H751" t="n">
        <v>0</v>
      </c>
      <c r="I751" t="n">
        <v>0</v>
      </c>
      <c r="J751" t="n">
        <v>0</v>
      </c>
      <c r="K751" t="n">
        <v>0</v>
      </c>
      <c r="L751" t="n">
        <v>0</v>
      </c>
      <c r="M751" t="n">
        <v>0</v>
      </c>
      <c r="N751" t="n">
        <v>0</v>
      </c>
      <c r="O751" t="n">
        <v>0</v>
      </c>
      <c r="P751" t="n">
        <v>0</v>
      </c>
      <c r="Q751" t="n">
        <v>0</v>
      </c>
      <c r="R751" s="2" t="inlineStr"/>
    </row>
    <row r="752" ht="15" customHeight="1">
      <c r="A752" t="inlineStr">
        <is>
          <t>A 49238-2025</t>
        </is>
      </c>
      <c r="B752" s="1" t="n">
        <v>45938.48231481481</v>
      </c>
      <c r="C752" s="1" t="n">
        <v>46092</v>
      </c>
      <c r="D752" t="inlineStr">
        <is>
          <t>JÄMTLANDS LÄN</t>
        </is>
      </c>
      <c r="E752" t="inlineStr">
        <is>
          <t>RAGUNDA</t>
        </is>
      </c>
      <c r="G752" t="n">
        <v>4.7</v>
      </c>
      <c r="H752" t="n">
        <v>0</v>
      </c>
      <c r="I752" t="n">
        <v>0</v>
      </c>
      <c r="J752" t="n">
        <v>0</v>
      </c>
      <c r="K752" t="n">
        <v>0</v>
      </c>
      <c r="L752" t="n">
        <v>0</v>
      </c>
      <c r="M752" t="n">
        <v>0</v>
      </c>
      <c r="N752" t="n">
        <v>0</v>
      </c>
      <c r="O752" t="n">
        <v>0</v>
      </c>
      <c r="P752" t="n">
        <v>0</v>
      </c>
      <c r="Q752" t="n">
        <v>0</v>
      </c>
      <c r="R752" s="2" t="inlineStr"/>
    </row>
    <row r="753" ht="15" customHeight="1">
      <c r="A753" t="inlineStr">
        <is>
          <t>A 49290-2025</t>
        </is>
      </c>
      <c r="B753" s="1" t="n">
        <v>45938.53168981482</v>
      </c>
      <c r="C753" s="1" t="n">
        <v>46092</v>
      </c>
      <c r="D753" t="inlineStr">
        <is>
          <t>JÄMTLANDS LÄN</t>
        </is>
      </c>
      <c r="E753" t="inlineStr">
        <is>
          <t>RAGUNDA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49092-2025</t>
        </is>
      </c>
      <c r="B754" s="1" t="n">
        <v>45937.67792824074</v>
      </c>
      <c r="C754" s="1" t="n">
        <v>46092</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34088-2025</t>
        </is>
      </c>
      <c r="B755" s="1" t="n">
        <v>45845</v>
      </c>
      <c r="C755" s="1" t="n">
        <v>46092</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9232-2025</t>
        </is>
      </c>
      <c r="B756" s="1" t="n">
        <v>45714.55064814815</v>
      </c>
      <c r="C756" s="1" t="n">
        <v>46092</v>
      </c>
      <c r="D756" t="inlineStr">
        <is>
          <t>JÄMTLANDS LÄN</t>
        </is>
      </c>
      <c r="E756" t="inlineStr">
        <is>
          <t>RAGUNDA</t>
        </is>
      </c>
      <c r="G756" t="n">
        <v>1.9</v>
      </c>
      <c r="H756" t="n">
        <v>0</v>
      </c>
      <c r="I756" t="n">
        <v>0</v>
      </c>
      <c r="J756" t="n">
        <v>0</v>
      </c>
      <c r="K756" t="n">
        <v>0</v>
      </c>
      <c r="L756" t="n">
        <v>0</v>
      </c>
      <c r="M756" t="n">
        <v>0</v>
      </c>
      <c r="N756" t="n">
        <v>0</v>
      </c>
      <c r="O756" t="n">
        <v>0</v>
      </c>
      <c r="P756" t="n">
        <v>0</v>
      </c>
      <c r="Q756" t="n">
        <v>0</v>
      </c>
      <c r="R756" s="2" t="inlineStr"/>
    </row>
    <row r="757" ht="15" customHeight="1">
      <c r="A757" t="inlineStr">
        <is>
          <t>A 50215-2025</t>
        </is>
      </c>
      <c r="B757" s="1" t="n">
        <v>45943.67842592593</v>
      </c>
      <c r="C757" s="1" t="n">
        <v>46092</v>
      </c>
      <c r="D757" t="inlineStr">
        <is>
          <t>JÄMTLANDS LÄN</t>
        </is>
      </c>
      <c r="E757" t="inlineStr">
        <is>
          <t>RAGUNDA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29775-2023</t>
        </is>
      </c>
      <c r="B758" s="1" t="n">
        <v>45098</v>
      </c>
      <c r="C758" s="1" t="n">
        <v>46092</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49991-2025</t>
        </is>
      </c>
      <c r="B759" s="1" t="n">
        <v>45942.91568287037</v>
      </c>
      <c r="C759" s="1" t="n">
        <v>46092</v>
      </c>
      <c r="D759" t="inlineStr">
        <is>
          <t>JÄMTLANDS LÄN</t>
        </is>
      </c>
      <c r="E759" t="inlineStr">
        <is>
          <t>RAGUNDA</t>
        </is>
      </c>
      <c r="G759" t="n">
        <v>9</v>
      </c>
      <c r="H759" t="n">
        <v>0</v>
      </c>
      <c r="I759" t="n">
        <v>0</v>
      </c>
      <c r="J759" t="n">
        <v>0</v>
      </c>
      <c r="K759" t="n">
        <v>0</v>
      </c>
      <c r="L759" t="n">
        <v>0</v>
      </c>
      <c r="M759" t="n">
        <v>0</v>
      </c>
      <c r="N759" t="n">
        <v>0</v>
      </c>
      <c r="O759" t="n">
        <v>0</v>
      </c>
      <c r="P759" t="n">
        <v>0</v>
      </c>
      <c r="Q759" t="n">
        <v>0</v>
      </c>
      <c r="R759" s="2" t="inlineStr"/>
    </row>
    <row r="760" ht="15" customHeight="1">
      <c r="A760" t="inlineStr">
        <is>
          <t>A 49993-2025</t>
        </is>
      </c>
      <c r="B760" s="1" t="n">
        <v>45942.94371527778</v>
      </c>
      <c r="C760" s="1" t="n">
        <v>46092</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49994-2025</t>
        </is>
      </c>
      <c r="B761" s="1" t="n">
        <v>45942.96922453704</v>
      </c>
      <c r="C761" s="1" t="n">
        <v>46092</v>
      </c>
      <c r="D761" t="inlineStr">
        <is>
          <t>JÄMTLANDS LÄN</t>
        </is>
      </c>
      <c r="E761" t="inlineStr">
        <is>
          <t>RAGUNDA</t>
        </is>
      </c>
      <c r="G761" t="n">
        <v>4.5</v>
      </c>
      <c r="H761" t="n">
        <v>0</v>
      </c>
      <c r="I761" t="n">
        <v>0</v>
      </c>
      <c r="J761" t="n">
        <v>0</v>
      </c>
      <c r="K761" t="n">
        <v>0</v>
      </c>
      <c r="L761" t="n">
        <v>0</v>
      </c>
      <c r="M761" t="n">
        <v>0</v>
      </c>
      <c r="N761" t="n">
        <v>0</v>
      </c>
      <c r="O761" t="n">
        <v>0</v>
      </c>
      <c r="P761" t="n">
        <v>0</v>
      </c>
      <c r="Q761" t="n">
        <v>0</v>
      </c>
      <c r="R761" s="2" t="inlineStr"/>
    </row>
    <row r="762" ht="15" customHeight="1">
      <c r="A762" t="inlineStr">
        <is>
          <t>A 49995-2025</t>
        </is>
      </c>
      <c r="B762" s="1" t="n">
        <v>45943.00986111111</v>
      </c>
      <c r="C762" s="1" t="n">
        <v>46092</v>
      </c>
      <c r="D762" t="inlineStr">
        <is>
          <t>JÄMTLANDS LÄN</t>
        </is>
      </c>
      <c r="E762" t="inlineStr">
        <is>
          <t>RAGUNDA</t>
        </is>
      </c>
      <c r="G762" t="n">
        <v>2.5</v>
      </c>
      <c r="H762" t="n">
        <v>0</v>
      </c>
      <c r="I762" t="n">
        <v>0</v>
      </c>
      <c r="J762" t="n">
        <v>0</v>
      </c>
      <c r="K762" t="n">
        <v>0</v>
      </c>
      <c r="L762" t="n">
        <v>0</v>
      </c>
      <c r="M762" t="n">
        <v>0</v>
      </c>
      <c r="N762" t="n">
        <v>0</v>
      </c>
      <c r="O762" t="n">
        <v>0</v>
      </c>
      <c r="P762" t="n">
        <v>0</v>
      </c>
      <c r="Q762" t="n">
        <v>0</v>
      </c>
      <c r="R762" s="2" t="inlineStr"/>
    </row>
    <row r="763" ht="15" customHeight="1">
      <c r="A763" t="inlineStr">
        <is>
          <t>A 30088-2025</t>
        </is>
      </c>
      <c r="B763" s="1" t="n">
        <v>45826.65759259259</v>
      </c>
      <c r="C763" s="1" t="n">
        <v>46092</v>
      </c>
      <c r="D763" t="inlineStr">
        <is>
          <t>JÄMTLANDS LÄN</t>
        </is>
      </c>
      <c r="E763" t="inlineStr">
        <is>
          <t>RAGUNDA</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44494-2024</t>
        </is>
      </c>
      <c r="B764" s="1" t="n">
        <v>45574.39081018518</v>
      </c>
      <c r="C764" s="1" t="n">
        <v>46092</v>
      </c>
      <c r="D764" t="inlineStr">
        <is>
          <t>JÄMTLANDS LÄN</t>
        </is>
      </c>
      <c r="E764" t="inlineStr">
        <is>
          <t>RAGUNDA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50126-2025</t>
        </is>
      </c>
      <c r="B765" s="1" t="n">
        <v>45943.55271990741</v>
      </c>
      <c r="C765" s="1" t="n">
        <v>46092</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30348-2025</t>
        </is>
      </c>
      <c r="B766" s="1" t="n">
        <v>45827.53178240741</v>
      </c>
      <c r="C766" s="1" t="n">
        <v>46092</v>
      </c>
      <c r="D766" t="inlineStr">
        <is>
          <t>JÄMTLANDS LÄN</t>
        </is>
      </c>
      <c r="E766" t="inlineStr">
        <is>
          <t>RAGUNDA</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50098-2025</t>
        </is>
      </c>
      <c r="B767" s="1" t="n">
        <v>45943.51086805556</v>
      </c>
      <c r="C767" s="1" t="n">
        <v>46092</v>
      </c>
      <c r="D767" t="inlineStr">
        <is>
          <t>JÄMTLANDS LÄN</t>
        </is>
      </c>
      <c r="E767" t="inlineStr">
        <is>
          <t>RAGUNDA</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50125-2025</t>
        </is>
      </c>
      <c r="B768" s="1" t="n">
        <v>45943.55262731481</v>
      </c>
      <c r="C768" s="1" t="n">
        <v>46092</v>
      </c>
      <c r="D768" t="inlineStr">
        <is>
          <t>JÄMTLANDS LÄN</t>
        </is>
      </c>
      <c r="E768" t="inlineStr">
        <is>
          <t>RAGUNDA</t>
        </is>
      </c>
      <c r="F768" t="inlineStr">
        <is>
          <t>Sveaskog</t>
        </is>
      </c>
      <c r="G768" t="n">
        <v>23.2</v>
      </c>
      <c r="H768" t="n">
        <v>0</v>
      </c>
      <c r="I768" t="n">
        <v>0</v>
      </c>
      <c r="J768" t="n">
        <v>0</v>
      </c>
      <c r="K768" t="n">
        <v>0</v>
      </c>
      <c r="L768" t="n">
        <v>0</v>
      </c>
      <c r="M768" t="n">
        <v>0</v>
      </c>
      <c r="N768" t="n">
        <v>0</v>
      </c>
      <c r="O768" t="n">
        <v>0</v>
      </c>
      <c r="P768" t="n">
        <v>0</v>
      </c>
      <c r="Q768" t="n">
        <v>0</v>
      </c>
      <c r="R768" s="2" t="inlineStr"/>
    </row>
    <row r="769" ht="15" customHeight="1">
      <c r="A769" t="inlineStr">
        <is>
          <t>A 30434-2025</t>
        </is>
      </c>
      <c r="B769" s="1" t="n">
        <v>45827.63582175926</v>
      </c>
      <c r="C769" s="1" t="n">
        <v>46092</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50081-2025</t>
        </is>
      </c>
      <c r="B770" s="1" t="n">
        <v>45943.46954861111</v>
      </c>
      <c r="C770" s="1" t="n">
        <v>46092</v>
      </c>
      <c r="D770" t="inlineStr">
        <is>
          <t>JÄMTLANDS LÄN</t>
        </is>
      </c>
      <c r="E770" t="inlineStr">
        <is>
          <t>RAGUNDA</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50080-2025</t>
        </is>
      </c>
      <c r="B771" s="1" t="n">
        <v>45943.469375</v>
      </c>
      <c r="C771" s="1" t="n">
        <v>46092</v>
      </c>
      <c r="D771" t="inlineStr">
        <is>
          <t>JÄMTLANDS LÄN</t>
        </is>
      </c>
      <c r="E771" t="inlineStr">
        <is>
          <t>RAGUNDA</t>
        </is>
      </c>
      <c r="F771" t="inlineStr">
        <is>
          <t>Naturvårdsverket</t>
        </is>
      </c>
      <c r="G771" t="n">
        <v>6.1</v>
      </c>
      <c r="H771" t="n">
        <v>0</v>
      </c>
      <c r="I771" t="n">
        <v>0</v>
      </c>
      <c r="J771" t="n">
        <v>0</v>
      </c>
      <c r="K771" t="n">
        <v>0</v>
      </c>
      <c r="L771" t="n">
        <v>0</v>
      </c>
      <c r="M771" t="n">
        <v>0</v>
      </c>
      <c r="N771" t="n">
        <v>0</v>
      </c>
      <c r="O771" t="n">
        <v>0</v>
      </c>
      <c r="P771" t="n">
        <v>0</v>
      </c>
      <c r="Q771" t="n">
        <v>0</v>
      </c>
      <c r="R771" s="2" t="inlineStr"/>
    </row>
    <row r="772" ht="15" customHeight="1">
      <c r="A772" t="inlineStr">
        <is>
          <t>A 13898-2023</t>
        </is>
      </c>
      <c r="B772" s="1" t="n">
        <v>45008.01408564814</v>
      </c>
      <c r="C772" s="1" t="n">
        <v>46092</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50260-2025</t>
        </is>
      </c>
      <c r="B773" s="1" t="n">
        <v>45944.34515046296</v>
      </c>
      <c r="C773" s="1" t="n">
        <v>46092</v>
      </c>
      <c r="D773" t="inlineStr">
        <is>
          <t>JÄMTLANDS LÄN</t>
        </is>
      </c>
      <c r="E773" t="inlineStr">
        <is>
          <t>RAGUNDA</t>
        </is>
      </c>
      <c r="F773" t="inlineStr">
        <is>
          <t>SCA</t>
        </is>
      </c>
      <c r="G773" t="n">
        <v>7.9</v>
      </c>
      <c r="H773" t="n">
        <v>0</v>
      </c>
      <c r="I773" t="n">
        <v>0</v>
      </c>
      <c r="J773" t="n">
        <v>0</v>
      </c>
      <c r="K773" t="n">
        <v>0</v>
      </c>
      <c r="L773" t="n">
        <v>0</v>
      </c>
      <c r="M773" t="n">
        <v>0</v>
      </c>
      <c r="N773" t="n">
        <v>0</v>
      </c>
      <c r="O773" t="n">
        <v>0</v>
      </c>
      <c r="P773" t="n">
        <v>0</v>
      </c>
      <c r="Q773" t="n">
        <v>0</v>
      </c>
      <c r="R773" s="2" t="inlineStr"/>
    </row>
    <row r="774" ht="15" customHeight="1">
      <c r="A774" t="inlineStr">
        <is>
          <t>A 50473-2025</t>
        </is>
      </c>
      <c r="B774" s="1" t="n">
        <v>45945.36520833334</v>
      </c>
      <c r="C774" s="1" t="n">
        <v>46092</v>
      </c>
      <c r="D774" t="inlineStr">
        <is>
          <t>JÄMTLANDS LÄN</t>
        </is>
      </c>
      <c r="E774" t="inlineStr">
        <is>
          <t>RAGUNDA</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31463-2024</t>
        </is>
      </c>
      <c r="B775" s="1" t="n">
        <v>45505</v>
      </c>
      <c r="C775" s="1" t="n">
        <v>46092</v>
      </c>
      <c r="D775" t="inlineStr">
        <is>
          <t>JÄMTLANDS LÄN</t>
        </is>
      </c>
      <c r="E775" t="inlineStr">
        <is>
          <t>RAGUNDA</t>
        </is>
      </c>
      <c r="F775" t="inlineStr">
        <is>
          <t>SCA</t>
        </is>
      </c>
      <c r="G775" t="n">
        <v>20.3</v>
      </c>
      <c r="H775" t="n">
        <v>0</v>
      </c>
      <c r="I775" t="n">
        <v>0</v>
      </c>
      <c r="J775" t="n">
        <v>0</v>
      </c>
      <c r="K775" t="n">
        <v>0</v>
      </c>
      <c r="L775" t="n">
        <v>0</v>
      </c>
      <c r="M775" t="n">
        <v>0</v>
      </c>
      <c r="N775" t="n">
        <v>0</v>
      </c>
      <c r="O775" t="n">
        <v>0</v>
      </c>
      <c r="P775" t="n">
        <v>0</v>
      </c>
      <c r="Q775" t="n">
        <v>0</v>
      </c>
      <c r="R775" s="2" t="inlineStr"/>
    </row>
    <row r="776" ht="15" customHeight="1">
      <c r="A776" t="inlineStr">
        <is>
          <t>A 50504-2025</t>
        </is>
      </c>
      <c r="B776" s="1" t="n">
        <v>45945.4284837963</v>
      </c>
      <c r="C776" s="1" t="n">
        <v>46092</v>
      </c>
      <c r="D776" t="inlineStr">
        <is>
          <t>JÄMTLANDS LÄN</t>
        </is>
      </c>
      <c r="E776" t="inlineStr">
        <is>
          <t>RAGUNDA</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2123-2026</t>
        </is>
      </c>
      <c r="B777" s="1" t="n">
        <v>46036.38618055556</v>
      </c>
      <c r="C777" s="1" t="n">
        <v>46092</v>
      </c>
      <c r="D777" t="inlineStr">
        <is>
          <t>JÄMTLANDS LÄN</t>
        </is>
      </c>
      <c r="E777" t="inlineStr">
        <is>
          <t>RAGUNDA</t>
        </is>
      </c>
      <c r="F777" t="inlineStr">
        <is>
          <t>SCA</t>
        </is>
      </c>
      <c r="G777" t="n">
        <v>5.1</v>
      </c>
      <c r="H777" t="n">
        <v>0</v>
      </c>
      <c r="I777" t="n">
        <v>0</v>
      </c>
      <c r="J777" t="n">
        <v>0</v>
      </c>
      <c r="K777" t="n">
        <v>0</v>
      </c>
      <c r="L777" t="n">
        <v>0</v>
      </c>
      <c r="M777" t="n">
        <v>0</v>
      </c>
      <c r="N777" t="n">
        <v>0</v>
      </c>
      <c r="O777" t="n">
        <v>0</v>
      </c>
      <c r="P777" t="n">
        <v>0</v>
      </c>
      <c r="Q777" t="n">
        <v>0</v>
      </c>
      <c r="R777" s="2" t="inlineStr"/>
    </row>
    <row r="778" ht="15" customHeight="1">
      <c r="A778" t="inlineStr">
        <is>
          <t>A 26026-2024</t>
        </is>
      </c>
      <c r="B778" s="1" t="n">
        <v>45467.96207175926</v>
      </c>
      <c r="C778" s="1" t="n">
        <v>46092</v>
      </c>
      <c r="D778" t="inlineStr">
        <is>
          <t>JÄMTLANDS LÄN</t>
        </is>
      </c>
      <c r="E778" t="inlineStr">
        <is>
          <t>RAGUNDA</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50503-2025</t>
        </is>
      </c>
      <c r="B779" s="1" t="n">
        <v>45945.42746527777</v>
      </c>
      <c r="C779" s="1" t="n">
        <v>46092</v>
      </c>
      <c r="D779" t="inlineStr">
        <is>
          <t>JÄMTLANDS LÄN</t>
        </is>
      </c>
      <c r="E779" t="inlineStr">
        <is>
          <t>RAGUNDA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2233-2026</t>
        </is>
      </c>
      <c r="B780" s="1" t="n">
        <v>46036.53207175926</v>
      </c>
      <c r="C780" s="1" t="n">
        <v>46092</v>
      </c>
      <c r="D780" t="inlineStr">
        <is>
          <t>JÄMTLANDS LÄN</t>
        </is>
      </c>
      <c r="E780" t="inlineStr">
        <is>
          <t>RAGUNDA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30887-2025</t>
        </is>
      </c>
      <c r="B781" s="1" t="n">
        <v>45832.3459375</v>
      </c>
      <c r="C781" s="1" t="n">
        <v>46092</v>
      </c>
      <c r="D781" t="inlineStr">
        <is>
          <t>JÄMTLANDS LÄN</t>
        </is>
      </c>
      <c r="E781" t="inlineStr">
        <is>
          <t>RAGUNDA</t>
        </is>
      </c>
      <c r="F781" t="inlineStr">
        <is>
          <t>SCA</t>
        </is>
      </c>
      <c r="G781" t="n">
        <v>10.1</v>
      </c>
      <c r="H781" t="n">
        <v>0</v>
      </c>
      <c r="I781" t="n">
        <v>0</v>
      </c>
      <c r="J781" t="n">
        <v>0</v>
      </c>
      <c r="K781" t="n">
        <v>0</v>
      </c>
      <c r="L781" t="n">
        <v>0</v>
      </c>
      <c r="M781" t="n">
        <v>0</v>
      </c>
      <c r="N781" t="n">
        <v>0</v>
      </c>
      <c r="O781" t="n">
        <v>0</v>
      </c>
      <c r="P781" t="n">
        <v>0</v>
      </c>
      <c r="Q781" t="n">
        <v>0</v>
      </c>
      <c r="R781" s="2" t="inlineStr"/>
    </row>
    <row r="782" ht="15" customHeight="1">
      <c r="A782" t="inlineStr">
        <is>
          <t>A 30883-2025</t>
        </is>
      </c>
      <c r="B782" s="1" t="n">
        <v>45832.34552083333</v>
      </c>
      <c r="C782" s="1" t="n">
        <v>46092</v>
      </c>
      <c r="D782" t="inlineStr">
        <is>
          <t>JÄMTLANDS LÄN</t>
        </is>
      </c>
      <c r="E782" t="inlineStr">
        <is>
          <t>RAGUNDA</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5429-2024</t>
        </is>
      </c>
      <c r="B783" s="1" t="n">
        <v>45331.92746527777</v>
      </c>
      <c r="C783" s="1" t="n">
        <v>46092</v>
      </c>
      <c r="D783" t="inlineStr">
        <is>
          <t>JÄMTLANDS LÄN</t>
        </is>
      </c>
      <c r="E783" t="inlineStr">
        <is>
          <t>RAGUNDA</t>
        </is>
      </c>
      <c r="G783" t="n">
        <v>1.1</v>
      </c>
      <c r="H783" t="n">
        <v>0</v>
      </c>
      <c r="I783" t="n">
        <v>0</v>
      </c>
      <c r="J783" t="n">
        <v>0</v>
      </c>
      <c r="K783" t="n">
        <v>0</v>
      </c>
      <c r="L783" t="n">
        <v>0</v>
      </c>
      <c r="M783" t="n">
        <v>0</v>
      </c>
      <c r="N783" t="n">
        <v>0</v>
      </c>
      <c r="O783" t="n">
        <v>0</v>
      </c>
      <c r="P783" t="n">
        <v>0</v>
      </c>
      <c r="Q783" t="n">
        <v>0</v>
      </c>
      <c r="R783" s="2" t="inlineStr"/>
    </row>
    <row r="784" ht="15" customHeight="1">
      <c r="A784" t="inlineStr">
        <is>
          <t>A 50711-2025</t>
        </is>
      </c>
      <c r="B784" s="1" t="n">
        <v>45946.34431712963</v>
      </c>
      <c r="C784" s="1" t="n">
        <v>46092</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50716-2025</t>
        </is>
      </c>
      <c r="B785" s="1" t="n">
        <v>45946.34572916666</v>
      </c>
      <c r="C785" s="1" t="n">
        <v>46092</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2156-2026</t>
        </is>
      </c>
      <c r="B786" s="1" t="n">
        <v>46036.42771990741</v>
      </c>
      <c r="C786" s="1" t="n">
        <v>46092</v>
      </c>
      <c r="D786" t="inlineStr">
        <is>
          <t>JÄMTLANDS LÄN</t>
        </is>
      </c>
      <c r="E786" t="inlineStr">
        <is>
          <t>RAGUNDA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50719-2025</t>
        </is>
      </c>
      <c r="B787" s="1" t="n">
        <v>45946.34642361111</v>
      </c>
      <c r="C787" s="1" t="n">
        <v>46092</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10649-2026</t>
        </is>
      </c>
      <c r="B788" s="1" t="n">
        <v>46078.34486111111</v>
      </c>
      <c r="C788" s="1" t="n">
        <v>46092</v>
      </c>
      <c r="D788" t="inlineStr">
        <is>
          <t>JÄMTLANDS LÄN</t>
        </is>
      </c>
      <c r="E788" t="inlineStr">
        <is>
          <t>RAGUNDA</t>
        </is>
      </c>
      <c r="F788" t="inlineStr">
        <is>
          <t>SCA</t>
        </is>
      </c>
      <c r="G788" t="n">
        <v>45.5</v>
      </c>
      <c r="H788" t="n">
        <v>0</v>
      </c>
      <c r="I788" t="n">
        <v>0</v>
      </c>
      <c r="J788" t="n">
        <v>0</v>
      </c>
      <c r="K788" t="n">
        <v>0</v>
      </c>
      <c r="L788" t="n">
        <v>0</v>
      </c>
      <c r="M788" t="n">
        <v>0</v>
      </c>
      <c r="N788" t="n">
        <v>0</v>
      </c>
      <c r="O788" t="n">
        <v>0</v>
      </c>
      <c r="P788" t="n">
        <v>0</v>
      </c>
      <c r="Q788" t="n">
        <v>0</v>
      </c>
      <c r="R788" s="2" t="inlineStr"/>
    </row>
    <row r="789" ht="15" customHeight="1">
      <c r="A789" t="inlineStr">
        <is>
          <t>A 2271-2026</t>
        </is>
      </c>
      <c r="B789" s="1" t="n">
        <v>46036.57347222222</v>
      </c>
      <c r="C789" s="1" t="n">
        <v>46092</v>
      </c>
      <c r="D789" t="inlineStr">
        <is>
          <t>JÄMTLANDS LÄN</t>
        </is>
      </c>
      <c r="E789" t="inlineStr">
        <is>
          <t>RAGUNDA</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3720-2025</t>
        </is>
      </c>
      <c r="B790" s="1" t="n">
        <v>45681.5315625</v>
      </c>
      <c r="C790" s="1" t="n">
        <v>46092</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51019-2025</t>
        </is>
      </c>
      <c r="B791" s="1" t="n">
        <v>45947.38623842593</v>
      </c>
      <c r="C791" s="1" t="n">
        <v>46092</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3770-2025</t>
        </is>
      </c>
      <c r="B792" s="1" t="n">
        <v>45681.6050925926</v>
      </c>
      <c r="C792" s="1" t="n">
        <v>46092</v>
      </c>
      <c r="D792" t="inlineStr">
        <is>
          <t>JÄMTLANDS LÄN</t>
        </is>
      </c>
      <c r="E792" t="inlineStr">
        <is>
          <t>RAGUNDA</t>
        </is>
      </c>
      <c r="G792" t="n">
        <v>2.7</v>
      </c>
      <c r="H792" t="n">
        <v>0</v>
      </c>
      <c r="I792" t="n">
        <v>0</v>
      </c>
      <c r="J792" t="n">
        <v>0</v>
      </c>
      <c r="K792" t="n">
        <v>0</v>
      </c>
      <c r="L792" t="n">
        <v>0</v>
      </c>
      <c r="M792" t="n">
        <v>0</v>
      </c>
      <c r="N792" t="n">
        <v>0</v>
      </c>
      <c r="O792" t="n">
        <v>0</v>
      </c>
      <c r="P792" t="n">
        <v>0</v>
      </c>
      <c r="Q792" t="n">
        <v>0</v>
      </c>
      <c r="R792" s="2" t="inlineStr"/>
    </row>
    <row r="793" ht="15" customHeight="1">
      <c r="A793" t="inlineStr">
        <is>
          <t>A 30880-2025</t>
        </is>
      </c>
      <c r="B793" s="1" t="n">
        <v>45832.34524305556</v>
      </c>
      <c r="C793" s="1" t="n">
        <v>46092</v>
      </c>
      <c r="D793" t="inlineStr">
        <is>
          <t>JÄMTLANDS LÄN</t>
        </is>
      </c>
      <c r="E793" t="inlineStr">
        <is>
          <t>RAGUNDA</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51579-2024</t>
        </is>
      </c>
      <c r="B794" s="1" t="n">
        <v>45604.63575231482</v>
      </c>
      <c r="C794" s="1" t="n">
        <v>46092</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50985-2025</t>
        </is>
      </c>
      <c r="B795" s="1" t="n">
        <v>45947.34506944445</v>
      </c>
      <c r="C795" s="1" t="n">
        <v>46092</v>
      </c>
      <c r="D795" t="inlineStr">
        <is>
          <t>JÄMTLANDS LÄN</t>
        </is>
      </c>
      <c r="E795" t="inlineStr">
        <is>
          <t>RAGUNDA</t>
        </is>
      </c>
      <c r="F795" t="inlineStr">
        <is>
          <t>SCA</t>
        </is>
      </c>
      <c r="G795" t="n">
        <v>8</v>
      </c>
      <c r="H795" t="n">
        <v>0</v>
      </c>
      <c r="I795" t="n">
        <v>0</v>
      </c>
      <c r="J795" t="n">
        <v>0</v>
      </c>
      <c r="K795" t="n">
        <v>0</v>
      </c>
      <c r="L795" t="n">
        <v>0</v>
      </c>
      <c r="M795" t="n">
        <v>0</v>
      </c>
      <c r="N795" t="n">
        <v>0</v>
      </c>
      <c r="O795" t="n">
        <v>0</v>
      </c>
      <c r="P795" t="n">
        <v>0</v>
      </c>
      <c r="Q795" t="n">
        <v>0</v>
      </c>
      <c r="R795" s="2" t="inlineStr"/>
    </row>
    <row r="796" ht="15" customHeight="1">
      <c r="A796" t="inlineStr">
        <is>
          <t>A 51034-2025</t>
        </is>
      </c>
      <c r="B796" s="1" t="n">
        <v>45947.40670138889</v>
      </c>
      <c r="C796" s="1" t="n">
        <v>46092</v>
      </c>
      <c r="D796" t="inlineStr">
        <is>
          <t>JÄMTLANDS LÄN</t>
        </is>
      </c>
      <c r="E796" t="inlineStr">
        <is>
          <t>RAGUNDA</t>
        </is>
      </c>
      <c r="F796" t="inlineStr">
        <is>
          <t>SCA</t>
        </is>
      </c>
      <c r="G796" t="n">
        <v>44.1</v>
      </c>
      <c r="H796" t="n">
        <v>0</v>
      </c>
      <c r="I796" t="n">
        <v>0</v>
      </c>
      <c r="J796" t="n">
        <v>0</v>
      </c>
      <c r="K796" t="n">
        <v>0</v>
      </c>
      <c r="L796" t="n">
        <v>0</v>
      </c>
      <c r="M796" t="n">
        <v>0</v>
      </c>
      <c r="N796" t="n">
        <v>0</v>
      </c>
      <c r="O796" t="n">
        <v>0</v>
      </c>
      <c r="P796" t="n">
        <v>0</v>
      </c>
      <c r="Q796" t="n">
        <v>0</v>
      </c>
      <c r="R796" s="2" t="inlineStr"/>
    </row>
    <row r="797" ht="15" customHeight="1">
      <c r="A797" t="inlineStr">
        <is>
          <t>A 8775-2025</t>
        </is>
      </c>
      <c r="B797" s="1" t="n">
        <v>45712.61502314815</v>
      </c>
      <c r="C797" s="1" t="n">
        <v>46092</v>
      </c>
      <c r="D797" t="inlineStr">
        <is>
          <t>JÄMTLANDS LÄN</t>
        </is>
      </c>
      <c r="E797" t="inlineStr">
        <is>
          <t>RAGUNDA</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51592-2025</t>
        </is>
      </c>
      <c r="B798" s="1" t="n">
        <v>45951.36541666667</v>
      </c>
      <c r="C798" s="1" t="n">
        <v>46092</v>
      </c>
      <c r="D798" t="inlineStr">
        <is>
          <t>JÄMTLANDS LÄN</t>
        </is>
      </c>
      <c r="E798" t="inlineStr">
        <is>
          <t>RAGUNDA</t>
        </is>
      </c>
      <c r="G798" t="n">
        <v>1.3</v>
      </c>
      <c r="H798" t="n">
        <v>0</v>
      </c>
      <c r="I798" t="n">
        <v>0</v>
      </c>
      <c r="J798" t="n">
        <v>0</v>
      </c>
      <c r="K798" t="n">
        <v>0</v>
      </c>
      <c r="L798" t="n">
        <v>0</v>
      </c>
      <c r="M798" t="n">
        <v>0</v>
      </c>
      <c r="N798" t="n">
        <v>0</v>
      </c>
      <c r="O798" t="n">
        <v>0</v>
      </c>
      <c r="P798" t="n">
        <v>0</v>
      </c>
      <c r="Q798" t="n">
        <v>0</v>
      </c>
      <c r="R798" s="2" t="inlineStr"/>
    </row>
    <row r="799" ht="15" customHeight="1">
      <c r="A799" t="inlineStr">
        <is>
          <t>A 51395-2025</t>
        </is>
      </c>
      <c r="B799" s="1" t="n">
        <v>45950.46989583333</v>
      </c>
      <c r="C799" s="1" t="n">
        <v>46092</v>
      </c>
      <c r="D799" t="inlineStr">
        <is>
          <t>JÄMTLANDS LÄN</t>
        </is>
      </c>
      <c r="E799" t="inlineStr">
        <is>
          <t>RAGUNDA</t>
        </is>
      </c>
      <c r="F799" t="inlineStr">
        <is>
          <t>SCA</t>
        </is>
      </c>
      <c r="G799" t="n">
        <v>30.7</v>
      </c>
      <c r="H799" t="n">
        <v>0</v>
      </c>
      <c r="I799" t="n">
        <v>0</v>
      </c>
      <c r="J799" t="n">
        <v>0</v>
      </c>
      <c r="K799" t="n">
        <v>0</v>
      </c>
      <c r="L799" t="n">
        <v>0</v>
      </c>
      <c r="M799" t="n">
        <v>0</v>
      </c>
      <c r="N799" t="n">
        <v>0</v>
      </c>
      <c r="O799" t="n">
        <v>0</v>
      </c>
      <c r="P799" t="n">
        <v>0</v>
      </c>
      <c r="Q799" t="n">
        <v>0</v>
      </c>
      <c r="R799" s="2" t="inlineStr"/>
    </row>
    <row r="800" ht="15" customHeight="1">
      <c r="A800" t="inlineStr">
        <is>
          <t>A 2173-2026</t>
        </is>
      </c>
      <c r="B800" s="1" t="n">
        <v>46036.44984953704</v>
      </c>
      <c r="C800" s="1" t="n">
        <v>46092</v>
      </c>
      <c r="D800" t="inlineStr">
        <is>
          <t>JÄMTLANDS LÄN</t>
        </is>
      </c>
      <c r="E800" t="inlineStr">
        <is>
          <t>RAGUNDA</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10740-2026</t>
        </is>
      </c>
      <c r="B801" s="1" t="n">
        <v>46078.5109375</v>
      </c>
      <c r="C801" s="1" t="n">
        <v>46092</v>
      </c>
      <c r="D801" t="inlineStr">
        <is>
          <t>JÄMTLANDS LÄN</t>
        </is>
      </c>
      <c r="E801" t="inlineStr">
        <is>
          <t>RAGUNDA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51678-2025</t>
        </is>
      </c>
      <c r="B802" s="1" t="n">
        <v>45951.51106481482</v>
      </c>
      <c r="C802" s="1" t="n">
        <v>46092</v>
      </c>
      <c r="D802" t="inlineStr">
        <is>
          <t>JÄMTLANDS LÄN</t>
        </is>
      </c>
      <c r="E802" t="inlineStr">
        <is>
          <t>RAGUNDA</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2339-2025</t>
        </is>
      </c>
      <c r="B803" s="1" t="n">
        <v>45673.66358796296</v>
      </c>
      <c r="C803" s="1" t="n">
        <v>46092</v>
      </c>
      <c r="D803" t="inlineStr">
        <is>
          <t>JÄMTLANDS LÄN</t>
        </is>
      </c>
      <c r="E803" t="inlineStr">
        <is>
          <t>RAGUNDA</t>
        </is>
      </c>
      <c r="G803" t="n">
        <v>5</v>
      </c>
      <c r="H803" t="n">
        <v>0</v>
      </c>
      <c r="I803" t="n">
        <v>0</v>
      </c>
      <c r="J803" t="n">
        <v>0</v>
      </c>
      <c r="K803" t="n">
        <v>0</v>
      </c>
      <c r="L803" t="n">
        <v>0</v>
      </c>
      <c r="M803" t="n">
        <v>0</v>
      </c>
      <c r="N803" t="n">
        <v>0</v>
      </c>
      <c r="O803" t="n">
        <v>0</v>
      </c>
      <c r="P803" t="n">
        <v>0</v>
      </c>
      <c r="Q803" t="n">
        <v>0</v>
      </c>
      <c r="R803" s="2" t="inlineStr"/>
    </row>
    <row r="804" ht="15" customHeight="1">
      <c r="A804" t="inlineStr">
        <is>
          <t>A 27499-2024</t>
        </is>
      </c>
      <c r="B804" s="1" t="n">
        <v>45474.50608796296</v>
      </c>
      <c r="C804" s="1" t="n">
        <v>46092</v>
      </c>
      <c r="D804" t="inlineStr">
        <is>
          <t>JÄMTLANDS LÄN</t>
        </is>
      </c>
      <c r="E804" t="inlineStr">
        <is>
          <t>RAGUNDA</t>
        </is>
      </c>
      <c r="G804" t="n">
        <v>1.3</v>
      </c>
      <c r="H804" t="n">
        <v>0</v>
      </c>
      <c r="I804" t="n">
        <v>0</v>
      </c>
      <c r="J804" t="n">
        <v>0</v>
      </c>
      <c r="K804" t="n">
        <v>0</v>
      </c>
      <c r="L804" t="n">
        <v>0</v>
      </c>
      <c r="M804" t="n">
        <v>0</v>
      </c>
      <c r="N804" t="n">
        <v>0</v>
      </c>
      <c r="O804" t="n">
        <v>0</v>
      </c>
      <c r="P804" t="n">
        <v>0</v>
      </c>
      <c r="Q804" t="n">
        <v>0</v>
      </c>
      <c r="R804" s="2" t="inlineStr"/>
    </row>
    <row r="805" ht="15" customHeight="1">
      <c r="A805" t="inlineStr">
        <is>
          <t>A 57078-2023</t>
        </is>
      </c>
      <c r="B805" s="1" t="n">
        <v>45244.96774305555</v>
      </c>
      <c r="C805" s="1" t="n">
        <v>46092</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51593-2025</t>
        </is>
      </c>
      <c r="B806" s="1" t="n">
        <v>45951.36548611111</v>
      </c>
      <c r="C806" s="1" t="n">
        <v>46092</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11243-2026</t>
        </is>
      </c>
      <c r="B807" s="1" t="n">
        <v>46080.53181712963</v>
      </c>
      <c r="C807" s="1" t="n">
        <v>46092</v>
      </c>
      <c r="D807" t="inlineStr">
        <is>
          <t>JÄMTLANDS LÄN</t>
        </is>
      </c>
      <c r="E807" t="inlineStr">
        <is>
          <t>RAGUNDA</t>
        </is>
      </c>
      <c r="F807" t="inlineStr">
        <is>
          <t>SCA</t>
        </is>
      </c>
      <c r="G807" t="n">
        <v>52.9</v>
      </c>
      <c r="H807" t="n">
        <v>0</v>
      </c>
      <c r="I807" t="n">
        <v>0</v>
      </c>
      <c r="J807" t="n">
        <v>0</v>
      </c>
      <c r="K807" t="n">
        <v>0</v>
      </c>
      <c r="L807" t="n">
        <v>0</v>
      </c>
      <c r="M807" t="n">
        <v>0</v>
      </c>
      <c r="N807" t="n">
        <v>0</v>
      </c>
      <c r="O807" t="n">
        <v>0</v>
      </c>
      <c r="P807" t="n">
        <v>0</v>
      </c>
      <c r="Q807" t="n">
        <v>0</v>
      </c>
      <c r="R807" s="2" t="inlineStr"/>
    </row>
    <row r="808" ht="15" customHeight="1">
      <c r="A808" t="inlineStr">
        <is>
          <t>A 32096-2025</t>
        </is>
      </c>
      <c r="B808" s="1" t="n">
        <v>45835.46334490741</v>
      </c>
      <c r="C808" s="1" t="n">
        <v>46092</v>
      </c>
      <c r="D808" t="inlineStr">
        <is>
          <t>JÄMTLANDS LÄN</t>
        </is>
      </c>
      <c r="E808" t="inlineStr">
        <is>
          <t>RAGUNDA</t>
        </is>
      </c>
      <c r="G808" t="n">
        <v>0.9</v>
      </c>
      <c r="H808" t="n">
        <v>0</v>
      </c>
      <c r="I808" t="n">
        <v>0</v>
      </c>
      <c r="J808" t="n">
        <v>0</v>
      </c>
      <c r="K808" t="n">
        <v>0</v>
      </c>
      <c r="L808" t="n">
        <v>0</v>
      </c>
      <c r="M808" t="n">
        <v>0</v>
      </c>
      <c r="N808" t="n">
        <v>0</v>
      </c>
      <c r="O808" t="n">
        <v>0</v>
      </c>
      <c r="P808" t="n">
        <v>0</v>
      </c>
      <c r="Q808" t="n">
        <v>0</v>
      </c>
      <c r="R808" s="2" t="inlineStr"/>
    </row>
    <row r="809" ht="15" customHeight="1">
      <c r="A809" t="inlineStr">
        <is>
          <t>A 51484-2025</t>
        </is>
      </c>
      <c r="B809" s="1" t="n">
        <v>45950.62196759259</v>
      </c>
      <c r="C809" s="1" t="n">
        <v>46092</v>
      </c>
      <c r="D809" t="inlineStr">
        <is>
          <t>JÄMTLANDS LÄN</t>
        </is>
      </c>
      <c r="E809" t="inlineStr">
        <is>
          <t>RAGUNDA</t>
        </is>
      </c>
      <c r="F809" t="inlineStr">
        <is>
          <t>SCA</t>
        </is>
      </c>
      <c r="G809" t="n">
        <v>23.1</v>
      </c>
      <c r="H809" t="n">
        <v>0</v>
      </c>
      <c r="I809" t="n">
        <v>0</v>
      </c>
      <c r="J809" t="n">
        <v>0</v>
      </c>
      <c r="K809" t="n">
        <v>0</v>
      </c>
      <c r="L809" t="n">
        <v>0</v>
      </c>
      <c r="M809" t="n">
        <v>0</v>
      </c>
      <c r="N809" t="n">
        <v>0</v>
      </c>
      <c r="O809" t="n">
        <v>0</v>
      </c>
      <c r="P809" t="n">
        <v>0</v>
      </c>
      <c r="Q809" t="n">
        <v>0</v>
      </c>
      <c r="R809" s="2" t="inlineStr"/>
    </row>
    <row r="810" ht="15" customHeight="1">
      <c r="A810" t="inlineStr">
        <is>
          <t>A 51491-2025</t>
        </is>
      </c>
      <c r="B810" s="1" t="n">
        <v>45950.63362268519</v>
      </c>
      <c r="C810" s="1" t="n">
        <v>46092</v>
      </c>
      <c r="D810" t="inlineStr">
        <is>
          <t>JÄMTLANDS LÄN</t>
        </is>
      </c>
      <c r="E810" t="inlineStr">
        <is>
          <t>RAGUNDA</t>
        </is>
      </c>
      <c r="G810" t="n">
        <v>1.1</v>
      </c>
      <c r="H810" t="n">
        <v>0</v>
      </c>
      <c r="I810" t="n">
        <v>0</v>
      </c>
      <c r="J810" t="n">
        <v>0</v>
      </c>
      <c r="K810" t="n">
        <v>0</v>
      </c>
      <c r="L810" t="n">
        <v>0</v>
      </c>
      <c r="M810" t="n">
        <v>0</v>
      </c>
      <c r="N810" t="n">
        <v>0</v>
      </c>
      <c r="O810" t="n">
        <v>0</v>
      </c>
      <c r="P810" t="n">
        <v>0</v>
      </c>
      <c r="Q810" t="n">
        <v>0</v>
      </c>
      <c r="R810" s="2" t="inlineStr"/>
    </row>
    <row r="811" ht="15" customHeight="1">
      <c r="A811" t="inlineStr">
        <is>
          <t>A 32151-2025</t>
        </is>
      </c>
      <c r="B811" s="1" t="n">
        <v>45835.53166666667</v>
      </c>
      <c r="C811" s="1" t="n">
        <v>46092</v>
      </c>
      <c r="D811" t="inlineStr">
        <is>
          <t>JÄMTLANDS LÄN</t>
        </is>
      </c>
      <c r="E811" t="inlineStr">
        <is>
          <t>RAGUNDA</t>
        </is>
      </c>
      <c r="F811" t="inlineStr">
        <is>
          <t>SCA</t>
        </is>
      </c>
      <c r="G811" t="n">
        <v>12.3</v>
      </c>
      <c r="H811" t="n">
        <v>0</v>
      </c>
      <c r="I811" t="n">
        <v>0</v>
      </c>
      <c r="J811" t="n">
        <v>0</v>
      </c>
      <c r="K811" t="n">
        <v>0</v>
      </c>
      <c r="L811" t="n">
        <v>0</v>
      </c>
      <c r="M811" t="n">
        <v>0</v>
      </c>
      <c r="N811" t="n">
        <v>0</v>
      </c>
      <c r="O811" t="n">
        <v>0</v>
      </c>
      <c r="P811" t="n">
        <v>0</v>
      </c>
      <c r="Q811" t="n">
        <v>0</v>
      </c>
      <c r="R811" s="2" t="inlineStr"/>
    </row>
    <row r="812" ht="15" customHeight="1">
      <c r="A812" t="inlineStr">
        <is>
          <t>A 32306-2025</t>
        </is>
      </c>
      <c r="B812" s="1" t="n">
        <v>45835.72046296296</v>
      </c>
      <c r="C812" s="1" t="n">
        <v>46092</v>
      </c>
      <c r="D812" t="inlineStr">
        <is>
          <t>JÄMTLANDS LÄN</t>
        </is>
      </c>
      <c r="E812" t="inlineStr">
        <is>
          <t>RAGUNDA</t>
        </is>
      </c>
      <c r="G812" t="n">
        <v>10.2</v>
      </c>
      <c r="H812" t="n">
        <v>0</v>
      </c>
      <c r="I812" t="n">
        <v>0</v>
      </c>
      <c r="J812" t="n">
        <v>0</v>
      </c>
      <c r="K812" t="n">
        <v>0</v>
      </c>
      <c r="L812" t="n">
        <v>0</v>
      </c>
      <c r="M812" t="n">
        <v>0</v>
      </c>
      <c r="N812" t="n">
        <v>0</v>
      </c>
      <c r="O812" t="n">
        <v>0</v>
      </c>
      <c r="P812" t="n">
        <v>0</v>
      </c>
      <c r="Q812" t="n">
        <v>0</v>
      </c>
      <c r="R812" s="2" t="inlineStr"/>
    </row>
    <row r="813" ht="15" customHeight="1">
      <c r="A813" t="inlineStr">
        <is>
          <t>A 59368-2022</t>
        </is>
      </c>
      <c r="B813" s="1" t="n">
        <v>44904.94824074074</v>
      </c>
      <c r="C813" s="1" t="n">
        <v>46092</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51791-2025</t>
        </is>
      </c>
      <c r="B814" s="1" t="n">
        <v>45951.69833333333</v>
      </c>
      <c r="C814" s="1" t="n">
        <v>46092</v>
      </c>
      <c r="D814" t="inlineStr">
        <is>
          <t>JÄMTLANDS LÄN</t>
        </is>
      </c>
      <c r="E814" t="inlineStr">
        <is>
          <t>RAGUNDA</t>
        </is>
      </c>
      <c r="F814" t="inlineStr">
        <is>
          <t>SCA</t>
        </is>
      </c>
      <c r="G814" t="n">
        <v>43.3</v>
      </c>
      <c r="H814" t="n">
        <v>0</v>
      </c>
      <c r="I814" t="n">
        <v>0</v>
      </c>
      <c r="J814" t="n">
        <v>0</v>
      </c>
      <c r="K814" t="n">
        <v>0</v>
      </c>
      <c r="L814" t="n">
        <v>0</v>
      </c>
      <c r="M814" t="n">
        <v>0</v>
      </c>
      <c r="N814" t="n">
        <v>0</v>
      </c>
      <c r="O814" t="n">
        <v>0</v>
      </c>
      <c r="P814" t="n">
        <v>0</v>
      </c>
      <c r="Q814" t="n">
        <v>0</v>
      </c>
      <c r="R814" s="2" t="inlineStr"/>
    </row>
    <row r="815" ht="15" customHeight="1">
      <c r="A815" t="inlineStr">
        <is>
          <t>A 32021-2025</t>
        </is>
      </c>
      <c r="B815" s="1" t="n">
        <v>45835.40668981482</v>
      </c>
      <c r="C815" s="1" t="n">
        <v>46092</v>
      </c>
      <c r="D815" t="inlineStr">
        <is>
          <t>JÄMTLANDS LÄN</t>
        </is>
      </c>
      <c r="E815" t="inlineStr">
        <is>
          <t>RAGUNDA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31882-2025</t>
        </is>
      </c>
      <c r="B816" s="1" t="n">
        <v>45834.65662037037</v>
      </c>
      <c r="C816" s="1" t="n">
        <v>46092</v>
      </c>
      <c r="D816" t="inlineStr">
        <is>
          <t>JÄMTLANDS LÄN</t>
        </is>
      </c>
      <c r="E816" t="inlineStr">
        <is>
          <t>RAGUNDA</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51702-2025</t>
        </is>
      </c>
      <c r="B817" s="1" t="n">
        <v>45951.55305555555</v>
      </c>
      <c r="C817" s="1" t="n">
        <v>46092</v>
      </c>
      <c r="D817" t="inlineStr">
        <is>
          <t>JÄMTLANDS LÄN</t>
        </is>
      </c>
      <c r="E817" t="inlineStr">
        <is>
          <t>RAGUNDA</t>
        </is>
      </c>
      <c r="G817" t="n">
        <v>11.4</v>
      </c>
      <c r="H817" t="n">
        <v>0</v>
      </c>
      <c r="I817" t="n">
        <v>0</v>
      </c>
      <c r="J817" t="n">
        <v>0</v>
      </c>
      <c r="K817" t="n">
        <v>0</v>
      </c>
      <c r="L817" t="n">
        <v>0</v>
      </c>
      <c r="M817" t="n">
        <v>0</v>
      </c>
      <c r="N817" t="n">
        <v>0</v>
      </c>
      <c r="O817" t="n">
        <v>0</v>
      </c>
      <c r="P817" t="n">
        <v>0</v>
      </c>
      <c r="Q817" t="n">
        <v>0</v>
      </c>
      <c r="R817" s="2" t="inlineStr"/>
    </row>
    <row r="818" ht="15" customHeight="1">
      <c r="A818" t="inlineStr">
        <is>
          <t>A 51394-2025</t>
        </is>
      </c>
      <c r="B818" s="1" t="n">
        <v>45950.46972222222</v>
      </c>
      <c r="C818" s="1" t="n">
        <v>46092</v>
      </c>
      <c r="D818" t="inlineStr">
        <is>
          <t>JÄMTLANDS LÄN</t>
        </is>
      </c>
      <c r="E818" t="inlineStr">
        <is>
          <t>RAGUNDA</t>
        </is>
      </c>
      <c r="F818" t="inlineStr">
        <is>
          <t>SCA</t>
        </is>
      </c>
      <c r="G818" t="n">
        <v>36.5</v>
      </c>
      <c r="H818" t="n">
        <v>0</v>
      </c>
      <c r="I818" t="n">
        <v>0</v>
      </c>
      <c r="J818" t="n">
        <v>0</v>
      </c>
      <c r="K818" t="n">
        <v>0</v>
      </c>
      <c r="L818" t="n">
        <v>0</v>
      </c>
      <c r="M818" t="n">
        <v>0</v>
      </c>
      <c r="N818" t="n">
        <v>0</v>
      </c>
      <c r="O818" t="n">
        <v>0</v>
      </c>
      <c r="P818" t="n">
        <v>0</v>
      </c>
      <c r="Q818" t="n">
        <v>0</v>
      </c>
      <c r="R818" s="2" t="inlineStr"/>
    </row>
    <row r="819" ht="15" customHeight="1">
      <c r="A819" t="inlineStr">
        <is>
          <t>A 52317-2025</t>
        </is>
      </c>
      <c r="B819" s="1" t="n">
        <v>45953.65675925926</v>
      </c>
      <c r="C819" s="1" t="n">
        <v>46092</v>
      </c>
      <c r="D819" t="inlineStr">
        <is>
          <t>JÄMTLANDS LÄN</t>
        </is>
      </c>
      <c r="E819" t="inlineStr">
        <is>
          <t>RAGUNDA</t>
        </is>
      </c>
      <c r="F819" t="inlineStr">
        <is>
          <t>SCA</t>
        </is>
      </c>
      <c r="G819" t="n">
        <v>27.2</v>
      </c>
      <c r="H819" t="n">
        <v>0</v>
      </c>
      <c r="I819" t="n">
        <v>0</v>
      </c>
      <c r="J819" t="n">
        <v>0</v>
      </c>
      <c r="K819" t="n">
        <v>0</v>
      </c>
      <c r="L819" t="n">
        <v>0</v>
      </c>
      <c r="M819" t="n">
        <v>0</v>
      </c>
      <c r="N819" t="n">
        <v>0</v>
      </c>
      <c r="O819" t="n">
        <v>0</v>
      </c>
      <c r="P819" t="n">
        <v>0</v>
      </c>
      <c r="Q819" t="n">
        <v>0</v>
      </c>
      <c r="R819" s="2" t="inlineStr"/>
    </row>
    <row r="820" ht="15" customHeight="1">
      <c r="A820" t="inlineStr">
        <is>
          <t>A 6801-2023</t>
        </is>
      </c>
      <c r="B820" s="1" t="n">
        <v>44966.95328703704</v>
      </c>
      <c r="C820" s="1" t="n">
        <v>46092</v>
      </c>
      <c r="D820" t="inlineStr">
        <is>
          <t>JÄMTLANDS LÄN</t>
        </is>
      </c>
      <c r="E820" t="inlineStr">
        <is>
          <t>RAGUNDA</t>
        </is>
      </c>
      <c r="F820" t="inlineStr">
        <is>
          <t>SCA</t>
        </is>
      </c>
      <c r="G820" t="n">
        <v>10.6</v>
      </c>
      <c r="H820" t="n">
        <v>0</v>
      </c>
      <c r="I820" t="n">
        <v>0</v>
      </c>
      <c r="J820" t="n">
        <v>0</v>
      </c>
      <c r="K820" t="n">
        <v>0</v>
      </c>
      <c r="L820" t="n">
        <v>0</v>
      </c>
      <c r="M820" t="n">
        <v>0</v>
      </c>
      <c r="N820" t="n">
        <v>0</v>
      </c>
      <c r="O820" t="n">
        <v>0</v>
      </c>
      <c r="P820" t="n">
        <v>0</v>
      </c>
      <c r="Q820" t="n">
        <v>0</v>
      </c>
      <c r="R820" s="2" t="inlineStr"/>
    </row>
    <row r="821" ht="15" customHeight="1">
      <c r="A821" t="inlineStr">
        <is>
          <t>A 52122-2025</t>
        </is>
      </c>
      <c r="B821" s="1" t="n">
        <v>45952.71946759259</v>
      </c>
      <c r="C821" s="1" t="n">
        <v>46092</v>
      </c>
      <c r="D821" t="inlineStr">
        <is>
          <t>JÄMTLANDS LÄN</t>
        </is>
      </c>
      <c r="E821" t="inlineStr">
        <is>
          <t>RAGUNDA</t>
        </is>
      </c>
      <c r="F821" t="inlineStr">
        <is>
          <t>SCA</t>
        </is>
      </c>
      <c r="G821" t="n">
        <v>8</v>
      </c>
      <c r="H821" t="n">
        <v>0</v>
      </c>
      <c r="I821" t="n">
        <v>0</v>
      </c>
      <c r="J821" t="n">
        <v>0</v>
      </c>
      <c r="K821" t="n">
        <v>0</v>
      </c>
      <c r="L821" t="n">
        <v>0</v>
      </c>
      <c r="M821" t="n">
        <v>0</v>
      </c>
      <c r="N821" t="n">
        <v>0</v>
      </c>
      <c r="O821" t="n">
        <v>0</v>
      </c>
      <c r="P821" t="n">
        <v>0</v>
      </c>
      <c r="Q821" t="n">
        <v>0</v>
      </c>
      <c r="R821" s="2" t="inlineStr"/>
    </row>
    <row r="822" ht="15" customHeight="1">
      <c r="A822" t="inlineStr">
        <is>
          <t>A 41656-2023</t>
        </is>
      </c>
      <c r="B822" s="1" t="n">
        <v>45175</v>
      </c>
      <c r="C822" s="1" t="n">
        <v>46092</v>
      </c>
      <c r="D822" t="inlineStr">
        <is>
          <t>JÄMTLANDS LÄN</t>
        </is>
      </c>
      <c r="E822" t="inlineStr">
        <is>
          <t>RAGUNDA</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32796-2025</t>
        </is>
      </c>
      <c r="B823" s="1" t="n">
        <v>45839.49082175926</v>
      </c>
      <c r="C823" s="1" t="n">
        <v>46092</v>
      </c>
      <c r="D823" t="inlineStr">
        <is>
          <t>JÄMTLANDS LÄN</t>
        </is>
      </c>
      <c r="E823" t="inlineStr">
        <is>
          <t>RAGUNDA</t>
        </is>
      </c>
      <c r="G823" t="n">
        <v>1.7</v>
      </c>
      <c r="H823" t="n">
        <v>0</v>
      </c>
      <c r="I823" t="n">
        <v>0</v>
      </c>
      <c r="J823" t="n">
        <v>0</v>
      </c>
      <c r="K823" t="n">
        <v>0</v>
      </c>
      <c r="L823" t="n">
        <v>0</v>
      </c>
      <c r="M823" t="n">
        <v>0</v>
      </c>
      <c r="N823" t="n">
        <v>0</v>
      </c>
      <c r="O823" t="n">
        <v>0</v>
      </c>
      <c r="P823" t="n">
        <v>0</v>
      </c>
      <c r="Q823" t="n">
        <v>0</v>
      </c>
      <c r="R823" s="2" t="inlineStr"/>
    </row>
    <row r="824" ht="15" customHeight="1">
      <c r="A824" t="inlineStr">
        <is>
          <t>A 32655-2025</t>
        </is>
      </c>
      <c r="B824" s="1" t="n">
        <v>45838.67800925926</v>
      </c>
      <c r="C824" s="1" t="n">
        <v>46092</v>
      </c>
      <c r="D824" t="inlineStr">
        <is>
          <t>JÄMTLANDS LÄN</t>
        </is>
      </c>
      <c r="E824" t="inlineStr">
        <is>
          <t>RAGUNDA</t>
        </is>
      </c>
      <c r="G824" t="n">
        <v>2.8</v>
      </c>
      <c r="H824" t="n">
        <v>0</v>
      </c>
      <c r="I824" t="n">
        <v>0</v>
      </c>
      <c r="J824" t="n">
        <v>0</v>
      </c>
      <c r="K824" t="n">
        <v>0</v>
      </c>
      <c r="L824" t="n">
        <v>0</v>
      </c>
      <c r="M824" t="n">
        <v>0</v>
      </c>
      <c r="N824" t="n">
        <v>0</v>
      </c>
      <c r="O824" t="n">
        <v>0</v>
      </c>
      <c r="P824" t="n">
        <v>0</v>
      </c>
      <c r="Q824" t="n">
        <v>0</v>
      </c>
      <c r="R824" s="2" t="inlineStr"/>
    </row>
    <row r="825" ht="15" customHeight="1">
      <c r="A825" t="inlineStr">
        <is>
          <t>A 32751-2025</t>
        </is>
      </c>
      <c r="B825" s="1" t="n">
        <v>45839.42864583333</v>
      </c>
      <c r="C825" s="1" t="n">
        <v>46092</v>
      </c>
      <c r="D825" t="inlineStr">
        <is>
          <t>JÄMTLANDS LÄN</t>
        </is>
      </c>
      <c r="E825" t="inlineStr">
        <is>
          <t>RAGUNDA</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51646-2023</t>
        </is>
      </c>
      <c r="B826" s="1" t="n">
        <v>45215</v>
      </c>
      <c r="C826" s="1" t="n">
        <v>46092</v>
      </c>
      <c r="D826" t="inlineStr">
        <is>
          <t>JÄMTLANDS LÄN</t>
        </is>
      </c>
      <c r="E826" t="inlineStr">
        <is>
          <t>RAGUNDA</t>
        </is>
      </c>
      <c r="G826" t="n">
        <v>0.7</v>
      </c>
      <c r="H826" t="n">
        <v>0</v>
      </c>
      <c r="I826" t="n">
        <v>0</v>
      </c>
      <c r="J826" t="n">
        <v>0</v>
      </c>
      <c r="K826" t="n">
        <v>0</v>
      </c>
      <c r="L826" t="n">
        <v>0</v>
      </c>
      <c r="M826" t="n">
        <v>0</v>
      </c>
      <c r="N826" t="n">
        <v>0</v>
      </c>
      <c r="O826" t="n">
        <v>0</v>
      </c>
      <c r="P826" t="n">
        <v>0</v>
      </c>
      <c r="Q826" t="n">
        <v>0</v>
      </c>
      <c r="R826" s="2" t="inlineStr"/>
    </row>
    <row r="827" ht="15" customHeight="1">
      <c r="A827" t="inlineStr">
        <is>
          <t>A 37268-2024</t>
        </is>
      </c>
      <c r="B827" s="1" t="n">
        <v>45540.38586805556</v>
      </c>
      <c r="C827" s="1" t="n">
        <v>46092</v>
      </c>
      <c r="D827" t="inlineStr">
        <is>
          <t>JÄMTLANDS LÄN</t>
        </is>
      </c>
      <c r="E827" t="inlineStr">
        <is>
          <t>RAGUNDA</t>
        </is>
      </c>
      <c r="F827" t="inlineStr">
        <is>
          <t>SCA</t>
        </is>
      </c>
      <c r="G827" t="n">
        <v>6.3</v>
      </c>
      <c r="H827" t="n">
        <v>0</v>
      </c>
      <c r="I827" t="n">
        <v>0</v>
      </c>
      <c r="J827" t="n">
        <v>0</v>
      </c>
      <c r="K827" t="n">
        <v>0</v>
      </c>
      <c r="L827" t="n">
        <v>0</v>
      </c>
      <c r="M827" t="n">
        <v>0</v>
      </c>
      <c r="N827" t="n">
        <v>0</v>
      </c>
      <c r="O827" t="n">
        <v>0</v>
      </c>
      <c r="P827" t="n">
        <v>0</v>
      </c>
      <c r="Q827" t="n">
        <v>0</v>
      </c>
      <c r="R827" s="2" t="inlineStr"/>
    </row>
    <row r="828" ht="15" customHeight="1">
      <c r="A828" t="inlineStr">
        <is>
          <t>A 32777-2025</t>
        </is>
      </c>
      <c r="B828" s="1" t="n">
        <v>45839.46915509259</v>
      </c>
      <c r="C828" s="1" t="n">
        <v>46092</v>
      </c>
      <c r="D828" t="inlineStr">
        <is>
          <t>JÄMTLANDS LÄN</t>
        </is>
      </c>
      <c r="E828" t="inlineStr">
        <is>
          <t>RAGUNDA</t>
        </is>
      </c>
      <c r="F828" t="inlineStr">
        <is>
          <t>SCA</t>
        </is>
      </c>
      <c r="G828" t="n">
        <v>21.7</v>
      </c>
      <c r="H828" t="n">
        <v>0</v>
      </c>
      <c r="I828" t="n">
        <v>0</v>
      </c>
      <c r="J828" t="n">
        <v>0</v>
      </c>
      <c r="K828" t="n">
        <v>0</v>
      </c>
      <c r="L828" t="n">
        <v>0</v>
      </c>
      <c r="M828" t="n">
        <v>0</v>
      </c>
      <c r="N828" t="n">
        <v>0</v>
      </c>
      <c r="O828" t="n">
        <v>0</v>
      </c>
      <c r="P828" t="n">
        <v>0</v>
      </c>
      <c r="Q828" t="n">
        <v>0</v>
      </c>
      <c r="R828" s="2" t="inlineStr"/>
    </row>
    <row r="829" ht="15" customHeight="1">
      <c r="A829" t="inlineStr">
        <is>
          <t>A 52330-2025</t>
        </is>
      </c>
      <c r="B829" s="1" t="n">
        <v>45953.67752314815</v>
      </c>
      <c r="C829" s="1" t="n">
        <v>46092</v>
      </c>
      <c r="D829" t="inlineStr">
        <is>
          <t>JÄMTLANDS LÄN</t>
        </is>
      </c>
      <c r="E829" t="inlineStr">
        <is>
          <t>RAGUNDA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32430-2025</t>
        </is>
      </c>
      <c r="B830" s="1" t="n">
        <v>45838.36532407408</v>
      </c>
      <c r="C830" s="1" t="n">
        <v>46092</v>
      </c>
      <c r="D830" t="inlineStr">
        <is>
          <t>JÄMTLANDS LÄN</t>
        </is>
      </c>
      <c r="E830" t="inlineStr">
        <is>
          <t>RAGUNDA</t>
        </is>
      </c>
      <c r="F830" t="inlineStr">
        <is>
          <t>SCA</t>
        </is>
      </c>
      <c r="G830" t="n">
        <v>4.3</v>
      </c>
      <c r="H830" t="n">
        <v>0</v>
      </c>
      <c r="I830" t="n">
        <v>0</v>
      </c>
      <c r="J830" t="n">
        <v>0</v>
      </c>
      <c r="K830" t="n">
        <v>0</v>
      </c>
      <c r="L830" t="n">
        <v>0</v>
      </c>
      <c r="M830" t="n">
        <v>0</v>
      </c>
      <c r="N830" t="n">
        <v>0</v>
      </c>
      <c r="O830" t="n">
        <v>0</v>
      </c>
      <c r="P830" t="n">
        <v>0</v>
      </c>
      <c r="Q830" t="n">
        <v>0</v>
      </c>
      <c r="R830" s="2" t="inlineStr"/>
    </row>
    <row r="831" ht="15" customHeight="1">
      <c r="A831" t="inlineStr">
        <is>
          <t>A 52093-2025</t>
        </is>
      </c>
      <c r="B831" s="1" t="n">
        <v>45952.67865740741</v>
      </c>
      <c r="C831" s="1" t="n">
        <v>46092</v>
      </c>
      <c r="D831" t="inlineStr">
        <is>
          <t>JÄMTLANDS LÄN</t>
        </is>
      </c>
      <c r="E831" t="inlineStr">
        <is>
          <t>RAGUNDA</t>
        </is>
      </c>
      <c r="F831" t="inlineStr">
        <is>
          <t>SCA</t>
        </is>
      </c>
      <c r="G831" t="n">
        <v>22.7</v>
      </c>
      <c r="H831" t="n">
        <v>0</v>
      </c>
      <c r="I831" t="n">
        <v>0</v>
      </c>
      <c r="J831" t="n">
        <v>0</v>
      </c>
      <c r="K831" t="n">
        <v>0</v>
      </c>
      <c r="L831" t="n">
        <v>0</v>
      </c>
      <c r="M831" t="n">
        <v>0</v>
      </c>
      <c r="N831" t="n">
        <v>0</v>
      </c>
      <c r="O831" t="n">
        <v>0</v>
      </c>
      <c r="P831" t="n">
        <v>0</v>
      </c>
      <c r="Q831" t="n">
        <v>0</v>
      </c>
      <c r="R831" s="2" t="inlineStr"/>
    </row>
    <row r="832" ht="15" customHeight="1">
      <c r="A832" t="inlineStr">
        <is>
          <t>A 32747-2025</t>
        </is>
      </c>
      <c r="B832" s="1" t="n">
        <v>45839.42810185185</v>
      </c>
      <c r="C832" s="1" t="n">
        <v>46092</v>
      </c>
      <c r="D832" t="inlineStr">
        <is>
          <t>JÄMTLANDS LÄN</t>
        </is>
      </c>
      <c r="E832" t="inlineStr">
        <is>
          <t>RAGUNDA</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32757-2025</t>
        </is>
      </c>
      <c r="B833" s="1" t="n">
        <v>45838</v>
      </c>
      <c r="C833" s="1" t="n">
        <v>46092</v>
      </c>
      <c r="D833" t="inlineStr">
        <is>
          <t>JÄMTLANDS LÄN</t>
        </is>
      </c>
      <c r="E833" t="inlineStr">
        <is>
          <t>RAGUNDA</t>
        </is>
      </c>
      <c r="G833" t="n">
        <v>4.5</v>
      </c>
      <c r="H833" t="n">
        <v>0</v>
      </c>
      <c r="I833" t="n">
        <v>0</v>
      </c>
      <c r="J833" t="n">
        <v>0</v>
      </c>
      <c r="K833" t="n">
        <v>0</v>
      </c>
      <c r="L833" t="n">
        <v>0</v>
      </c>
      <c r="M833" t="n">
        <v>0</v>
      </c>
      <c r="N833" t="n">
        <v>0</v>
      </c>
      <c r="O833" t="n">
        <v>0</v>
      </c>
      <c r="P833" t="n">
        <v>0</v>
      </c>
      <c r="Q833" t="n">
        <v>0</v>
      </c>
      <c r="R833" s="2" t="inlineStr"/>
    </row>
    <row r="834" ht="15" customHeight="1">
      <c r="A834" t="inlineStr">
        <is>
          <t>A 51882-2025</t>
        </is>
      </c>
      <c r="B834" s="1" t="n">
        <v>45952.40685185185</v>
      </c>
      <c r="C834" s="1" t="n">
        <v>46092</v>
      </c>
      <c r="D834" t="inlineStr">
        <is>
          <t>JÄMTLANDS LÄN</t>
        </is>
      </c>
      <c r="E834" t="inlineStr">
        <is>
          <t>RAGUNDA</t>
        </is>
      </c>
      <c r="F834" t="inlineStr">
        <is>
          <t>SCA</t>
        </is>
      </c>
      <c r="G834" t="n">
        <v>11.9</v>
      </c>
      <c r="H834" t="n">
        <v>0</v>
      </c>
      <c r="I834" t="n">
        <v>0</v>
      </c>
      <c r="J834" t="n">
        <v>0</v>
      </c>
      <c r="K834" t="n">
        <v>0</v>
      </c>
      <c r="L834" t="n">
        <v>0</v>
      </c>
      <c r="M834" t="n">
        <v>0</v>
      </c>
      <c r="N834" t="n">
        <v>0</v>
      </c>
      <c r="O834" t="n">
        <v>0</v>
      </c>
      <c r="P834" t="n">
        <v>0</v>
      </c>
      <c r="Q834" t="n">
        <v>0</v>
      </c>
      <c r="R834" s="2" t="inlineStr"/>
    </row>
    <row r="835" ht="15" customHeight="1">
      <c r="A835" t="inlineStr">
        <is>
          <t>A 51903-2025</t>
        </is>
      </c>
      <c r="B835" s="1" t="n">
        <v>45952.44857638889</v>
      </c>
      <c r="C835" s="1" t="n">
        <v>46092</v>
      </c>
      <c r="D835" t="inlineStr">
        <is>
          <t>JÄMTLANDS LÄN</t>
        </is>
      </c>
      <c r="E835" t="inlineStr">
        <is>
          <t>RAGUNDA</t>
        </is>
      </c>
      <c r="F835" t="inlineStr">
        <is>
          <t>SCA</t>
        </is>
      </c>
      <c r="G835" t="n">
        <v>20.8</v>
      </c>
      <c r="H835" t="n">
        <v>0</v>
      </c>
      <c r="I835" t="n">
        <v>0</v>
      </c>
      <c r="J835" t="n">
        <v>0</v>
      </c>
      <c r="K835" t="n">
        <v>0</v>
      </c>
      <c r="L835" t="n">
        <v>0</v>
      </c>
      <c r="M835" t="n">
        <v>0</v>
      </c>
      <c r="N835" t="n">
        <v>0</v>
      </c>
      <c r="O835" t="n">
        <v>0</v>
      </c>
      <c r="P835" t="n">
        <v>0</v>
      </c>
      <c r="Q835" t="n">
        <v>0</v>
      </c>
      <c r="R835" s="2" t="inlineStr"/>
    </row>
    <row r="836" ht="15" customHeight="1">
      <c r="A836" t="inlineStr">
        <is>
          <t>A 51932-2025</t>
        </is>
      </c>
      <c r="B836" s="1" t="n">
        <v>45952.51094907407</v>
      </c>
      <c r="C836" s="1" t="n">
        <v>46092</v>
      </c>
      <c r="D836" t="inlineStr">
        <is>
          <t>JÄMTLANDS LÄN</t>
        </is>
      </c>
      <c r="E836" t="inlineStr">
        <is>
          <t>RAGUNDA</t>
        </is>
      </c>
      <c r="F836" t="inlineStr">
        <is>
          <t>SCA</t>
        </is>
      </c>
      <c r="G836" t="n">
        <v>39.2</v>
      </c>
      <c r="H836" t="n">
        <v>0</v>
      </c>
      <c r="I836" t="n">
        <v>0</v>
      </c>
      <c r="J836" t="n">
        <v>0</v>
      </c>
      <c r="K836" t="n">
        <v>0</v>
      </c>
      <c r="L836" t="n">
        <v>0</v>
      </c>
      <c r="M836" t="n">
        <v>0</v>
      </c>
      <c r="N836" t="n">
        <v>0</v>
      </c>
      <c r="O836" t="n">
        <v>0</v>
      </c>
      <c r="P836" t="n">
        <v>0</v>
      </c>
      <c r="Q836" t="n">
        <v>0</v>
      </c>
      <c r="R836" s="2" t="inlineStr"/>
    </row>
    <row r="837" ht="15" customHeight="1">
      <c r="A837" t="inlineStr">
        <is>
          <t>A 14512-2025</t>
        </is>
      </c>
      <c r="B837" s="1" t="n">
        <v>45741.63659722222</v>
      </c>
      <c r="C837" s="1" t="n">
        <v>46092</v>
      </c>
      <c r="D837" t="inlineStr">
        <is>
          <t>JÄMTLANDS LÄN</t>
        </is>
      </c>
      <c r="E837" t="inlineStr">
        <is>
          <t>RAGUNDA</t>
        </is>
      </c>
      <c r="F837" t="inlineStr">
        <is>
          <t>SCA</t>
        </is>
      </c>
      <c r="G837" t="n">
        <v>8.9</v>
      </c>
      <c r="H837" t="n">
        <v>0</v>
      </c>
      <c r="I837" t="n">
        <v>0</v>
      </c>
      <c r="J837" t="n">
        <v>0</v>
      </c>
      <c r="K837" t="n">
        <v>0</v>
      </c>
      <c r="L837" t="n">
        <v>0</v>
      </c>
      <c r="M837" t="n">
        <v>0</v>
      </c>
      <c r="N837" t="n">
        <v>0</v>
      </c>
      <c r="O837" t="n">
        <v>0</v>
      </c>
      <c r="P837" t="n">
        <v>0</v>
      </c>
      <c r="Q837" t="n">
        <v>0</v>
      </c>
      <c r="R837" s="2" t="inlineStr"/>
    </row>
    <row r="838" ht="15" customHeight="1">
      <c r="A838" t="inlineStr">
        <is>
          <t>A 32846-2025</t>
        </is>
      </c>
      <c r="B838" s="1" t="n">
        <v>45839.57331018519</v>
      </c>
      <c r="C838" s="1" t="n">
        <v>46092</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51906-2025</t>
        </is>
      </c>
      <c r="B839" s="1" t="n">
        <v>45952.4615162037</v>
      </c>
      <c r="C839" s="1" t="n">
        <v>46092</v>
      </c>
      <c r="D839" t="inlineStr">
        <is>
          <t>JÄMTLANDS LÄN</t>
        </is>
      </c>
      <c r="E839" t="inlineStr">
        <is>
          <t>RAGUNDA</t>
        </is>
      </c>
      <c r="G839" t="n">
        <v>4.5</v>
      </c>
      <c r="H839" t="n">
        <v>0</v>
      </c>
      <c r="I839" t="n">
        <v>0</v>
      </c>
      <c r="J839" t="n">
        <v>0</v>
      </c>
      <c r="K839" t="n">
        <v>0</v>
      </c>
      <c r="L839" t="n">
        <v>0</v>
      </c>
      <c r="M839" t="n">
        <v>0</v>
      </c>
      <c r="N839" t="n">
        <v>0</v>
      </c>
      <c r="O839" t="n">
        <v>0</v>
      </c>
      <c r="P839" t="n">
        <v>0</v>
      </c>
      <c r="Q839" t="n">
        <v>0</v>
      </c>
      <c r="R839" s="2" t="inlineStr"/>
    </row>
    <row r="840" ht="15" customHeight="1">
      <c r="A840" t="inlineStr">
        <is>
          <t>A 32748-2025</t>
        </is>
      </c>
      <c r="B840" s="1" t="n">
        <v>45839.42822916667</v>
      </c>
      <c r="C840" s="1" t="n">
        <v>46092</v>
      </c>
      <c r="D840" t="inlineStr">
        <is>
          <t>JÄMTLANDS LÄN</t>
        </is>
      </c>
      <c r="E840" t="inlineStr">
        <is>
          <t>RAGUNDA</t>
        </is>
      </c>
      <c r="F840" t="inlineStr">
        <is>
          <t>SCA</t>
        </is>
      </c>
      <c r="G840" t="n">
        <v>4.4</v>
      </c>
      <c r="H840" t="n">
        <v>0</v>
      </c>
      <c r="I840" t="n">
        <v>0</v>
      </c>
      <c r="J840" t="n">
        <v>0</v>
      </c>
      <c r="K840" t="n">
        <v>0</v>
      </c>
      <c r="L840" t="n">
        <v>0</v>
      </c>
      <c r="M840" t="n">
        <v>0</v>
      </c>
      <c r="N840" t="n">
        <v>0</v>
      </c>
      <c r="O840" t="n">
        <v>0</v>
      </c>
      <c r="P840" t="n">
        <v>0</v>
      </c>
      <c r="Q840" t="n">
        <v>0</v>
      </c>
      <c r="R840" s="2" t="inlineStr"/>
    </row>
    <row r="841" ht="15" customHeight="1">
      <c r="A841" t="inlineStr">
        <is>
          <t>A 32762-2025</t>
        </is>
      </c>
      <c r="B841" s="1" t="n">
        <v>45838</v>
      </c>
      <c r="C841" s="1" t="n">
        <v>46092</v>
      </c>
      <c r="D841" t="inlineStr">
        <is>
          <t>JÄMTLANDS LÄN</t>
        </is>
      </c>
      <c r="E841" t="inlineStr">
        <is>
          <t>RAGUNDA</t>
        </is>
      </c>
      <c r="G841" t="n">
        <v>0.6</v>
      </c>
      <c r="H841" t="n">
        <v>0</v>
      </c>
      <c r="I841" t="n">
        <v>0</v>
      </c>
      <c r="J841" t="n">
        <v>0</v>
      </c>
      <c r="K841" t="n">
        <v>0</v>
      </c>
      <c r="L841" t="n">
        <v>0</v>
      </c>
      <c r="M841" t="n">
        <v>0</v>
      </c>
      <c r="N841" t="n">
        <v>0</v>
      </c>
      <c r="O841" t="n">
        <v>0</v>
      </c>
      <c r="P841" t="n">
        <v>0</v>
      </c>
      <c r="Q841" t="n">
        <v>0</v>
      </c>
      <c r="R841" s="2" t="inlineStr"/>
    </row>
    <row r="842" ht="15" customHeight="1">
      <c r="A842" t="inlineStr">
        <is>
          <t>A 52972-2025</t>
        </is>
      </c>
      <c r="B842" s="1" t="n">
        <v>45957.67783564814</v>
      </c>
      <c r="C842" s="1" t="n">
        <v>46092</v>
      </c>
      <c r="D842" t="inlineStr">
        <is>
          <t>JÄMTLANDS LÄN</t>
        </is>
      </c>
      <c r="E842" t="inlineStr">
        <is>
          <t>RAGUNDA</t>
        </is>
      </c>
      <c r="F842" t="inlineStr">
        <is>
          <t>SCA</t>
        </is>
      </c>
      <c r="G842" t="n">
        <v>53.4</v>
      </c>
      <c r="H842" t="n">
        <v>0</v>
      </c>
      <c r="I842" t="n">
        <v>0</v>
      </c>
      <c r="J842" t="n">
        <v>0</v>
      </c>
      <c r="K842" t="n">
        <v>0</v>
      </c>
      <c r="L842" t="n">
        <v>0</v>
      </c>
      <c r="M842" t="n">
        <v>0</v>
      </c>
      <c r="N842" t="n">
        <v>0</v>
      </c>
      <c r="O842" t="n">
        <v>0</v>
      </c>
      <c r="P842" t="n">
        <v>0</v>
      </c>
      <c r="Q842" t="n">
        <v>0</v>
      </c>
      <c r="R842" s="2" t="inlineStr"/>
    </row>
    <row r="843" ht="15" customHeight="1">
      <c r="A843" t="inlineStr">
        <is>
          <t>A 50649-2022</t>
        </is>
      </c>
      <c r="B843" s="1" t="n">
        <v>44866</v>
      </c>
      <c r="C843" s="1" t="n">
        <v>46092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32660-2025</t>
        </is>
      </c>
      <c r="B844" s="1" t="n">
        <v>45838.67887731481</v>
      </c>
      <c r="C844" s="1" t="n">
        <v>46092</v>
      </c>
      <c r="D844" t="inlineStr">
        <is>
          <t>JÄMTLANDS LÄN</t>
        </is>
      </c>
      <c r="E844" t="inlineStr">
        <is>
          <t>RAGUNDA</t>
        </is>
      </c>
      <c r="F844" t="inlineStr">
        <is>
          <t>SCA</t>
        </is>
      </c>
      <c r="G844" t="n">
        <v>10.3</v>
      </c>
      <c r="H844" t="n">
        <v>0</v>
      </c>
      <c r="I844" t="n">
        <v>0</v>
      </c>
      <c r="J844" t="n">
        <v>0</v>
      </c>
      <c r="K844" t="n">
        <v>0</v>
      </c>
      <c r="L844" t="n">
        <v>0</v>
      </c>
      <c r="M844" t="n">
        <v>0</v>
      </c>
      <c r="N844" t="n">
        <v>0</v>
      </c>
      <c r="O844" t="n">
        <v>0</v>
      </c>
      <c r="P844" t="n">
        <v>0</v>
      </c>
      <c r="Q844" t="n">
        <v>0</v>
      </c>
      <c r="R844" s="2" t="inlineStr"/>
    </row>
    <row r="845" ht="15" customHeight="1">
      <c r="A845" t="inlineStr">
        <is>
          <t>A 3065-2026</t>
        </is>
      </c>
      <c r="B845" s="1" t="n">
        <v>46040.47866898148</v>
      </c>
      <c r="C845" s="1" t="n">
        <v>46092</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59759-2024</t>
        </is>
      </c>
      <c r="B846" s="1" t="n">
        <v>45639.55240740741</v>
      </c>
      <c r="C846" s="1" t="n">
        <v>46092</v>
      </c>
      <c r="D846" t="inlineStr">
        <is>
          <t>JÄMTLANDS LÄN</t>
        </is>
      </c>
      <c r="E846" t="inlineStr">
        <is>
          <t>RAGUNDA</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35537-2021</t>
        </is>
      </c>
      <c r="B847" s="1" t="n">
        <v>44384</v>
      </c>
      <c r="C847" s="1" t="n">
        <v>46092</v>
      </c>
      <c r="D847" t="inlineStr">
        <is>
          <t>JÄMTLANDS LÄN</t>
        </is>
      </c>
      <c r="E847" t="inlineStr">
        <is>
          <t>RAGUNDA</t>
        </is>
      </c>
      <c r="G847" t="n">
        <v>3.1</v>
      </c>
      <c r="H847" t="n">
        <v>0</v>
      </c>
      <c r="I847" t="n">
        <v>0</v>
      </c>
      <c r="J847" t="n">
        <v>0</v>
      </c>
      <c r="K847" t="n">
        <v>0</v>
      </c>
      <c r="L847" t="n">
        <v>0</v>
      </c>
      <c r="M847" t="n">
        <v>0</v>
      </c>
      <c r="N847" t="n">
        <v>0</v>
      </c>
      <c r="O847" t="n">
        <v>0</v>
      </c>
      <c r="P847" t="n">
        <v>0</v>
      </c>
      <c r="Q847" t="n">
        <v>0</v>
      </c>
      <c r="R847" s="2" t="inlineStr"/>
    </row>
    <row r="848" ht="15" customHeight="1">
      <c r="A848" t="inlineStr">
        <is>
          <t>A 2819-2023</t>
        </is>
      </c>
      <c r="B848" s="1" t="n">
        <v>44944</v>
      </c>
      <c r="C848" s="1" t="n">
        <v>46092</v>
      </c>
      <c r="D848" t="inlineStr">
        <is>
          <t>JÄMTLANDS LÄN</t>
        </is>
      </c>
      <c r="E848" t="inlineStr">
        <is>
          <t>RAGUNDA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52430-2025</t>
        </is>
      </c>
      <c r="B849" s="1" t="n">
        <v>45954.38592592593</v>
      </c>
      <c r="C849" s="1" t="n">
        <v>46092</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32527-2025</t>
        </is>
      </c>
      <c r="B850" s="1" t="n">
        <v>45838.48996527777</v>
      </c>
      <c r="C850" s="1" t="n">
        <v>46092</v>
      </c>
      <c r="D850" t="inlineStr">
        <is>
          <t>JÄMTLANDS LÄN</t>
        </is>
      </c>
      <c r="E850" t="inlineStr">
        <is>
          <t>RAGUNDA</t>
        </is>
      </c>
      <c r="G850" t="n">
        <v>5</v>
      </c>
      <c r="H850" t="n">
        <v>0</v>
      </c>
      <c r="I850" t="n">
        <v>0</v>
      </c>
      <c r="J850" t="n">
        <v>0</v>
      </c>
      <c r="K850" t="n">
        <v>0</v>
      </c>
      <c r="L850" t="n">
        <v>0</v>
      </c>
      <c r="M850" t="n">
        <v>0</v>
      </c>
      <c r="N850" t="n">
        <v>0</v>
      </c>
      <c r="O850" t="n">
        <v>0</v>
      </c>
      <c r="P850" t="n">
        <v>0</v>
      </c>
      <c r="Q850" t="n">
        <v>0</v>
      </c>
      <c r="R850" s="2" t="inlineStr"/>
    </row>
    <row r="851" ht="15" customHeight="1">
      <c r="A851" t="inlineStr">
        <is>
          <t>A 52875-2025</t>
        </is>
      </c>
      <c r="B851" s="1" t="n">
        <v>45957.53211805555</v>
      </c>
      <c r="C851" s="1" t="n">
        <v>46092</v>
      </c>
      <c r="D851" t="inlineStr">
        <is>
          <t>JÄMTLANDS LÄN</t>
        </is>
      </c>
      <c r="E851" t="inlineStr">
        <is>
          <t>RAGUNDA</t>
        </is>
      </c>
      <c r="F851" t="inlineStr">
        <is>
          <t>SCA</t>
        </is>
      </c>
      <c r="G851" t="n">
        <v>34.3</v>
      </c>
      <c r="H851" t="n">
        <v>0</v>
      </c>
      <c r="I851" t="n">
        <v>0</v>
      </c>
      <c r="J851" t="n">
        <v>0</v>
      </c>
      <c r="K851" t="n">
        <v>0</v>
      </c>
      <c r="L851" t="n">
        <v>0</v>
      </c>
      <c r="M851" t="n">
        <v>0</v>
      </c>
      <c r="N851" t="n">
        <v>0</v>
      </c>
      <c r="O851" t="n">
        <v>0</v>
      </c>
      <c r="P851" t="n">
        <v>0</v>
      </c>
      <c r="Q851" t="n">
        <v>0</v>
      </c>
      <c r="R851" s="2" t="inlineStr"/>
    </row>
    <row r="852" ht="15" customHeight="1">
      <c r="A852" t="inlineStr">
        <is>
          <t>A 33140-2025</t>
        </is>
      </c>
      <c r="B852" s="1" t="n">
        <v>45840.52225694444</v>
      </c>
      <c r="C852" s="1" t="n">
        <v>46092</v>
      </c>
      <c r="D852" t="inlineStr">
        <is>
          <t>JÄMTLANDS LÄN</t>
        </is>
      </c>
      <c r="E852" t="inlineStr">
        <is>
          <t>RAGUNDA</t>
        </is>
      </c>
      <c r="G852" t="n">
        <v>2</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46092</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33556-2025</t>
        </is>
      </c>
      <c r="B854" s="1" t="n">
        <v>45841.57427083333</v>
      </c>
      <c r="C854" s="1" t="n">
        <v>46092</v>
      </c>
      <c r="D854" t="inlineStr">
        <is>
          <t>JÄMTLANDS LÄN</t>
        </is>
      </c>
      <c r="E854" t="inlineStr">
        <is>
          <t>RAGUNDA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11832-2026</t>
        </is>
      </c>
      <c r="B855" s="1" t="n">
        <v>46085.42788194444</v>
      </c>
      <c r="C855" s="1" t="n">
        <v>46092</v>
      </c>
      <c r="D855" t="inlineStr">
        <is>
          <t>JÄMTLANDS LÄN</t>
        </is>
      </c>
      <c r="E855" t="inlineStr">
        <is>
          <t>RAGUNDA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11882-2026</t>
        </is>
      </c>
      <c r="B856" s="1" t="n">
        <v>46085.504375</v>
      </c>
      <c r="C856" s="1" t="n">
        <v>46092</v>
      </c>
      <c r="D856" t="inlineStr">
        <is>
          <t>JÄMTLANDS LÄN</t>
        </is>
      </c>
      <c r="E856" t="inlineStr">
        <is>
          <t>RAGUNDA</t>
        </is>
      </c>
      <c r="G856" t="n">
        <v>7</v>
      </c>
      <c r="H856" t="n">
        <v>0</v>
      </c>
      <c r="I856" t="n">
        <v>0</v>
      </c>
      <c r="J856" t="n">
        <v>0</v>
      </c>
      <c r="K856" t="n">
        <v>0</v>
      </c>
      <c r="L856" t="n">
        <v>0</v>
      </c>
      <c r="M856" t="n">
        <v>0</v>
      </c>
      <c r="N856" t="n">
        <v>0</v>
      </c>
      <c r="O856" t="n">
        <v>0</v>
      </c>
      <c r="P856" t="n">
        <v>0</v>
      </c>
      <c r="Q856" t="n">
        <v>0</v>
      </c>
      <c r="R856" s="2" t="inlineStr"/>
    </row>
    <row r="857" ht="15" customHeight="1">
      <c r="A857" t="inlineStr">
        <is>
          <t>A 52394-2025</t>
        </is>
      </c>
      <c r="B857" s="1" t="n">
        <v>45954.34466435185</v>
      </c>
      <c r="C857" s="1" t="n">
        <v>46092</v>
      </c>
      <c r="D857" t="inlineStr">
        <is>
          <t>JÄMTLANDS LÄN</t>
        </is>
      </c>
      <c r="E857" t="inlineStr">
        <is>
          <t>RAGUNDA</t>
        </is>
      </c>
      <c r="F857" t="inlineStr">
        <is>
          <t>SCA</t>
        </is>
      </c>
      <c r="G857" t="n">
        <v>53.8</v>
      </c>
      <c r="H857" t="n">
        <v>0</v>
      </c>
      <c r="I857" t="n">
        <v>0</v>
      </c>
      <c r="J857" t="n">
        <v>0</v>
      </c>
      <c r="K857" t="n">
        <v>0</v>
      </c>
      <c r="L857" t="n">
        <v>0</v>
      </c>
      <c r="M857" t="n">
        <v>0</v>
      </c>
      <c r="N857" t="n">
        <v>0</v>
      </c>
      <c r="O857" t="n">
        <v>0</v>
      </c>
      <c r="P857" t="n">
        <v>0</v>
      </c>
      <c r="Q857" t="n">
        <v>0</v>
      </c>
      <c r="R857" s="2" t="inlineStr"/>
    </row>
    <row r="858" ht="15" customHeight="1">
      <c r="A858" t="inlineStr">
        <is>
          <t>A 52395-2025</t>
        </is>
      </c>
      <c r="B858" s="1" t="n">
        <v>45954.34487268519</v>
      </c>
      <c r="C858" s="1" t="n">
        <v>46092</v>
      </c>
      <c r="D858" t="inlineStr">
        <is>
          <t>JÄMTLANDS LÄN</t>
        </is>
      </c>
      <c r="E858" t="inlineStr">
        <is>
          <t>RAGUNDA</t>
        </is>
      </c>
      <c r="F858" t="inlineStr">
        <is>
          <t>SCA</t>
        </is>
      </c>
      <c r="G858" t="n">
        <v>14.2</v>
      </c>
      <c r="H858" t="n">
        <v>0</v>
      </c>
      <c r="I858" t="n">
        <v>0</v>
      </c>
      <c r="J858" t="n">
        <v>0</v>
      </c>
      <c r="K858" t="n">
        <v>0</v>
      </c>
      <c r="L858" t="n">
        <v>0</v>
      </c>
      <c r="M858" t="n">
        <v>0</v>
      </c>
      <c r="N858" t="n">
        <v>0</v>
      </c>
      <c r="O858" t="n">
        <v>0</v>
      </c>
      <c r="P858" t="n">
        <v>0</v>
      </c>
      <c r="Q858" t="n">
        <v>0</v>
      </c>
      <c r="R858" s="2" t="inlineStr"/>
    </row>
    <row r="859" ht="15" customHeight="1">
      <c r="A859" t="inlineStr">
        <is>
          <t>A 30459-2021</t>
        </is>
      </c>
      <c r="B859" s="1" t="n">
        <v>44362</v>
      </c>
      <c r="C859" s="1" t="n">
        <v>46092</v>
      </c>
      <c r="D859" t="inlineStr">
        <is>
          <t>JÄMTLANDS LÄN</t>
        </is>
      </c>
      <c r="E859" t="inlineStr">
        <is>
          <t>RAGUNDA</t>
        </is>
      </c>
      <c r="G859" t="n">
        <v>1</v>
      </c>
      <c r="H859" t="n">
        <v>0</v>
      </c>
      <c r="I859" t="n">
        <v>0</v>
      </c>
      <c r="J859" t="n">
        <v>0</v>
      </c>
      <c r="K859" t="n">
        <v>0</v>
      </c>
      <c r="L859" t="n">
        <v>0</v>
      </c>
      <c r="M859" t="n">
        <v>0</v>
      </c>
      <c r="N859" t="n">
        <v>0</v>
      </c>
      <c r="O859" t="n">
        <v>0</v>
      </c>
      <c r="P859" t="n">
        <v>0</v>
      </c>
      <c r="Q859" t="n">
        <v>0</v>
      </c>
      <c r="R859" s="2" t="inlineStr"/>
    </row>
    <row r="860" ht="15" customHeight="1">
      <c r="A860" t="inlineStr">
        <is>
          <t>A 53211-2025</t>
        </is>
      </c>
      <c r="B860" s="1" t="n">
        <v>45958.59490740741</v>
      </c>
      <c r="C860" s="1" t="n">
        <v>46092</v>
      </c>
      <c r="D860" t="inlineStr">
        <is>
          <t>JÄMTLANDS LÄN</t>
        </is>
      </c>
      <c r="E860" t="inlineStr">
        <is>
          <t>RAGUNDA</t>
        </is>
      </c>
      <c r="F860" t="inlineStr">
        <is>
          <t>SCA</t>
        </is>
      </c>
      <c r="G860" t="n">
        <v>7.4</v>
      </c>
      <c r="H860" t="n">
        <v>0</v>
      </c>
      <c r="I860" t="n">
        <v>0</v>
      </c>
      <c r="J860" t="n">
        <v>0</v>
      </c>
      <c r="K860" t="n">
        <v>0</v>
      </c>
      <c r="L860" t="n">
        <v>0</v>
      </c>
      <c r="M860" t="n">
        <v>0</v>
      </c>
      <c r="N860" t="n">
        <v>0</v>
      </c>
      <c r="O860" t="n">
        <v>0</v>
      </c>
      <c r="P860" t="n">
        <v>0</v>
      </c>
      <c r="Q860" t="n">
        <v>0</v>
      </c>
      <c r="R860" s="2" t="inlineStr"/>
    </row>
    <row r="861" ht="15" customHeight="1">
      <c r="A861" t="inlineStr">
        <is>
          <t>A 53032-2025</t>
        </is>
      </c>
      <c r="B861" s="1" t="n">
        <v>45958.34462962963</v>
      </c>
      <c r="C861" s="1" t="n">
        <v>46092</v>
      </c>
      <c r="D861" t="inlineStr">
        <is>
          <t>JÄMTLANDS LÄN</t>
        </is>
      </c>
      <c r="E861" t="inlineStr">
        <is>
          <t>RAGUNDA</t>
        </is>
      </c>
      <c r="G861" t="n">
        <v>2.6</v>
      </c>
      <c r="H861" t="n">
        <v>0</v>
      </c>
      <c r="I861" t="n">
        <v>0</v>
      </c>
      <c r="J861" t="n">
        <v>0</v>
      </c>
      <c r="K861" t="n">
        <v>0</v>
      </c>
      <c r="L861" t="n">
        <v>0</v>
      </c>
      <c r="M861" t="n">
        <v>0</v>
      </c>
      <c r="N861" t="n">
        <v>0</v>
      </c>
      <c r="O861" t="n">
        <v>0</v>
      </c>
      <c r="P861" t="n">
        <v>0</v>
      </c>
      <c r="Q861" t="n">
        <v>0</v>
      </c>
      <c r="R861" s="2" t="inlineStr"/>
    </row>
    <row r="862" ht="15" customHeight="1">
      <c r="A862" t="inlineStr">
        <is>
          <t>A 53075-2025</t>
        </is>
      </c>
      <c r="B862" s="1" t="n">
        <v>45958.38584490741</v>
      </c>
      <c r="C862" s="1" t="n">
        <v>46092</v>
      </c>
      <c r="D862" t="inlineStr">
        <is>
          <t>JÄMTLANDS LÄN</t>
        </is>
      </c>
      <c r="E862" t="inlineStr">
        <is>
          <t>RAGUNDA</t>
        </is>
      </c>
      <c r="F862" t="inlineStr">
        <is>
          <t>SCA</t>
        </is>
      </c>
      <c r="G862" t="n">
        <v>28.9</v>
      </c>
      <c r="H862" t="n">
        <v>0</v>
      </c>
      <c r="I862" t="n">
        <v>0</v>
      </c>
      <c r="J862" t="n">
        <v>0</v>
      </c>
      <c r="K862" t="n">
        <v>0</v>
      </c>
      <c r="L862" t="n">
        <v>0</v>
      </c>
      <c r="M862" t="n">
        <v>0</v>
      </c>
      <c r="N862" t="n">
        <v>0</v>
      </c>
      <c r="O862" t="n">
        <v>0</v>
      </c>
      <c r="P862" t="n">
        <v>0</v>
      </c>
      <c r="Q862" t="n">
        <v>0</v>
      </c>
      <c r="R862" s="2" t="inlineStr"/>
    </row>
    <row r="863" ht="15" customHeight="1">
      <c r="A863" t="inlineStr">
        <is>
          <t>A 52578-2025</t>
        </is>
      </c>
      <c r="B863" s="1" t="n">
        <v>45954.61508101852</v>
      </c>
      <c r="C863" s="1" t="n">
        <v>46092</v>
      </c>
      <c r="D863" t="inlineStr">
        <is>
          <t>JÄMTLANDS LÄN</t>
        </is>
      </c>
      <c r="E863" t="inlineStr">
        <is>
          <t>RAGUNDA</t>
        </is>
      </c>
      <c r="F863" t="inlineStr">
        <is>
          <t>SCA</t>
        </is>
      </c>
      <c r="G863" t="n">
        <v>25.2</v>
      </c>
      <c r="H863" t="n">
        <v>0</v>
      </c>
      <c r="I863" t="n">
        <v>0</v>
      </c>
      <c r="J863" t="n">
        <v>0</v>
      </c>
      <c r="K863" t="n">
        <v>0</v>
      </c>
      <c r="L863" t="n">
        <v>0</v>
      </c>
      <c r="M863" t="n">
        <v>0</v>
      </c>
      <c r="N863" t="n">
        <v>0</v>
      </c>
      <c r="O863" t="n">
        <v>0</v>
      </c>
      <c r="P863" t="n">
        <v>0</v>
      </c>
      <c r="Q863" t="n">
        <v>0</v>
      </c>
      <c r="R863" s="2" t="inlineStr"/>
    </row>
    <row r="864" ht="15" customHeight="1">
      <c r="A864" t="inlineStr">
        <is>
          <t>A 11876-2026</t>
        </is>
      </c>
      <c r="B864" s="1" t="n">
        <v>46085.50024305555</v>
      </c>
      <c r="C864" s="1" t="n">
        <v>46092</v>
      </c>
      <c r="D864" t="inlineStr">
        <is>
          <t>JÄMTLANDS LÄN</t>
        </is>
      </c>
      <c r="E864" t="inlineStr">
        <is>
          <t>RAGUNDA</t>
        </is>
      </c>
      <c r="G864" t="n">
        <v>2.4</v>
      </c>
      <c r="H864" t="n">
        <v>0</v>
      </c>
      <c r="I864" t="n">
        <v>0</v>
      </c>
      <c r="J864" t="n">
        <v>0</v>
      </c>
      <c r="K864" t="n">
        <v>0</v>
      </c>
      <c r="L864" t="n">
        <v>0</v>
      </c>
      <c r="M864" t="n">
        <v>0</v>
      </c>
      <c r="N864" t="n">
        <v>0</v>
      </c>
      <c r="O864" t="n">
        <v>0</v>
      </c>
      <c r="P864" t="n">
        <v>0</v>
      </c>
      <c r="Q864" t="n">
        <v>0</v>
      </c>
      <c r="R864" s="2" t="inlineStr"/>
    </row>
    <row r="865" ht="15" customHeight="1">
      <c r="A865" t="inlineStr">
        <is>
          <t>A 3813-2026</t>
        </is>
      </c>
      <c r="B865" s="1" t="n">
        <v>46043.58447916667</v>
      </c>
      <c r="C865" s="1" t="n">
        <v>46092</v>
      </c>
      <c r="D865" t="inlineStr">
        <is>
          <t>JÄMTLANDS LÄN</t>
        </is>
      </c>
      <c r="E865" t="inlineStr">
        <is>
          <t>RAGUNDA</t>
        </is>
      </c>
      <c r="F865" t="inlineStr">
        <is>
          <t>SCA</t>
        </is>
      </c>
      <c r="G865" t="n">
        <v>23.2</v>
      </c>
      <c r="H865" t="n">
        <v>0</v>
      </c>
      <c r="I865" t="n">
        <v>0</v>
      </c>
      <c r="J865" t="n">
        <v>0</v>
      </c>
      <c r="K865" t="n">
        <v>0</v>
      </c>
      <c r="L865" t="n">
        <v>0</v>
      </c>
      <c r="M865" t="n">
        <v>0</v>
      </c>
      <c r="N865" t="n">
        <v>0</v>
      </c>
      <c r="O865" t="n">
        <v>0</v>
      </c>
      <c r="P865" t="n">
        <v>0</v>
      </c>
      <c r="Q865" t="n">
        <v>0</v>
      </c>
      <c r="R865" s="2" t="inlineStr"/>
    </row>
    <row r="866" ht="15" customHeight="1">
      <c r="A866" t="inlineStr">
        <is>
          <t>A 3561-2026</t>
        </is>
      </c>
      <c r="B866" s="1" t="n">
        <v>46042.67142361111</v>
      </c>
      <c r="C866" s="1" t="n">
        <v>46092</v>
      </c>
      <c r="D866" t="inlineStr">
        <is>
          <t>JÄMTLANDS LÄN</t>
        </is>
      </c>
      <c r="E866" t="inlineStr">
        <is>
          <t>RAGUNDA</t>
        </is>
      </c>
      <c r="G866" t="n">
        <v>3.8</v>
      </c>
      <c r="H866" t="n">
        <v>0</v>
      </c>
      <c r="I866" t="n">
        <v>0</v>
      </c>
      <c r="J866" t="n">
        <v>0</v>
      </c>
      <c r="K866" t="n">
        <v>0</v>
      </c>
      <c r="L866" t="n">
        <v>0</v>
      </c>
      <c r="M866" t="n">
        <v>0</v>
      </c>
      <c r="N866" t="n">
        <v>0</v>
      </c>
      <c r="O866" t="n">
        <v>0</v>
      </c>
      <c r="P866" t="n">
        <v>0</v>
      </c>
      <c r="Q866" t="n">
        <v>0</v>
      </c>
      <c r="R866" s="2" t="inlineStr"/>
    </row>
    <row r="867" ht="15" customHeight="1">
      <c r="A867" t="inlineStr">
        <is>
          <t>A 37543-2023</t>
        </is>
      </c>
      <c r="B867" s="1" t="n">
        <v>45158.94231481481</v>
      </c>
      <c r="C867" s="1" t="n">
        <v>46092</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53076-2025</t>
        </is>
      </c>
      <c r="B868" s="1" t="n">
        <v>45958.38604166666</v>
      </c>
      <c r="C868" s="1" t="n">
        <v>46092</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25304-2023</t>
        </is>
      </c>
      <c r="B869" s="1" t="n">
        <v>45086</v>
      </c>
      <c r="C869" s="1" t="n">
        <v>46092</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53986-2025</t>
        </is>
      </c>
      <c r="B870" s="1" t="n">
        <v>45961.57381944444</v>
      </c>
      <c r="C870" s="1" t="n">
        <v>46092</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53973-2025</t>
        </is>
      </c>
      <c r="B871" s="1" t="n">
        <v>45961.55246527777</v>
      </c>
      <c r="C871" s="1" t="n">
        <v>46092</v>
      </c>
      <c r="D871" t="inlineStr">
        <is>
          <t>JÄMTLANDS LÄN</t>
        </is>
      </c>
      <c r="E871" t="inlineStr">
        <is>
          <t>RAGUNDA</t>
        </is>
      </c>
      <c r="G871" t="n">
        <v>2.4</v>
      </c>
      <c r="H871" t="n">
        <v>0</v>
      </c>
      <c r="I871" t="n">
        <v>0</v>
      </c>
      <c r="J871" t="n">
        <v>0</v>
      </c>
      <c r="K871" t="n">
        <v>0</v>
      </c>
      <c r="L871" t="n">
        <v>0</v>
      </c>
      <c r="M871" t="n">
        <v>0</v>
      </c>
      <c r="N871" t="n">
        <v>0</v>
      </c>
      <c r="O871" t="n">
        <v>0</v>
      </c>
      <c r="P871" t="n">
        <v>0</v>
      </c>
      <c r="Q871" t="n">
        <v>0</v>
      </c>
      <c r="R871" s="2" t="inlineStr"/>
    </row>
    <row r="872" ht="15" customHeight="1">
      <c r="A872" t="inlineStr">
        <is>
          <t>A 53549-2025</t>
        </is>
      </c>
      <c r="B872" s="1" t="n">
        <v>45960.38576388889</v>
      </c>
      <c r="C872" s="1" t="n">
        <v>46092</v>
      </c>
      <c r="D872" t="inlineStr">
        <is>
          <t>JÄMTLANDS LÄN</t>
        </is>
      </c>
      <c r="E872" t="inlineStr">
        <is>
          <t>RAGUNDA</t>
        </is>
      </c>
      <c r="G872" t="n">
        <v>5.4</v>
      </c>
      <c r="H872" t="n">
        <v>0</v>
      </c>
      <c r="I872" t="n">
        <v>0</v>
      </c>
      <c r="J872" t="n">
        <v>0</v>
      </c>
      <c r="K872" t="n">
        <v>0</v>
      </c>
      <c r="L872" t="n">
        <v>0</v>
      </c>
      <c r="M872" t="n">
        <v>0</v>
      </c>
      <c r="N872" t="n">
        <v>0</v>
      </c>
      <c r="O872" t="n">
        <v>0</v>
      </c>
      <c r="P872" t="n">
        <v>0</v>
      </c>
      <c r="Q872" t="n">
        <v>0</v>
      </c>
      <c r="R872" s="2" t="inlineStr"/>
    </row>
    <row r="873" ht="15" customHeight="1">
      <c r="A873" t="inlineStr">
        <is>
          <t>A 53975-2025</t>
        </is>
      </c>
      <c r="B873" s="1" t="n">
        <v>45961.55277777778</v>
      </c>
      <c r="C873" s="1" t="n">
        <v>46092</v>
      </c>
      <c r="D873" t="inlineStr">
        <is>
          <t>JÄMTLANDS LÄN</t>
        </is>
      </c>
      <c r="E873" t="inlineStr">
        <is>
          <t>RAGUNDA</t>
        </is>
      </c>
      <c r="F873" t="inlineStr">
        <is>
          <t>SCA</t>
        </is>
      </c>
      <c r="G873" t="n">
        <v>21.9</v>
      </c>
      <c r="H873" t="n">
        <v>0</v>
      </c>
      <c r="I873" t="n">
        <v>0</v>
      </c>
      <c r="J873" t="n">
        <v>0</v>
      </c>
      <c r="K873" t="n">
        <v>0</v>
      </c>
      <c r="L873" t="n">
        <v>0</v>
      </c>
      <c r="M873" t="n">
        <v>0</v>
      </c>
      <c r="N873" t="n">
        <v>0</v>
      </c>
      <c r="O873" t="n">
        <v>0</v>
      </c>
      <c r="P873" t="n">
        <v>0</v>
      </c>
      <c r="Q873" t="n">
        <v>0</v>
      </c>
      <c r="R873" s="2" t="inlineStr"/>
    </row>
    <row r="874" ht="15" customHeight="1">
      <c r="A874" t="inlineStr">
        <is>
          <t>A 53726-2025</t>
        </is>
      </c>
      <c r="B874" s="1" t="n">
        <v>45960.63597222222</v>
      </c>
      <c r="C874" s="1" t="n">
        <v>46092</v>
      </c>
      <c r="D874" t="inlineStr">
        <is>
          <t>JÄMTLANDS LÄN</t>
        </is>
      </c>
      <c r="E874" t="inlineStr">
        <is>
          <t>RAGUNDA</t>
        </is>
      </c>
      <c r="F874" t="inlineStr">
        <is>
          <t>SCA</t>
        </is>
      </c>
      <c r="G874" t="n">
        <v>10.9</v>
      </c>
      <c r="H874" t="n">
        <v>0</v>
      </c>
      <c r="I874" t="n">
        <v>0</v>
      </c>
      <c r="J874" t="n">
        <v>0</v>
      </c>
      <c r="K874" t="n">
        <v>0</v>
      </c>
      <c r="L874" t="n">
        <v>0</v>
      </c>
      <c r="M874" t="n">
        <v>0</v>
      </c>
      <c r="N874" t="n">
        <v>0</v>
      </c>
      <c r="O874" t="n">
        <v>0</v>
      </c>
      <c r="P874" t="n">
        <v>0</v>
      </c>
      <c r="Q874" t="n">
        <v>0</v>
      </c>
      <c r="R874" s="2" t="inlineStr"/>
    </row>
    <row r="875" ht="15" customHeight="1">
      <c r="A875" t="inlineStr">
        <is>
          <t>A 53748-2025</t>
        </is>
      </c>
      <c r="B875" s="1" t="n">
        <v>45960.65673611111</v>
      </c>
      <c r="C875" s="1" t="n">
        <v>46092</v>
      </c>
      <c r="D875" t="inlineStr">
        <is>
          <t>JÄMTLANDS LÄN</t>
        </is>
      </c>
      <c r="E875" t="inlineStr">
        <is>
          <t>RAGUNDA</t>
        </is>
      </c>
      <c r="F875" t="inlineStr">
        <is>
          <t>SCA</t>
        </is>
      </c>
      <c r="G875" t="n">
        <v>14.9</v>
      </c>
      <c r="H875" t="n">
        <v>0</v>
      </c>
      <c r="I875" t="n">
        <v>0</v>
      </c>
      <c r="J875" t="n">
        <v>0</v>
      </c>
      <c r="K875" t="n">
        <v>0</v>
      </c>
      <c r="L875" t="n">
        <v>0</v>
      </c>
      <c r="M875" t="n">
        <v>0</v>
      </c>
      <c r="N875" t="n">
        <v>0</v>
      </c>
      <c r="O875" t="n">
        <v>0</v>
      </c>
      <c r="P875" t="n">
        <v>0</v>
      </c>
      <c r="Q875" t="n">
        <v>0</v>
      </c>
      <c r="R875" s="2" t="inlineStr"/>
    </row>
    <row r="876" ht="15" customHeight="1">
      <c r="A876" t="inlineStr">
        <is>
          <t>A 7668-2025</t>
        </is>
      </c>
      <c r="B876" s="1" t="n">
        <v>45706.34450231482</v>
      </c>
      <c r="C876" s="1" t="n">
        <v>46092</v>
      </c>
      <c r="D876" t="inlineStr">
        <is>
          <t>JÄMTLANDS LÄN</t>
        </is>
      </c>
      <c r="E876" t="inlineStr">
        <is>
          <t>RAGUNDA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36046-2023</t>
        </is>
      </c>
      <c r="B877" s="1" t="n">
        <v>45148</v>
      </c>
      <c r="C877" s="1" t="n">
        <v>46092</v>
      </c>
      <c r="D877" t="inlineStr">
        <is>
          <t>JÄMTLANDS LÄN</t>
        </is>
      </c>
      <c r="E877" t="inlineStr">
        <is>
          <t>RAGUNDA</t>
        </is>
      </c>
      <c r="G877" t="n">
        <v>1.9</v>
      </c>
      <c r="H877" t="n">
        <v>0</v>
      </c>
      <c r="I877" t="n">
        <v>0</v>
      </c>
      <c r="J877" t="n">
        <v>0</v>
      </c>
      <c r="K877" t="n">
        <v>0</v>
      </c>
      <c r="L877" t="n">
        <v>0</v>
      </c>
      <c r="M877" t="n">
        <v>0</v>
      </c>
      <c r="N877" t="n">
        <v>0</v>
      </c>
      <c r="O877" t="n">
        <v>0</v>
      </c>
      <c r="P877" t="n">
        <v>0</v>
      </c>
      <c r="Q877" t="n">
        <v>0</v>
      </c>
      <c r="R877" s="2" t="inlineStr"/>
    </row>
    <row r="878" ht="15" customHeight="1">
      <c r="A878" t="inlineStr">
        <is>
          <t>A 11878-2026</t>
        </is>
      </c>
      <c r="B878" s="1" t="n">
        <v>46085.50053240741</v>
      </c>
      <c r="C878" s="1" t="n">
        <v>46092</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11880-2026</t>
        </is>
      </c>
      <c r="B879" s="1" t="n">
        <v>46085.50150462963</v>
      </c>
      <c r="C879" s="1" t="n">
        <v>46092</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4237-2026</t>
        </is>
      </c>
      <c r="B880" s="1" t="n">
        <v>46044.92743055556</v>
      </c>
      <c r="C880" s="1" t="n">
        <v>46092</v>
      </c>
      <c r="D880" t="inlineStr">
        <is>
          <t>JÄMTLANDS LÄN</t>
        </is>
      </c>
      <c r="E880" t="inlineStr">
        <is>
          <t>RAGUNDA</t>
        </is>
      </c>
      <c r="G880" t="n">
        <v>1.3</v>
      </c>
      <c r="H880" t="n">
        <v>0</v>
      </c>
      <c r="I880" t="n">
        <v>0</v>
      </c>
      <c r="J880" t="n">
        <v>0</v>
      </c>
      <c r="K880" t="n">
        <v>0</v>
      </c>
      <c r="L880" t="n">
        <v>0</v>
      </c>
      <c r="M880" t="n">
        <v>0</v>
      </c>
      <c r="N880" t="n">
        <v>0</v>
      </c>
      <c r="O880" t="n">
        <v>0</v>
      </c>
      <c r="P880" t="n">
        <v>0</v>
      </c>
      <c r="Q880" t="n">
        <v>0</v>
      </c>
      <c r="R880" s="2" t="inlineStr"/>
    </row>
    <row r="881" ht="15" customHeight="1">
      <c r="A881" t="inlineStr">
        <is>
          <t>A 4142-2026</t>
        </is>
      </c>
      <c r="B881" s="1" t="n">
        <v>46044.63607638889</v>
      </c>
      <c r="C881" s="1" t="n">
        <v>46092</v>
      </c>
      <c r="D881" t="inlineStr">
        <is>
          <t>JÄMTLANDS LÄN</t>
        </is>
      </c>
      <c r="E881" t="inlineStr">
        <is>
          <t>RAGUNDA</t>
        </is>
      </c>
      <c r="F881" t="inlineStr">
        <is>
          <t>SCA</t>
        </is>
      </c>
      <c r="G881" t="n">
        <v>19.3</v>
      </c>
      <c r="H881" t="n">
        <v>0</v>
      </c>
      <c r="I881" t="n">
        <v>0</v>
      </c>
      <c r="J881" t="n">
        <v>0</v>
      </c>
      <c r="K881" t="n">
        <v>0</v>
      </c>
      <c r="L881" t="n">
        <v>0</v>
      </c>
      <c r="M881" t="n">
        <v>0</v>
      </c>
      <c r="N881" t="n">
        <v>0</v>
      </c>
      <c r="O881" t="n">
        <v>0</v>
      </c>
      <c r="P881" t="n">
        <v>0</v>
      </c>
      <c r="Q881" t="n">
        <v>0</v>
      </c>
      <c r="R881" s="2" t="inlineStr"/>
    </row>
    <row r="882" ht="15" customHeight="1">
      <c r="A882" t="inlineStr">
        <is>
          <t>A 33790-2025</t>
        </is>
      </c>
      <c r="B882" s="1" t="n">
        <v>45842.42608796297</v>
      </c>
      <c r="C882" s="1" t="n">
        <v>46092</v>
      </c>
      <c r="D882" t="inlineStr">
        <is>
          <t>JÄMTLANDS LÄN</t>
        </is>
      </c>
      <c r="E882" t="inlineStr">
        <is>
          <t>RAGUNDA</t>
        </is>
      </c>
      <c r="G882" t="n">
        <v>0.3</v>
      </c>
      <c r="H882" t="n">
        <v>0</v>
      </c>
      <c r="I882" t="n">
        <v>0</v>
      </c>
      <c r="J882" t="n">
        <v>0</v>
      </c>
      <c r="K882" t="n">
        <v>0</v>
      </c>
      <c r="L882" t="n">
        <v>0</v>
      </c>
      <c r="M882" t="n">
        <v>0</v>
      </c>
      <c r="N882" t="n">
        <v>0</v>
      </c>
      <c r="O882" t="n">
        <v>0</v>
      </c>
      <c r="P882" t="n">
        <v>0</v>
      </c>
      <c r="Q882" t="n">
        <v>0</v>
      </c>
      <c r="R882" s="2" t="inlineStr"/>
    </row>
    <row r="883" ht="15" customHeight="1">
      <c r="A883" t="inlineStr">
        <is>
          <t>A 34607-2025</t>
        </is>
      </c>
      <c r="B883" s="1" t="n">
        <v>45847.65703703704</v>
      </c>
      <c r="C883" s="1" t="n">
        <v>46092</v>
      </c>
      <c r="D883" t="inlineStr">
        <is>
          <t>JÄMTLANDS LÄN</t>
        </is>
      </c>
      <c r="E883" t="inlineStr">
        <is>
          <t>RAGUNDA</t>
        </is>
      </c>
      <c r="F883" t="inlineStr">
        <is>
          <t>SCA</t>
        </is>
      </c>
      <c r="G883" t="n">
        <v>31.4</v>
      </c>
      <c r="H883" t="n">
        <v>0</v>
      </c>
      <c r="I883" t="n">
        <v>0</v>
      </c>
      <c r="J883" t="n">
        <v>0</v>
      </c>
      <c r="K883" t="n">
        <v>0</v>
      </c>
      <c r="L883" t="n">
        <v>0</v>
      </c>
      <c r="M883" t="n">
        <v>0</v>
      </c>
      <c r="N883" t="n">
        <v>0</v>
      </c>
      <c r="O883" t="n">
        <v>0</v>
      </c>
      <c r="P883" t="n">
        <v>0</v>
      </c>
      <c r="Q883" t="n">
        <v>0</v>
      </c>
      <c r="R883" s="2" t="inlineStr"/>
    </row>
    <row r="884" ht="15" customHeight="1">
      <c r="A884" t="inlineStr">
        <is>
          <t>A 34461-2025</t>
        </is>
      </c>
      <c r="B884" s="1" t="n">
        <v>45847.34474537037</v>
      </c>
      <c r="C884" s="1" t="n">
        <v>46092</v>
      </c>
      <c r="D884" t="inlineStr">
        <is>
          <t>JÄMTLANDS LÄN</t>
        </is>
      </c>
      <c r="E884" t="inlineStr">
        <is>
          <t>RAGUNDA</t>
        </is>
      </c>
      <c r="F884" t="inlineStr">
        <is>
          <t>SCA</t>
        </is>
      </c>
      <c r="G884" t="n">
        <v>44.8</v>
      </c>
      <c r="H884" t="n">
        <v>0</v>
      </c>
      <c r="I884" t="n">
        <v>0</v>
      </c>
      <c r="J884" t="n">
        <v>0</v>
      </c>
      <c r="K884" t="n">
        <v>0</v>
      </c>
      <c r="L884" t="n">
        <v>0</v>
      </c>
      <c r="M884" t="n">
        <v>0</v>
      </c>
      <c r="N884" t="n">
        <v>0</v>
      </c>
      <c r="O884" t="n">
        <v>0</v>
      </c>
      <c r="P884" t="n">
        <v>0</v>
      </c>
      <c r="Q884" t="n">
        <v>0</v>
      </c>
      <c r="R884" s="2" t="inlineStr"/>
    </row>
    <row r="885" ht="15" customHeight="1">
      <c r="A885" t="inlineStr">
        <is>
          <t>A 34464-2025</t>
        </is>
      </c>
      <c r="B885" s="1" t="n">
        <v>45847.34528935186</v>
      </c>
      <c r="C885" s="1" t="n">
        <v>46092</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34468-2025</t>
        </is>
      </c>
      <c r="B886" s="1" t="n">
        <v>45847.34597222223</v>
      </c>
      <c r="C886" s="1" t="n">
        <v>46092</v>
      </c>
      <c r="D886" t="inlineStr">
        <is>
          <t>JÄMTLANDS LÄN</t>
        </is>
      </c>
      <c r="E886" t="inlineStr">
        <is>
          <t>RAGUNDA</t>
        </is>
      </c>
      <c r="F886" t="inlineStr">
        <is>
          <t>SCA</t>
        </is>
      </c>
      <c r="G886" t="n">
        <v>10</v>
      </c>
      <c r="H886" t="n">
        <v>0</v>
      </c>
      <c r="I886" t="n">
        <v>0</v>
      </c>
      <c r="J886" t="n">
        <v>0</v>
      </c>
      <c r="K886" t="n">
        <v>0</v>
      </c>
      <c r="L886" t="n">
        <v>0</v>
      </c>
      <c r="M886" t="n">
        <v>0</v>
      </c>
      <c r="N886" t="n">
        <v>0</v>
      </c>
      <c r="O886" t="n">
        <v>0</v>
      </c>
      <c r="P886" t="n">
        <v>0</v>
      </c>
      <c r="Q886" t="n">
        <v>0</v>
      </c>
      <c r="R886" s="2" t="inlineStr"/>
    </row>
    <row r="887" ht="15" customHeight="1">
      <c r="A887" t="inlineStr">
        <is>
          <t>A 53765-2025</t>
        </is>
      </c>
      <c r="B887" s="1" t="n">
        <v>45960.67753472222</v>
      </c>
      <c r="C887" s="1" t="n">
        <v>46092</v>
      </c>
      <c r="D887" t="inlineStr">
        <is>
          <t>JÄMTLANDS LÄN</t>
        </is>
      </c>
      <c r="E887" t="inlineStr">
        <is>
          <t>RAGUNDA</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34466-2025</t>
        </is>
      </c>
      <c r="B888" s="1" t="n">
        <v>45847.34565972222</v>
      </c>
      <c r="C888" s="1" t="n">
        <v>46092</v>
      </c>
      <c r="D888" t="inlineStr">
        <is>
          <t>JÄMTLANDS LÄN</t>
        </is>
      </c>
      <c r="E888" t="inlineStr">
        <is>
          <t>RAGUNDA</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53951-2025</t>
        </is>
      </c>
      <c r="B889" s="1" t="n">
        <v>45961.50200231482</v>
      </c>
      <c r="C889" s="1" t="n">
        <v>46092</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53948-2025</t>
        </is>
      </c>
      <c r="B890" s="1" t="n">
        <v>45961.50033564815</v>
      </c>
      <c r="C890" s="1" t="n">
        <v>46092</v>
      </c>
      <c r="D890" t="inlineStr">
        <is>
          <t>JÄMTLANDS LÄN</t>
        </is>
      </c>
      <c r="E890" t="inlineStr">
        <is>
          <t>RAGUNDA</t>
        </is>
      </c>
      <c r="G890" t="n">
        <v>7.9</v>
      </c>
      <c r="H890" t="n">
        <v>0</v>
      </c>
      <c r="I890" t="n">
        <v>0</v>
      </c>
      <c r="J890" t="n">
        <v>0</v>
      </c>
      <c r="K890" t="n">
        <v>0</v>
      </c>
      <c r="L890" t="n">
        <v>0</v>
      </c>
      <c r="M890" t="n">
        <v>0</v>
      </c>
      <c r="N890" t="n">
        <v>0</v>
      </c>
      <c r="O890" t="n">
        <v>0</v>
      </c>
      <c r="P890" t="n">
        <v>0</v>
      </c>
      <c r="Q890" t="n">
        <v>0</v>
      </c>
      <c r="R890" s="2" t="inlineStr"/>
    </row>
    <row r="891" ht="15" customHeight="1">
      <c r="A891" t="inlineStr">
        <is>
          <t>A 12344-2026</t>
        </is>
      </c>
      <c r="B891" s="1" t="n">
        <v>46087.67763888889</v>
      </c>
      <c r="C891" s="1" t="n">
        <v>46092</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54195-2025</t>
        </is>
      </c>
      <c r="B892" s="1" t="n">
        <v>45964.57413194444</v>
      </c>
      <c r="C892" s="1" t="n">
        <v>46092</v>
      </c>
      <c r="D892" t="inlineStr">
        <is>
          <t>JÄMTLANDS LÄN</t>
        </is>
      </c>
      <c r="E892" t="inlineStr">
        <is>
          <t>RAGUNDA</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34463-2025</t>
        </is>
      </c>
      <c r="B893" s="1" t="n">
        <v>45847.34515046296</v>
      </c>
      <c r="C893" s="1" t="n">
        <v>46092</v>
      </c>
      <c r="D893" t="inlineStr">
        <is>
          <t>JÄMTLANDS LÄN</t>
        </is>
      </c>
      <c r="E893" t="inlineStr">
        <is>
          <t>RAGUNDA</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12179-2026</t>
        </is>
      </c>
      <c r="B894" s="1" t="n">
        <v>46086.69835648148</v>
      </c>
      <c r="C894" s="1" t="n">
        <v>46092</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54396-2025</t>
        </is>
      </c>
      <c r="B895" s="1" t="n">
        <v>45965.44849537037</v>
      </c>
      <c r="C895" s="1" t="n">
        <v>46092</v>
      </c>
      <c r="D895" t="inlineStr">
        <is>
          <t>JÄMTLANDS LÄN</t>
        </is>
      </c>
      <c r="E895" t="inlineStr">
        <is>
          <t>RAGUNDA</t>
        </is>
      </c>
      <c r="F895" t="inlineStr">
        <is>
          <t>SCA</t>
        </is>
      </c>
      <c r="G895" t="n">
        <v>35.2</v>
      </c>
      <c r="H895" t="n">
        <v>0</v>
      </c>
      <c r="I895" t="n">
        <v>0</v>
      </c>
      <c r="J895" t="n">
        <v>0</v>
      </c>
      <c r="K895" t="n">
        <v>0</v>
      </c>
      <c r="L895" t="n">
        <v>0</v>
      </c>
      <c r="M895" t="n">
        <v>0</v>
      </c>
      <c r="N895" t="n">
        <v>0</v>
      </c>
      <c r="O895" t="n">
        <v>0</v>
      </c>
      <c r="P895" t="n">
        <v>0</v>
      </c>
      <c r="Q895" t="n">
        <v>0</v>
      </c>
      <c r="R895" s="2" t="inlineStr"/>
    </row>
    <row r="896" ht="15" customHeight="1">
      <c r="A896" t="inlineStr">
        <is>
          <t>A 34586-2025</t>
        </is>
      </c>
      <c r="B896" s="1" t="n">
        <v>45847.61513888889</v>
      </c>
      <c r="C896" s="1" t="n">
        <v>46092</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34588-2025</t>
        </is>
      </c>
      <c r="B897" s="1" t="n">
        <v>45847.61548611111</v>
      </c>
      <c r="C897" s="1" t="n">
        <v>46092</v>
      </c>
      <c r="D897" t="inlineStr">
        <is>
          <t>JÄMTLANDS LÄN</t>
        </is>
      </c>
      <c r="E897" t="inlineStr">
        <is>
          <t>RAGUNDA</t>
        </is>
      </c>
      <c r="G897" t="n">
        <v>32.3</v>
      </c>
      <c r="H897" t="n">
        <v>0</v>
      </c>
      <c r="I897" t="n">
        <v>0</v>
      </c>
      <c r="J897" t="n">
        <v>0</v>
      </c>
      <c r="K897" t="n">
        <v>0</v>
      </c>
      <c r="L897" t="n">
        <v>0</v>
      </c>
      <c r="M897" t="n">
        <v>0</v>
      </c>
      <c r="N897" t="n">
        <v>0</v>
      </c>
      <c r="O897" t="n">
        <v>0</v>
      </c>
      <c r="P897" t="n">
        <v>0</v>
      </c>
      <c r="Q897" t="n">
        <v>0</v>
      </c>
      <c r="R897" s="2" t="inlineStr"/>
    </row>
    <row r="898" ht="15" customHeight="1">
      <c r="A898" t="inlineStr">
        <is>
          <t>A 34296-2025</t>
        </is>
      </c>
      <c r="B898" s="1" t="n">
        <v>45846.34454861111</v>
      </c>
      <c r="C898" s="1" t="n">
        <v>46092</v>
      </c>
      <c r="D898" t="inlineStr">
        <is>
          <t>JÄMTLANDS LÄN</t>
        </is>
      </c>
      <c r="E898" t="inlineStr">
        <is>
          <t>RAGUNDA</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8654-2024</t>
        </is>
      </c>
      <c r="B899" s="1" t="n">
        <v>45356.03784722222</v>
      </c>
      <c r="C899" s="1" t="n">
        <v>46092</v>
      </c>
      <c r="D899" t="inlineStr">
        <is>
          <t>JÄMTLANDS LÄN</t>
        </is>
      </c>
      <c r="E899" t="inlineStr">
        <is>
          <t>RAGUNDA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6902-2024</t>
        </is>
      </c>
      <c r="B900" s="1" t="n">
        <v>45342</v>
      </c>
      <c r="C900" s="1" t="n">
        <v>46092</v>
      </c>
      <c r="D900" t="inlineStr">
        <is>
          <t>JÄMTLANDS LÄN</t>
        </is>
      </c>
      <c r="E900" t="inlineStr">
        <is>
          <t>RAGUNDA</t>
        </is>
      </c>
      <c r="F900" t="inlineStr">
        <is>
          <t>SCA</t>
        </is>
      </c>
      <c r="G900" t="n">
        <v>18.7</v>
      </c>
      <c r="H900" t="n">
        <v>0</v>
      </c>
      <c r="I900" t="n">
        <v>0</v>
      </c>
      <c r="J900" t="n">
        <v>0</v>
      </c>
      <c r="K900" t="n">
        <v>0</v>
      </c>
      <c r="L900" t="n">
        <v>0</v>
      </c>
      <c r="M900" t="n">
        <v>0</v>
      </c>
      <c r="N900" t="n">
        <v>0</v>
      </c>
      <c r="O900" t="n">
        <v>0</v>
      </c>
      <c r="P900" t="n">
        <v>0</v>
      </c>
      <c r="Q900" t="n">
        <v>0</v>
      </c>
      <c r="R900" s="2" t="inlineStr"/>
    </row>
    <row r="901" ht="15" customHeight="1">
      <c r="A901" t="inlineStr">
        <is>
          <t>A 6905-2024</t>
        </is>
      </c>
      <c r="B901" s="1" t="n">
        <v>45342.9462037037</v>
      </c>
      <c r="C901" s="1" t="n">
        <v>46092</v>
      </c>
      <c r="D901" t="inlineStr">
        <is>
          <t>JÄMTLANDS LÄN</t>
        </is>
      </c>
      <c r="E901" t="inlineStr">
        <is>
          <t>RAGUNDA</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12346-2026</t>
        </is>
      </c>
      <c r="B902" s="1" t="n">
        <v>46087.6778587963</v>
      </c>
      <c r="C902" s="1" t="n">
        <v>46092</v>
      </c>
      <c r="D902" t="inlineStr">
        <is>
          <t>JÄMTLANDS LÄN</t>
        </is>
      </c>
      <c r="E902" t="inlineStr">
        <is>
          <t>RAGUNDA</t>
        </is>
      </c>
      <c r="F902" t="inlineStr">
        <is>
          <t>SCA</t>
        </is>
      </c>
      <c r="G902" t="n">
        <v>38.3</v>
      </c>
      <c r="H902" t="n">
        <v>0</v>
      </c>
      <c r="I902" t="n">
        <v>0</v>
      </c>
      <c r="J902" t="n">
        <v>0</v>
      </c>
      <c r="K902" t="n">
        <v>0</v>
      </c>
      <c r="L902" t="n">
        <v>0</v>
      </c>
      <c r="M902" t="n">
        <v>0</v>
      </c>
      <c r="N902" t="n">
        <v>0</v>
      </c>
      <c r="O902" t="n">
        <v>0</v>
      </c>
      <c r="P902" t="n">
        <v>0</v>
      </c>
      <c r="Q902" t="n">
        <v>0</v>
      </c>
      <c r="R902" s="2" t="inlineStr"/>
    </row>
    <row r="903" ht="15" customHeight="1">
      <c r="A903" t="inlineStr">
        <is>
          <t>A 4046-2026</t>
        </is>
      </c>
      <c r="B903" s="1" t="n">
        <v>46044.46921296296</v>
      </c>
      <c r="C903" s="1" t="n">
        <v>46092</v>
      </c>
      <c r="D903" t="inlineStr">
        <is>
          <t>JÄMTLANDS LÄN</t>
        </is>
      </c>
      <c r="E903" t="inlineStr">
        <is>
          <t>RAGUNDA</t>
        </is>
      </c>
      <c r="G903" t="n">
        <v>5.3</v>
      </c>
      <c r="H903" t="n">
        <v>0</v>
      </c>
      <c r="I903" t="n">
        <v>0</v>
      </c>
      <c r="J903" t="n">
        <v>0</v>
      </c>
      <c r="K903" t="n">
        <v>0</v>
      </c>
      <c r="L903" t="n">
        <v>0</v>
      </c>
      <c r="M903" t="n">
        <v>0</v>
      </c>
      <c r="N903" t="n">
        <v>0</v>
      </c>
      <c r="O903" t="n">
        <v>0</v>
      </c>
      <c r="P903" t="n">
        <v>0</v>
      </c>
      <c r="Q903" t="n">
        <v>0</v>
      </c>
      <c r="R903" s="2" t="inlineStr"/>
    </row>
    <row r="904" ht="15" customHeight="1">
      <c r="A904" t="inlineStr">
        <is>
          <t>A 4073-2026</t>
        </is>
      </c>
      <c r="B904" s="1" t="n">
        <v>46044.53168981482</v>
      </c>
      <c r="C904" s="1" t="n">
        <v>46092</v>
      </c>
      <c r="D904" t="inlineStr">
        <is>
          <t>JÄMTLANDS LÄN</t>
        </is>
      </c>
      <c r="E904" t="inlineStr">
        <is>
          <t>RAGUNDA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22731-2023</t>
        </is>
      </c>
      <c r="B905" s="1" t="n">
        <v>45071</v>
      </c>
      <c r="C905" s="1" t="n">
        <v>46092</v>
      </c>
      <c r="D905" t="inlineStr">
        <is>
          <t>JÄMTLANDS LÄN</t>
        </is>
      </c>
      <c r="E905" t="inlineStr">
        <is>
          <t>RAGUNDA</t>
        </is>
      </c>
      <c r="G905" t="n">
        <v>1.5</v>
      </c>
      <c r="H905" t="n">
        <v>0</v>
      </c>
      <c r="I905" t="n">
        <v>0</v>
      </c>
      <c r="J905" t="n">
        <v>0</v>
      </c>
      <c r="K905" t="n">
        <v>0</v>
      </c>
      <c r="L905" t="n">
        <v>0</v>
      </c>
      <c r="M905" t="n">
        <v>0</v>
      </c>
      <c r="N905" t="n">
        <v>0</v>
      </c>
      <c r="O905" t="n">
        <v>0</v>
      </c>
      <c r="P905" t="n">
        <v>0</v>
      </c>
      <c r="Q905" t="n">
        <v>0</v>
      </c>
      <c r="R905" s="2" t="inlineStr"/>
    </row>
    <row r="906" ht="15" customHeight="1">
      <c r="A906" t="inlineStr">
        <is>
          <t>A 34709-2025</t>
        </is>
      </c>
      <c r="B906" s="1" t="n">
        <v>45848.49761574074</v>
      </c>
      <c r="C906" s="1" t="n">
        <v>46092</v>
      </c>
      <c r="D906" t="inlineStr">
        <is>
          <t>JÄMTLANDS LÄN</t>
        </is>
      </c>
      <c r="E906" t="inlineStr">
        <is>
          <t>RAGUNDA</t>
        </is>
      </c>
      <c r="G906" t="n">
        <v>3.1</v>
      </c>
      <c r="H906" t="n">
        <v>0</v>
      </c>
      <c r="I906" t="n">
        <v>0</v>
      </c>
      <c r="J906" t="n">
        <v>0</v>
      </c>
      <c r="K906" t="n">
        <v>0</v>
      </c>
      <c r="L906" t="n">
        <v>0</v>
      </c>
      <c r="M906" t="n">
        <v>0</v>
      </c>
      <c r="N906" t="n">
        <v>0</v>
      </c>
      <c r="O906" t="n">
        <v>0</v>
      </c>
      <c r="P906" t="n">
        <v>0</v>
      </c>
      <c r="Q906" t="n">
        <v>0</v>
      </c>
      <c r="R906" s="2" t="inlineStr"/>
    </row>
    <row r="907" ht="15" customHeight="1">
      <c r="A907" t="inlineStr">
        <is>
          <t>A 34772-2025</t>
        </is>
      </c>
      <c r="B907" s="1" t="n">
        <v>45848.65658564815</v>
      </c>
      <c r="C907" s="1" t="n">
        <v>46092</v>
      </c>
      <c r="D907" t="inlineStr">
        <is>
          <t>JÄMTLANDS LÄN</t>
        </is>
      </c>
      <c r="E907" t="inlineStr">
        <is>
          <t>RAGUNDA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11245-2025</t>
        </is>
      </c>
      <c r="B908" s="1" t="n">
        <v>45726.38575231482</v>
      </c>
      <c r="C908" s="1" t="n">
        <v>46092</v>
      </c>
      <c r="D908" t="inlineStr">
        <is>
          <t>JÄMTLANDS LÄN</t>
        </is>
      </c>
      <c r="E908" t="inlineStr">
        <is>
          <t>RAGUNDA</t>
        </is>
      </c>
      <c r="G908" t="n">
        <v>2.3</v>
      </c>
      <c r="H908" t="n">
        <v>0</v>
      </c>
      <c r="I908" t="n">
        <v>0</v>
      </c>
      <c r="J908" t="n">
        <v>0</v>
      </c>
      <c r="K908" t="n">
        <v>0</v>
      </c>
      <c r="L908" t="n">
        <v>0</v>
      </c>
      <c r="M908" t="n">
        <v>0</v>
      </c>
      <c r="N908" t="n">
        <v>0</v>
      </c>
      <c r="O908" t="n">
        <v>0</v>
      </c>
      <c r="P908" t="n">
        <v>0</v>
      </c>
      <c r="Q908" t="n">
        <v>0</v>
      </c>
      <c r="R908" s="2" t="inlineStr"/>
    </row>
    <row r="909" ht="15" customHeight="1">
      <c r="A909" t="inlineStr">
        <is>
          <t>A 12347-2026</t>
        </is>
      </c>
      <c r="B909" s="1" t="n">
        <v>46087.67805555555</v>
      </c>
      <c r="C909" s="1" t="n">
        <v>46092</v>
      </c>
      <c r="D909" t="inlineStr">
        <is>
          <t>JÄMTLANDS LÄN</t>
        </is>
      </c>
      <c r="E909" t="inlineStr">
        <is>
          <t>RAGUNDA</t>
        </is>
      </c>
      <c r="F909" t="inlineStr">
        <is>
          <t>SCA</t>
        </is>
      </c>
      <c r="G909" t="n">
        <v>33.1</v>
      </c>
      <c r="H909" t="n">
        <v>0</v>
      </c>
      <c r="I909" t="n">
        <v>0</v>
      </c>
      <c r="J909" t="n">
        <v>0</v>
      </c>
      <c r="K909" t="n">
        <v>0</v>
      </c>
      <c r="L909" t="n">
        <v>0</v>
      </c>
      <c r="M909" t="n">
        <v>0</v>
      </c>
      <c r="N909" t="n">
        <v>0</v>
      </c>
      <c r="O909" t="n">
        <v>0</v>
      </c>
      <c r="P909" t="n">
        <v>0</v>
      </c>
      <c r="Q909" t="n">
        <v>0</v>
      </c>
      <c r="R909" s="2" t="inlineStr"/>
    </row>
    <row r="910" ht="15" customHeight="1">
      <c r="A910" t="inlineStr">
        <is>
          <t>A 61923-2024</t>
        </is>
      </c>
      <c r="B910" s="1" t="n">
        <v>45653.44836805556</v>
      </c>
      <c r="C910" s="1" t="n">
        <v>46092</v>
      </c>
      <c r="D910" t="inlineStr">
        <is>
          <t>JÄMTLANDS LÄN</t>
        </is>
      </c>
      <c r="E910" t="inlineStr">
        <is>
          <t>RAGUNDA</t>
        </is>
      </c>
      <c r="F910" t="inlineStr">
        <is>
          <t>SCA</t>
        </is>
      </c>
      <c r="G910" t="n">
        <v>11.1</v>
      </c>
      <c r="H910" t="n">
        <v>0</v>
      </c>
      <c r="I910" t="n">
        <v>0</v>
      </c>
      <c r="J910" t="n">
        <v>0</v>
      </c>
      <c r="K910" t="n">
        <v>0</v>
      </c>
      <c r="L910" t="n">
        <v>0</v>
      </c>
      <c r="M910" t="n">
        <v>0</v>
      </c>
      <c r="N910" t="n">
        <v>0</v>
      </c>
      <c r="O910" t="n">
        <v>0</v>
      </c>
      <c r="P910" t="n">
        <v>0</v>
      </c>
      <c r="Q910" t="n">
        <v>0</v>
      </c>
      <c r="R910" s="2" t="inlineStr"/>
    </row>
    <row r="911" ht="15" customHeight="1">
      <c r="A911" t="inlineStr">
        <is>
          <t>A 23567-2024</t>
        </is>
      </c>
      <c r="B911" s="1" t="n">
        <v>45453.95538194444</v>
      </c>
      <c r="C911" s="1" t="n">
        <v>46092</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34710-2025</t>
        </is>
      </c>
      <c r="B912" s="1" t="n">
        <v>45848.49774305556</v>
      </c>
      <c r="C912" s="1" t="n">
        <v>46092</v>
      </c>
      <c r="D912" t="inlineStr">
        <is>
          <t>JÄMTLANDS LÄN</t>
        </is>
      </c>
      <c r="E912" t="inlineStr">
        <is>
          <t>RAGUNDA</t>
        </is>
      </c>
      <c r="G912" t="n">
        <v>4.1</v>
      </c>
      <c r="H912" t="n">
        <v>0</v>
      </c>
      <c r="I912" t="n">
        <v>0</v>
      </c>
      <c r="J912" t="n">
        <v>0</v>
      </c>
      <c r="K912" t="n">
        <v>0</v>
      </c>
      <c r="L912" t="n">
        <v>0</v>
      </c>
      <c r="M912" t="n">
        <v>0</v>
      </c>
      <c r="N912" t="n">
        <v>0</v>
      </c>
      <c r="O912" t="n">
        <v>0</v>
      </c>
      <c r="P912" t="n">
        <v>0</v>
      </c>
      <c r="Q912" t="n">
        <v>0</v>
      </c>
      <c r="R912" s="2" t="inlineStr"/>
    </row>
    <row r="913" ht="15" customHeight="1">
      <c r="A913" t="inlineStr">
        <is>
          <t>A 19246-2023</t>
        </is>
      </c>
      <c r="B913" s="1" t="n">
        <v>45048.94340277778</v>
      </c>
      <c r="C913" s="1" t="n">
        <v>46092</v>
      </c>
      <c r="D913" t="inlineStr">
        <is>
          <t>JÄMTLANDS LÄN</t>
        </is>
      </c>
      <c r="E913" t="inlineStr">
        <is>
          <t>RAGUNDA</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61109-2024</t>
        </is>
      </c>
      <c r="B914" s="1" t="n">
        <v>45645.55672453704</v>
      </c>
      <c r="C914" s="1" t="n">
        <v>46092</v>
      </c>
      <c r="D914" t="inlineStr">
        <is>
          <t>JÄMTLANDS LÄN</t>
        </is>
      </c>
      <c r="E914" t="inlineStr">
        <is>
          <t>RAGUNDA</t>
        </is>
      </c>
      <c r="G914" t="n">
        <v>4</v>
      </c>
      <c r="H914" t="n">
        <v>0</v>
      </c>
      <c r="I914" t="n">
        <v>0</v>
      </c>
      <c r="J914" t="n">
        <v>0</v>
      </c>
      <c r="K914" t="n">
        <v>0</v>
      </c>
      <c r="L914" t="n">
        <v>0</v>
      </c>
      <c r="M914" t="n">
        <v>0</v>
      </c>
      <c r="N914" t="n">
        <v>0</v>
      </c>
      <c r="O914" t="n">
        <v>0</v>
      </c>
      <c r="P914" t="n">
        <v>0</v>
      </c>
      <c r="Q914" t="n">
        <v>0</v>
      </c>
      <c r="R914" s="2" t="inlineStr"/>
    </row>
    <row r="915" ht="15" customHeight="1">
      <c r="A915" t="inlineStr">
        <is>
          <t>A 4047-2026</t>
        </is>
      </c>
      <c r="B915" s="1" t="n">
        <v>46044.46944444445</v>
      </c>
      <c r="C915" s="1" t="n">
        <v>46092</v>
      </c>
      <c r="D915" t="inlineStr">
        <is>
          <t>JÄMTLANDS LÄN</t>
        </is>
      </c>
      <c r="E915" t="inlineStr">
        <is>
          <t>RAGUNDA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34968-2025</t>
        </is>
      </c>
      <c r="B916" s="1" t="n">
        <v>45849.65663194445</v>
      </c>
      <c r="C916" s="1" t="n">
        <v>46092</v>
      </c>
      <c r="D916" t="inlineStr">
        <is>
          <t>JÄMTLANDS LÄN</t>
        </is>
      </c>
      <c r="E916" t="inlineStr">
        <is>
          <t>RAGUNDA</t>
        </is>
      </c>
      <c r="F916" t="inlineStr">
        <is>
          <t>SCA</t>
        </is>
      </c>
      <c r="G916" t="n">
        <v>20.2</v>
      </c>
      <c r="H916" t="n">
        <v>0</v>
      </c>
      <c r="I916" t="n">
        <v>0</v>
      </c>
      <c r="J916" t="n">
        <v>0</v>
      </c>
      <c r="K916" t="n">
        <v>0</v>
      </c>
      <c r="L916" t="n">
        <v>0</v>
      </c>
      <c r="M916" t="n">
        <v>0</v>
      </c>
      <c r="N916" t="n">
        <v>0</v>
      </c>
      <c r="O916" t="n">
        <v>0</v>
      </c>
      <c r="P916" t="n">
        <v>0</v>
      </c>
      <c r="Q916" t="n">
        <v>0</v>
      </c>
      <c r="R916" s="2" t="inlineStr"/>
    </row>
    <row r="917" ht="15" customHeight="1">
      <c r="A917" t="inlineStr">
        <is>
          <t>A 4099-2026</t>
        </is>
      </c>
      <c r="B917" s="1" t="n">
        <v>46044.57357638889</v>
      </c>
      <c r="C917" s="1" t="n">
        <v>46092</v>
      </c>
      <c r="D917" t="inlineStr">
        <is>
          <t>JÄMTLANDS LÄN</t>
        </is>
      </c>
      <c r="E917" t="inlineStr">
        <is>
          <t>RAGUNDA</t>
        </is>
      </c>
      <c r="G917" t="n">
        <v>8.4</v>
      </c>
      <c r="H917" t="n">
        <v>0</v>
      </c>
      <c r="I917" t="n">
        <v>0</v>
      </c>
      <c r="J917" t="n">
        <v>0</v>
      </c>
      <c r="K917" t="n">
        <v>0</v>
      </c>
      <c r="L917" t="n">
        <v>0</v>
      </c>
      <c r="M917" t="n">
        <v>0</v>
      </c>
      <c r="N917" t="n">
        <v>0</v>
      </c>
      <c r="O917" t="n">
        <v>0</v>
      </c>
      <c r="P917" t="n">
        <v>0</v>
      </c>
      <c r="Q917" t="n">
        <v>0</v>
      </c>
      <c r="R917" s="2" t="inlineStr"/>
    </row>
    <row r="918" ht="15" customHeight="1">
      <c r="A918" t="inlineStr">
        <is>
          <t>A 58955-2024</t>
        </is>
      </c>
      <c r="B918" s="1" t="n">
        <v>45636.57329861111</v>
      </c>
      <c r="C918" s="1" t="n">
        <v>46092</v>
      </c>
      <c r="D918" t="inlineStr">
        <is>
          <t>JÄMTLANDS LÄN</t>
        </is>
      </c>
      <c r="E918" t="inlineStr">
        <is>
          <t>RAGUNDA</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34998-2025</t>
        </is>
      </c>
      <c r="B919" s="1" t="n">
        <v>45850.34434027778</v>
      </c>
      <c r="C919" s="1" t="n">
        <v>46092</v>
      </c>
      <c r="D919" t="inlineStr">
        <is>
          <t>JÄMTLANDS LÄN</t>
        </is>
      </c>
      <c r="E919" t="inlineStr">
        <is>
          <t>RAGUNDA</t>
        </is>
      </c>
      <c r="G919" t="n">
        <v>1.4</v>
      </c>
      <c r="H919" t="n">
        <v>0</v>
      </c>
      <c r="I919" t="n">
        <v>0</v>
      </c>
      <c r="J919" t="n">
        <v>0</v>
      </c>
      <c r="K919" t="n">
        <v>0</v>
      </c>
      <c r="L919" t="n">
        <v>0</v>
      </c>
      <c r="M919" t="n">
        <v>0</v>
      </c>
      <c r="N919" t="n">
        <v>0</v>
      </c>
      <c r="O919" t="n">
        <v>0</v>
      </c>
      <c r="P919" t="n">
        <v>0</v>
      </c>
      <c r="Q919" t="n">
        <v>0</v>
      </c>
      <c r="R919" s="2" t="inlineStr"/>
    </row>
    <row r="920" ht="15" customHeight="1">
      <c r="A920" t="inlineStr">
        <is>
          <t>A 54794-2025</t>
        </is>
      </c>
      <c r="B920" s="1" t="n">
        <v>45966.63592592593</v>
      </c>
      <c r="C920" s="1" t="n">
        <v>46092</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34999-2025</t>
        </is>
      </c>
      <c r="B921" s="1" t="n">
        <v>45850.34450231482</v>
      </c>
      <c r="C921" s="1" t="n">
        <v>46092</v>
      </c>
      <c r="D921" t="inlineStr">
        <is>
          <t>JÄMTLANDS LÄN</t>
        </is>
      </c>
      <c r="E921" t="inlineStr">
        <is>
          <t>RAGUNDA</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35092-2025</t>
        </is>
      </c>
      <c r="B922" s="1" t="n">
        <v>45852.53185185185</v>
      </c>
      <c r="C922" s="1" t="n">
        <v>46092</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33877-2023</t>
        </is>
      </c>
      <c r="B923" s="1" t="n">
        <v>45133</v>
      </c>
      <c r="C923" s="1" t="n">
        <v>46092</v>
      </c>
      <c r="D923" t="inlineStr">
        <is>
          <t>JÄMTLANDS LÄN</t>
        </is>
      </c>
      <c r="E923" t="inlineStr">
        <is>
          <t>RAGUNDA</t>
        </is>
      </c>
      <c r="F923" t="inlineStr">
        <is>
          <t>SCA</t>
        </is>
      </c>
      <c r="G923" t="n">
        <v>4.3</v>
      </c>
      <c r="H923" t="n">
        <v>0</v>
      </c>
      <c r="I923" t="n">
        <v>0</v>
      </c>
      <c r="J923" t="n">
        <v>0</v>
      </c>
      <c r="K923" t="n">
        <v>0</v>
      </c>
      <c r="L923" t="n">
        <v>0</v>
      </c>
      <c r="M923" t="n">
        <v>0</v>
      </c>
      <c r="N923" t="n">
        <v>0</v>
      </c>
      <c r="O923" t="n">
        <v>0</v>
      </c>
      <c r="P923" t="n">
        <v>0</v>
      </c>
      <c r="Q923" t="n">
        <v>0</v>
      </c>
      <c r="R923" s="2" t="inlineStr"/>
    </row>
    <row r="924" ht="15" customHeight="1">
      <c r="A924" t="inlineStr">
        <is>
          <t>A 54820-2025</t>
        </is>
      </c>
      <c r="B924" s="1" t="n">
        <v>45966.65728009259</v>
      </c>
      <c r="C924" s="1" t="n">
        <v>46092</v>
      </c>
      <c r="D924" t="inlineStr">
        <is>
          <t>JÄMTLANDS LÄN</t>
        </is>
      </c>
      <c r="E924" t="inlineStr">
        <is>
          <t>RAGUNDA</t>
        </is>
      </c>
      <c r="G924" t="n">
        <v>15.3</v>
      </c>
      <c r="H924" t="n">
        <v>0</v>
      </c>
      <c r="I924" t="n">
        <v>0</v>
      </c>
      <c r="J924" t="n">
        <v>0</v>
      </c>
      <c r="K924" t="n">
        <v>0</v>
      </c>
      <c r="L924" t="n">
        <v>0</v>
      </c>
      <c r="M924" t="n">
        <v>0</v>
      </c>
      <c r="N924" t="n">
        <v>0</v>
      </c>
      <c r="O924" t="n">
        <v>0</v>
      </c>
      <c r="P924" t="n">
        <v>0</v>
      </c>
      <c r="Q924" t="n">
        <v>0</v>
      </c>
      <c r="R924" s="2" t="inlineStr"/>
    </row>
    <row r="925" ht="15" customHeight="1">
      <c r="A925" t="inlineStr">
        <is>
          <t>A 35091-2025</t>
        </is>
      </c>
      <c r="B925" s="1" t="n">
        <v>45852.53168981482</v>
      </c>
      <c r="C925" s="1" t="n">
        <v>46092</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4627-2026</t>
        </is>
      </c>
      <c r="B926" s="1" t="n">
        <v>46048.3860300926</v>
      </c>
      <c r="C926" s="1" t="n">
        <v>46092</v>
      </c>
      <c r="D926" t="inlineStr">
        <is>
          <t>JÄMTLANDS LÄN</t>
        </is>
      </c>
      <c r="E926" t="inlineStr">
        <is>
          <t>RAGUNDA</t>
        </is>
      </c>
      <c r="G926" t="n">
        <v>0.5</v>
      </c>
      <c r="H926" t="n">
        <v>0</v>
      </c>
      <c r="I926" t="n">
        <v>0</v>
      </c>
      <c r="J926" t="n">
        <v>0</v>
      </c>
      <c r="K926" t="n">
        <v>0</v>
      </c>
      <c r="L926" t="n">
        <v>0</v>
      </c>
      <c r="M926" t="n">
        <v>0</v>
      </c>
      <c r="N926" t="n">
        <v>0</v>
      </c>
      <c r="O926" t="n">
        <v>0</v>
      </c>
      <c r="P926" t="n">
        <v>0</v>
      </c>
      <c r="Q926" t="n">
        <v>0</v>
      </c>
      <c r="R926" s="2" t="inlineStr"/>
    </row>
    <row r="927" ht="15" customHeight="1">
      <c r="A927" t="inlineStr">
        <is>
          <t>A 4628-2026</t>
        </is>
      </c>
      <c r="B927" s="1" t="n">
        <v>46048.3862037037</v>
      </c>
      <c r="C927" s="1" t="n">
        <v>46092</v>
      </c>
      <c r="D927" t="inlineStr">
        <is>
          <t>JÄMTLANDS LÄN</t>
        </is>
      </c>
      <c r="E927" t="inlineStr">
        <is>
          <t>RAGUNDA</t>
        </is>
      </c>
      <c r="G927" t="n">
        <v>0.3</v>
      </c>
      <c r="H927" t="n">
        <v>0</v>
      </c>
      <c r="I927" t="n">
        <v>0</v>
      </c>
      <c r="J927" t="n">
        <v>0</v>
      </c>
      <c r="K927" t="n">
        <v>0</v>
      </c>
      <c r="L927" t="n">
        <v>0</v>
      </c>
      <c r="M927" t="n">
        <v>0</v>
      </c>
      <c r="N927" t="n">
        <v>0</v>
      </c>
      <c r="O927" t="n">
        <v>0</v>
      </c>
      <c r="P927" t="n">
        <v>0</v>
      </c>
      <c r="Q927" t="n">
        <v>0</v>
      </c>
      <c r="R927" s="2" t="inlineStr"/>
    </row>
    <row r="928" ht="15" customHeight="1">
      <c r="A928" t="inlineStr">
        <is>
          <t>A 58909-2025</t>
        </is>
      </c>
      <c r="B928" s="1" t="n">
        <v>45987</v>
      </c>
      <c r="C928" s="1" t="n">
        <v>46092</v>
      </c>
      <c r="D928" t="inlineStr">
        <is>
          <t>JÄMTLANDS LÄN</t>
        </is>
      </c>
      <c r="E928" t="inlineStr">
        <is>
          <t>RAGUNDA</t>
        </is>
      </c>
      <c r="G928" t="n">
        <v>9.5</v>
      </c>
      <c r="H928" t="n">
        <v>0</v>
      </c>
      <c r="I928" t="n">
        <v>0</v>
      </c>
      <c r="J928" t="n">
        <v>0</v>
      </c>
      <c r="K928" t="n">
        <v>0</v>
      </c>
      <c r="L928" t="n">
        <v>0</v>
      </c>
      <c r="M928" t="n">
        <v>0</v>
      </c>
      <c r="N928" t="n">
        <v>0</v>
      </c>
      <c r="O928" t="n">
        <v>0</v>
      </c>
      <c r="P928" t="n">
        <v>0</v>
      </c>
      <c r="Q928" t="n">
        <v>0</v>
      </c>
      <c r="R928" s="2" t="inlineStr"/>
    </row>
    <row r="929" ht="15" customHeight="1">
      <c r="A929" t="inlineStr">
        <is>
          <t>A 62541-2022</t>
        </is>
      </c>
      <c r="B929" s="1" t="n">
        <v>44917</v>
      </c>
      <c r="C929" s="1" t="n">
        <v>46092</v>
      </c>
      <c r="D929" t="inlineStr">
        <is>
          <t>JÄMTLANDS LÄN</t>
        </is>
      </c>
      <c r="E929" t="inlineStr">
        <is>
          <t>RAGUNDA</t>
        </is>
      </c>
      <c r="G929" t="n">
        <v>2.6</v>
      </c>
      <c r="H929" t="n">
        <v>0</v>
      </c>
      <c r="I929" t="n">
        <v>0</v>
      </c>
      <c r="J929" t="n">
        <v>0</v>
      </c>
      <c r="K929" t="n">
        <v>0</v>
      </c>
      <c r="L929" t="n">
        <v>0</v>
      </c>
      <c r="M929" t="n">
        <v>0</v>
      </c>
      <c r="N929" t="n">
        <v>0</v>
      </c>
      <c r="O929" t="n">
        <v>0</v>
      </c>
      <c r="P929" t="n">
        <v>0</v>
      </c>
      <c r="Q929" t="n">
        <v>0</v>
      </c>
      <c r="R929" s="2" t="inlineStr"/>
    </row>
    <row r="930" ht="15" customHeight="1">
      <c r="A930" t="inlineStr">
        <is>
          <t>A 9567-2025</t>
        </is>
      </c>
      <c r="B930" s="1" t="n">
        <v>45715.61523148148</v>
      </c>
      <c r="C930" s="1" t="n">
        <v>46092</v>
      </c>
      <c r="D930" t="inlineStr">
        <is>
          <t>JÄMTLANDS LÄN</t>
        </is>
      </c>
      <c r="E930" t="inlineStr">
        <is>
          <t>RAGUNDA</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35462-2025</t>
        </is>
      </c>
      <c r="B931" s="1" t="n">
        <v>45855.61523148148</v>
      </c>
      <c r="C931" s="1" t="n">
        <v>46092</v>
      </c>
      <c r="D931" t="inlineStr">
        <is>
          <t>JÄMTLANDS LÄN</t>
        </is>
      </c>
      <c r="E931" t="inlineStr">
        <is>
          <t>RAGUNDA</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21661-2023</t>
        </is>
      </c>
      <c r="B932" s="1" t="n">
        <v>45063</v>
      </c>
      <c r="C932" s="1" t="n">
        <v>46092</v>
      </c>
      <c r="D932" t="inlineStr">
        <is>
          <t>JÄMTLANDS LÄN</t>
        </is>
      </c>
      <c r="E932" t="inlineStr">
        <is>
          <t>RAGUNDA</t>
        </is>
      </c>
      <c r="G932" t="n">
        <v>1.5</v>
      </c>
      <c r="H932" t="n">
        <v>0</v>
      </c>
      <c r="I932" t="n">
        <v>0</v>
      </c>
      <c r="J932" t="n">
        <v>0</v>
      </c>
      <c r="K932" t="n">
        <v>0</v>
      </c>
      <c r="L932" t="n">
        <v>0</v>
      </c>
      <c r="M932" t="n">
        <v>0</v>
      </c>
      <c r="N932" t="n">
        <v>0</v>
      </c>
      <c r="O932" t="n">
        <v>0</v>
      </c>
      <c r="P932" t="n">
        <v>0</v>
      </c>
      <c r="Q932" t="n">
        <v>0</v>
      </c>
      <c r="R932" s="2" t="inlineStr"/>
    </row>
    <row r="933" ht="15" customHeight="1">
      <c r="A933" t="inlineStr">
        <is>
          <t>A 35355-2025</t>
        </is>
      </c>
      <c r="B933" s="1" t="n">
        <v>45854.65663194445</v>
      </c>
      <c r="C933" s="1" t="n">
        <v>46092</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35477-2025</t>
        </is>
      </c>
      <c r="B934" s="1" t="n">
        <v>45855.67899305555</v>
      </c>
      <c r="C934" s="1" t="n">
        <v>46092</v>
      </c>
      <c r="D934" t="inlineStr">
        <is>
          <t>JÄMTLANDS LÄN</t>
        </is>
      </c>
      <c r="E934" t="inlineStr">
        <is>
          <t>RAGUNDA</t>
        </is>
      </c>
      <c r="G934" t="n">
        <v>3.6</v>
      </c>
      <c r="H934" t="n">
        <v>0</v>
      </c>
      <c r="I934" t="n">
        <v>0</v>
      </c>
      <c r="J934" t="n">
        <v>0</v>
      </c>
      <c r="K934" t="n">
        <v>0</v>
      </c>
      <c r="L934" t="n">
        <v>0</v>
      </c>
      <c r="M934" t="n">
        <v>0</v>
      </c>
      <c r="N934" t="n">
        <v>0</v>
      </c>
      <c r="O934" t="n">
        <v>0</v>
      </c>
      <c r="P934" t="n">
        <v>0</v>
      </c>
      <c r="Q934" t="n">
        <v>0</v>
      </c>
      <c r="R934" s="2" t="inlineStr"/>
    </row>
    <row r="935" ht="15" customHeight="1">
      <c r="A935" t="inlineStr">
        <is>
          <t>A 4616-2026</t>
        </is>
      </c>
      <c r="B935" s="1" t="n">
        <v>46048.37070601852</v>
      </c>
      <c r="C935" s="1" t="n">
        <v>46092</v>
      </c>
      <c r="D935" t="inlineStr">
        <is>
          <t>JÄMTLANDS LÄN</t>
        </is>
      </c>
      <c r="E935" t="inlineStr">
        <is>
          <t>RAGUNDA</t>
        </is>
      </c>
      <c r="G935" t="n">
        <v>2.4</v>
      </c>
      <c r="H935" t="n">
        <v>0</v>
      </c>
      <c r="I935" t="n">
        <v>0</v>
      </c>
      <c r="J935" t="n">
        <v>0</v>
      </c>
      <c r="K935" t="n">
        <v>0</v>
      </c>
      <c r="L935" t="n">
        <v>0</v>
      </c>
      <c r="M935" t="n">
        <v>0</v>
      </c>
      <c r="N935" t="n">
        <v>0</v>
      </c>
      <c r="O935" t="n">
        <v>0</v>
      </c>
      <c r="P935" t="n">
        <v>0</v>
      </c>
      <c r="Q935" t="n">
        <v>0</v>
      </c>
      <c r="R935" s="2" t="inlineStr"/>
    </row>
    <row r="936" ht="15" customHeight="1">
      <c r="A936" t="inlineStr">
        <is>
          <t>A 35541-2025</t>
        </is>
      </c>
      <c r="B936" s="1" t="n">
        <v>45856.46931712963</v>
      </c>
      <c r="C936" s="1" t="n">
        <v>46092</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35658-2025</t>
        </is>
      </c>
      <c r="B937" s="1" t="n">
        <v>45859.594375</v>
      </c>
      <c r="C937" s="1" t="n">
        <v>46092</v>
      </c>
      <c r="D937" t="inlineStr">
        <is>
          <t>JÄMTLANDS LÄN</t>
        </is>
      </c>
      <c r="E937" t="inlineStr">
        <is>
          <t>RAGUNDA</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4629-2026</t>
        </is>
      </c>
      <c r="B938" s="1" t="n">
        <v>46048.38622685185</v>
      </c>
      <c r="C938" s="1" t="n">
        <v>46092</v>
      </c>
      <c r="D938" t="inlineStr">
        <is>
          <t>JÄMTLANDS LÄN</t>
        </is>
      </c>
      <c r="E938" t="inlineStr">
        <is>
          <t>RAGUNDA</t>
        </is>
      </c>
      <c r="G938" t="n">
        <v>1</v>
      </c>
      <c r="H938" t="n">
        <v>0</v>
      </c>
      <c r="I938" t="n">
        <v>0</v>
      </c>
      <c r="J938" t="n">
        <v>0</v>
      </c>
      <c r="K938" t="n">
        <v>0</v>
      </c>
      <c r="L938" t="n">
        <v>0</v>
      </c>
      <c r="M938" t="n">
        <v>0</v>
      </c>
      <c r="N938" t="n">
        <v>0</v>
      </c>
      <c r="O938" t="n">
        <v>0</v>
      </c>
      <c r="P938" t="n">
        <v>0</v>
      </c>
      <c r="Q938" t="n">
        <v>0</v>
      </c>
      <c r="R938" s="2" t="inlineStr"/>
    </row>
    <row r="939" ht="15" customHeight="1">
      <c r="A939" t="inlineStr">
        <is>
          <t>A 35689-2025</t>
        </is>
      </c>
      <c r="B939" s="1" t="n">
        <v>45860.30229166667</v>
      </c>
      <c r="C939" s="1" t="n">
        <v>46092</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5073-2026</t>
        </is>
      </c>
      <c r="B940" s="1" t="n">
        <v>46049.51126157407</v>
      </c>
      <c r="C940" s="1" t="n">
        <v>46092</v>
      </c>
      <c r="D940" t="inlineStr">
        <is>
          <t>JÄMTLANDS LÄN</t>
        </is>
      </c>
      <c r="E940" t="inlineStr">
        <is>
          <t>RAGUNDA</t>
        </is>
      </c>
      <c r="G940" t="n">
        <v>5.9</v>
      </c>
      <c r="H940" t="n">
        <v>0</v>
      </c>
      <c r="I940" t="n">
        <v>0</v>
      </c>
      <c r="J940" t="n">
        <v>0</v>
      </c>
      <c r="K940" t="n">
        <v>0</v>
      </c>
      <c r="L940" t="n">
        <v>0</v>
      </c>
      <c r="M940" t="n">
        <v>0</v>
      </c>
      <c r="N940" t="n">
        <v>0</v>
      </c>
      <c r="O940" t="n">
        <v>0</v>
      </c>
      <c r="P940" t="n">
        <v>0</v>
      </c>
      <c r="Q940" t="n">
        <v>0</v>
      </c>
      <c r="R940" s="2" t="inlineStr"/>
    </row>
    <row r="941" ht="15" customHeight="1">
      <c r="A941" t="inlineStr">
        <is>
          <t>A 54092-2024</t>
        </is>
      </c>
      <c r="B941" s="1" t="n">
        <v>45616.5108912037</v>
      </c>
      <c r="C941" s="1" t="n">
        <v>46092</v>
      </c>
      <c r="D941" t="inlineStr">
        <is>
          <t>JÄMTLANDS LÄN</t>
        </is>
      </c>
      <c r="E941" t="inlineStr">
        <is>
          <t>RAGUNDA</t>
        </is>
      </c>
      <c r="F941" t="inlineStr">
        <is>
          <t>Naturvårdsverket</t>
        </is>
      </c>
      <c r="G941" t="n">
        <v>1.3</v>
      </c>
      <c r="H941" t="n">
        <v>0</v>
      </c>
      <c r="I941" t="n">
        <v>0</v>
      </c>
      <c r="J941" t="n">
        <v>0</v>
      </c>
      <c r="K941" t="n">
        <v>0</v>
      </c>
      <c r="L941" t="n">
        <v>0</v>
      </c>
      <c r="M941" t="n">
        <v>0</v>
      </c>
      <c r="N941" t="n">
        <v>0</v>
      </c>
      <c r="O941" t="n">
        <v>0</v>
      </c>
      <c r="P941" t="n">
        <v>0</v>
      </c>
      <c r="Q941" t="n">
        <v>0</v>
      </c>
      <c r="R941" s="2" t="inlineStr"/>
    </row>
    <row r="942" ht="15" customHeight="1">
      <c r="A942" t="inlineStr">
        <is>
          <t>A 69153-2021</t>
        </is>
      </c>
      <c r="B942" s="1" t="n">
        <v>44530.94694444445</v>
      </c>
      <c r="C942" s="1" t="n">
        <v>46092</v>
      </c>
      <c r="D942" t="inlineStr">
        <is>
          <t>JÄMTLANDS LÄN</t>
        </is>
      </c>
      <c r="E942" t="inlineStr">
        <is>
          <t>RAGUNDA</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5009-2026</t>
        </is>
      </c>
      <c r="B943" s="1" t="n">
        <v>46049.42839120371</v>
      </c>
      <c r="C943" s="1" t="n">
        <v>46092</v>
      </c>
      <c r="D943" t="inlineStr">
        <is>
          <t>JÄMTLANDS LÄN</t>
        </is>
      </c>
      <c r="E943" t="inlineStr">
        <is>
          <t>RAGUNDA</t>
        </is>
      </c>
      <c r="F943" t="inlineStr">
        <is>
          <t>SCA</t>
        </is>
      </c>
      <c r="G943" t="n">
        <v>37.4</v>
      </c>
      <c r="H943" t="n">
        <v>0</v>
      </c>
      <c r="I943" t="n">
        <v>0</v>
      </c>
      <c r="J943" t="n">
        <v>0</v>
      </c>
      <c r="K943" t="n">
        <v>0</v>
      </c>
      <c r="L943" t="n">
        <v>0</v>
      </c>
      <c r="M943" t="n">
        <v>0</v>
      </c>
      <c r="N943" t="n">
        <v>0</v>
      </c>
      <c r="O943" t="n">
        <v>0</v>
      </c>
      <c r="P943" t="n">
        <v>0</v>
      </c>
      <c r="Q943" t="n">
        <v>0</v>
      </c>
      <c r="R943" s="2" t="inlineStr"/>
    </row>
    <row r="944" ht="15" customHeight="1">
      <c r="A944" t="inlineStr">
        <is>
          <t>A 12585-2024</t>
        </is>
      </c>
      <c r="B944" s="1" t="n">
        <v>45379.93637731481</v>
      </c>
      <c r="C944" s="1" t="n">
        <v>46092</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55489-2024</t>
        </is>
      </c>
      <c r="B945" s="1" t="n">
        <v>45622.44774305556</v>
      </c>
      <c r="C945" s="1" t="n">
        <v>46092</v>
      </c>
      <c r="D945" t="inlineStr">
        <is>
          <t>JÄMTLANDS LÄN</t>
        </is>
      </c>
      <c r="E945" t="inlineStr">
        <is>
          <t>RAGUNDA</t>
        </is>
      </c>
      <c r="G945" t="n">
        <v>1.6</v>
      </c>
      <c r="H945" t="n">
        <v>0</v>
      </c>
      <c r="I945" t="n">
        <v>0</v>
      </c>
      <c r="J945" t="n">
        <v>0</v>
      </c>
      <c r="K945" t="n">
        <v>0</v>
      </c>
      <c r="L945" t="n">
        <v>0</v>
      </c>
      <c r="M945" t="n">
        <v>0</v>
      </c>
      <c r="N945" t="n">
        <v>0</v>
      </c>
      <c r="O945" t="n">
        <v>0</v>
      </c>
      <c r="P945" t="n">
        <v>0</v>
      </c>
      <c r="Q945" t="n">
        <v>0</v>
      </c>
      <c r="R945" s="2" t="inlineStr"/>
    </row>
    <row r="946" ht="15" customHeight="1">
      <c r="A946" t="inlineStr">
        <is>
          <t>A 18631-2024</t>
        </is>
      </c>
      <c r="B946" s="1" t="n">
        <v>45425.96494212963</v>
      </c>
      <c r="C946" s="1" t="n">
        <v>46092</v>
      </c>
      <c r="D946" t="inlineStr">
        <is>
          <t>JÄMTLANDS LÄN</t>
        </is>
      </c>
      <c r="E946" t="inlineStr">
        <is>
          <t>RAGUNDA</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26646-2023</t>
        </is>
      </c>
      <c r="B947" s="1" t="n">
        <v>45092</v>
      </c>
      <c r="C947" s="1" t="n">
        <v>46092</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43405-2023</t>
        </is>
      </c>
      <c r="B948" s="1" t="n">
        <v>45183.95563657407</v>
      </c>
      <c r="C948" s="1" t="n">
        <v>46092</v>
      </c>
      <c r="D948" t="inlineStr">
        <is>
          <t>JÄMTLANDS LÄN</t>
        </is>
      </c>
      <c r="E948" t="inlineStr">
        <is>
          <t>RAGUNDA</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59496-2024</t>
        </is>
      </c>
      <c r="B949" s="1" t="n">
        <v>45638</v>
      </c>
      <c r="C949" s="1" t="n">
        <v>46092</v>
      </c>
      <c r="D949" t="inlineStr">
        <is>
          <t>JÄMTLANDS LÄN</t>
        </is>
      </c>
      <c r="E949" t="inlineStr">
        <is>
          <t>RAGUNDA</t>
        </is>
      </c>
      <c r="G949" t="n">
        <v>13.1</v>
      </c>
      <c r="H949" t="n">
        <v>0</v>
      </c>
      <c r="I949" t="n">
        <v>0</v>
      </c>
      <c r="J949" t="n">
        <v>0</v>
      </c>
      <c r="K949" t="n">
        <v>0</v>
      </c>
      <c r="L949" t="n">
        <v>0</v>
      </c>
      <c r="M949" t="n">
        <v>0</v>
      </c>
      <c r="N949" t="n">
        <v>0</v>
      </c>
      <c r="O949" t="n">
        <v>0</v>
      </c>
      <c r="P949" t="n">
        <v>0</v>
      </c>
      <c r="Q949" t="n">
        <v>0</v>
      </c>
      <c r="R949" s="2" t="inlineStr"/>
    </row>
    <row r="950" ht="15" customHeight="1">
      <c r="A950" t="inlineStr">
        <is>
          <t>A 12499-2026</t>
        </is>
      </c>
      <c r="B950" s="1" t="n">
        <v>46090.57364583333</v>
      </c>
      <c r="C950" s="1" t="n">
        <v>46092</v>
      </c>
      <c r="D950" t="inlineStr">
        <is>
          <t>JÄMTLANDS LÄN</t>
        </is>
      </c>
      <c r="E950" t="inlineStr">
        <is>
          <t>RAGUNDA</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36541-2025</t>
        </is>
      </c>
      <c r="B951" s="1" t="n">
        <v>45869.65666666667</v>
      </c>
      <c r="C951" s="1" t="n">
        <v>46092</v>
      </c>
      <c r="D951" t="inlineStr">
        <is>
          <t>JÄMTLANDS LÄN</t>
        </is>
      </c>
      <c r="E951" t="inlineStr">
        <is>
          <t>RAGUNDA</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36544-2025</t>
        </is>
      </c>
      <c r="B952" s="1" t="n">
        <v>45869.67744212963</v>
      </c>
      <c r="C952" s="1" t="n">
        <v>46092</v>
      </c>
      <c r="D952" t="inlineStr">
        <is>
          <t>JÄMTLANDS LÄN</t>
        </is>
      </c>
      <c r="E952" t="inlineStr">
        <is>
          <t>RAGUNDA</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4839-2026</t>
        </is>
      </c>
      <c r="B953" s="1" t="n">
        <v>46048.61520833334</v>
      </c>
      <c r="C953" s="1" t="n">
        <v>46092</v>
      </c>
      <c r="D953" t="inlineStr">
        <is>
          <t>JÄMTLANDS LÄN</t>
        </is>
      </c>
      <c r="E953" t="inlineStr">
        <is>
          <t>RAGUNDA</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4841-2026</t>
        </is>
      </c>
      <c r="B954" s="1" t="n">
        <v>46048.61550925926</v>
      </c>
      <c r="C954" s="1" t="n">
        <v>46092</v>
      </c>
      <c r="D954" t="inlineStr">
        <is>
          <t>JÄMTLANDS LÄN</t>
        </is>
      </c>
      <c r="E954" t="inlineStr">
        <is>
          <t>RAGUNDA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62106-2023</t>
        </is>
      </c>
      <c r="B955" s="1" t="n">
        <v>45266.95082175926</v>
      </c>
      <c r="C955" s="1" t="n">
        <v>46092</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18781-2024</t>
        </is>
      </c>
      <c r="B956" s="1" t="n">
        <v>45426</v>
      </c>
      <c r="C956" s="1" t="n">
        <v>46092</v>
      </c>
      <c r="D956" t="inlineStr">
        <is>
          <t>JÄMTLANDS LÄN</t>
        </is>
      </c>
      <c r="E956" t="inlineStr">
        <is>
          <t>RAGUNDA</t>
        </is>
      </c>
      <c r="G956" t="n">
        <v>0.9</v>
      </c>
      <c r="H956" t="n">
        <v>0</v>
      </c>
      <c r="I956" t="n">
        <v>0</v>
      </c>
      <c r="J956" t="n">
        <v>0</v>
      </c>
      <c r="K956" t="n">
        <v>0</v>
      </c>
      <c r="L956" t="n">
        <v>0</v>
      </c>
      <c r="M956" t="n">
        <v>0</v>
      </c>
      <c r="N956" t="n">
        <v>0</v>
      </c>
      <c r="O956" t="n">
        <v>0</v>
      </c>
      <c r="P956" t="n">
        <v>0</v>
      </c>
      <c r="Q956" t="n">
        <v>0</v>
      </c>
      <c r="R956" s="2" t="inlineStr"/>
    </row>
    <row r="957" ht="15" customHeight="1">
      <c r="A957" t="inlineStr">
        <is>
          <t>A 36553-2025</t>
        </is>
      </c>
      <c r="B957" s="1" t="n">
        <v>45870.34439814815</v>
      </c>
      <c r="C957" s="1" t="n">
        <v>46092</v>
      </c>
      <c r="D957" t="inlineStr">
        <is>
          <t>JÄMTLANDS LÄN</t>
        </is>
      </c>
      <c r="E957" t="inlineStr">
        <is>
          <t>RAGUNDA</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62081-2022</t>
        </is>
      </c>
      <c r="B958" s="1" t="n">
        <v>44918</v>
      </c>
      <c r="C958" s="1" t="n">
        <v>46092</v>
      </c>
      <c r="D958" t="inlineStr">
        <is>
          <t>JÄMTLANDS LÄN</t>
        </is>
      </c>
      <c r="E958" t="inlineStr">
        <is>
          <t>RAGUNDA</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30826-2023</t>
        </is>
      </c>
      <c r="B959" s="1" t="n">
        <v>45112</v>
      </c>
      <c r="C959" s="1" t="n">
        <v>46092</v>
      </c>
      <c r="D959" t="inlineStr">
        <is>
          <t>JÄMTLANDS LÄN</t>
        </is>
      </c>
      <c r="E959" t="inlineStr">
        <is>
          <t>RAGUNDA</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53263-2024</t>
        </is>
      </c>
      <c r="B960" s="1" t="n">
        <v>45614.34541666666</v>
      </c>
      <c r="C960" s="1" t="n">
        <v>46092</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26645-2024</t>
        </is>
      </c>
      <c r="B961" s="1" t="n">
        <v>45469.94667824074</v>
      </c>
      <c r="C961" s="1" t="n">
        <v>46092</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893-2025</t>
        </is>
      </c>
      <c r="B962" s="1" t="n">
        <v>45665.65684027778</v>
      </c>
      <c r="C962" s="1" t="n">
        <v>46092</v>
      </c>
      <c r="D962" t="inlineStr">
        <is>
          <t>JÄMTLANDS LÄN</t>
        </is>
      </c>
      <c r="E962" t="inlineStr">
        <is>
          <t>RAGUNDA</t>
        </is>
      </c>
      <c r="F962" t="inlineStr">
        <is>
          <t>SCA</t>
        </is>
      </c>
      <c r="G962" t="n">
        <v>45.1</v>
      </c>
      <c r="H962" t="n">
        <v>0</v>
      </c>
      <c r="I962" t="n">
        <v>0</v>
      </c>
      <c r="J962" t="n">
        <v>0</v>
      </c>
      <c r="K962" t="n">
        <v>0</v>
      </c>
      <c r="L962" t="n">
        <v>0</v>
      </c>
      <c r="M962" t="n">
        <v>0</v>
      </c>
      <c r="N962" t="n">
        <v>0</v>
      </c>
      <c r="O962" t="n">
        <v>0</v>
      </c>
      <c r="P962" t="n">
        <v>0</v>
      </c>
      <c r="Q962" t="n">
        <v>0</v>
      </c>
      <c r="R962" s="2" t="inlineStr"/>
    </row>
    <row r="963" ht="15" customHeight="1">
      <c r="A963" t="inlineStr">
        <is>
          <t>A 31135-2023</t>
        </is>
      </c>
      <c r="B963" s="1" t="n">
        <v>45103</v>
      </c>
      <c r="C963" s="1" t="n">
        <v>46092</v>
      </c>
      <c r="D963" t="inlineStr">
        <is>
          <t>JÄMTLANDS LÄN</t>
        </is>
      </c>
      <c r="E963" t="inlineStr">
        <is>
          <t>RAGUNDA</t>
        </is>
      </c>
      <c r="G963" t="n">
        <v>0.9</v>
      </c>
      <c r="H963" t="n">
        <v>0</v>
      </c>
      <c r="I963" t="n">
        <v>0</v>
      </c>
      <c r="J963" t="n">
        <v>0</v>
      </c>
      <c r="K963" t="n">
        <v>0</v>
      </c>
      <c r="L963" t="n">
        <v>0</v>
      </c>
      <c r="M963" t="n">
        <v>0</v>
      </c>
      <c r="N963" t="n">
        <v>0</v>
      </c>
      <c r="O963" t="n">
        <v>0</v>
      </c>
      <c r="P963" t="n">
        <v>0</v>
      </c>
      <c r="Q963" t="n">
        <v>0</v>
      </c>
      <c r="R963" s="2" t="inlineStr"/>
    </row>
    <row r="964" ht="15" customHeight="1">
      <c r="A964" t="inlineStr">
        <is>
          <t>A 32075-2025</t>
        </is>
      </c>
      <c r="B964" s="1" t="n">
        <v>45835.4506712963</v>
      </c>
      <c r="C964" s="1" t="n">
        <v>46092</v>
      </c>
      <c r="D964" t="inlineStr">
        <is>
          <t>JÄMTLANDS LÄN</t>
        </is>
      </c>
      <c r="E964" t="inlineStr">
        <is>
          <t>RAGUNDA</t>
        </is>
      </c>
      <c r="G964" t="n">
        <v>1.1</v>
      </c>
      <c r="H964" t="n">
        <v>0</v>
      </c>
      <c r="I964" t="n">
        <v>0</v>
      </c>
      <c r="J964" t="n">
        <v>0</v>
      </c>
      <c r="K964" t="n">
        <v>0</v>
      </c>
      <c r="L964" t="n">
        <v>0</v>
      </c>
      <c r="M964" t="n">
        <v>0</v>
      </c>
      <c r="N964" t="n">
        <v>0</v>
      </c>
      <c r="O964" t="n">
        <v>0</v>
      </c>
      <c r="P964" t="n">
        <v>0</v>
      </c>
      <c r="Q964" t="n">
        <v>0</v>
      </c>
      <c r="R964" s="2" t="inlineStr"/>
    </row>
    <row r="965" ht="15" customHeight="1">
      <c r="A965" t="inlineStr">
        <is>
          <t>A 32874-2025</t>
        </is>
      </c>
      <c r="B965" s="1" t="n">
        <v>45839</v>
      </c>
      <c r="C965" s="1" t="n">
        <v>46092</v>
      </c>
      <c r="D965" t="inlineStr">
        <is>
          <t>JÄMTLANDS LÄN</t>
        </is>
      </c>
      <c r="E965" t="inlineStr">
        <is>
          <t>RAGUNDA</t>
        </is>
      </c>
      <c r="G965" t="n">
        <v>2.3</v>
      </c>
      <c r="H965" t="n">
        <v>0</v>
      </c>
      <c r="I965" t="n">
        <v>0</v>
      </c>
      <c r="J965" t="n">
        <v>0</v>
      </c>
      <c r="K965" t="n">
        <v>0</v>
      </c>
      <c r="L965" t="n">
        <v>0</v>
      </c>
      <c r="M965" t="n">
        <v>0</v>
      </c>
      <c r="N965" t="n">
        <v>0</v>
      </c>
      <c r="O965" t="n">
        <v>0</v>
      </c>
      <c r="P965" t="n">
        <v>0</v>
      </c>
      <c r="Q965" t="n">
        <v>0</v>
      </c>
      <c r="R965" s="2" t="inlineStr"/>
    </row>
    <row r="966" ht="15" customHeight="1">
      <c r="A966" t="inlineStr">
        <is>
          <t>A 36994-2025</t>
        </is>
      </c>
      <c r="B966" s="1" t="n">
        <v>45874.67746527777</v>
      </c>
      <c r="C966" s="1" t="n">
        <v>46092</v>
      </c>
      <c r="D966" t="inlineStr">
        <is>
          <t>JÄMTLANDS LÄN</t>
        </is>
      </c>
      <c r="E966" t="inlineStr">
        <is>
          <t>RAGUNDA</t>
        </is>
      </c>
      <c r="F966" t="inlineStr">
        <is>
          <t>SCA</t>
        </is>
      </c>
      <c r="G966" t="n">
        <v>7.2</v>
      </c>
      <c r="H966" t="n">
        <v>0</v>
      </c>
      <c r="I966" t="n">
        <v>0</v>
      </c>
      <c r="J966" t="n">
        <v>0</v>
      </c>
      <c r="K966" t="n">
        <v>0</v>
      </c>
      <c r="L966" t="n">
        <v>0</v>
      </c>
      <c r="M966" t="n">
        <v>0</v>
      </c>
      <c r="N966" t="n">
        <v>0</v>
      </c>
      <c r="O966" t="n">
        <v>0</v>
      </c>
      <c r="P966" t="n">
        <v>0</v>
      </c>
      <c r="Q966" t="n">
        <v>0</v>
      </c>
      <c r="R966" s="2" t="inlineStr"/>
    </row>
    <row r="967" ht="15" customHeight="1">
      <c r="A967" t="inlineStr">
        <is>
          <t>A 43132-2023</t>
        </is>
      </c>
      <c r="B967" s="1" t="n">
        <v>45182</v>
      </c>
      <c r="C967" s="1" t="n">
        <v>46092</v>
      </c>
      <c r="D967" t="inlineStr">
        <is>
          <t>JÄMTLANDS LÄN</t>
        </is>
      </c>
      <c r="E967" t="inlineStr">
        <is>
          <t>RAGUNDA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37008-2025</t>
        </is>
      </c>
      <c r="B968" s="1" t="n">
        <v>45874.69844907407</v>
      </c>
      <c r="C968" s="1" t="n">
        <v>46092</v>
      </c>
      <c r="D968" t="inlineStr">
        <is>
          <t>JÄMTLANDS LÄN</t>
        </is>
      </c>
      <c r="E968" t="inlineStr">
        <is>
          <t>RAGUNDA</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36947-2025</t>
        </is>
      </c>
      <c r="B969" s="1" t="n">
        <v>45874.59496527778</v>
      </c>
      <c r="C969" s="1" t="n">
        <v>46092</v>
      </c>
      <c r="D969" t="inlineStr">
        <is>
          <t>JÄMTLANDS LÄN</t>
        </is>
      </c>
      <c r="E969" t="inlineStr">
        <is>
          <t>RAGUNDA</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56284-2023</t>
        </is>
      </c>
      <c r="B970" s="1" t="n">
        <v>45241.95724537037</v>
      </c>
      <c r="C970" s="1" t="n">
        <v>46092</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37292-2025</t>
        </is>
      </c>
      <c r="B971" s="1" t="n">
        <v>45876.53188657408</v>
      </c>
      <c r="C971" s="1" t="n">
        <v>46092</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61045-2022</t>
        </is>
      </c>
      <c r="B972" s="1" t="n">
        <v>44914</v>
      </c>
      <c r="C972" s="1" t="n">
        <v>46092</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61197-2023</t>
        </is>
      </c>
      <c r="B973" s="1" t="n">
        <v>45260</v>
      </c>
      <c r="C973" s="1" t="n">
        <v>46092</v>
      </c>
      <c r="D973" t="inlineStr">
        <is>
          <t>JÄMTLANDS LÄN</t>
        </is>
      </c>
      <c r="E973" t="inlineStr">
        <is>
          <t>RAGUNDA</t>
        </is>
      </c>
      <c r="G973" t="n">
        <v>2.5</v>
      </c>
      <c r="H973" t="n">
        <v>0</v>
      </c>
      <c r="I973" t="n">
        <v>0</v>
      </c>
      <c r="J973" t="n">
        <v>0</v>
      </c>
      <c r="K973" t="n">
        <v>0</v>
      </c>
      <c r="L973" t="n">
        <v>0</v>
      </c>
      <c r="M973" t="n">
        <v>0</v>
      </c>
      <c r="N973" t="n">
        <v>0</v>
      </c>
      <c r="O973" t="n">
        <v>0</v>
      </c>
      <c r="P973" t="n">
        <v>0</v>
      </c>
      <c r="Q973" t="n">
        <v>0</v>
      </c>
      <c r="R973" s="2" t="inlineStr"/>
    </row>
    <row r="974" ht="15" customHeight="1">
      <c r="A974" t="inlineStr">
        <is>
          <t>A 13263-2025</t>
        </is>
      </c>
      <c r="B974" s="1" t="n">
        <v>45735.53177083333</v>
      </c>
      <c r="C974" s="1" t="n">
        <v>46092</v>
      </c>
      <c r="D974" t="inlineStr">
        <is>
          <t>JÄMTLANDS LÄN</t>
        </is>
      </c>
      <c r="E974" t="inlineStr">
        <is>
          <t>RAGUNDA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48066-2022</t>
        </is>
      </c>
      <c r="B975" s="1" t="n">
        <v>44855</v>
      </c>
      <c r="C975" s="1" t="n">
        <v>46092</v>
      </c>
      <c r="D975" t="inlineStr">
        <is>
          <t>JÄMTLANDS LÄN</t>
        </is>
      </c>
      <c r="E975" t="inlineStr">
        <is>
          <t>RAGUNDA</t>
        </is>
      </c>
      <c r="F975" t="inlineStr">
        <is>
          <t>SCA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64415-2023</t>
        </is>
      </c>
      <c r="B976" s="1" t="n">
        <v>45280</v>
      </c>
      <c r="C976" s="1" t="n">
        <v>46092</v>
      </c>
      <c r="D976" t="inlineStr">
        <is>
          <t>JÄMTLANDS LÄN</t>
        </is>
      </c>
      <c r="E976" t="inlineStr">
        <is>
          <t>RAGUNDA</t>
        </is>
      </c>
      <c r="G976" t="n">
        <v>5.1</v>
      </c>
      <c r="H976" t="n">
        <v>0</v>
      </c>
      <c r="I976" t="n">
        <v>0</v>
      </c>
      <c r="J976" t="n">
        <v>0</v>
      </c>
      <c r="K976" t="n">
        <v>0</v>
      </c>
      <c r="L976" t="n">
        <v>0</v>
      </c>
      <c r="M976" t="n">
        <v>0</v>
      </c>
      <c r="N976" t="n">
        <v>0</v>
      </c>
      <c r="O976" t="n">
        <v>0</v>
      </c>
      <c r="P976" t="n">
        <v>0</v>
      </c>
      <c r="Q976" t="n">
        <v>0</v>
      </c>
      <c r="R976" s="2" t="inlineStr"/>
    </row>
    <row r="977" ht="15" customHeight="1">
      <c r="A977" t="inlineStr">
        <is>
          <t>A 60225-2022</t>
        </is>
      </c>
      <c r="B977" s="1" t="n">
        <v>44903</v>
      </c>
      <c r="C977" s="1" t="n">
        <v>46092</v>
      </c>
      <c r="D977" t="inlineStr">
        <is>
          <t>JÄMTLANDS LÄN</t>
        </is>
      </c>
      <c r="E977" t="inlineStr">
        <is>
          <t>RAGUNDA</t>
        </is>
      </c>
      <c r="G977" t="n">
        <v>1</v>
      </c>
      <c r="H977" t="n">
        <v>0</v>
      </c>
      <c r="I977" t="n">
        <v>0</v>
      </c>
      <c r="J977" t="n">
        <v>0</v>
      </c>
      <c r="K977" t="n">
        <v>0</v>
      </c>
      <c r="L977" t="n">
        <v>0</v>
      </c>
      <c r="M977" t="n">
        <v>0</v>
      </c>
      <c r="N977" t="n">
        <v>0</v>
      </c>
      <c r="O977" t="n">
        <v>0</v>
      </c>
      <c r="P977" t="n">
        <v>0</v>
      </c>
      <c r="Q977" t="n">
        <v>0</v>
      </c>
      <c r="R977" s="2" t="inlineStr"/>
    </row>
    <row r="978" ht="15" customHeight="1">
      <c r="A978" t="inlineStr">
        <is>
          <t>A 15864-2024</t>
        </is>
      </c>
      <c r="B978" s="1" t="n">
        <v>45404.99792824074</v>
      </c>
      <c r="C978" s="1" t="n">
        <v>46092</v>
      </c>
      <c r="D978" t="inlineStr">
        <is>
          <t>JÄMTLANDS LÄN</t>
        </is>
      </c>
      <c r="E978" t="inlineStr">
        <is>
          <t>RAGUNDA</t>
        </is>
      </c>
      <c r="F978" t="inlineStr">
        <is>
          <t>SCA</t>
        </is>
      </c>
      <c r="G978" t="n">
        <v>1.1</v>
      </c>
      <c r="H978" t="n">
        <v>0</v>
      </c>
      <c r="I978" t="n">
        <v>0</v>
      </c>
      <c r="J978" t="n">
        <v>0</v>
      </c>
      <c r="K978" t="n">
        <v>0</v>
      </c>
      <c r="L978" t="n">
        <v>0</v>
      </c>
      <c r="M978" t="n">
        <v>0</v>
      </c>
      <c r="N978" t="n">
        <v>0</v>
      </c>
      <c r="O978" t="n">
        <v>0</v>
      </c>
      <c r="P978" t="n">
        <v>0</v>
      </c>
      <c r="Q978" t="n">
        <v>0</v>
      </c>
      <c r="R978" s="2" t="inlineStr"/>
      <c r="U978">
        <f>HYPERLINK("https://klasma.github.io/Logging_2303/knärot/A 15864-2024 karta knärot.png", "A 15864-2024")</f>
        <v/>
      </c>
      <c r="V978">
        <f>HYPERLINK("https://klasma.github.io/Logging_2303/klagomål/A 15864-2024 FSC-klagomål.docx", "A 15864-2024")</f>
        <v/>
      </c>
      <c r="W978">
        <f>HYPERLINK("https://klasma.github.io/Logging_2303/klagomålsmail/A 15864-2024 FSC-klagomål mail.docx", "A 15864-2024")</f>
        <v/>
      </c>
      <c r="X978">
        <f>HYPERLINK("https://klasma.github.io/Logging_2303/tillsyn/A 15864-2024 tillsynsbegäran.docx", "A 15864-2024")</f>
        <v/>
      </c>
      <c r="Y978">
        <f>HYPERLINK("https://klasma.github.io/Logging_2303/tillsynsmail/A 15864-2024 tillsynsbegäran mail.docx", "A 15864-2024")</f>
        <v/>
      </c>
    </row>
    <row r="979" ht="15" customHeight="1">
      <c r="A979" t="inlineStr">
        <is>
          <t>A 57749-2024</t>
        </is>
      </c>
      <c r="B979" s="1" t="n">
        <v>45630.7862037037</v>
      </c>
      <c r="C979" s="1" t="n">
        <v>46092</v>
      </c>
      <c r="D979" t="inlineStr">
        <is>
          <t>JÄMTLANDS LÄN</t>
        </is>
      </c>
      <c r="E979" t="inlineStr">
        <is>
          <t>RAGUNDA</t>
        </is>
      </c>
      <c r="G979" t="n">
        <v>1.3</v>
      </c>
      <c r="H979" t="n">
        <v>0</v>
      </c>
      <c r="I979" t="n">
        <v>0</v>
      </c>
      <c r="J979" t="n">
        <v>0</v>
      </c>
      <c r="K979" t="n">
        <v>0</v>
      </c>
      <c r="L979" t="n">
        <v>0</v>
      </c>
      <c r="M979" t="n">
        <v>0</v>
      </c>
      <c r="N979" t="n">
        <v>0</v>
      </c>
      <c r="O979" t="n">
        <v>0</v>
      </c>
      <c r="P979" t="n">
        <v>0</v>
      </c>
      <c r="Q979" t="n">
        <v>0</v>
      </c>
      <c r="R979" s="2" t="inlineStr"/>
    </row>
    <row r="980" ht="15" customHeight="1">
      <c r="A980" t="inlineStr">
        <is>
          <t>A 24280-2021</t>
        </is>
      </c>
      <c r="B980" s="1" t="n">
        <v>44336</v>
      </c>
      <c r="C980" s="1" t="n">
        <v>46092</v>
      </c>
      <c r="D980" t="inlineStr">
        <is>
          <t>JÄMTLANDS LÄN</t>
        </is>
      </c>
      <c r="E980" t="inlineStr">
        <is>
          <t>RAGUNDA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8886-2024</t>
        </is>
      </c>
      <c r="B981" s="1" t="n">
        <v>45357.05300925926</v>
      </c>
      <c r="C981" s="1" t="n">
        <v>46092</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28596-2021</t>
        </is>
      </c>
      <c r="B982" s="1" t="n">
        <v>44356</v>
      </c>
      <c r="C982" s="1" t="n">
        <v>46092</v>
      </c>
      <c r="D982" t="inlineStr">
        <is>
          <t>JÄMTLANDS LÄN</t>
        </is>
      </c>
      <c r="E982" t="inlineStr">
        <is>
          <t>RAGUNDA</t>
        </is>
      </c>
      <c r="G982" t="n">
        <v>5.4</v>
      </c>
      <c r="H982" t="n">
        <v>0</v>
      </c>
      <c r="I982" t="n">
        <v>0</v>
      </c>
      <c r="J982" t="n">
        <v>0</v>
      </c>
      <c r="K982" t="n">
        <v>0</v>
      </c>
      <c r="L982" t="n">
        <v>0</v>
      </c>
      <c r="M982" t="n">
        <v>0</v>
      </c>
      <c r="N982" t="n">
        <v>0</v>
      </c>
      <c r="O982" t="n">
        <v>0</v>
      </c>
      <c r="P982" t="n">
        <v>0</v>
      </c>
      <c r="Q982" t="n">
        <v>0</v>
      </c>
      <c r="R982" s="2" t="inlineStr"/>
    </row>
    <row r="983" ht="15" customHeight="1">
      <c r="A983" t="inlineStr">
        <is>
          <t>A 11058-2025</t>
        </is>
      </c>
      <c r="B983" s="1" t="n">
        <v>45723.51079861111</v>
      </c>
      <c r="C983" s="1" t="n">
        <v>46092</v>
      </c>
      <c r="D983" t="inlineStr">
        <is>
          <t>JÄMTLANDS LÄN</t>
        </is>
      </c>
      <c r="E983" t="inlineStr">
        <is>
          <t>RAGUNDA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38664-2022</t>
        </is>
      </c>
      <c r="B984" s="1" t="n">
        <v>44813</v>
      </c>
      <c r="C984" s="1" t="n">
        <v>46092</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9504-2025</t>
        </is>
      </c>
      <c r="B985" s="1" t="n">
        <v>45714</v>
      </c>
      <c r="C985" s="1" t="n">
        <v>46092</v>
      </c>
      <c r="D985" t="inlineStr">
        <is>
          <t>JÄMTLANDS LÄN</t>
        </is>
      </c>
      <c r="E985" t="inlineStr">
        <is>
          <t>RAGUNDA</t>
        </is>
      </c>
      <c r="G985" t="n">
        <v>6</v>
      </c>
      <c r="H985" t="n">
        <v>0</v>
      </c>
      <c r="I985" t="n">
        <v>0</v>
      </c>
      <c r="J985" t="n">
        <v>0</v>
      </c>
      <c r="K985" t="n">
        <v>0</v>
      </c>
      <c r="L985" t="n">
        <v>0</v>
      </c>
      <c r="M985" t="n">
        <v>0</v>
      </c>
      <c r="N985" t="n">
        <v>0</v>
      </c>
      <c r="O985" t="n">
        <v>0</v>
      </c>
      <c r="P985" t="n">
        <v>0</v>
      </c>
      <c r="Q985" t="n">
        <v>0</v>
      </c>
      <c r="R985" s="2" t="inlineStr"/>
    </row>
    <row r="986" ht="15" customHeight="1">
      <c r="A986" t="inlineStr">
        <is>
          <t>A 24441-2024</t>
        </is>
      </c>
      <c r="B986" s="1" t="n">
        <v>45457.96372685185</v>
      </c>
      <c r="C986" s="1" t="n">
        <v>46092</v>
      </c>
      <c r="D986" t="inlineStr">
        <is>
          <t>JÄMTLANDS LÄN</t>
        </is>
      </c>
      <c r="E986" t="inlineStr">
        <is>
          <t>RAGUNDA</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40801-2023</t>
        </is>
      </c>
      <c r="B987" s="1" t="n">
        <v>45170</v>
      </c>
      <c r="C987" s="1" t="n">
        <v>46092</v>
      </c>
      <c r="D987" t="inlineStr">
        <is>
          <t>JÄMTLANDS LÄN</t>
        </is>
      </c>
      <c r="E987" t="inlineStr">
        <is>
          <t>RAGUNDA</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48065-2023</t>
        </is>
      </c>
      <c r="B988" s="1" t="n">
        <v>45204.94399305555</v>
      </c>
      <c r="C988" s="1" t="n">
        <v>46092</v>
      </c>
      <c r="D988" t="inlineStr">
        <is>
          <t>JÄMTLANDS LÄN</t>
        </is>
      </c>
      <c r="E988" t="inlineStr">
        <is>
          <t>RAGUNDA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4592-2024</t>
        </is>
      </c>
      <c r="B989" s="1" t="n">
        <v>45327.94443287037</v>
      </c>
      <c r="C989" s="1" t="n">
        <v>46092</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60195-2023</t>
        </is>
      </c>
      <c r="B990" s="1" t="n">
        <v>45257</v>
      </c>
      <c r="C990" s="1" t="n">
        <v>46092</v>
      </c>
      <c r="D990" t="inlineStr">
        <is>
          <t>JÄMTLANDS LÄN</t>
        </is>
      </c>
      <c r="E990" t="inlineStr">
        <is>
          <t>RAGUNDA</t>
        </is>
      </c>
      <c r="G990" t="n">
        <v>1.7</v>
      </c>
      <c r="H990" t="n">
        <v>0</v>
      </c>
      <c r="I990" t="n">
        <v>0</v>
      </c>
      <c r="J990" t="n">
        <v>0</v>
      </c>
      <c r="K990" t="n">
        <v>0</v>
      </c>
      <c r="L990" t="n">
        <v>0</v>
      </c>
      <c r="M990" t="n">
        <v>0</v>
      </c>
      <c r="N990" t="n">
        <v>0</v>
      </c>
      <c r="O990" t="n">
        <v>0</v>
      </c>
      <c r="P990" t="n">
        <v>0</v>
      </c>
      <c r="Q990" t="n">
        <v>0</v>
      </c>
      <c r="R990" s="2" t="inlineStr"/>
    </row>
    <row r="991" ht="15" customHeight="1">
      <c r="A991" t="inlineStr">
        <is>
          <t>A 22981-2023</t>
        </is>
      </c>
      <c r="B991" s="1" t="n">
        <v>45072.92737268518</v>
      </c>
      <c r="C991" s="1" t="n">
        <v>46092</v>
      </c>
      <c r="D991" t="inlineStr">
        <is>
          <t>JÄMTLANDS LÄN</t>
        </is>
      </c>
      <c r="E991" t="inlineStr">
        <is>
          <t>RAGUNDA</t>
        </is>
      </c>
      <c r="G991" t="n">
        <v>3.8</v>
      </c>
      <c r="H991" t="n">
        <v>0</v>
      </c>
      <c r="I991" t="n">
        <v>0</v>
      </c>
      <c r="J991" t="n">
        <v>0</v>
      </c>
      <c r="K991" t="n">
        <v>0</v>
      </c>
      <c r="L991" t="n">
        <v>0</v>
      </c>
      <c r="M991" t="n">
        <v>0</v>
      </c>
      <c r="N991" t="n">
        <v>0</v>
      </c>
      <c r="O991" t="n">
        <v>0</v>
      </c>
      <c r="P991" t="n">
        <v>0</v>
      </c>
      <c r="Q991" t="n">
        <v>0</v>
      </c>
      <c r="R991" s="2" t="inlineStr"/>
    </row>
    <row r="992" ht="15" customHeight="1">
      <c r="A992" t="inlineStr">
        <is>
          <t>A 26942-2021</t>
        </is>
      </c>
      <c r="B992" s="1" t="n">
        <v>44349.91978009259</v>
      </c>
      <c r="C992" s="1" t="n">
        <v>46092</v>
      </c>
      <c r="D992" t="inlineStr">
        <is>
          <t>JÄMTLANDS LÄN</t>
        </is>
      </c>
      <c r="E992" t="inlineStr">
        <is>
          <t>RAGUNDA</t>
        </is>
      </c>
      <c r="G992" t="n">
        <v>6.2</v>
      </c>
      <c r="H992" t="n">
        <v>0</v>
      </c>
      <c r="I992" t="n">
        <v>0</v>
      </c>
      <c r="J992" t="n">
        <v>0</v>
      </c>
      <c r="K992" t="n">
        <v>0</v>
      </c>
      <c r="L992" t="n">
        <v>0</v>
      </c>
      <c r="M992" t="n">
        <v>0</v>
      </c>
      <c r="N992" t="n">
        <v>0</v>
      </c>
      <c r="O992" t="n">
        <v>0</v>
      </c>
      <c r="P992" t="n">
        <v>0</v>
      </c>
      <c r="Q992" t="n">
        <v>0</v>
      </c>
      <c r="R992" s="2" t="inlineStr"/>
    </row>
    <row r="993" ht="15" customHeight="1">
      <c r="A993" t="inlineStr">
        <is>
          <t>A 46546-2023</t>
        </is>
      </c>
      <c r="B993" s="1" t="n">
        <v>45197.94152777778</v>
      </c>
      <c r="C993" s="1" t="n">
        <v>46092</v>
      </c>
      <c r="D993" t="inlineStr">
        <is>
          <t>JÄMTLANDS LÄN</t>
        </is>
      </c>
      <c r="E993" t="inlineStr">
        <is>
          <t>RAGUNDA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19865-2023</t>
        </is>
      </c>
      <c r="B994" s="1" t="n">
        <v>45053.94305555556</v>
      </c>
      <c r="C994" s="1" t="n">
        <v>46092</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564-2025</t>
        </is>
      </c>
      <c r="B995" s="1" t="n">
        <v>45664.55241898148</v>
      </c>
      <c r="C995" s="1" t="n">
        <v>46092</v>
      </c>
      <c r="D995" t="inlineStr">
        <is>
          <t>JÄMTLANDS LÄN</t>
        </is>
      </c>
      <c r="E995" t="inlineStr">
        <is>
          <t>RAGUNDA</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50555-2024</t>
        </is>
      </c>
      <c r="B996" s="1" t="n">
        <v>45601.59518518519</v>
      </c>
      <c r="C996" s="1" t="n">
        <v>46092</v>
      </c>
      <c r="D996" t="inlineStr">
        <is>
          <t>JÄMTLANDS LÄN</t>
        </is>
      </c>
      <c r="E996" t="inlineStr">
        <is>
          <t>RAGUNDA</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59658-2023</t>
        </is>
      </c>
      <c r="B997" s="1" t="n">
        <v>45254.96402777778</v>
      </c>
      <c r="C997" s="1" t="n">
        <v>46092</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49649-2024</t>
        </is>
      </c>
      <c r="B998" s="1" t="n">
        <v>45596.61553240741</v>
      </c>
      <c r="C998" s="1" t="n">
        <v>46092</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2831-2024</t>
        </is>
      </c>
      <c r="B999" s="1" t="n">
        <v>45314.92758101852</v>
      </c>
      <c r="C999" s="1" t="n">
        <v>46092</v>
      </c>
      <c r="D999" t="inlineStr">
        <is>
          <t>JÄMTLANDS LÄN</t>
        </is>
      </c>
      <c r="E999" t="inlineStr">
        <is>
          <t>RAGUNDA</t>
        </is>
      </c>
      <c r="G999" t="n">
        <v>0.6</v>
      </c>
      <c r="H999" t="n">
        <v>0</v>
      </c>
      <c r="I999" t="n">
        <v>0</v>
      </c>
      <c r="J999" t="n">
        <v>0</v>
      </c>
      <c r="K999" t="n">
        <v>0</v>
      </c>
      <c r="L999" t="n">
        <v>0</v>
      </c>
      <c r="M999" t="n">
        <v>0</v>
      </c>
      <c r="N999" t="n">
        <v>0</v>
      </c>
      <c r="O999" t="n">
        <v>0</v>
      </c>
      <c r="P999" t="n">
        <v>0</v>
      </c>
      <c r="Q999" t="n">
        <v>0</v>
      </c>
      <c r="R999" s="2" t="inlineStr"/>
    </row>
    <row r="1000" ht="15" customHeight="1">
      <c r="A1000" t="inlineStr">
        <is>
          <t>A 53740-2024</t>
        </is>
      </c>
      <c r="B1000" s="1" t="n">
        <v>45615.47091435185</v>
      </c>
      <c r="C1000" s="1" t="n">
        <v>46092</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59372-2024</t>
        </is>
      </c>
      <c r="B1001" s="1" t="n">
        <v>45638.34431712963</v>
      </c>
      <c r="C1001" s="1" t="n">
        <v>46092</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12522-2023</t>
        </is>
      </c>
      <c r="B1002" s="1" t="n">
        <v>45000</v>
      </c>
      <c r="C1002" s="1" t="n">
        <v>46092</v>
      </c>
      <c r="D1002" t="inlineStr">
        <is>
          <t>JÄMTLANDS LÄN</t>
        </is>
      </c>
      <c r="E1002" t="inlineStr">
        <is>
          <t>RAGUNDA</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12523-2023</t>
        </is>
      </c>
      <c r="B1003" s="1" t="n">
        <v>45000</v>
      </c>
      <c r="C1003" s="1" t="n">
        <v>46092</v>
      </c>
      <c r="D1003" t="inlineStr">
        <is>
          <t>JÄMTLANDS LÄN</t>
        </is>
      </c>
      <c r="E1003" t="inlineStr">
        <is>
          <t>RAGUNDA</t>
        </is>
      </c>
      <c r="F1003" t="inlineStr">
        <is>
          <t>SCA</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24861-2023</t>
        </is>
      </c>
      <c r="B1004" s="1" t="n">
        <v>45078</v>
      </c>
      <c r="C1004" s="1" t="n">
        <v>46092</v>
      </c>
      <c r="D1004" t="inlineStr">
        <is>
          <t>JÄMTLANDS LÄN</t>
        </is>
      </c>
      <c r="E1004" t="inlineStr">
        <is>
          <t>RAGUNDA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13905-2025</t>
        </is>
      </c>
      <c r="B1005" s="1" t="n">
        <v>45737.63574074074</v>
      </c>
      <c r="C1005" s="1" t="n">
        <v>46092</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13941-2025</t>
        </is>
      </c>
      <c r="B1006" s="1" t="n">
        <v>45737.69822916666</v>
      </c>
      <c r="C1006" s="1" t="n">
        <v>46092</v>
      </c>
      <c r="D1006" t="inlineStr">
        <is>
          <t>JÄMTLANDS LÄN</t>
        </is>
      </c>
      <c r="E1006" t="inlineStr">
        <is>
          <t>RAGUNDA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51245-2024</t>
        </is>
      </c>
      <c r="B1007" s="1" t="n">
        <v>45603.67850694444</v>
      </c>
      <c r="C1007" s="1" t="n">
        <v>46092</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53955-2022</t>
        </is>
      </c>
      <c r="B1008" s="1" t="n">
        <v>44880.95741898148</v>
      </c>
      <c r="C1008" s="1" t="n">
        <v>46092</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41772-2024</t>
        </is>
      </c>
      <c r="B1009" s="1" t="n">
        <v>45561.34663194444</v>
      </c>
      <c r="C1009" s="1" t="n">
        <v>46092</v>
      </c>
      <c r="D1009" t="inlineStr">
        <is>
          <t>JÄMTLANDS LÄN</t>
        </is>
      </c>
      <c r="E1009" t="inlineStr">
        <is>
          <t>RAGUNDA</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10972-2022</t>
        </is>
      </c>
      <c r="B1010" s="1" t="n">
        <v>44628</v>
      </c>
      <c r="C1010" s="1" t="n">
        <v>46092</v>
      </c>
      <c r="D1010" t="inlineStr">
        <is>
          <t>JÄMTLANDS LÄN</t>
        </is>
      </c>
      <c r="E1010" t="inlineStr">
        <is>
          <t>RAGUNDA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11834-2023</t>
        </is>
      </c>
      <c r="B1011" s="1" t="n">
        <v>44994.94296296296</v>
      </c>
      <c r="C1011" s="1" t="n">
        <v>46092</v>
      </c>
      <c r="D1011" t="inlineStr">
        <is>
          <t>JÄMTLANDS LÄN</t>
        </is>
      </c>
      <c r="E1011" t="inlineStr">
        <is>
          <t>RAGUNDA</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17559-2023</t>
        </is>
      </c>
      <c r="B1012" s="1" t="n">
        <v>45034</v>
      </c>
      <c r="C1012" s="1" t="n">
        <v>46092</v>
      </c>
      <c r="D1012" t="inlineStr">
        <is>
          <t>JÄMTLANDS LÄN</t>
        </is>
      </c>
      <c r="E1012" t="inlineStr">
        <is>
          <t>RAGUNDA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38312-2024</t>
        </is>
      </c>
      <c r="B1013" s="1" t="n">
        <v>45545.64957175926</v>
      </c>
      <c r="C1013" s="1" t="n">
        <v>46092</v>
      </c>
      <c r="D1013" t="inlineStr">
        <is>
          <t>JÄMTLANDS LÄN</t>
        </is>
      </c>
      <c r="E1013" t="inlineStr">
        <is>
          <t>RAGUNDA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32832-2021</t>
        </is>
      </c>
      <c r="B1014" s="1" t="n">
        <v>44375</v>
      </c>
      <c r="C1014" s="1" t="n">
        <v>46092</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22011-2023</t>
        </is>
      </c>
      <c r="B1015" s="1" t="n">
        <v>45068</v>
      </c>
      <c r="C1015" s="1" t="n">
        <v>46092</v>
      </c>
      <c r="D1015" t="inlineStr">
        <is>
          <t>JÄMTLANDS LÄN</t>
        </is>
      </c>
      <c r="E1015" t="inlineStr">
        <is>
          <t>RAGUNDA</t>
        </is>
      </c>
      <c r="F1015" t="inlineStr">
        <is>
          <t>SCA</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14158-2024</t>
        </is>
      </c>
      <c r="B1016" s="1" t="n">
        <v>45392</v>
      </c>
      <c r="C1016" s="1" t="n">
        <v>46092</v>
      </c>
      <c r="D1016" t="inlineStr">
        <is>
          <t>JÄMTLANDS LÄN</t>
        </is>
      </c>
      <c r="E1016" t="inlineStr">
        <is>
          <t>RAGUNDA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42508-2023</t>
        </is>
      </c>
      <c r="B1017" s="1" t="n">
        <v>45180.95907407408</v>
      </c>
      <c r="C1017" s="1" t="n">
        <v>46092</v>
      </c>
      <c r="D1017" t="inlineStr">
        <is>
          <t>JÄMTLANDS LÄN</t>
        </is>
      </c>
      <c r="E1017" t="inlineStr">
        <is>
          <t>RAGUNDA</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35274-2023</t>
        </is>
      </c>
      <c r="B1018" s="1" t="n">
        <v>45145</v>
      </c>
      <c r="C1018" s="1" t="n">
        <v>46092</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12983-2025</t>
        </is>
      </c>
      <c r="B1019" s="1" t="n">
        <v>45734.4633912037</v>
      </c>
      <c r="C1019" s="1" t="n">
        <v>46092</v>
      </c>
      <c r="D1019" t="inlineStr">
        <is>
          <t>JÄMTLANDS LÄN</t>
        </is>
      </c>
      <c r="E1019" t="inlineStr">
        <is>
          <t>RAGUNDA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17598-2021</t>
        </is>
      </c>
      <c r="B1020" s="1" t="n">
        <v>44299</v>
      </c>
      <c r="C1020" s="1" t="n">
        <v>46092</v>
      </c>
      <c r="D1020" t="inlineStr">
        <is>
          <t>JÄMTLANDS LÄN</t>
        </is>
      </c>
      <c r="E1020" t="inlineStr">
        <is>
          <t>RAGUNDA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3938-2024</t>
        </is>
      </c>
      <c r="B1021" s="1" t="n">
        <v>45322</v>
      </c>
      <c r="C1021" s="1" t="n">
        <v>46092</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53144-2024</t>
        </is>
      </c>
      <c r="B1022" s="1" t="n">
        <v>45611</v>
      </c>
      <c r="C1022" s="1" t="n">
        <v>46092</v>
      </c>
      <c r="D1022" t="inlineStr">
        <is>
          <t>JÄMTLANDS LÄN</t>
        </is>
      </c>
      <c r="E1022" t="inlineStr">
        <is>
          <t>RAGUNDA</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22311-2024</t>
        </is>
      </c>
      <c r="B1023" s="1" t="n">
        <v>45446.57052083333</v>
      </c>
      <c r="C1023" s="1" t="n">
        <v>46092</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19403-2025</t>
        </is>
      </c>
      <c r="B1024" s="1" t="n">
        <v>45769.67790509259</v>
      </c>
      <c r="C1024" s="1" t="n">
        <v>46092</v>
      </c>
      <c r="D1024" t="inlineStr">
        <is>
          <t>JÄMTLANDS LÄN</t>
        </is>
      </c>
      <c r="E1024" t="inlineStr">
        <is>
          <t>RAGUNDA</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11147-2025</t>
        </is>
      </c>
      <c r="B1025" s="1" t="n">
        <v>45723.67777777778</v>
      </c>
      <c r="C1025" s="1" t="n">
        <v>46092</v>
      </c>
      <c r="D1025" t="inlineStr">
        <is>
          <t>JÄMTLANDS LÄN</t>
        </is>
      </c>
      <c r="E1025" t="inlineStr">
        <is>
          <t>RAGUNDA</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9847-2025</t>
        </is>
      </c>
      <c r="B1026" s="1" t="n">
        <v>45716.61487268518</v>
      </c>
      <c r="C1026" s="1" t="n">
        <v>46092</v>
      </c>
      <c r="D1026" t="inlineStr">
        <is>
          <t>JÄMTLANDS LÄN</t>
        </is>
      </c>
      <c r="E1026" t="inlineStr">
        <is>
          <t>RAGUNDA</t>
        </is>
      </c>
      <c r="F1026" t="inlineStr">
        <is>
          <t>SCA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28173-2024</t>
        </is>
      </c>
      <c r="B1027" s="1" t="n">
        <v>45476.94533564815</v>
      </c>
      <c r="C1027" s="1" t="n">
        <v>46092</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23734-2024</t>
        </is>
      </c>
      <c r="B1028" s="1" t="n">
        <v>45454.95960648148</v>
      </c>
      <c r="C1028" s="1" t="n">
        <v>46092</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38425-2022</t>
        </is>
      </c>
      <c r="B1029" s="1" t="n">
        <v>44812.94709490741</v>
      </c>
      <c r="C1029" s="1" t="n">
        <v>46092</v>
      </c>
      <c r="D1029" t="inlineStr">
        <is>
          <t>JÄMTLANDS LÄN</t>
        </is>
      </c>
      <c r="E1029" t="inlineStr">
        <is>
          <t>RAGUNDA</t>
        </is>
      </c>
      <c r="F1029" t="inlineStr">
        <is>
          <t>SCA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12995-2023</t>
        </is>
      </c>
      <c r="B1030" s="1" t="n">
        <v>45002.0328125</v>
      </c>
      <c r="C1030" s="1" t="n">
        <v>46092</v>
      </c>
      <c r="D1030" t="inlineStr">
        <is>
          <t>JÄMTLANDS LÄN</t>
        </is>
      </c>
      <c r="E1030" t="inlineStr">
        <is>
          <t>RAGUNDA</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44755-2024</t>
        </is>
      </c>
      <c r="B1031" s="1" t="n">
        <v>45574.61184027778</v>
      </c>
      <c r="C1031" s="1" t="n">
        <v>46092</v>
      </c>
      <c r="D1031" t="inlineStr">
        <is>
          <t>JÄMTLANDS LÄN</t>
        </is>
      </c>
      <c r="E1031" t="inlineStr">
        <is>
          <t>RAGUNDA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44766-2024</t>
        </is>
      </c>
      <c r="B1032" s="1" t="n">
        <v>45574.62297453704</v>
      </c>
      <c r="C1032" s="1" t="n">
        <v>46092</v>
      </c>
      <c r="D1032" t="inlineStr">
        <is>
          <t>JÄMTLANDS LÄN</t>
        </is>
      </c>
      <c r="E1032" t="inlineStr">
        <is>
          <t>RAGUNDA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16676-2022</t>
        </is>
      </c>
      <c r="B1033" s="1" t="n">
        <v>44672.94018518519</v>
      </c>
      <c r="C1033" s="1" t="n">
        <v>46092</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55536-2024</t>
        </is>
      </c>
      <c r="B1034" s="1" t="n">
        <v>45622</v>
      </c>
      <c r="C1034" s="1" t="n">
        <v>46092</v>
      </c>
      <c r="D1034" t="inlineStr">
        <is>
          <t>JÄMTLANDS LÄN</t>
        </is>
      </c>
      <c r="E1034" t="inlineStr">
        <is>
          <t>RAGUNDA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44597-2024</t>
        </is>
      </c>
      <c r="B1035" s="1" t="n">
        <v>45574.51087962963</v>
      </c>
      <c r="C1035" s="1" t="n">
        <v>46092</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44598-2024</t>
        </is>
      </c>
      <c r="B1036" s="1" t="n">
        <v>45574.51090277778</v>
      </c>
      <c r="C1036" s="1" t="n">
        <v>46092</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18610-2024</t>
        </is>
      </c>
      <c r="B1037" s="1" t="n">
        <v>45425.96230324074</v>
      </c>
      <c r="C1037" s="1" t="n">
        <v>46092</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57116-2024</t>
        </is>
      </c>
      <c r="B1038" s="1" t="n">
        <v>45629.36513888889</v>
      </c>
      <c r="C1038" s="1" t="n">
        <v>46092</v>
      </c>
      <c r="D1038" t="inlineStr">
        <is>
          <t>JÄMTLANDS LÄN</t>
        </is>
      </c>
      <c r="E1038" t="inlineStr">
        <is>
          <t>RAGUNDA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3104-2025</t>
        </is>
      </c>
      <c r="B1039" s="1" t="n">
        <v>45678.67761574074</v>
      </c>
      <c r="C1039" s="1" t="n">
        <v>46092</v>
      </c>
      <c r="D1039" t="inlineStr">
        <is>
          <t>JÄMTLANDS LÄN</t>
        </is>
      </c>
      <c r="E1039" t="inlineStr">
        <is>
          <t>RAGUNDA</t>
        </is>
      </c>
      <c r="F1039" t="inlineStr">
        <is>
          <t>SCA</t>
        </is>
      </c>
      <c r="G1039" t="n">
        <v>46.2</v>
      </c>
      <c r="H1039" t="n">
        <v>0</v>
      </c>
      <c r="I1039" t="n">
        <v>0</v>
      </c>
      <c r="J1039" t="n">
        <v>0</v>
      </c>
      <c r="K1039" t="n">
        <v>0</v>
      </c>
      <c r="L1039" t="n">
        <v>0</v>
      </c>
      <c r="M1039" t="n">
        <v>0</v>
      </c>
      <c r="N1039" t="n">
        <v>0</v>
      </c>
      <c r="O1039" t="n">
        <v>0</v>
      </c>
      <c r="P1039" t="n">
        <v>0</v>
      </c>
      <c r="Q1039" t="n">
        <v>0</v>
      </c>
      <c r="R1039" s="2" t="inlineStr"/>
    </row>
    <row r="1040" ht="15" customHeight="1">
      <c r="A1040" t="inlineStr">
        <is>
          <t>A 40246-2024</t>
        </is>
      </c>
      <c r="B1040" s="1" t="n">
        <v>45554.61583333334</v>
      </c>
      <c r="C1040" s="1" t="n">
        <v>46092</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4878-2022</t>
        </is>
      </c>
      <c r="B1041" s="1" t="n">
        <v>44593</v>
      </c>
      <c r="C1041" s="1" t="n">
        <v>46092</v>
      </c>
      <c r="D1041" t="inlineStr">
        <is>
          <t>JÄMTLANDS LÄN</t>
        </is>
      </c>
      <c r="E1041" t="inlineStr">
        <is>
          <t>RAGUNDA</t>
        </is>
      </c>
      <c r="G1041" t="n">
        <v>21.7</v>
      </c>
      <c r="H1041" t="n">
        <v>0</v>
      </c>
      <c r="I1041" t="n">
        <v>0</v>
      </c>
      <c r="J1041" t="n">
        <v>0</v>
      </c>
      <c r="K1041" t="n">
        <v>0</v>
      </c>
      <c r="L1041" t="n">
        <v>0</v>
      </c>
      <c r="M1041" t="n">
        <v>0</v>
      </c>
      <c r="N1041" t="n">
        <v>0</v>
      </c>
      <c r="O1041" t="n">
        <v>0</v>
      </c>
      <c r="P1041" t="n">
        <v>0</v>
      </c>
      <c r="Q1041" t="n">
        <v>0</v>
      </c>
      <c r="R1041" s="2" t="inlineStr"/>
    </row>
    <row r="1042" ht="15" customHeight="1">
      <c r="A1042" t="inlineStr">
        <is>
          <t>A 57237-2022</t>
        </is>
      </c>
      <c r="B1042" s="1" t="n">
        <v>44889</v>
      </c>
      <c r="C1042" s="1" t="n">
        <v>46092</v>
      </c>
      <c r="D1042" t="inlineStr">
        <is>
          <t>JÄMTLANDS LÄN</t>
        </is>
      </c>
      <c r="E1042" t="inlineStr">
        <is>
          <t>RAGUNDA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2133-2023</t>
        </is>
      </c>
      <c r="B1043" s="1" t="n">
        <v>44939</v>
      </c>
      <c r="C1043" s="1" t="n">
        <v>46092</v>
      </c>
      <c r="D1043" t="inlineStr">
        <is>
          <t>JÄMTLANDS LÄN</t>
        </is>
      </c>
      <c r="E1043" t="inlineStr">
        <is>
          <t>RAGUNDA</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19419-2024</t>
        </is>
      </c>
      <c r="B1044" s="1" t="n">
        <v>45429</v>
      </c>
      <c r="C1044" s="1" t="n">
        <v>46092</v>
      </c>
      <c r="D1044" t="inlineStr">
        <is>
          <t>JÄMTLANDS LÄN</t>
        </is>
      </c>
      <c r="E1044" t="inlineStr">
        <is>
          <t>RAGUNDA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19383-2025</t>
        </is>
      </c>
      <c r="B1045" s="1" t="n">
        <v>45769.65688657408</v>
      </c>
      <c r="C1045" s="1" t="n">
        <v>46092</v>
      </c>
      <c r="D1045" t="inlineStr">
        <is>
          <t>JÄMTLANDS LÄN</t>
        </is>
      </c>
      <c r="E1045" t="inlineStr">
        <is>
          <t>RAGUNDA</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49229-2024</t>
        </is>
      </c>
      <c r="B1046" s="1" t="n">
        <v>45595.42738425926</v>
      </c>
      <c r="C1046" s="1" t="n">
        <v>46092</v>
      </c>
      <c r="D1046" t="inlineStr">
        <is>
          <t>JÄMTLANDS LÄN</t>
        </is>
      </c>
      <c r="E1046" t="inlineStr">
        <is>
          <t>RAGUNDA</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13700-2023</t>
        </is>
      </c>
      <c r="B1047" s="1" t="n">
        <v>45006</v>
      </c>
      <c r="C1047" s="1" t="n">
        <v>46092</v>
      </c>
      <c r="D1047" t="inlineStr">
        <is>
          <t>JÄMTLANDS LÄN</t>
        </is>
      </c>
      <c r="E1047" t="inlineStr">
        <is>
          <t>RAGUNDA</t>
        </is>
      </c>
      <c r="F1047" t="inlineStr">
        <is>
          <t>SCA</t>
        </is>
      </c>
      <c r="G1047" t="n">
        <v>50.3</v>
      </c>
      <c r="H1047" t="n">
        <v>0</v>
      </c>
      <c r="I1047" t="n">
        <v>0</v>
      </c>
      <c r="J1047" t="n">
        <v>0</v>
      </c>
      <c r="K1047" t="n">
        <v>0</v>
      </c>
      <c r="L1047" t="n">
        <v>0</v>
      </c>
      <c r="M1047" t="n">
        <v>0</v>
      </c>
      <c r="N1047" t="n">
        <v>0</v>
      </c>
      <c r="O1047" t="n">
        <v>0</v>
      </c>
      <c r="P1047" t="n">
        <v>0</v>
      </c>
      <c r="Q1047" t="n">
        <v>0</v>
      </c>
      <c r="R1047" s="2" t="inlineStr"/>
    </row>
    <row r="1048" ht="15" customHeight="1">
      <c r="A1048" t="inlineStr">
        <is>
          <t>A 51389-2024</t>
        </is>
      </c>
      <c r="B1048" s="1" t="n">
        <v>45604.40540509259</v>
      </c>
      <c r="C1048" s="1" t="n">
        <v>46092</v>
      </c>
      <c r="D1048" t="inlineStr">
        <is>
          <t>JÄMTLANDS LÄN</t>
        </is>
      </c>
      <c r="E1048" t="inlineStr">
        <is>
          <t>RAGUNDA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51393-2024</t>
        </is>
      </c>
      <c r="B1049" s="1" t="n">
        <v>45604.41625</v>
      </c>
      <c r="C1049" s="1" t="n">
        <v>46092</v>
      </c>
      <c r="D1049" t="inlineStr">
        <is>
          <t>JÄMTLANDS LÄN</t>
        </is>
      </c>
      <c r="E1049" t="inlineStr">
        <is>
          <t>RAGUNDA</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20987-2023</t>
        </is>
      </c>
      <c r="B1050" s="1" t="n">
        <v>45056</v>
      </c>
      <c r="C1050" s="1" t="n">
        <v>46092</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20994-2023</t>
        </is>
      </c>
      <c r="B1051" s="1" t="n">
        <v>45056</v>
      </c>
      <c r="C1051" s="1" t="n">
        <v>46092</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55669-2023</t>
        </is>
      </c>
      <c r="B1052" s="1" t="n">
        <v>45238.96797453704</v>
      </c>
      <c r="C1052" s="1" t="n">
        <v>46092</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32063-2024</t>
        </is>
      </c>
      <c r="B1053" s="1" t="n">
        <v>45510</v>
      </c>
      <c r="C1053" s="1" t="n">
        <v>46092</v>
      </c>
      <c r="D1053" t="inlineStr">
        <is>
          <t>JÄMTLANDS LÄN</t>
        </is>
      </c>
      <c r="E1053" t="inlineStr">
        <is>
          <t>RAGUNDA</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10641-2024</t>
        </is>
      </c>
      <c r="B1054" s="1" t="n">
        <v>45367.69850694444</v>
      </c>
      <c r="C1054" s="1" t="n">
        <v>46092</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10644-2024</t>
        </is>
      </c>
      <c r="B1055" s="1" t="n">
        <v>45367.71348379629</v>
      </c>
      <c r="C1055" s="1" t="n">
        <v>46092</v>
      </c>
      <c r="D1055" t="inlineStr">
        <is>
          <t>JÄMTLANDS LÄN</t>
        </is>
      </c>
      <c r="E1055" t="inlineStr">
        <is>
          <t>RAGUNDA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20426-2024</t>
        </is>
      </c>
      <c r="B1056" s="1" t="n">
        <v>45435</v>
      </c>
      <c r="C1056" s="1" t="n">
        <v>46092</v>
      </c>
      <c r="D1056" t="inlineStr">
        <is>
          <t>JÄMTLANDS LÄN</t>
        </is>
      </c>
      <c r="E1056" t="inlineStr">
        <is>
          <t>RAGUNDA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17742-2022</t>
        </is>
      </c>
      <c r="B1057" s="1" t="n">
        <v>44680.95246527778</v>
      </c>
      <c r="C1057" s="1" t="n">
        <v>46092</v>
      </c>
      <c r="D1057" t="inlineStr">
        <is>
          <t>JÄMTLANDS LÄN</t>
        </is>
      </c>
      <c r="E1057" t="inlineStr">
        <is>
          <t>RAGUNDA</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30825-2023</t>
        </is>
      </c>
      <c r="B1058" s="1" t="n">
        <v>45112.94310185185</v>
      </c>
      <c r="C1058" s="1" t="n">
        <v>46092</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9084-2023</t>
        </is>
      </c>
      <c r="B1059" s="1" t="n">
        <v>44979</v>
      </c>
      <c r="C1059" s="1" t="n">
        <v>46092</v>
      </c>
      <c r="D1059" t="inlineStr">
        <is>
          <t>JÄMTLANDS LÄN</t>
        </is>
      </c>
      <c r="E1059" t="inlineStr">
        <is>
          <t>RAGUNDA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9326-2024</t>
        </is>
      </c>
      <c r="B1060" s="1" t="n">
        <v>45358.95818287037</v>
      </c>
      <c r="C1060" s="1" t="n">
        <v>46092</v>
      </c>
      <c r="D1060" t="inlineStr">
        <is>
          <t>JÄMTLANDS LÄN</t>
        </is>
      </c>
      <c r="E1060" t="inlineStr">
        <is>
          <t>RAGUNDA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7520-2023</t>
        </is>
      </c>
      <c r="B1061" s="1" t="n">
        <v>44971</v>
      </c>
      <c r="C1061" s="1" t="n">
        <v>46092</v>
      </c>
      <c r="D1061" t="inlineStr">
        <is>
          <t>JÄMTLANDS LÄN</t>
        </is>
      </c>
      <c r="E1061" t="inlineStr">
        <is>
          <t>RAGUNDA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21662-2023</t>
        </is>
      </c>
      <c r="B1062" s="1" t="n">
        <v>45063</v>
      </c>
      <c r="C1062" s="1" t="n">
        <v>46092</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44727-2024</t>
        </is>
      </c>
      <c r="B1063" s="1" t="n">
        <v>45574.57967592592</v>
      </c>
      <c r="C1063" s="1" t="n">
        <v>46092</v>
      </c>
      <c r="D1063" t="inlineStr">
        <is>
          <t>JÄMTLANDS LÄN</t>
        </is>
      </c>
      <c r="E1063" t="inlineStr">
        <is>
          <t>RAGUNDA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21083-2024</t>
        </is>
      </c>
      <c r="B1064" s="1" t="n">
        <v>45439.92752314815</v>
      </c>
      <c r="C1064" s="1" t="n">
        <v>46092</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462-2023</t>
        </is>
      </c>
      <c r="B1065" s="1" t="n">
        <v>44929</v>
      </c>
      <c r="C1065" s="1" t="n">
        <v>46092</v>
      </c>
      <c r="D1065" t="inlineStr">
        <is>
          <t>JÄMTLANDS LÄN</t>
        </is>
      </c>
      <c r="E1065" t="inlineStr">
        <is>
          <t>RAGUNDA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44995.98644675926</v>
      </c>
      <c r="C1066" s="1" t="n">
        <v>46092</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62358-2023</t>
        </is>
      </c>
      <c r="B1067" s="1" t="n">
        <v>45267</v>
      </c>
      <c r="C1067" s="1" t="n">
        <v>46092</v>
      </c>
      <c r="D1067" t="inlineStr">
        <is>
          <t>JÄMTLANDS LÄN</t>
        </is>
      </c>
      <c r="E1067" t="inlineStr">
        <is>
          <t>RAGUNDA</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46092</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49648-2023</t>
        </is>
      </c>
      <c r="B1069" s="1" t="n">
        <v>45211.95061342593</v>
      </c>
      <c r="C1069" s="1" t="n">
        <v>46092</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51537-2022</t>
        </is>
      </c>
      <c r="B1070" s="1" t="n">
        <v>44869</v>
      </c>
      <c r="C1070" s="1" t="n">
        <v>46092</v>
      </c>
      <c r="D1070" t="inlineStr">
        <is>
          <t>JÄMTLANDS LÄN</t>
        </is>
      </c>
      <c r="E1070" t="inlineStr">
        <is>
          <t>RAGUNDA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59044-2022</t>
        </is>
      </c>
      <c r="B1071" s="1" t="n">
        <v>44903</v>
      </c>
      <c r="C1071" s="1" t="n">
        <v>46092</v>
      </c>
      <c r="D1071" t="inlineStr">
        <is>
          <t>JÄMTLANDS LÄN</t>
        </is>
      </c>
      <c r="E1071" t="inlineStr">
        <is>
          <t>RAGUNDA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5958-2023</t>
        </is>
      </c>
      <c r="B1072" s="1" t="n">
        <v>44963</v>
      </c>
      <c r="C1072" s="1" t="n">
        <v>46092</v>
      </c>
      <c r="D1072" t="inlineStr">
        <is>
          <t>JÄMTLANDS LÄN</t>
        </is>
      </c>
      <c r="E1072" t="inlineStr">
        <is>
          <t>RAGUNDA</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8779-2025</t>
        </is>
      </c>
      <c r="B1073" s="1" t="n">
        <v>45712.61552083334</v>
      </c>
      <c r="C1073" s="1" t="n">
        <v>46092</v>
      </c>
      <c r="D1073" t="inlineStr">
        <is>
          <t>JÄMTLANDS LÄN</t>
        </is>
      </c>
      <c r="E1073" t="inlineStr">
        <is>
          <t>RAGUNDA</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61400-2022</t>
        </is>
      </c>
      <c r="B1074" s="1" t="n">
        <v>44915</v>
      </c>
      <c r="C1074" s="1" t="n">
        <v>46092</v>
      </c>
      <c r="D1074" t="inlineStr">
        <is>
          <t>JÄMTLANDS LÄN</t>
        </is>
      </c>
      <c r="E1074" t="inlineStr">
        <is>
          <t>RAGUNDA</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4348-2023</t>
        </is>
      </c>
      <c r="B1075" s="1" t="n">
        <v>44953</v>
      </c>
      <c r="C1075" s="1" t="n">
        <v>46092</v>
      </c>
      <c r="D1075" t="inlineStr">
        <is>
          <t>JÄMTLANDS LÄN</t>
        </is>
      </c>
      <c r="E1075" t="inlineStr">
        <is>
          <t>RAGUNDA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56286-2023</t>
        </is>
      </c>
      <c r="B1076" s="1" t="n">
        <v>45241.95741898148</v>
      </c>
      <c r="C1076" s="1" t="n">
        <v>46092</v>
      </c>
      <c r="D1076" t="inlineStr">
        <is>
          <t>JÄMTLANDS LÄN</t>
        </is>
      </c>
      <c r="E1076" t="inlineStr">
        <is>
          <t>RAGUNDA</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56287-2023</t>
        </is>
      </c>
      <c r="B1077" s="1" t="n">
        <v>45241</v>
      </c>
      <c r="C1077" s="1" t="n">
        <v>46092</v>
      </c>
      <c r="D1077" t="inlineStr">
        <is>
          <t>JÄMTLANDS LÄN</t>
        </is>
      </c>
      <c r="E1077" t="inlineStr">
        <is>
          <t>RAGUNDA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62135-2024</t>
        </is>
      </c>
      <c r="B1078" s="1" t="n">
        <v>45656.64223379629</v>
      </c>
      <c r="C1078" s="1" t="n">
        <v>46092</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18248-2023</t>
        </is>
      </c>
      <c r="B1079" s="1" t="n">
        <v>45040</v>
      </c>
      <c r="C1079" s="1" t="n">
        <v>46092</v>
      </c>
      <c r="D1079" t="inlineStr">
        <is>
          <t>JÄMTLANDS LÄN</t>
        </is>
      </c>
      <c r="E1079" t="inlineStr">
        <is>
          <t>RAGUNDA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8802-2022</t>
        </is>
      </c>
      <c r="B1080" s="1" t="n">
        <v>44614</v>
      </c>
      <c r="C1080" s="1" t="n">
        <v>46092</v>
      </c>
      <c r="D1080" t="inlineStr">
        <is>
          <t>JÄMTLANDS LÄN</t>
        </is>
      </c>
      <c r="E1080" t="inlineStr">
        <is>
          <t>RAGUNDA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39489-2023</t>
        </is>
      </c>
      <c r="B1081" s="1" t="n">
        <v>45166</v>
      </c>
      <c r="C1081" s="1" t="n">
        <v>46092</v>
      </c>
      <c r="D1081" t="inlineStr">
        <is>
          <t>JÄMTLANDS LÄN</t>
        </is>
      </c>
      <c r="E1081" t="inlineStr">
        <is>
          <t>RAGUNDA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55214-2022</t>
        </is>
      </c>
      <c r="B1082" s="1" t="n">
        <v>44886</v>
      </c>
      <c r="C1082" s="1" t="n">
        <v>46092</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7722-2023</t>
        </is>
      </c>
      <c r="B1083" s="1" t="n">
        <v>44972.94140046297</v>
      </c>
      <c r="C1083" s="1" t="n">
        <v>46092</v>
      </c>
      <c r="D1083" t="inlineStr">
        <is>
          <t>JÄMTLANDS LÄN</t>
        </is>
      </c>
      <c r="E1083" t="inlineStr">
        <is>
          <t>RAGUNDA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12204-2025</t>
        </is>
      </c>
      <c r="B1084" s="1" t="n">
        <v>45729.51074074074</v>
      </c>
      <c r="C1084" s="1" t="n">
        <v>46092</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13299-2024</t>
        </is>
      </c>
      <c r="B1085" s="1" t="n">
        <v>45386.68003472222</v>
      </c>
      <c r="C1085" s="1" t="n">
        <v>46092</v>
      </c>
      <c r="D1085" t="inlineStr">
        <is>
          <t>JÄMTLANDS LÄN</t>
        </is>
      </c>
      <c r="E1085" t="inlineStr">
        <is>
          <t>RAGUNDA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15024-2022</t>
        </is>
      </c>
      <c r="B1086" s="1" t="n">
        <v>44657</v>
      </c>
      <c r="C1086" s="1" t="n">
        <v>46092</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891-2022</t>
        </is>
      </c>
      <c r="B1087" s="1" t="n">
        <v>44571</v>
      </c>
      <c r="C1087" s="1" t="n">
        <v>46092</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36371-2023</t>
        </is>
      </c>
      <c r="B1088" s="1" t="n">
        <v>45149</v>
      </c>
      <c r="C1088" s="1" t="n">
        <v>46092</v>
      </c>
      <c r="D1088" t="inlineStr">
        <is>
          <t>JÄMTLANDS LÄN</t>
        </is>
      </c>
      <c r="E1088" t="inlineStr">
        <is>
          <t>RAGUNDA</t>
        </is>
      </c>
      <c r="G1088" t="n">
        <v>25.7</v>
      </c>
      <c r="H1088" t="n">
        <v>0</v>
      </c>
      <c r="I1088" t="n">
        <v>0</v>
      </c>
      <c r="J1088" t="n">
        <v>0</v>
      </c>
      <c r="K1088" t="n">
        <v>0</v>
      </c>
      <c r="L1088" t="n">
        <v>0</v>
      </c>
      <c r="M1088" t="n">
        <v>0</v>
      </c>
      <c r="N1088" t="n">
        <v>0</v>
      </c>
      <c r="O1088" t="n">
        <v>0</v>
      </c>
      <c r="P1088" t="n">
        <v>0</v>
      </c>
      <c r="Q1088" t="n">
        <v>0</v>
      </c>
      <c r="R1088" s="2" t="inlineStr"/>
    </row>
    <row r="1089" ht="15" customHeight="1">
      <c r="A1089" t="inlineStr">
        <is>
          <t>A 56702-2023</t>
        </is>
      </c>
      <c r="B1089" s="1" t="n">
        <v>45243</v>
      </c>
      <c r="C1089" s="1" t="n">
        <v>46092</v>
      </c>
      <c r="D1089" t="inlineStr">
        <is>
          <t>JÄMTLANDS LÄN</t>
        </is>
      </c>
      <c r="E1089" t="inlineStr">
        <is>
          <t>RAGUNDA</t>
        </is>
      </c>
      <c r="F1089" t="inlineStr">
        <is>
          <t>SCA</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32259-2024</t>
        </is>
      </c>
      <c r="B1090" s="1" t="n">
        <v>45511</v>
      </c>
      <c r="C1090" s="1" t="n">
        <v>46092</v>
      </c>
      <c r="D1090" t="inlineStr">
        <is>
          <t>JÄMTLANDS LÄN</t>
        </is>
      </c>
      <c r="E1090" t="inlineStr">
        <is>
          <t>RAGUNDA</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5313-2025</t>
        </is>
      </c>
      <c r="B1091" s="1" t="n">
        <v>45692.51069444444</v>
      </c>
      <c r="C1091" s="1" t="n">
        <v>46092</v>
      </c>
      <c r="D1091" t="inlineStr">
        <is>
          <t>JÄMTLANDS LÄN</t>
        </is>
      </c>
      <c r="E1091" t="inlineStr">
        <is>
          <t>RAGUNDA</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5357-2025</t>
        </is>
      </c>
      <c r="B1092" s="1" t="n">
        <v>45692.57326388889</v>
      </c>
      <c r="C1092" s="1" t="n">
        <v>46092</v>
      </c>
      <c r="D1092" t="inlineStr">
        <is>
          <t>JÄMTLANDS LÄN</t>
        </is>
      </c>
      <c r="E1092" t="inlineStr">
        <is>
          <t>RAGUNDA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3018-2024</t>
        </is>
      </c>
      <c r="B1093" s="1" t="n">
        <v>45315.9492824074</v>
      </c>
      <c r="C1093" s="1" t="n">
        <v>46092</v>
      </c>
      <c r="D1093" t="inlineStr">
        <is>
          <t>JÄMTLANDS LÄN</t>
        </is>
      </c>
      <c r="E1093" t="inlineStr">
        <is>
          <t>RAGUNDA</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44605-2024</t>
        </is>
      </c>
      <c r="B1094" s="1" t="n">
        <v>45574.51185185185</v>
      </c>
      <c r="C1094" s="1" t="n">
        <v>46092</v>
      </c>
      <c r="D1094" t="inlineStr">
        <is>
          <t>JÄMTLANDS LÄN</t>
        </is>
      </c>
      <c r="E1094" t="inlineStr">
        <is>
          <t>RAGUNDA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20773-2024</t>
        </is>
      </c>
      <c r="B1095" s="1" t="n">
        <v>45436.94636574074</v>
      </c>
      <c r="C1095" s="1" t="n">
        <v>46092</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34323-2023</t>
        </is>
      </c>
      <c r="B1096" s="1" t="n">
        <v>45138.94925925926</v>
      </c>
      <c r="C1096" s="1" t="n">
        <v>46092</v>
      </c>
      <c r="D1096" t="inlineStr">
        <is>
          <t>JÄMTLANDS LÄN</t>
        </is>
      </c>
      <c r="E1096" t="inlineStr">
        <is>
          <t>RAGUNDA</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50486-2023</t>
        </is>
      </c>
      <c r="B1097" s="1" t="n">
        <v>45216.92424768519</v>
      </c>
      <c r="C1097" s="1" t="n">
        <v>46092</v>
      </c>
      <c r="D1097" t="inlineStr">
        <is>
          <t>JÄMTLANDS LÄN</t>
        </is>
      </c>
      <c r="E1097" t="inlineStr">
        <is>
          <t>RAGUNDA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51538-2022</t>
        </is>
      </c>
      <c r="B1098" s="1" t="n">
        <v>44869</v>
      </c>
      <c r="C1098" s="1" t="n">
        <v>46092</v>
      </c>
      <c r="D1098" t="inlineStr">
        <is>
          <t>JÄMTLANDS LÄN</t>
        </is>
      </c>
      <c r="E1098" t="inlineStr">
        <is>
          <t>RAGUNDA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19854-2025</t>
        </is>
      </c>
      <c r="B1099" s="1" t="n">
        <v>45771.51074074074</v>
      </c>
      <c r="C1099" s="1" t="n">
        <v>46092</v>
      </c>
      <c r="D1099" t="inlineStr">
        <is>
          <t>JÄMTLANDS LÄN</t>
        </is>
      </c>
      <c r="E1099" t="inlineStr">
        <is>
          <t>RAGUNDA</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50503-2024</t>
        </is>
      </c>
      <c r="B1100" s="1" t="n">
        <v>45601.5315625</v>
      </c>
      <c r="C1100" s="1" t="n">
        <v>46092</v>
      </c>
      <c r="D1100" t="inlineStr">
        <is>
          <t>JÄMTLANDS LÄN</t>
        </is>
      </c>
      <c r="E1100" t="inlineStr">
        <is>
          <t>RAGUNDA</t>
        </is>
      </c>
      <c r="F1100" t="inlineStr">
        <is>
          <t>SCA</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10610-2024</t>
        </is>
      </c>
      <c r="B1101" s="1" t="n">
        <v>45367.04693287037</v>
      </c>
      <c r="C1101" s="1" t="n">
        <v>46092</v>
      </c>
      <c r="D1101" t="inlineStr">
        <is>
          <t>JÄMTLANDS LÄN</t>
        </is>
      </c>
      <c r="E1101" t="inlineStr">
        <is>
          <t>RAGUNDA</t>
        </is>
      </c>
      <c r="F1101" t="inlineStr">
        <is>
          <t>SCA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10706-2023</t>
        </is>
      </c>
      <c r="B1102" s="1" t="n">
        <v>44984</v>
      </c>
      <c r="C1102" s="1" t="n">
        <v>46092</v>
      </c>
      <c r="D1102" t="inlineStr">
        <is>
          <t>JÄMTLANDS LÄN</t>
        </is>
      </c>
      <c r="E1102" t="inlineStr">
        <is>
          <t>RAGUNDA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63708-2023</t>
        </is>
      </c>
      <c r="B1103" s="1" t="n">
        <v>45275.95060185185</v>
      </c>
      <c r="C1103" s="1" t="n">
        <v>46092</v>
      </c>
      <c r="D1103" t="inlineStr">
        <is>
          <t>JÄMTLANDS LÄN</t>
        </is>
      </c>
      <c r="E1103" t="inlineStr">
        <is>
          <t>RAGUNDA</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16250-2022</t>
        </is>
      </c>
      <c r="B1104" s="1" t="n">
        <v>44670</v>
      </c>
      <c r="C1104" s="1" t="n">
        <v>46092</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60663-2022</t>
        </is>
      </c>
      <c r="B1105" s="1" t="n">
        <v>44911.93846064815</v>
      </c>
      <c r="C1105" s="1" t="n">
        <v>46092</v>
      </c>
      <c r="D1105" t="inlineStr">
        <is>
          <t>JÄMTLANDS LÄN</t>
        </is>
      </c>
      <c r="E1105" t="inlineStr">
        <is>
          <t>RAGUNDA</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58847-2024</t>
        </is>
      </c>
      <c r="B1106" s="1" t="n">
        <v>45636.3864699074</v>
      </c>
      <c r="C1106" s="1" t="n">
        <v>46092</v>
      </c>
      <c r="D1106" t="inlineStr">
        <is>
          <t>JÄMTLANDS LÄN</t>
        </is>
      </c>
      <c r="E1106" t="inlineStr">
        <is>
          <t>RAGUNDA</t>
        </is>
      </c>
      <c r="F1106" t="inlineStr">
        <is>
          <t>SCA</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27777-2022</t>
        </is>
      </c>
      <c r="B1107" s="1" t="n">
        <v>44743</v>
      </c>
      <c r="C1107" s="1" t="n">
        <v>46092</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42875-2024</t>
        </is>
      </c>
      <c r="B1108" s="1" t="n">
        <v>45566.68125</v>
      </c>
      <c r="C1108" s="1" t="n">
        <v>46092</v>
      </c>
      <c r="D1108" t="inlineStr">
        <is>
          <t>JÄMTLANDS LÄN</t>
        </is>
      </c>
      <c r="E1108" t="inlineStr">
        <is>
          <t>RAGUNDA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53935-2022</t>
        </is>
      </c>
      <c r="B1109" s="1" t="n">
        <v>44880</v>
      </c>
      <c r="C1109" s="1" t="n">
        <v>46092</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41262-2021</t>
        </is>
      </c>
      <c r="B1110" s="1" t="n">
        <v>44424</v>
      </c>
      <c r="C1110" s="1" t="n">
        <v>46092</v>
      </c>
      <c r="D1110" t="inlineStr">
        <is>
          <t>JÄMTLANDS LÄN</t>
        </is>
      </c>
      <c r="E1110" t="inlineStr">
        <is>
          <t>RAGUNDA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20221-2025</t>
        </is>
      </c>
      <c r="B1111" s="1" t="n">
        <v>45772.6565625</v>
      </c>
      <c r="C1111" s="1" t="n">
        <v>46092</v>
      </c>
      <c r="D1111" t="inlineStr">
        <is>
          <t>JÄMTLANDS LÄN</t>
        </is>
      </c>
      <c r="E1111" t="inlineStr">
        <is>
          <t>RAGUNDA</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4015-2022</t>
        </is>
      </c>
      <c r="B1112" s="1" t="n">
        <v>44587.92149305555</v>
      </c>
      <c r="C1112" s="1" t="n">
        <v>46092</v>
      </c>
      <c r="D1112" t="inlineStr">
        <is>
          <t>JÄMTLANDS LÄN</t>
        </is>
      </c>
      <c r="E1112" t="inlineStr">
        <is>
          <t>RAGUNDA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8416-2023</t>
        </is>
      </c>
      <c r="B1113" s="1" t="n">
        <v>44977.44373842593</v>
      </c>
      <c r="C1113" s="1" t="n">
        <v>46092</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45253-2023</t>
        </is>
      </c>
      <c r="B1114" s="1" t="n">
        <v>45187</v>
      </c>
      <c r="C1114" s="1" t="n">
        <v>46092</v>
      </c>
      <c r="D1114" t="inlineStr">
        <is>
          <t>JÄMTLANDS LÄN</t>
        </is>
      </c>
      <c r="E1114" t="inlineStr">
        <is>
          <t>RAGUNDA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14369-2024</t>
        </is>
      </c>
      <c r="B1115" s="1" t="n">
        <v>45393.94459490741</v>
      </c>
      <c r="C1115" s="1" t="n">
        <v>46092</v>
      </c>
      <c r="D1115" t="inlineStr">
        <is>
          <t>JÄMTLANDS LÄN</t>
        </is>
      </c>
      <c r="E1115" t="inlineStr">
        <is>
          <t>RAGUNDA</t>
        </is>
      </c>
      <c r="F1115" t="inlineStr">
        <is>
          <t>Naturvårdsverket</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182-2023</t>
        </is>
      </c>
      <c r="B1116" s="1" t="n">
        <v>44922</v>
      </c>
      <c r="C1116" s="1" t="n">
        <v>46092</v>
      </c>
      <c r="D1116" t="inlineStr">
        <is>
          <t>JÄMTLANDS LÄN</t>
        </is>
      </c>
      <c r="E1116" t="inlineStr">
        <is>
          <t>RAGUNDA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6490-2022</t>
        </is>
      </c>
      <c r="B1117" s="1" t="n">
        <v>44601</v>
      </c>
      <c r="C1117" s="1" t="n">
        <v>46092</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6477-2024</t>
        </is>
      </c>
      <c r="B1118" s="1" t="n">
        <v>45338.95405092592</v>
      </c>
      <c r="C1118" s="1" t="n">
        <v>46092</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18193-2022</t>
        </is>
      </c>
      <c r="B1119" s="1" t="n">
        <v>44684.94032407407</v>
      </c>
      <c r="C1119" s="1" t="n">
        <v>46092</v>
      </c>
      <c r="D1119" t="inlineStr">
        <is>
          <t>JÄMTLANDS LÄN</t>
        </is>
      </c>
      <c r="E1119" t="inlineStr">
        <is>
          <t>RAGUNDA</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11551-2024</t>
        </is>
      </c>
      <c r="B1120" s="1" t="n">
        <v>45372.95762731481</v>
      </c>
      <c r="C1120" s="1" t="n">
        <v>46092</v>
      </c>
      <c r="D1120" t="inlineStr">
        <is>
          <t>JÄMTLANDS LÄN</t>
        </is>
      </c>
      <c r="E1120" t="inlineStr">
        <is>
          <t>RAGUNDA</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49647-2024</t>
        </is>
      </c>
      <c r="B1121" s="1" t="n">
        <v>45596.61533564814</v>
      </c>
      <c r="C1121" s="1" t="n">
        <v>46092</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53264-2024</t>
        </is>
      </c>
      <c r="B1122" s="1" t="n">
        <v>45614.34545138889</v>
      </c>
      <c r="C1122" s="1" t="n">
        <v>46092</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13389-2025</t>
        </is>
      </c>
      <c r="B1123" s="1" t="n">
        <v>45735.69842592593</v>
      </c>
      <c r="C1123" s="1" t="n">
        <v>46092</v>
      </c>
      <c r="D1123" t="inlineStr">
        <is>
          <t>JÄMTLANDS LÄN</t>
        </is>
      </c>
      <c r="E1123" t="inlineStr">
        <is>
          <t>RAGUNDA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45631-2024</t>
        </is>
      </c>
      <c r="B1124" s="1" t="n">
        <v>45579.47052083333</v>
      </c>
      <c r="C1124" s="1" t="n">
        <v>46092</v>
      </c>
      <c r="D1124" t="inlineStr">
        <is>
          <t>JÄMTLANDS LÄN</t>
        </is>
      </c>
      <c r="E1124" t="inlineStr">
        <is>
          <t>RAGUNDA</t>
        </is>
      </c>
      <c r="G1124" t="n">
        <v>15.1</v>
      </c>
      <c r="H1124" t="n">
        <v>0</v>
      </c>
      <c r="I1124" t="n">
        <v>0</v>
      </c>
      <c r="J1124" t="n">
        <v>0</v>
      </c>
      <c r="K1124" t="n">
        <v>0</v>
      </c>
      <c r="L1124" t="n">
        <v>0</v>
      </c>
      <c r="M1124" t="n">
        <v>0</v>
      </c>
      <c r="N1124" t="n">
        <v>0</v>
      </c>
      <c r="O1124" t="n">
        <v>0</v>
      </c>
      <c r="P1124" t="n">
        <v>0</v>
      </c>
      <c r="Q1124" t="n">
        <v>0</v>
      </c>
      <c r="R1124" s="2" t="inlineStr"/>
    </row>
    <row r="1125" ht="15" customHeight="1">
      <c r="A1125" t="inlineStr">
        <is>
          <t>A 55701-2021</t>
        </is>
      </c>
      <c r="B1125" s="1" t="n">
        <v>44475</v>
      </c>
      <c r="C1125" s="1" t="n">
        <v>46092</v>
      </c>
      <c r="D1125" t="inlineStr">
        <is>
          <t>JÄMTLANDS LÄN</t>
        </is>
      </c>
      <c r="E1125" t="inlineStr">
        <is>
          <t>RAGUNDA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30484-2024</t>
        </is>
      </c>
      <c r="B1126" s="1" t="n">
        <v>45491</v>
      </c>
      <c r="C1126" s="1" t="n">
        <v>46092</v>
      </c>
      <c r="D1126" t="inlineStr">
        <is>
          <t>JÄMTLANDS LÄN</t>
        </is>
      </c>
      <c r="E1126" t="inlineStr">
        <is>
          <t>RAGUNDA</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14513-2025</t>
        </is>
      </c>
      <c r="B1127" s="1" t="n">
        <v>45741.63675925926</v>
      </c>
      <c r="C1127" s="1" t="n">
        <v>46092</v>
      </c>
      <c r="D1127" t="inlineStr">
        <is>
          <t>JÄMTLANDS LÄN</t>
        </is>
      </c>
      <c r="E1127" t="inlineStr">
        <is>
          <t>RAGUNDA</t>
        </is>
      </c>
      <c r="F1127" t="inlineStr">
        <is>
          <t>SCA</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55904-2022</t>
        </is>
      </c>
      <c r="B1128" s="1" t="n">
        <v>44888</v>
      </c>
      <c r="C1128" s="1" t="n">
        <v>46092</v>
      </c>
      <c r="D1128" t="inlineStr">
        <is>
          <t>JÄMTLANDS LÄN</t>
        </is>
      </c>
      <c r="E1128" t="inlineStr">
        <is>
          <t>RAGUNDA</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7281-2025</t>
        </is>
      </c>
      <c r="B1129" s="1" t="n">
        <v>45702.63572916666</v>
      </c>
      <c r="C1129" s="1" t="n">
        <v>46092</v>
      </c>
      <c r="D1129" t="inlineStr">
        <is>
          <t>JÄMTLANDS LÄN</t>
        </is>
      </c>
      <c r="E1129" t="inlineStr">
        <is>
          <t>RAGUNDA</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48192-2024</t>
        </is>
      </c>
      <c r="B1130" s="1" t="n">
        <v>45590</v>
      </c>
      <c r="C1130" s="1" t="n">
        <v>46092</v>
      </c>
      <c r="D1130" t="inlineStr">
        <is>
          <t>JÄMTLANDS LÄN</t>
        </is>
      </c>
      <c r="E1130" t="inlineStr">
        <is>
          <t>RAGUNDA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2599-2023</t>
        </is>
      </c>
      <c r="B1131" s="1" t="n">
        <v>44943.94802083333</v>
      </c>
      <c r="C1131" s="1" t="n">
        <v>46092</v>
      </c>
      <c r="D1131" t="inlineStr">
        <is>
          <t>JÄMTLANDS LÄN</t>
        </is>
      </c>
      <c r="E1131" t="inlineStr">
        <is>
          <t>RAGUNDA</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48249-2024</t>
        </is>
      </c>
      <c r="B1132" s="1" t="n">
        <v>45590.40675925926</v>
      </c>
      <c r="C1132" s="1" t="n">
        <v>46092</v>
      </c>
      <c r="D1132" t="inlineStr">
        <is>
          <t>JÄMTLANDS LÄN</t>
        </is>
      </c>
      <c r="E1132" t="inlineStr">
        <is>
          <t>RAGUNDA</t>
        </is>
      </c>
      <c r="F1132" t="inlineStr">
        <is>
          <t>SCA</t>
        </is>
      </c>
      <c r="G1132" t="n">
        <v>14.4</v>
      </c>
      <c r="H1132" t="n">
        <v>0</v>
      </c>
      <c r="I1132" t="n">
        <v>0</v>
      </c>
      <c r="J1132" t="n">
        <v>0</v>
      </c>
      <c r="K1132" t="n">
        <v>0</v>
      </c>
      <c r="L1132" t="n">
        <v>0</v>
      </c>
      <c r="M1132" t="n">
        <v>0</v>
      </c>
      <c r="N1132" t="n">
        <v>0</v>
      </c>
      <c r="O1132" t="n">
        <v>0</v>
      </c>
      <c r="P1132" t="n">
        <v>0</v>
      </c>
      <c r="Q1132" t="n">
        <v>0</v>
      </c>
      <c r="R1132" s="2" t="inlineStr"/>
    </row>
    <row r="1133" ht="15" customHeight="1">
      <c r="A1133" t="inlineStr">
        <is>
          <t>A 64265-2023</t>
        </is>
      </c>
      <c r="B1133" s="1" t="n">
        <v>45279.94572916667</v>
      </c>
      <c r="C1133" s="1" t="n">
        <v>46092</v>
      </c>
      <c r="D1133" t="inlineStr">
        <is>
          <t>JÄMTLANDS LÄN</t>
        </is>
      </c>
      <c r="E1133" t="inlineStr">
        <is>
          <t>RAGUNDA</t>
        </is>
      </c>
      <c r="F1133" t="inlineStr">
        <is>
          <t>SCA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66706-2021</t>
        </is>
      </c>
      <c r="B1134" s="1" t="n">
        <v>44519.94440972222</v>
      </c>
      <c r="C1134" s="1" t="n">
        <v>46092</v>
      </c>
      <c r="D1134" t="inlineStr">
        <is>
          <t>JÄMTLANDS LÄN</t>
        </is>
      </c>
      <c r="E1134" t="inlineStr">
        <is>
          <t>RAGUNDA</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55222-2024</t>
        </is>
      </c>
      <c r="B1135" s="1" t="n">
        <v>45621.57395833333</v>
      </c>
      <c r="C1135" s="1" t="n">
        <v>46092</v>
      </c>
      <c r="D1135" t="inlineStr">
        <is>
          <t>JÄMTLANDS LÄN</t>
        </is>
      </c>
      <c r="E1135" t="inlineStr">
        <is>
          <t>RAGUNDA</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46211-2024</t>
        </is>
      </c>
      <c r="B1136" s="1" t="n">
        <v>45581.55260416667</v>
      </c>
      <c r="C1136" s="1" t="n">
        <v>46092</v>
      </c>
      <c r="D1136" t="inlineStr">
        <is>
          <t>JÄMTLANDS LÄN</t>
        </is>
      </c>
      <c r="E1136" t="inlineStr">
        <is>
          <t>RAGUNDA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31435-2022</t>
        </is>
      </c>
      <c r="B1137" s="1" t="n">
        <v>44774</v>
      </c>
      <c r="C1137" s="1" t="n">
        <v>46092</v>
      </c>
      <c r="D1137" t="inlineStr">
        <is>
          <t>JÄMTLANDS LÄN</t>
        </is>
      </c>
      <c r="E1137" t="inlineStr">
        <is>
          <t>RAGUNDA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39608-2024</t>
        </is>
      </c>
      <c r="B1138" s="1" t="n">
        <v>45552.39113425926</v>
      </c>
      <c r="C1138" s="1" t="n">
        <v>46092</v>
      </c>
      <c r="D1138" t="inlineStr">
        <is>
          <t>JÄMTLANDS LÄN</t>
        </is>
      </c>
      <c r="E1138" t="inlineStr">
        <is>
          <t>RAGUNDA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39626-2024</t>
        </is>
      </c>
      <c r="B1139" s="1" t="n">
        <v>45552.44096064815</v>
      </c>
      <c r="C1139" s="1" t="n">
        <v>46092</v>
      </c>
      <c r="D1139" t="inlineStr">
        <is>
          <t>JÄMTLANDS LÄN</t>
        </is>
      </c>
      <c r="E1139" t="inlineStr">
        <is>
          <t>RAGUNDA</t>
        </is>
      </c>
      <c r="G1139" t="n">
        <v>23.5</v>
      </c>
      <c r="H1139" t="n">
        <v>0</v>
      </c>
      <c r="I1139" t="n">
        <v>0</v>
      </c>
      <c r="J1139" t="n">
        <v>0</v>
      </c>
      <c r="K1139" t="n">
        <v>0</v>
      </c>
      <c r="L1139" t="n">
        <v>0</v>
      </c>
      <c r="M1139" t="n">
        <v>0</v>
      </c>
      <c r="N1139" t="n">
        <v>0</v>
      </c>
      <c r="O1139" t="n">
        <v>0</v>
      </c>
      <c r="P1139" t="n">
        <v>0</v>
      </c>
      <c r="Q1139" t="n">
        <v>0</v>
      </c>
      <c r="R1139" s="2" t="inlineStr"/>
    </row>
    <row r="1140" ht="15" customHeight="1">
      <c r="A1140" t="inlineStr">
        <is>
          <t>A 56984-2022</t>
        </is>
      </c>
      <c r="B1140" s="1" t="n">
        <v>44894.79018518519</v>
      </c>
      <c r="C1140" s="1" t="n">
        <v>46092</v>
      </c>
      <c r="D1140" t="inlineStr">
        <is>
          <t>JÄMTLANDS LÄN</t>
        </is>
      </c>
      <c r="E1140" t="inlineStr">
        <is>
          <t>RAGUNDA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13264-2025</t>
        </is>
      </c>
      <c r="B1141" s="1" t="n">
        <v>45735</v>
      </c>
      <c r="C1141" s="1" t="n">
        <v>46092</v>
      </c>
      <c r="D1141" t="inlineStr">
        <is>
          <t>JÄMTLANDS LÄN</t>
        </is>
      </c>
      <c r="E1141" t="inlineStr">
        <is>
          <t>RAGUNDA</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5307-2025</t>
        </is>
      </c>
      <c r="B1142" s="1" t="n">
        <v>45692.48993055556</v>
      </c>
      <c r="C1142" s="1" t="n">
        <v>46092</v>
      </c>
      <c r="D1142" t="inlineStr">
        <is>
          <t>JÄMTLANDS LÄN</t>
        </is>
      </c>
      <c r="E1142" t="inlineStr">
        <is>
          <t>RAGUNDA</t>
        </is>
      </c>
      <c r="F1142" t="inlineStr">
        <is>
          <t>SCA</t>
        </is>
      </c>
      <c r="G1142" t="n">
        <v>20.9</v>
      </c>
      <c r="H1142" t="n">
        <v>0</v>
      </c>
      <c r="I1142" t="n">
        <v>0</v>
      </c>
      <c r="J1142" t="n">
        <v>0</v>
      </c>
      <c r="K1142" t="n">
        <v>0</v>
      </c>
      <c r="L1142" t="n">
        <v>0</v>
      </c>
      <c r="M1142" t="n">
        <v>0</v>
      </c>
      <c r="N1142" t="n">
        <v>0</v>
      </c>
      <c r="O1142" t="n">
        <v>0</v>
      </c>
      <c r="P1142" t="n">
        <v>0</v>
      </c>
      <c r="Q1142" t="n">
        <v>0</v>
      </c>
      <c r="R1142" s="2" t="inlineStr"/>
    </row>
    <row r="1143" ht="15" customHeight="1">
      <c r="A1143" t="inlineStr">
        <is>
          <t>A 38548-2024</t>
        </is>
      </c>
      <c r="B1143" s="1" t="n">
        <v>45546</v>
      </c>
      <c r="C1143" s="1" t="n">
        <v>46092</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2411-2023</t>
        </is>
      </c>
      <c r="B1144" s="1" t="n">
        <v>44942</v>
      </c>
      <c r="C1144" s="1" t="n">
        <v>46092</v>
      </c>
      <c r="D1144" t="inlineStr">
        <is>
          <t>JÄMTLANDS LÄN</t>
        </is>
      </c>
      <c r="E1144" t="inlineStr">
        <is>
          <t>RAGUNDA</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13935-2024</t>
        </is>
      </c>
      <c r="B1145" s="1" t="n">
        <v>45391.95329861111</v>
      </c>
      <c r="C1145" s="1" t="n">
        <v>46092</v>
      </c>
      <c r="D1145" t="inlineStr">
        <is>
          <t>JÄMTLANDS LÄN</t>
        </is>
      </c>
      <c r="E1145" t="inlineStr">
        <is>
          <t>RAGUNDA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5308-2025</t>
        </is>
      </c>
      <c r="B1146" s="1" t="n">
        <v>45692.49008101852</v>
      </c>
      <c r="C1146" s="1" t="n">
        <v>46092</v>
      </c>
      <c r="D1146" t="inlineStr">
        <is>
          <t>JÄMTLANDS LÄN</t>
        </is>
      </c>
      <c r="E1146" t="inlineStr">
        <is>
          <t>RAGUNDA</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58194-2022</t>
        </is>
      </c>
      <c r="B1147" s="1" t="n">
        <v>44900</v>
      </c>
      <c r="C1147" s="1" t="n">
        <v>46092</v>
      </c>
      <c r="D1147" t="inlineStr">
        <is>
          <t>JÄMTLANDS LÄN</t>
        </is>
      </c>
      <c r="E1147" t="inlineStr">
        <is>
          <t>RAGUNDA</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24171-2021</t>
        </is>
      </c>
      <c r="B1148" s="1" t="n">
        <v>44336</v>
      </c>
      <c r="C1148" s="1" t="n">
        <v>46092</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58843-2024</t>
        </is>
      </c>
      <c r="B1149" s="1" t="n">
        <v>45636.38599537037</v>
      </c>
      <c r="C1149" s="1" t="n">
        <v>46092</v>
      </c>
      <c r="D1149" t="inlineStr">
        <is>
          <t>JÄMTLANDS LÄN</t>
        </is>
      </c>
      <c r="E1149" t="inlineStr">
        <is>
          <t>RAGUNDA</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53287-2022</t>
        </is>
      </c>
      <c r="B1150" s="1" t="n">
        <v>44876</v>
      </c>
      <c r="C1150" s="1" t="n">
        <v>46092</v>
      </c>
      <c r="D1150" t="inlineStr">
        <is>
          <t>JÄMTLANDS LÄN</t>
        </is>
      </c>
      <c r="E1150" t="inlineStr">
        <is>
          <t>RAGUNDA</t>
        </is>
      </c>
      <c r="F1150" t="inlineStr">
        <is>
          <t>SCA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16320-2025</t>
        </is>
      </c>
      <c r="B1151" s="1" t="n">
        <v>45751.34859953704</v>
      </c>
      <c r="C1151" s="1" t="n">
        <v>46092</v>
      </c>
      <c r="D1151" t="inlineStr">
        <is>
          <t>JÄMTLANDS LÄN</t>
        </is>
      </c>
      <c r="E1151" t="inlineStr">
        <is>
          <t>RAGUNDA</t>
        </is>
      </c>
      <c r="F1151" t="inlineStr">
        <is>
          <t>SCA</t>
        </is>
      </c>
      <c r="G1151" t="n">
        <v>16.2</v>
      </c>
      <c r="H1151" t="n">
        <v>0</v>
      </c>
      <c r="I1151" t="n">
        <v>0</v>
      </c>
      <c r="J1151" t="n">
        <v>0</v>
      </c>
      <c r="K1151" t="n">
        <v>0</v>
      </c>
      <c r="L1151" t="n">
        <v>0</v>
      </c>
      <c r="M1151" t="n">
        <v>0</v>
      </c>
      <c r="N1151" t="n">
        <v>0</v>
      </c>
      <c r="O1151" t="n">
        <v>0</v>
      </c>
      <c r="P1151" t="n">
        <v>0</v>
      </c>
      <c r="Q1151" t="n">
        <v>0</v>
      </c>
      <c r="R1151" s="2" t="inlineStr"/>
    </row>
    <row r="1152" ht="15" customHeight="1">
      <c r="A1152" t="inlineStr">
        <is>
          <t>A 16321-2025</t>
        </is>
      </c>
      <c r="B1152" s="1" t="n">
        <v>45751.34873842593</v>
      </c>
      <c r="C1152" s="1" t="n">
        <v>46092</v>
      </c>
      <c r="D1152" t="inlineStr">
        <is>
          <t>JÄMTLANDS LÄN</t>
        </is>
      </c>
      <c r="E1152" t="inlineStr">
        <is>
          <t>RAGUNDA</t>
        </is>
      </c>
      <c r="F1152" t="inlineStr">
        <is>
          <t>SCA</t>
        </is>
      </c>
      <c r="G1152" t="n">
        <v>63.3</v>
      </c>
      <c r="H1152" t="n">
        <v>0</v>
      </c>
      <c r="I1152" t="n">
        <v>0</v>
      </c>
      <c r="J1152" t="n">
        <v>0</v>
      </c>
      <c r="K1152" t="n">
        <v>0</v>
      </c>
      <c r="L1152" t="n">
        <v>0</v>
      </c>
      <c r="M1152" t="n">
        <v>0</v>
      </c>
      <c r="N1152" t="n">
        <v>0</v>
      </c>
      <c r="O1152" t="n">
        <v>0</v>
      </c>
      <c r="P1152" t="n">
        <v>0</v>
      </c>
      <c r="Q1152" t="n">
        <v>0</v>
      </c>
      <c r="R1152" s="2" t="inlineStr"/>
    </row>
    <row r="1153" ht="15" customHeight="1">
      <c r="A1153" t="inlineStr">
        <is>
          <t>A 14696-2022</t>
        </is>
      </c>
      <c r="B1153" s="1" t="n">
        <v>44655</v>
      </c>
      <c r="C1153" s="1" t="n">
        <v>46092</v>
      </c>
      <c r="D1153" t="inlineStr">
        <is>
          <t>JÄMTLANDS LÄN</t>
        </is>
      </c>
      <c r="E1153" t="inlineStr">
        <is>
          <t>RAGUNDA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55514-2024</t>
        </is>
      </c>
      <c r="B1154" s="1" t="n">
        <v>45622.46910879629</v>
      </c>
      <c r="C1154" s="1" t="n">
        <v>46092</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18375-2022</t>
        </is>
      </c>
      <c r="B1155" s="1" t="n">
        <v>44685</v>
      </c>
      <c r="C1155" s="1" t="n">
        <v>46092</v>
      </c>
      <c r="D1155" t="inlineStr">
        <is>
          <t>JÄMTLANDS LÄN</t>
        </is>
      </c>
      <c r="E1155" t="inlineStr">
        <is>
          <t>RAGUNDA</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17248-2023</t>
        </is>
      </c>
      <c r="B1156" s="1" t="n">
        <v>45033</v>
      </c>
      <c r="C1156" s="1" t="n">
        <v>46092</v>
      </c>
      <c r="D1156" t="inlineStr">
        <is>
          <t>JÄMTLANDS LÄN</t>
        </is>
      </c>
      <c r="E1156" t="inlineStr">
        <is>
          <t>RAGUNDA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62011-2022</t>
        </is>
      </c>
      <c r="B1157" s="1" t="n">
        <v>44914</v>
      </c>
      <c r="C1157" s="1" t="n">
        <v>46092</v>
      </c>
      <c r="D1157" t="inlineStr">
        <is>
          <t>JÄMTLANDS LÄN</t>
        </is>
      </c>
      <c r="E1157" t="inlineStr">
        <is>
          <t>RAGUNDA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11557-2023</t>
        </is>
      </c>
      <c r="B1158" s="1" t="n">
        <v>44993.94950231481</v>
      </c>
      <c r="C1158" s="1" t="n">
        <v>46092</v>
      </c>
      <c r="D1158" t="inlineStr">
        <is>
          <t>JÄMTLANDS LÄN</t>
        </is>
      </c>
      <c r="E1158" t="inlineStr">
        <is>
          <t>RAGUNDA</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11562-2023</t>
        </is>
      </c>
      <c r="B1159" s="1" t="n">
        <v>44993</v>
      </c>
      <c r="C1159" s="1" t="n">
        <v>46092</v>
      </c>
      <c r="D1159" t="inlineStr">
        <is>
          <t>JÄMTLANDS LÄN</t>
        </is>
      </c>
      <c r="E1159" t="inlineStr">
        <is>
          <t>RAGUNDA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22131-2021</t>
        </is>
      </c>
      <c r="B1160" s="1" t="n">
        <v>44323</v>
      </c>
      <c r="C1160" s="1" t="n">
        <v>46092</v>
      </c>
      <c r="D1160" t="inlineStr">
        <is>
          <t>JÄMTLANDS LÄN</t>
        </is>
      </c>
      <c r="E1160" t="inlineStr">
        <is>
          <t>RAGUNDA</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5971-2025</t>
        </is>
      </c>
      <c r="B1161" s="1" t="n">
        <v>45695.51070601852</v>
      </c>
      <c r="C1161" s="1" t="n">
        <v>46092</v>
      </c>
      <c r="D1161" t="inlineStr">
        <is>
          <t>JÄMTLANDS LÄN</t>
        </is>
      </c>
      <c r="E1161" t="inlineStr">
        <is>
          <t>RAGUNDA</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30563-2023</t>
        </is>
      </c>
      <c r="B1162" s="1" t="n">
        <v>45111.92793981481</v>
      </c>
      <c r="C1162" s="1" t="n">
        <v>46092</v>
      </c>
      <c r="D1162" t="inlineStr">
        <is>
          <t>JÄMTLANDS LÄN</t>
        </is>
      </c>
      <c r="E1162" t="inlineStr">
        <is>
          <t>RAGUNDA</t>
        </is>
      </c>
      <c r="F1162" t="inlineStr">
        <is>
          <t>Övriga Aktiebolag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36212-2023</t>
        </is>
      </c>
      <c r="B1163" s="1" t="n">
        <v>45149.95241898148</v>
      </c>
      <c r="C1163" s="1" t="n">
        <v>46092</v>
      </c>
      <c r="D1163" t="inlineStr">
        <is>
          <t>JÄMTLANDS LÄN</t>
        </is>
      </c>
      <c r="E1163" t="inlineStr">
        <is>
          <t>RAGUNDA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12768-2022</t>
        </is>
      </c>
      <c r="B1164" s="1" t="n">
        <v>44641</v>
      </c>
      <c r="C1164" s="1" t="n">
        <v>46092</v>
      </c>
      <c r="D1164" t="inlineStr">
        <is>
          <t>JÄMTLANDS LÄN</t>
        </is>
      </c>
      <c r="E1164" t="inlineStr">
        <is>
          <t>RAGUNDA</t>
        </is>
      </c>
      <c r="F1164" t="inlineStr">
        <is>
          <t>SCA</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12773-2022</t>
        </is>
      </c>
      <c r="B1165" s="1" t="n">
        <v>44641</v>
      </c>
      <c r="C1165" s="1" t="n">
        <v>46092</v>
      </c>
      <c r="D1165" t="inlineStr">
        <is>
          <t>JÄMTLANDS LÄN</t>
        </is>
      </c>
      <c r="E1165" t="inlineStr">
        <is>
          <t>RAGUNDA</t>
        </is>
      </c>
      <c r="F1165" t="inlineStr">
        <is>
          <t>SCA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5067-2024</t>
        </is>
      </c>
      <c r="B1166" s="1" t="n">
        <v>45329.95806712963</v>
      </c>
      <c r="C1166" s="1" t="n">
        <v>46092</v>
      </c>
      <c r="D1166" t="inlineStr">
        <is>
          <t>JÄMTLANDS LÄN</t>
        </is>
      </c>
      <c r="E1166" t="inlineStr">
        <is>
          <t>RAGUNDA</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14905-2022</t>
        </is>
      </c>
      <c r="B1167" s="1" t="n">
        <v>44656.94708333333</v>
      </c>
      <c r="C1167" s="1" t="n">
        <v>46092</v>
      </c>
      <c r="D1167" t="inlineStr">
        <is>
          <t>JÄMTLANDS LÄN</t>
        </is>
      </c>
      <c r="E1167" t="inlineStr">
        <is>
          <t>RAGUNDA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29766-2023</t>
        </is>
      </c>
      <c r="B1168" s="1" t="n">
        <v>45098</v>
      </c>
      <c r="C1168" s="1" t="n">
        <v>46092</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61107-2024</t>
        </is>
      </c>
      <c r="B1169" s="1" t="n">
        <v>45645.55665509259</v>
      </c>
      <c r="C1169" s="1" t="n">
        <v>46092</v>
      </c>
      <c r="D1169" t="inlineStr">
        <is>
          <t>JÄMTLANDS LÄN</t>
        </is>
      </c>
      <c r="E1169" t="inlineStr">
        <is>
          <t>RAGUNDA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23287-2024</t>
        </is>
      </c>
      <c r="B1170" s="1" t="n">
        <v>45453.42041666667</v>
      </c>
      <c r="C1170" s="1" t="n">
        <v>46092</v>
      </c>
      <c r="D1170" t="inlineStr">
        <is>
          <t>JÄMTLANDS LÄN</t>
        </is>
      </c>
      <c r="E1170" t="inlineStr">
        <is>
          <t>RAGUNDA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36922-2022</t>
        </is>
      </c>
      <c r="B1171" s="1" t="n">
        <v>44805.94592592592</v>
      </c>
      <c r="C1171" s="1" t="n">
        <v>46092</v>
      </c>
      <c r="D1171" t="inlineStr">
        <is>
          <t>JÄMTLANDS LÄN</t>
        </is>
      </c>
      <c r="E1171" t="inlineStr">
        <is>
          <t>RAGUNDA</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26347-2023</t>
        </is>
      </c>
      <c r="B1172" s="1" t="n">
        <v>45091</v>
      </c>
      <c r="C1172" s="1" t="n">
        <v>46092</v>
      </c>
      <c r="D1172" t="inlineStr">
        <is>
          <t>JÄMTLANDS LÄN</t>
        </is>
      </c>
      <c r="E1172" t="inlineStr">
        <is>
          <t>RAGUNDA</t>
        </is>
      </c>
      <c r="F1172" t="inlineStr">
        <is>
          <t>SCA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45139.94681712963</v>
      </c>
      <c r="C1173" s="1" t="n">
        <v>46092</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22948-2024</t>
        </is>
      </c>
      <c r="B1174" s="1" t="n">
        <v>45448.94600694445</v>
      </c>
      <c r="C1174" s="1" t="n">
        <v>46092</v>
      </c>
      <c r="D1174" t="inlineStr">
        <is>
          <t>JÄMTLANDS LÄN</t>
        </is>
      </c>
      <c r="E1174" t="inlineStr">
        <is>
          <t>RAGUNDA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23304-2023</t>
        </is>
      </c>
      <c r="B1175" s="1" t="n">
        <v>45075.945</v>
      </c>
      <c r="C1175" s="1" t="n">
        <v>46092</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36226-2023</t>
        </is>
      </c>
      <c r="B1176" s="1" t="n">
        <v>45149.95372685185</v>
      </c>
      <c r="C1176" s="1" t="n">
        <v>46092</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18615-2024</t>
        </is>
      </c>
      <c r="B1177" s="1" t="n">
        <v>45425.96275462963</v>
      </c>
      <c r="C1177" s="1" t="n">
        <v>46092</v>
      </c>
      <c r="D1177" t="inlineStr">
        <is>
          <t>JÄMTLANDS LÄN</t>
        </is>
      </c>
      <c r="E1177" t="inlineStr">
        <is>
          <t>RAGUNDA</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40269-2022</t>
        </is>
      </c>
      <c r="B1178" s="1" t="n">
        <v>44820</v>
      </c>
      <c r="C1178" s="1" t="n">
        <v>46092</v>
      </c>
      <c r="D1178" t="inlineStr">
        <is>
          <t>JÄMTLANDS LÄN</t>
        </is>
      </c>
      <c r="E1178" t="inlineStr">
        <is>
          <t>RAGUNDA</t>
        </is>
      </c>
      <c r="F1178" t="inlineStr">
        <is>
          <t>SCA</t>
        </is>
      </c>
      <c r="G1178" t="n">
        <v>77.8</v>
      </c>
      <c r="H1178" t="n">
        <v>0</v>
      </c>
      <c r="I1178" t="n">
        <v>0</v>
      </c>
      <c r="J1178" t="n">
        <v>0</v>
      </c>
      <c r="K1178" t="n">
        <v>0</v>
      </c>
      <c r="L1178" t="n">
        <v>0</v>
      </c>
      <c r="M1178" t="n">
        <v>0</v>
      </c>
      <c r="N1178" t="n">
        <v>0</v>
      </c>
      <c r="O1178" t="n">
        <v>0</v>
      </c>
      <c r="P1178" t="n">
        <v>0</v>
      </c>
      <c r="Q1178" t="n">
        <v>0</v>
      </c>
      <c r="R1178" s="2" t="inlineStr"/>
    </row>
    <row r="1179" ht="15" customHeight="1">
      <c r="A1179" t="inlineStr">
        <is>
          <t>A 37242-2024</t>
        </is>
      </c>
      <c r="B1179" s="1" t="n">
        <v>45540.34428240741</v>
      </c>
      <c r="C1179" s="1" t="n">
        <v>46092</v>
      </c>
      <c r="D1179" t="inlineStr">
        <is>
          <t>JÄMTLANDS LÄN</t>
        </is>
      </c>
      <c r="E1179" t="inlineStr">
        <is>
          <t>RAGUNDA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45438-2022</t>
        </is>
      </c>
      <c r="B1180" s="1" t="n">
        <v>44844.95368055555</v>
      </c>
      <c r="C1180" s="1" t="n">
        <v>46092</v>
      </c>
      <c r="D1180" t="inlineStr">
        <is>
          <t>JÄMTLANDS LÄN</t>
        </is>
      </c>
      <c r="E1180" t="inlineStr">
        <is>
          <t>RAGUNDA</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56191-2022</t>
        </is>
      </c>
      <c r="B1181" s="1" t="n">
        <v>44889.95015046297</v>
      </c>
      <c r="C1181" s="1" t="n">
        <v>46092</v>
      </c>
      <c r="D1181" t="inlineStr">
        <is>
          <t>JÄMTLANDS LÄN</t>
        </is>
      </c>
      <c r="E1181" t="inlineStr">
        <is>
          <t>RAGUNDA</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30823-2023</t>
        </is>
      </c>
      <c r="B1182" s="1" t="n">
        <v>45112</v>
      </c>
      <c r="C1182" s="1" t="n">
        <v>46092</v>
      </c>
      <c r="D1182" t="inlineStr">
        <is>
          <t>JÄMTLANDS LÄN</t>
        </is>
      </c>
      <c r="E1182" t="inlineStr">
        <is>
          <t>RAGUNDA</t>
        </is>
      </c>
      <c r="F1182" t="inlineStr">
        <is>
          <t>SCA</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43339-2024</t>
        </is>
      </c>
      <c r="B1183" s="1" t="n">
        <v>45568.51075231482</v>
      </c>
      <c r="C1183" s="1" t="n">
        <v>46092</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43102-2023</t>
        </is>
      </c>
      <c r="B1184" s="1" t="n">
        <v>45182</v>
      </c>
      <c r="C1184" s="1" t="n">
        <v>46092</v>
      </c>
      <c r="D1184" t="inlineStr">
        <is>
          <t>JÄMTLANDS LÄN</t>
        </is>
      </c>
      <c r="E1184" t="inlineStr">
        <is>
          <t>RAGUNDA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9823-2025</t>
        </is>
      </c>
      <c r="B1185" s="1" t="n">
        <v>45716</v>
      </c>
      <c r="C1185" s="1" t="n">
        <v>46092</v>
      </c>
      <c r="D1185" t="inlineStr">
        <is>
          <t>JÄMTLANDS LÄN</t>
        </is>
      </c>
      <c r="E1185" t="inlineStr">
        <is>
          <t>RAGUNDA</t>
        </is>
      </c>
      <c r="F1185" t="inlineStr">
        <is>
          <t>SCA</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13917-2023</t>
        </is>
      </c>
      <c r="B1186" s="1" t="n">
        <v>45007</v>
      </c>
      <c r="C1186" s="1" t="n">
        <v>46092</v>
      </c>
      <c r="D1186" t="inlineStr">
        <is>
          <t>JÄMTLANDS LÄN</t>
        </is>
      </c>
      <c r="E1186" t="inlineStr">
        <is>
          <t>RAGUNDA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53019-2023</t>
        </is>
      </c>
      <c r="B1187" s="1" t="n">
        <v>45222</v>
      </c>
      <c r="C1187" s="1" t="n">
        <v>46092</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14212-2023</t>
        </is>
      </c>
      <c r="B1188" s="1" t="n">
        <v>45009</v>
      </c>
      <c r="C1188" s="1" t="n">
        <v>46092</v>
      </c>
      <c r="D1188" t="inlineStr">
        <is>
          <t>JÄMTLANDS LÄN</t>
        </is>
      </c>
      <c r="E1188" t="inlineStr">
        <is>
          <t>RAGUNDA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59996-2023</t>
        </is>
      </c>
      <c r="B1189" s="1" t="n">
        <v>45257.92826388889</v>
      </c>
      <c r="C1189" s="1" t="n">
        <v>46092</v>
      </c>
      <c r="D1189" t="inlineStr">
        <is>
          <t>JÄMTLANDS LÄN</t>
        </is>
      </c>
      <c r="E1189" t="inlineStr">
        <is>
          <t>RAGUNDA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44980-2023</t>
        </is>
      </c>
      <c r="B1190" s="1" t="n">
        <v>45190</v>
      </c>
      <c r="C1190" s="1" t="n">
        <v>46092</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14076-2023</t>
        </is>
      </c>
      <c r="B1191" s="1" t="n">
        <v>45009.0897337963</v>
      </c>
      <c r="C1191" s="1" t="n">
        <v>46092</v>
      </c>
      <c r="D1191" t="inlineStr">
        <is>
          <t>JÄMTLANDS LÄN</t>
        </is>
      </c>
      <c r="E1191" t="inlineStr">
        <is>
          <t>RAGUNDA</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12805-2025</t>
        </is>
      </c>
      <c r="B1192" s="1" t="n">
        <v>45733.61497685185</v>
      </c>
      <c r="C1192" s="1" t="n">
        <v>46092</v>
      </c>
      <c r="D1192" t="inlineStr">
        <is>
          <t>JÄMTLANDS LÄN</t>
        </is>
      </c>
      <c r="E1192" t="inlineStr">
        <is>
          <t>RAGUNDA</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12808-2025</t>
        </is>
      </c>
      <c r="B1193" s="1" t="n">
        <v>45733.61554398148</v>
      </c>
      <c r="C1193" s="1" t="n">
        <v>46092</v>
      </c>
      <c r="D1193" t="inlineStr">
        <is>
          <t>JÄMTLANDS LÄN</t>
        </is>
      </c>
      <c r="E1193" t="inlineStr">
        <is>
          <t>RAGUNDA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4615-2023</t>
        </is>
      </c>
      <c r="B1194" s="1" t="n">
        <v>44956.93924768519</v>
      </c>
      <c r="C1194" s="1" t="n">
        <v>46092</v>
      </c>
      <c r="D1194" t="inlineStr">
        <is>
          <t>JÄMTLANDS LÄN</t>
        </is>
      </c>
      <c r="E1194" t="inlineStr">
        <is>
          <t>RAGUNDA</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5938-2025</t>
        </is>
      </c>
      <c r="B1195" s="1" t="n">
        <v>45695.45868055556</v>
      </c>
      <c r="C1195" s="1" t="n">
        <v>46092</v>
      </c>
      <c r="D1195" t="inlineStr">
        <is>
          <t>JÄMTLANDS LÄN</t>
        </is>
      </c>
      <c r="E1195" t="inlineStr">
        <is>
          <t>RAGUNDA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4125-2024</t>
        </is>
      </c>
      <c r="B1196" s="1" t="n">
        <v>45323</v>
      </c>
      <c r="C1196" s="1" t="n">
        <v>46092</v>
      </c>
      <c r="D1196" t="inlineStr">
        <is>
          <t>JÄMTLANDS LÄN</t>
        </is>
      </c>
      <c r="E1196" t="inlineStr">
        <is>
          <t>RAGUNDA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53549-2024</t>
        </is>
      </c>
      <c r="B1197" s="1" t="n">
        <v>45614.63869212963</v>
      </c>
      <c r="C1197" s="1" t="n">
        <v>46092</v>
      </c>
      <c r="D1197" t="inlineStr">
        <is>
          <t>JÄMTLANDS LÄN</t>
        </is>
      </c>
      <c r="E1197" t="inlineStr">
        <is>
          <t>RAGUNDA</t>
        </is>
      </c>
      <c r="F1197" t="inlineStr">
        <is>
          <t>Kyrkan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7284-2025</t>
        </is>
      </c>
      <c r="B1198" s="1" t="n">
        <v>45702.63604166666</v>
      </c>
      <c r="C1198" s="1" t="n">
        <v>46092</v>
      </c>
      <c r="D1198" t="inlineStr">
        <is>
          <t>JÄMTLANDS LÄN</t>
        </is>
      </c>
      <c r="E1198" t="inlineStr">
        <is>
          <t>RAGUNDA</t>
        </is>
      </c>
      <c r="F1198" t="inlineStr">
        <is>
          <t>SCA</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31506-2024</t>
        </is>
      </c>
      <c r="B1199" s="1" t="n">
        <v>45505</v>
      </c>
      <c r="C1199" s="1" t="n">
        <v>46092</v>
      </c>
      <c r="D1199" t="inlineStr">
        <is>
          <t>JÄMTLANDS LÄN</t>
        </is>
      </c>
      <c r="E1199" t="inlineStr">
        <is>
          <t>RAGUNDA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19382-2025</t>
        </is>
      </c>
      <c r="B1200" s="1" t="n">
        <v>45769.65659722222</v>
      </c>
      <c r="C1200" s="1" t="n">
        <v>46092</v>
      </c>
      <c r="D1200" t="inlineStr">
        <is>
          <t>JÄMTLANDS LÄN</t>
        </is>
      </c>
      <c r="E1200" t="inlineStr">
        <is>
          <t>RAGUNDA</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37479-2023</t>
        </is>
      </c>
      <c r="B1201" s="1" t="n">
        <v>45156</v>
      </c>
      <c r="C1201" s="1" t="n">
        <v>46092</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4866-2025</t>
        </is>
      </c>
      <c r="B1202" s="1" t="n">
        <v>45688.67542824074</v>
      </c>
      <c r="C1202" s="1" t="n">
        <v>46092</v>
      </c>
      <c r="D1202" t="inlineStr">
        <is>
          <t>JÄMTLANDS LÄN</t>
        </is>
      </c>
      <c r="E1202" t="inlineStr">
        <is>
          <t>RAGUNDA</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11780-2024</t>
        </is>
      </c>
      <c r="B1203" s="1" t="n">
        <v>45374</v>
      </c>
      <c r="C1203" s="1" t="n">
        <v>46092</v>
      </c>
      <c r="D1203" t="inlineStr">
        <is>
          <t>JÄMTLANDS LÄN</t>
        </is>
      </c>
      <c r="E1203" t="inlineStr">
        <is>
          <t>RAGUNDA</t>
        </is>
      </c>
      <c r="G1203" t="n">
        <v>14.6</v>
      </c>
      <c r="H1203" t="n">
        <v>0</v>
      </c>
      <c r="I1203" t="n">
        <v>0</v>
      </c>
      <c r="J1203" t="n">
        <v>0</v>
      </c>
      <c r="K1203" t="n">
        <v>0</v>
      </c>
      <c r="L1203" t="n">
        <v>0</v>
      </c>
      <c r="M1203" t="n">
        <v>0</v>
      </c>
      <c r="N1203" t="n">
        <v>0</v>
      </c>
      <c r="O1203" t="n">
        <v>0</v>
      </c>
      <c r="P1203" t="n">
        <v>0</v>
      </c>
      <c r="Q1203" t="n">
        <v>0</v>
      </c>
      <c r="R1203" s="2" t="inlineStr"/>
    </row>
    <row r="1204" ht="15" customHeight="1">
      <c r="A1204" t="inlineStr">
        <is>
          <t>A 11288-2022</t>
        </is>
      </c>
      <c r="B1204" s="1" t="n">
        <v>44629</v>
      </c>
      <c r="C1204" s="1" t="n">
        <v>46092</v>
      </c>
      <c r="D1204" t="inlineStr">
        <is>
          <t>JÄMTLANDS LÄN</t>
        </is>
      </c>
      <c r="E1204" t="inlineStr">
        <is>
          <t>RAGUNDA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18984-2023</t>
        </is>
      </c>
      <c r="B1205" s="1" t="n">
        <v>45044</v>
      </c>
      <c r="C1205" s="1" t="n">
        <v>46092</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66011-2021</t>
        </is>
      </c>
      <c r="B1206" s="1" t="n">
        <v>44517.58137731482</v>
      </c>
      <c r="C1206" s="1" t="n">
        <v>46092</v>
      </c>
      <c r="D1206" t="inlineStr">
        <is>
          <t>JÄMTLANDS LÄN</t>
        </is>
      </c>
      <c r="E1206" t="inlineStr">
        <is>
          <t>RAGUNDA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46092</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33615-2023</t>
        </is>
      </c>
      <c r="B1208" s="1" t="n">
        <v>45119</v>
      </c>
      <c r="C1208" s="1" t="n">
        <v>46092</v>
      </c>
      <c r="D1208" t="inlineStr">
        <is>
          <t>JÄMTLANDS LÄN</t>
        </is>
      </c>
      <c r="E1208" t="inlineStr">
        <is>
          <t>RAGUNDA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42510-2023</t>
        </is>
      </c>
      <c r="B1209" s="1" t="n">
        <v>45180.95927083334</v>
      </c>
      <c r="C1209" s="1" t="n">
        <v>46092</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53860-2023</t>
        </is>
      </c>
      <c r="B1210" s="1" t="n">
        <v>45224</v>
      </c>
      <c r="C1210" s="1" t="n">
        <v>46092</v>
      </c>
      <c r="D1210" t="inlineStr">
        <is>
          <t>JÄMTLANDS LÄN</t>
        </is>
      </c>
      <c r="E1210" t="inlineStr">
        <is>
          <t>RAGUNDA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12039-2023</t>
        </is>
      </c>
      <c r="B1211" s="1" t="n">
        <v>44995.98341435185</v>
      </c>
      <c r="C1211" s="1" t="n">
        <v>46092</v>
      </c>
      <c r="D1211" t="inlineStr">
        <is>
          <t>JÄMTLANDS LÄN</t>
        </is>
      </c>
      <c r="E1211" t="inlineStr">
        <is>
          <t>RAGUNDA</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26991-2023</t>
        </is>
      </c>
      <c r="B1212" s="1" t="n">
        <v>45093.92207175926</v>
      </c>
      <c r="C1212" s="1" t="n">
        <v>46092</v>
      </c>
      <c r="D1212" t="inlineStr">
        <is>
          <t>JÄMTLANDS LÄN</t>
        </is>
      </c>
      <c r="E1212" t="inlineStr">
        <is>
          <t>RAGUNDA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13302-2022</t>
        </is>
      </c>
      <c r="B1213" s="1" t="n">
        <v>44644</v>
      </c>
      <c r="C1213" s="1" t="n">
        <v>46092</v>
      </c>
      <c r="D1213" t="inlineStr">
        <is>
          <t>JÄMTLANDS LÄN</t>
        </is>
      </c>
      <c r="E1213" t="inlineStr">
        <is>
          <t>RAGUNDA</t>
        </is>
      </c>
      <c r="F1213" t="inlineStr">
        <is>
          <t>SCA</t>
        </is>
      </c>
      <c r="G1213" t="n">
        <v>35.6</v>
      </c>
      <c r="H1213" t="n">
        <v>0</v>
      </c>
      <c r="I1213" t="n">
        <v>0</v>
      </c>
      <c r="J1213" t="n">
        <v>0</v>
      </c>
      <c r="K1213" t="n">
        <v>0</v>
      </c>
      <c r="L1213" t="n">
        <v>0</v>
      </c>
      <c r="M1213" t="n">
        <v>0</v>
      </c>
      <c r="N1213" t="n">
        <v>0</v>
      </c>
      <c r="O1213" t="n">
        <v>0</v>
      </c>
      <c r="P1213" t="n">
        <v>0</v>
      </c>
      <c r="Q1213" t="n">
        <v>0</v>
      </c>
      <c r="R1213" s="2" t="inlineStr"/>
    </row>
    <row r="1214" ht="15" customHeight="1">
      <c r="A1214" t="inlineStr">
        <is>
          <t>A 26651-2024</t>
        </is>
      </c>
      <c r="B1214" s="1" t="n">
        <v>45469.94876157407</v>
      </c>
      <c r="C1214" s="1" t="n">
        <v>46092</v>
      </c>
      <c r="D1214" t="inlineStr">
        <is>
          <t>JÄMTLANDS LÄN</t>
        </is>
      </c>
      <c r="E1214" t="inlineStr">
        <is>
          <t>RAGUNDA</t>
        </is>
      </c>
      <c r="F1214" t="inlineStr">
        <is>
          <t>SCA</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40919-2024</t>
        </is>
      </c>
      <c r="B1215" s="1" t="n">
        <v>45558.63575231482</v>
      </c>
      <c r="C1215" s="1" t="n">
        <v>46092</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3186-2025</t>
        </is>
      </c>
      <c r="B1216" s="1" t="n">
        <v>45679.40362268518</v>
      </c>
      <c r="C1216" s="1" t="n">
        <v>46092</v>
      </c>
      <c r="D1216" t="inlineStr">
        <is>
          <t>JÄMTLANDS LÄN</t>
        </is>
      </c>
      <c r="E1216" t="inlineStr">
        <is>
          <t>RAGUNDA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465-2023</t>
        </is>
      </c>
      <c r="B1217" s="1" t="n">
        <v>44929</v>
      </c>
      <c r="C1217" s="1" t="n">
        <v>46092</v>
      </c>
      <c r="D1217" t="inlineStr">
        <is>
          <t>JÄMTLANDS LÄN</t>
        </is>
      </c>
      <c r="E1217" t="inlineStr">
        <is>
          <t>RAGUNDA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26455-2023</t>
        </is>
      </c>
      <c r="B1218" s="1" t="n">
        <v>45092</v>
      </c>
      <c r="C1218" s="1" t="n">
        <v>46092</v>
      </c>
      <c r="D1218" t="inlineStr">
        <is>
          <t>JÄMTLANDS LÄN</t>
        </is>
      </c>
      <c r="E1218" t="inlineStr">
        <is>
          <t>RAGUNDA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10639-2024</t>
        </is>
      </c>
      <c r="B1219" s="1" t="n">
        <v>45367.67256944445</v>
      </c>
      <c r="C1219" s="1" t="n">
        <v>46092</v>
      </c>
      <c r="D1219" t="inlineStr">
        <is>
          <t>JÄMTLANDS LÄN</t>
        </is>
      </c>
      <c r="E1219" t="inlineStr">
        <is>
          <t>RAGUNDA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2751-2024</t>
        </is>
      </c>
      <c r="B1220" s="1" t="n">
        <v>45314</v>
      </c>
      <c r="C1220" s="1" t="n">
        <v>46092</v>
      </c>
      <c r="D1220" t="inlineStr">
        <is>
          <t>JÄMTLANDS LÄN</t>
        </is>
      </c>
      <c r="E1220" t="inlineStr">
        <is>
          <t>RAGUNDA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36317-2024</t>
        </is>
      </c>
      <c r="B1221" s="1" t="n">
        <v>45534.63537037037</v>
      </c>
      <c r="C1221" s="1" t="n">
        <v>46092</v>
      </c>
      <c r="D1221" t="inlineStr">
        <is>
          <t>JÄMTLANDS LÄN</t>
        </is>
      </c>
      <c r="E1221" t="inlineStr">
        <is>
          <t>RAGUNDA</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18614-2024</t>
        </is>
      </c>
      <c r="B1222" s="1" t="n">
        <v>45425.96263888889</v>
      </c>
      <c r="C1222" s="1" t="n">
        <v>46092</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8787-2022</t>
        </is>
      </c>
      <c r="B1223" s="1" t="n">
        <v>44614</v>
      </c>
      <c r="C1223" s="1" t="n">
        <v>46092</v>
      </c>
      <c r="D1223" t="inlineStr">
        <is>
          <t>JÄMTLANDS LÄN</t>
        </is>
      </c>
      <c r="E1223" t="inlineStr">
        <is>
          <t>RAGUNDA</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50431-2024</t>
        </is>
      </c>
      <c r="B1224" s="1" t="n">
        <v>45601.40686342592</v>
      </c>
      <c r="C1224" s="1" t="n">
        <v>46092</v>
      </c>
      <c r="D1224" t="inlineStr">
        <is>
          <t>JÄMTLANDS LÄN</t>
        </is>
      </c>
      <c r="E1224" t="inlineStr">
        <is>
          <t>RAGUNDA</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60936-2024</t>
        </is>
      </c>
      <c r="B1225" s="1" t="n">
        <v>45645.36743055555</v>
      </c>
      <c r="C1225" s="1" t="n">
        <v>46092</v>
      </c>
      <c r="D1225" t="inlineStr">
        <is>
          <t>JÄMTLANDS LÄN</t>
        </is>
      </c>
      <c r="E1225" t="inlineStr">
        <is>
          <t>RAGUNDA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4212-2024</t>
        </is>
      </c>
      <c r="B1226" s="1" t="n">
        <v>45324</v>
      </c>
      <c r="C1226" s="1" t="n">
        <v>46092</v>
      </c>
      <c r="D1226" t="inlineStr">
        <is>
          <t>JÄMTLANDS LÄN</t>
        </is>
      </c>
      <c r="E1226" t="inlineStr">
        <is>
          <t>RAGUNDA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9262-2025</t>
        </is>
      </c>
      <c r="B1227" s="1" t="n">
        <v>45714.60649305556</v>
      </c>
      <c r="C1227" s="1" t="n">
        <v>46092</v>
      </c>
      <c r="D1227" t="inlineStr">
        <is>
          <t>JÄMTLANDS LÄN</t>
        </is>
      </c>
      <c r="E1227" t="inlineStr">
        <is>
          <t>RAGUNDA</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60012-2023</t>
        </is>
      </c>
      <c r="B1228" s="1" t="n">
        <v>45257</v>
      </c>
      <c r="C1228" s="1" t="n">
        <v>46092</v>
      </c>
      <c r="D1228" t="inlineStr">
        <is>
          <t>JÄMTLANDS LÄN</t>
        </is>
      </c>
      <c r="E1228" t="inlineStr">
        <is>
          <t>RAGUNDA</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53676-2022</t>
        </is>
      </c>
      <c r="B1229" s="1" t="n">
        <v>44879</v>
      </c>
      <c r="C1229" s="1" t="n">
        <v>46092</v>
      </c>
      <c r="D1229" t="inlineStr">
        <is>
          <t>JÄMTLANDS LÄN</t>
        </is>
      </c>
      <c r="E1229" t="inlineStr">
        <is>
          <t>RAGUNDA</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56504-2024</t>
        </is>
      </c>
      <c r="B1230" s="1" t="n">
        <v>45625.51068287037</v>
      </c>
      <c r="C1230" s="1" t="n">
        <v>46092</v>
      </c>
      <c r="D1230" t="inlineStr">
        <is>
          <t>JÄMTLANDS LÄN</t>
        </is>
      </c>
      <c r="E1230" t="inlineStr">
        <is>
          <t>RAGUNDA</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934-2023</t>
        </is>
      </c>
      <c r="B1231" s="1" t="n">
        <v>44932.93927083333</v>
      </c>
      <c r="C1231" s="1" t="n">
        <v>46092</v>
      </c>
      <c r="D1231" t="inlineStr">
        <is>
          <t>JÄMTLANDS LÄN</t>
        </is>
      </c>
      <c r="E1231" t="inlineStr">
        <is>
          <t>RAGUNDA</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36106-2022</t>
        </is>
      </c>
      <c r="B1232" s="1" t="n">
        <v>44802.94811342593</v>
      </c>
      <c r="C1232" s="1" t="n">
        <v>46092</v>
      </c>
      <c r="D1232" t="inlineStr">
        <is>
          <t>JÄMTLANDS LÄN</t>
        </is>
      </c>
      <c r="E1232" t="inlineStr">
        <is>
          <t>RAGUNDA</t>
        </is>
      </c>
      <c r="F1232" t="inlineStr">
        <is>
          <t>SCA</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57839-2022</t>
        </is>
      </c>
      <c r="B1233" s="1" t="n">
        <v>44897</v>
      </c>
      <c r="C1233" s="1" t="n">
        <v>46092</v>
      </c>
      <c r="D1233" t="inlineStr">
        <is>
          <t>JÄMTLANDS LÄN</t>
        </is>
      </c>
      <c r="E1233" t="inlineStr">
        <is>
          <t>RAGUNDA</t>
        </is>
      </c>
      <c r="F1233" t="inlineStr">
        <is>
          <t>SCA</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41693-2023</t>
        </is>
      </c>
      <c r="B1234" s="1" t="n">
        <v>45176</v>
      </c>
      <c r="C1234" s="1" t="n">
        <v>46092</v>
      </c>
      <c r="D1234" t="inlineStr">
        <is>
          <t>JÄMTLANDS LÄN</t>
        </is>
      </c>
      <c r="E1234" t="inlineStr">
        <is>
          <t>RAGUNDA</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53678-2022</t>
        </is>
      </c>
      <c r="B1235" s="1" t="n">
        <v>44879.95768518518</v>
      </c>
      <c r="C1235" s="1" t="n">
        <v>46092</v>
      </c>
      <c r="D1235" t="inlineStr">
        <is>
          <t>JÄMTLANDS LÄN</t>
        </is>
      </c>
      <c r="E1235" t="inlineStr">
        <is>
          <t>RAGUNDA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23305-2023</t>
        </is>
      </c>
      <c r="B1236" s="1" t="n">
        <v>45075.94506944445</v>
      </c>
      <c r="C1236" s="1" t="n">
        <v>46092</v>
      </c>
      <c r="D1236" t="inlineStr">
        <is>
          <t>JÄMTLANDS LÄN</t>
        </is>
      </c>
      <c r="E1236" t="inlineStr">
        <is>
          <t>RAGUNDA</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18194-2025</t>
        </is>
      </c>
      <c r="B1237" s="1" t="n">
        <v>45761.67744212963</v>
      </c>
      <c r="C1237" s="1" t="n">
        <v>46092</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18225-2024</t>
        </is>
      </c>
      <c r="B1238" s="1" t="n">
        <v>45420</v>
      </c>
      <c r="C1238" s="1" t="n">
        <v>46092</v>
      </c>
      <c r="D1238" t="inlineStr">
        <is>
          <t>JÄMTLANDS LÄN</t>
        </is>
      </c>
      <c r="E1238" t="inlineStr">
        <is>
          <t>RAGUNDA</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54764-2024</t>
        </is>
      </c>
      <c r="B1239" s="1" t="n">
        <v>45618.46921296296</v>
      </c>
      <c r="C1239" s="1" t="n">
        <v>46092</v>
      </c>
      <c r="D1239" t="inlineStr">
        <is>
          <t>JÄMTLANDS LÄN</t>
        </is>
      </c>
      <c r="E1239" t="inlineStr">
        <is>
          <t>RAGUNDA</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32904-2024</t>
        </is>
      </c>
      <c r="B1240" s="1" t="n">
        <v>45516.94732638889</v>
      </c>
      <c r="C1240" s="1" t="n">
        <v>46092</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12976-2025</t>
        </is>
      </c>
      <c r="B1241" s="1" t="n">
        <v>45734.45268518518</v>
      </c>
      <c r="C1241" s="1" t="n">
        <v>46092</v>
      </c>
      <c r="D1241" t="inlineStr">
        <is>
          <t>JÄMTLANDS LÄN</t>
        </is>
      </c>
      <c r="E1241" t="inlineStr">
        <is>
          <t>RAGUNDA</t>
        </is>
      </c>
      <c r="G1241" t="n">
        <v>24.2</v>
      </c>
      <c r="H1241" t="n">
        <v>0</v>
      </c>
      <c r="I1241" t="n">
        <v>0</v>
      </c>
      <c r="J1241" t="n">
        <v>0</v>
      </c>
      <c r="K1241" t="n">
        <v>0</v>
      </c>
      <c r="L1241" t="n">
        <v>0</v>
      </c>
      <c r="M1241" t="n">
        <v>0</v>
      </c>
      <c r="N1241" t="n">
        <v>0</v>
      </c>
      <c r="O1241" t="n">
        <v>0</v>
      </c>
      <c r="P1241" t="n">
        <v>0</v>
      </c>
      <c r="Q1241" t="n">
        <v>0</v>
      </c>
      <c r="R1241" s="2" t="inlineStr"/>
    </row>
    <row r="1242" ht="15" customHeight="1">
      <c r="A1242" t="inlineStr">
        <is>
          <t>A 59286-2023</t>
        </is>
      </c>
      <c r="B1242" s="1" t="n">
        <v>45253</v>
      </c>
      <c r="C1242" s="1" t="n">
        <v>46092</v>
      </c>
      <c r="D1242" t="inlineStr">
        <is>
          <t>JÄMTLANDS LÄN</t>
        </is>
      </c>
      <c r="E1242" t="inlineStr">
        <is>
          <t>RAGUNDA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15672-2021</t>
        </is>
      </c>
      <c r="B1243" s="1" t="n">
        <v>44286</v>
      </c>
      <c r="C1243" s="1" t="n">
        <v>46092</v>
      </c>
      <c r="D1243" t="inlineStr">
        <is>
          <t>JÄMTLANDS LÄN</t>
        </is>
      </c>
      <c r="E1243" t="inlineStr">
        <is>
          <t>RAGUNDA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6688-2024</t>
        </is>
      </c>
      <c r="B1244" s="1" t="n">
        <v>45341</v>
      </c>
      <c r="C1244" s="1" t="n">
        <v>46092</v>
      </c>
      <c r="D1244" t="inlineStr">
        <is>
          <t>JÄMTLANDS LÄN</t>
        </is>
      </c>
      <c r="E1244" t="inlineStr">
        <is>
          <t>RAGUNDA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50650-2023</t>
        </is>
      </c>
      <c r="B1245" s="1" t="n">
        <v>45210</v>
      </c>
      <c r="C1245" s="1" t="n">
        <v>46092</v>
      </c>
      <c r="D1245" t="inlineStr">
        <is>
          <t>JÄMTLANDS LÄN</t>
        </is>
      </c>
      <c r="E1245" t="inlineStr">
        <is>
          <t>RAGUNDA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41344-2024</t>
        </is>
      </c>
      <c r="B1246" s="1" t="n">
        <v>45559.67759259259</v>
      </c>
      <c r="C1246" s="1" t="n">
        <v>46092</v>
      </c>
      <c r="D1246" t="inlineStr">
        <is>
          <t>JÄMTLANDS LÄN</t>
        </is>
      </c>
      <c r="E1246" t="inlineStr">
        <is>
          <t>RAGUNDA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59670-2023</t>
        </is>
      </c>
      <c r="B1247" s="1" t="n">
        <v>45254.96516203704</v>
      </c>
      <c r="C1247" s="1" t="n">
        <v>46092</v>
      </c>
      <c r="D1247" t="inlineStr">
        <is>
          <t>JÄMTLANDS LÄN</t>
        </is>
      </c>
      <c r="E1247" t="inlineStr">
        <is>
          <t>RAGUNDA</t>
        </is>
      </c>
      <c r="F1247" t="inlineStr">
        <is>
          <t>SCA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55508-2024</t>
        </is>
      </c>
      <c r="B1248" s="1" t="n">
        <v>45622.46200231482</v>
      </c>
      <c r="C1248" s="1" t="n">
        <v>46092</v>
      </c>
      <c r="D1248" t="inlineStr">
        <is>
          <t>JÄMTLANDS LÄN</t>
        </is>
      </c>
      <c r="E1248" t="inlineStr">
        <is>
          <t>RAGUNDA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59492-2024</t>
        </is>
      </c>
      <c r="B1249" s="1" t="n">
        <v>45638</v>
      </c>
      <c r="C1249" s="1" t="n">
        <v>46092</v>
      </c>
      <c r="D1249" t="inlineStr">
        <is>
          <t>JÄMTLANDS LÄN</t>
        </is>
      </c>
      <c r="E1249" t="inlineStr">
        <is>
          <t>RAGUNDA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20772-2024</t>
        </is>
      </c>
      <c r="B1250" s="1" t="n">
        <v>45436.94628472222</v>
      </c>
      <c r="C1250" s="1" t="n">
        <v>46092</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53757-2024</t>
        </is>
      </c>
      <c r="B1251" s="1" t="n">
        <v>45615.50034722222</v>
      </c>
      <c r="C1251" s="1" t="n">
        <v>46092</v>
      </c>
      <c r="D1251" t="inlineStr">
        <is>
          <t>JÄMTLANDS LÄN</t>
        </is>
      </c>
      <c r="E1251" t="inlineStr">
        <is>
          <t>RAGUNDA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6716-2025</t>
        </is>
      </c>
      <c r="B1252" s="1" t="n">
        <v>45700.57324074074</v>
      </c>
      <c r="C1252" s="1" t="n">
        <v>46092</v>
      </c>
      <c r="D1252" t="inlineStr">
        <is>
          <t>JÄMTLANDS LÄN</t>
        </is>
      </c>
      <c r="E1252" t="inlineStr">
        <is>
          <t>RAGUNDA</t>
        </is>
      </c>
      <c r="F1252" t="inlineStr">
        <is>
          <t>SCA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19866-2023</t>
        </is>
      </c>
      <c r="B1253" s="1" t="n">
        <v>45053.94313657407</v>
      </c>
      <c r="C1253" s="1" t="n">
        <v>46092</v>
      </c>
      <c r="D1253" t="inlineStr">
        <is>
          <t>JÄMTLANDS LÄN</t>
        </is>
      </c>
      <c r="E1253" t="inlineStr">
        <is>
          <t>RAGUNDA</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21853-2024</t>
        </is>
      </c>
      <c r="B1254" s="1" t="n">
        <v>45442.96296296296</v>
      </c>
      <c r="C1254" s="1" t="n">
        <v>46092</v>
      </c>
      <c r="D1254" t="inlineStr">
        <is>
          <t>JÄMTLANDS LÄN</t>
        </is>
      </c>
      <c r="E1254" t="inlineStr">
        <is>
          <t>RAGUNDA</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8241-2024</t>
        </is>
      </c>
      <c r="B1255" s="1" t="n">
        <v>45351.98496527778</v>
      </c>
      <c r="C1255" s="1" t="n">
        <v>46092</v>
      </c>
      <c r="D1255" t="inlineStr">
        <is>
          <t>JÄMTLANDS LÄN</t>
        </is>
      </c>
      <c r="E1255" t="inlineStr">
        <is>
          <t>RAGUNDA</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40365-2024</t>
        </is>
      </c>
      <c r="B1256" s="1" t="n">
        <v>45555.38509259259</v>
      </c>
      <c r="C1256" s="1" t="n">
        <v>46092</v>
      </c>
      <c r="D1256" t="inlineStr">
        <is>
          <t>JÄMTLANDS LÄN</t>
        </is>
      </c>
      <c r="E1256" t="inlineStr">
        <is>
          <t>RAGUNDA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20770-2024</t>
        </is>
      </c>
      <c r="B1257" s="1" t="n">
        <v>45436.94613425926</v>
      </c>
      <c r="C1257" s="1" t="n">
        <v>46092</v>
      </c>
      <c r="D1257" t="inlineStr">
        <is>
          <t>JÄMTLANDS LÄN</t>
        </is>
      </c>
      <c r="E1257" t="inlineStr">
        <is>
          <t>RAGUNDA</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7281-2024</t>
        </is>
      </c>
      <c r="B1258" s="1" t="n">
        <v>45344</v>
      </c>
      <c r="C1258" s="1" t="n">
        <v>46092</v>
      </c>
      <c r="D1258" t="inlineStr">
        <is>
          <t>JÄMTLANDS LÄN</t>
        </is>
      </c>
      <c r="E1258" t="inlineStr">
        <is>
          <t>RAGUNDA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7284-2024</t>
        </is>
      </c>
      <c r="B1259" s="1" t="n">
        <v>45344.92865740741</v>
      </c>
      <c r="C1259" s="1" t="n">
        <v>46092</v>
      </c>
      <c r="D1259" t="inlineStr">
        <is>
          <t>JÄMTLANDS LÄN</t>
        </is>
      </c>
      <c r="E1259" t="inlineStr">
        <is>
          <t>RAGUNDA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7285-2024</t>
        </is>
      </c>
      <c r="B1260" s="1" t="n">
        <v>45344.92873842592</v>
      </c>
      <c r="C1260" s="1" t="n">
        <v>46092</v>
      </c>
      <c r="D1260" t="inlineStr">
        <is>
          <t>JÄMTLANDS LÄN</t>
        </is>
      </c>
      <c r="E1260" t="inlineStr">
        <is>
          <t>RAGUNDA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46092</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60838-2023</t>
        </is>
      </c>
      <c r="B1262" s="1" t="n">
        <v>45260.92561342593</v>
      </c>
      <c r="C1262" s="1" t="n">
        <v>46092</v>
      </c>
      <c r="D1262" t="inlineStr">
        <is>
          <t>JÄMTLANDS LÄN</t>
        </is>
      </c>
      <c r="E1262" t="inlineStr">
        <is>
          <t>RAGUNDA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9548-2025</t>
        </is>
      </c>
      <c r="B1263" s="1" t="n">
        <v>45715.59405092592</v>
      </c>
      <c r="C1263" s="1" t="n">
        <v>46092</v>
      </c>
      <c r="D1263" t="inlineStr">
        <is>
          <t>JÄMTLANDS LÄN</t>
        </is>
      </c>
      <c r="E1263" t="inlineStr">
        <is>
          <t>RAGUNDA</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53989-2024</t>
        </is>
      </c>
      <c r="B1264" s="1" t="n">
        <v>45616.34479166667</v>
      </c>
      <c r="C1264" s="1" t="n">
        <v>46092</v>
      </c>
      <c r="D1264" t="inlineStr">
        <is>
          <t>JÄMTLANDS LÄN</t>
        </is>
      </c>
      <c r="E1264" t="inlineStr">
        <is>
          <t>RAGUNDA</t>
        </is>
      </c>
      <c r="F1264" t="inlineStr">
        <is>
          <t>SCA</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15581-2024</t>
        </is>
      </c>
      <c r="B1265" s="1" t="n">
        <v>45401</v>
      </c>
      <c r="C1265" s="1" t="n">
        <v>46092</v>
      </c>
      <c r="D1265" t="inlineStr">
        <is>
          <t>JÄMTLANDS LÄN</t>
        </is>
      </c>
      <c r="E1265" t="inlineStr">
        <is>
          <t>RAGUNDA</t>
        </is>
      </c>
      <c r="F1265" t="inlineStr">
        <is>
          <t>Kommuner</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15611-2024</t>
        </is>
      </c>
      <c r="B1266" s="1" t="n">
        <v>45401</v>
      </c>
      <c r="C1266" s="1" t="n">
        <v>46092</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23528-2024</t>
        </is>
      </c>
      <c r="B1267" s="1" t="n">
        <v>45453.95016203704</v>
      </c>
      <c r="C1267" s="1" t="n">
        <v>46092</v>
      </c>
      <c r="D1267" t="inlineStr">
        <is>
          <t>JÄMTLANDS LÄN</t>
        </is>
      </c>
      <c r="E1267" t="inlineStr">
        <is>
          <t>RAGUNDA</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4594-2024</t>
        </is>
      </c>
      <c r="B1268" s="1" t="n">
        <v>45327.94459490741</v>
      </c>
      <c r="C1268" s="1" t="n">
        <v>46092</v>
      </c>
      <c r="D1268" t="inlineStr">
        <is>
          <t>JÄMTLANDS LÄN</t>
        </is>
      </c>
      <c r="E1268" t="inlineStr">
        <is>
          <t>RAGUNDA</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30824-2023</t>
        </is>
      </c>
      <c r="B1269" s="1" t="n">
        <v>45112.94303240741</v>
      </c>
      <c r="C1269" s="1" t="n">
        <v>46092</v>
      </c>
      <c r="D1269" t="inlineStr">
        <is>
          <t>JÄMTLANDS LÄN</t>
        </is>
      </c>
      <c r="E1269" t="inlineStr">
        <is>
          <t>RAGUNDA</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16635-2025</t>
        </is>
      </c>
      <c r="B1270" s="1" t="n">
        <v>45754</v>
      </c>
      <c r="C1270" s="1" t="n">
        <v>46092</v>
      </c>
      <c r="D1270" t="inlineStr">
        <is>
          <t>JÄMTLANDS LÄN</t>
        </is>
      </c>
      <c r="E1270" t="inlineStr">
        <is>
          <t>RAGUNDA</t>
        </is>
      </c>
      <c r="F1270" t="inlineStr">
        <is>
          <t>SCA</t>
        </is>
      </c>
      <c r="G1270" t="n">
        <v>55.4</v>
      </c>
      <c r="H1270" t="n">
        <v>0</v>
      </c>
      <c r="I1270" t="n">
        <v>0</v>
      </c>
      <c r="J1270" t="n">
        <v>0</v>
      </c>
      <c r="K1270" t="n">
        <v>0</v>
      </c>
      <c r="L1270" t="n">
        <v>0</v>
      </c>
      <c r="M1270" t="n">
        <v>0</v>
      </c>
      <c r="N1270" t="n">
        <v>0</v>
      </c>
      <c r="O1270" t="n">
        <v>0</v>
      </c>
      <c r="P1270" t="n">
        <v>0</v>
      </c>
      <c r="Q1270" t="n">
        <v>0</v>
      </c>
      <c r="R1270" s="2" t="inlineStr"/>
    </row>
    <row r="1271" ht="15" customHeight="1">
      <c r="A1271" t="inlineStr">
        <is>
          <t>A 4014-2022</t>
        </is>
      </c>
      <c r="B1271" s="1" t="n">
        <v>44587.92144675926</v>
      </c>
      <c r="C1271" s="1" t="n">
        <v>46092</v>
      </c>
      <c r="D1271" t="inlineStr">
        <is>
          <t>JÄMTLANDS LÄN</t>
        </is>
      </c>
      <c r="E1271" t="inlineStr">
        <is>
          <t>RAGUNDA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1554-2024</t>
        </is>
      </c>
      <c r="B1272" s="1" t="n">
        <v>45306</v>
      </c>
      <c r="C1272" s="1" t="n">
        <v>46092</v>
      </c>
      <c r="D1272" t="inlineStr">
        <is>
          <t>JÄMTLANDS LÄN</t>
        </is>
      </c>
      <c r="E1272" t="inlineStr">
        <is>
          <t>RAGUNDA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38782-2021</t>
        </is>
      </c>
      <c r="B1273" s="1" t="n">
        <v>44410</v>
      </c>
      <c r="C1273" s="1" t="n">
        <v>46092</v>
      </c>
      <c r="D1273" t="inlineStr">
        <is>
          <t>JÄMTLANDS LÄN</t>
        </is>
      </c>
      <c r="E1273" t="inlineStr">
        <is>
          <t>RAGUNDA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20728-2025</t>
        </is>
      </c>
      <c r="B1274" s="1" t="n">
        <v>45776.51130787037</v>
      </c>
      <c r="C1274" s="1" t="n">
        <v>46092</v>
      </c>
      <c r="D1274" t="inlineStr">
        <is>
          <t>JÄMTLANDS LÄN</t>
        </is>
      </c>
      <c r="E1274" t="inlineStr">
        <is>
          <t>RAGUNDA</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20653-2025</t>
        </is>
      </c>
      <c r="B1275" s="1" t="n">
        <v>45776.40311342593</v>
      </c>
      <c r="C1275" s="1" t="n">
        <v>46092</v>
      </c>
      <c r="D1275" t="inlineStr">
        <is>
          <t>JÄMTLANDS LÄN</t>
        </is>
      </c>
      <c r="E1275" t="inlineStr">
        <is>
          <t>RAGUNDA</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20722-2025</t>
        </is>
      </c>
      <c r="B1276" s="1" t="n">
        <v>45776.50651620371</v>
      </c>
      <c r="C1276" s="1" t="n">
        <v>46092</v>
      </c>
      <c r="D1276" t="inlineStr">
        <is>
          <t>JÄMTLANDS LÄN</t>
        </is>
      </c>
      <c r="E1276" t="inlineStr">
        <is>
          <t>RAGUNDA</t>
        </is>
      </c>
      <c r="F1276" t="inlineStr">
        <is>
          <t>Kommuner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20777-2025</t>
        </is>
      </c>
      <c r="B1277" s="1" t="n">
        <v>45776.59422453704</v>
      </c>
      <c r="C1277" s="1" t="n">
        <v>46092</v>
      </c>
      <c r="D1277" t="inlineStr">
        <is>
          <t>JÄMTLANDS LÄN</t>
        </is>
      </c>
      <c r="E1277" t="inlineStr">
        <is>
          <t>RAGUNDA</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21150-2025</t>
        </is>
      </c>
      <c r="B1278" s="1" t="n">
        <v>45779.34417824074</v>
      </c>
      <c r="C1278" s="1" t="n">
        <v>46092</v>
      </c>
      <c r="D1278" t="inlineStr">
        <is>
          <t>JÄMTLANDS LÄN</t>
        </is>
      </c>
      <c r="E1278" t="inlineStr">
        <is>
          <t>RAGUNDA</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21214-2025</t>
        </is>
      </c>
      <c r="B1279" s="1" t="n">
        <v>45779.49025462963</v>
      </c>
      <c r="C1279" s="1" t="n">
        <v>46092</v>
      </c>
      <c r="D1279" t="inlineStr">
        <is>
          <t>JÄMTLANDS LÄN</t>
        </is>
      </c>
      <c r="E1279" t="inlineStr">
        <is>
          <t>RAGUNDA</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22941-2024</t>
        </is>
      </c>
      <c r="B1280" s="1" t="n">
        <v>45448.94520833333</v>
      </c>
      <c r="C1280" s="1" t="n">
        <v>46092</v>
      </c>
      <c r="D1280" t="inlineStr">
        <is>
          <t>JÄMTLANDS LÄN</t>
        </is>
      </c>
      <c r="E1280" t="inlineStr">
        <is>
          <t>RAGUNDA</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21430-2025</t>
        </is>
      </c>
      <c r="B1281" s="1" t="n">
        <v>45782.51099537037</v>
      </c>
      <c r="C1281" s="1" t="n">
        <v>46092</v>
      </c>
      <c r="D1281" t="inlineStr">
        <is>
          <t>JÄMTLANDS LÄN</t>
        </is>
      </c>
      <c r="E1281" t="inlineStr">
        <is>
          <t>RAGUNDA</t>
        </is>
      </c>
      <c r="F1281" t="inlineStr">
        <is>
          <t>SCA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44881-2023</t>
        </is>
      </c>
      <c r="B1282" s="1" t="n">
        <v>45187</v>
      </c>
      <c r="C1282" s="1" t="n">
        <v>46092</v>
      </c>
      <c r="D1282" t="inlineStr">
        <is>
          <t>JÄMTLANDS LÄN</t>
        </is>
      </c>
      <c r="E1282" t="inlineStr">
        <is>
          <t>RAGUNDA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21451-2025</t>
        </is>
      </c>
      <c r="B1283" s="1" t="n">
        <v>45782.55287037037</v>
      </c>
      <c r="C1283" s="1" t="n">
        <v>46092</v>
      </c>
      <c r="D1283" t="inlineStr">
        <is>
          <t>JÄMTLANDS LÄN</t>
        </is>
      </c>
      <c r="E1283" t="inlineStr">
        <is>
          <t>RAGUNDA</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21432-2025</t>
        </is>
      </c>
      <c r="B1284" s="1" t="n">
        <v>45782.51109953703</v>
      </c>
      <c r="C1284" s="1" t="n">
        <v>46092</v>
      </c>
      <c r="D1284" t="inlineStr">
        <is>
          <t>JÄMTLANDS LÄN</t>
        </is>
      </c>
      <c r="E1284" t="inlineStr">
        <is>
          <t>RAGUNDA</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21331-2025</t>
        </is>
      </c>
      <c r="B1285" s="1" t="n">
        <v>45782.36494212963</v>
      </c>
      <c r="C1285" s="1" t="n">
        <v>46092</v>
      </c>
      <c r="D1285" t="inlineStr">
        <is>
          <t>JÄMTLANDS LÄN</t>
        </is>
      </c>
      <c r="E1285" t="inlineStr">
        <is>
          <t>RAGUNDA</t>
        </is>
      </c>
      <c r="F1285" t="inlineStr">
        <is>
          <t>SCA</t>
        </is>
      </c>
      <c r="G1285" t="n">
        <v>23.1</v>
      </c>
      <c r="H1285" t="n">
        <v>0</v>
      </c>
      <c r="I1285" t="n">
        <v>0</v>
      </c>
      <c r="J1285" t="n">
        <v>0</v>
      </c>
      <c r="K1285" t="n">
        <v>0</v>
      </c>
      <c r="L1285" t="n">
        <v>0</v>
      </c>
      <c r="M1285" t="n">
        <v>0</v>
      </c>
      <c r="N1285" t="n">
        <v>0</v>
      </c>
      <c r="O1285" t="n">
        <v>0</v>
      </c>
      <c r="P1285" t="n">
        <v>0</v>
      </c>
      <c r="Q1285" t="n">
        <v>0</v>
      </c>
      <c r="R1285" s="2" t="inlineStr"/>
      <c r="U1285">
        <f>HYPERLINK("https://klasma.github.io/Logging_2303/knärot/A 21331-2025 karta knärot.png", "A 21331-2025")</f>
        <v/>
      </c>
      <c r="V1285">
        <f>HYPERLINK("https://klasma.github.io/Logging_2303/klagomål/A 21331-2025 FSC-klagomål.docx", "A 21331-2025")</f>
        <v/>
      </c>
      <c r="W1285">
        <f>HYPERLINK("https://klasma.github.io/Logging_2303/klagomålsmail/A 21331-2025 FSC-klagomål mail.docx", "A 21331-2025")</f>
        <v/>
      </c>
      <c r="X1285">
        <f>HYPERLINK("https://klasma.github.io/Logging_2303/tillsyn/A 21331-2025 tillsynsbegäran.docx", "A 21331-2025")</f>
        <v/>
      </c>
      <c r="Y1285">
        <f>HYPERLINK("https://klasma.github.io/Logging_2303/tillsynsmail/A 21331-2025 tillsynsbegäran mail.docx", "A 21331-2025")</f>
        <v/>
      </c>
    </row>
    <row r="1286">
      <c r="A1286" t="inlineStr">
        <is>
          <t>A 21550-2025</t>
        </is>
      </c>
      <c r="B1286" s="1" t="n">
        <v>45782.67758101852</v>
      </c>
      <c r="C1286" s="1" t="n">
        <v>46092</v>
      </c>
      <c r="D1286" t="inlineStr">
        <is>
          <t>JÄMTLANDS LÄN</t>
        </is>
      </c>
      <c r="E1286" t="inlineStr">
        <is>
          <t>RAGUNDA</t>
        </is>
      </c>
      <c r="F1286" t="inlineStr">
        <is>
          <t>SCA</t>
        </is>
      </c>
      <c r="G1286" t="n">
        <v>1.3</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2026-03-11T11:24:35Z</dcterms:created>
  <dcterms:modified xmlns:dcterms="http://purl.org/dc/terms/" xmlns:xsi="http://www.w3.org/2001/XMLSchema-instance" xsi:type="dcterms:W3CDTF">2026-03-11T11:24:36Z</dcterms:modified>
</cp:coreProperties>
</file>