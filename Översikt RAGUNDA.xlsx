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46048</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46048</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46048</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46048</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46048</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46048</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29068-2023</t>
        </is>
      </c>
      <c r="B10" s="1" t="n">
        <v>45104</v>
      </c>
      <c r="C10" s="1" t="n">
        <v>46048</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46048</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46048</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46048</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46048</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46048</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46048</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46048</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59762-2024</t>
        </is>
      </c>
      <c r="B18" s="1" t="n">
        <v>45639.55269675926</v>
      </c>
      <c r="C18" s="1" t="n">
        <v>46048</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46048</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46048</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19727-2025</t>
        </is>
      </c>
      <c r="B21" s="1" t="n">
        <v>45771.36538194444</v>
      </c>
      <c r="C21" s="1" t="n">
        <v>46048</v>
      </c>
      <c r="D21" t="inlineStr">
        <is>
          <t>JÄMTLANDS LÄN</t>
        </is>
      </c>
      <c r="E21" t="inlineStr">
        <is>
          <t>RAGUNDA</t>
        </is>
      </c>
      <c r="F21" t="inlineStr">
        <is>
          <t>SCA</t>
        </is>
      </c>
      <c r="G21" t="n">
        <v>9</v>
      </c>
      <c r="H21" t="n">
        <v>1</v>
      </c>
      <c r="I21" t="n">
        <v>2</v>
      </c>
      <c r="J21" t="n">
        <v>7</v>
      </c>
      <c r="K21" t="n">
        <v>3</v>
      </c>
      <c r="L21" t="n">
        <v>0</v>
      </c>
      <c r="M21" t="n">
        <v>0</v>
      </c>
      <c r="N21" t="n">
        <v>0</v>
      </c>
      <c r="O21" t="n">
        <v>10</v>
      </c>
      <c r="P21" t="n">
        <v>3</v>
      </c>
      <c r="Q21" t="n">
        <v>12</v>
      </c>
      <c r="R21" s="2" t="inlineStr">
        <is>
          <t>Knärot
Lappticka
Rynkskinn
Gammelgransskål
Garnlav
Granticka
Lunglav
Rosenticka
Ullticka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29209-2024</t>
        </is>
      </c>
      <c r="B22" s="1" t="n">
        <v>45482.63819444444</v>
      </c>
      <c r="C22" s="1" t="n">
        <v>46048</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31197-2023</t>
        </is>
      </c>
      <c r="B23" s="1" t="n">
        <v>45113</v>
      </c>
      <c r="C23" s="1" t="n">
        <v>46048</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46048</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9347-2024</t>
        </is>
      </c>
      <c r="B25" s="1" t="n">
        <v>45358.99375</v>
      </c>
      <c r="C25" s="1" t="n">
        <v>46048</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25632-2025</t>
        </is>
      </c>
      <c r="B26" s="1" t="n">
        <v>45803.59474537037</v>
      </c>
      <c r="C26" s="1" t="n">
        <v>46048</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31839-2022</t>
        </is>
      </c>
      <c r="B27" s="1" t="n">
        <v>44776</v>
      </c>
      <c r="C27" s="1" t="n">
        <v>46048</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46048</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36943-2022</t>
        </is>
      </c>
      <c r="B29" s="1" t="n">
        <v>44805</v>
      </c>
      <c r="C29" s="1" t="n">
        <v>46048</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46048</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10982-2025</t>
        </is>
      </c>
      <c r="B31" s="1" t="n">
        <v>45723.40688657408</v>
      </c>
      <c r="C31" s="1" t="n">
        <v>46048</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13483-2022</t>
        </is>
      </c>
      <c r="B32" s="1" t="n">
        <v>44645.99859953704</v>
      </c>
      <c r="C32" s="1" t="n">
        <v>46048</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41412-2024</t>
        </is>
      </c>
      <c r="B33" s="1" t="n">
        <v>45560.34484953704</v>
      </c>
      <c r="C33" s="1" t="n">
        <v>46048</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4591-2024</t>
        </is>
      </c>
      <c r="B34" s="1" t="n">
        <v>45327</v>
      </c>
      <c r="C34" s="1" t="n">
        <v>46048</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4146-2025</t>
        </is>
      </c>
      <c r="B35" s="1" t="n">
        <v>45685.36501157407</v>
      </c>
      <c r="C35" s="1" t="n">
        <v>46048</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33822-2023</t>
        </is>
      </c>
      <c r="B36" s="1" t="n">
        <v>45121</v>
      </c>
      <c r="C36" s="1" t="n">
        <v>46048</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45008-2023</t>
        </is>
      </c>
      <c r="B37" s="1" t="n">
        <v>45190.96092592592</v>
      </c>
      <c r="C37" s="1" t="n">
        <v>46048</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25016-2025</t>
        </is>
      </c>
      <c r="B38" s="1" t="n">
        <v>45799.63574074074</v>
      </c>
      <c r="C38" s="1" t="n">
        <v>46048</v>
      </c>
      <c r="D38" t="inlineStr">
        <is>
          <t>JÄMTLANDS LÄN</t>
        </is>
      </c>
      <c r="E38" t="inlineStr">
        <is>
          <t>RAGUNDA</t>
        </is>
      </c>
      <c r="F38" t="inlineStr">
        <is>
          <t>SCA</t>
        </is>
      </c>
      <c r="G38" t="n">
        <v>17.9</v>
      </c>
      <c r="H38" t="n">
        <v>2</v>
      </c>
      <c r="I38" t="n">
        <v>3</v>
      </c>
      <c r="J38" t="n">
        <v>6</v>
      </c>
      <c r="K38" t="n">
        <v>0</v>
      </c>
      <c r="L38" t="n">
        <v>0</v>
      </c>
      <c r="M38" t="n">
        <v>0</v>
      </c>
      <c r="N38" t="n">
        <v>0</v>
      </c>
      <c r="O38" t="n">
        <v>6</v>
      </c>
      <c r="P38" t="n">
        <v>0</v>
      </c>
      <c r="Q38" t="n">
        <v>9</v>
      </c>
      <c r="R38" s="2" t="inlineStr">
        <is>
          <t>Garnlav
Granticka
Lunglav
Spillkråka
Tretåig hackspett
Ullticka
Bårdlav
Stuplav
Vedticka</t>
        </is>
      </c>
      <c r="S38">
        <f>HYPERLINK("https://klasma.github.io/Logging_2303/artfynd/A 25016-2025 artfynd.xlsx", "A 25016-2025")</f>
        <v/>
      </c>
      <c r="T38">
        <f>HYPERLINK("https://klasma.github.io/Logging_2303/kartor/A 25016-2025 karta.png", "A 25016-2025")</f>
        <v/>
      </c>
      <c r="V38">
        <f>HYPERLINK("https://klasma.github.io/Logging_2303/klagomål/A 25016-2025 FSC-klagomål.docx", "A 25016-2025")</f>
        <v/>
      </c>
      <c r="W38">
        <f>HYPERLINK("https://klasma.github.io/Logging_2303/klagomålsmail/A 25016-2025 FSC-klagomål mail.docx", "A 25016-2025")</f>
        <v/>
      </c>
      <c r="X38">
        <f>HYPERLINK("https://klasma.github.io/Logging_2303/tillsyn/A 25016-2025 tillsynsbegäran.docx", "A 25016-2025")</f>
        <v/>
      </c>
      <c r="Y38">
        <f>HYPERLINK("https://klasma.github.io/Logging_2303/tillsynsmail/A 25016-2025 tillsynsbegäran mail.docx", "A 25016-2025")</f>
        <v/>
      </c>
      <c r="Z38">
        <f>HYPERLINK("https://klasma.github.io/Logging_2303/fåglar/A 25016-2025 prioriterade fågelarter.docx", "A 25016-2025")</f>
        <v/>
      </c>
    </row>
    <row r="39" ht="15" customHeight="1">
      <c r="A39" t="inlineStr">
        <is>
          <t>A 24735-2025</t>
        </is>
      </c>
      <c r="B39" s="1" t="n">
        <v>45799.34461805555</v>
      </c>
      <c r="C39" s="1" t="n">
        <v>46048</v>
      </c>
      <c r="D39" t="inlineStr">
        <is>
          <t>JÄMTLANDS LÄN</t>
        </is>
      </c>
      <c r="E39" t="inlineStr">
        <is>
          <t>RAGUNDA</t>
        </is>
      </c>
      <c r="F39" t="inlineStr">
        <is>
          <t>SCA</t>
        </is>
      </c>
      <c r="G39" t="n">
        <v>7.1</v>
      </c>
      <c r="H39" t="n">
        <v>1</v>
      </c>
      <c r="I39" t="n">
        <v>4</v>
      </c>
      <c r="J39" t="n">
        <v>5</v>
      </c>
      <c r="K39" t="n">
        <v>0</v>
      </c>
      <c r="L39" t="n">
        <v>0</v>
      </c>
      <c r="M39" t="n">
        <v>0</v>
      </c>
      <c r="N39" t="n">
        <v>0</v>
      </c>
      <c r="O39" t="n">
        <v>5</v>
      </c>
      <c r="P39" t="n">
        <v>0</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62948-2021</t>
        </is>
      </c>
      <c r="B40" s="1" t="n">
        <v>44504</v>
      </c>
      <c r="C40" s="1" t="n">
        <v>46048</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32068-2024</t>
        </is>
      </c>
      <c r="B41" s="1" t="n">
        <v>45510</v>
      </c>
      <c r="C41" s="1" t="n">
        <v>46048</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46048</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30876-2025</t>
        </is>
      </c>
      <c r="B43" s="1" t="n">
        <v>45832.34461805555</v>
      </c>
      <c r="C43" s="1" t="n">
        <v>46048</v>
      </c>
      <c r="D43" t="inlineStr">
        <is>
          <t>JÄMTLANDS LÄN</t>
        </is>
      </c>
      <c r="E43" t="inlineStr">
        <is>
          <t>RAGUNDA</t>
        </is>
      </c>
      <c r="F43" t="inlineStr">
        <is>
          <t>SCA</t>
        </is>
      </c>
      <c r="G43" t="n">
        <v>5.5</v>
      </c>
      <c r="H43" t="n">
        <v>6</v>
      </c>
      <c r="I43" t="n">
        <v>1</v>
      </c>
      <c r="J43" t="n">
        <v>5</v>
      </c>
      <c r="K43" t="n">
        <v>1</v>
      </c>
      <c r="L43" t="n">
        <v>0</v>
      </c>
      <c r="M43" t="n">
        <v>0</v>
      </c>
      <c r="N43" t="n">
        <v>0</v>
      </c>
      <c r="O43" t="n">
        <v>6</v>
      </c>
      <c r="P43" t="n">
        <v>1</v>
      </c>
      <c r="Q43" t="n">
        <v>9</v>
      </c>
      <c r="R43" s="2" t="inlineStr">
        <is>
          <t>Knärot
Järpe
Lunglav
Spillkråka
Tallticka
Tretåig hackspett
Kamjordstjärna
Tjäder
Nattviol</t>
        </is>
      </c>
      <c r="S43">
        <f>HYPERLINK("https://klasma.github.io/Logging_2303/artfynd/A 30876-2025 artfynd.xlsx", "A 30876-2025")</f>
        <v/>
      </c>
      <c r="T43">
        <f>HYPERLINK("https://klasma.github.io/Logging_2303/kartor/A 30876-2025 karta.png", "A 30876-2025")</f>
        <v/>
      </c>
      <c r="U43">
        <f>HYPERLINK("https://klasma.github.io/Logging_2303/knärot/A 30876-2025 karta knärot.png", "A 30876-2025")</f>
        <v/>
      </c>
      <c r="V43">
        <f>HYPERLINK("https://klasma.github.io/Logging_2303/klagomål/A 30876-2025 FSC-klagomål.docx", "A 30876-2025")</f>
        <v/>
      </c>
      <c r="W43">
        <f>HYPERLINK("https://klasma.github.io/Logging_2303/klagomålsmail/A 30876-2025 FSC-klagomål mail.docx", "A 30876-2025")</f>
        <v/>
      </c>
      <c r="X43">
        <f>HYPERLINK("https://klasma.github.io/Logging_2303/tillsyn/A 30876-2025 tillsynsbegäran.docx", "A 30876-2025")</f>
        <v/>
      </c>
      <c r="Y43">
        <f>HYPERLINK("https://klasma.github.io/Logging_2303/tillsynsmail/A 30876-2025 tillsynsbegäran mail.docx", "A 30876-2025")</f>
        <v/>
      </c>
      <c r="Z43">
        <f>HYPERLINK("https://klasma.github.io/Logging_2303/fåglar/A 30876-2025 prioriterade fågelarter.docx", "A 30876-2025")</f>
        <v/>
      </c>
    </row>
    <row r="44" ht="15" customHeight="1">
      <c r="A44" t="inlineStr">
        <is>
          <t>A 12372-2024</t>
        </is>
      </c>
      <c r="B44" s="1" t="n">
        <v>45378</v>
      </c>
      <c r="C44" s="1" t="n">
        <v>46048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58876-2025</t>
        </is>
      </c>
      <c r="B45" s="1" t="n">
        <v>45987.46929398148</v>
      </c>
      <c r="C45" s="1" t="n">
        <v>46048</v>
      </c>
      <c r="D45" t="inlineStr">
        <is>
          <t>JÄMTLANDS LÄN</t>
        </is>
      </c>
      <c r="E45" t="inlineStr">
        <is>
          <t>RAGUNDA</t>
        </is>
      </c>
      <c r="F45" t="inlineStr">
        <is>
          <t>SCA</t>
        </is>
      </c>
      <c r="G45" t="n">
        <v>6.3</v>
      </c>
      <c r="H45" t="n">
        <v>2</v>
      </c>
      <c r="I45" t="n">
        <v>0</v>
      </c>
      <c r="J45" t="n">
        <v>7</v>
      </c>
      <c r="K45" t="n">
        <v>1</v>
      </c>
      <c r="L45" t="n">
        <v>0</v>
      </c>
      <c r="M45" t="n">
        <v>0</v>
      </c>
      <c r="N45" t="n">
        <v>0</v>
      </c>
      <c r="O45" t="n">
        <v>8</v>
      </c>
      <c r="P45" t="n">
        <v>1</v>
      </c>
      <c r="Q45" t="n">
        <v>9</v>
      </c>
      <c r="R45" s="2" t="inlineStr">
        <is>
          <t>Knärot
Gammelgransskål
Garnlav
Granticka
Lunglav
Rosenticka
Ullticka
Vitgrynig nållav
Fläcknycklar</t>
        </is>
      </c>
      <c r="S45">
        <f>HYPERLINK("https://klasma.github.io/Logging_2303/artfynd/A 58876-2025 artfynd.xlsx", "A 58876-2025")</f>
        <v/>
      </c>
      <c r="T45">
        <f>HYPERLINK("https://klasma.github.io/Logging_2303/kartor/A 58876-2025 karta.png", "A 58876-2025")</f>
        <v/>
      </c>
      <c r="U45">
        <f>HYPERLINK("https://klasma.github.io/Logging_2303/knärot/A 58876-2025 karta knärot.png", "A 58876-2025")</f>
        <v/>
      </c>
      <c r="V45">
        <f>HYPERLINK("https://klasma.github.io/Logging_2303/klagomål/A 58876-2025 FSC-klagomål.docx", "A 58876-2025")</f>
        <v/>
      </c>
      <c r="W45">
        <f>HYPERLINK("https://klasma.github.io/Logging_2303/klagomålsmail/A 58876-2025 FSC-klagomål mail.docx", "A 58876-2025")</f>
        <v/>
      </c>
      <c r="X45">
        <f>HYPERLINK("https://klasma.github.io/Logging_2303/tillsyn/A 58876-2025 tillsynsbegäran.docx", "A 58876-2025")</f>
        <v/>
      </c>
      <c r="Y45">
        <f>HYPERLINK("https://klasma.github.io/Logging_2303/tillsynsmail/A 58876-2025 tillsynsbegäran mail.docx", "A 58876-2025")</f>
        <v/>
      </c>
    </row>
    <row r="46" ht="15" customHeight="1">
      <c r="A46" t="inlineStr">
        <is>
          <t>A 42393-2025</t>
        </is>
      </c>
      <c r="B46" s="1" t="n">
        <v>45905</v>
      </c>
      <c r="C46" s="1" t="n">
        <v>46048</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3634-2024</t>
        </is>
      </c>
      <c r="B47" s="1" t="n">
        <v>45320</v>
      </c>
      <c r="C47" s="1" t="n">
        <v>46048</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46048</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46048</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46048</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51037-2025</t>
        </is>
      </c>
      <c r="B51" s="1" t="n">
        <v>45947.40729166667</v>
      </c>
      <c r="C51" s="1" t="n">
        <v>46048</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62738-2025</t>
        </is>
      </c>
      <c r="B52" s="1" t="n">
        <v>46008.57341435185</v>
      </c>
      <c r="C52" s="1" t="n">
        <v>46048</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59107-2025</t>
        </is>
      </c>
      <c r="B53" s="1" t="n">
        <v>45988.46924768519</v>
      </c>
      <c r="C53" s="1" t="n">
        <v>46048</v>
      </c>
      <c r="D53" t="inlineStr">
        <is>
          <t>JÄMTLANDS LÄN</t>
        </is>
      </c>
      <c r="E53" t="inlineStr">
        <is>
          <t>RAGUNDA</t>
        </is>
      </c>
      <c r="F53" t="inlineStr">
        <is>
          <t>SCA</t>
        </is>
      </c>
      <c r="G53" t="n">
        <v>22.6</v>
      </c>
      <c r="H53" t="n">
        <v>1</v>
      </c>
      <c r="I53" t="n">
        <v>4</v>
      </c>
      <c r="J53" t="n">
        <v>4</v>
      </c>
      <c r="K53" t="n">
        <v>0</v>
      </c>
      <c r="L53" t="n">
        <v>0</v>
      </c>
      <c r="M53" t="n">
        <v>0</v>
      </c>
      <c r="N53" t="n">
        <v>0</v>
      </c>
      <c r="O53" t="n">
        <v>4</v>
      </c>
      <c r="P53" t="n">
        <v>0</v>
      </c>
      <c r="Q53" t="n">
        <v>8</v>
      </c>
      <c r="R53" s="2" t="inlineStr">
        <is>
          <t>Garnlav
Lunglav
Skrovellav
Tretåig hackspett
Bårdlav
Luddlav
Skinnlav
Stuplav</t>
        </is>
      </c>
      <c r="S53">
        <f>HYPERLINK("https://klasma.github.io/Logging_2303/artfynd/A 59107-2025 artfynd.xlsx", "A 59107-2025")</f>
        <v/>
      </c>
      <c r="T53">
        <f>HYPERLINK("https://klasma.github.io/Logging_2303/kartor/A 59107-2025 karta.png", "A 59107-2025")</f>
        <v/>
      </c>
      <c r="V53">
        <f>HYPERLINK("https://klasma.github.io/Logging_2303/klagomål/A 59107-2025 FSC-klagomål.docx", "A 59107-2025")</f>
        <v/>
      </c>
      <c r="W53">
        <f>HYPERLINK("https://klasma.github.io/Logging_2303/klagomålsmail/A 59107-2025 FSC-klagomål mail.docx", "A 59107-2025")</f>
        <v/>
      </c>
      <c r="X53">
        <f>HYPERLINK("https://klasma.github.io/Logging_2303/tillsyn/A 59107-2025 tillsynsbegäran.docx", "A 59107-2025")</f>
        <v/>
      </c>
      <c r="Y53">
        <f>HYPERLINK("https://klasma.github.io/Logging_2303/tillsynsmail/A 59107-2025 tillsynsbegäran mail.docx", "A 59107-2025")</f>
        <v/>
      </c>
      <c r="Z53">
        <f>HYPERLINK("https://klasma.github.io/Logging_2303/fåglar/A 59107-2025 prioriterade fågelarter.docx", "A 59107-2025")</f>
        <v/>
      </c>
    </row>
    <row r="54" ht="15" customHeight="1">
      <c r="A54" t="inlineStr">
        <is>
          <t>A 60129-2025</t>
        </is>
      </c>
      <c r="B54" s="1" t="n">
        <v>45994.34461805555</v>
      </c>
      <c r="C54" s="1" t="n">
        <v>46048</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45020-2021</t>
        </is>
      </c>
      <c r="B55" s="1" t="n">
        <v>44438</v>
      </c>
      <c r="C55" s="1" t="n">
        <v>46048</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46048</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20397-2024</t>
        </is>
      </c>
      <c r="B57" s="1" t="n">
        <v>45435.54734953704</v>
      </c>
      <c r="C57" s="1" t="n">
        <v>46048</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27913-2024</t>
        </is>
      </c>
      <c r="B58" s="1" t="n">
        <v>45475.94796296296</v>
      </c>
      <c r="C58" s="1" t="n">
        <v>46048</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24169-2021</t>
        </is>
      </c>
      <c r="B59" s="1" t="n">
        <v>44336</v>
      </c>
      <c r="C59" s="1" t="n">
        <v>46048</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11829-2023</t>
        </is>
      </c>
      <c r="B60" s="1" t="n">
        <v>44994</v>
      </c>
      <c r="C60" s="1" t="n">
        <v>46048</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26750-2025</t>
        </is>
      </c>
      <c r="B61" s="1" t="n">
        <v>45810.55061342593</v>
      </c>
      <c r="C61" s="1" t="n">
        <v>46048</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33806-2023</t>
        </is>
      </c>
      <c r="B62" s="1" t="n">
        <v>45121</v>
      </c>
      <c r="C62" s="1" t="n">
        <v>46048</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19399-2025</t>
        </is>
      </c>
      <c r="B63" s="1" t="n">
        <v>45769.67740740741</v>
      </c>
      <c r="C63" s="1" t="n">
        <v>46048</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61386-2022</t>
        </is>
      </c>
      <c r="B64" s="1" t="n">
        <v>44915</v>
      </c>
      <c r="C64" s="1" t="n">
        <v>46048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46048</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41929-2023</t>
        </is>
      </c>
      <c r="B66" s="1" t="n">
        <v>45176</v>
      </c>
      <c r="C66" s="1" t="n">
        <v>46048</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37237-2023</t>
        </is>
      </c>
      <c r="B67" s="1" t="n">
        <v>45155</v>
      </c>
      <c r="C67" s="1" t="n">
        <v>46048</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933-2023</t>
        </is>
      </c>
      <c r="B68" s="1" t="n">
        <v>44932</v>
      </c>
      <c r="C68" s="1" t="n">
        <v>46048</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11828-2023</t>
        </is>
      </c>
      <c r="B69" s="1" t="n">
        <v>44994</v>
      </c>
      <c r="C69" s="1" t="n">
        <v>46048</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19402-2025</t>
        </is>
      </c>
      <c r="B70" s="1" t="n">
        <v>45769.67778935185</v>
      </c>
      <c r="C70" s="1" t="n">
        <v>46048</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46048</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53021-2022</t>
        </is>
      </c>
      <c r="B72" s="1" t="n">
        <v>44875</v>
      </c>
      <c r="C72" s="1" t="n">
        <v>46048</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24431-2024</t>
        </is>
      </c>
      <c r="B73" s="1" t="n">
        <v>45457</v>
      </c>
      <c r="C73" s="1" t="n">
        <v>46048</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36276-2025</t>
        </is>
      </c>
      <c r="B74" s="1" t="n">
        <v>45867.63619212963</v>
      </c>
      <c r="C74" s="1" t="n">
        <v>46048</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26326-2024</t>
        </is>
      </c>
      <c r="B75" s="1" t="n">
        <v>45468.97528935185</v>
      </c>
      <c r="C75" s="1" t="n">
        <v>46048</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39973-2025</t>
        </is>
      </c>
      <c r="B76" s="1" t="n">
        <v>45893.38584490741</v>
      </c>
      <c r="C76" s="1" t="n">
        <v>46048</v>
      </c>
      <c r="D76" t="inlineStr">
        <is>
          <t>JÄMTLANDS LÄN</t>
        </is>
      </c>
      <c r="E76" t="inlineStr">
        <is>
          <t>RAGUNDA</t>
        </is>
      </c>
      <c r="F76" t="inlineStr">
        <is>
          <t>Naturvårdsverket</t>
        </is>
      </c>
      <c r="G76" t="n">
        <v>8</v>
      </c>
      <c r="H76" t="n">
        <v>0</v>
      </c>
      <c r="I76" t="n">
        <v>1</v>
      </c>
      <c r="J76" t="n">
        <v>5</v>
      </c>
      <c r="K76" t="n">
        <v>0</v>
      </c>
      <c r="L76" t="n">
        <v>0</v>
      </c>
      <c r="M76" t="n">
        <v>0</v>
      </c>
      <c r="N76" t="n">
        <v>0</v>
      </c>
      <c r="O76" t="n">
        <v>5</v>
      </c>
      <c r="P76" t="n">
        <v>0</v>
      </c>
      <c r="Q76" t="n">
        <v>6</v>
      </c>
      <c r="R76" s="2" t="inlineStr">
        <is>
          <t>Granticka
Lunglav
Mörk kolflarnlav
Tallticka
Vedskivlav
Skinnlav</t>
        </is>
      </c>
      <c r="S76">
        <f>HYPERLINK("https://klasma.github.io/Logging_2303/artfynd/A 39973-2025 artfynd.xlsx", "A 39973-2025")</f>
        <v/>
      </c>
      <c r="T76">
        <f>HYPERLINK("https://klasma.github.io/Logging_2303/kartor/A 39973-2025 karta.png", "A 39973-2025")</f>
        <v/>
      </c>
      <c r="V76">
        <f>HYPERLINK("https://klasma.github.io/Logging_2303/klagomål/A 39973-2025 FSC-klagomål.docx", "A 39973-2025")</f>
        <v/>
      </c>
      <c r="W76">
        <f>HYPERLINK("https://klasma.github.io/Logging_2303/klagomålsmail/A 39973-2025 FSC-klagomål mail.docx", "A 39973-2025")</f>
        <v/>
      </c>
      <c r="X76">
        <f>HYPERLINK("https://klasma.github.io/Logging_2303/tillsyn/A 39973-2025 tillsynsbegäran.docx", "A 39973-2025")</f>
        <v/>
      </c>
      <c r="Y76">
        <f>HYPERLINK("https://klasma.github.io/Logging_2303/tillsynsmail/A 39973-2025 tillsynsbegäran mail.docx", "A 39973-2025")</f>
        <v/>
      </c>
    </row>
    <row r="77" ht="15" customHeight="1">
      <c r="A77" t="inlineStr">
        <is>
          <t>A 27322-2024</t>
        </is>
      </c>
      <c r="B77" s="1" t="n">
        <v>45471.94783564815</v>
      </c>
      <c r="C77" s="1" t="n">
        <v>46048</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49291-2025</t>
        </is>
      </c>
      <c r="B78" s="1" t="n">
        <v>45938.53188657408</v>
      </c>
      <c r="C78" s="1" t="n">
        <v>46048</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2193-2026</t>
        </is>
      </c>
      <c r="B79" s="1" t="n">
        <v>46036.46946759259</v>
      </c>
      <c r="C79" s="1" t="n">
        <v>46048</v>
      </c>
      <c r="D79" t="inlineStr">
        <is>
          <t>JÄMTLANDS LÄN</t>
        </is>
      </c>
      <c r="E79" t="inlineStr">
        <is>
          <t>RAGUNDA</t>
        </is>
      </c>
      <c r="F79" t="inlineStr">
        <is>
          <t>SCA</t>
        </is>
      </c>
      <c r="G79" t="n">
        <v>2.4</v>
      </c>
      <c r="H79" t="n">
        <v>1</v>
      </c>
      <c r="I79" t="n">
        <v>1</v>
      </c>
      <c r="J79" t="n">
        <v>4</v>
      </c>
      <c r="K79" t="n">
        <v>1</v>
      </c>
      <c r="L79" t="n">
        <v>0</v>
      </c>
      <c r="M79" t="n">
        <v>0</v>
      </c>
      <c r="N79" t="n">
        <v>0</v>
      </c>
      <c r="O79" t="n">
        <v>5</v>
      </c>
      <c r="P79" t="n">
        <v>1</v>
      </c>
      <c r="Q79" t="n">
        <v>6</v>
      </c>
      <c r="R79" s="2" t="inlineStr">
        <is>
          <t>Knärot
Garnlav
Lunglav
Rosenticka
Ullticka
Luddlav</t>
        </is>
      </c>
      <c r="S79">
        <f>HYPERLINK("https://klasma.github.io/Logging_2303/artfynd/A 2193-2026 artfynd.xlsx", "A 2193-2026")</f>
        <v/>
      </c>
      <c r="T79">
        <f>HYPERLINK("https://klasma.github.io/Logging_2303/kartor/A 2193-2026 karta.png", "A 2193-2026")</f>
        <v/>
      </c>
      <c r="U79">
        <f>HYPERLINK("https://klasma.github.io/Logging_2303/knärot/A 2193-2026 karta knärot.png", "A 2193-2026")</f>
        <v/>
      </c>
      <c r="V79">
        <f>HYPERLINK("https://klasma.github.io/Logging_2303/klagomål/A 2193-2026 FSC-klagomål.docx", "A 2193-2026")</f>
        <v/>
      </c>
      <c r="W79">
        <f>HYPERLINK("https://klasma.github.io/Logging_2303/klagomålsmail/A 2193-2026 FSC-klagomål mail.docx", "A 2193-2026")</f>
        <v/>
      </c>
      <c r="X79">
        <f>HYPERLINK("https://klasma.github.io/Logging_2303/tillsyn/A 2193-2026 tillsynsbegäran.docx", "A 2193-2026")</f>
        <v/>
      </c>
      <c r="Y79">
        <f>HYPERLINK("https://klasma.github.io/Logging_2303/tillsynsmail/A 2193-2026 tillsynsbegäran mail.docx", "A 2193-2026")</f>
        <v/>
      </c>
    </row>
    <row r="80" ht="15" customHeight="1">
      <c r="A80" t="inlineStr">
        <is>
          <t>A 55646-2023</t>
        </is>
      </c>
      <c r="B80" s="1" t="n">
        <v>45238</v>
      </c>
      <c r="C80" s="1" t="n">
        <v>46048</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47115-2025</t>
        </is>
      </c>
      <c r="B81" s="1" t="n">
        <v>45929</v>
      </c>
      <c r="C81" s="1" t="n">
        <v>46048</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34317-2025</t>
        </is>
      </c>
      <c r="B82" s="1" t="n">
        <v>45846.41361111111</v>
      </c>
      <c r="C82" s="1" t="n">
        <v>46048</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30637-2024</t>
        </is>
      </c>
      <c r="B83" s="1" t="n">
        <v>45495.56244212963</v>
      </c>
      <c r="C83" s="1" t="n">
        <v>46048</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21037-2021</t>
        </is>
      </c>
      <c r="B84" s="1" t="n">
        <v>44319</v>
      </c>
      <c r="C84" s="1" t="n">
        <v>46048</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46048</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45969-2023</t>
        </is>
      </c>
      <c r="B86" s="1" t="n">
        <v>45195</v>
      </c>
      <c r="C86" s="1" t="n">
        <v>46048</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15379-2024</t>
        </is>
      </c>
      <c r="B87" s="1" t="n">
        <v>45400.94002314815</v>
      </c>
      <c r="C87" s="1" t="n">
        <v>46048</v>
      </c>
      <c r="D87" t="inlineStr">
        <is>
          <t>JÄMTLANDS LÄN</t>
        </is>
      </c>
      <c r="E87" t="inlineStr">
        <is>
          <t>RAGUNDA</t>
        </is>
      </c>
      <c r="F87" t="inlineStr">
        <is>
          <t>SCA</t>
        </is>
      </c>
      <c r="G87" t="n">
        <v>4.2</v>
      </c>
      <c r="H87" t="n">
        <v>3</v>
      </c>
      <c r="I87" t="n">
        <v>3</v>
      </c>
      <c r="J87" t="n">
        <v>0</v>
      </c>
      <c r="K87" t="n">
        <v>1</v>
      </c>
      <c r="L87" t="n">
        <v>0</v>
      </c>
      <c r="M87" t="n">
        <v>0</v>
      </c>
      <c r="N87" t="n">
        <v>0</v>
      </c>
      <c r="O87" t="n">
        <v>1</v>
      </c>
      <c r="P87" t="n">
        <v>1</v>
      </c>
      <c r="Q87" t="n">
        <v>5</v>
      </c>
      <c r="R87" s="2" t="inlineStr">
        <is>
          <t>Knärot
Finbräken
Guckusko
Svavelriska
Blåsippa</t>
        </is>
      </c>
      <c r="S87">
        <f>HYPERLINK("https://klasma.github.io/Logging_2303/artfynd/A 15379-2024 artfynd.xlsx", "A 15379-2024")</f>
        <v/>
      </c>
      <c r="T87">
        <f>HYPERLINK("https://klasma.github.io/Logging_2303/kartor/A 15379-2024 karta.png", "A 15379-2024")</f>
        <v/>
      </c>
      <c r="U87">
        <f>HYPERLINK("https://klasma.github.io/Logging_2303/knärot/A 15379-2024 karta knärot.png", "A 15379-2024")</f>
        <v/>
      </c>
      <c r="V87">
        <f>HYPERLINK("https://klasma.github.io/Logging_2303/klagomål/A 15379-2024 FSC-klagomål.docx", "A 15379-2024")</f>
        <v/>
      </c>
      <c r="W87">
        <f>HYPERLINK("https://klasma.github.io/Logging_2303/klagomålsmail/A 15379-2024 FSC-klagomål mail.docx", "A 15379-2024")</f>
        <v/>
      </c>
      <c r="X87">
        <f>HYPERLINK("https://klasma.github.io/Logging_2303/tillsyn/A 15379-2024 tillsynsbegäran.docx", "A 15379-2024")</f>
        <v/>
      </c>
      <c r="Y87">
        <f>HYPERLINK("https://klasma.github.io/Logging_2303/tillsynsmail/A 15379-2024 tillsynsbegäran mail.docx", "A 15379-2024")</f>
        <v/>
      </c>
    </row>
    <row r="88" ht="15" customHeight="1">
      <c r="A88" t="inlineStr">
        <is>
          <t>A 13266-2023</t>
        </is>
      </c>
      <c r="B88" s="1" t="n">
        <v>45002.94356481481</v>
      </c>
      <c r="C88" s="1" t="n">
        <v>46048</v>
      </c>
      <c r="D88" t="inlineStr">
        <is>
          <t>JÄMTLANDS LÄN</t>
        </is>
      </c>
      <c r="E88" t="inlineStr">
        <is>
          <t>RAGUNDA</t>
        </is>
      </c>
      <c r="F88" t="inlineStr">
        <is>
          <t>SCA</t>
        </is>
      </c>
      <c r="G88" t="n">
        <v>4.1</v>
      </c>
      <c r="H88" t="n">
        <v>1</v>
      </c>
      <c r="I88" t="n">
        <v>0</v>
      </c>
      <c r="J88" t="n">
        <v>4</v>
      </c>
      <c r="K88" t="n">
        <v>0</v>
      </c>
      <c r="L88" t="n">
        <v>0</v>
      </c>
      <c r="M88" t="n">
        <v>0</v>
      </c>
      <c r="N88" t="n">
        <v>0</v>
      </c>
      <c r="O88" t="n">
        <v>4</v>
      </c>
      <c r="P88" t="n">
        <v>0</v>
      </c>
      <c r="Q88" t="n">
        <v>5</v>
      </c>
      <c r="R88" s="2" t="inlineStr">
        <is>
          <t>Gammelgransskål
Garnlav
Granticka
Lunglav
Revlummer</t>
        </is>
      </c>
      <c r="S88">
        <f>HYPERLINK("https://klasma.github.io/Logging_2303/artfynd/A 13266-2023 artfynd.xlsx", "A 13266-2023")</f>
        <v/>
      </c>
      <c r="T88">
        <f>HYPERLINK("https://klasma.github.io/Logging_2303/kartor/A 13266-2023 karta.png", "A 13266-2023")</f>
        <v/>
      </c>
      <c r="V88">
        <f>HYPERLINK("https://klasma.github.io/Logging_2303/klagomål/A 13266-2023 FSC-klagomål.docx", "A 13266-2023")</f>
        <v/>
      </c>
      <c r="W88">
        <f>HYPERLINK("https://klasma.github.io/Logging_2303/klagomålsmail/A 13266-2023 FSC-klagomål mail.docx", "A 13266-2023")</f>
        <v/>
      </c>
      <c r="X88">
        <f>HYPERLINK("https://klasma.github.io/Logging_2303/tillsyn/A 13266-2023 tillsynsbegäran.docx", "A 13266-2023")</f>
        <v/>
      </c>
      <c r="Y88">
        <f>HYPERLINK("https://klasma.github.io/Logging_2303/tillsynsmail/A 13266-2023 tillsynsbegäran mail.docx", "A 13266-2023")</f>
        <v/>
      </c>
    </row>
    <row r="89" ht="15" customHeight="1">
      <c r="A89" t="inlineStr">
        <is>
          <t>A 38169-2024</t>
        </is>
      </c>
      <c r="B89" s="1" t="n">
        <v>45545.45748842593</v>
      </c>
      <c r="C89" s="1" t="n">
        <v>46048</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39365-2024</t>
        </is>
      </c>
      <c r="B90" s="1" t="n">
        <v>45551.46912037037</v>
      </c>
      <c r="C90" s="1" t="n">
        <v>46048</v>
      </c>
      <c r="D90" t="inlineStr">
        <is>
          <t>JÄMTLANDS LÄN</t>
        </is>
      </c>
      <c r="E90" t="inlineStr">
        <is>
          <t>RAGUNDA</t>
        </is>
      </c>
      <c r="F90" t="inlineStr">
        <is>
          <t>SCA</t>
        </is>
      </c>
      <c r="G90" t="n">
        <v>7.3</v>
      </c>
      <c r="H90" t="n">
        <v>0</v>
      </c>
      <c r="I90" t="n">
        <v>3</v>
      </c>
      <c r="J90" t="n">
        <v>2</v>
      </c>
      <c r="K90" t="n">
        <v>0</v>
      </c>
      <c r="L90" t="n">
        <v>0</v>
      </c>
      <c r="M90" t="n">
        <v>0</v>
      </c>
      <c r="N90" t="n">
        <v>0</v>
      </c>
      <c r="O90" t="n">
        <v>2</v>
      </c>
      <c r="P90" t="n">
        <v>0</v>
      </c>
      <c r="Q90" t="n">
        <v>5</v>
      </c>
      <c r="R90" s="2" t="inlineStr">
        <is>
          <t>Lunglav
Ullticka
Korallblylav
Stor aspticka
Vedticka</t>
        </is>
      </c>
      <c r="S90">
        <f>HYPERLINK("https://klasma.github.io/Logging_2303/artfynd/A 39365-2024 artfynd.xlsx", "A 39365-2024")</f>
        <v/>
      </c>
      <c r="T90">
        <f>HYPERLINK("https://klasma.github.io/Logging_2303/kartor/A 39365-2024 karta.png", "A 39365-2024")</f>
        <v/>
      </c>
      <c r="U90">
        <f>HYPERLINK("https://klasma.github.io/Logging_2303/knärot/A 39365-2024 karta knärot.png", "A 39365-2024")</f>
        <v/>
      </c>
      <c r="V90">
        <f>HYPERLINK("https://klasma.github.io/Logging_2303/klagomål/A 39365-2024 FSC-klagomål.docx", "A 39365-2024")</f>
        <v/>
      </c>
      <c r="W90">
        <f>HYPERLINK("https://klasma.github.io/Logging_2303/klagomålsmail/A 39365-2024 FSC-klagomål mail.docx", "A 39365-2024")</f>
        <v/>
      </c>
      <c r="X90">
        <f>HYPERLINK("https://klasma.github.io/Logging_2303/tillsyn/A 39365-2024 tillsynsbegäran.docx", "A 39365-2024")</f>
        <v/>
      </c>
      <c r="Y90">
        <f>HYPERLINK("https://klasma.github.io/Logging_2303/tillsynsmail/A 39365-2024 tillsynsbegäran mail.docx", "A 39365-2024")</f>
        <v/>
      </c>
    </row>
    <row r="91" ht="15" customHeight="1">
      <c r="A91" t="inlineStr">
        <is>
          <t>A 15244-2025</t>
        </is>
      </c>
      <c r="B91" s="1" t="n">
        <v>45744.61550925926</v>
      </c>
      <c r="C91" s="1" t="n">
        <v>46048</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12024-2022</t>
        </is>
      </c>
      <c r="B92" s="1" t="n">
        <v>44635</v>
      </c>
      <c r="C92" s="1" t="n">
        <v>46048</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27313-2024</t>
        </is>
      </c>
      <c r="B93" s="1" t="n">
        <v>45471.94623842592</v>
      </c>
      <c r="C93" s="1" t="n">
        <v>46048</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30886-2025</t>
        </is>
      </c>
      <c r="B94" s="1" t="n">
        <v>45832.34578703704</v>
      </c>
      <c r="C94" s="1" t="n">
        <v>46048</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43106-2023</t>
        </is>
      </c>
      <c r="B95" s="1" t="n">
        <v>45182</v>
      </c>
      <c r="C95" s="1" t="n">
        <v>46048</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35344-2025</t>
        </is>
      </c>
      <c r="B96" s="1" t="n">
        <v>45854.61494212963</v>
      </c>
      <c r="C96" s="1" t="n">
        <v>46048</v>
      </c>
      <c r="D96" t="inlineStr">
        <is>
          <t>JÄMTLANDS LÄN</t>
        </is>
      </c>
      <c r="E96" t="inlineStr">
        <is>
          <t>RAGUNDA</t>
        </is>
      </c>
      <c r="F96" t="inlineStr">
        <is>
          <t>SCA</t>
        </is>
      </c>
      <c r="G96" t="n">
        <v>6.1</v>
      </c>
      <c r="H96" t="n">
        <v>0</v>
      </c>
      <c r="I96" t="n">
        <v>0</v>
      </c>
      <c r="J96" t="n">
        <v>5</v>
      </c>
      <c r="K96" t="n">
        <v>0</v>
      </c>
      <c r="L96" t="n">
        <v>0</v>
      </c>
      <c r="M96" t="n">
        <v>0</v>
      </c>
      <c r="N96" t="n">
        <v>0</v>
      </c>
      <c r="O96" t="n">
        <v>5</v>
      </c>
      <c r="P96" t="n">
        <v>0</v>
      </c>
      <c r="Q96" t="n">
        <v>5</v>
      </c>
      <c r="R96" s="2" t="inlineStr">
        <is>
          <t>Blå taggsvamp
Garnlav
Lunglav
Svart taggsvamp
Vedtrappmossa</t>
        </is>
      </c>
      <c r="S96">
        <f>HYPERLINK("https://klasma.github.io/Logging_2303/artfynd/A 35344-2025 artfynd.xlsx", "A 35344-2025")</f>
        <v/>
      </c>
      <c r="T96">
        <f>HYPERLINK("https://klasma.github.io/Logging_2303/kartor/A 35344-2025 karta.png", "A 35344-2025")</f>
        <v/>
      </c>
      <c r="V96">
        <f>HYPERLINK("https://klasma.github.io/Logging_2303/klagomål/A 35344-2025 FSC-klagomål.docx", "A 35344-2025")</f>
        <v/>
      </c>
      <c r="W96">
        <f>HYPERLINK("https://klasma.github.io/Logging_2303/klagomålsmail/A 35344-2025 FSC-klagomål mail.docx", "A 35344-2025")</f>
        <v/>
      </c>
      <c r="X96">
        <f>HYPERLINK("https://klasma.github.io/Logging_2303/tillsyn/A 35344-2025 tillsynsbegäran.docx", "A 35344-2025")</f>
        <v/>
      </c>
      <c r="Y96">
        <f>HYPERLINK("https://klasma.github.io/Logging_2303/tillsynsmail/A 35344-2025 tillsynsbegäran mail.docx", "A 35344-2025")</f>
        <v/>
      </c>
    </row>
    <row r="97" ht="15" customHeight="1">
      <c r="A97" t="inlineStr">
        <is>
          <t>A 2579-2025</t>
        </is>
      </c>
      <c r="B97" s="1" t="n">
        <v>45674.67744212963</v>
      </c>
      <c r="C97" s="1" t="n">
        <v>46048</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60683-2022</t>
        </is>
      </c>
      <c r="B98" s="1" t="n">
        <v>44911</v>
      </c>
      <c r="C98" s="1" t="n">
        <v>46048</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39974-2025</t>
        </is>
      </c>
      <c r="B99" s="1" t="n">
        <v>45893.38599537037</v>
      </c>
      <c r="C99" s="1" t="n">
        <v>46048</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18629-2024</t>
        </is>
      </c>
      <c r="B100" s="1" t="n">
        <v>45425.96472222222</v>
      </c>
      <c r="C100" s="1" t="n">
        <v>46048</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46048</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57073-2023</t>
        </is>
      </c>
      <c r="B102" s="1" t="n">
        <v>45244</v>
      </c>
      <c r="C102" s="1" t="n">
        <v>46048</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8636-2021</t>
        </is>
      </c>
      <c r="B103" s="1" t="n">
        <v>44245</v>
      </c>
      <c r="C103" s="1" t="n">
        <v>46048</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46048</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46048</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46048</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21372-2025</t>
        </is>
      </c>
      <c r="B107" s="1" t="n">
        <v>45782.44871527778</v>
      </c>
      <c r="C107" s="1" t="n">
        <v>46048</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32903-2024</t>
        </is>
      </c>
      <c r="B108" s="1" t="n">
        <v>45516.94723379629</v>
      </c>
      <c r="C108" s="1" t="n">
        <v>46048</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12640-2024</t>
        </is>
      </c>
      <c r="B109" s="1" t="n">
        <v>45384</v>
      </c>
      <c r="C109" s="1" t="n">
        <v>46048</v>
      </c>
      <c r="D109" t="inlineStr">
        <is>
          <t>JÄMTLANDS LÄN</t>
        </is>
      </c>
      <c r="E109" t="inlineStr">
        <is>
          <t>RAGUNDA</t>
        </is>
      </c>
      <c r="G109" t="n">
        <v>3.3</v>
      </c>
      <c r="H109" t="n">
        <v>0</v>
      </c>
      <c r="I109" t="n">
        <v>2</v>
      </c>
      <c r="J109" t="n">
        <v>1</v>
      </c>
      <c r="K109" t="n">
        <v>1</v>
      </c>
      <c r="L109" t="n">
        <v>0</v>
      </c>
      <c r="M109" t="n">
        <v>0</v>
      </c>
      <c r="N109" t="n">
        <v>0</v>
      </c>
      <c r="O109" t="n">
        <v>2</v>
      </c>
      <c r="P109" t="n">
        <v>1</v>
      </c>
      <c r="Q109" t="n">
        <v>4</v>
      </c>
      <c r="R109" s="2" t="inlineStr">
        <is>
          <t>Spadskinn
Vedskivlav
Dropptaggsvamp
Skarp dropptaggsvamp</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12268-2024</t>
        </is>
      </c>
      <c r="B110" s="1" t="n">
        <v>45378</v>
      </c>
      <c r="C110" s="1" t="n">
        <v>46048</v>
      </c>
      <c r="D110" t="inlineStr">
        <is>
          <t>JÄMTLANDS LÄN</t>
        </is>
      </c>
      <c r="E110" t="inlineStr">
        <is>
          <t>RAGUNDA</t>
        </is>
      </c>
      <c r="F110" t="inlineStr">
        <is>
          <t>Kommuner</t>
        </is>
      </c>
      <c r="G110" t="n">
        <v>15.7</v>
      </c>
      <c r="H110" t="n">
        <v>0</v>
      </c>
      <c r="I110" t="n">
        <v>0</v>
      </c>
      <c r="J110" t="n">
        <v>4</v>
      </c>
      <c r="K110" t="n">
        <v>0</v>
      </c>
      <c r="L110" t="n">
        <v>0</v>
      </c>
      <c r="M110" t="n">
        <v>0</v>
      </c>
      <c r="N110" t="n">
        <v>0</v>
      </c>
      <c r="O110" t="n">
        <v>4</v>
      </c>
      <c r="P110" t="n">
        <v>0</v>
      </c>
      <c r="Q110" t="n">
        <v>4</v>
      </c>
      <c r="R110" s="2" t="inlineStr">
        <is>
          <t>Granticka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43960-2023</t>
        </is>
      </c>
      <c r="B111" s="1" t="n">
        <v>45187</v>
      </c>
      <c r="C111" s="1" t="n">
        <v>46048</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26082-2025</t>
        </is>
      </c>
      <c r="B112" s="1" t="n">
        <v>45805.34415509259</v>
      </c>
      <c r="C112" s="1" t="n">
        <v>46048</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30483-2024</t>
        </is>
      </c>
      <c r="B113" s="1" t="n">
        <v>45491</v>
      </c>
      <c r="C113" s="1" t="n">
        <v>46048</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46048</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46048</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52644-2024</t>
        </is>
      </c>
      <c r="B116" s="1" t="n">
        <v>45610.34415509259</v>
      </c>
      <c r="C116" s="1" t="n">
        <v>46048</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30465-2024</t>
        </is>
      </c>
      <c r="B117" s="1" t="n">
        <v>45491</v>
      </c>
      <c r="C117" s="1" t="n">
        <v>46048</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15836-2024</t>
        </is>
      </c>
      <c r="B118" s="1" t="n">
        <v>45404</v>
      </c>
      <c r="C118" s="1" t="n">
        <v>46048</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23682-2021</t>
        </is>
      </c>
      <c r="B119" s="1" t="n">
        <v>44334</v>
      </c>
      <c r="C119" s="1" t="n">
        <v>46048</v>
      </c>
      <c r="D119" t="inlineStr">
        <is>
          <t>JÄMTLANDS LÄN</t>
        </is>
      </c>
      <c r="E119" t="inlineStr">
        <is>
          <t>RAGUNDA</t>
        </is>
      </c>
      <c r="G119" t="n">
        <v>9.199999999999999</v>
      </c>
      <c r="H119" t="n">
        <v>1</v>
      </c>
      <c r="I119" t="n">
        <v>0</v>
      </c>
      <c r="J119" t="n">
        <v>3</v>
      </c>
      <c r="K119" t="n">
        <v>1</v>
      </c>
      <c r="L119" t="n">
        <v>0</v>
      </c>
      <c r="M119" t="n">
        <v>0</v>
      </c>
      <c r="N119" t="n">
        <v>0</v>
      </c>
      <c r="O119" t="n">
        <v>4</v>
      </c>
      <c r="P119" t="n">
        <v>1</v>
      </c>
      <c r="Q119" t="n">
        <v>4</v>
      </c>
      <c r="R119" s="2" t="inlineStr">
        <is>
          <t>Knärot
Garnlav
Lunglav
Rosenticka</t>
        </is>
      </c>
      <c r="S119">
        <f>HYPERLINK("https://klasma.github.io/Logging_2303/artfynd/A 23682-2021 artfynd.xlsx", "A 23682-2021")</f>
        <v/>
      </c>
      <c r="T119">
        <f>HYPERLINK("https://klasma.github.io/Logging_2303/kartor/A 23682-2021 karta.png", "A 23682-2021")</f>
        <v/>
      </c>
      <c r="U119">
        <f>HYPERLINK("https://klasma.github.io/Logging_2303/knärot/A 23682-2021 karta knärot.png", "A 23682-2021")</f>
        <v/>
      </c>
      <c r="V119">
        <f>HYPERLINK("https://klasma.github.io/Logging_2303/klagomål/A 23682-2021 FSC-klagomål.docx", "A 23682-2021")</f>
        <v/>
      </c>
      <c r="W119">
        <f>HYPERLINK("https://klasma.github.io/Logging_2303/klagomålsmail/A 23682-2021 FSC-klagomål mail.docx", "A 23682-2021")</f>
        <v/>
      </c>
      <c r="X119">
        <f>HYPERLINK("https://klasma.github.io/Logging_2303/tillsyn/A 23682-2021 tillsynsbegäran.docx", "A 23682-2021")</f>
        <v/>
      </c>
      <c r="Y119">
        <f>HYPERLINK("https://klasma.github.io/Logging_2303/tillsynsmail/A 23682-2021 tillsynsbegäran mail.docx", "A 23682-2021")</f>
        <v/>
      </c>
    </row>
    <row r="120" ht="15" customHeight="1">
      <c r="A120" t="inlineStr">
        <is>
          <t>A 23676-2021</t>
        </is>
      </c>
      <c r="B120" s="1" t="n">
        <v>44334.62565972222</v>
      </c>
      <c r="C120" s="1" t="n">
        <v>46048</v>
      </c>
      <c r="D120" t="inlineStr">
        <is>
          <t>JÄMTLANDS LÄN</t>
        </is>
      </c>
      <c r="E120" t="inlineStr">
        <is>
          <t>RAGUNDA</t>
        </is>
      </c>
      <c r="G120" t="n">
        <v>8.5</v>
      </c>
      <c r="H120" t="n">
        <v>1</v>
      </c>
      <c r="I120" t="n">
        <v>1</v>
      </c>
      <c r="J120" t="n">
        <v>3</v>
      </c>
      <c r="K120" t="n">
        <v>0</v>
      </c>
      <c r="L120" t="n">
        <v>0</v>
      </c>
      <c r="M120" t="n">
        <v>0</v>
      </c>
      <c r="N120" t="n">
        <v>0</v>
      </c>
      <c r="O120" t="n">
        <v>3</v>
      </c>
      <c r="P120" t="n">
        <v>0</v>
      </c>
      <c r="Q120" t="n">
        <v>4</v>
      </c>
      <c r="R120" s="2" t="inlineStr">
        <is>
          <t>Lunglav
Rosenticka
Tretåig hackspett
Strutbräken</t>
        </is>
      </c>
      <c r="S120">
        <f>HYPERLINK("https://klasma.github.io/Logging_2303/artfynd/A 23676-2021 artfynd.xlsx", "A 23676-2021")</f>
        <v/>
      </c>
      <c r="T120">
        <f>HYPERLINK("https://klasma.github.io/Logging_2303/kartor/A 23676-2021 karta.png", "A 23676-2021")</f>
        <v/>
      </c>
      <c r="V120">
        <f>HYPERLINK("https://klasma.github.io/Logging_2303/klagomål/A 23676-2021 FSC-klagomål.docx", "A 23676-2021")</f>
        <v/>
      </c>
      <c r="W120">
        <f>HYPERLINK("https://klasma.github.io/Logging_2303/klagomålsmail/A 23676-2021 FSC-klagomål mail.docx", "A 23676-2021")</f>
        <v/>
      </c>
      <c r="X120">
        <f>HYPERLINK("https://klasma.github.io/Logging_2303/tillsyn/A 23676-2021 tillsynsbegäran.docx", "A 23676-2021")</f>
        <v/>
      </c>
      <c r="Y120">
        <f>HYPERLINK("https://klasma.github.io/Logging_2303/tillsynsmail/A 23676-2021 tillsynsbegäran mail.docx", "A 23676-2021")</f>
        <v/>
      </c>
      <c r="Z120">
        <f>HYPERLINK("https://klasma.github.io/Logging_2303/fåglar/A 23676-2021 prioriterade fågelarter.docx", "A 23676-2021")</f>
        <v/>
      </c>
    </row>
    <row r="121" ht="15" customHeight="1">
      <c r="A121" t="inlineStr">
        <is>
          <t>A 40653-2025</t>
        </is>
      </c>
      <c r="B121" s="1" t="n">
        <v>45896.63618055556</v>
      </c>
      <c r="C121" s="1" t="n">
        <v>46048</v>
      </c>
      <c r="D121" t="inlineStr">
        <is>
          <t>JÄMTLANDS LÄN</t>
        </is>
      </c>
      <c r="E121" t="inlineStr">
        <is>
          <t>RAGUNDA</t>
        </is>
      </c>
      <c r="F121" t="inlineStr">
        <is>
          <t>SCA</t>
        </is>
      </c>
      <c r="G121" t="n">
        <v>3.9</v>
      </c>
      <c r="H121" t="n">
        <v>0</v>
      </c>
      <c r="I121" t="n">
        <v>1</v>
      </c>
      <c r="J121" t="n">
        <v>3</v>
      </c>
      <c r="K121" t="n">
        <v>0</v>
      </c>
      <c r="L121" t="n">
        <v>0</v>
      </c>
      <c r="M121" t="n">
        <v>0</v>
      </c>
      <c r="N121" t="n">
        <v>0</v>
      </c>
      <c r="O121" t="n">
        <v>3</v>
      </c>
      <c r="P121" t="n">
        <v>0</v>
      </c>
      <c r="Q121" t="n">
        <v>4</v>
      </c>
      <c r="R121" s="2" t="inlineStr">
        <is>
          <t>Blå taggsvamp
Garnlav
Mörk kolflarnlav
Dropptaggsvamp</t>
        </is>
      </c>
      <c r="S121">
        <f>HYPERLINK("https://klasma.github.io/Logging_2303/artfynd/A 40653-2025 artfynd.xlsx", "A 40653-2025")</f>
        <v/>
      </c>
      <c r="T121">
        <f>HYPERLINK("https://klasma.github.io/Logging_2303/kartor/A 40653-2025 karta.png", "A 40653-2025")</f>
        <v/>
      </c>
      <c r="V121">
        <f>HYPERLINK("https://klasma.github.io/Logging_2303/klagomål/A 40653-2025 FSC-klagomål.docx", "A 40653-2025")</f>
        <v/>
      </c>
      <c r="W121">
        <f>HYPERLINK("https://klasma.github.io/Logging_2303/klagomålsmail/A 40653-2025 FSC-klagomål mail.docx", "A 40653-2025")</f>
        <v/>
      </c>
      <c r="X121">
        <f>HYPERLINK("https://klasma.github.io/Logging_2303/tillsyn/A 40653-2025 tillsynsbegäran.docx", "A 40653-2025")</f>
        <v/>
      </c>
      <c r="Y121">
        <f>HYPERLINK("https://klasma.github.io/Logging_2303/tillsynsmail/A 40653-2025 tillsynsbegäran mail.docx", "A 40653-2025")</f>
        <v/>
      </c>
    </row>
    <row r="122" ht="15" customHeight="1">
      <c r="A122" t="inlineStr">
        <is>
          <t>A 19401-2025</t>
        </is>
      </c>
      <c r="B122" s="1" t="n">
        <v>45769.67767361111</v>
      </c>
      <c r="C122" s="1" t="n">
        <v>46048</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46048</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52168-2025</t>
        </is>
      </c>
      <c r="B124" s="1" t="n">
        <v>45953.365625</v>
      </c>
      <c r="C124" s="1" t="n">
        <v>46048</v>
      </c>
      <c r="D124" t="inlineStr">
        <is>
          <t>JÄMTLANDS LÄN</t>
        </is>
      </c>
      <c r="E124" t="inlineStr">
        <is>
          <t>RAGUNDA</t>
        </is>
      </c>
      <c r="F124" t="inlineStr">
        <is>
          <t>SCA</t>
        </is>
      </c>
      <c r="G124" t="n">
        <v>19.5</v>
      </c>
      <c r="H124" t="n">
        <v>0</v>
      </c>
      <c r="I124" t="n">
        <v>1</v>
      </c>
      <c r="J124" t="n">
        <v>3</v>
      </c>
      <c r="K124" t="n">
        <v>0</v>
      </c>
      <c r="L124" t="n">
        <v>0</v>
      </c>
      <c r="M124" t="n">
        <v>0</v>
      </c>
      <c r="N124" t="n">
        <v>0</v>
      </c>
      <c r="O124" t="n">
        <v>3</v>
      </c>
      <c r="P124" t="n">
        <v>0</v>
      </c>
      <c r="Q124" t="n">
        <v>4</v>
      </c>
      <c r="R124" s="2" t="inlineStr">
        <is>
          <t>Garnlav
Granticka
Vitgrynig nållav
Källmossa</t>
        </is>
      </c>
      <c r="S124">
        <f>HYPERLINK("https://klasma.github.io/Logging_2303/artfynd/A 52168-2025 artfynd.xlsx", "A 52168-2025")</f>
        <v/>
      </c>
      <c r="T124">
        <f>HYPERLINK("https://klasma.github.io/Logging_2303/kartor/A 52168-2025 karta.png", "A 52168-2025")</f>
        <v/>
      </c>
      <c r="V124">
        <f>HYPERLINK("https://klasma.github.io/Logging_2303/klagomål/A 52168-2025 FSC-klagomål.docx", "A 52168-2025")</f>
        <v/>
      </c>
      <c r="W124">
        <f>HYPERLINK("https://klasma.github.io/Logging_2303/klagomålsmail/A 52168-2025 FSC-klagomål mail.docx", "A 52168-2025")</f>
        <v/>
      </c>
      <c r="X124">
        <f>HYPERLINK("https://klasma.github.io/Logging_2303/tillsyn/A 52168-2025 tillsynsbegäran.docx", "A 52168-2025")</f>
        <v/>
      </c>
      <c r="Y124">
        <f>HYPERLINK("https://klasma.github.io/Logging_2303/tillsynsmail/A 52168-2025 tillsynsbegäran mail.docx", "A 52168-2025")</f>
        <v/>
      </c>
    </row>
    <row r="125" ht="15" customHeight="1">
      <c r="A125" t="inlineStr">
        <is>
          <t>A 50342-2025</t>
        </is>
      </c>
      <c r="B125" s="1" t="n">
        <v>45944.53186342592</v>
      </c>
      <c r="C125" s="1" t="n">
        <v>46048</v>
      </c>
      <c r="D125" t="inlineStr">
        <is>
          <t>JÄMTLANDS LÄN</t>
        </is>
      </c>
      <c r="E125" t="inlineStr">
        <is>
          <t>RAGUNDA</t>
        </is>
      </c>
      <c r="F125" t="inlineStr">
        <is>
          <t>SCA</t>
        </is>
      </c>
      <c r="G125" t="n">
        <v>20.7</v>
      </c>
      <c r="H125" t="n">
        <v>1</v>
      </c>
      <c r="I125" t="n">
        <v>1</v>
      </c>
      <c r="J125" t="n">
        <v>3</v>
      </c>
      <c r="K125" t="n">
        <v>0</v>
      </c>
      <c r="L125" t="n">
        <v>0</v>
      </c>
      <c r="M125" t="n">
        <v>0</v>
      </c>
      <c r="N125" t="n">
        <v>0</v>
      </c>
      <c r="O125" t="n">
        <v>3</v>
      </c>
      <c r="P125" t="n">
        <v>0</v>
      </c>
      <c r="Q125" t="n">
        <v>4</v>
      </c>
      <c r="R125" s="2" t="inlineStr">
        <is>
          <t>Garnlav
Granticka
Tretåig hackspett
Trådticka</t>
        </is>
      </c>
      <c r="S125">
        <f>HYPERLINK("https://klasma.github.io/Logging_2303/artfynd/A 50342-2025 artfynd.xlsx", "A 50342-2025")</f>
        <v/>
      </c>
      <c r="T125">
        <f>HYPERLINK("https://klasma.github.io/Logging_2303/kartor/A 50342-2025 karta.png", "A 50342-2025")</f>
        <v/>
      </c>
      <c r="V125">
        <f>HYPERLINK("https://klasma.github.io/Logging_2303/klagomål/A 50342-2025 FSC-klagomål.docx", "A 50342-2025")</f>
        <v/>
      </c>
      <c r="W125">
        <f>HYPERLINK("https://klasma.github.io/Logging_2303/klagomålsmail/A 50342-2025 FSC-klagomål mail.docx", "A 50342-2025")</f>
        <v/>
      </c>
      <c r="X125">
        <f>HYPERLINK("https://klasma.github.io/Logging_2303/tillsyn/A 50342-2025 tillsynsbegäran.docx", "A 50342-2025")</f>
        <v/>
      </c>
      <c r="Y125">
        <f>HYPERLINK("https://klasma.github.io/Logging_2303/tillsynsmail/A 50342-2025 tillsynsbegäran mail.docx", "A 50342-2025")</f>
        <v/>
      </c>
      <c r="Z125">
        <f>HYPERLINK("https://klasma.github.io/Logging_2303/fåglar/A 50342-2025 prioriterade fågelarter.docx", "A 50342-2025")</f>
        <v/>
      </c>
    </row>
    <row r="126" ht="15" customHeight="1">
      <c r="A126" t="inlineStr">
        <is>
          <t>A 3809-2026</t>
        </is>
      </c>
      <c r="B126" s="1" t="n">
        <v>46043.58364583334</v>
      </c>
      <c r="C126" s="1" t="n">
        <v>46048</v>
      </c>
      <c r="D126" t="inlineStr">
        <is>
          <t>JÄMTLANDS LÄN</t>
        </is>
      </c>
      <c r="E126" t="inlineStr">
        <is>
          <t>RAGUNDA</t>
        </is>
      </c>
      <c r="G126" t="n">
        <v>28.6</v>
      </c>
      <c r="H126" t="n">
        <v>1</v>
      </c>
      <c r="I126" t="n">
        <v>0</v>
      </c>
      <c r="J126" t="n">
        <v>3</v>
      </c>
      <c r="K126" t="n">
        <v>1</v>
      </c>
      <c r="L126" t="n">
        <v>0</v>
      </c>
      <c r="M126" t="n">
        <v>0</v>
      </c>
      <c r="N126" t="n">
        <v>0</v>
      </c>
      <c r="O126" t="n">
        <v>4</v>
      </c>
      <c r="P126" t="n">
        <v>1</v>
      </c>
      <c r="Q126" t="n">
        <v>4</v>
      </c>
      <c r="R126" s="2" t="inlineStr">
        <is>
          <t>Knärot
Garnlav
Lunglav
Vitgrynig nållav</t>
        </is>
      </c>
      <c r="S126">
        <f>HYPERLINK("https://klasma.github.io/Logging_2303/artfynd/A 3809-2026 artfynd.xlsx", "A 3809-2026")</f>
        <v/>
      </c>
      <c r="T126">
        <f>HYPERLINK("https://klasma.github.io/Logging_2303/kartor/A 3809-2026 karta.png", "A 3809-2026")</f>
        <v/>
      </c>
      <c r="U126">
        <f>HYPERLINK("https://klasma.github.io/Logging_2303/knärot/A 3809-2026 karta knärot.png", "A 3809-2026")</f>
        <v/>
      </c>
      <c r="V126">
        <f>HYPERLINK("https://klasma.github.io/Logging_2303/klagomål/A 3809-2026 FSC-klagomål.docx", "A 3809-2026")</f>
        <v/>
      </c>
      <c r="W126">
        <f>HYPERLINK("https://klasma.github.io/Logging_2303/klagomålsmail/A 3809-2026 FSC-klagomål mail.docx", "A 3809-2026")</f>
        <v/>
      </c>
      <c r="X126">
        <f>HYPERLINK("https://klasma.github.io/Logging_2303/tillsyn/A 3809-2026 tillsynsbegäran.docx", "A 3809-2026")</f>
        <v/>
      </c>
      <c r="Y126">
        <f>HYPERLINK("https://klasma.github.io/Logging_2303/tillsynsmail/A 3809-2026 tillsynsbegäran mail.docx", "A 3809-2026")</f>
        <v/>
      </c>
    </row>
    <row r="127" ht="15" customHeight="1">
      <c r="A127" t="inlineStr">
        <is>
          <t>A 48052-2022</t>
        </is>
      </c>
      <c r="B127" s="1" t="n">
        <v>44855</v>
      </c>
      <c r="C127" s="1" t="n">
        <v>46048</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58368-2024</t>
        </is>
      </c>
      <c r="B128" s="1" t="n">
        <v>45632.69822916666</v>
      </c>
      <c r="C128" s="1" t="n">
        <v>46048</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31727-2021</t>
        </is>
      </c>
      <c r="B129" s="1" t="n">
        <v>44369.92025462963</v>
      </c>
      <c r="C129" s="1" t="n">
        <v>46048</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20776-2024</t>
        </is>
      </c>
      <c r="B130" s="1" t="n">
        <v>45436.94686342592</v>
      </c>
      <c r="C130" s="1" t="n">
        <v>46048</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18616-2024</t>
        </is>
      </c>
      <c r="B131" s="1" t="n">
        <v>45425.96285879629</v>
      </c>
      <c r="C131" s="1" t="n">
        <v>46048</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21248-2025</t>
        </is>
      </c>
      <c r="B132" s="1" t="n">
        <v>45779.57392361111</v>
      </c>
      <c r="C132" s="1" t="n">
        <v>46048</v>
      </c>
      <c r="D132" t="inlineStr">
        <is>
          <t>JÄMTLANDS LÄN</t>
        </is>
      </c>
      <c r="E132" t="inlineStr">
        <is>
          <t>RAGUNDA</t>
        </is>
      </c>
      <c r="F132" t="inlineStr">
        <is>
          <t>SCA</t>
        </is>
      </c>
      <c r="G132" t="n">
        <v>2.9</v>
      </c>
      <c r="H132" t="n">
        <v>1</v>
      </c>
      <c r="I132" t="n">
        <v>1</v>
      </c>
      <c r="J132" t="n">
        <v>2</v>
      </c>
      <c r="K132" t="n">
        <v>0</v>
      </c>
      <c r="L132" t="n">
        <v>0</v>
      </c>
      <c r="M132" t="n">
        <v>0</v>
      </c>
      <c r="N132" t="n">
        <v>0</v>
      </c>
      <c r="O132" t="n">
        <v>2</v>
      </c>
      <c r="P132" t="n">
        <v>0</v>
      </c>
      <c r="Q132" t="n">
        <v>3</v>
      </c>
      <c r="R132" s="2" t="inlineStr">
        <is>
          <t>Garnlav
Tretåig hackspett
Vedticka</t>
        </is>
      </c>
      <c r="S132">
        <f>HYPERLINK("https://klasma.github.io/Logging_2303/artfynd/A 21248-2025 artfynd.xlsx", "A 21248-2025")</f>
        <v/>
      </c>
      <c r="T132">
        <f>HYPERLINK("https://klasma.github.io/Logging_2303/kartor/A 21248-2025 karta.png", "A 21248-2025")</f>
        <v/>
      </c>
      <c r="V132">
        <f>HYPERLINK("https://klasma.github.io/Logging_2303/klagomål/A 21248-2025 FSC-klagomål.docx", "A 21248-2025")</f>
        <v/>
      </c>
      <c r="W132">
        <f>HYPERLINK("https://klasma.github.io/Logging_2303/klagomålsmail/A 21248-2025 FSC-klagomål mail.docx", "A 21248-2025")</f>
        <v/>
      </c>
      <c r="X132">
        <f>HYPERLINK("https://klasma.github.io/Logging_2303/tillsyn/A 21248-2025 tillsynsbegäran.docx", "A 21248-2025")</f>
        <v/>
      </c>
      <c r="Y132">
        <f>HYPERLINK("https://klasma.github.io/Logging_2303/tillsynsmail/A 21248-2025 tillsynsbegäran mail.docx", "A 21248-2025")</f>
        <v/>
      </c>
      <c r="Z132">
        <f>HYPERLINK("https://klasma.github.io/Logging_2303/fåglar/A 21248-2025 prioriterade fågelarter.docx", "A 21248-2025")</f>
        <v/>
      </c>
    </row>
    <row r="133" ht="15" customHeight="1">
      <c r="A133" t="inlineStr">
        <is>
          <t>A 14814-2024</t>
        </is>
      </c>
      <c r="B133" s="1" t="n">
        <v>45397.95748842593</v>
      </c>
      <c r="C133" s="1" t="n">
        <v>46048</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33278-2022</t>
        </is>
      </c>
      <c r="B134" s="1" t="n">
        <v>44788</v>
      </c>
      <c r="C134" s="1" t="n">
        <v>46048</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52345-2024</t>
        </is>
      </c>
      <c r="B135" s="1" t="n">
        <v>45609.34412037037</v>
      </c>
      <c r="C135" s="1" t="n">
        <v>46048</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7519-2023</t>
        </is>
      </c>
      <c r="B136" s="1" t="n">
        <v>44971</v>
      </c>
      <c r="C136" s="1" t="n">
        <v>46048</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53022-2022</t>
        </is>
      </c>
      <c r="B137" s="1" t="n">
        <v>44875</v>
      </c>
      <c r="C137" s="1" t="n">
        <v>46048</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36504-2023</t>
        </is>
      </c>
      <c r="B138" s="1" t="n">
        <v>45152</v>
      </c>
      <c r="C138" s="1" t="n">
        <v>46048</v>
      </c>
      <c r="D138" t="inlineStr">
        <is>
          <t>JÄMTLANDS LÄN</t>
        </is>
      </c>
      <c r="E138" t="inlineStr">
        <is>
          <t>RAGUNDA</t>
        </is>
      </c>
      <c r="F138" t="inlineStr">
        <is>
          <t>SCA</t>
        </is>
      </c>
      <c r="G138" t="n">
        <v>2</v>
      </c>
      <c r="H138" t="n">
        <v>0</v>
      </c>
      <c r="I138" t="n">
        <v>0</v>
      </c>
      <c r="J138" t="n">
        <v>3</v>
      </c>
      <c r="K138" t="n">
        <v>0</v>
      </c>
      <c r="L138" t="n">
        <v>0</v>
      </c>
      <c r="M138" t="n">
        <v>0</v>
      </c>
      <c r="N138" t="n">
        <v>0</v>
      </c>
      <c r="O138" t="n">
        <v>3</v>
      </c>
      <c r="P138" t="n">
        <v>0</v>
      </c>
      <c r="Q138" t="n">
        <v>3</v>
      </c>
      <c r="R138" s="2" t="inlineStr">
        <is>
          <t>Gammelgransskål
Garnlav
Granticka</t>
        </is>
      </c>
      <c r="S138">
        <f>HYPERLINK("https://klasma.github.io/Logging_2303/artfynd/A 36504-2023 artfynd.xlsx", "A 36504-2023")</f>
        <v/>
      </c>
      <c r="T138">
        <f>HYPERLINK("https://klasma.github.io/Logging_2303/kartor/A 36504-2023 karta.png", "A 36504-2023")</f>
        <v/>
      </c>
      <c r="V138">
        <f>HYPERLINK("https://klasma.github.io/Logging_2303/klagomål/A 36504-2023 FSC-klagomål.docx", "A 36504-2023")</f>
        <v/>
      </c>
      <c r="W138">
        <f>HYPERLINK("https://klasma.github.io/Logging_2303/klagomålsmail/A 36504-2023 FSC-klagomål mail.docx", "A 36504-2023")</f>
        <v/>
      </c>
      <c r="X138">
        <f>HYPERLINK("https://klasma.github.io/Logging_2303/tillsyn/A 36504-2023 tillsynsbegäran.docx", "A 36504-2023")</f>
        <v/>
      </c>
      <c r="Y138">
        <f>HYPERLINK("https://klasma.github.io/Logging_2303/tillsynsmail/A 36504-2023 tillsynsbegäran mail.docx", "A 36504-2023")</f>
        <v/>
      </c>
    </row>
    <row r="139" ht="15" customHeight="1">
      <c r="A139" t="inlineStr">
        <is>
          <t>A 12737-2025</t>
        </is>
      </c>
      <c r="B139" s="1" t="n">
        <v>45733</v>
      </c>
      <c r="C139" s="1" t="n">
        <v>46048</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25769-2025</t>
        </is>
      </c>
      <c r="B140" s="1" t="n">
        <v>45804.34474537037</v>
      </c>
      <c r="C140" s="1" t="n">
        <v>46048</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5048-2025</t>
        </is>
      </c>
      <c r="B141" s="1" t="n">
        <v>45691.44769675926</v>
      </c>
      <c r="C141" s="1" t="n">
        <v>46048</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58737-2022</t>
        </is>
      </c>
      <c r="B142" s="1" t="n">
        <v>44902</v>
      </c>
      <c r="C142" s="1" t="n">
        <v>46048</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61790-2023</t>
        </is>
      </c>
      <c r="B143" s="1" t="n">
        <v>45265</v>
      </c>
      <c r="C143" s="1" t="n">
        <v>46048</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22571-2025</t>
        </is>
      </c>
      <c r="B144" s="1" t="n">
        <v>45789.36503472222</v>
      </c>
      <c r="C144" s="1" t="n">
        <v>46048</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28178-2023</t>
        </is>
      </c>
      <c r="B145" s="1" t="n">
        <v>45093</v>
      </c>
      <c r="C145" s="1" t="n">
        <v>46048</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34585-2025</t>
        </is>
      </c>
      <c r="B146" s="1" t="n">
        <v>45847.61498842593</v>
      </c>
      <c r="C146" s="1" t="n">
        <v>46048</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49047-2023</t>
        </is>
      </c>
      <c r="B147" s="1" t="n">
        <v>45209</v>
      </c>
      <c r="C147" s="1" t="n">
        <v>46048</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32416-2025</t>
        </is>
      </c>
      <c r="B148" s="1" t="n">
        <v>45838</v>
      </c>
      <c r="C148" s="1" t="n">
        <v>46048</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48054-2022</t>
        </is>
      </c>
      <c r="B149" s="1" t="n">
        <v>44855</v>
      </c>
      <c r="C149" s="1" t="n">
        <v>46048</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16305-2025</t>
        </is>
      </c>
      <c r="B150" s="1" t="n">
        <v>45751.34650462963</v>
      </c>
      <c r="C150" s="1" t="n">
        <v>46048</v>
      </c>
      <c r="D150" t="inlineStr">
        <is>
          <t>JÄMTLANDS LÄN</t>
        </is>
      </c>
      <c r="E150" t="inlineStr">
        <is>
          <t>RAGUNDA</t>
        </is>
      </c>
      <c r="F150" t="inlineStr">
        <is>
          <t>SCA</t>
        </is>
      </c>
      <c r="G150" t="n">
        <v>2.5</v>
      </c>
      <c r="H150" t="n">
        <v>0</v>
      </c>
      <c r="I150" t="n">
        <v>2</v>
      </c>
      <c r="J150" t="n">
        <v>1</v>
      </c>
      <c r="K150" t="n">
        <v>0</v>
      </c>
      <c r="L150" t="n">
        <v>0</v>
      </c>
      <c r="M150" t="n">
        <v>0</v>
      </c>
      <c r="N150" t="n">
        <v>0</v>
      </c>
      <c r="O150" t="n">
        <v>1</v>
      </c>
      <c r="P150" t="n">
        <v>0</v>
      </c>
      <c r="Q150" t="n">
        <v>3</v>
      </c>
      <c r="R150" s="2" t="inlineStr">
        <is>
          <t>Lunglav
Bollvitmossa
Källmossa</t>
        </is>
      </c>
      <c r="S150">
        <f>HYPERLINK("https://klasma.github.io/Logging_2303/artfynd/A 16305-2025 artfynd.xlsx", "A 16305-2025")</f>
        <v/>
      </c>
      <c r="T150">
        <f>HYPERLINK("https://klasma.github.io/Logging_2303/kartor/A 16305-2025 karta.png", "A 16305-2025")</f>
        <v/>
      </c>
      <c r="V150">
        <f>HYPERLINK("https://klasma.github.io/Logging_2303/klagomål/A 16305-2025 FSC-klagomål.docx", "A 16305-2025")</f>
        <v/>
      </c>
      <c r="W150">
        <f>HYPERLINK("https://klasma.github.io/Logging_2303/klagomålsmail/A 16305-2025 FSC-klagomål mail.docx", "A 16305-2025")</f>
        <v/>
      </c>
      <c r="X150">
        <f>HYPERLINK("https://klasma.github.io/Logging_2303/tillsyn/A 16305-2025 tillsynsbegäran.docx", "A 16305-2025")</f>
        <v/>
      </c>
      <c r="Y150">
        <f>HYPERLINK("https://klasma.github.io/Logging_2303/tillsynsmail/A 16305-2025 tillsynsbegäran mail.docx", "A 16305-2025")</f>
        <v/>
      </c>
    </row>
    <row r="151" ht="15" customHeight="1">
      <c r="A151" t="inlineStr">
        <is>
          <t>A 22730-2023</t>
        </is>
      </c>
      <c r="B151" s="1" t="n">
        <v>45071</v>
      </c>
      <c r="C151" s="1" t="n">
        <v>46048</v>
      </c>
      <c r="D151" t="inlineStr">
        <is>
          <t>JÄMTLANDS LÄN</t>
        </is>
      </c>
      <c r="E151" t="inlineStr">
        <is>
          <t>RAGUNDA</t>
        </is>
      </c>
      <c r="G151" t="n">
        <v>3.6</v>
      </c>
      <c r="H151" t="n">
        <v>0</v>
      </c>
      <c r="I151" t="n">
        <v>0</v>
      </c>
      <c r="J151" t="n">
        <v>3</v>
      </c>
      <c r="K151" t="n">
        <v>0</v>
      </c>
      <c r="L151" t="n">
        <v>0</v>
      </c>
      <c r="M151" t="n">
        <v>0</v>
      </c>
      <c r="N151" t="n">
        <v>0</v>
      </c>
      <c r="O151" t="n">
        <v>3</v>
      </c>
      <c r="P151" t="n">
        <v>0</v>
      </c>
      <c r="Q151" t="n">
        <v>3</v>
      </c>
      <c r="R151" s="2" t="inlineStr">
        <is>
          <t>Garnlav
Lunglav
Vitgrynig nållav</t>
        </is>
      </c>
      <c r="S151">
        <f>HYPERLINK("https://klasma.github.io/Logging_2303/artfynd/A 22730-2023 artfynd.xlsx", "A 22730-2023")</f>
        <v/>
      </c>
      <c r="T151">
        <f>HYPERLINK("https://klasma.github.io/Logging_2303/kartor/A 22730-2023 karta.png", "A 22730-2023")</f>
        <v/>
      </c>
      <c r="V151">
        <f>HYPERLINK("https://klasma.github.io/Logging_2303/klagomål/A 22730-2023 FSC-klagomål.docx", "A 22730-2023")</f>
        <v/>
      </c>
      <c r="W151">
        <f>HYPERLINK("https://klasma.github.io/Logging_2303/klagomålsmail/A 22730-2023 FSC-klagomål mail.docx", "A 22730-2023")</f>
        <v/>
      </c>
      <c r="X151">
        <f>HYPERLINK("https://klasma.github.io/Logging_2303/tillsyn/A 22730-2023 tillsynsbegäran.docx", "A 22730-2023")</f>
        <v/>
      </c>
      <c r="Y151">
        <f>HYPERLINK("https://klasma.github.io/Logging_2303/tillsynsmail/A 22730-2023 tillsynsbegäran mail.docx", "A 22730-2023")</f>
        <v/>
      </c>
    </row>
    <row r="152" ht="15" customHeight="1">
      <c r="A152" t="inlineStr">
        <is>
          <t>A 33432-2023</t>
        </is>
      </c>
      <c r="B152" s="1" t="n">
        <v>45128</v>
      </c>
      <c r="C152" s="1" t="n">
        <v>46048</v>
      </c>
      <c r="D152" t="inlineStr">
        <is>
          <t>JÄMTLANDS LÄN</t>
        </is>
      </c>
      <c r="E152" t="inlineStr">
        <is>
          <t>RAGUNDA</t>
        </is>
      </c>
      <c r="F152" t="inlineStr">
        <is>
          <t>SCA</t>
        </is>
      </c>
      <c r="G152" t="n">
        <v>10</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33432-2023 artfynd.xlsx", "A 33432-2023")</f>
        <v/>
      </c>
      <c r="T152">
        <f>HYPERLINK("https://klasma.github.io/Logging_2303/kartor/A 33432-2023 karta.png", "A 33432-2023")</f>
        <v/>
      </c>
      <c r="V152">
        <f>HYPERLINK("https://klasma.github.io/Logging_2303/klagomål/A 33432-2023 FSC-klagomål.docx", "A 33432-2023")</f>
        <v/>
      </c>
      <c r="W152">
        <f>HYPERLINK("https://klasma.github.io/Logging_2303/klagomålsmail/A 33432-2023 FSC-klagomål mail.docx", "A 33432-2023")</f>
        <v/>
      </c>
      <c r="X152">
        <f>HYPERLINK("https://klasma.github.io/Logging_2303/tillsyn/A 33432-2023 tillsynsbegäran.docx", "A 33432-2023")</f>
        <v/>
      </c>
      <c r="Y152">
        <f>HYPERLINK("https://klasma.github.io/Logging_2303/tillsynsmail/A 33432-2023 tillsynsbegäran mail.docx", "A 33432-2023")</f>
        <v/>
      </c>
      <c r="Z152">
        <f>HYPERLINK("https://klasma.github.io/Logging_2303/fåglar/A 33432-2023 prioriterade fågelarter.docx", "A 33432-2023")</f>
        <v/>
      </c>
    </row>
    <row r="153" ht="15" customHeight="1">
      <c r="A153" t="inlineStr">
        <is>
          <t>A 57941-2024</t>
        </is>
      </c>
      <c r="B153" s="1" t="n">
        <v>45631</v>
      </c>
      <c r="C153" s="1" t="n">
        <v>46048</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57667-2025</t>
        </is>
      </c>
      <c r="B154" s="1" t="n">
        <v>45981.42767361111</v>
      </c>
      <c r="C154" s="1" t="n">
        <v>46048</v>
      </c>
      <c r="D154" t="inlineStr">
        <is>
          <t>JÄMTLANDS LÄN</t>
        </is>
      </c>
      <c r="E154" t="inlineStr">
        <is>
          <t>RAGUNDA</t>
        </is>
      </c>
      <c r="F154" t="inlineStr">
        <is>
          <t>SCA</t>
        </is>
      </c>
      <c r="G154" t="n">
        <v>1.7</v>
      </c>
      <c r="H154" t="n">
        <v>0</v>
      </c>
      <c r="I154" t="n">
        <v>2</v>
      </c>
      <c r="J154" t="n">
        <v>1</v>
      </c>
      <c r="K154" t="n">
        <v>0</v>
      </c>
      <c r="L154" t="n">
        <v>0</v>
      </c>
      <c r="M154" t="n">
        <v>0</v>
      </c>
      <c r="N154" t="n">
        <v>0</v>
      </c>
      <c r="O154" t="n">
        <v>1</v>
      </c>
      <c r="P154" t="n">
        <v>0</v>
      </c>
      <c r="Q154" t="n">
        <v>3</v>
      </c>
      <c r="R154" s="2" t="inlineStr">
        <is>
          <t>Lunglav
Korallblylav
Luddlav</t>
        </is>
      </c>
      <c r="S154">
        <f>HYPERLINK("https://klasma.github.io/Logging_2303/artfynd/A 57667-2025 artfynd.xlsx", "A 57667-2025")</f>
        <v/>
      </c>
      <c r="T154">
        <f>HYPERLINK("https://klasma.github.io/Logging_2303/kartor/A 57667-2025 karta.png", "A 57667-2025")</f>
        <v/>
      </c>
      <c r="V154">
        <f>HYPERLINK("https://klasma.github.io/Logging_2303/klagomål/A 57667-2025 FSC-klagomål.docx", "A 57667-2025")</f>
        <v/>
      </c>
      <c r="W154">
        <f>HYPERLINK("https://klasma.github.io/Logging_2303/klagomålsmail/A 57667-2025 FSC-klagomål mail.docx", "A 57667-2025")</f>
        <v/>
      </c>
      <c r="X154">
        <f>HYPERLINK("https://klasma.github.io/Logging_2303/tillsyn/A 57667-2025 tillsynsbegäran.docx", "A 57667-2025")</f>
        <v/>
      </c>
      <c r="Y154">
        <f>HYPERLINK("https://klasma.github.io/Logging_2303/tillsynsmail/A 57667-2025 tillsynsbegäran mail.docx", "A 57667-2025")</f>
        <v/>
      </c>
    </row>
    <row r="155" ht="15" customHeight="1">
      <c r="A155" t="inlineStr">
        <is>
          <t>A 59179-2025</t>
        </is>
      </c>
      <c r="B155" s="1" t="n">
        <v>45988.57350694444</v>
      </c>
      <c r="C155" s="1" t="n">
        <v>46048</v>
      </c>
      <c r="D155" t="inlineStr">
        <is>
          <t>JÄMTLANDS LÄN</t>
        </is>
      </c>
      <c r="E155" t="inlineStr">
        <is>
          <t>RAGUNDA</t>
        </is>
      </c>
      <c r="F155" t="inlineStr">
        <is>
          <t>SCA</t>
        </is>
      </c>
      <c r="G155" t="n">
        <v>2.3</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46003.57381944444</v>
      </c>
      <c r="C156" s="1" t="n">
        <v>46048</v>
      </c>
      <c r="D156" t="inlineStr">
        <is>
          <t>JÄMTLANDS LÄN</t>
        </is>
      </c>
      <c r="E156" t="inlineStr">
        <is>
          <t>RAGUNDA</t>
        </is>
      </c>
      <c r="F156" t="inlineStr">
        <is>
          <t>SCA</t>
        </is>
      </c>
      <c r="G156" t="n">
        <v>6.5</v>
      </c>
      <c r="H156" t="n">
        <v>0</v>
      </c>
      <c r="I156" t="n">
        <v>1</v>
      </c>
      <c r="J156" t="n">
        <v>2</v>
      </c>
      <c r="K156" t="n">
        <v>0</v>
      </c>
      <c r="L156" t="n">
        <v>0</v>
      </c>
      <c r="M156" t="n">
        <v>0</v>
      </c>
      <c r="N156" t="n">
        <v>0</v>
      </c>
      <c r="O156" t="n">
        <v>2</v>
      </c>
      <c r="P156" t="n">
        <v>0</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30470-2024</t>
        </is>
      </c>
      <c r="B157" s="1" t="n">
        <v>45491.94715277778</v>
      </c>
      <c r="C157" s="1" t="n">
        <v>46048</v>
      </c>
      <c r="D157" t="inlineStr">
        <is>
          <t>JÄMTLANDS LÄN</t>
        </is>
      </c>
      <c r="E157" t="inlineStr">
        <is>
          <t>RAGUNDA</t>
        </is>
      </c>
      <c r="F157" t="inlineStr">
        <is>
          <t>SCA</t>
        </is>
      </c>
      <c r="G157" t="n">
        <v>1.4</v>
      </c>
      <c r="H157" t="n">
        <v>2</v>
      </c>
      <c r="I157" t="n">
        <v>0</v>
      </c>
      <c r="J157" t="n">
        <v>2</v>
      </c>
      <c r="K157" t="n">
        <v>1</v>
      </c>
      <c r="L157" t="n">
        <v>0</v>
      </c>
      <c r="M157" t="n">
        <v>0</v>
      </c>
      <c r="N157" t="n">
        <v>0</v>
      </c>
      <c r="O157" t="n">
        <v>3</v>
      </c>
      <c r="P157" t="n">
        <v>1</v>
      </c>
      <c r="Q157" t="n">
        <v>3</v>
      </c>
      <c r="R157" s="2" t="inlineStr">
        <is>
          <t>Knärot
Lunglav
Tretåig hackspett</t>
        </is>
      </c>
      <c r="S157">
        <f>HYPERLINK("https://klasma.github.io/Logging_2303/artfynd/A 30470-2024 artfynd.xlsx", "A 30470-2024")</f>
        <v/>
      </c>
      <c r="T157">
        <f>HYPERLINK("https://klasma.github.io/Logging_2303/kartor/A 30470-2024 karta.png", "A 30470-2024")</f>
        <v/>
      </c>
      <c r="U157">
        <f>HYPERLINK("https://klasma.github.io/Logging_2303/knärot/A 30470-2024 karta knärot.png", "A 30470-2024")</f>
        <v/>
      </c>
      <c r="V157">
        <f>HYPERLINK("https://klasma.github.io/Logging_2303/klagomål/A 30470-2024 FSC-klagomål.docx", "A 30470-2024")</f>
        <v/>
      </c>
      <c r="W157">
        <f>HYPERLINK("https://klasma.github.io/Logging_2303/klagomålsmail/A 30470-2024 FSC-klagomål mail.docx", "A 30470-2024")</f>
        <v/>
      </c>
      <c r="X157">
        <f>HYPERLINK("https://klasma.github.io/Logging_2303/tillsyn/A 30470-2024 tillsynsbegäran.docx", "A 30470-2024")</f>
        <v/>
      </c>
      <c r="Y157">
        <f>HYPERLINK("https://klasma.github.io/Logging_2303/tillsynsmail/A 30470-2024 tillsynsbegäran mail.docx", "A 30470-2024")</f>
        <v/>
      </c>
      <c r="Z157">
        <f>HYPERLINK("https://klasma.github.io/Logging_2303/fåglar/A 30470-2024 prioriterade fågelarter.docx", "A 30470-2024")</f>
        <v/>
      </c>
    </row>
    <row r="158" ht="15" customHeight="1">
      <c r="A158" t="inlineStr">
        <is>
          <t>A 17043-2022</t>
        </is>
      </c>
      <c r="B158" s="1" t="n">
        <v>44676</v>
      </c>
      <c r="C158" s="1" t="n">
        <v>46048</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46048</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46048</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11086-2025</t>
        </is>
      </c>
      <c r="B161" s="1" t="n">
        <v>45723.57329861111</v>
      </c>
      <c r="C161" s="1" t="n">
        <v>46048</v>
      </c>
      <c r="D161" t="inlineStr">
        <is>
          <t>JÄMTLANDS LÄN</t>
        </is>
      </c>
      <c r="E161" t="inlineStr">
        <is>
          <t>RAGUNDA</t>
        </is>
      </c>
      <c r="F161" t="inlineStr">
        <is>
          <t>SCA</t>
        </is>
      </c>
      <c r="G161" t="n">
        <v>10.8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HYPERLINK("https://klasma.github.io/Logging_2303/artfynd/A 11086-2025 artfynd.xlsx", "A 11086-2025")</f>
        <v/>
      </c>
      <c r="T161">
        <f>HYPERLINK("https://klasma.github.io/Logging_2303/kartor/A 11086-2025 karta.png", "A 11086-2025")</f>
        <v/>
      </c>
      <c r="V161">
        <f>HYPERLINK("https://klasma.github.io/Logging_2303/klagomål/A 11086-2025 FSC-klagomål.docx", "A 11086-2025")</f>
        <v/>
      </c>
      <c r="W161">
        <f>HYPERLINK("https://klasma.github.io/Logging_2303/klagomålsmail/A 11086-2025 FSC-klagomål mail.docx", "A 11086-2025")</f>
        <v/>
      </c>
      <c r="X161">
        <f>HYPERLINK("https://klasma.github.io/Logging_2303/tillsyn/A 11086-2025 tillsynsbegäran.docx", "A 11086-2025")</f>
        <v/>
      </c>
      <c r="Y161">
        <f>HYPERLINK("https://klasma.github.io/Logging_2303/tillsynsmail/A 11086-2025 tillsynsbegäran mail.docx", "A 11086-2025")</f>
        <v/>
      </c>
    </row>
    <row r="162" ht="15" customHeight="1">
      <c r="A162" t="inlineStr">
        <is>
          <t>A 21245-2025</t>
        </is>
      </c>
      <c r="B162" s="1" t="n">
        <v>45779.57350694444</v>
      </c>
      <c r="C162" s="1" t="n">
        <v>46048</v>
      </c>
      <c r="D162" t="inlineStr">
        <is>
          <t>JÄMTLANDS LÄN</t>
        </is>
      </c>
      <c r="E162" t="inlineStr">
        <is>
          <t>RAGUNDA</t>
        </is>
      </c>
      <c r="F162" t="inlineStr">
        <is>
          <t>SCA</t>
        </is>
      </c>
      <c r="G162" t="n">
        <v>3.7</v>
      </c>
      <c r="H162" t="n">
        <v>1</v>
      </c>
      <c r="I162" t="n">
        <v>0</v>
      </c>
      <c r="J162" t="n">
        <v>1</v>
      </c>
      <c r="K162" t="n">
        <v>0</v>
      </c>
      <c r="L162" t="n">
        <v>0</v>
      </c>
      <c r="M162" t="n">
        <v>0</v>
      </c>
      <c r="N162" t="n">
        <v>0</v>
      </c>
      <c r="O162" t="n">
        <v>1</v>
      </c>
      <c r="P162" t="n">
        <v>0</v>
      </c>
      <c r="Q162" t="n">
        <v>2</v>
      </c>
      <c r="R162" s="2" t="inlineStr">
        <is>
          <t>Garnlav
Tjäder</t>
        </is>
      </c>
      <c r="S162">
        <f>HYPERLINK("https://klasma.github.io/Logging_2303/artfynd/A 21245-2025 artfynd.xlsx", "A 21245-2025")</f>
        <v/>
      </c>
      <c r="T162">
        <f>HYPERLINK("https://klasma.github.io/Logging_2303/kartor/A 21245-2025 karta.png", "A 21245-2025")</f>
        <v/>
      </c>
      <c r="V162">
        <f>HYPERLINK("https://klasma.github.io/Logging_2303/klagomål/A 21245-2025 FSC-klagomål.docx", "A 21245-2025")</f>
        <v/>
      </c>
      <c r="W162">
        <f>HYPERLINK("https://klasma.github.io/Logging_2303/klagomålsmail/A 21245-2025 FSC-klagomål mail.docx", "A 21245-2025")</f>
        <v/>
      </c>
      <c r="X162">
        <f>HYPERLINK("https://klasma.github.io/Logging_2303/tillsyn/A 21245-2025 tillsynsbegäran.docx", "A 21245-2025")</f>
        <v/>
      </c>
      <c r="Y162">
        <f>HYPERLINK("https://klasma.github.io/Logging_2303/tillsynsmail/A 21245-2025 tillsynsbegäran mail.docx", "A 21245-2025")</f>
        <v/>
      </c>
      <c r="Z162">
        <f>HYPERLINK("https://klasma.github.io/Logging_2303/fåglar/A 21245-2025 prioriterade fågelarter.docx", "A 21245-2025")</f>
        <v/>
      </c>
    </row>
    <row r="163" ht="15" customHeight="1">
      <c r="A163" t="inlineStr">
        <is>
          <t>A 19728-2025</t>
        </is>
      </c>
      <c r="B163" s="1" t="n">
        <v>45771.36548611111</v>
      </c>
      <c r="C163" s="1" t="n">
        <v>46048</v>
      </c>
      <c r="D163" t="inlineStr">
        <is>
          <t>JÄMTLANDS LÄN</t>
        </is>
      </c>
      <c r="E163" t="inlineStr">
        <is>
          <t>RAGUNDA</t>
        </is>
      </c>
      <c r="F163" t="inlineStr">
        <is>
          <t>SCA</t>
        </is>
      </c>
      <c r="G163" t="n">
        <v>6.2</v>
      </c>
      <c r="H163" t="n">
        <v>1</v>
      </c>
      <c r="I163" t="n">
        <v>0</v>
      </c>
      <c r="J163" t="n">
        <v>2</v>
      </c>
      <c r="K163" t="n">
        <v>0</v>
      </c>
      <c r="L163" t="n">
        <v>0</v>
      </c>
      <c r="M163" t="n">
        <v>0</v>
      </c>
      <c r="N163" t="n">
        <v>0</v>
      </c>
      <c r="O163" t="n">
        <v>2</v>
      </c>
      <c r="P163" t="n">
        <v>0</v>
      </c>
      <c r="Q163" t="n">
        <v>2</v>
      </c>
      <c r="R163" s="2" t="inlineStr">
        <is>
          <t>Stjärntagging
Tretåig hackspett</t>
        </is>
      </c>
      <c r="S163">
        <f>HYPERLINK("https://klasma.github.io/Logging_2303/artfynd/A 19728-2025 artfynd.xlsx", "A 19728-2025")</f>
        <v/>
      </c>
      <c r="T163">
        <f>HYPERLINK("https://klasma.github.io/Logging_2303/kartor/A 19728-2025 karta.png", "A 19728-2025")</f>
        <v/>
      </c>
      <c r="V163">
        <f>HYPERLINK("https://klasma.github.io/Logging_2303/klagomål/A 19728-2025 FSC-klagomål.docx", "A 19728-2025")</f>
        <v/>
      </c>
      <c r="W163">
        <f>HYPERLINK("https://klasma.github.io/Logging_2303/klagomålsmail/A 19728-2025 FSC-klagomål mail.docx", "A 19728-2025")</f>
        <v/>
      </c>
      <c r="X163">
        <f>HYPERLINK("https://klasma.github.io/Logging_2303/tillsyn/A 19728-2025 tillsynsbegäran.docx", "A 19728-2025")</f>
        <v/>
      </c>
      <c r="Y163">
        <f>HYPERLINK("https://klasma.github.io/Logging_2303/tillsynsmail/A 19728-2025 tillsynsbegäran mail.docx", "A 19728-2025")</f>
        <v/>
      </c>
      <c r="Z163">
        <f>HYPERLINK("https://klasma.github.io/Logging_2303/fåglar/A 19728-2025 prioriterade fågelarter.docx", "A 19728-2025")</f>
        <v/>
      </c>
    </row>
    <row r="164" ht="15" customHeight="1">
      <c r="A164" t="inlineStr">
        <is>
          <t>A 40826-2023</t>
        </is>
      </c>
      <c r="B164" s="1" t="n">
        <v>45171</v>
      </c>
      <c r="C164" s="1" t="n">
        <v>46048</v>
      </c>
      <c r="D164" t="inlineStr">
        <is>
          <t>JÄMTLANDS LÄN</t>
        </is>
      </c>
      <c r="E164" t="inlineStr">
        <is>
          <t>RAGUNDA</t>
        </is>
      </c>
      <c r="F164" t="inlineStr">
        <is>
          <t>SCA</t>
        </is>
      </c>
      <c r="G164" t="n">
        <v>4.5</v>
      </c>
      <c r="H164" t="n">
        <v>0</v>
      </c>
      <c r="I164" t="n">
        <v>1</v>
      </c>
      <c r="J164" t="n">
        <v>1</v>
      </c>
      <c r="K164" t="n">
        <v>0</v>
      </c>
      <c r="L164" t="n">
        <v>0</v>
      </c>
      <c r="M164" t="n">
        <v>0</v>
      </c>
      <c r="N164" t="n">
        <v>0</v>
      </c>
      <c r="O164" t="n">
        <v>1</v>
      </c>
      <c r="P164" t="n">
        <v>0</v>
      </c>
      <c r="Q164" t="n">
        <v>2</v>
      </c>
      <c r="R164" s="2" t="inlineStr">
        <is>
          <t>Lunglav
Stuplav</t>
        </is>
      </c>
      <c r="S164">
        <f>HYPERLINK("https://klasma.github.io/Logging_2303/artfynd/A 40826-2023 artfynd.xlsx", "A 40826-2023")</f>
        <v/>
      </c>
      <c r="T164">
        <f>HYPERLINK("https://klasma.github.io/Logging_2303/kartor/A 40826-2023 karta.png", "A 40826-2023")</f>
        <v/>
      </c>
      <c r="V164">
        <f>HYPERLINK("https://klasma.github.io/Logging_2303/klagomål/A 40826-2023 FSC-klagomål.docx", "A 40826-2023")</f>
        <v/>
      </c>
      <c r="W164">
        <f>HYPERLINK("https://klasma.github.io/Logging_2303/klagomålsmail/A 40826-2023 FSC-klagomål mail.docx", "A 40826-2023")</f>
        <v/>
      </c>
      <c r="X164">
        <f>HYPERLINK("https://klasma.github.io/Logging_2303/tillsyn/A 40826-2023 tillsynsbegäran.docx", "A 40826-2023")</f>
        <v/>
      </c>
      <c r="Y164">
        <f>HYPERLINK("https://klasma.github.io/Logging_2303/tillsynsmail/A 40826-2023 tillsynsbegäran mail.docx", "A 40826-2023")</f>
        <v/>
      </c>
    </row>
    <row r="165" ht="15" customHeight="1">
      <c r="A165" t="inlineStr">
        <is>
          <t>A 41490-2022</t>
        </is>
      </c>
      <c r="B165" s="1" t="n">
        <v>44826.94976851852</v>
      </c>
      <c r="C165" s="1" t="n">
        <v>46048</v>
      </c>
      <c r="D165" t="inlineStr">
        <is>
          <t>JÄMTLANDS LÄN</t>
        </is>
      </c>
      <c r="E165" t="inlineStr">
        <is>
          <t>RAGUNDA</t>
        </is>
      </c>
      <c r="F165" t="inlineStr">
        <is>
          <t>SCA</t>
        </is>
      </c>
      <c r="G165" t="n">
        <v>2.7</v>
      </c>
      <c r="H165" t="n">
        <v>0</v>
      </c>
      <c r="I165" t="n">
        <v>1</v>
      </c>
      <c r="J165" t="n">
        <v>1</v>
      </c>
      <c r="K165" t="n">
        <v>0</v>
      </c>
      <c r="L165" t="n">
        <v>0</v>
      </c>
      <c r="M165" t="n">
        <v>0</v>
      </c>
      <c r="N165" t="n">
        <v>0</v>
      </c>
      <c r="O165" t="n">
        <v>1</v>
      </c>
      <c r="P165" t="n">
        <v>0</v>
      </c>
      <c r="Q165" t="n">
        <v>2</v>
      </c>
      <c r="R165" s="2" t="inlineStr">
        <is>
          <t>Lunglav
Skinnlav</t>
        </is>
      </c>
      <c r="S165">
        <f>HYPERLINK("https://klasma.github.io/Logging_2303/artfynd/A 41490-2022 artfynd.xlsx", "A 41490-2022")</f>
        <v/>
      </c>
      <c r="T165">
        <f>HYPERLINK("https://klasma.github.io/Logging_2303/kartor/A 41490-2022 karta.png", "A 41490-2022")</f>
        <v/>
      </c>
      <c r="V165">
        <f>HYPERLINK("https://klasma.github.io/Logging_2303/klagomål/A 41490-2022 FSC-klagomål.docx", "A 41490-2022")</f>
        <v/>
      </c>
      <c r="W165">
        <f>HYPERLINK("https://klasma.github.io/Logging_2303/klagomålsmail/A 41490-2022 FSC-klagomål mail.docx", "A 41490-2022")</f>
        <v/>
      </c>
      <c r="X165">
        <f>HYPERLINK("https://klasma.github.io/Logging_2303/tillsyn/A 41490-2022 tillsynsbegäran.docx", "A 41490-2022")</f>
        <v/>
      </c>
      <c r="Y165">
        <f>HYPERLINK("https://klasma.github.io/Logging_2303/tillsynsmail/A 41490-2022 tillsynsbegäran mail.docx", "A 41490-2022")</f>
        <v/>
      </c>
    </row>
    <row r="166" ht="15" customHeight="1">
      <c r="A166" t="inlineStr">
        <is>
          <t>A 45035-2023</t>
        </is>
      </c>
      <c r="B166" s="1" t="n">
        <v>45191</v>
      </c>
      <c r="C166" s="1" t="n">
        <v>46048</v>
      </c>
      <c r="D166" t="inlineStr">
        <is>
          <t>JÄMTLANDS LÄN</t>
        </is>
      </c>
      <c r="E166" t="inlineStr">
        <is>
          <t>RAGUNDA</t>
        </is>
      </c>
      <c r="G166" t="n">
        <v>2.9</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45035-2023 artfynd.xlsx", "A 45035-2023")</f>
        <v/>
      </c>
      <c r="T166">
        <f>HYPERLINK("https://klasma.github.io/Logging_2303/kartor/A 45035-2023 karta.png", "A 45035-2023")</f>
        <v/>
      </c>
      <c r="V166">
        <f>HYPERLINK("https://klasma.github.io/Logging_2303/klagomål/A 45035-2023 FSC-klagomål.docx", "A 45035-2023")</f>
        <v/>
      </c>
      <c r="W166">
        <f>HYPERLINK("https://klasma.github.io/Logging_2303/klagomålsmail/A 45035-2023 FSC-klagomål mail.docx", "A 45035-2023")</f>
        <v/>
      </c>
      <c r="X166">
        <f>HYPERLINK("https://klasma.github.io/Logging_2303/tillsyn/A 45035-2023 tillsynsbegäran.docx", "A 45035-2023")</f>
        <v/>
      </c>
      <c r="Y166">
        <f>HYPERLINK("https://klasma.github.io/Logging_2303/tillsynsmail/A 45035-2023 tillsynsbegäran mail.docx", "A 45035-2023")</f>
        <v/>
      </c>
    </row>
    <row r="167" ht="15" customHeight="1">
      <c r="A167" t="inlineStr">
        <is>
          <t>A 14502-2024</t>
        </is>
      </c>
      <c r="B167" s="1" t="n">
        <v>45394</v>
      </c>
      <c r="C167" s="1" t="n">
        <v>46048</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11544-2024</t>
        </is>
      </c>
      <c r="B168" s="1" t="n">
        <v>45372.95680555556</v>
      </c>
      <c r="C168" s="1" t="n">
        <v>46048</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25155-2025</t>
        </is>
      </c>
      <c r="B169" s="1" t="n">
        <v>45800.42782407408</v>
      </c>
      <c r="C169" s="1" t="n">
        <v>46048</v>
      </c>
      <c r="D169" t="inlineStr">
        <is>
          <t>JÄMTLANDS LÄN</t>
        </is>
      </c>
      <c r="E169" t="inlineStr">
        <is>
          <t>RAGUNDA</t>
        </is>
      </c>
      <c r="F169" t="inlineStr">
        <is>
          <t>SCA</t>
        </is>
      </c>
      <c r="G169" t="n">
        <v>1.7</v>
      </c>
      <c r="H169" t="n">
        <v>1</v>
      </c>
      <c r="I169" t="n">
        <v>0</v>
      </c>
      <c r="J169" t="n">
        <v>1</v>
      </c>
      <c r="K169" t="n">
        <v>0</v>
      </c>
      <c r="L169" t="n">
        <v>0</v>
      </c>
      <c r="M169" t="n">
        <v>0</v>
      </c>
      <c r="N169" t="n">
        <v>0</v>
      </c>
      <c r="O169" t="n">
        <v>1</v>
      </c>
      <c r="P169" t="n">
        <v>0</v>
      </c>
      <c r="Q169" t="n">
        <v>2</v>
      </c>
      <c r="R169" s="2" t="inlineStr">
        <is>
          <t>Leptoporus mollis
Fläcknycklar</t>
        </is>
      </c>
      <c r="S169">
        <f>HYPERLINK("https://klasma.github.io/Logging_2303/artfynd/A 25155-2025 artfynd.xlsx", "A 25155-2025")</f>
        <v/>
      </c>
      <c r="T169">
        <f>HYPERLINK("https://klasma.github.io/Logging_2303/kartor/A 25155-2025 karta.png", "A 25155-2025")</f>
        <v/>
      </c>
      <c r="V169">
        <f>HYPERLINK("https://klasma.github.io/Logging_2303/klagomål/A 25155-2025 FSC-klagomål.docx", "A 25155-2025")</f>
        <v/>
      </c>
      <c r="W169">
        <f>HYPERLINK("https://klasma.github.io/Logging_2303/klagomålsmail/A 25155-2025 FSC-klagomål mail.docx", "A 25155-2025")</f>
        <v/>
      </c>
      <c r="X169">
        <f>HYPERLINK("https://klasma.github.io/Logging_2303/tillsyn/A 25155-2025 tillsynsbegäran.docx", "A 25155-2025")</f>
        <v/>
      </c>
      <c r="Y169">
        <f>HYPERLINK("https://klasma.github.io/Logging_2303/tillsynsmail/A 25155-2025 tillsynsbegäran mail.docx", "A 25155-2025")</f>
        <v/>
      </c>
    </row>
    <row r="170" ht="15" customHeight="1">
      <c r="A170" t="inlineStr">
        <is>
          <t>A 32736-2023</t>
        </is>
      </c>
      <c r="B170" s="1" t="n">
        <v>45121</v>
      </c>
      <c r="C170" s="1" t="n">
        <v>46048</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46771-2024</t>
        </is>
      </c>
      <c r="B171" s="1" t="n">
        <v>45583.49642361111</v>
      </c>
      <c r="C171" s="1" t="n">
        <v>46048</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44409-2023</t>
        </is>
      </c>
      <c r="B172" s="1" t="n">
        <v>45188</v>
      </c>
      <c r="C172" s="1" t="n">
        <v>46048</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55647-2023</t>
        </is>
      </c>
      <c r="B173" s="1" t="n">
        <v>45238</v>
      </c>
      <c r="C173" s="1" t="n">
        <v>46048</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12271-2024</t>
        </is>
      </c>
      <c r="B174" s="1" t="n">
        <v>45378</v>
      </c>
      <c r="C174" s="1" t="n">
        <v>46048</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46048</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47267-2022</t>
        </is>
      </c>
      <c r="B176" s="1" t="n">
        <v>44852</v>
      </c>
      <c r="C176" s="1" t="n">
        <v>46048</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46048</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10866-2025</t>
        </is>
      </c>
      <c r="B178" s="1" t="n">
        <v>45722.61543981481</v>
      </c>
      <c r="C178" s="1" t="n">
        <v>46048</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46048</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48427-2023</t>
        </is>
      </c>
      <c r="B180" s="1" t="n">
        <v>45205</v>
      </c>
      <c r="C180" s="1" t="n">
        <v>46048</v>
      </c>
      <c r="D180" t="inlineStr">
        <is>
          <t>JÄMTLANDS LÄN</t>
        </is>
      </c>
      <c r="E180" t="inlineStr">
        <is>
          <t>RAGUNDA</t>
        </is>
      </c>
      <c r="F180" t="inlineStr">
        <is>
          <t>SCA</t>
        </is>
      </c>
      <c r="G180" t="n">
        <v>10.1</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48427-2023 artfynd.xlsx", "A 48427-2023")</f>
        <v/>
      </c>
      <c r="T180">
        <f>HYPERLINK("https://klasma.github.io/Logging_2303/kartor/A 48427-2023 karta.png", "A 48427-2023")</f>
        <v/>
      </c>
      <c r="V180">
        <f>HYPERLINK("https://klasma.github.io/Logging_2303/klagomål/A 48427-2023 FSC-klagomål.docx", "A 48427-2023")</f>
        <v/>
      </c>
      <c r="W180">
        <f>HYPERLINK("https://klasma.github.io/Logging_2303/klagomålsmail/A 48427-2023 FSC-klagomål mail.docx", "A 48427-2023")</f>
        <v/>
      </c>
      <c r="X180">
        <f>HYPERLINK("https://klasma.github.io/Logging_2303/tillsyn/A 48427-2023 tillsynsbegäran.docx", "A 48427-2023")</f>
        <v/>
      </c>
      <c r="Y180">
        <f>HYPERLINK("https://klasma.github.io/Logging_2303/tillsynsmail/A 48427-2023 tillsynsbegäran mail.docx", "A 48427-2023")</f>
        <v/>
      </c>
    </row>
    <row r="181" ht="15" customHeight="1">
      <c r="A181" t="inlineStr">
        <is>
          <t>A 31960-2025</t>
        </is>
      </c>
      <c r="B181" s="1" t="n">
        <v>45835.344375</v>
      </c>
      <c r="C181" s="1" t="n">
        <v>46048</v>
      </c>
      <c r="D181" t="inlineStr">
        <is>
          <t>JÄMTLANDS LÄN</t>
        </is>
      </c>
      <c r="E181" t="inlineStr">
        <is>
          <t>RAGUNDA</t>
        </is>
      </c>
      <c r="F181" t="inlineStr">
        <is>
          <t>SCA</t>
        </is>
      </c>
      <c r="G181" t="n">
        <v>1.6</v>
      </c>
      <c r="H181" t="n">
        <v>0</v>
      </c>
      <c r="I181" t="n">
        <v>0</v>
      </c>
      <c r="J181" t="n">
        <v>2</v>
      </c>
      <c r="K181" t="n">
        <v>0</v>
      </c>
      <c r="L181" t="n">
        <v>0</v>
      </c>
      <c r="M181" t="n">
        <v>0</v>
      </c>
      <c r="N181" t="n">
        <v>0</v>
      </c>
      <c r="O181" t="n">
        <v>2</v>
      </c>
      <c r="P181" t="n">
        <v>0</v>
      </c>
      <c r="Q181" t="n">
        <v>2</v>
      </c>
      <c r="R181" s="2" t="inlineStr">
        <is>
          <t>Gammelgransskål
Garnlav</t>
        </is>
      </c>
      <c r="S181">
        <f>HYPERLINK("https://klasma.github.io/Logging_2303/artfynd/A 31960-2025 artfynd.xlsx", "A 31960-2025")</f>
        <v/>
      </c>
      <c r="T181">
        <f>HYPERLINK("https://klasma.github.io/Logging_2303/kartor/A 31960-2025 karta.png", "A 31960-2025")</f>
        <v/>
      </c>
      <c r="V181">
        <f>HYPERLINK("https://klasma.github.io/Logging_2303/klagomål/A 31960-2025 FSC-klagomål.docx", "A 31960-2025")</f>
        <v/>
      </c>
      <c r="W181">
        <f>HYPERLINK("https://klasma.github.io/Logging_2303/klagomålsmail/A 31960-2025 FSC-klagomål mail.docx", "A 31960-2025")</f>
        <v/>
      </c>
      <c r="X181">
        <f>HYPERLINK("https://klasma.github.io/Logging_2303/tillsyn/A 31960-2025 tillsynsbegäran.docx", "A 31960-2025")</f>
        <v/>
      </c>
      <c r="Y181">
        <f>HYPERLINK("https://klasma.github.io/Logging_2303/tillsynsmail/A 31960-2025 tillsynsbegäran mail.docx", "A 31960-2025")</f>
        <v/>
      </c>
    </row>
    <row r="182" ht="15" customHeight="1">
      <c r="A182" t="inlineStr">
        <is>
          <t>A 3838-2024</t>
        </is>
      </c>
      <c r="B182" s="1" t="n">
        <v>45321</v>
      </c>
      <c r="C182" s="1" t="n">
        <v>46048</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30053-2024</t>
        </is>
      </c>
      <c r="B183" s="1" t="n">
        <v>45488.94747685185</v>
      </c>
      <c r="C183" s="1" t="n">
        <v>46048</v>
      </c>
      <c r="D183" t="inlineStr">
        <is>
          <t>JÄMTLANDS LÄN</t>
        </is>
      </c>
      <c r="E183" t="inlineStr">
        <is>
          <t>RAGUNDA</t>
        </is>
      </c>
      <c r="F183" t="inlineStr">
        <is>
          <t>SCA</t>
        </is>
      </c>
      <c r="G183" t="n">
        <v>9.6</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30053-2024 artfynd.xlsx", "A 30053-2024")</f>
        <v/>
      </c>
      <c r="T183">
        <f>HYPERLINK("https://klasma.github.io/Logging_2303/kartor/A 30053-2024 karta.png", "A 30053-2024")</f>
        <v/>
      </c>
      <c r="V183">
        <f>HYPERLINK("https://klasma.github.io/Logging_2303/klagomål/A 30053-2024 FSC-klagomål.docx", "A 30053-2024")</f>
        <v/>
      </c>
      <c r="W183">
        <f>HYPERLINK("https://klasma.github.io/Logging_2303/klagomålsmail/A 30053-2024 FSC-klagomål mail.docx", "A 30053-2024")</f>
        <v/>
      </c>
      <c r="X183">
        <f>HYPERLINK("https://klasma.github.io/Logging_2303/tillsyn/A 30053-2024 tillsynsbegäran.docx", "A 30053-2024")</f>
        <v/>
      </c>
      <c r="Y183">
        <f>HYPERLINK("https://klasma.github.io/Logging_2303/tillsynsmail/A 30053-2024 tillsynsbegäran mail.docx", "A 30053-2024")</f>
        <v/>
      </c>
    </row>
    <row r="184" ht="15" customHeight="1">
      <c r="A184" t="inlineStr">
        <is>
          <t>A 50089-2022</t>
        </is>
      </c>
      <c r="B184" s="1" t="n">
        <v>44865</v>
      </c>
      <c r="C184" s="1" t="n">
        <v>46048</v>
      </c>
      <c r="D184" t="inlineStr">
        <is>
          <t>JÄMTLANDS LÄN</t>
        </is>
      </c>
      <c r="E184" t="inlineStr">
        <is>
          <t>RAGUNDA</t>
        </is>
      </c>
      <c r="G184" t="n">
        <v>5.7</v>
      </c>
      <c r="H184" t="n">
        <v>2</v>
      </c>
      <c r="I184" t="n">
        <v>0</v>
      </c>
      <c r="J184" t="n">
        <v>2</v>
      </c>
      <c r="K184" t="n">
        <v>0</v>
      </c>
      <c r="L184" t="n">
        <v>0</v>
      </c>
      <c r="M184" t="n">
        <v>0</v>
      </c>
      <c r="N184" t="n">
        <v>0</v>
      </c>
      <c r="O184" t="n">
        <v>2</v>
      </c>
      <c r="P184" t="n">
        <v>0</v>
      </c>
      <c r="Q184" t="n">
        <v>2</v>
      </c>
      <c r="R184" s="2" t="inlineStr">
        <is>
          <t>Björktrast
Drillsnäppa</t>
        </is>
      </c>
      <c r="S184">
        <f>HYPERLINK("https://klasma.github.io/Logging_2303/artfynd/A 50089-2022 artfynd.xlsx", "A 50089-2022")</f>
        <v/>
      </c>
      <c r="T184">
        <f>HYPERLINK("https://klasma.github.io/Logging_2303/kartor/A 50089-2022 karta.png", "A 50089-2022")</f>
        <v/>
      </c>
      <c r="V184">
        <f>HYPERLINK("https://klasma.github.io/Logging_2303/klagomål/A 50089-2022 FSC-klagomål.docx", "A 50089-2022")</f>
        <v/>
      </c>
      <c r="W184">
        <f>HYPERLINK("https://klasma.github.io/Logging_2303/klagomålsmail/A 50089-2022 FSC-klagomål mail.docx", "A 50089-2022")</f>
        <v/>
      </c>
      <c r="X184">
        <f>HYPERLINK("https://klasma.github.io/Logging_2303/tillsyn/A 50089-2022 tillsynsbegäran.docx", "A 50089-2022")</f>
        <v/>
      </c>
      <c r="Y184">
        <f>HYPERLINK("https://klasma.github.io/Logging_2303/tillsynsmail/A 50089-2022 tillsynsbegäran mail.docx", "A 50089-2022")</f>
        <v/>
      </c>
      <c r="Z184">
        <f>HYPERLINK("https://klasma.github.io/Logging_2303/fåglar/A 50089-2022 prioriterade fågelarter.docx", "A 50089-2022")</f>
        <v/>
      </c>
    </row>
    <row r="185" ht="15" customHeight="1">
      <c r="A185" t="inlineStr">
        <is>
          <t>A 35131-2025</t>
        </is>
      </c>
      <c r="B185" s="1" t="n">
        <v>45852.63597222222</v>
      </c>
      <c r="C185" s="1" t="n">
        <v>46048</v>
      </c>
      <c r="D185" t="inlineStr">
        <is>
          <t>JÄMTLANDS LÄN</t>
        </is>
      </c>
      <c r="E185" t="inlineStr">
        <is>
          <t>RAGUNDA</t>
        </is>
      </c>
      <c r="F185" t="inlineStr">
        <is>
          <t>SCA</t>
        </is>
      </c>
      <c r="G185" t="n">
        <v>6.9</v>
      </c>
      <c r="H185" t="n">
        <v>1</v>
      </c>
      <c r="I185" t="n">
        <v>1</v>
      </c>
      <c r="J185" t="n">
        <v>0</v>
      </c>
      <c r="K185" t="n">
        <v>0</v>
      </c>
      <c r="L185" t="n">
        <v>0</v>
      </c>
      <c r="M185" t="n">
        <v>0</v>
      </c>
      <c r="N185" t="n">
        <v>0</v>
      </c>
      <c r="O185" t="n">
        <v>0</v>
      </c>
      <c r="P185" t="n">
        <v>0</v>
      </c>
      <c r="Q185" t="n">
        <v>2</v>
      </c>
      <c r="R185" s="2" t="inlineStr">
        <is>
          <t>Ögonpyrola
Nattviol</t>
        </is>
      </c>
      <c r="S185">
        <f>HYPERLINK("https://klasma.github.io/Logging_2303/artfynd/A 35131-2025 artfynd.xlsx", "A 35131-2025")</f>
        <v/>
      </c>
      <c r="T185">
        <f>HYPERLINK("https://klasma.github.io/Logging_2303/kartor/A 35131-2025 karta.png", "A 35131-2025")</f>
        <v/>
      </c>
      <c r="V185">
        <f>HYPERLINK("https://klasma.github.io/Logging_2303/klagomål/A 35131-2025 FSC-klagomål.docx", "A 35131-2025")</f>
        <v/>
      </c>
      <c r="W185">
        <f>HYPERLINK("https://klasma.github.io/Logging_2303/klagomålsmail/A 35131-2025 FSC-klagomål mail.docx", "A 35131-2025")</f>
        <v/>
      </c>
      <c r="X185">
        <f>HYPERLINK("https://klasma.github.io/Logging_2303/tillsyn/A 35131-2025 tillsynsbegäran.docx", "A 35131-2025")</f>
        <v/>
      </c>
      <c r="Y185">
        <f>HYPERLINK("https://klasma.github.io/Logging_2303/tillsynsmail/A 35131-2025 tillsynsbegäran mail.docx", "A 35131-2025")</f>
        <v/>
      </c>
    </row>
    <row r="186" ht="15" customHeight="1">
      <c r="A186" t="inlineStr">
        <is>
          <t>A 36756-2023</t>
        </is>
      </c>
      <c r="B186" s="1" t="n">
        <v>45153</v>
      </c>
      <c r="C186" s="1" t="n">
        <v>46048</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46048</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46048</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11843-2023</t>
        </is>
      </c>
      <c r="B189" s="1" t="n">
        <v>44993</v>
      </c>
      <c r="C189" s="1" t="n">
        <v>46048</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17733-2022</t>
        </is>
      </c>
      <c r="B190" s="1" t="n">
        <v>44680</v>
      </c>
      <c r="C190" s="1" t="n">
        <v>46048</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26482-2023</t>
        </is>
      </c>
      <c r="B191" s="1" t="n">
        <v>45089</v>
      </c>
      <c r="C191" s="1" t="n">
        <v>46048</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46048</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47850-2025</t>
        </is>
      </c>
      <c r="B193" s="1" t="n">
        <v>45932.38626157407</v>
      </c>
      <c r="C193" s="1" t="n">
        <v>46048</v>
      </c>
      <c r="D193" t="inlineStr">
        <is>
          <t>JÄMTLANDS LÄN</t>
        </is>
      </c>
      <c r="E193" t="inlineStr">
        <is>
          <t>RAGUNDA</t>
        </is>
      </c>
      <c r="F193" t="inlineStr">
        <is>
          <t>SCA</t>
        </is>
      </c>
      <c r="G193" t="n">
        <v>2.4</v>
      </c>
      <c r="H193" t="n">
        <v>1</v>
      </c>
      <c r="I193" t="n">
        <v>0</v>
      </c>
      <c r="J193" t="n">
        <v>1</v>
      </c>
      <c r="K193" t="n">
        <v>0</v>
      </c>
      <c r="L193" t="n">
        <v>0</v>
      </c>
      <c r="M193" t="n">
        <v>0</v>
      </c>
      <c r="N193" t="n">
        <v>0</v>
      </c>
      <c r="O193" t="n">
        <v>1</v>
      </c>
      <c r="P193" t="n">
        <v>0</v>
      </c>
      <c r="Q193" t="n">
        <v>2</v>
      </c>
      <c r="R193" s="2" t="inlineStr">
        <is>
          <t>Kolflarnlav
Blåsippa</t>
        </is>
      </c>
      <c r="S193">
        <f>HYPERLINK("https://klasma.github.io/Logging_2303/artfynd/A 47850-2025 artfynd.xlsx", "A 47850-2025")</f>
        <v/>
      </c>
      <c r="T193">
        <f>HYPERLINK("https://klasma.github.io/Logging_2303/kartor/A 47850-2025 karta.png", "A 47850-2025")</f>
        <v/>
      </c>
      <c r="V193">
        <f>HYPERLINK("https://klasma.github.io/Logging_2303/klagomål/A 47850-2025 FSC-klagomål.docx", "A 47850-2025")</f>
        <v/>
      </c>
      <c r="W193">
        <f>HYPERLINK("https://klasma.github.io/Logging_2303/klagomålsmail/A 47850-2025 FSC-klagomål mail.docx", "A 47850-2025")</f>
        <v/>
      </c>
      <c r="X193">
        <f>HYPERLINK("https://klasma.github.io/Logging_2303/tillsyn/A 47850-2025 tillsynsbegäran.docx", "A 47850-2025")</f>
        <v/>
      </c>
      <c r="Y193">
        <f>HYPERLINK("https://klasma.github.io/Logging_2303/tillsynsmail/A 47850-2025 tillsynsbegäran mail.docx", "A 47850-2025")</f>
        <v/>
      </c>
    </row>
    <row r="194" ht="15" customHeight="1">
      <c r="A194" t="inlineStr">
        <is>
          <t>A 26324-2024</t>
        </is>
      </c>
      <c r="B194" s="1" t="n">
        <v>45468.97495370371</v>
      </c>
      <c r="C194" s="1" t="n">
        <v>46048</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57940-2024</t>
        </is>
      </c>
      <c r="B195" s="1" t="n">
        <v>45631</v>
      </c>
      <c r="C195" s="1" t="n">
        <v>46048</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62636-2025</t>
        </is>
      </c>
      <c r="B196" s="1" t="n">
        <v>46008.3653587963</v>
      </c>
      <c r="C196" s="1" t="n">
        <v>46048</v>
      </c>
      <c r="D196" t="inlineStr">
        <is>
          <t>JÄMTLANDS LÄN</t>
        </is>
      </c>
      <c r="E196" t="inlineStr">
        <is>
          <t>RAGUNDA</t>
        </is>
      </c>
      <c r="G196" t="n">
        <v>3.1</v>
      </c>
      <c r="H196" t="n">
        <v>1</v>
      </c>
      <c r="I196" t="n">
        <v>0</v>
      </c>
      <c r="J196" t="n">
        <v>2</v>
      </c>
      <c r="K196" t="n">
        <v>0</v>
      </c>
      <c r="L196" t="n">
        <v>0</v>
      </c>
      <c r="M196" t="n">
        <v>0</v>
      </c>
      <c r="N196" t="n">
        <v>0</v>
      </c>
      <c r="O196" t="n">
        <v>2</v>
      </c>
      <c r="P196" t="n">
        <v>0</v>
      </c>
      <c r="Q196" t="n">
        <v>2</v>
      </c>
      <c r="R196" s="2" t="inlineStr">
        <is>
          <t>Garnlav
Talltita</t>
        </is>
      </c>
      <c r="S196">
        <f>HYPERLINK("https://klasma.github.io/Logging_2303/artfynd/A 62636-2025 artfynd.xlsx", "A 62636-2025")</f>
        <v/>
      </c>
      <c r="T196">
        <f>HYPERLINK("https://klasma.github.io/Logging_2303/kartor/A 62636-2025 karta.png", "A 62636-2025")</f>
        <v/>
      </c>
      <c r="V196">
        <f>HYPERLINK("https://klasma.github.io/Logging_2303/klagomål/A 62636-2025 FSC-klagomål.docx", "A 62636-2025")</f>
        <v/>
      </c>
      <c r="W196">
        <f>HYPERLINK("https://klasma.github.io/Logging_2303/klagomålsmail/A 62636-2025 FSC-klagomål mail.docx", "A 62636-2025")</f>
        <v/>
      </c>
      <c r="X196">
        <f>HYPERLINK("https://klasma.github.io/Logging_2303/tillsyn/A 62636-2025 tillsynsbegäran.docx", "A 62636-2025")</f>
        <v/>
      </c>
      <c r="Y196">
        <f>HYPERLINK("https://klasma.github.io/Logging_2303/tillsynsmail/A 62636-2025 tillsynsbegäran mail.docx", "A 62636-2025")</f>
        <v/>
      </c>
      <c r="Z196">
        <f>HYPERLINK("https://klasma.github.io/Logging_2303/fåglar/A 62636-2025 prioriterade fågelarter.docx", "A 62636-2025")</f>
        <v/>
      </c>
    </row>
    <row r="197" ht="15" customHeight="1">
      <c r="A197" t="inlineStr">
        <is>
          <t>A 56634-2025</t>
        </is>
      </c>
      <c r="B197" s="1" t="n">
        <v>45975.61619212963</v>
      </c>
      <c r="C197" s="1" t="n">
        <v>46048</v>
      </c>
      <c r="D197" t="inlineStr">
        <is>
          <t>JÄMTLANDS LÄN</t>
        </is>
      </c>
      <c r="E197" t="inlineStr">
        <is>
          <t>RAGUNDA</t>
        </is>
      </c>
      <c r="F197" t="inlineStr">
        <is>
          <t>SCA</t>
        </is>
      </c>
      <c r="G197" t="n">
        <v>86.59999999999999</v>
      </c>
      <c r="H197" t="n">
        <v>0</v>
      </c>
      <c r="I197" t="n">
        <v>1</v>
      </c>
      <c r="J197" t="n">
        <v>1</v>
      </c>
      <c r="K197" t="n">
        <v>0</v>
      </c>
      <c r="L197" t="n">
        <v>0</v>
      </c>
      <c r="M197" t="n">
        <v>0</v>
      </c>
      <c r="N197" t="n">
        <v>0</v>
      </c>
      <c r="O197" t="n">
        <v>1</v>
      </c>
      <c r="P197" t="n">
        <v>0</v>
      </c>
      <c r="Q197" t="n">
        <v>2</v>
      </c>
      <c r="R197" s="2" t="inlineStr">
        <is>
          <t>Garnlav
Skuggblåslav</t>
        </is>
      </c>
      <c r="S197">
        <f>HYPERLINK("https://klasma.github.io/Logging_2303/artfynd/A 56634-2025 artfynd.xlsx", "A 56634-2025")</f>
        <v/>
      </c>
      <c r="T197">
        <f>HYPERLINK("https://klasma.github.io/Logging_2303/kartor/A 56634-2025 karta.png", "A 56634-2025")</f>
        <v/>
      </c>
      <c r="V197">
        <f>HYPERLINK("https://klasma.github.io/Logging_2303/klagomål/A 56634-2025 FSC-klagomål.docx", "A 56634-2025")</f>
        <v/>
      </c>
      <c r="W197">
        <f>HYPERLINK("https://klasma.github.io/Logging_2303/klagomålsmail/A 56634-2025 FSC-klagomål mail.docx", "A 56634-2025")</f>
        <v/>
      </c>
      <c r="X197">
        <f>HYPERLINK("https://klasma.github.io/Logging_2303/tillsyn/A 56634-2025 tillsynsbegäran.docx", "A 56634-2025")</f>
        <v/>
      </c>
      <c r="Y197">
        <f>HYPERLINK("https://klasma.github.io/Logging_2303/tillsynsmail/A 56634-2025 tillsynsbegäran mail.docx", "A 56634-2025")</f>
        <v/>
      </c>
    </row>
    <row r="198" ht="15" customHeight="1">
      <c r="A198" t="inlineStr">
        <is>
          <t>A 51916-2021</t>
        </is>
      </c>
      <c r="B198" s="1" t="n">
        <v>44462</v>
      </c>
      <c r="C198" s="1" t="n">
        <v>46048</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46048</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31477-2022</t>
        </is>
      </c>
      <c r="B200" s="1" t="n">
        <v>44774.94347222222</v>
      </c>
      <c r="C200" s="1" t="n">
        <v>46048</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27273-2022</t>
        </is>
      </c>
      <c r="B201" s="1" t="n">
        <v>44741</v>
      </c>
      <c r="C201" s="1" t="n">
        <v>46048</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27286-2022</t>
        </is>
      </c>
      <c r="B202" s="1" t="n">
        <v>44741</v>
      </c>
      <c r="C202" s="1" t="n">
        <v>46048</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46048</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46048</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16316-2025</t>
        </is>
      </c>
      <c r="B205" s="1" t="n">
        <v>45751.34795138889</v>
      </c>
      <c r="C205" s="1" t="n">
        <v>46048</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46048</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25694-2023</t>
        </is>
      </c>
      <c r="B207" s="1" t="n">
        <v>45089</v>
      </c>
      <c r="C207" s="1" t="n">
        <v>46048</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48429-2023</t>
        </is>
      </c>
      <c r="B208" s="1" t="n">
        <v>45205</v>
      </c>
      <c r="C208" s="1" t="n">
        <v>46048</v>
      </c>
      <c r="D208" t="inlineStr">
        <is>
          <t>JÄMTLANDS LÄN</t>
        </is>
      </c>
      <c r="E208" t="inlineStr">
        <is>
          <t>RAGUNDA</t>
        </is>
      </c>
      <c r="F208" t="inlineStr">
        <is>
          <t>SCA</t>
        </is>
      </c>
      <c r="G208" t="n">
        <v>1.8</v>
      </c>
      <c r="H208" t="n">
        <v>0</v>
      </c>
      <c r="I208" t="n">
        <v>1</v>
      </c>
      <c r="J208" t="n">
        <v>0</v>
      </c>
      <c r="K208" t="n">
        <v>0</v>
      </c>
      <c r="L208" t="n">
        <v>0</v>
      </c>
      <c r="M208" t="n">
        <v>0</v>
      </c>
      <c r="N208" t="n">
        <v>0</v>
      </c>
      <c r="O208" t="n">
        <v>0</v>
      </c>
      <c r="P208" t="n">
        <v>0</v>
      </c>
      <c r="Q208" t="n">
        <v>1</v>
      </c>
      <c r="R208" s="2" t="inlineStr">
        <is>
          <t>Dropptaggsvamp</t>
        </is>
      </c>
      <c r="S208">
        <f>HYPERLINK("https://klasma.github.io/Logging_2303/artfynd/A 48429-2023 artfynd.xlsx", "A 48429-2023")</f>
        <v/>
      </c>
      <c r="T208">
        <f>HYPERLINK("https://klasma.github.io/Logging_2303/kartor/A 48429-2023 karta.png", "A 48429-2023")</f>
        <v/>
      </c>
      <c r="V208">
        <f>HYPERLINK("https://klasma.github.io/Logging_2303/klagomål/A 48429-2023 FSC-klagomål.docx", "A 48429-2023")</f>
        <v/>
      </c>
      <c r="W208">
        <f>HYPERLINK("https://klasma.github.io/Logging_2303/klagomålsmail/A 48429-2023 FSC-klagomål mail.docx", "A 48429-2023")</f>
        <v/>
      </c>
      <c r="X208">
        <f>HYPERLINK("https://klasma.github.io/Logging_2303/tillsyn/A 48429-2023 tillsynsbegäran.docx", "A 48429-2023")</f>
        <v/>
      </c>
      <c r="Y208">
        <f>HYPERLINK("https://klasma.github.io/Logging_2303/tillsynsmail/A 48429-2023 tillsynsbegäran mail.docx", "A 48429-2023")</f>
        <v/>
      </c>
    </row>
    <row r="209" ht="15" customHeight="1">
      <c r="A209" t="inlineStr">
        <is>
          <t>A 59104-2023</t>
        </is>
      </c>
      <c r="B209" s="1" t="n">
        <v>45252</v>
      </c>
      <c r="C209" s="1" t="n">
        <v>46048</v>
      </c>
      <c r="D209" t="inlineStr">
        <is>
          <t>JÄMTLANDS LÄN</t>
        </is>
      </c>
      <c r="E209" t="inlineStr">
        <is>
          <t>RAGUNDA</t>
        </is>
      </c>
      <c r="F209" t="inlineStr">
        <is>
          <t>SCA</t>
        </is>
      </c>
      <c r="G209" t="n">
        <v>4.2</v>
      </c>
      <c r="H209" t="n">
        <v>0</v>
      </c>
      <c r="I209" t="n">
        <v>0</v>
      </c>
      <c r="J209" t="n">
        <v>1</v>
      </c>
      <c r="K209" t="n">
        <v>0</v>
      </c>
      <c r="L209" t="n">
        <v>0</v>
      </c>
      <c r="M209" t="n">
        <v>0</v>
      </c>
      <c r="N209" t="n">
        <v>0</v>
      </c>
      <c r="O209" t="n">
        <v>1</v>
      </c>
      <c r="P209" t="n">
        <v>0</v>
      </c>
      <c r="Q209" t="n">
        <v>1</v>
      </c>
      <c r="R209" s="2" t="inlineStr">
        <is>
          <t>Ullticka</t>
        </is>
      </c>
      <c r="S209">
        <f>HYPERLINK("https://klasma.github.io/Logging_2303/artfynd/A 59104-2023 artfynd.xlsx", "A 59104-2023")</f>
        <v/>
      </c>
      <c r="T209">
        <f>HYPERLINK("https://klasma.github.io/Logging_2303/kartor/A 59104-2023 karta.png", "A 59104-2023")</f>
        <v/>
      </c>
      <c r="V209">
        <f>HYPERLINK("https://klasma.github.io/Logging_2303/klagomål/A 59104-2023 FSC-klagomål.docx", "A 59104-2023")</f>
        <v/>
      </c>
      <c r="W209">
        <f>HYPERLINK("https://klasma.github.io/Logging_2303/klagomålsmail/A 59104-2023 FSC-klagomål mail.docx", "A 59104-2023")</f>
        <v/>
      </c>
      <c r="X209">
        <f>HYPERLINK("https://klasma.github.io/Logging_2303/tillsyn/A 59104-2023 tillsynsbegäran.docx", "A 59104-2023")</f>
        <v/>
      </c>
      <c r="Y209">
        <f>HYPERLINK("https://klasma.github.io/Logging_2303/tillsynsmail/A 59104-2023 tillsynsbegäran mail.docx", "A 59104-2023")</f>
        <v/>
      </c>
    </row>
    <row r="210" ht="15" customHeight="1">
      <c r="A210" t="inlineStr">
        <is>
          <t>A 36757-2023</t>
        </is>
      </c>
      <c r="B210" s="1" t="n">
        <v>45153</v>
      </c>
      <c r="C210" s="1" t="n">
        <v>46048</v>
      </c>
      <c r="D210" t="inlineStr">
        <is>
          <t>JÄMTLANDS LÄN</t>
        </is>
      </c>
      <c r="E210" t="inlineStr">
        <is>
          <t>RAGUNDA</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36757-2023 artfynd.xlsx", "A 36757-2023")</f>
        <v/>
      </c>
      <c r="T210">
        <f>HYPERLINK("https://klasma.github.io/Logging_2303/kartor/A 36757-2023 karta.png", "A 36757-2023")</f>
        <v/>
      </c>
      <c r="V210">
        <f>HYPERLINK("https://klasma.github.io/Logging_2303/klagomål/A 36757-2023 FSC-klagomål.docx", "A 36757-2023")</f>
        <v/>
      </c>
      <c r="W210">
        <f>HYPERLINK("https://klasma.github.io/Logging_2303/klagomålsmail/A 36757-2023 FSC-klagomål mail.docx", "A 36757-2023")</f>
        <v/>
      </c>
      <c r="X210">
        <f>HYPERLINK("https://klasma.github.io/Logging_2303/tillsyn/A 36757-2023 tillsynsbegäran.docx", "A 36757-2023")</f>
        <v/>
      </c>
      <c r="Y210">
        <f>HYPERLINK("https://klasma.github.io/Logging_2303/tillsynsmail/A 36757-2023 tillsynsbegäran mail.docx", "A 36757-2023")</f>
        <v/>
      </c>
      <c r="Z210">
        <f>HYPERLINK("https://klasma.github.io/Logging_2303/fåglar/A 36757-2023 prioriterade fågelarter.docx", "A 36757-2023")</f>
        <v/>
      </c>
    </row>
    <row r="211" ht="15" customHeight="1">
      <c r="A211" t="inlineStr">
        <is>
          <t>A 11040-2023</t>
        </is>
      </c>
      <c r="B211" s="1" t="n">
        <v>44991</v>
      </c>
      <c r="C211" s="1" t="n">
        <v>46048</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21212-2025</t>
        </is>
      </c>
      <c r="B212" s="1" t="n">
        <v>45779.48993055556</v>
      </c>
      <c r="C212" s="1" t="n">
        <v>46048</v>
      </c>
      <c r="D212" t="inlineStr">
        <is>
          <t>JÄMTLANDS LÄN</t>
        </is>
      </c>
      <c r="E212" t="inlineStr">
        <is>
          <t>RAGUNDA</t>
        </is>
      </c>
      <c r="F212" t="inlineStr">
        <is>
          <t>SCA</t>
        </is>
      </c>
      <c r="G212" t="n">
        <v>2.6</v>
      </c>
      <c r="H212" t="n">
        <v>0</v>
      </c>
      <c r="I212" t="n">
        <v>0</v>
      </c>
      <c r="J212" t="n">
        <v>1</v>
      </c>
      <c r="K212" t="n">
        <v>0</v>
      </c>
      <c r="L212" t="n">
        <v>0</v>
      </c>
      <c r="M212" t="n">
        <v>0</v>
      </c>
      <c r="N212" t="n">
        <v>0</v>
      </c>
      <c r="O212" t="n">
        <v>1</v>
      </c>
      <c r="P212" t="n">
        <v>0</v>
      </c>
      <c r="Q212" t="n">
        <v>1</v>
      </c>
      <c r="R212" s="2" t="inlineStr">
        <is>
          <t>Garnlav</t>
        </is>
      </c>
      <c r="S212">
        <f>HYPERLINK("https://klasma.github.io/Logging_2303/artfynd/A 21212-2025 artfynd.xlsx", "A 21212-2025")</f>
        <v/>
      </c>
      <c r="T212">
        <f>HYPERLINK("https://klasma.github.io/Logging_2303/kartor/A 21212-2025 karta.png", "A 21212-2025")</f>
        <v/>
      </c>
      <c r="V212">
        <f>HYPERLINK("https://klasma.github.io/Logging_2303/klagomål/A 21212-2025 FSC-klagomål.docx", "A 21212-2025")</f>
        <v/>
      </c>
      <c r="W212">
        <f>HYPERLINK("https://klasma.github.io/Logging_2303/klagomålsmail/A 21212-2025 FSC-klagomål mail.docx", "A 21212-2025")</f>
        <v/>
      </c>
      <c r="X212">
        <f>HYPERLINK("https://klasma.github.io/Logging_2303/tillsyn/A 21212-2025 tillsynsbegäran.docx", "A 21212-2025")</f>
        <v/>
      </c>
      <c r="Y212">
        <f>HYPERLINK("https://klasma.github.io/Logging_2303/tillsynsmail/A 21212-2025 tillsynsbegäran mail.docx", "A 21212-2025")</f>
        <v/>
      </c>
    </row>
    <row r="213" ht="15" customHeight="1">
      <c r="A213" t="inlineStr">
        <is>
          <t>A 36975-2023</t>
        </is>
      </c>
      <c r="B213" s="1" t="n">
        <v>45154</v>
      </c>
      <c r="C213" s="1" t="n">
        <v>46048</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50233-2024</t>
        </is>
      </c>
      <c r="B214" s="1" t="n">
        <v>45600.55265046296</v>
      </c>
      <c r="C214" s="1" t="n">
        <v>46048</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44066-2024</t>
        </is>
      </c>
      <c r="B215" s="1" t="n">
        <v>45572.60363425926</v>
      </c>
      <c r="C215" s="1" t="n">
        <v>46048</v>
      </c>
      <c r="D215" t="inlineStr">
        <is>
          <t>JÄMTLANDS LÄN</t>
        </is>
      </c>
      <c r="E215" t="inlineStr">
        <is>
          <t>RAGUNDA</t>
        </is>
      </c>
      <c r="G215" t="n">
        <v>6.4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44066-2024 artfynd.xlsx", "A 44066-2024")</f>
        <v/>
      </c>
      <c r="T215">
        <f>HYPERLINK("https://klasma.github.io/Logging_2303/kartor/A 44066-2024 karta.png", "A 44066-2024")</f>
        <v/>
      </c>
      <c r="V215">
        <f>HYPERLINK("https://klasma.github.io/Logging_2303/klagomål/A 44066-2024 FSC-klagomål.docx", "A 44066-2024")</f>
        <v/>
      </c>
      <c r="W215">
        <f>HYPERLINK("https://klasma.github.io/Logging_2303/klagomålsmail/A 44066-2024 FSC-klagomål mail.docx", "A 44066-2024")</f>
        <v/>
      </c>
      <c r="X215">
        <f>HYPERLINK("https://klasma.github.io/Logging_2303/tillsyn/A 44066-2024 tillsynsbegäran.docx", "A 44066-2024")</f>
        <v/>
      </c>
      <c r="Y215">
        <f>HYPERLINK("https://klasma.github.io/Logging_2303/tillsynsmail/A 44066-2024 tillsynsbegäran mail.docx", "A 44066-2024")</f>
        <v/>
      </c>
      <c r="Z215">
        <f>HYPERLINK("https://klasma.github.io/Logging_2303/fåglar/A 44066-2024 prioriterade fågelarter.docx", "A 44066-2024")</f>
        <v/>
      </c>
    </row>
    <row r="216" ht="15" customHeight="1">
      <c r="A216" t="inlineStr">
        <is>
          <t>A 17340-2023</t>
        </is>
      </c>
      <c r="B216" s="1" t="n">
        <v>45033</v>
      </c>
      <c r="C216" s="1" t="n">
        <v>46048</v>
      </c>
      <c r="D216" t="inlineStr">
        <is>
          <t>JÄMTLANDS LÄN</t>
        </is>
      </c>
      <c r="E216" t="inlineStr">
        <is>
          <t>RAGUNDA</t>
        </is>
      </c>
      <c r="G216" t="n">
        <v>1.6</v>
      </c>
      <c r="H216" t="n">
        <v>0</v>
      </c>
      <c r="I216" t="n">
        <v>0</v>
      </c>
      <c r="J216" t="n">
        <v>1</v>
      </c>
      <c r="K216" t="n">
        <v>0</v>
      </c>
      <c r="L216" t="n">
        <v>0</v>
      </c>
      <c r="M216" t="n">
        <v>0</v>
      </c>
      <c r="N216" t="n">
        <v>0</v>
      </c>
      <c r="O216" t="n">
        <v>1</v>
      </c>
      <c r="P216" t="n">
        <v>0</v>
      </c>
      <c r="Q216" t="n">
        <v>1</v>
      </c>
      <c r="R216" s="2" t="inlineStr">
        <is>
          <t>Vedtrappmossa</t>
        </is>
      </c>
      <c r="S216">
        <f>HYPERLINK("https://klasma.github.io/Logging_2303/artfynd/A 17340-2023 artfynd.xlsx", "A 17340-2023")</f>
        <v/>
      </c>
      <c r="T216">
        <f>HYPERLINK("https://klasma.github.io/Logging_2303/kartor/A 17340-2023 karta.png", "A 17340-2023")</f>
        <v/>
      </c>
      <c r="U216">
        <f>HYPERLINK("https://klasma.github.io/Logging_2303/knärot/A 17340-2023 karta knärot.png", "A 17340-2023")</f>
        <v/>
      </c>
      <c r="V216">
        <f>HYPERLINK("https://klasma.github.io/Logging_2303/klagomål/A 17340-2023 FSC-klagomål.docx", "A 17340-2023")</f>
        <v/>
      </c>
      <c r="W216">
        <f>HYPERLINK("https://klasma.github.io/Logging_2303/klagomålsmail/A 17340-2023 FSC-klagomål mail.docx", "A 17340-2023")</f>
        <v/>
      </c>
      <c r="X216">
        <f>HYPERLINK("https://klasma.github.io/Logging_2303/tillsyn/A 17340-2023 tillsynsbegäran.docx", "A 17340-2023")</f>
        <v/>
      </c>
      <c r="Y216">
        <f>HYPERLINK("https://klasma.github.io/Logging_2303/tillsynsmail/A 17340-2023 tillsynsbegäran mail.docx", "A 17340-2023")</f>
        <v/>
      </c>
    </row>
    <row r="217" ht="15" customHeight="1">
      <c r="A217" t="inlineStr">
        <is>
          <t>A 58846-2024</t>
        </is>
      </c>
      <c r="B217" s="1" t="n">
        <v>45636.3863425926</v>
      </c>
      <c r="C217" s="1" t="n">
        <v>46048</v>
      </c>
      <c r="D217" t="inlineStr">
        <is>
          <t>JÄMTLANDS LÄN</t>
        </is>
      </c>
      <c r="E217" t="inlineStr">
        <is>
          <t>RAGUNDA</t>
        </is>
      </c>
      <c r="F217" t="inlineStr">
        <is>
          <t>SCA</t>
        </is>
      </c>
      <c r="G217" t="n">
        <v>1.5</v>
      </c>
      <c r="H217" t="n">
        <v>0</v>
      </c>
      <c r="I217" t="n">
        <v>0</v>
      </c>
      <c r="J217" t="n">
        <v>0</v>
      </c>
      <c r="K217" t="n">
        <v>1</v>
      </c>
      <c r="L217" t="n">
        <v>0</v>
      </c>
      <c r="M217" t="n">
        <v>0</v>
      </c>
      <c r="N217" t="n">
        <v>0</v>
      </c>
      <c r="O217" t="n">
        <v>1</v>
      </c>
      <c r="P217" t="n">
        <v>1</v>
      </c>
      <c r="Q217" t="n">
        <v>1</v>
      </c>
      <c r="R217" s="2" t="inlineStr">
        <is>
          <t>Rynkskinn</t>
        </is>
      </c>
      <c r="S217">
        <f>HYPERLINK("https://klasma.github.io/Logging_2303/artfynd/A 58846-2024 artfynd.xlsx", "A 58846-2024")</f>
        <v/>
      </c>
      <c r="T217">
        <f>HYPERLINK("https://klasma.github.io/Logging_2303/kartor/A 58846-2024 karta.png", "A 58846-2024")</f>
        <v/>
      </c>
      <c r="V217">
        <f>HYPERLINK("https://klasma.github.io/Logging_2303/klagomål/A 58846-2024 FSC-klagomål.docx", "A 58846-2024")</f>
        <v/>
      </c>
      <c r="W217">
        <f>HYPERLINK("https://klasma.github.io/Logging_2303/klagomålsmail/A 58846-2024 FSC-klagomål mail.docx", "A 58846-2024")</f>
        <v/>
      </c>
      <c r="X217">
        <f>HYPERLINK("https://klasma.github.io/Logging_2303/tillsyn/A 58846-2024 tillsynsbegäran.docx", "A 58846-2024")</f>
        <v/>
      </c>
      <c r="Y217">
        <f>HYPERLINK("https://klasma.github.io/Logging_2303/tillsynsmail/A 58846-2024 tillsynsbegäran mail.docx", "A 58846-2024")</f>
        <v/>
      </c>
    </row>
    <row r="218" ht="15" customHeight="1">
      <c r="A218" t="inlineStr">
        <is>
          <t>A 36224-2023</t>
        </is>
      </c>
      <c r="B218" s="1" t="n">
        <v>45149</v>
      </c>
      <c r="C218" s="1" t="n">
        <v>46048</v>
      </c>
      <c r="D218" t="inlineStr">
        <is>
          <t>JÄMTLANDS LÄN</t>
        </is>
      </c>
      <c r="E218" t="inlineStr">
        <is>
          <t>RAGUNDA</t>
        </is>
      </c>
      <c r="F218" t="inlineStr">
        <is>
          <t>SCA</t>
        </is>
      </c>
      <c r="G218" t="n">
        <v>8.1</v>
      </c>
      <c r="H218" t="n">
        <v>0</v>
      </c>
      <c r="I218" t="n">
        <v>0</v>
      </c>
      <c r="J218" t="n">
        <v>1</v>
      </c>
      <c r="K218" t="n">
        <v>0</v>
      </c>
      <c r="L218" t="n">
        <v>0</v>
      </c>
      <c r="M218" t="n">
        <v>0</v>
      </c>
      <c r="N218" t="n">
        <v>0</v>
      </c>
      <c r="O218" t="n">
        <v>1</v>
      </c>
      <c r="P218" t="n">
        <v>0</v>
      </c>
      <c r="Q218" t="n">
        <v>1</v>
      </c>
      <c r="R218" s="2" t="inlineStr">
        <is>
          <t>Garnlav</t>
        </is>
      </c>
      <c r="S218">
        <f>HYPERLINK("https://klasma.github.io/Logging_2303/artfynd/A 36224-2023 artfynd.xlsx", "A 36224-2023")</f>
        <v/>
      </c>
      <c r="T218">
        <f>HYPERLINK("https://klasma.github.io/Logging_2303/kartor/A 36224-2023 karta.png", "A 36224-2023")</f>
        <v/>
      </c>
      <c r="V218">
        <f>HYPERLINK("https://klasma.github.io/Logging_2303/klagomål/A 36224-2023 FSC-klagomål.docx", "A 36224-2023")</f>
        <v/>
      </c>
      <c r="W218">
        <f>HYPERLINK("https://klasma.github.io/Logging_2303/klagomålsmail/A 36224-2023 FSC-klagomål mail.docx", "A 36224-2023")</f>
        <v/>
      </c>
      <c r="X218">
        <f>HYPERLINK("https://klasma.github.io/Logging_2303/tillsyn/A 36224-2023 tillsynsbegäran.docx", "A 36224-2023")</f>
        <v/>
      </c>
      <c r="Y218">
        <f>HYPERLINK("https://klasma.github.io/Logging_2303/tillsynsmail/A 36224-2023 tillsynsbegäran mail.docx", "A 36224-2023")</f>
        <v/>
      </c>
    </row>
    <row r="219" ht="15" customHeight="1">
      <c r="A219" t="inlineStr">
        <is>
          <t>A 26322-2024</t>
        </is>
      </c>
      <c r="B219" s="1" t="n">
        <v>45468.97461805555</v>
      </c>
      <c r="C219" s="1" t="n">
        <v>46048</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36854-2023</t>
        </is>
      </c>
      <c r="B220" s="1" t="n">
        <v>45153</v>
      </c>
      <c r="C220" s="1" t="n">
        <v>46048</v>
      </c>
      <c r="D220" t="inlineStr">
        <is>
          <t>JÄMTLANDS LÄN</t>
        </is>
      </c>
      <c r="E220" t="inlineStr">
        <is>
          <t>RAGUNDA</t>
        </is>
      </c>
      <c r="G220" t="n">
        <v>4</v>
      </c>
      <c r="H220" t="n">
        <v>1</v>
      </c>
      <c r="I220" t="n">
        <v>0</v>
      </c>
      <c r="J220" t="n">
        <v>1</v>
      </c>
      <c r="K220" t="n">
        <v>0</v>
      </c>
      <c r="L220" t="n">
        <v>0</v>
      </c>
      <c r="M220" t="n">
        <v>0</v>
      </c>
      <c r="N220" t="n">
        <v>0</v>
      </c>
      <c r="O220" t="n">
        <v>1</v>
      </c>
      <c r="P220" t="n">
        <v>0</v>
      </c>
      <c r="Q220" t="n">
        <v>1</v>
      </c>
      <c r="R220" s="2" t="inlineStr">
        <is>
          <t>Talltita</t>
        </is>
      </c>
      <c r="S220">
        <f>HYPERLINK("https://klasma.github.io/Logging_2303/artfynd/A 36854-2023 artfynd.xlsx", "A 36854-2023")</f>
        <v/>
      </c>
      <c r="T220">
        <f>HYPERLINK("https://klasma.github.io/Logging_2303/kartor/A 36854-2023 karta.png", "A 36854-2023")</f>
        <v/>
      </c>
      <c r="V220">
        <f>HYPERLINK("https://klasma.github.io/Logging_2303/klagomål/A 36854-2023 FSC-klagomål.docx", "A 36854-2023")</f>
        <v/>
      </c>
      <c r="W220">
        <f>HYPERLINK("https://klasma.github.io/Logging_2303/klagomålsmail/A 36854-2023 FSC-klagomål mail.docx", "A 36854-2023")</f>
        <v/>
      </c>
      <c r="X220">
        <f>HYPERLINK("https://klasma.github.io/Logging_2303/tillsyn/A 36854-2023 tillsynsbegäran.docx", "A 36854-2023")</f>
        <v/>
      </c>
      <c r="Y220">
        <f>HYPERLINK("https://klasma.github.io/Logging_2303/tillsynsmail/A 36854-2023 tillsynsbegäran mail.docx", "A 36854-2023")</f>
        <v/>
      </c>
      <c r="Z220">
        <f>HYPERLINK("https://klasma.github.io/Logging_2303/fåglar/A 36854-2023 prioriterade fågelarter.docx", "A 36854-2023")</f>
        <v/>
      </c>
    </row>
    <row r="221" ht="15" customHeight="1">
      <c r="A221" t="inlineStr">
        <is>
          <t>A 18985-2023</t>
        </is>
      </c>
      <c r="B221" s="1" t="n">
        <v>45044</v>
      </c>
      <c r="C221" s="1" t="n">
        <v>46048</v>
      </c>
      <c r="D221" t="inlineStr">
        <is>
          <t>JÄMTLANDS LÄN</t>
        </is>
      </c>
      <c r="E221" t="inlineStr">
        <is>
          <t>RAGUNDA</t>
        </is>
      </c>
      <c r="F221" t="inlineStr">
        <is>
          <t>SCA</t>
        </is>
      </c>
      <c r="G221" t="n">
        <v>2.6</v>
      </c>
      <c r="H221" t="n">
        <v>0</v>
      </c>
      <c r="I221" t="n">
        <v>0</v>
      </c>
      <c r="J221" t="n">
        <v>1</v>
      </c>
      <c r="K221" t="n">
        <v>0</v>
      </c>
      <c r="L221" t="n">
        <v>0</v>
      </c>
      <c r="M221" t="n">
        <v>0</v>
      </c>
      <c r="N221" t="n">
        <v>0</v>
      </c>
      <c r="O221" t="n">
        <v>1</v>
      </c>
      <c r="P221" t="n">
        <v>0</v>
      </c>
      <c r="Q221" t="n">
        <v>1</v>
      </c>
      <c r="R221" s="2" t="inlineStr">
        <is>
          <t>Doftskinn</t>
        </is>
      </c>
      <c r="S221">
        <f>HYPERLINK("https://klasma.github.io/Logging_2303/artfynd/A 18985-2023 artfynd.xlsx", "A 18985-2023")</f>
        <v/>
      </c>
      <c r="T221">
        <f>HYPERLINK("https://klasma.github.io/Logging_2303/kartor/A 18985-2023 karta.png", "A 18985-2023")</f>
        <v/>
      </c>
      <c r="V221">
        <f>HYPERLINK("https://klasma.github.io/Logging_2303/klagomål/A 18985-2023 FSC-klagomål.docx", "A 18985-2023")</f>
        <v/>
      </c>
      <c r="W221">
        <f>HYPERLINK("https://klasma.github.io/Logging_2303/klagomålsmail/A 18985-2023 FSC-klagomål mail.docx", "A 18985-2023")</f>
        <v/>
      </c>
      <c r="X221">
        <f>HYPERLINK("https://klasma.github.io/Logging_2303/tillsyn/A 18985-2023 tillsynsbegäran.docx", "A 18985-2023")</f>
        <v/>
      </c>
      <c r="Y221">
        <f>HYPERLINK("https://klasma.github.io/Logging_2303/tillsynsmail/A 18985-2023 tillsynsbegäran mail.docx", "A 18985-2023")</f>
        <v/>
      </c>
    </row>
    <row r="222" ht="15" customHeight="1">
      <c r="A222" t="inlineStr">
        <is>
          <t>A 43404-2023</t>
        </is>
      </c>
      <c r="B222" s="1" t="n">
        <v>45183</v>
      </c>
      <c r="C222" s="1" t="n">
        <v>46048</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48477-2023</t>
        </is>
      </c>
      <c r="B223" s="1" t="n">
        <v>45206</v>
      </c>
      <c r="C223" s="1" t="n">
        <v>46048</v>
      </c>
      <c r="D223" t="inlineStr">
        <is>
          <t>JÄMTLANDS LÄN</t>
        </is>
      </c>
      <c r="E223" t="inlineStr">
        <is>
          <t>RAGUNDA</t>
        </is>
      </c>
      <c r="F223" t="inlineStr">
        <is>
          <t>SCA</t>
        </is>
      </c>
      <c r="G223" t="n">
        <v>1.8</v>
      </c>
      <c r="H223" t="n">
        <v>0</v>
      </c>
      <c r="I223" t="n">
        <v>1</v>
      </c>
      <c r="J223" t="n">
        <v>0</v>
      </c>
      <c r="K223" t="n">
        <v>0</v>
      </c>
      <c r="L223" t="n">
        <v>0</v>
      </c>
      <c r="M223" t="n">
        <v>0</v>
      </c>
      <c r="N223" t="n">
        <v>0</v>
      </c>
      <c r="O223" t="n">
        <v>0</v>
      </c>
      <c r="P223" t="n">
        <v>0</v>
      </c>
      <c r="Q223" t="n">
        <v>1</v>
      </c>
      <c r="R223" s="2" t="inlineStr">
        <is>
          <t>Dropptaggsvamp</t>
        </is>
      </c>
      <c r="S223">
        <f>HYPERLINK("https://klasma.github.io/Logging_2303/artfynd/A 48477-2023 artfynd.xlsx", "A 48477-2023")</f>
        <v/>
      </c>
      <c r="T223">
        <f>HYPERLINK("https://klasma.github.io/Logging_2303/kartor/A 48477-2023 karta.png", "A 48477-2023")</f>
        <v/>
      </c>
      <c r="V223">
        <f>HYPERLINK("https://klasma.github.io/Logging_2303/klagomål/A 48477-2023 FSC-klagomål.docx", "A 48477-2023")</f>
        <v/>
      </c>
      <c r="W223">
        <f>HYPERLINK("https://klasma.github.io/Logging_2303/klagomålsmail/A 48477-2023 FSC-klagomål mail.docx", "A 48477-2023")</f>
        <v/>
      </c>
      <c r="X223">
        <f>HYPERLINK("https://klasma.github.io/Logging_2303/tillsyn/A 48477-2023 tillsynsbegäran.docx", "A 48477-2023")</f>
        <v/>
      </c>
      <c r="Y223">
        <f>HYPERLINK("https://klasma.github.io/Logging_2303/tillsynsmail/A 48477-2023 tillsynsbegäran mail.docx", "A 48477-2023")</f>
        <v/>
      </c>
    </row>
    <row r="224" ht="15" customHeight="1">
      <c r="A224" t="inlineStr">
        <is>
          <t>A 16724-2025</t>
        </is>
      </c>
      <c r="B224" s="1" t="n">
        <v>45754.51064814815</v>
      </c>
      <c r="C224" s="1" t="n">
        <v>46048</v>
      </c>
      <c r="D224" t="inlineStr">
        <is>
          <t>JÄMTLANDS LÄN</t>
        </is>
      </c>
      <c r="E224" t="inlineStr">
        <is>
          <t>RAGUNDA</t>
        </is>
      </c>
      <c r="G224" t="n">
        <v>3.5</v>
      </c>
      <c r="H224" t="n">
        <v>0</v>
      </c>
      <c r="I224" t="n">
        <v>0</v>
      </c>
      <c r="J224" t="n">
        <v>1</v>
      </c>
      <c r="K224" t="n">
        <v>0</v>
      </c>
      <c r="L224" t="n">
        <v>0</v>
      </c>
      <c r="M224" t="n">
        <v>0</v>
      </c>
      <c r="N224" t="n">
        <v>0</v>
      </c>
      <c r="O224" t="n">
        <v>1</v>
      </c>
      <c r="P224" t="n">
        <v>0</v>
      </c>
      <c r="Q224" t="n">
        <v>1</v>
      </c>
      <c r="R224" s="2" t="inlineStr">
        <is>
          <t>Kolflarnlav</t>
        </is>
      </c>
      <c r="S224">
        <f>HYPERLINK("https://klasma.github.io/Logging_2303/artfynd/A 16724-2025 artfynd.xlsx", "A 16724-2025")</f>
        <v/>
      </c>
      <c r="T224">
        <f>HYPERLINK("https://klasma.github.io/Logging_2303/kartor/A 16724-2025 karta.png", "A 16724-2025")</f>
        <v/>
      </c>
      <c r="V224">
        <f>HYPERLINK("https://klasma.github.io/Logging_2303/klagomål/A 16724-2025 FSC-klagomål.docx", "A 16724-2025")</f>
        <v/>
      </c>
      <c r="W224">
        <f>HYPERLINK("https://klasma.github.io/Logging_2303/klagomålsmail/A 16724-2025 FSC-klagomål mail.docx", "A 16724-2025")</f>
        <v/>
      </c>
      <c r="X224">
        <f>HYPERLINK("https://klasma.github.io/Logging_2303/tillsyn/A 16724-2025 tillsynsbegäran.docx", "A 16724-2025")</f>
        <v/>
      </c>
      <c r="Y224">
        <f>HYPERLINK("https://klasma.github.io/Logging_2303/tillsynsmail/A 16724-2025 tillsynsbegäran mail.docx", "A 16724-2025")</f>
        <v/>
      </c>
    </row>
    <row r="225" ht="15" customHeight="1">
      <c r="A225" t="inlineStr">
        <is>
          <t>A 49770-2024</t>
        </is>
      </c>
      <c r="B225" s="1" t="n">
        <v>45597.34461805555</v>
      </c>
      <c r="C225" s="1" t="n">
        <v>46048</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24443-2024</t>
        </is>
      </c>
      <c r="B226" s="1" t="n">
        <v>45457.9640625</v>
      </c>
      <c r="C226" s="1" t="n">
        <v>46048</v>
      </c>
      <c r="D226" t="inlineStr">
        <is>
          <t>JÄMTLANDS LÄN</t>
        </is>
      </c>
      <c r="E226" t="inlineStr">
        <is>
          <t>RAGUNDA</t>
        </is>
      </c>
      <c r="F226" t="inlineStr">
        <is>
          <t>SCA</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HYPERLINK("https://klasma.github.io/Logging_2303/artfynd/A 24443-2024 artfynd.xlsx", "A 24443-2024")</f>
        <v/>
      </c>
      <c r="T226">
        <f>HYPERLINK("https://klasma.github.io/Logging_2303/kartor/A 24443-2024 karta.png", "A 24443-2024")</f>
        <v/>
      </c>
      <c r="U226">
        <f>HYPERLINK("https://klasma.github.io/Logging_2303/knärot/A 24443-2024 karta knärot.png", "A 24443-2024")</f>
        <v/>
      </c>
      <c r="V226">
        <f>HYPERLINK("https://klasma.github.io/Logging_2303/klagomål/A 24443-2024 FSC-klagomål.docx", "A 24443-2024")</f>
        <v/>
      </c>
      <c r="W226">
        <f>HYPERLINK("https://klasma.github.io/Logging_2303/klagomålsmail/A 24443-2024 FSC-klagomål mail.docx", "A 24443-2024")</f>
        <v/>
      </c>
      <c r="X226">
        <f>HYPERLINK("https://klasma.github.io/Logging_2303/tillsyn/A 24443-2024 tillsynsbegäran.docx", "A 24443-2024")</f>
        <v/>
      </c>
      <c r="Y226">
        <f>HYPERLINK("https://klasma.github.io/Logging_2303/tillsynsmail/A 24443-2024 tillsynsbegäran mail.docx", "A 24443-2024")</f>
        <v/>
      </c>
    </row>
    <row r="227" ht="15" customHeight="1">
      <c r="A227" t="inlineStr">
        <is>
          <t>A 23930-2024</t>
        </is>
      </c>
      <c r="B227" s="1" t="n">
        <v>45455.96184027778</v>
      </c>
      <c r="C227" s="1" t="n">
        <v>46048</v>
      </c>
      <c r="D227" t="inlineStr">
        <is>
          <t>JÄMTLANDS LÄN</t>
        </is>
      </c>
      <c r="E227" t="inlineStr">
        <is>
          <t>RAGUNDA</t>
        </is>
      </c>
      <c r="F227" t="inlineStr">
        <is>
          <t>SCA</t>
        </is>
      </c>
      <c r="G227" t="n">
        <v>4.2</v>
      </c>
      <c r="H227" t="n">
        <v>1</v>
      </c>
      <c r="I227" t="n">
        <v>1</v>
      </c>
      <c r="J227" t="n">
        <v>0</v>
      </c>
      <c r="K227" t="n">
        <v>0</v>
      </c>
      <c r="L227" t="n">
        <v>0</v>
      </c>
      <c r="M227" t="n">
        <v>0</v>
      </c>
      <c r="N227" t="n">
        <v>0</v>
      </c>
      <c r="O227" t="n">
        <v>0</v>
      </c>
      <c r="P227" t="n">
        <v>0</v>
      </c>
      <c r="Q227" t="n">
        <v>1</v>
      </c>
      <c r="R227" s="2" t="inlineStr">
        <is>
          <t>Guckusko</t>
        </is>
      </c>
      <c r="S227">
        <f>HYPERLINK("https://klasma.github.io/Logging_2303/artfynd/A 23930-2024 artfynd.xlsx", "A 23930-2024")</f>
        <v/>
      </c>
      <c r="T227">
        <f>HYPERLINK("https://klasma.github.io/Logging_2303/kartor/A 23930-2024 karta.png", "A 23930-2024")</f>
        <v/>
      </c>
      <c r="V227">
        <f>HYPERLINK("https://klasma.github.io/Logging_2303/klagomål/A 23930-2024 FSC-klagomål.docx", "A 23930-2024")</f>
        <v/>
      </c>
      <c r="W227">
        <f>HYPERLINK("https://klasma.github.io/Logging_2303/klagomålsmail/A 23930-2024 FSC-klagomål mail.docx", "A 23930-2024")</f>
        <v/>
      </c>
      <c r="X227">
        <f>HYPERLINK("https://klasma.github.io/Logging_2303/tillsyn/A 23930-2024 tillsynsbegäran.docx", "A 23930-2024")</f>
        <v/>
      </c>
      <c r="Y227">
        <f>HYPERLINK("https://klasma.github.io/Logging_2303/tillsynsmail/A 23930-2024 tillsynsbegäran mail.docx", "A 23930-2024")</f>
        <v/>
      </c>
    </row>
    <row r="228" ht="15" customHeight="1">
      <c r="A228" t="inlineStr">
        <is>
          <t>A 35750-2023</t>
        </is>
      </c>
      <c r="B228" s="1" t="n">
        <v>45147</v>
      </c>
      <c r="C228" s="1" t="n">
        <v>46048</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27573-2025</t>
        </is>
      </c>
      <c r="B229" s="1" t="n">
        <v>45813.49061342593</v>
      </c>
      <c r="C229" s="1" t="n">
        <v>46048</v>
      </c>
      <c r="D229" t="inlineStr">
        <is>
          <t>JÄMTLANDS LÄN</t>
        </is>
      </c>
      <c r="E229" t="inlineStr">
        <is>
          <t>RAGUNDA</t>
        </is>
      </c>
      <c r="F229" t="inlineStr">
        <is>
          <t>SCA</t>
        </is>
      </c>
      <c r="G229" t="n">
        <v>14.9</v>
      </c>
      <c r="H229" t="n">
        <v>0</v>
      </c>
      <c r="I229" t="n">
        <v>1</v>
      </c>
      <c r="J229" t="n">
        <v>0</v>
      </c>
      <c r="K229" t="n">
        <v>0</v>
      </c>
      <c r="L229" t="n">
        <v>0</v>
      </c>
      <c r="M229" t="n">
        <v>0</v>
      </c>
      <c r="N229" t="n">
        <v>0</v>
      </c>
      <c r="O229" t="n">
        <v>0</v>
      </c>
      <c r="P229" t="n">
        <v>0</v>
      </c>
      <c r="Q229" t="n">
        <v>1</v>
      </c>
      <c r="R229" s="2" t="inlineStr">
        <is>
          <t>Skinnlav</t>
        </is>
      </c>
      <c r="S229">
        <f>HYPERLINK("https://klasma.github.io/Logging_2303/artfynd/A 27573-2025 artfynd.xlsx", "A 27573-2025")</f>
        <v/>
      </c>
      <c r="T229">
        <f>HYPERLINK("https://klasma.github.io/Logging_2303/kartor/A 27573-2025 karta.png", "A 27573-2025")</f>
        <v/>
      </c>
      <c r="U229">
        <f>HYPERLINK("https://klasma.github.io/Logging_2303/knärot/A 27573-2025 karta knärot.png", "A 27573-2025")</f>
        <v/>
      </c>
      <c r="V229">
        <f>HYPERLINK("https://klasma.github.io/Logging_2303/klagomål/A 27573-2025 FSC-klagomål.docx", "A 27573-2025")</f>
        <v/>
      </c>
      <c r="W229">
        <f>HYPERLINK("https://klasma.github.io/Logging_2303/klagomålsmail/A 27573-2025 FSC-klagomål mail.docx", "A 27573-2025")</f>
        <v/>
      </c>
      <c r="X229">
        <f>HYPERLINK("https://klasma.github.io/Logging_2303/tillsyn/A 27573-2025 tillsynsbegäran.docx", "A 27573-2025")</f>
        <v/>
      </c>
      <c r="Y229">
        <f>HYPERLINK("https://klasma.github.io/Logging_2303/tillsynsmail/A 27573-2025 tillsynsbegäran mail.docx", "A 27573-2025")</f>
        <v/>
      </c>
    </row>
    <row r="230" ht="15" customHeight="1">
      <c r="A230" t="inlineStr">
        <is>
          <t>A 30390-2025</t>
        </is>
      </c>
      <c r="B230" s="1" t="n">
        <v>45827.57371527778</v>
      </c>
      <c r="C230" s="1" t="n">
        <v>46048</v>
      </c>
      <c r="D230" t="inlineStr">
        <is>
          <t>JÄMTLANDS LÄN</t>
        </is>
      </c>
      <c r="E230" t="inlineStr">
        <is>
          <t>RAGUNDA</t>
        </is>
      </c>
      <c r="F230" t="inlineStr">
        <is>
          <t>SCA</t>
        </is>
      </c>
      <c r="G230" t="n">
        <v>11.2</v>
      </c>
      <c r="H230" t="n">
        <v>0</v>
      </c>
      <c r="I230" t="n">
        <v>0</v>
      </c>
      <c r="J230" t="n">
        <v>1</v>
      </c>
      <c r="K230" t="n">
        <v>0</v>
      </c>
      <c r="L230" t="n">
        <v>0</v>
      </c>
      <c r="M230" t="n">
        <v>0</v>
      </c>
      <c r="N230" t="n">
        <v>0</v>
      </c>
      <c r="O230" t="n">
        <v>1</v>
      </c>
      <c r="P230" t="n">
        <v>0</v>
      </c>
      <c r="Q230" t="n">
        <v>1</v>
      </c>
      <c r="R230" s="2" t="inlineStr">
        <is>
          <t>Lunglav</t>
        </is>
      </c>
      <c r="S230">
        <f>HYPERLINK("https://klasma.github.io/Logging_2303/artfynd/A 30390-2025 artfynd.xlsx", "A 30390-2025")</f>
        <v/>
      </c>
      <c r="T230">
        <f>HYPERLINK("https://klasma.github.io/Logging_2303/kartor/A 30390-2025 karta.png", "A 30390-2025")</f>
        <v/>
      </c>
      <c r="U230">
        <f>HYPERLINK("https://klasma.github.io/Logging_2303/knärot/A 30390-2025 karta knärot.png", "A 30390-2025")</f>
        <v/>
      </c>
      <c r="V230">
        <f>HYPERLINK("https://klasma.github.io/Logging_2303/klagomål/A 30390-2025 FSC-klagomål.docx", "A 30390-2025")</f>
        <v/>
      </c>
      <c r="W230">
        <f>HYPERLINK("https://klasma.github.io/Logging_2303/klagomålsmail/A 30390-2025 FSC-klagomål mail.docx", "A 30390-2025")</f>
        <v/>
      </c>
      <c r="X230">
        <f>HYPERLINK("https://klasma.github.io/Logging_2303/tillsyn/A 30390-2025 tillsynsbegäran.docx", "A 30390-2025")</f>
        <v/>
      </c>
      <c r="Y230">
        <f>HYPERLINK("https://klasma.github.io/Logging_2303/tillsynsmail/A 30390-2025 tillsynsbegäran mail.docx", "A 30390-2025")</f>
        <v/>
      </c>
    </row>
    <row r="231" ht="15" customHeight="1">
      <c r="A231" t="inlineStr">
        <is>
          <t>A 978-2024</t>
        </is>
      </c>
      <c r="B231" s="1" t="n">
        <v>45301</v>
      </c>
      <c r="C231" s="1" t="n">
        <v>46048</v>
      </c>
      <c r="D231" t="inlineStr">
        <is>
          <t>JÄMTLANDS LÄN</t>
        </is>
      </c>
      <c r="E231" t="inlineStr">
        <is>
          <t>RAGUNDA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978-2024 artfynd.xlsx", "A 978-2024")</f>
        <v/>
      </c>
      <c r="T231">
        <f>HYPERLINK("https://klasma.github.io/Logging_2303/kartor/A 978-2024 karta.png", "A 978-2024")</f>
        <v/>
      </c>
      <c r="V231">
        <f>HYPERLINK("https://klasma.github.io/Logging_2303/klagomål/A 978-2024 FSC-klagomål.docx", "A 978-2024")</f>
        <v/>
      </c>
      <c r="W231">
        <f>HYPERLINK("https://klasma.github.io/Logging_2303/klagomålsmail/A 978-2024 FSC-klagomål mail.docx", "A 978-2024")</f>
        <v/>
      </c>
      <c r="X231">
        <f>HYPERLINK("https://klasma.github.io/Logging_2303/tillsyn/A 978-2024 tillsynsbegäran.docx", "A 978-2024")</f>
        <v/>
      </c>
      <c r="Y231">
        <f>HYPERLINK("https://klasma.github.io/Logging_2303/tillsynsmail/A 978-2024 tillsynsbegäran mail.docx", "A 978-2024")</f>
        <v/>
      </c>
      <c r="Z231">
        <f>HYPERLINK("https://klasma.github.io/Logging_2303/fåglar/A 978-2024 prioriterade fågelarter.docx", "A 978-2024")</f>
        <v/>
      </c>
    </row>
    <row r="232" ht="15" customHeight="1">
      <c r="A232" t="inlineStr">
        <is>
          <t>A 1057-2024</t>
        </is>
      </c>
      <c r="B232" s="1" t="n">
        <v>45301</v>
      </c>
      <c r="C232" s="1" t="n">
        <v>46048</v>
      </c>
      <c r="D232" t="inlineStr">
        <is>
          <t>JÄMTLANDS LÄN</t>
        </is>
      </c>
      <c r="E232" t="inlineStr">
        <is>
          <t>RAGUNDA</t>
        </is>
      </c>
      <c r="F232" t="inlineStr">
        <is>
          <t>SCA</t>
        </is>
      </c>
      <c r="G232" t="n">
        <v>6.8</v>
      </c>
      <c r="H232" t="n">
        <v>0</v>
      </c>
      <c r="I232" t="n">
        <v>1</v>
      </c>
      <c r="J232" t="n">
        <v>0</v>
      </c>
      <c r="K232" t="n">
        <v>0</v>
      </c>
      <c r="L232" t="n">
        <v>0</v>
      </c>
      <c r="M232" t="n">
        <v>0</v>
      </c>
      <c r="N232" t="n">
        <v>0</v>
      </c>
      <c r="O232" t="n">
        <v>0</v>
      </c>
      <c r="P232" t="n">
        <v>0</v>
      </c>
      <c r="Q232" t="n">
        <v>1</v>
      </c>
      <c r="R232" s="2" t="inlineStr">
        <is>
          <t>Stor aspticka</t>
        </is>
      </c>
      <c r="S232">
        <f>HYPERLINK("https://klasma.github.io/Logging_2303/artfynd/A 1057-2024 artfynd.xlsx", "A 1057-2024")</f>
        <v/>
      </c>
      <c r="T232">
        <f>HYPERLINK("https://klasma.github.io/Logging_2303/kartor/A 1057-2024 karta.png", "A 1057-2024")</f>
        <v/>
      </c>
      <c r="V232">
        <f>HYPERLINK("https://klasma.github.io/Logging_2303/klagomål/A 1057-2024 FSC-klagomål.docx", "A 1057-2024")</f>
        <v/>
      </c>
      <c r="W232">
        <f>HYPERLINK("https://klasma.github.io/Logging_2303/klagomålsmail/A 1057-2024 FSC-klagomål mail.docx", "A 1057-2024")</f>
        <v/>
      </c>
      <c r="X232">
        <f>HYPERLINK("https://klasma.github.io/Logging_2303/tillsyn/A 1057-2024 tillsynsbegäran.docx", "A 1057-2024")</f>
        <v/>
      </c>
      <c r="Y232">
        <f>HYPERLINK("https://klasma.github.io/Logging_2303/tillsynsmail/A 1057-2024 tillsynsbegäran mail.docx", "A 1057-2024")</f>
        <v/>
      </c>
    </row>
    <row r="233" ht="15" customHeight="1">
      <c r="A233" t="inlineStr">
        <is>
          <t>A 61324-2024</t>
        </is>
      </c>
      <c r="B233" s="1" t="n">
        <v>45646.34438657408</v>
      </c>
      <c r="C233" s="1" t="n">
        <v>46048</v>
      </c>
      <c r="D233" t="inlineStr">
        <is>
          <t>JÄMTLANDS LÄN</t>
        </is>
      </c>
      <c r="E233" t="inlineStr">
        <is>
          <t>RAGUNDA</t>
        </is>
      </c>
      <c r="F233" t="inlineStr">
        <is>
          <t>SCA</t>
        </is>
      </c>
      <c r="G233" t="n">
        <v>11.2</v>
      </c>
      <c r="H233" t="n">
        <v>1</v>
      </c>
      <c r="I233" t="n">
        <v>0</v>
      </c>
      <c r="J233" t="n">
        <v>0</v>
      </c>
      <c r="K233" t="n">
        <v>0</v>
      </c>
      <c r="L233" t="n">
        <v>0</v>
      </c>
      <c r="M233" t="n">
        <v>0</v>
      </c>
      <c r="N233" t="n">
        <v>0</v>
      </c>
      <c r="O233" t="n">
        <v>0</v>
      </c>
      <c r="P233" t="n">
        <v>0</v>
      </c>
      <c r="Q233" t="n">
        <v>1</v>
      </c>
      <c r="R233" s="2" t="inlineStr">
        <is>
          <t>Trana</t>
        </is>
      </c>
      <c r="S233">
        <f>HYPERLINK("https://klasma.github.io/Logging_2303/artfynd/A 61324-2024 artfynd.xlsx", "A 61324-2024")</f>
        <v/>
      </c>
      <c r="T233">
        <f>HYPERLINK("https://klasma.github.io/Logging_2303/kartor/A 61324-2024 karta.png", "A 61324-2024")</f>
        <v/>
      </c>
      <c r="V233">
        <f>HYPERLINK("https://klasma.github.io/Logging_2303/klagomål/A 61324-2024 FSC-klagomål.docx", "A 61324-2024")</f>
        <v/>
      </c>
      <c r="W233">
        <f>HYPERLINK("https://klasma.github.io/Logging_2303/klagomålsmail/A 61324-2024 FSC-klagomål mail.docx", "A 61324-2024")</f>
        <v/>
      </c>
      <c r="X233">
        <f>HYPERLINK("https://klasma.github.io/Logging_2303/tillsyn/A 61324-2024 tillsynsbegäran.docx", "A 61324-2024")</f>
        <v/>
      </c>
      <c r="Y233">
        <f>HYPERLINK("https://klasma.github.io/Logging_2303/tillsynsmail/A 61324-2024 tillsynsbegäran mail.docx", "A 61324-2024")</f>
        <v/>
      </c>
      <c r="Z233">
        <f>HYPERLINK("https://klasma.github.io/Logging_2303/fåglar/A 61324-2024 prioriterade fågelarter.docx", "A 61324-2024")</f>
        <v/>
      </c>
    </row>
    <row r="234" ht="15" customHeight="1">
      <c r="A234" t="inlineStr">
        <is>
          <t>A 22054-2025</t>
        </is>
      </c>
      <c r="B234" s="1" t="n">
        <v>45785.36525462963</v>
      </c>
      <c r="C234" s="1" t="n">
        <v>46048</v>
      </c>
      <c r="D234" t="inlineStr">
        <is>
          <t>JÄMTLANDS LÄN</t>
        </is>
      </c>
      <c r="E234" t="inlineStr">
        <is>
          <t>RAGUNDA</t>
        </is>
      </c>
      <c r="F234" t="inlineStr">
        <is>
          <t>SCA</t>
        </is>
      </c>
      <c r="G234" t="n">
        <v>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22054-2025 artfynd.xlsx", "A 22054-2025")</f>
        <v/>
      </c>
      <c r="T234">
        <f>HYPERLINK("https://klasma.github.io/Logging_2303/kartor/A 22054-2025 karta.png", "A 22054-2025")</f>
        <v/>
      </c>
      <c r="V234">
        <f>HYPERLINK("https://klasma.github.io/Logging_2303/klagomål/A 22054-2025 FSC-klagomål.docx", "A 22054-2025")</f>
        <v/>
      </c>
      <c r="W234">
        <f>HYPERLINK("https://klasma.github.io/Logging_2303/klagomålsmail/A 22054-2025 FSC-klagomål mail.docx", "A 22054-2025")</f>
        <v/>
      </c>
      <c r="X234">
        <f>HYPERLINK("https://klasma.github.io/Logging_2303/tillsyn/A 22054-2025 tillsynsbegäran.docx", "A 22054-2025")</f>
        <v/>
      </c>
      <c r="Y234">
        <f>HYPERLINK("https://klasma.github.io/Logging_2303/tillsynsmail/A 22054-2025 tillsynsbegäran mail.docx", "A 22054-2025")</f>
        <v/>
      </c>
      <c r="Z234">
        <f>HYPERLINK("https://klasma.github.io/Logging_2303/fåglar/A 22054-2025 prioriterade fågelarter.docx", "A 22054-2025")</f>
        <v/>
      </c>
    </row>
    <row r="235" ht="15" customHeight="1">
      <c r="A235" t="inlineStr">
        <is>
          <t>A 31773-2021</t>
        </is>
      </c>
      <c r="B235" s="1" t="n">
        <v>44369</v>
      </c>
      <c r="C235" s="1" t="n">
        <v>46048</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32445-2025</t>
        </is>
      </c>
      <c r="B236" s="1" t="n">
        <v>45838.38627314815</v>
      </c>
      <c r="C236" s="1" t="n">
        <v>46048</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32445-2025 artfynd.xlsx", "A 32445-2025")</f>
        <v/>
      </c>
      <c r="T236">
        <f>HYPERLINK("https://klasma.github.io/Logging_2303/kartor/A 32445-2025 karta.png", "A 32445-2025")</f>
        <v/>
      </c>
      <c r="V236">
        <f>HYPERLINK("https://klasma.github.io/Logging_2303/klagomål/A 32445-2025 FSC-klagomål.docx", "A 32445-2025")</f>
        <v/>
      </c>
      <c r="W236">
        <f>HYPERLINK("https://klasma.github.io/Logging_2303/klagomålsmail/A 32445-2025 FSC-klagomål mail.docx", "A 32445-2025")</f>
        <v/>
      </c>
      <c r="X236">
        <f>HYPERLINK("https://klasma.github.io/Logging_2303/tillsyn/A 32445-2025 tillsynsbegäran.docx", "A 32445-2025")</f>
        <v/>
      </c>
      <c r="Y236">
        <f>HYPERLINK("https://klasma.github.io/Logging_2303/tillsynsmail/A 32445-2025 tillsynsbegäran mail.docx", "A 32445-2025")</f>
        <v/>
      </c>
      <c r="Z236">
        <f>HYPERLINK("https://klasma.github.io/Logging_2303/fåglar/A 32445-2025 prioriterade fågelarter.docx", "A 32445-2025")</f>
        <v/>
      </c>
    </row>
    <row r="237" ht="15" customHeight="1">
      <c r="A237" t="inlineStr">
        <is>
          <t>A 32069-2024</t>
        </is>
      </c>
      <c r="B237" s="1" t="n">
        <v>45510</v>
      </c>
      <c r="C237" s="1" t="n">
        <v>46048</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19751-2025</t>
        </is>
      </c>
      <c r="B238" s="1" t="n">
        <v>45771.3859837963</v>
      </c>
      <c r="C238" s="1" t="n">
        <v>46048</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34474-2025</t>
        </is>
      </c>
      <c r="B239" s="1" t="n">
        <v>45847.36528935185</v>
      </c>
      <c r="C239" s="1" t="n">
        <v>46048</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26317-2024</t>
        </is>
      </c>
      <c r="B240" s="1" t="n">
        <v>45468</v>
      </c>
      <c r="C240" s="1" t="n">
        <v>46048</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49091-2022</t>
        </is>
      </c>
      <c r="B241" s="1" t="n">
        <v>44860</v>
      </c>
      <c r="C241" s="1" t="n">
        <v>46048</v>
      </c>
      <c r="D241" t="inlineStr">
        <is>
          <t>JÄMTLANDS LÄN</t>
        </is>
      </c>
      <c r="E241" t="inlineStr">
        <is>
          <t>RAGUNDA</t>
        </is>
      </c>
      <c r="G241" t="n">
        <v>3.5</v>
      </c>
      <c r="H241" t="n">
        <v>1</v>
      </c>
      <c r="I241" t="n">
        <v>0</v>
      </c>
      <c r="J241" t="n">
        <v>0</v>
      </c>
      <c r="K241" t="n">
        <v>1</v>
      </c>
      <c r="L241" t="n">
        <v>0</v>
      </c>
      <c r="M241" t="n">
        <v>0</v>
      </c>
      <c r="N241" t="n">
        <v>0</v>
      </c>
      <c r="O241" t="n">
        <v>1</v>
      </c>
      <c r="P241" t="n">
        <v>1</v>
      </c>
      <c r="Q241" t="n">
        <v>1</v>
      </c>
      <c r="R241" s="2" t="inlineStr">
        <is>
          <t>Doftticka</t>
        </is>
      </c>
      <c r="S241">
        <f>HYPERLINK("https://klasma.github.io/Logging_2303/artfynd/A 49091-2022 artfynd.xlsx", "A 49091-2022")</f>
        <v/>
      </c>
      <c r="T241">
        <f>HYPERLINK("https://klasma.github.io/Logging_2303/kartor/A 49091-2022 karta.png", "A 49091-2022")</f>
        <v/>
      </c>
      <c r="V241">
        <f>HYPERLINK("https://klasma.github.io/Logging_2303/klagomål/A 49091-2022 FSC-klagomål.docx", "A 49091-2022")</f>
        <v/>
      </c>
      <c r="W241">
        <f>HYPERLINK("https://klasma.github.io/Logging_2303/klagomålsmail/A 49091-2022 FSC-klagomål mail.docx", "A 49091-2022")</f>
        <v/>
      </c>
      <c r="X241">
        <f>HYPERLINK("https://klasma.github.io/Logging_2303/tillsyn/A 49091-2022 tillsynsbegäran.docx", "A 49091-2022")</f>
        <v/>
      </c>
      <c r="Y241">
        <f>HYPERLINK("https://klasma.github.io/Logging_2303/tillsynsmail/A 49091-2022 tillsynsbegäran mail.docx", "A 49091-2022")</f>
        <v/>
      </c>
    </row>
    <row r="242" ht="15" customHeight="1">
      <c r="A242" t="inlineStr">
        <is>
          <t>A 19387-2025</t>
        </is>
      </c>
      <c r="B242" s="1" t="n">
        <v>45769.65736111111</v>
      </c>
      <c r="C242" s="1" t="n">
        <v>46048</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46048</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40841-2025</t>
        </is>
      </c>
      <c r="B244" s="1" t="n">
        <v>45897.531875</v>
      </c>
      <c r="C244" s="1" t="n">
        <v>46048</v>
      </c>
      <c r="D244" t="inlineStr">
        <is>
          <t>JÄMTLANDS LÄN</t>
        </is>
      </c>
      <c r="E244" t="inlineStr">
        <is>
          <t>RAGUNDA</t>
        </is>
      </c>
      <c r="F244" t="inlineStr">
        <is>
          <t>SCA</t>
        </is>
      </c>
      <c r="G244" t="n">
        <v>1.1</v>
      </c>
      <c r="H244" t="n">
        <v>0</v>
      </c>
      <c r="I244" t="n">
        <v>0</v>
      </c>
      <c r="J244" t="n">
        <v>1</v>
      </c>
      <c r="K244" t="n">
        <v>0</v>
      </c>
      <c r="L244" t="n">
        <v>0</v>
      </c>
      <c r="M244" t="n">
        <v>0</v>
      </c>
      <c r="N244" t="n">
        <v>0</v>
      </c>
      <c r="O244" t="n">
        <v>1</v>
      </c>
      <c r="P244" t="n">
        <v>0</v>
      </c>
      <c r="Q244" t="n">
        <v>1</v>
      </c>
      <c r="R244" s="2" t="inlineStr">
        <is>
          <t>Garnlav</t>
        </is>
      </c>
      <c r="S244">
        <f>HYPERLINK("https://klasma.github.io/Logging_2303/artfynd/A 40841-2025 artfynd.xlsx", "A 40841-2025")</f>
        <v/>
      </c>
      <c r="T244">
        <f>HYPERLINK("https://klasma.github.io/Logging_2303/kartor/A 40841-2025 karta.png", "A 40841-2025")</f>
        <v/>
      </c>
      <c r="V244">
        <f>HYPERLINK("https://klasma.github.io/Logging_2303/klagomål/A 40841-2025 FSC-klagomål.docx", "A 40841-2025")</f>
        <v/>
      </c>
      <c r="W244">
        <f>HYPERLINK("https://klasma.github.io/Logging_2303/klagomålsmail/A 40841-2025 FSC-klagomål mail.docx", "A 40841-2025")</f>
        <v/>
      </c>
      <c r="X244">
        <f>HYPERLINK("https://klasma.github.io/Logging_2303/tillsyn/A 40841-2025 tillsynsbegäran.docx", "A 40841-2025")</f>
        <v/>
      </c>
      <c r="Y244">
        <f>HYPERLINK("https://klasma.github.io/Logging_2303/tillsynsmail/A 40841-2025 tillsynsbegäran mail.docx", "A 40841-2025")</f>
        <v/>
      </c>
    </row>
    <row r="245" ht="15" customHeight="1">
      <c r="A245" t="inlineStr">
        <is>
          <t>A 62072-2023</t>
        </is>
      </c>
      <c r="B245" s="1" t="n">
        <v>45266</v>
      </c>
      <c r="C245" s="1" t="n">
        <v>46048</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43526-2025</t>
        </is>
      </c>
      <c r="B246" s="1" t="n">
        <v>45911</v>
      </c>
      <c r="C246" s="1" t="n">
        <v>46048</v>
      </c>
      <c r="D246" t="inlineStr">
        <is>
          <t>JÄMTLANDS LÄN</t>
        </is>
      </c>
      <c r="E246" t="inlineStr">
        <is>
          <t>RAGUNDA</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HYPERLINK("https://klasma.github.io/Logging_2303/artfynd/A 43526-2025 artfynd.xlsx", "A 43526-2025")</f>
        <v/>
      </c>
      <c r="T246">
        <f>HYPERLINK("https://klasma.github.io/Logging_2303/kartor/A 43526-2025 karta.png", "A 43526-2025")</f>
        <v/>
      </c>
      <c r="V246">
        <f>HYPERLINK("https://klasma.github.io/Logging_2303/klagomål/A 43526-2025 FSC-klagomål.docx", "A 43526-2025")</f>
        <v/>
      </c>
      <c r="W246">
        <f>HYPERLINK("https://klasma.github.io/Logging_2303/klagomålsmail/A 43526-2025 FSC-klagomål mail.docx", "A 43526-2025")</f>
        <v/>
      </c>
      <c r="X246">
        <f>HYPERLINK("https://klasma.github.io/Logging_2303/tillsyn/A 43526-2025 tillsynsbegäran.docx", "A 43526-2025")</f>
        <v/>
      </c>
      <c r="Y246">
        <f>HYPERLINK("https://klasma.github.io/Logging_2303/tillsynsmail/A 43526-2025 tillsynsbegäran mail.docx", "A 43526-2025")</f>
        <v/>
      </c>
    </row>
    <row r="247" ht="15" customHeight="1">
      <c r="A247" t="inlineStr">
        <is>
          <t>A 20774-2024</t>
        </is>
      </c>
      <c r="B247" s="1" t="n">
        <v>45436.94644675926</v>
      </c>
      <c r="C247" s="1" t="n">
        <v>46048</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49053-2025</t>
        </is>
      </c>
      <c r="B248" s="1" t="n">
        <v>45937.64009259259</v>
      </c>
      <c r="C248" s="1" t="n">
        <v>46048</v>
      </c>
      <c r="D248" t="inlineStr">
        <is>
          <t>JÄMTLANDS LÄN</t>
        </is>
      </c>
      <c r="E248" t="inlineStr">
        <is>
          <t>RAGUNDA</t>
        </is>
      </c>
      <c r="F248" t="inlineStr">
        <is>
          <t>SCA</t>
        </is>
      </c>
      <c r="G248" t="n">
        <v>7</v>
      </c>
      <c r="H248" t="n">
        <v>1</v>
      </c>
      <c r="I248" t="n">
        <v>1</v>
      </c>
      <c r="J248" t="n">
        <v>0</v>
      </c>
      <c r="K248" t="n">
        <v>0</v>
      </c>
      <c r="L248" t="n">
        <v>0</v>
      </c>
      <c r="M248" t="n">
        <v>0</v>
      </c>
      <c r="N248" t="n">
        <v>0</v>
      </c>
      <c r="O248" t="n">
        <v>0</v>
      </c>
      <c r="P248" t="n">
        <v>0</v>
      </c>
      <c r="Q248" t="n">
        <v>1</v>
      </c>
      <c r="R248" s="2" t="inlineStr">
        <is>
          <t>Guckusko</t>
        </is>
      </c>
      <c r="S248">
        <f>HYPERLINK("https://klasma.github.io/Logging_2303/artfynd/A 49053-2025 artfynd.xlsx", "A 49053-2025")</f>
        <v/>
      </c>
      <c r="T248">
        <f>HYPERLINK("https://klasma.github.io/Logging_2303/kartor/A 49053-2025 karta.png", "A 49053-2025")</f>
        <v/>
      </c>
      <c r="V248">
        <f>HYPERLINK("https://klasma.github.io/Logging_2303/klagomål/A 49053-2025 FSC-klagomål.docx", "A 49053-2025")</f>
        <v/>
      </c>
      <c r="W248">
        <f>HYPERLINK("https://klasma.github.io/Logging_2303/klagomålsmail/A 49053-2025 FSC-klagomål mail.docx", "A 49053-2025")</f>
        <v/>
      </c>
      <c r="X248">
        <f>HYPERLINK("https://klasma.github.io/Logging_2303/tillsyn/A 49053-2025 tillsynsbegäran.docx", "A 49053-2025")</f>
        <v/>
      </c>
      <c r="Y248">
        <f>HYPERLINK("https://klasma.github.io/Logging_2303/tillsynsmail/A 49053-2025 tillsynsbegäran mail.docx", "A 49053-2025")</f>
        <v/>
      </c>
    </row>
    <row r="249" ht="15" customHeight="1">
      <c r="A249" t="inlineStr">
        <is>
          <t>A 51912-2025</t>
        </is>
      </c>
      <c r="B249" s="1" t="n">
        <v>45952.46939814815</v>
      </c>
      <c r="C249" s="1" t="n">
        <v>46048</v>
      </c>
      <c r="D249" t="inlineStr">
        <is>
          <t>JÄMTLANDS LÄN</t>
        </is>
      </c>
      <c r="E249" t="inlineStr">
        <is>
          <t>RAGUNDA</t>
        </is>
      </c>
      <c r="F249" t="inlineStr">
        <is>
          <t>SCA</t>
        </is>
      </c>
      <c r="G249" t="n">
        <v>24.2</v>
      </c>
      <c r="H249" t="n">
        <v>1</v>
      </c>
      <c r="I249" t="n">
        <v>0</v>
      </c>
      <c r="J249" t="n">
        <v>0</v>
      </c>
      <c r="K249" t="n">
        <v>1</v>
      </c>
      <c r="L249" t="n">
        <v>0</v>
      </c>
      <c r="M249" t="n">
        <v>0</v>
      </c>
      <c r="N249" t="n">
        <v>0</v>
      </c>
      <c r="O249" t="n">
        <v>1</v>
      </c>
      <c r="P249" t="n">
        <v>1</v>
      </c>
      <c r="Q249" t="n">
        <v>1</v>
      </c>
      <c r="R249" s="2" t="inlineStr">
        <is>
          <t>Norna</t>
        </is>
      </c>
      <c r="S249">
        <f>HYPERLINK("https://klasma.github.io/Logging_2303/artfynd/A 51912-2025 artfynd.xlsx", "A 51912-2025")</f>
        <v/>
      </c>
      <c r="T249">
        <f>HYPERLINK("https://klasma.github.io/Logging_2303/kartor/A 51912-2025 karta.png", "A 51912-2025")</f>
        <v/>
      </c>
      <c r="V249">
        <f>HYPERLINK("https://klasma.github.io/Logging_2303/klagomål/A 51912-2025 FSC-klagomål.docx", "A 51912-2025")</f>
        <v/>
      </c>
      <c r="W249">
        <f>HYPERLINK("https://klasma.github.io/Logging_2303/klagomålsmail/A 51912-2025 FSC-klagomål mail.docx", "A 51912-2025")</f>
        <v/>
      </c>
      <c r="X249">
        <f>HYPERLINK("https://klasma.github.io/Logging_2303/tillsyn/A 51912-2025 tillsynsbegäran.docx", "A 51912-2025")</f>
        <v/>
      </c>
      <c r="Y249">
        <f>HYPERLINK("https://klasma.github.io/Logging_2303/tillsynsmail/A 51912-2025 tillsynsbegäran mail.docx", "A 51912-2025")</f>
        <v/>
      </c>
    </row>
    <row r="250" ht="15" customHeight="1">
      <c r="A250" t="inlineStr">
        <is>
          <t>A 50164-2023</t>
        </is>
      </c>
      <c r="B250" s="1" t="n">
        <v>45208</v>
      </c>
      <c r="C250" s="1" t="n">
        <v>46048</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55756-2025</t>
        </is>
      </c>
      <c r="B251" s="1" t="n">
        <v>45972.59438657408</v>
      </c>
      <c r="C251" s="1" t="n">
        <v>46048</v>
      </c>
      <c r="D251" t="inlineStr">
        <is>
          <t>JÄMTLANDS LÄN</t>
        </is>
      </c>
      <c r="E251" t="inlineStr">
        <is>
          <t>RAGUNDA</t>
        </is>
      </c>
      <c r="G251" t="n">
        <v>1.6</v>
      </c>
      <c r="H251" t="n">
        <v>0</v>
      </c>
      <c r="I251" t="n">
        <v>0</v>
      </c>
      <c r="J251" t="n">
        <v>1</v>
      </c>
      <c r="K251" t="n">
        <v>0</v>
      </c>
      <c r="L251" t="n">
        <v>0</v>
      </c>
      <c r="M251" t="n">
        <v>0</v>
      </c>
      <c r="N251" t="n">
        <v>0</v>
      </c>
      <c r="O251" t="n">
        <v>1</v>
      </c>
      <c r="P251" t="n">
        <v>0</v>
      </c>
      <c r="Q251" t="n">
        <v>1</v>
      </c>
      <c r="R251" s="2" t="inlineStr">
        <is>
          <t>Garnlav</t>
        </is>
      </c>
      <c r="S251">
        <f>HYPERLINK("https://klasma.github.io/Logging_2303/artfynd/A 55756-2025 artfynd.xlsx", "A 55756-2025")</f>
        <v/>
      </c>
      <c r="T251">
        <f>HYPERLINK("https://klasma.github.io/Logging_2303/kartor/A 55756-2025 karta.png", "A 55756-2025")</f>
        <v/>
      </c>
      <c r="V251">
        <f>HYPERLINK("https://klasma.github.io/Logging_2303/klagomål/A 55756-2025 FSC-klagomål.docx", "A 55756-2025")</f>
        <v/>
      </c>
      <c r="W251">
        <f>HYPERLINK("https://klasma.github.io/Logging_2303/klagomålsmail/A 55756-2025 FSC-klagomål mail.docx", "A 55756-2025")</f>
        <v/>
      </c>
      <c r="X251">
        <f>HYPERLINK("https://klasma.github.io/Logging_2303/tillsyn/A 55756-2025 tillsynsbegäran.docx", "A 55756-2025")</f>
        <v/>
      </c>
      <c r="Y251">
        <f>HYPERLINK("https://klasma.github.io/Logging_2303/tillsynsmail/A 55756-2025 tillsynsbegäran mail.docx", "A 55756-2025")</f>
        <v/>
      </c>
    </row>
    <row r="252" ht="15" customHeight="1">
      <c r="A252" t="inlineStr">
        <is>
          <t>A 56599-2025</t>
        </is>
      </c>
      <c r="B252" s="1" t="n">
        <v>45975.5734837963</v>
      </c>
      <c r="C252" s="1" t="n">
        <v>46048</v>
      </c>
      <c r="D252" t="inlineStr">
        <is>
          <t>JÄMTLANDS LÄN</t>
        </is>
      </c>
      <c r="E252" t="inlineStr">
        <is>
          <t>RAGUNDA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HYPERLINK("https://klasma.github.io/Logging_2303/artfynd/A 56599-2025 artfynd.xlsx", "A 56599-2025")</f>
        <v/>
      </c>
      <c r="T252">
        <f>HYPERLINK("https://klasma.github.io/Logging_2303/kartor/A 56599-2025 karta.png", "A 56599-2025")</f>
        <v/>
      </c>
      <c r="V252">
        <f>HYPERLINK("https://klasma.github.io/Logging_2303/klagomål/A 56599-2025 FSC-klagomål.docx", "A 56599-2025")</f>
        <v/>
      </c>
      <c r="W252">
        <f>HYPERLINK("https://klasma.github.io/Logging_2303/klagomålsmail/A 56599-2025 FSC-klagomål mail.docx", "A 56599-2025")</f>
        <v/>
      </c>
      <c r="X252">
        <f>HYPERLINK("https://klasma.github.io/Logging_2303/tillsyn/A 56599-2025 tillsynsbegäran.docx", "A 56599-2025")</f>
        <v/>
      </c>
      <c r="Y252">
        <f>HYPERLINK("https://klasma.github.io/Logging_2303/tillsynsmail/A 56599-2025 tillsynsbegäran mail.docx", "A 56599-2025")</f>
        <v/>
      </c>
    </row>
    <row r="253" ht="15" customHeight="1">
      <c r="A253" t="inlineStr">
        <is>
          <t>A 57253-2025</t>
        </is>
      </c>
      <c r="B253" s="1" t="n">
        <v>45979.64381944444</v>
      </c>
      <c r="C253" s="1" t="n">
        <v>46048</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Skinnlav</t>
        </is>
      </c>
      <c r="S253">
        <f>HYPERLINK("https://klasma.github.io/Logging_2303/artfynd/A 57253-2025 artfynd.xlsx", "A 57253-2025")</f>
        <v/>
      </c>
      <c r="T253">
        <f>HYPERLINK("https://klasma.github.io/Logging_2303/kartor/A 57253-2025 karta.png", "A 57253-2025")</f>
        <v/>
      </c>
      <c r="V253">
        <f>HYPERLINK("https://klasma.github.io/Logging_2303/klagomål/A 57253-2025 FSC-klagomål.docx", "A 57253-2025")</f>
        <v/>
      </c>
      <c r="W253">
        <f>HYPERLINK("https://klasma.github.io/Logging_2303/klagomålsmail/A 57253-2025 FSC-klagomål mail.docx", "A 57253-2025")</f>
        <v/>
      </c>
      <c r="X253">
        <f>HYPERLINK("https://klasma.github.io/Logging_2303/tillsyn/A 57253-2025 tillsynsbegäran.docx", "A 57253-2025")</f>
        <v/>
      </c>
      <c r="Y253">
        <f>HYPERLINK("https://klasma.github.io/Logging_2303/tillsynsmail/A 57253-2025 tillsynsbegäran mail.docx", "A 57253-2025")</f>
        <v/>
      </c>
    </row>
    <row r="254" ht="15" customHeight="1">
      <c r="A254" t="inlineStr">
        <is>
          <t>A 57479-2025</t>
        </is>
      </c>
      <c r="B254" s="1" t="n">
        <v>45980.5737037037</v>
      </c>
      <c r="C254" s="1" t="n">
        <v>46048</v>
      </c>
      <c r="D254" t="inlineStr">
        <is>
          <t>JÄMTLANDS LÄN</t>
        </is>
      </c>
      <c r="E254" t="inlineStr">
        <is>
          <t>RAGUNDA</t>
        </is>
      </c>
      <c r="F254" t="inlineStr">
        <is>
          <t>SCA</t>
        </is>
      </c>
      <c r="G254" t="n">
        <v>12</v>
      </c>
      <c r="H254" t="n">
        <v>0</v>
      </c>
      <c r="I254" t="n">
        <v>0</v>
      </c>
      <c r="J254" t="n">
        <v>1</v>
      </c>
      <c r="K254" t="n">
        <v>0</v>
      </c>
      <c r="L254" t="n">
        <v>0</v>
      </c>
      <c r="M254" t="n">
        <v>0</v>
      </c>
      <c r="N254" t="n">
        <v>0</v>
      </c>
      <c r="O254" t="n">
        <v>1</v>
      </c>
      <c r="P254" t="n">
        <v>0</v>
      </c>
      <c r="Q254" t="n">
        <v>1</v>
      </c>
      <c r="R254" s="2" t="inlineStr">
        <is>
          <t>Kolflarnlav</t>
        </is>
      </c>
      <c r="S254">
        <f>HYPERLINK("https://klasma.github.io/Logging_2303/artfynd/A 57479-2025 artfynd.xlsx", "A 57479-2025")</f>
        <v/>
      </c>
      <c r="T254">
        <f>HYPERLINK("https://klasma.github.io/Logging_2303/kartor/A 57479-2025 karta.png", "A 57479-2025")</f>
        <v/>
      </c>
      <c r="V254">
        <f>HYPERLINK("https://klasma.github.io/Logging_2303/klagomål/A 57479-2025 FSC-klagomål.docx", "A 57479-2025")</f>
        <v/>
      </c>
      <c r="W254">
        <f>HYPERLINK("https://klasma.github.io/Logging_2303/klagomålsmail/A 57479-2025 FSC-klagomål mail.docx", "A 57479-2025")</f>
        <v/>
      </c>
      <c r="X254">
        <f>HYPERLINK("https://klasma.github.io/Logging_2303/tillsyn/A 57479-2025 tillsynsbegäran.docx", "A 57479-2025")</f>
        <v/>
      </c>
      <c r="Y254">
        <f>HYPERLINK("https://klasma.github.io/Logging_2303/tillsynsmail/A 57479-2025 tillsynsbegäran mail.docx", "A 57479-2025")</f>
        <v/>
      </c>
    </row>
    <row r="255" ht="15" customHeight="1">
      <c r="A255" t="inlineStr">
        <is>
          <t>A 57478-2025</t>
        </is>
      </c>
      <c r="B255" s="1" t="n">
        <v>45980.57349537037</v>
      </c>
      <c r="C255" s="1" t="n">
        <v>46048</v>
      </c>
      <c r="D255" t="inlineStr">
        <is>
          <t>JÄMTLANDS LÄN</t>
        </is>
      </c>
      <c r="E255" t="inlineStr">
        <is>
          <t>RAGUNDA</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HYPERLINK("https://klasma.github.io/Logging_2303/artfynd/A 57478-2025 artfynd.xlsx", "A 57478-2025")</f>
        <v/>
      </c>
      <c r="T255">
        <f>HYPERLINK("https://klasma.github.io/Logging_2303/kartor/A 57478-2025 karta.png", "A 57478-2025")</f>
        <v/>
      </c>
      <c r="V255">
        <f>HYPERLINK("https://klasma.github.io/Logging_2303/klagomål/A 57478-2025 FSC-klagomål.docx", "A 57478-2025")</f>
        <v/>
      </c>
      <c r="W255">
        <f>HYPERLINK("https://klasma.github.io/Logging_2303/klagomålsmail/A 57478-2025 FSC-klagomål mail.docx", "A 57478-2025")</f>
        <v/>
      </c>
      <c r="X255">
        <f>HYPERLINK("https://klasma.github.io/Logging_2303/tillsyn/A 57478-2025 tillsynsbegäran.docx", "A 57478-2025")</f>
        <v/>
      </c>
      <c r="Y255">
        <f>HYPERLINK("https://klasma.github.io/Logging_2303/tillsynsmail/A 57478-2025 tillsynsbegäran mail.docx", "A 57478-2025")</f>
        <v/>
      </c>
    </row>
    <row r="256" ht="15" customHeight="1">
      <c r="A256" t="inlineStr">
        <is>
          <t>A 58990-2025</t>
        </is>
      </c>
      <c r="B256" s="1" t="n">
        <v>45987</v>
      </c>
      <c r="C256" s="1" t="n">
        <v>46048</v>
      </c>
      <c r="D256" t="inlineStr">
        <is>
          <t>JÄMTLANDS LÄN</t>
        </is>
      </c>
      <c r="E256" t="inlineStr">
        <is>
          <t>RAGUNDA</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58990-2025 artfynd.xlsx", "A 58990-2025")</f>
        <v/>
      </c>
      <c r="T256">
        <f>HYPERLINK("https://klasma.github.io/Logging_2303/kartor/A 58990-2025 karta.png", "A 58990-2025")</f>
        <v/>
      </c>
      <c r="V256">
        <f>HYPERLINK("https://klasma.github.io/Logging_2303/klagomål/A 58990-2025 FSC-klagomål.docx", "A 58990-2025")</f>
        <v/>
      </c>
      <c r="W256">
        <f>HYPERLINK("https://klasma.github.io/Logging_2303/klagomålsmail/A 58990-2025 FSC-klagomål mail.docx", "A 58990-2025")</f>
        <v/>
      </c>
      <c r="X256">
        <f>HYPERLINK("https://klasma.github.io/Logging_2303/tillsyn/A 58990-2025 tillsynsbegäran.docx", "A 58990-2025")</f>
        <v/>
      </c>
      <c r="Y256">
        <f>HYPERLINK("https://klasma.github.io/Logging_2303/tillsynsmail/A 58990-2025 tillsynsbegäran mail.docx", "A 58990-2025")</f>
        <v/>
      </c>
      <c r="Z256">
        <f>HYPERLINK("https://klasma.github.io/Logging_2303/fåglar/A 58990-2025 prioriterade fågelarter.docx", "A 58990-2025")</f>
        <v/>
      </c>
    </row>
    <row r="257" ht="15" customHeight="1">
      <c r="A257" t="inlineStr">
        <is>
          <t>A 29921-2024</t>
        </is>
      </c>
      <c r="B257" s="1" t="n">
        <v>45487.92863425926</v>
      </c>
      <c r="C257" s="1" t="n">
        <v>46048</v>
      </c>
      <c r="D257" t="inlineStr">
        <is>
          <t>JÄMTLANDS LÄN</t>
        </is>
      </c>
      <c r="E257" t="inlineStr">
        <is>
          <t>RAGUNDA</t>
        </is>
      </c>
      <c r="G257" t="n">
        <v>1.6</v>
      </c>
      <c r="H257" t="n">
        <v>1</v>
      </c>
      <c r="I257" t="n">
        <v>0</v>
      </c>
      <c r="J257" t="n">
        <v>0</v>
      </c>
      <c r="K257" t="n">
        <v>1</v>
      </c>
      <c r="L257" t="n">
        <v>0</v>
      </c>
      <c r="M257" t="n">
        <v>0</v>
      </c>
      <c r="N257" t="n">
        <v>0</v>
      </c>
      <c r="O257" t="n">
        <v>1</v>
      </c>
      <c r="P257" t="n">
        <v>1</v>
      </c>
      <c r="Q257" t="n">
        <v>1</v>
      </c>
      <c r="R257" s="2" t="inlineStr">
        <is>
          <t>Knärot</t>
        </is>
      </c>
      <c r="S257">
        <f>HYPERLINK("https://klasma.github.io/Logging_2303/artfynd/A 29921-2024 artfynd.xlsx", "A 29921-2024")</f>
        <v/>
      </c>
      <c r="T257">
        <f>HYPERLINK("https://klasma.github.io/Logging_2303/kartor/A 29921-2024 karta.png", "A 29921-2024")</f>
        <v/>
      </c>
      <c r="U257">
        <f>HYPERLINK("https://klasma.github.io/Logging_2303/knärot/A 29921-2024 karta knärot.png", "A 29921-2024")</f>
        <v/>
      </c>
      <c r="V257">
        <f>HYPERLINK("https://klasma.github.io/Logging_2303/klagomål/A 29921-2024 FSC-klagomål.docx", "A 29921-2024")</f>
        <v/>
      </c>
      <c r="W257">
        <f>HYPERLINK("https://klasma.github.io/Logging_2303/klagomålsmail/A 29921-2024 FSC-klagomål mail.docx", "A 29921-2024")</f>
        <v/>
      </c>
      <c r="X257">
        <f>HYPERLINK("https://klasma.github.io/Logging_2303/tillsyn/A 29921-2024 tillsynsbegäran.docx", "A 29921-2024")</f>
        <v/>
      </c>
      <c r="Y257">
        <f>HYPERLINK("https://klasma.github.io/Logging_2303/tillsynsmail/A 29921-2024 tillsynsbegäran mail.docx", "A 29921-2024")</f>
        <v/>
      </c>
    </row>
    <row r="258" ht="15" customHeight="1">
      <c r="A258" t="inlineStr">
        <is>
          <t>A 30485-2024</t>
        </is>
      </c>
      <c r="B258" s="1" t="n">
        <v>45491.95008101852</v>
      </c>
      <c r="C258" s="1" t="n">
        <v>46048</v>
      </c>
      <c r="D258" t="inlineStr">
        <is>
          <t>JÄMTLANDS LÄN</t>
        </is>
      </c>
      <c r="E258" t="inlineStr">
        <is>
          <t>RAGUNDA</t>
        </is>
      </c>
      <c r="F258" t="inlineStr">
        <is>
          <t>SCA</t>
        </is>
      </c>
      <c r="G258" t="n">
        <v>2</v>
      </c>
      <c r="H258" t="n">
        <v>0</v>
      </c>
      <c r="I258" t="n">
        <v>0</v>
      </c>
      <c r="J258" t="n">
        <v>1</v>
      </c>
      <c r="K258" t="n">
        <v>0</v>
      </c>
      <c r="L258" t="n">
        <v>0</v>
      </c>
      <c r="M258" t="n">
        <v>0</v>
      </c>
      <c r="N258" t="n">
        <v>0</v>
      </c>
      <c r="O258" t="n">
        <v>1</v>
      </c>
      <c r="P258" t="n">
        <v>0</v>
      </c>
      <c r="Q258" t="n">
        <v>1</v>
      </c>
      <c r="R258" s="2" t="inlineStr">
        <is>
          <t>Garnlav</t>
        </is>
      </c>
      <c r="S258">
        <f>HYPERLINK("https://klasma.github.io/Logging_2303/artfynd/A 30485-2024 artfynd.xlsx", "A 30485-2024")</f>
        <v/>
      </c>
      <c r="T258">
        <f>HYPERLINK("https://klasma.github.io/Logging_2303/kartor/A 30485-2024 karta.png", "A 30485-2024")</f>
        <v/>
      </c>
      <c r="V258">
        <f>HYPERLINK("https://klasma.github.io/Logging_2303/klagomål/A 30485-2024 FSC-klagomål.docx", "A 30485-2024")</f>
        <v/>
      </c>
      <c r="W258">
        <f>HYPERLINK("https://klasma.github.io/Logging_2303/klagomålsmail/A 30485-2024 FSC-klagomål mail.docx", "A 30485-2024")</f>
        <v/>
      </c>
      <c r="X258">
        <f>HYPERLINK("https://klasma.github.io/Logging_2303/tillsyn/A 30485-2024 tillsynsbegäran.docx", "A 30485-2024")</f>
        <v/>
      </c>
      <c r="Y258">
        <f>HYPERLINK("https://klasma.github.io/Logging_2303/tillsynsmail/A 30485-2024 tillsynsbegäran mail.docx", "A 30485-2024")</f>
        <v/>
      </c>
    </row>
    <row r="259" ht="15" customHeight="1">
      <c r="A259" t="inlineStr">
        <is>
          <t>A 2097-2026</t>
        </is>
      </c>
      <c r="B259" s="1" t="n">
        <v>46036.36556712963</v>
      </c>
      <c r="C259" s="1" t="n">
        <v>46048</v>
      </c>
      <c r="D259" t="inlineStr">
        <is>
          <t>JÄMTLANDS LÄN</t>
        </is>
      </c>
      <c r="E259" t="inlineStr">
        <is>
          <t>RAGUNDA</t>
        </is>
      </c>
      <c r="F259" t="inlineStr">
        <is>
          <t>SCA</t>
        </is>
      </c>
      <c r="G259" t="n">
        <v>0.9</v>
      </c>
      <c r="H259" t="n">
        <v>0</v>
      </c>
      <c r="I259" t="n">
        <v>0</v>
      </c>
      <c r="J259" t="n">
        <v>0</v>
      </c>
      <c r="K259" t="n">
        <v>0</v>
      </c>
      <c r="L259" t="n">
        <v>1</v>
      </c>
      <c r="M259" t="n">
        <v>0</v>
      </c>
      <c r="N259" t="n">
        <v>0</v>
      </c>
      <c r="O259" t="n">
        <v>1</v>
      </c>
      <c r="P259" t="n">
        <v>1</v>
      </c>
      <c r="Q259" t="n">
        <v>1</v>
      </c>
      <c r="R259" s="2" t="inlineStr">
        <is>
          <t>Trolldruvemätare</t>
        </is>
      </c>
      <c r="S259">
        <f>HYPERLINK("https://klasma.github.io/Logging_2303/artfynd/A 2097-2026 artfynd.xlsx", "A 2097-2026")</f>
        <v/>
      </c>
      <c r="T259">
        <f>HYPERLINK("https://klasma.github.io/Logging_2303/kartor/A 2097-2026 karta.png", "A 2097-2026")</f>
        <v/>
      </c>
      <c r="V259">
        <f>HYPERLINK("https://klasma.github.io/Logging_2303/klagomål/A 2097-2026 FSC-klagomål.docx", "A 2097-2026")</f>
        <v/>
      </c>
      <c r="W259">
        <f>HYPERLINK("https://klasma.github.io/Logging_2303/klagomålsmail/A 2097-2026 FSC-klagomål mail.docx", "A 2097-2026")</f>
        <v/>
      </c>
      <c r="X259">
        <f>HYPERLINK("https://klasma.github.io/Logging_2303/tillsyn/A 2097-2026 tillsynsbegäran.docx", "A 2097-2026")</f>
        <v/>
      </c>
      <c r="Y259">
        <f>HYPERLINK("https://klasma.github.io/Logging_2303/tillsynsmail/A 2097-2026 tillsynsbegäran mail.docx", "A 2097-2026")</f>
        <v/>
      </c>
    </row>
    <row r="260" ht="15" customHeight="1">
      <c r="A260" t="inlineStr">
        <is>
          <t>A 4157-2026</t>
        </is>
      </c>
      <c r="B260" s="1" t="n">
        <v>46044.65694444445</v>
      </c>
      <c r="C260" s="1" t="n">
        <v>46048</v>
      </c>
      <c r="D260" t="inlineStr">
        <is>
          <t>JÄMTLANDS LÄN</t>
        </is>
      </c>
      <c r="E260" t="inlineStr">
        <is>
          <t>RAGUNDA</t>
        </is>
      </c>
      <c r="F260" t="inlineStr">
        <is>
          <t>SCA</t>
        </is>
      </c>
      <c r="G260" t="n">
        <v>2.6</v>
      </c>
      <c r="H260" t="n">
        <v>1</v>
      </c>
      <c r="I260" t="n">
        <v>1</v>
      </c>
      <c r="J260" t="n">
        <v>0</v>
      </c>
      <c r="K260" t="n">
        <v>0</v>
      </c>
      <c r="L260" t="n">
        <v>0</v>
      </c>
      <c r="M260" t="n">
        <v>0</v>
      </c>
      <c r="N260" t="n">
        <v>0</v>
      </c>
      <c r="O260" t="n">
        <v>0</v>
      </c>
      <c r="P260" t="n">
        <v>0</v>
      </c>
      <c r="Q260" t="n">
        <v>1</v>
      </c>
      <c r="R260" s="2" t="inlineStr">
        <is>
          <t>Tvåblad</t>
        </is>
      </c>
      <c r="S260">
        <f>HYPERLINK("https://klasma.github.io/Logging_2303/artfynd/A 4157-2026 artfynd.xlsx", "A 4157-2026")</f>
        <v/>
      </c>
      <c r="T260">
        <f>HYPERLINK("https://klasma.github.io/Logging_2303/kartor/A 4157-2026 karta.png", "A 4157-2026")</f>
        <v/>
      </c>
      <c r="V260">
        <f>HYPERLINK("https://klasma.github.io/Logging_2303/klagomål/A 4157-2026 FSC-klagomål.docx", "A 4157-2026")</f>
        <v/>
      </c>
      <c r="W260">
        <f>HYPERLINK("https://klasma.github.io/Logging_2303/klagomålsmail/A 4157-2026 FSC-klagomål mail.docx", "A 4157-2026")</f>
        <v/>
      </c>
      <c r="X260">
        <f>HYPERLINK("https://klasma.github.io/Logging_2303/tillsyn/A 4157-2026 tillsynsbegäran.docx", "A 4157-2026")</f>
        <v/>
      </c>
      <c r="Y260">
        <f>HYPERLINK("https://klasma.github.io/Logging_2303/tillsynsmail/A 4157-2026 tillsynsbegäran mail.docx", "A 4157-2026")</f>
        <v/>
      </c>
    </row>
    <row r="261" ht="15" customHeight="1">
      <c r="A261" t="inlineStr">
        <is>
          <t>A 46050-2022</t>
        </is>
      </c>
      <c r="B261" s="1" t="n">
        <v>44846</v>
      </c>
      <c r="C261" s="1" t="n">
        <v>46048</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46048</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46048</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46048</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46048</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46048</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46048</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46048</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46048</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46048</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46048</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46048</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46048</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46048</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46048</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46048</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46048</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46048</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46048</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46048</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46048</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46048</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46048</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46048</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46048</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46048</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46048</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46048</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46048</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46048</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46048</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46048</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46048</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46048</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46048</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46048</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46048</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46048</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46048</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46048</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46048</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46048</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46048</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46048</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46048</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46048</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46048</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46048</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57194-2021</t>
        </is>
      </c>
      <c r="B309" s="1" t="n">
        <v>44482.92271990741</v>
      </c>
      <c r="C309" s="1" t="n">
        <v>46048</v>
      </c>
      <c r="D309" t="inlineStr">
        <is>
          <t>JÄMTLANDS LÄN</t>
        </is>
      </c>
      <c r="E309" t="inlineStr">
        <is>
          <t>RAGUNDA</t>
        </is>
      </c>
      <c r="G309" t="n">
        <v>7.3</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46048</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46048</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46048</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29409-2021</t>
        </is>
      </c>
      <c r="B313" s="1" t="n">
        <v>44361.55445601852</v>
      </c>
      <c r="C313" s="1" t="n">
        <v>46048</v>
      </c>
      <c r="D313" t="inlineStr">
        <is>
          <t>JÄMTLANDS LÄN</t>
        </is>
      </c>
      <c r="E313" t="inlineStr">
        <is>
          <t>RAGUNDA</t>
        </is>
      </c>
      <c r="G313" t="n">
        <v>0.3</v>
      </c>
      <c r="H313" t="n">
        <v>0</v>
      </c>
      <c r="I313" t="n">
        <v>0</v>
      </c>
      <c r="J313" t="n">
        <v>0</v>
      </c>
      <c r="K313" t="n">
        <v>0</v>
      </c>
      <c r="L313" t="n">
        <v>0</v>
      </c>
      <c r="M313" t="n">
        <v>0</v>
      </c>
      <c r="N313" t="n">
        <v>0</v>
      </c>
      <c r="O313" t="n">
        <v>0</v>
      </c>
      <c r="P313" t="n">
        <v>0</v>
      </c>
      <c r="Q313" t="n">
        <v>0</v>
      </c>
      <c r="R313" s="2" t="inlineStr"/>
    </row>
    <row r="314" ht="15" customHeight="1">
      <c r="A314" t="inlineStr">
        <is>
          <t>A 54837-2022</t>
        </is>
      </c>
      <c r="B314" s="1" t="n">
        <v>44883</v>
      </c>
      <c r="C314" s="1" t="n">
        <v>46048</v>
      </c>
      <c r="D314" t="inlineStr">
        <is>
          <t>JÄMTLANDS LÄN</t>
        </is>
      </c>
      <c r="E314" t="inlineStr">
        <is>
          <t>RAGUNDA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25028-2022</t>
        </is>
      </c>
      <c r="B315" s="1" t="n">
        <v>44728.94398148148</v>
      </c>
      <c r="C315" s="1" t="n">
        <v>46048</v>
      </c>
      <c r="D315" t="inlineStr">
        <is>
          <t>JÄMTLANDS LÄN</t>
        </is>
      </c>
      <c r="E315" t="inlineStr">
        <is>
          <t>RAGUNDA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40829-2022</t>
        </is>
      </c>
      <c r="B316" s="1" t="n">
        <v>44824.94635416667</v>
      </c>
      <c r="C316" s="1" t="n">
        <v>46048</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10937-2021</t>
        </is>
      </c>
      <c r="B317" s="1" t="n">
        <v>44259</v>
      </c>
      <c r="C317" s="1" t="n">
        <v>46048</v>
      </c>
      <c r="D317" t="inlineStr">
        <is>
          <t>JÄMTLANDS LÄN</t>
        </is>
      </c>
      <c r="E317" t="inlineStr">
        <is>
          <t>RAGUNDA</t>
        </is>
      </c>
      <c r="G317" t="n">
        <v>10.8</v>
      </c>
      <c r="H317" t="n">
        <v>0</v>
      </c>
      <c r="I317" t="n">
        <v>0</v>
      </c>
      <c r="J317" t="n">
        <v>0</v>
      </c>
      <c r="K317" t="n">
        <v>0</v>
      </c>
      <c r="L317" t="n">
        <v>0</v>
      </c>
      <c r="M317" t="n">
        <v>0</v>
      </c>
      <c r="N317" t="n">
        <v>0</v>
      </c>
      <c r="O317" t="n">
        <v>0</v>
      </c>
      <c r="P317" t="n">
        <v>0</v>
      </c>
      <c r="Q317" t="n">
        <v>0</v>
      </c>
      <c r="R317" s="2" t="inlineStr"/>
    </row>
    <row r="318" ht="15" customHeight="1">
      <c r="A318" t="inlineStr">
        <is>
          <t>A 16002-2021</t>
        </is>
      </c>
      <c r="B318" s="1" t="n">
        <v>44287</v>
      </c>
      <c r="C318" s="1" t="n">
        <v>46048</v>
      </c>
      <c r="D318" t="inlineStr">
        <is>
          <t>JÄMTLANDS LÄN</t>
        </is>
      </c>
      <c r="E318" t="inlineStr">
        <is>
          <t>RAGUNDA</t>
        </is>
      </c>
      <c r="G318" t="n">
        <v>3.6</v>
      </c>
      <c r="H318" t="n">
        <v>0</v>
      </c>
      <c r="I318" t="n">
        <v>0</v>
      </c>
      <c r="J318" t="n">
        <v>0</v>
      </c>
      <c r="K318" t="n">
        <v>0</v>
      </c>
      <c r="L318" t="n">
        <v>0</v>
      </c>
      <c r="M318" t="n">
        <v>0</v>
      </c>
      <c r="N318" t="n">
        <v>0</v>
      </c>
      <c r="O318" t="n">
        <v>0</v>
      </c>
      <c r="P318" t="n">
        <v>0</v>
      </c>
      <c r="Q318" t="n">
        <v>0</v>
      </c>
      <c r="R318" s="2" t="inlineStr"/>
    </row>
    <row r="319" ht="15" customHeight="1">
      <c r="A319" t="inlineStr">
        <is>
          <t>A 19612-2021</t>
        </is>
      </c>
      <c r="B319" s="1" t="n">
        <v>44308</v>
      </c>
      <c r="C319" s="1" t="n">
        <v>46048</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19615-2021</t>
        </is>
      </c>
      <c r="B320" s="1" t="n">
        <v>44308</v>
      </c>
      <c r="C320" s="1" t="n">
        <v>46048</v>
      </c>
      <c r="D320" t="inlineStr">
        <is>
          <t>JÄMTLANDS LÄN</t>
        </is>
      </c>
      <c r="E320" t="inlineStr">
        <is>
          <t>RAGUNDA</t>
        </is>
      </c>
      <c r="G320" t="n">
        <v>1.4</v>
      </c>
      <c r="H320" t="n">
        <v>0</v>
      </c>
      <c r="I320" t="n">
        <v>0</v>
      </c>
      <c r="J320" t="n">
        <v>0</v>
      </c>
      <c r="K320" t="n">
        <v>0</v>
      </c>
      <c r="L320" t="n">
        <v>0</v>
      </c>
      <c r="M320" t="n">
        <v>0</v>
      </c>
      <c r="N320" t="n">
        <v>0</v>
      </c>
      <c r="O320" t="n">
        <v>0</v>
      </c>
      <c r="P320" t="n">
        <v>0</v>
      </c>
      <c r="Q320" t="n">
        <v>0</v>
      </c>
      <c r="R320" s="2" t="inlineStr"/>
    </row>
    <row r="321" ht="15" customHeight="1">
      <c r="A321" t="inlineStr">
        <is>
          <t>A 11217-2022</t>
        </is>
      </c>
      <c r="B321" s="1" t="n">
        <v>44629.56258101852</v>
      </c>
      <c r="C321" s="1" t="n">
        <v>46048</v>
      </c>
      <c r="D321" t="inlineStr">
        <is>
          <t>JÄMTLANDS LÄN</t>
        </is>
      </c>
      <c r="E321" t="inlineStr">
        <is>
          <t>RAGUNDA</t>
        </is>
      </c>
      <c r="G321" t="n">
        <v>10.2</v>
      </c>
      <c r="H321" t="n">
        <v>0</v>
      </c>
      <c r="I321" t="n">
        <v>0</v>
      </c>
      <c r="J321" t="n">
        <v>0</v>
      </c>
      <c r="K321" t="n">
        <v>0</v>
      </c>
      <c r="L321" t="n">
        <v>0</v>
      </c>
      <c r="M321" t="n">
        <v>0</v>
      </c>
      <c r="N321" t="n">
        <v>0</v>
      </c>
      <c r="O321" t="n">
        <v>0</v>
      </c>
      <c r="P321" t="n">
        <v>0</v>
      </c>
      <c r="Q321" t="n">
        <v>0</v>
      </c>
      <c r="R321" s="2" t="inlineStr"/>
    </row>
    <row r="322" ht="15" customHeight="1">
      <c r="A322" t="inlineStr">
        <is>
          <t>A 46992-2022</t>
        </is>
      </c>
      <c r="B322" s="1" t="n">
        <v>44851.95488425926</v>
      </c>
      <c r="C322" s="1" t="n">
        <v>46048</v>
      </c>
      <c r="D322" t="inlineStr">
        <is>
          <t>JÄMTLANDS LÄN</t>
        </is>
      </c>
      <c r="E322" t="inlineStr">
        <is>
          <t>RAGUNDA</t>
        </is>
      </c>
      <c r="F322" t="inlineStr">
        <is>
          <t>SCA</t>
        </is>
      </c>
      <c r="G322" t="n">
        <v>26.4</v>
      </c>
      <c r="H322" t="n">
        <v>0</v>
      </c>
      <c r="I322" t="n">
        <v>0</v>
      </c>
      <c r="J322" t="n">
        <v>0</v>
      </c>
      <c r="K322" t="n">
        <v>0</v>
      </c>
      <c r="L322" t="n">
        <v>0</v>
      </c>
      <c r="M322" t="n">
        <v>0</v>
      </c>
      <c r="N322" t="n">
        <v>0</v>
      </c>
      <c r="O322" t="n">
        <v>0</v>
      </c>
      <c r="P322" t="n">
        <v>0</v>
      </c>
      <c r="Q322" t="n">
        <v>0</v>
      </c>
      <c r="R322" s="2" t="inlineStr"/>
    </row>
    <row r="323" ht="15" customHeight="1">
      <c r="A323" t="inlineStr">
        <is>
          <t>A 34348-2021</t>
        </is>
      </c>
      <c r="B323" s="1" t="n">
        <v>44379</v>
      </c>
      <c r="C323" s="1" t="n">
        <v>46048</v>
      </c>
      <c r="D323" t="inlineStr">
        <is>
          <t>JÄMTLANDS LÄN</t>
        </is>
      </c>
      <c r="E323" t="inlineStr">
        <is>
          <t>RAGUNDA</t>
        </is>
      </c>
      <c r="G323" t="n">
        <v>8.1</v>
      </c>
      <c r="H323" t="n">
        <v>0</v>
      </c>
      <c r="I323" t="n">
        <v>0</v>
      </c>
      <c r="J323" t="n">
        <v>0</v>
      </c>
      <c r="K323" t="n">
        <v>0</v>
      </c>
      <c r="L323" t="n">
        <v>0</v>
      </c>
      <c r="M323" t="n">
        <v>0</v>
      </c>
      <c r="N323" t="n">
        <v>0</v>
      </c>
      <c r="O323" t="n">
        <v>0</v>
      </c>
      <c r="P323" t="n">
        <v>0</v>
      </c>
      <c r="Q323" t="n">
        <v>0</v>
      </c>
      <c r="R323" s="2" t="inlineStr"/>
    </row>
    <row r="324" ht="15" customHeight="1">
      <c r="A324" t="inlineStr">
        <is>
          <t>A 48832-2021</t>
        </is>
      </c>
      <c r="B324" s="1" t="n">
        <v>44452</v>
      </c>
      <c r="C324" s="1" t="n">
        <v>46048</v>
      </c>
      <c r="D324" t="inlineStr">
        <is>
          <t>JÄMTLANDS LÄN</t>
        </is>
      </c>
      <c r="E324" t="inlineStr">
        <is>
          <t>RAGUNDA</t>
        </is>
      </c>
      <c r="G324" t="n">
        <v>1.7</v>
      </c>
      <c r="H324" t="n">
        <v>0</v>
      </c>
      <c r="I324" t="n">
        <v>0</v>
      </c>
      <c r="J324" t="n">
        <v>0</v>
      </c>
      <c r="K324" t="n">
        <v>0</v>
      </c>
      <c r="L324" t="n">
        <v>0</v>
      </c>
      <c r="M324" t="n">
        <v>0</v>
      </c>
      <c r="N324" t="n">
        <v>0</v>
      </c>
      <c r="O324" t="n">
        <v>0</v>
      </c>
      <c r="P324" t="n">
        <v>0</v>
      </c>
      <c r="Q324" t="n">
        <v>0</v>
      </c>
      <c r="R324" s="2" t="inlineStr"/>
    </row>
    <row r="325" ht="15" customHeight="1">
      <c r="A325" t="inlineStr">
        <is>
          <t>A 15102-2021</t>
        </is>
      </c>
      <c r="B325" s="1" t="n">
        <v>44281</v>
      </c>
      <c r="C325" s="1" t="n">
        <v>46048</v>
      </c>
      <c r="D325" t="inlineStr">
        <is>
          <t>JÄMTLANDS LÄN</t>
        </is>
      </c>
      <c r="E325" t="inlineStr">
        <is>
          <t>RAGUNDA</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46048</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25027-2022</t>
        </is>
      </c>
      <c r="B327" s="1" t="n">
        <v>44728.94392361111</v>
      </c>
      <c r="C327" s="1" t="n">
        <v>46048</v>
      </c>
      <c r="D327" t="inlineStr">
        <is>
          <t>JÄMTLANDS LÄN</t>
        </is>
      </c>
      <c r="E327" t="inlineStr">
        <is>
          <t>RAGUNDA</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46048</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41062-2021</t>
        </is>
      </c>
      <c r="B329" s="1" t="n">
        <v>44421.97322916667</v>
      </c>
      <c r="C329" s="1" t="n">
        <v>46048</v>
      </c>
      <c r="D329" t="inlineStr">
        <is>
          <t>JÄMTLANDS LÄN</t>
        </is>
      </c>
      <c r="E329" t="inlineStr">
        <is>
          <t>RAGUNDA</t>
        </is>
      </c>
      <c r="F329" t="inlineStr">
        <is>
          <t>SCA</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25253-2022</t>
        </is>
      </c>
      <c r="B330" s="1" t="n">
        <v>44729.94136574074</v>
      </c>
      <c r="C330" s="1" t="n">
        <v>46048</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46048</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46048</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46048</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27399-2021</t>
        </is>
      </c>
      <c r="B334" s="1" t="n">
        <v>44351</v>
      </c>
      <c r="C334" s="1" t="n">
        <v>46048</v>
      </c>
      <c r="D334" t="inlineStr">
        <is>
          <t>JÄMTLANDS LÄN</t>
        </is>
      </c>
      <c r="E334" t="inlineStr">
        <is>
          <t>RAGUNDA</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46048</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46048</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35749-2022</t>
        </is>
      </c>
      <c r="B337" s="1" t="n">
        <v>44799.94394675926</v>
      </c>
      <c r="C337" s="1" t="n">
        <v>46048</v>
      </c>
      <c r="D337" t="inlineStr">
        <is>
          <t>JÄMTLANDS LÄN</t>
        </is>
      </c>
      <c r="E337" t="inlineStr">
        <is>
          <t>RAGUNDA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46048</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46048</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65424-2021</t>
        </is>
      </c>
      <c r="B340" s="1" t="n">
        <v>44515.93767361111</v>
      </c>
      <c r="C340" s="1" t="n">
        <v>46048</v>
      </c>
      <c r="D340" t="inlineStr">
        <is>
          <t>JÄMTLANDS LÄN</t>
        </is>
      </c>
      <c r="E340" t="inlineStr">
        <is>
          <t>RAGUNDA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46048</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42900-2022</t>
        </is>
      </c>
      <c r="B342" s="1" t="n">
        <v>44832.95435185185</v>
      </c>
      <c r="C342" s="1" t="n">
        <v>46048</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32780-2022</t>
        </is>
      </c>
      <c r="B343" s="1" t="n">
        <v>44783</v>
      </c>
      <c r="C343" s="1" t="n">
        <v>46048</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28597-2021</t>
        </is>
      </c>
      <c r="B344" s="1" t="n">
        <v>44356.91935185185</v>
      </c>
      <c r="C344" s="1" t="n">
        <v>46048</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46048</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46048</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3796-2022</t>
        </is>
      </c>
      <c r="B347" s="1" t="n">
        <v>44586</v>
      </c>
      <c r="C347" s="1" t="n">
        <v>46048</v>
      </c>
      <c r="D347" t="inlineStr">
        <is>
          <t>JÄMTLANDS LÄN</t>
        </is>
      </c>
      <c r="E347" t="inlineStr">
        <is>
          <t>RAGUNDA</t>
        </is>
      </c>
      <c r="G347" t="n">
        <v>1.2</v>
      </c>
      <c r="H347" t="n">
        <v>0</v>
      </c>
      <c r="I347" t="n">
        <v>0</v>
      </c>
      <c r="J347" t="n">
        <v>0</v>
      </c>
      <c r="K347" t="n">
        <v>0</v>
      </c>
      <c r="L347" t="n">
        <v>0</v>
      </c>
      <c r="M347" t="n">
        <v>0</v>
      </c>
      <c r="N347" t="n">
        <v>0</v>
      </c>
      <c r="O347" t="n">
        <v>0</v>
      </c>
      <c r="P347" t="n">
        <v>0</v>
      </c>
      <c r="Q347" t="n">
        <v>0</v>
      </c>
      <c r="R347" s="2" t="inlineStr"/>
    </row>
    <row r="348" ht="15" customHeight="1">
      <c r="A348" t="inlineStr">
        <is>
          <t>A 44247-2021</t>
        </is>
      </c>
      <c r="B348" s="1" t="n">
        <v>44434.94559027778</v>
      </c>
      <c r="C348" s="1" t="n">
        <v>46048</v>
      </c>
      <c r="D348" t="inlineStr">
        <is>
          <t>JÄMTLANDS LÄN</t>
        </is>
      </c>
      <c r="E348" t="inlineStr">
        <is>
          <t>RAGUNDA</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46048</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49904-2022</t>
        </is>
      </c>
      <c r="B350" s="1" t="n">
        <v>44864.94835648148</v>
      </c>
      <c r="C350" s="1" t="n">
        <v>46048</v>
      </c>
      <c r="D350" t="inlineStr">
        <is>
          <t>JÄMTLANDS LÄN</t>
        </is>
      </c>
      <c r="E350" t="inlineStr">
        <is>
          <t>RAGUNDA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46048</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19595-2021</t>
        </is>
      </c>
      <c r="B352" s="1" t="n">
        <v>44308</v>
      </c>
      <c r="C352" s="1" t="n">
        <v>46048</v>
      </c>
      <c r="D352" t="inlineStr">
        <is>
          <t>JÄMTLANDS LÄN</t>
        </is>
      </c>
      <c r="E352" t="inlineStr">
        <is>
          <t>RAGUNDA</t>
        </is>
      </c>
      <c r="G352" t="n">
        <v>5.4</v>
      </c>
      <c r="H352" t="n">
        <v>0</v>
      </c>
      <c r="I352" t="n">
        <v>0</v>
      </c>
      <c r="J352" t="n">
        <v>0</v>
      </c>
      <c r="K352" t="n">
        <v>0</v>
      </c>
      <c r="L352" t="n">
        <v>0</v>
      </c>
      <c r="M352" t="n">
        <v>0</v>
      </c>
      <c r="N352" t="n">
        <v>0</v>
      </c>
      <c r="O352" t="n">
        <v>0</v>
      </c>
      <c r="P352" t="n">
        <v>0</v>
      </c>
      <c r="Q352" t="n">
        <v>0</v>
      </c>
      <c r="R352" s="2" t="inlineStr"/>
    </row>
    <row r="353" ht="15" customHeight="1">
      <c r="A353" t="inlineStr">
        <is>
          <t>A 24741-2022</t>
        </is>
      </c>
      <c r="B353" s="1" t="n">
        <v>44727</v>
      </c>
      <c r="C353" s="1" t="n">
        <v>46048</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33279-2022</t>
        </is>
      </c>
      <c r="B354" s="1" t="n">
        <v>44788</v>
      </c>
      <c r="C354" s="1" t="n">
        <v>46048</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47567-2022</t>
        </is>
      </c>
      <c r="B355" s="1" t="n">
        <v>44853</v>
      </c>
      <c r="C355" s="1" t="n">
        <v>46048</v>
      </c>
      <c r="D355" t="inlineStr">
        <is>
          <t>JÄMTLANDS LÄN</t>
        </is>
      </c>
      <c r="E355" t="inlineStr">
        <is>
          <t>RAGUNDA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48536-2022</t>
        </is>
      </c>
      <c r="B356" s="1" t="n">
        <v>44858</v>
      </c>
      <c r="C356" s="1" t="n">
        <v>46048</v>
      </c>
      <c r="D356" t="inlineStr">
        <is>
          <t>JÄMTLANDS LÄN</t>
        </is>
      </c>
      <c r="E356" t="inlineStr">
        <is>
          <t>RAGUNDA</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41613-2021</t>
        </is>
      </c>
      <c r="B357" s="1" t="n">
        <v>44425</v>
      </c>
      <c r="C357" s="1" t="n">
        <v>46048</v>
      </c>
      <c r="D357" t="inlineStr">
        <is>
          <t>JÄMTLANDS LÄN</t>
        </is>
      </c>
      <c r="E357" t="inlineStr">
        <is>
          <t>RAGUNDA</t>
        </is>
      </c>
      <c r="F357" t="inlineStr">
        <is>
          <t>Kommuner</t>
        </is>
      </c>
      <c r="G357" t="n">
        <v>1.5</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46048</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38733-2022</t>
        </is>
      </c>
      <c r="B359" s="1" t="n">
        <v>44815</v>
      </c>
      <c r="C359" s="1" t="n">
        <v>46048</v>
      </c>
      <c r="D359" t="inlineStr">
        <is>
          <t>JÄMTLANDS LÄN</t>
        </is>
      </c>
      <c r="E359" t="inlineStr">
        <is>
          <t>RAGUNDA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2336-2022</t>
        </is>
      </c>
      <c r="B360" s="1" t="n">
        <v>44578.92284722222</v>
      </c>
      <c r="C360" s="1" t="n">
        <v>46048</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46048</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36941-2022</t>
        </is>
      </c>
      <c r="B362" s="1" t="n">
        <v>44805</v>
      </c>
      <c r="C362" s="1" t="n">
        <v>46048</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46048</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20548-2021</t>
        </is>
      </c>
      <c r="B364" s="1" t="n">
        <v>44315</v>
      </c>
      <c r="C364" s="1" t="n">
        <v>46048</v>
      </c>
      <c r="D364" t="inlineStr">
        <is>
          <t>JÄMTLANDS LÄN</t>
        </is>
      </c>
      <c r="E364" t="inlineStr">
        <is>
          <t>RAGUNDA</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49530-2022</t>
        </is>
      </c>
      <c r="B365" s="1" t="n">
        <v>44861</v>
      </c>
      <c r="C365" s="1" t="n">
        <v>46048</v>
      </c>
      <c r="D365" t="inlineStr">
        <is>
          <t>JÄMTLANDS LÄN</t>
        </is>
      </c>
      <c r="E365" t="inlineStr">
        <is>
          <t>RAGUNDA</t>
        </is>
      </c>
      <c r="F365" t="inlineStr">
        <is>
          <t>SCA</t>
        </is>
      </c>
      <c r="G365" t="n">
        <v>13.4</v>
      </c>
      <c r="H365" t="n">
        <v>0</v>
      </c>
      <c r="I365" t="n">
        <v>0</v>
      </c>
      <c r="J365" t="n">
        <v>0</v>
      </c>
      <c r="K365" t="n">
        <v>0</v>
      </c>
      <c r="L365" t="n">
        <v>0</v>
      </c>
      <c r="M365" t="n">
        <v>0</v>
      </c>
      <c r="N365" t="n">
        <v>0</v>
      </c>
      <c r="O365" t="n">
        <v>0</v>
      </c>
      <c r="P365" t="n">
        <v>0</v>
      </c>
      <c r="Q365" t="n">
        <v>0</v>
      </c>
      <c r="R365" s="2" t="inlineStr"/>
    </row>
    <row r="366" ht="15" customHeight="1">
      <c r="A366" t="inlineStr">
        <is>
          <t>A 44241-2021</t>
        </is>
      </c>
      <c r="B366" s="1" t="n">
        <v>44434.94517361111</v>
      </c>
      <c r="C366" s="1" t="n">
        <v>46048</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46048</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39698-2022</t>
        </is>
      </c>
      <c r="B368" s="1" t="n">
        <v>44818</v>
      </c>
      <c r="C368" s="1" t="n">
        <v>46048</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43147-2022</t>
        </is>
      </c>
      <c r="B369" s="1" t="n">
        <v>44833.9519212963</v>
      </c>
      <c r="C369" s="1" t="n">
        <v>46048</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46048</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46048</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44831.9485300926</v>
      </c>
      <c r="C372" s="1" t="n">
        <v>46048</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46048</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37806-2021</t>
        </is>
      </c>
      <c r="B374" s="1" t="n">
        <v>44402.42243055555</v>
      </c>
      <c r="C374" s="1" t="n">
        <v>46048</v>
      </c>
      <c r="D374" t="inlineStr">
        <is>
          <t>JÄMTLANDS LÄN</t>
        </is>
      </c>
      <c r="E374" t="inlineStr">
        <is>
          <t>RAGUNDA</t>
        </is>
      </c>
      <c r="G374" t="n">
        <v>0.3</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46048</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46048</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46048</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46048</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47568-2022</t>
        </is>
      </c>
      <c r="B379" s="1" t="n">
        <v>44853.9499537037</v>
      </c>
      <c r="C379" s="1" t="n">
        <v>46048</v>
      </c>
      <c r="D379" t="inlineStr">
        <is>
          <t>JÄMTLANDS LÄN</t>
        </is>
      </c>
      <c r="E379" t="inlineStr">
        <is>
          <t>RAGUNDA</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10120-2022</t>
        </is>
      </c>
      <c r="B380" s="1" t="n">
        <v>44621</v>
      </c>
      <c r="C380" s="1" t="n">
        <v>46048</v>
      </c>
      <c r="D380" t="inlineStr">
        <is>
          <t>JÄMTLANDS LÄN</t>
        </is>
      </c>
      <c r="E380" t="inlineStr">
        <is>
          <t>RAGUNDA</t>
        </is>
      </c>
      <c r="G380" t="n">
        <v>0.4</v>
      </c>
      <c r="H380" t="n">
        <v>0</v>
      </c>
      <c r="I380" t="n">
        <v>0</v>
      </c>
      <c r="J380" t="n">
        <v>0</v>
      </c>
      <c r="K380" t="n">
        <v>0</v>
      </c>
      <c r="L380" t="n">
        <v>0</v>
      </c>
      <c r="M380" t="n">
        <v>0</v>
      </c>
      <c r="N380" t="n">
        <v>0</v>
      </c>
      <c r="O380" t="n">
        <v>0</v>
      </c>
      <c r="P380" t="n">
        <v>0</v>
      </c>
      <c r="Q380" t="n">
        <v>0</v>
      </c>
      <c r="R380" s="2" t="inlineStr"/>
    </row>
    <row r="381" ht="15" customHeight="1">
      <c r="A381" t="inlineStr">
        <is>
          <t>A 13964-2022</t>
        </is>
      </c>
      <c r="B381" s="1" t="n">
        <v>44650</v>
      </c>
      <c r="C381" s="1" t="n">
        <v>46048</v>
      </c>
      <c r="D381" t="inlineStr">
        <is>
          <t>JÄMTLANDS LÄN</t>
        </is>
      </c>
      <c r="E381" t="inlineStr">
        <is>
          <t>RAGUNDA</t>
        </is>
      </c>
      <c r="G381" t="n">
        <v>2.6</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46048</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46048</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9187-2022</t>
        </is>
      </c>
      <c r="B384" s="1" t="n">
        <v>44615</v>
      </c>
      <c r="C384" s="1" t="n">
        <v>46048</v>
      </c>
      <c r="D384" t="inlineStr">
        <is>
          <t>JÄMTLANDS LÄN</t>
        </is>
      </c>
      <c r="E384" t="inlineStr">
        <is>
          <t>RAGUNDA</t>
        </is>
      </c>
      <c r="G384" t="n">
        <v>2</v>
      </c>
      <c r="H384" t="n">
        <v>0</v>
      </c>
      <c r="I384" t="n">
        <v>0</v>
      </c>
      <c r="J384" t="n">
        <v>0</v>
      </c>
      <c r="K384" t="n">
        <v>0</v>
      </c>
      <c r="L384" t="n">
        <v>0</v>
      </c>
      <c r="M384" t="n">
        <v>0</v>
      </c>
      <c r="N384" t="n">
        <v>0</v>
      </c>
      <c r="O384" t="n">
        <v>0</v>
      </c>
      <c r="P384" t="n">
        <v>0</v>
      </c>
      <c r="Q384" t="n">
        <v>0</v>
      </c>
      <c r="R384" s="2" t="inlineStr"/>
    </row>
    <row r="385" ht="15" customHeight="1">
      <c r="A385" t="inlineStr">
        <is>
          <t>A 6177-2022</t>
        </is>
      </c>
      <c r="B385" s="1" t="n">
        <v>44599.98685185185</v>
      </c>
      <c r="C385" s="1" t="n">
        <v>46048</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46048</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46048</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44630-2023</t>
        </is>
      </c>
      <c r="B388" s="1" t="n">
        <v>45184</v>
      </c>
      <c r="C388" s="1" t="n">
        <v>46048</v>
      </c>
      <c r="D388" t="inlineStr">
        <is>
          <t>JÄMTLANDS LÄN</t>
        </is>
      </c>
      <c r="E388" t="inlineStr">
        <is>
          <t>RAGUNDA</t>
        </is>
      </c>
      <c r="G388" t="n">
        <v>3.4</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46048</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15664-2022</t>
        </is>
      </c>
      <c r="B390" s="1" t="n">
        <v>44662</v>
      </c>
      <c r="C390" s="1" t="n">
        <v>46048</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21984-2022</t>
        </is>
      </c>
      <c r="B391" s="1" t="n">
        <v>44704</v>
      </c>
      <c r="C391" s="1" t="n">
        <v>46048</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46048</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21195-2022</t>
        </is>
      </c>
      <c r="B393" s="1" t="n">
        <v>44704.94229166667</v>
      </c>
      <c r="C393" s="1" t="n">
        <v>46048</v>
      </c>
      <c r="D393" t="inlineStr">
        <is>
          <t>JÄMTLANDS LÄN</t>
        </is>
      </c>
      <c r="E393" t="inlineStr">
        <is>
          <t>RAGUNDA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49531-2022</t>
        </is>
      </c>
      <c r="B394" s="1" t="n">
        <v>44861</v>
      </c>
      <c r="C394" s="1" t="n">
        <v>46048</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18341-2022</t>
        </is>
      </c>
      <c r="B395" s="1" t="n">
        <v>44685</v>
      </c>
      <c r="C395" s="1" t="n">
        <v>46048</v>
      </c>
      <c r="D395" t="inlineStr">
        <is>
          <t>JÄMTLANDS LÄN</t>
        </is>
      </c>
      <c r="E395" t="inlineStr">
        <is>
          <t>RAGUNDA</t>
        </is>
      </c>
      <c r="G395" t="n">
        <v>0.2</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46048</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9185-2022</t>
        </is>
      </c>
      <c r="B397" s="1" t="n">
        <v>44615</v>
      </c>
      <c r="C397" s="1" t="n">
        <v>46048</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14156-2024</t>
        </is>
      </c>
      <c r="B398" s="1" t="n">
        <v>45392</v>
      </c>
      <c r="C398" s="1" t="n">
        <v>46048</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14157-2024</t>
        </is>
      </c>
      <c r="B399" s="1" t="n">
        <v>45392.92903935185</v>
      </c>
      <c r="C399" s="1" t="n">
        <v>46048</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46048</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22731-2023</t>
        </is>
      </c>
      <c r="B401" s="1" t="n">
        <v>45071</v>
      </c>
      <c r="C401" s="1" t="n">
        <v>46048</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11245-2025</t>
        </is>
      </c>
      <c r="B402" s="1" t="n">
        <v>45726.38575231482</v>
      </c>
      <c r="C402" s="1" t="n">
        <v>46048</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61923-2024</t>
        </is>
      </c>
      <c r="B403" s="1" t="n">
        <v>45653.44836805556</v>
      </c>
      <c r="C403" s="1" t="n">
        <v>46048</v>
      </c>
      <c r="D403" t="inlineStr">
        <is>
          <t>JÄMTLANDS LÄN</t>
        </is>
      </c>
      <c r="E403" t="inlineStr">
        <is>
          <t>RAGUNDA</t>
        </is>
      </c>
      <c r="F403" t="inlineStr">
        <is>
          <t>SCA</t>
        </is>
      </c>
      <c r="G403" t="n">
        <v>11.1</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46048</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46048</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23567-2024</t>
        </is>
      </c>
      <c r="B406" s="1" t="n">
        <v>45453.95538194444</v>
      </c>
      <c r="C406" s="1" t="n">
        <v>46048</v>
      </c>
      <c r="D406" t="inlineStr">
        <is>
          <t>JÄMTLANDS LÄN</t>
        </is>
      </c>
      <c r="E406" t="inlineStr">
        <is>
          <t>RAGUNDA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19246-2023</t>
        </is>
      </c>
      <c r="B407" s="1" t="n">
        <v>45048.94340277778</v>
      </c>
      <c r="C407" s="1" t="n">
        <v>46048</v>
      </c>
      <c r="D407" t="inlineStr">
        <is>
          <t>JÄMTLANDS LÄN</t>
        </is>
      </c>
      <c r="E407" t="inlineStr">
        <is>
          <t>RAGUNDA</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60957-2021</t>
        </is>
      </c>
      <c r="B408" s="1" t="n">
        <v>44496</v>
      </c>
      <c r="C408" s="1" t="n">
        <v>46048</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61109-2024</t>
        </is>
      </c>
      <c r="B409" s="1" t="n">
        <v>45645.55672453704</v>
      </c>
      <c r="C409" s="1" t="n">
        <v>46048</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46048</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46048</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58955-2024</t>
        </is>
      </c>
      <c r="B412" s="1" t="n">
        <v>45636.57329861111</v>
      </c>
      <c r="C412" s="1" t="n">
        <v>46048</v>
      </c>
      <c r="D412" t="inlineStr">
        <is>
          <t>JÄMTLANDS LÄN</t>
        </is>
      </c>
      <c r="E412" t="inlineStr">
        <is>
          <t>RAGUNDA</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46048</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46048</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33877-2023</t>
        </is>
      </c>
      <c r="B415" s="1" t="n">
        <v>45133</v>
      </c>
      <c r="C415" s="1" t="n">
        <v>46048</v>
      </c>
      <c r="D415" t="inlineStr">
        <is>
          <t>JÄMTLANDS LÄN</t>
        </is>
      </c>
      <c r="E415" t="inlineStr">
        <is>
          <t>RAGUNDA</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4882-2023</t>
        </is>
      </c>
      <c r="B416" s="1" t="n">
        <v>44957.94075231482</v>
      </c>
      <c r="C416" s="1" t="n">
        <v>46048</v>
      </c>
      <c r="D416" t="inlineStr">
        <is>
          <t>JÄMTLANDS LÄN</t>
        </is>
      </c>
      <c r="E416" t="inlineStr">
        <is>
          <t>RAGUNDA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46048</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46048</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46048</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5175-2023</t>
        </is>
      </c>
      <c r="B420" s="1" t="n">
        <v>44958.94298611111</v>
      </c>
      <c r="C420" s="1" t="n">
        <v>46048</v>
      </c>
      <c r="D420" t="inlineStr">
        <is>
          <t>JÄMTLANDS LÄN</t>
        </is>
      </c>
      <c r="E420" t="inlineStr">
        <is>
          <t>RAGUNDA</t>
        </is>
      </c>
      <c r="F420" t="inlineStr">
        <is>
          <t>SCA</t>
        </is>
      </c>
      <c r="G420" t="n">
        <v>17.9</v>
      </c>
      <c r="H420" t="n">
        <v>0</v>
      </c>
      <c r="I420" t="n">
        <v>0</v>
      </c>
      <c r="J420" t="n">
        <v>0</v>
      </c>
      <c r="K420" t="n">
        <v>0</v>
      </c>
      <c r="L420" t="n">
        <v>0</v>
      </c>
      <c r="M420" t="n">
        <v>0</v>
      </c>
      <c r="N420" t="n">
        <v>0</v>
      </c>
      <c r="O420" t="n">
        <v>0</v>
      </c>
      <c r="P420" t="n">
        <v>0</v>
      </c>
      <c r="Q420" t="n">
        <v>0</v>
      </c>
      <c r="R420" s="2" t="inlineStr"/>
    </row>
    <row r="421" ht="15" customHeight="1">
      <c r="A421" t="inlineStr">
        <is>
          <t>A 62541-2022</t>
        </is>
      </c>
      <c r="B421" s="1" t="n">
        <v>44917</v>
      </c>
      <c r="C421" s="1" t="n">
        <v>46048</v>
      </c>
      <c r="D421" t="inlineStr">
        <is>
          <t>JÄMTLANDS LÄN</t>
        </is>
      </c>
      <c r="E421" t="inlineStr">
        <is>
          <t>RAGUNDA</t>
        </is>
      </c>
      <c r="G421" t="n">
        <v>2.6</v>
      </c>
      <c r="H421" t="n">
        <v>0</v>
      </c>
      <c r="I421" t="n">
        <v>0</v>
      </c>
      <c r="J421" t="n">
        <v>0</v>
      </c>
      <c r="K421" t="n">
        <v>0</v>
      </c>
      <c r="L421" t="n">
        <v>0</v>
      </c>
      <c r="M421" t="n">
        <v>0</v>
      </c>
      <c r="N421" t="n">
        <v>0</v>
      </c>
      <c r="O421" t="n">
        <v>0</v>
      </c>
      <c r="P421" t="n">
        <v>0</v>
      </c>
      <c r="Q421" t="n">
        <v>0</v>
      </c>
      <c r="R421" s="2" t="inlineStr"/>
    </row>
    <row r="422" ht="15" customHeight="1">
      <c r="A422" t="inlineStr">
        <is>
          <t>A 14896-2022</t>
        </is>
      </c>
      <c r="B422" s="1" t="n">
        <v>44656</v>
      </c>
      <c r="C422" s="1" t="n">
        <v>46048</v>
      </c>
      <c r="D422" t="inlineStr">
        <is>
          <t>JÄMTLANDS LÄN</t>
        </is>
      </c>
      <c r="E422" t="inlineStr">
        <is>
          <t>RAGUNDA</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20574-2025</t>
        </is>
      </c>
      <c r="B423" s="1" t="n">
        <v>45775.67747685185</v>
      </c>
      <c r="C423" s="1" t="n">
        <v>46048</v>
      </c>
      <c r="D423" t="inlineStr">
        <is>
          <t>JÄMTLANDS LÄN</t>
        </is>
      </c>
      <c r="E423" t="inlineStr">
        <is>
          <t>RAGUNDA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9567-2025</t>
        </is>
      </c>
      <c r="B424" s="1" t="n">
        <v>45715.61523148148</v>
      </c>
      <c r="C424" s="1" t="n">
        <v>46048</v>
      </c>
      <c r="D424" t="inlineStr">
        <is>
          <t>JÄMTLANDS LÄN</t>
        </is>
      </c>
      <c r="E424" t="inlineStr">
        <is>
          <t>RAGUNDA</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21661-2023</t>
        </is>
      </c>
      <c r="B425" s="1" t="n">
        <v>45063</v>
      </c>
      <c r="C425" s="1" t="n">
        <v>46048</v>
      </c>
      <c r="D425" t="inlineStr">
        <is>
          <t>JÄMTLANDS LÄN</t>
        </is>
      </c>
      <c r="E425" t="inlineStr">
        <is>
          <t>RAGUNDA</t>
        </is>
      </c>
      <c r="G425" t="n">
        <v>1.5</v>
      </c>
      <c r="H425" t="n">
        <v>0</v>
      </c>
      <c r="I425" t="n">
        <v>0</v>
      </c>
      <c r="J425" t="n">
        <v>0</v>
      </c>
      <c r="K425" t="n">
        <v>0</v>
      </c>
      <c r="L425" t="n">
        <v>0</v>
      </c>
      <c r="M425" t="n">
        <v>0</v>
      </c>
      <c r="N425" t="n">
        <v>0</v>
      </c>
      <c r="O425" t="n">
        <v>0</v>
      </c>
      <c r="P425" t="n">
        <v>0</v>
      </c>
      <c r="Q425" t="n">
        <v>0</v>
      </c>
      <c r="R425" s="2" t="inlineStr"/>
    </row>
    <row r="426" ht="15" customHeight="1">
      <c r="A426" t="inlineStr">
        <is>
          <t>A 58537-2022</t>
        </is>
      </c>
      <c r="B426" s="1" t="n">
        <v>44894</v>
      </c>
      <c r="C426" s="1" t="n">
        <v>46048</v>
      </c>
      <c r="D426" t="inlineStr">
        <is>
          <t>JÄMTLANDS LÄN</t>
        </is>
      </c>
      <c r="E426" t="inlineStr">
        <is>
          <t>RAGUNDA</t>
        </is>
      </c>
      <c r="G426" t="n">
        <v>1.2</v>
      </c>
      <c r="H426" t="n">
        <v>0</v>
      </c>
      <c r="I426" t="n">
        <v>0</v>
      </c>
      <c r="J426" t="n">
        <v>0</v>
      </c>
      <c r="K426" t="n">
        <v>0</v>
      </c>
      <c r="L426" t="n">
        <v>0</v>
      </c>
      <c r="M426" t="n">
        <v>0</v>
      </c>
      <c r="N426" t="n">
        <v>0</v>
      </c>
      <c r="O426" t="n">
        <v>0</v>
      </c>
      <c r="P426" t="n">
        <v>0</v>
      </c>
      <c r="Q426" t="n">
        <v>0</v>
      </c>
      <c r="R426" s="2" t="inlineStr"/>
    </row>
    <row r="427" ht="15" customHeight="1">
      <c r="A427" t="inlineStr">
        <is>
          <t>A 35153-2024</t>
        </is>
      </c>
      <c r="B427" s="1" t="n">
        <v>45530</v>
      </c>
      <c r="C427" s="1" t="n">
        <v>46048</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36246-2024</t>
        </is>
      </c>
      <c r="B428" s="1" t="n">
        <v>45534</v>
      </c>
      <c r="C428" s="1" t="n">
        <v>46048</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31972-2022</t>
        </is>
      </c>
      <c r="B429" s="1" t="n">
        <v>44777.95504629629</v>
      </c>
      <c r="C429" s="1" t="n">
        <v>46048</v>
      </c>
      <c r="D429" t="inlineStr">
        <is>
          <t>JÄMTLANDS LÄN</t>
        </is>
      </c>
      <c r="E429" t="inlineStr">
        <is>
          <t>RAGUNDA</t>
        </is>
      </c>
      <c r="F429" t="inlineStr">
        <is>
          <t>Naturvårdsverket</t>
        </is>
      </c>
      <c r="G429" t="n">
        <v>0.8</v>
      </c>
      <c r="H429" t="n">
        <v>0</v>
      </c>
      <c r="I429" t="n">
        <v>0</v>
      </c>
      <c r="J429" t="n">
        <v>0</v>
      </c>
      <c r="K429" t="n">
        <v>0</v>
      </c>
      <c r="L429" t="n">
        <v>0</v>
      </c>
      <c r="M429" t="n">
        <v>0</v>
      </c>
      <c r="N429" t="n">
        <v>0</v>
      </c>
      <c r="O429" t="n">
        <v>0</v>
      </c>
      <c r="P429" t="n">
        <v>0</v>
      </c>
      <c r="Q429" t="n">
        <v>0</v>
      </c>
      <c r="R429" s="2" t="inlineStr"/>
    </row>
    <row r="430" ht="15" customHeight="1">
      <c r="A430" t="inlineStr">
        <is>
          <t>A 48086-2022</t>
        </is>
      </c>
      <c r="B430" s="1" t="n">
        <v>44855.9471875</v>
      </c>
      <c r="C430" s="1" t="n">
        <v>46048</v>
      </c>
      <c r="D430" t="inlineStr">
        <is>
          <t>JÄMTLANDS LÄN</t>
        </is>
      </c>
      <c r="E430" t="inlineStr">
        <is>
          <t>RAGUNDA</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13276-2025</t>
        </is>
      </c>
      <c r="B431" s="1" t="n">
        <v>45735.5517824074</v>
      </c>
      <c r="C431" s="1" t="n">
        <v>46048</v>
      </c>
      <c r="D431" t="inlineStr">
        <is>
          <t>JÄMTLANDS LÄN</t>
        </is>
      </c>
      <c r="E431" t="inlineStr">
        <is>
          <t>RAGUNDA</t>
        </is>
      </c>
      <c r="G431" t="n">
        <v>16.6</v>
      </c>
      <c r="H431" t="n">
        <v>0</v>
      </c>
      <c r="I431" t="n">
        <v>0</v>
      </c>
      <c r="J431" t="n">
        <v>0</v>
      </c>
      <c r="K431" t="n">
        <v>0</v>
      </c>
      <c r="L431" t="n">
        <v>0</v>
      </c>
      <c r="M431" t="n">
        <v>0</v>
      </c>
      <c r="N431" t="n">
        <v>0</v>
      </c>
      <c r="O431" t="n">
        <v>0</v>
      </c>
      <c r="P431" t="n">
        <v>0</v>
      </c>
      <c r="Q431" t="n">
        <v>0</v>
      </c>
      <c r="R431" s="2" t="inlineStr"/>
    </row>
    <row r="432" ht="15" customHeight="1">
      <c r="A432" t="inlineStr">
        <is>
          <t>A 24196-2024</t>
        </is>
      </c>
      <c r="B432" s="1" t="n">
        <v>45456.96569444444</v>
      </c>
      <c r="C432" s="1" t="n">
        <v>46048</v>
      </c>
      <c r="D432" t="inlineStr">
        <is>
          <t>JÄMTLANDS LÄN</t>
        </is>
      </c>
      <c r="E432" t="inlineStr">
        <is>
          <t>RAGUNDA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11558-2023</t>
        </is>
      </c>
      <c r="B433" s="1" t="n">
        <v>44993.94958333333</v>
      </c>
      <c r="C433" s="1" t="n">
        <v>46048</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45335-2023</t>
        </is>
      </c>
      <c r="B434" s="1" t="n">
        <v>45191</v>
      </c>
      <c r="C434" s="1" t="n">
        <v>46048</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16635-2025</t>
        </is>
      </c>
      <c r="B435" s="1" t="n">
        <v>45754</v>
      </c>
      <c r="C435" s="1" t="n">
        <v>46048</v>
      </c>
      <c r="D435" t="inlineStr">
        <is>
          <t>JÄMTLANDS LÄN</t>
        </is>
      </c>
      <c r="E435" t="inlineStr">
        <is>
          <t>RAGUNDA</t>
        </is>
      </c>
      <c r="F435" t="inlineStr">
        <is>
          <t>SCA</t>
        </is>
      </c>
      <c r="G435" t="n">
        <v>55.4</v>
      </c>
      <c r="H435" t="n">
        <v>0</v>
      </c>
      <c r="I435" t="n">
        <v>0</v>
      </c>
      <c r="J435" t="n">
        <v>0</v>
      </c>
      <c r="K435" t="n">
        <v>0</v>
      </c>
      <c r="L435" t="n">
        <v>0</v>
      </c>
      <c r="M435" t="n">
        <v>0</v>
      </c>
      <c r="N435" t="n">
        <v>0</v>
      </c>
      <c r="O435" t="n">
        <v>0</v>
      </c>
      <c r="P435" t="n">
        <v>0</v>
      </c>
      <c r="Q435" t="n">
        <v>0</v>
      </c>
      <c r="R435" s="2" t="inlineStr"/>
    </row>
    <row r="436" ht="15" customHeight="1">
      <c r="A436" t="inlineStr">
        <is>
          <t>A 20773-2024</t>
        </is>
      </c>
      <c r="B436" s="1" t="n">
        <v>45436.94636574074</v>
      </c>
      <c r="C436" s="1" t="n">
        <v>46048</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4014-2022</t>
        </is>
      </c>
      <c r="B437" s="1" t="n">
        <v>44587.92144675926</v>
      </c>
      <c r="C437" s="1" t="n">
        <v>46048</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34323-2023</t>
        </is>
      </c>
      <c r="B438" s="1" t="n">
        <v>45138.94925925926</v>
      </c>
      <c r="C438" s="1" t="n">
        <v>46048</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55487-2023</t>
        </is>
      </c>
      <c r="B439" s="1" t="n">
        <v>45238</v>
      </c>
      <c r="C439" s="1" t="n">
        <v>46048</v>
      </c>
      <c r="D439" t="inlineStr">
        <is>
          <t>JÄMTLANDS LÄN</t>
        </is>
      </c>
      <c r="E439" t="inlineStr">
        <is>
          <t>RAGUNDA</t>
        </is>
      </c>
      <c r="G439" t="n">
        <v>3</v>
      </c>
      <c r="H439" t="n">
        <v>0</v>
      </c>
      <c r="I439" t="n">
        <v>0</v>
      </c>
      <c r="J439" t="n">
        <v>0</v>
      </c>
      <c r="K439" t="n">
        <v>0</v>
      </c>
      <c r="L439" t="n">
        <v>0</v>
      </c>
      <c r="M439" t="n">
        <v>0</v>
      </c>
      <c r="N439" t="n">
        <v>0</v>
      </c>
      <c r="O439" t="n">
        <v>0</v>
      </c>
      <c r="P439" t="n">
        <v>0</v>
      </c>
      <c r="Q439" t="n">
        <v>0</v>
      </c>
      <c r="R439" s="2" t="inlineStr"/>
    </row>
    <row r="440" ht="15" customHeight="1">
      <c r="A440" t="inlineStr">
        <is>
          <t>A 18454-2021</t>
        </is>
      </c>
      <c r="B440" s="1" t="n">
        <v>44305.92047453704</v>
      </c>
      <c r="C440" s="1" t="n">
        <v>46048</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1554-2024</t>
        </is>
      </c>
      <c r="B441" s="1" t="n">
        <v>45306</v>
      </c>
      <c r="C441" s="1" t="n">
        <v>46048</v>
      </c>
      <c r="D441" t="inlineStr">
        <is>
          <t>JÄMTLANDS LÄN</t>
        </is>
      </c>
      <c r="E441" t="inlineStr">
        <is>
          <t>RAGUNDA</t>
        </is>
      </c>
      <c r="G441" t="n">
        <v>4.3</v>
      </c>
      <c r="H441" t="n">
        <v>0</v>
      </c>
      <c r="I441" t="n">
        <v>0</v>
      </c>
      <c r="J441" t="n">
        <v>0</v>
      </c>
      <c r="K441" t="n">
        <v>0</v>
      </c>
      <c r="L441" t="n">
        <v>0</v>
      </c>
      <c r="M441" t="n">
        <v>0</v>
      </c>
      <c r="N441" t="n">
        <v>0</v>
      </c>
      <c r="O441" t="n">
        <v>0</v>
      </c>
      <c r="P441" t="n">
        <v>0</v>
      </c>
      <c r="Q441" t="n">
        <v>0</v>
      </c>
      <c r="R441" s="2" t="inlineStr"/>
    </row>
    <row r="442" ht="15" customHeight="1">
      <c r="A442" t="inlineStr">
        <is>
          <t>A 9360-2023</t>
        </is>
      </c>
      <c r="B442" s="1" t="n">
        <v>44980.93865740741</v>
      </c>
      <c r="C442" s="1" t="n">
        <v>46048</v>
      </c>
      <c r="D442" t="inlineStr">
        <is>
          <t>JÄMTLANDS LÄN</t>
        </is>
      </c>
      <c r="E442" t="inlineStr">
        <is>
          <t>RAGUNDA</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13767-2022</t>
        </is>
      </c>
      <c r="B443" s="1" t="n">
        <v>44649.47048611111</v>
      </c>
      <c r="C443" s="1" t="n">
        <v>46048</v>
      </c>
      <c r="D443" t="inlineStr">
        <is>
          <t>JÄMTLANDS LÄN</t>
        </is>
      </c>
      <c r="E443" t="inlineStr">
        <is>
          <t>RAGUNDA</t>
        </is>
      </c>
      <c r="F443" t="inlineStr">
        <is>
          <t>Kommuner</t>
        </is>
      </c>
      <c r="G443" t="n">
        <v>3.1</v>
      </c>
      <c r="H443" t="n">
        <v>0</v>
      </c>
      <c r="I443" t="n">
        <v>0</v>
      </c>
      <c r="J443" t="n">
        <v>0</v>
      </c>
      <c r="K443" t="n">
        <v>0</v>
      </c>
      <c r="L443" t="n">
        <v>0</v>
      </c>
      <c r="M443" t="n">
        <v>0</v>
      </c>
      <c r="N443" t="n">
        <v>0</v>
      </c>
      <c r="O443" t="n">
        <v>0</v>
      </c>
      <c r="P443" t="n">
        <v>0</v>
      </c>
      <c r="Q443" t="n">
        <v>0</v>
      </c>
      <c r="R443" s="2" t="inlineStr"/>
    </row>
    <row r="444" ht="15" customHeight="1">
      <c r="A444" t="inlineStr">
        <is>
          <t>A 1308-2025</t>
        </is>
      </c>
      <c r="B444" s="1" t="n">
        <v>45667.55239583334</v>
      </c>
      <c r="C444" s="1" t="n">
        <v>46048</v>
      </c>
      <c r="D444" t="inlineStr">
        <is>
          <t>JÄMTLANDS LÄN</t>
        </is>
      </c>
      <c r="E444" t="inlineStr">
        <is>
          <t>RAGUNDA</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69153-2021</t>
        </is>
      </c>
      <c r="B445" s="1" t="n">
        <v>44530.94694444445</v>
      </c>
      <c r="C445" s="1" t="n">
        <v>46048</v>
      </c>
      <c r="D445" t="inlineStr">
        <is>
          <t>JÄMTLANDS LÄN</t>
        </is>
      </c>
      <c r="E445" t="inlineStr">
        <is>
          <t>RAGUNDA</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38782-2021</t>
        </is>
      </c>
      <c r="B446" s="1" t="n">
        <v>44410</v>
      </c>
      <c r="C446" s="1" t="n">
        <v>46048</v>
      </c>
      <c r="D446" t="inlineStr">
        <is>
          <t>JÄMTLANDS LÄN</t>
        </is>
      </c>
      <c r="E446" t="inlineStr">
        <is>
          <t>RAGUNDA</t>
        </is>
      </c>
      <c r="G446" t="n">
        <v>3.2</v>
      </c>
      <c r="H446" t="n">
        <v>0</v>
      </c>
      <c r="I446" t="n">
        <v>0</v>
      </c>
      <c r="J446" t="n">
        <v>0</v>
      </c>
      <c r="K446" t="n">
        <v>0</v>
      </c>
      <c r="L446" t="n">
        <v>0</v>
      </c>
      <c r="M446" t="n">
        <v>0</v>
      </c>
      <c r="N446" t="n">
        <v>0</v>
      </c>
      <c r="O446" t="n">
        <v>0</v>
      </c>
      <c r="P446" t="n">
        <v>0</v>
      </c>
      <c r="Q446" t="n">
        <v>0</v>
      </c>
      <c r="R446" s="2" t="inlineStr"/>
    </row>
    <row r="447" ht="15" customHeight="1">
      <c r="A447" t="inlineStr">
        <is>
          <t>A 11252-2025</t>
        </is>
      </c>
      <c r="B447" s="1" t="n">
        <v>45726.38615740741</v>
      </c>
      <c r="C447" s="1" t="n">
        <v>46048</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12585-2024</t>
        </is>
      </c>
      <c r="B448" s="1" t="n">
        <v>45379.93637731481</v>
      </c>
      <c r="C448" s="1" t="n">
        <v>46048</v>
      </c>
      <c r="D448" t="inlineStr">
        <is>
          <t>JÄMTLANDS LÄN</t>
        </is>
      </c>
      <c r="E448" t="inlineStr">
        <is>
          <t>RAGUNDA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55489-2024</t>
        </is>
      </c>
      <c r="B449" s="1" t="n">
        <v>45622.44774305556</v>
      </c>
      <c r="C449" s="1" t="n">
        <v>46048</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22569-2023</t>
        </is>
      </c>
      <c r="B450" s="1" t="n">
        <v>45069</v>
      </c>
      <c r="C450" s="1" t="n">
        <v>46048</v>
      </c>
      <c r="D450" t="inlineStr">
        <is>
          <t>JÄMTLANDS LÄN</t>
        </is>
      </c>
      <c r="E450" t="inlineStr">
        <is>
          <t>RAGUNDA</t>
        </is>
      </c>
      <c r="G450" t="n">
        <v>6.6</v>
      </c>
      <c r="H450" t="n">
        <v>0</v>
      </c>
      <c r="I450" t="n">
        <v>0</v>
      </c>
      <c r="J450" t="n">
        <v>0</v>
      </c>
      <c r="K450" t="n">
        <v>0</v>
      </c>
      <c r="L450" t="n">
        <v>0</v>
      </c>
      <c r="M450" t="n">
        <v>0</v>
      </c>
      <c r="N450" t="n">
        <v>0</v>
      </c>
      <c r="O450" t="n">
        <v>0</v>
      </c>
      <c r="P450" t="n">
        <v>0</v>
      </c>
      <c r="Q450" t="n">
        <v>0</v>
      </c>
      <c r="R450" s="2" t="inlineStr"/>
    </row>
    <row r="451" ht="15" customHeight="1">
      <c r="A451" t="inlineStr">
        <is>
          <t>A 20728-2025</t>
        </is>
      </c>
      <c r="B451" s="1" t="n">
        <v>45776.51130787037</v>
      </c>
      <c r="C451" s="1" t="n">
        <v>46048</v>
      </c>
      <c r="D451" t="inlineStr">
        <is>
          <t>JÄMTLANDS LÄN</t>
        </is>
      </c>
      <c r="E451" t="inlineStr">
        <is>
          <t>RAGUNDA</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18631-2024</t>
        </is>
      </c>
      <c r="B452" s="1" t="n">
        <v>45425.96494212963</v>
      </c>
      <c r="C452" s="1" t="n">
        <v>46048</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26646-2023</t>
        </is>
      </c>
      <c r="B453" s="1" t="n">
        <v>45092</v>
      </c>
      <c r="C453" s="1" t="n">
        <v>46048</v>
      </c>
      <c r="D453" t="inlineStr">
        <is>
          <t>JÄMTLANDS LÄN</t>
        </is>
      </c>
      <c r="E453" t="inlineStr">
        <is>
          <t>RAGUNDA</t>
        </is>
      </c>
      <c r="G453" t="n">
        <v>1.4</v>
      </c>
      <c r="H453" t="n">
        <v>0</v>
      </c>
      <c r="I453" t="n">
        <v>0</v>
      </c>
      <c r="J453" t="n">
        <v>0</v>
      </c>
      <c r="K453" t="n">
        <v>0</v>
      </c>
      <c r="L453" t="n">
        <v>0</v>
      </c>
      <c r="M453" t="n">
        <v>0</v>
      </c>
      <c r="N453" t="n">
        <v>0</v>
      </c>
      <c r="O453" t="n">
        <v>0</v>
      </c>
      <c r="P453" t="n">
        <v>0</v>
      </c>
      <c r="Q453" t="n">
        <v>0</v>
      </c>
      <c r="R453" s="2" t="inlineStr"/>
    </row>
    <row r="454" ht="15" customHeight="1">
      <c r="A454" t="inlineStr">
        <is>
          <t>A 43405-2023</t>
        </is>
      </c>
      <c r="B454" s="1" t="n">
        <v>45183.95563657407</v>
      </c>
      <c r="C454" s="1" t="n">
        <v>46048</v>
      </c>
      <c r="D454" t="inlineStr">
        <is>
          <t>JÄMTLANDS LÄN</t>
        </is>
      </c>
      <c r="E454" t="inlineStr">
        <is>
          <t>RAGUNDA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11048-2023</t>
        </is>
      </c>
      <c r="B455" s="1" t="n">
        <v>44991</v>
      </c>
      <c r="C455" s="1" t="n">
        <v>46048</v>
      </c>
      <c r="D455" t="inlineStr">
        <is>
          <t>JÄMTLANDS LÄN</t>
        </is>
      </c>
      <c r="E455" t="inlineStr">
        <is>
          <t>RAGUNDA</t>
        </is>
      </c>
      <c r="F455" t="inlineStr">
        <is>
          <t>SCA</t>
        </is>
      </c>
      <c r="G455" t="n">
        <v>13.5</v>
      </c>
      <c r="H455" t="n">
        <v>0</v>
      </c>
      <c r="I455" t="n">
        <v>0</v>
      </c>
      <c r="J455" t="n">
        <v>0</v>
      </c>
      <c r="K455" t="n">
        <v>0</v>
      </c>
      <c r="L455" t="n">
        <v>0</v>
      </c>
      <c r="M455" t="n">
        <v>0</v>
      </c>
      <c r="N455" t="n">
        <v>0</v>
      </c>
      <c r="O455" t="n">
        <v>0</v>
      </c>
      <c r="P455" t="n">
        <v>0</v>
      </c>
      <c r="Q455" t="n">
        <v>0</v>
      </c>
      <c r="R455" s="2" t="inlineStr"/>
    </row>
    <row r="456" ht="15" customHeight="1">
      <c r="A456" t="inlineStr">
        <is>
          <t>A 11062-2023</t>
        </is>
      </c>
      <c r="B456" s="1" t="n">
        <v>44991</v>
      </c>
      <c r="C456" s="1" t="n">
        <v>46048</v>
      </c>
      <c r="D456" t="inlineStr">
        <is>
          <t>JÄMTLANDS LÄN</t>
        </is>
      </c>
      <c r="E456" t="inlineStr">
        <is>
          <t>RAGUNDA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59496-2024</t>
        </is>
      </c>
      <c r="B457" s="1" t="n">
        <v>45638</v>
      </c>
      <c r="C457" s="1" t="n">
        <v>46048</v>
      </c>
      <c r="D457" t="inlineStr">
        <is>
          <t>JÄMTLANDS LÄN</t>
        </is>
      </c>
      <c r="E457" t="inlineStr">
        <is>
          <t>RAGUNDA</t>
        </is>
      </c>
      <c r="G457" t="n">
        <v>13.1</v>
      </c>
      <c r="H457" t="n">
        <v>0</v>
      </c>
      <c r="I457" t="n">
        <v>0</v>
      </c>
      <c r="J457" t="n">
        <v>0</v>
      </c>
      <c r="K457" t="n">
        <v>0</v>
      </c>
      <c r="L457" t="n">
        <v>0</v>
      </c>
      <c r="M457" t="n">
        <v>0</v>
      </c>
      <c r="N457" t="n">
        <v>0</v>
      </c>
      <c r="O457" t="n">
        <v>0</v>
      </c>
      <c r="P457" t="n">
        <v>0</v>
      </c>
      <c r="Q457" t="n">
        <v>0</v>
      </c>
      <c r="R457" s="2" t="inlineStr"/>
    </row>
    <row r="458" ht="15" customHeight="1">
      <c r="A458" t="inlineStr">
        <is>
          <t>A 50486-2023</t>
        </is>
      </c>
      <c r="B458" s="1" t="n">
        <v>45216.92424768519</v>
      </c>
      <c r="C458" s="1" t="n">
        <v>46048</v>
      </c>
      <c r="D458" t="inlineStr">
        <is>
          <t>JÄMTLANDS LÄN</t>
        </is>
      </c>
      <c r="E458" t="inlineStr">
        <is>
          <t>RAGUNDA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57064-2024</t>
        </is>
      </c>
      <c r="B459" s="1" t="n">
        <v>45629.35326388889</v>
      </c>
      <c r="C459" s="1" t="n">
        <v>46048</v>
      </c>
      <c r="D459" t="inlineStr">
        <is>
          <t>JÄMTLANDS LÄN</t>
        </is>
      </c>
      <c r="E459" t="inlineStr">
        <is>
          <t>RAGUNDA</t>
        </is>
      </c>
      <c r="F459" t="inlineStr">
        <is>
          <t>Naturvårdsverket</t>
        </is>
      </c>
      <c r="G459" t="n">
        <v>0.5</v>
      </c>
      <c r="H459" t="n">
        <v>0</v>
      </c>
      <c r="I459" t="n">
        <v>0</v>
      </c>
      <c r="J459" t="n">
        <v>0</v>
      </c>
      <c r="K459" t="n">
        <v>0</v>
      </c>
      <c r="L459" t="n">
        <v>0</v>
      </c>
      <c r="M459" t="n">
        <v>0</v>
      </c>
      <c r="N459" t="n">
        <v>0</v>
      </c>
      <c r="O459" t="n">
        <v>0</v>
      </c>
      <c r="P459" t="n">
        <v>0</v>
      </c>
      <c r="Q459" t="n">
        <v>0</v>
      </c>
      <c r="R459" s="2" t="inlineStr"/>
    </row>
    <row r="460" ht="15" customHeight="1">
      <c r="A460" t="inlineStr">
        <is>
          <t>A 62106-2023</t>
        </is>
      </c>
      <c r="B460" s="1" t="n">
        <v>45266.95082175926</v>
      </c>
      <c r="C460" s="1" t="n">
        <v>46048</v>
      </c>
      <c r="D460" t="inlineStr">
        <is>
          <t>JÄMTLANDS LÄN</t>
        </is>
      </c>
      <c r="E460" t="inlineStr">
        <is>
          <t>RAGUNDA</t>
        </is>
      </c>
      <c r="F460" t="inlineStr">
        <is>
          <t>SCA</t>
        </is>
      </c>
      <c r="G460" t="n">
        <v>6.6</v>
      </c>
      <c r="H460" t="n">
        <v>0</v>
      </c>
      <c r="I460" t="n">
        <v>0</v>
      </c>
      <c r="J460" t="n">
        <v>0</v>
      </c>
      <c r="K460" t="n">
        <v>0</v>
      </c>
      <c r="L460" t="n">
        <v>0</v>
      </c>
      <c r="M460" t="n">
        <v>0</v>
      </c>
      <c r="N460" t="n">
        <v>0</v>
      </c>
      <c r="O460" t="n">
        <v>0</v>
      </c>
      <c r="P460" t="n">
        <v>0</v>
      </c>
      <c r="Q460" t="n">
        <v>0</v>
      </c>
      <c r="R460" s="2" t="inlineStr"/>
    </row>
    <row r="461" ht="15" customHeight="1">
      <c r="A461" t="inlineStr">
        <is>
          <t>A 20653-2025</t>
        </is>
      </c>
      <c r="B461" s="1" t="n">
        <v>45776.40311342593</v>
      </c>
      <c r="C461" s="1" t="n">
        <v>46048</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18781-2024</t>
        </is>
      </c>
      <c r="B462" s="1" t="n">
        <v>45426</v>
      </c>
      <c r="C462" s="1" t="n">
        <v>46048</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20722-2025</t>
        </is>
      </c>
      <c r="B463" s="1" t="n">
        <v>45776.50651620371</v>
      </c>
      <c r="C463" s="1" t="n">
        <v>46048</v>
      </c>
      <c r="D463" t="inlineStr">
        <is>
          <t>JÄMTLANDS LÄN</t>
        </is>
      </c>
      <c r="E463" t="inlineStr">
        <is>
          <t>RAGUNDA</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55524-2024</t>
        </is>
      </c>
      <c r="B464" s="1" t="n">
        <v>45622.47435185185</v>
      </c>
      <c r="C464" s="1" t="n">
        <v>46048</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62081-2022</t>
        </is>
      </c>
      <c r="B465" s="1" t="n">
        <v>44918</v>
      </c>
      <c r="C465" s="1" t="n">
        <v>46048</v>
      </c>
      <c r="D465" t="inlineStr">
        <is>
          <t>JÄMTLANDS LÄN</t>
        </is>
      </c>
      <c r="E465" t="inlineStr">
        <is>
          <t>RAGUNDA</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25332-2023</t>
        </is>
      </c>
      <c r="B466" s="1" t="n">
        <v>45086.94010416666</v>
      </c>
      <c r="C466" s="1" t="n">
        <v>46048</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20777-2025</t>
        </is>
      </c>
      <c r="B467" s="1" t="n">
        <v>45776.59422453704</v>
      </c>
      <c r="C467" s="1" t="n">
        <v>46048</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29920-2024</t>
        </is>
      </c>
      <c r="B468" s="1" t="n">
        <v>45487.92856481481</v>
      </c>
      <c r="C468" s="1" t="n">
        <v>46048</v>
      </c>
      <c r="D468" t="inlineStr">
        <is>
          <t>JÄMTLANDS LÄN</t>
        </is>
      </c>
      <c r="E468" t="inlineStr">
        <is>
          <t>RAGUNDA</t>
        </is>
      </c>
      <c r="G468" t="n">
        <v>3.4</v>
      </c>
      <c r="H468" t="n">
        <v>0</v>
      </c>
      <c r="I468" t="n">
        <v>0</v>
      </c>
      <c r="J468" t="n">
        <v>0</v>
      </c>
      <c r="K468" t="n">
        <v>0</v>
      </c>
      <c r="L468" t="n">
        <v>0</v>
      </c>
      <c r="M468" t="n">
        <v>0</v>
      </c>
      <c r="N468" t="n">
        <v>0</v>
      </c>
      <c r="O468" t="n">
        <v>0</v>
      </c>
      <c r="P468" t="n">
        <v>0</v>
      </c>
      <c r="Q468" t="n">
        <v>0</v>
      </c>
      <c r="R468" s="2" t="inlineStr"/>
    </row>
    <row r="469" ht="15" customHeight="1">
      <c r="A469" t="inlineStr">
        <is>
          <t>A 21150-2025</t>
        </is>
      </c>
      <c r="B469" s="1" t="n">
        <v>45779.34417824074</v>
      </c>
      <c r="C469" s="1" t="n">
        <v>46048</v>
      </c>
      <c r="D469" t="inlineStr">
        <is>
          <t>JÄMTLANDS LÄN</t>
        </is>
      </c>
      <c r="E469" t="inlineStr">
        <is>
          <t>RAGUNDA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21214-2025</t>
        </is>
      </c>
      <c r="B470" s="1" t="n">
        <v>45779.49025462963</v>
      </c>
      <c r="C470" s="1" t="n">
        <v>46048</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22941-2024</t>
        </is>
      </c>
      <c r="B471" s="1" t="n">
        <v>45448.94520833333</v>
      </c>
      <c r="C471" s="1" t="n">
        <v>46048</v>
      </c>
      <c r="D471" t="inlineStr">
        <is>
          <t>JÄMTLANDS LÄN</t>
        </is>
      </c>
      <c r="E471" t="inlineStr">
        <is>
          <t>RAGUNDA</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3767-2025</t>
        </is>
      </c>
      <c r="B472" s="1" t="n">
        <v>45681.60203703704</v>
      </c>
      <c r="C472" s="1" t="n">
        <v>46048</v>
      </c>
      <c r="D472" t="inlineStr">
        <is>
          <t>JÄMTLANDS LÄN</t>
        </is>
      </c>
      <c r="E472" t="inlineStr">
        <is>
          <t>RAGUNDA</t>
        </is>
      </c>
      <c r="G472" t="n">
        <v>4.9</v>
      </c>
      <c r="H472" t="n">
        <v>0</v>
      </c>
      <c r="I472" t="n">
        <v>0</v>
      </c>
      <c r="J472" t="n">
        <v>0</v>
      </c>
      <c r="K472" t="n">
        <v>0</v>
      </c>
      <c r="L472" t="n">
        <v>0</v>
      </c>
      <c r="M472" t="n">
        <v>0</v>
      </c>
      <c r="N472" t="n">
        <v>0</v>
      </c>
      <c r="O472" t="n">
        <v>0</v>
      </c>
      <c r="P472" t="n">
        <v>0</v>
      </c>
      <c r="Q472" t="n">
        <v>0</v>
      </c>
      <c r="R472" s="2" t="inlineStr"/>
    </row>
    <row r="473" ht="15" customHeight="1">
      <c r="A473" t="inlineStr">
        <is>
          <t>A 7280-2024</t>
        </is>
      </c>
      <c r="B473" s="1" t="n">
        <v>45344</v>
      </c>
      <c r="C473" s="1" t="n">
        <v>46048</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51538-2022</t>
        </is>
      </c>
      <c r="B474" s="1" t="n">
        <v>44869</v>
      </c>
      <c r="C474" s="1" t="n">
        <v>46048</v>
      </c>
      <c r="D474" t="inlineStr">
        <is>
          <t>JÄMTLANDS LÄN</t>
        </is>
      </c>
      <c r="E474" t="inlineStr">
        <is>
          <t>RAGUNDA</t>
        </is>
      </c>
      <c r="G474" t="n">
        <v>6.8</v>
      </c>
      <c r="H474" t="n">
        <v>0</v>
      </c>
      <c r="I474" t="n">
        <v>0</v>
      </c>
      <c r="J474" t="n">
        <v>0</v>
      </c>
      <c r="K474" t="n">
        <v>0</v>
      </c>
      <c r="L474" t="n">
        <v>0</v>
      </c>
      <c r="M474" t="n">
        <v>0</v>
      </c>
      <c r="N474" t="n">
        <v>0</v>
      </c>
      <c r="O474" t="n">
        <v>0</v>
      </c>
      <c r="P474" t="n">
        <v>0</v>
      </c>
      <c r="Q474" t="n">
        <v>0</v>
      </c>
      <c r="R474" s="2" t="inlineStr"/>
    </row>
    <row r="475" ht="15" customHeight="1">
      <c r="A475" t="inlineStr">
        <is>
          <t>A 21430-2025</t>
        </is>
      </c>
      <c r="B475" s="1" t="n">
        <v>45782.51099537037</v>
      </c>
      <c r="C475" s="1" t="n">
        <v>46048</v>
      </c>
      <c r="D475" t="inlineStr">
        <is>
          <t>JÄMTLANDS LÄN</t>
        </is>
      </c>
      <c r="E475" t="inlineStr">
        <is>
          <t>RAGUNDA</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30826-2023</t>
        </is>
      </c>
      <c r="B476" s="1" t="n">
        <v>45112</v>
      </c>
      <c r="C476" s="1" t="n">
        <v>46048</v>
      </c>
      <c r="D476" t="inlineStr">
        <is>
          <t>JÄMTLANDS LÄN</t>
        </is>
      </c>
      <c r="E476" t="inlineStr">
        <is>
          <t>RAGUNDA</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44881-2023</t>
        </is>
      </c>
      <c r="B477" s="1" t="n">
        <v>45187</v>
      </c>
      <c r="C477" s="1" t="n">
        <v>46048</v>
      </c>
      <c r="D477" t="inlineStr">
        <is>
          <t>JÄMTLANDS LÄN</t>
        </is>
      </c>
      <c r="E477" t="inlineStr">
        <is>
          <t>RAGUNDA</t>
        </is>
      </c>
      <c r="G477" t="n">
        <v>2.4</v>
      </c>
      <c r="H477" t="n">
        <v>0</v>
      </c>
      <c r="I477" t="n">
        <v>0</v>
      </c>
      <c r="J477" t="n">
        <v>0</v>
      </c>
      <c r="K477" t="n">
        <v>0</v>
      </c>
      <c r="L477" t="n">
        <v>0</v>
      </c>
      <c r="M477" t="n">
        <v>0</v>
      </c>
      <c r="N477" t="n">
        <v>0</v>
      </c>
      <c r="O477" t="n">
        <v>0</v>
      </c>
      <c r="P477" t="n">
        <v>0</v>
      </c>
      <c r="Q477" t="n">
        <v>0</v>
      </c>
      <c r="R477" s="2" t="inlineStr"/>
    </row>
    <row r="478" ht="15" customHeight="1">
      <c r="A478" t="inlineStr">
        <is>
          <t>A 53263-2024</t>
        </is>
      </c>
      <c r="B478" s="1" t="n">
        <v>45614.34541666666</v>
      </c>
      <c r="C478" s="1" t="n">
        <v>46048</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44778-2024</t>
        </is>
      </c>
      <c r="B479" s="1" t="n">
        <v>45574.63355324074</v>
      </c>
      <c r="C479" s="1" t="n">
        <v>46048</v>
      </c>
      <c r="D479" t="inlineStr">
        <is>
          <t>JÄMTLANDS LÄN</t>
        </is>
      </c>
      <c r="E479" t="inlineStr">
        <is>
          <t>RAGUNDA</t>
        </is>
      </c>
      <c r="G479" t="n">
        <v>5.5</v>
      </c>
      <c r="H479" t="n">
        <v>0</v>
      </c>
      <c r="I479" t="n">
        <v>0</v>
      </c>
      <c r="J479" t="n">
        <v>0</v>
      </c>
      <c r="K479" t="n">
        <v>0</v>
      </c>
      <c r="L479" t="n">
        <v>0</v>
      </c>
      <c r="M479" t="n">
        <v>0</v>
      </c>
      <c r="N479" t="n">
        <v>0</v>
      </c>
      <c r="O479" t="n">
        <v>0</v>
      </c>
      <c r="P479" t="n">
        <v>0</v>
      </c>
      <c r="Q479" t="n">
        <v>0</v>
      </c>
      <c r="R479" s="2" t="inlineStr"/>
    </row>
    <row r="480" ht="15" customHeight="1">
      <c r="A480" t="inlineStr">
        <is>
          <t>A 21451-2025</t>
        </is>
      </c>
      <c r="B480" s="1" t="n">
        <v>45782.55287037037</v>
      </c>
      <c r="C480" s="1" t="n">
        <v>46048</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2673-2024</t>
        </is>
      </c>
      <c r="B481" s="1" t="n">
        <v>45314</v>
      </c>
      <c r="C481" s="1" t="n">
        <v>46048</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64492-2023</t>
        </is>
      </c>
      <c r="B482" s="1" t="n">
        <v>45280.92645833334</v>
      </c>
      <c r="C482" s="1" t="n">
        <v>46048</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26645-2024</t>
        </is>
      </c>
      <c r="B483" s="1" t="n">
        <v>45469.94667824074</v>
      </c>
      <c r="C483" s="1" t="n">
        <v>46048</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893-2025</t>
        </is>
      </c>
      <c r="B484" s="1" t="n">
        <v>45665.65684027778</v>
      </c>
      <c r="C484" s="1" t="n">
        <v>46048</v>
      </c>
      <c r="D484" t="inlineStr">
        <is>
          <t>JÄMTLANDS LÄN</t>
        </is>
      </c>
      <c r="E484" t="inlineStr">
        <is>
          <t>RAGUNDA</t>
        </is>
      </c>
      <c r="F484" t="inlineStr">
        <is>
          <t>SCA</t>
        </is>
      </c>
      <c r="G484" t="n">
        <v>45.1</v>
      </c>
      <c r="H484" t="n">
        <v>0</v>
      </c>
      <c r="I484" t="n">
        <v>0</v>
      </c>
      <c r="J484" t="n">
        <v>0</v>
      </c>
      <c r="K484" t="n">
        <v>0</v>
      </c>
      <c r="L484" t="n">
        <v>0</v>
      </c>
      <c r="M484" t="n">
        <v>0</v>
      </c>
      <c r="N484" t="n">
        <v>0</v>
      </c>
      <c r="O484" t="n">
        <v>0</v>
      </c>
      <c r="P484" t="n">
        <v>0</v>
      </c>
      <c r="Q484" t="n">
        <v>0</v>
      </c>
      <c r="R484" s="2" t="inlineStr"/>
    </row>
    <row r="485" ht="15" customHeight="1">
      <c r="A485" t="inlineStr">
        <is>
          <t>A 21432-2025</t>
        </is>
      </c>
      <c r="B485" s="1" t="n">
        <v>45782.51109953703</v>
      </c>
      <c r="C485" s="1" t="n">
        <v>46048</v>
      </c>
      <c r="D485" t="inlineStr">
        <is>
          <t>JÄMTLANDS LÄN</t>
        </is>
      </c>
      <c r="E485" t="inlineStr">
        <is>
          <t>RAGUNDA</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21331-2025</t>
        </is>
      </c>
      <c r="B486" s="1" t="n">
        <v>45782.36494212963</v>
      </c>
      <c r="C486" s="1" t="n">
        <v>46048</v>
      </c>
      <c r="D486" t="inlineStr">
        <is>
          <t>JÄMTLANDS LÄN</t>
        </is>
      </c>
      <c r="E486" t="inlineStr">
        <is>
          <t>RAGUNDA</t>
        </is>
      </c>
      <c r="F486" t="inlineStr">
        <is>
          <t>SCA</t>
        </is>
      </c>
      <c r="G486" t="n">
        <v>23.1</v>
      </c>
      <c r="H486" t="n">
        <v>0</v>
      </c>
      <c r="I486" t="n">
        <v>0</v>
      </c>
      <c r="J486" t="n">
        <v>0</v>
      </c>
      <c r="K486" t="n">
        <v>0</v>
      </c>
      <c r="L486" t="n">
        <v>0</v>
      </c>
      <c r="M486" t="n">
        <v>0</v>
      </c>
      <c r="N486" t="n">
        <v>0</v>
      </c>
      <c r="O486" t="n">
        <v>0</v>
      </c>
      <c r="P486" t="n">
        <v>0</v>
      </c>
      <c r="Q486" t="n">
        <v>0</v>
      </c>
      <c r="R486" s="2" t="inlineStr"/>
      <c r="U486">
        <f>HYPERLINK("https://klasma.github.io/Logging_2303/knärot/A 21331-2025 karta knärot.png", "A 21331-2025")</f>
        <v/>
      </c>
      <c r="V486">
        <f>HYPERLINK("https://klasma.github.io/Logging_2303/klagomål/A 21331-2025 FSC-klagomål.docx", "A 21331-2025")</f>
        <v/>
      </c>
      <c r="W486">
        <f>HYPERLINK("https://klasma.github.io/Logging_2303/klagomålsmail/A 21331-2025 FSC-klagomål mail.docx", "A 21331-2025")</f>
        <v/>
      </c>
      <c r="X486">
        <f>HYPERLINK("https://klasma.github.io/Logging_2303/tillsyn/A 21331-2025 tillsynsbegäran.docx", "A 21331-2025")</f>
        <v/>
      </c>
      <c r="Y486">
        <f>HYPERLINK("https://klasma.github.io/Logging_2303/tillsynsmail/A 21331-2025 tillsynsbegäran mail.docx", "A 21331-2025")</f>
        <v/>
      </c>
    </row>
    <row r="487" ht="15" customHeight="1">
      <c r="A487" t="inlineStr">
        <is>
          <t>A 31135-2023</t>
        </is>
      </c>
      <c r="B487" s="1" t="n">
        <v>45103</v>
      </c>
      <c r="C487" s="1" t="n">
        <v>46048</v>
      </c>
      <c r="D487" t="inlineStr">
        <is>
          <t>JÄMTLANDS LÄN</t>
        </is>
      </c>
      <c r="E487" t="inlineStr">
        <is>
          <t>RAGUNDA</t>
        </is>
      </c>
      <c r="G487" t="n">
        <v>0.9</v>
      </c>
      <c r="H487" t="n">
        <v>0</v>
      </c>
      <c r="I487" t="n">
        <v>0</v>
      </c>
      <c r="J487" t="n">
        <v>0</v>
      </c>
      <c r="K487" t="n">
        <v>0</v>
      </c>
      <c r="L487" t="n">
        <v>0</v>
      </c>
      <c r="M487" t="n">
        <v>0</v>
      </c>
      <c r="N487" t="n">
        <v>0</v>
      </c>
      <c r="O487" t="n">
        <v>0</v>
      </c>
      <c r="P487" t="n">
        <v>0</v>
      </c>
      <c r="Q487" t="n">
        <v>0</v>
      </c>
      <c r="R487" s="2" t="inlineStr"/>
    </row>
    <row r="488" ht="15" customHeight="1">
      <c r="A488" t="inlineStr">
        <is>
          <t>A 14368-2024</t>
        </is>
      </c>
      <c r="B488" s="1" t="n">
        <v>45393.94431712963</v>
      </c>
      <c r="C488" s="1" t="n">
        <v>46048</v>
      </c>
      <c r="D488" t="inlineStr">
        <is>
          <t>JÄMTLANDS LÄN</t>
        </is>
      </c>
      <c r="E488" t="inlineStr">
        <is>
          <t>RAGUNDA</t>
        </is>
      </c>
      <c r="F488" t="inlineStr">
        <is>
          <t>Naturvårdsverket</t>
        </is>
      </c>
      <c r="G488" t="n">
        <v>1.6</v>
      </c>
      <c r="H488" t="n">
        <v>0</v>
      </c>
      <c r="I488" t="n">
        <v>0</v>
      </c>
      <c r="J488" t="n">
        <v>0</v>
      </c>
      <c r="K488" t="n">
        <v>0</v>
      </c>
      <c r="L488" t="n">
        <v>0</v>
      </c>
      <c r="M488" t="n">
        <v>0</v>
      </c>
      <c r="N488" t="n">
        <v>0</v>
      </c>
      <c r="O488" t="n">
        <v>0</v>
      </c>
      <c r="P488" t="n">
        <v>0</v>
      </c>
      <c r="Q488" t="n">
        <v>0</v>
      </c>
      <c r="R488" s="2" t="inlineStr"/>
    </row>
    <row r="489" ht="15" customHeight="1">
      <c r="A489" t="inlineStr">
        <is>
          <t>A 21550-2025</t>
        </is>
      </c>
      <c r="B489" s="1" t="n">
        <v>45782.67758101852</v>
      </c>
      <c r="C489" s="1" t="n">
        <v>46048</v>
      </c>
      <c r="D489" t="inlineStr">
        <is>
          <t>JÄMTLANDS LÄN</t>
        </is>
      </c>
      <c r="E489" t="inlineStr">
        <is>
          <t>RAGUNDA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12783-2023</t>
        </is>
      </c>
      <c r="B490" s="1" t="n">
        <v>45000</v>
      </c>
      <c r="C490" s="1" t="n">
        <v>46048</v>
      </c>
      <c r="D490" t="inlineStr">
        <is>
          <t>JÄMTLANDS LÄN</t>
        </is>
      </c>
      <c r="E490" t="inlineStr">
        <is>
          <t>RAGUNDA</t>
        </is>
      </c>
      <c r="G490" t="n">
        <v>0.9</v>
      </c>
      <c r="H490" t="n">
        <v>0</v>
      </c>
      <c r="I490" t="n">
        <v>0</v>
      </c>
      <c r="J490" t="n">
        <v>0</v>
      </c>
      <c r="K490" t="n">
        <v>0</v>
      </c>
      <c r="L490" t="n">
        <v>0</v>
      </c>
      <c r="M490" t="n">
        <v>0</v>
      </c>
      <c r="N490" t="n">
        <v>0</v>
      </c>
      <c r="O490" t="n">
        <v>0</v>
      </c>
      <c r="P490" t="n">
        <v>0</v>
      </c>
      <c r="Q490" t="n">
        <v>0</v>
      </c>
      <c r="R490" s="2" t="inlineStr"/>
    </row>
    <row r="491" ht="15" customHeight="1">
      <c r="A491" t="inlineStr">
        <is>
          <t>A 53171-2024</t>
        </is>
      </c>
      <c r="B491" s="1" t="n">
        <v>45611.65679398148</v>
      </c>
      <c r="C491" s="1" t="n">
        <v>46048</v>
      </c>
      <c r="D491" t="inlineStr">
        <is>
          <t>JÄMTLANDS LÄN</t>
        </is>
      </c>
      <c r="E491" t="inlineStr">
        <is>
          <t>RAGUNDA</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7279-2024</t>
        </is>
      </c>
      <c r="B492" s="1" t="n">
        <v>45344.92822916667</v>
      </c>
      <c r="C492" s="1" t="n">
        <v>46048</v>
      </c>
      <c r="D492" t="inlineStr">
        <is>
          <t>JÄMTLANDS LÄN</t>
        </is>
      </c>
      <c r="E492" t="inlineStr">
        <is>
          <t>RAGUNDA</t>
        </is>
      </c>
      <c r="G492" t="n">
        <v>2.1</v>
      </c>
      <c r="H492" t="n">
        <v>0</v>
      </c>
      <c r="I492" t="n">
        <v>0</v>
      </c>
      <c r="J492" t="n">
        <v>0</v>
      </c>
      <c r="K492" t="n">
        <v>0</v>
      </c>
      <c r="L492" t="n">
        <v>0</v>
      </c>
      <c r="M492" t="n">
        <v>0</v>
      </c>
      <c r="N492" t="n">
        <v>0</v>
      </c>
      <c r="O492" t="n">
        <v>0</v>
      </c>
      <c r="P492" t="n">
        <v>0</v>
      </c>
      <c r="Q492" t="n">
        <v>0</v>
      </c>
      <c r="R492" s="2" t="inlineStr"/>
    </row>
    <row r="493" ht="15" customHeight="1">
      <c r="A493" t="inlineStr">
        <is>
          <t>A 54599-2023</t>
        </is>
      </c>
      <c r="B493" s="1" t="n">
        <v>45233.92591435185</v>
      </c>
      <c r="C493" s="1" t="n">
        <v>46048</v>
      </c>
      <c r="D493" t="inlineStr">
        <is>
          <t>JÄMTLANDS LÄN</t>
        </is>
      </c>
      <c r="E493" t="inlineStr">
        <is>
          <t>RAGUNDA</t>
        </is>
      </c>
      <c r="G493" t="n">
        <v>3.7</v>
      </c>
      <c r="H493" t="n">
        <v>0</v>
      </c>
      <c r="I493" t="n">
        <v>0</v>
      </c>
      <c r="J493" t="n">
        <v>0</v>
      </c>
      <c r="K493" t="n">
        <v>0</v>
      </c>
      <c r="L493" t="n">
        <v>0</v>
      </c>
      <c r="M493" t="n">
        <v>0</v>
      </c>
      <c r="N493" t="n">
        <v>0</v>
      </c>
      <c r="O493" t="n">
        <v>0</v>
      </c>
      <c r="P493" t="n">
        <v>0</v>
      </c>
      <c r="Q493" t="n">
        <v>0</v>
      </c>
      <c r="R493" s="2" t="inlineStr"/>
    </row>
    <row r="494" ht="15" customHeight="1">
      <c r="A494" t="inlineStr">
        <is>
          <t>A 19854-2025</t>
        </is>
      </c>
      <c r="B494" s="1" t="n">
        <v>45771.51074074074</v>
      </c>
      <c r="C494" s="1" t="n">
        <v>46048</v>
      </c>
      <c r="D494" t="inlineStr">
        <is>
          <t>JÄMTLANDS LÄN</t>
        </is>
      </c>
      <c r="E494" t="inlineStr">
        <is>
          <t>RAGUNDA</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43132-2023</t>
        </is>
      </c>
      <c r="B495" s="1" t="n">
        <v>45182</v>
      </c>
      <c r="C495" s="1" t="n">
        <v>46048</v>
      </c>
      <c r="D495" t="inlineStr">
        <is>
          <t>JÄMTLANDS LÄN</t>
        </is>
      </c>
      <c r="E495" t="inlineStr">
        <is>
          <t>RAGUNDA</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12660-2024</t>
        </is>
      </c>
      <c r="B496" s="1" t="n">
        <v>45384</v>
      </c>
      <c r="C496" s="1" t="n">
        <v>46048</v>
      </c>
      <c r="D496" t="inlineStr">
        <is>
          <t>JÄMTLANDS LÄN</t>
        </is>
      </c>
      <c r="E496" t="inlineStr">
        <is>
          <t>RAGUNDA</t>
        </is>
      </c>
      <c r="G496" t="n">
        <v>1.3</v>
      </c>
      <c r="H496" t="n">
        <v>0</v>
      </c>
      <c r="I496" t="n">
        <v>0</v>
      </c>
      <c r="J496" t="n">
        <v>0</v>
      </c>
      <c r="K496" t="n">
        <v>0</v>
      </c>
      <c r="L496" t="n">
        <v>0</v>
      </c>
      <c r="M496" t="n">
        <v>0</v>
      </c>
      <c r="N496" t="n">
        <v>0</v>
      </c>
      <c r="O496" t="n">
        <v>0</v>
      </c>
      <c r="P496" t="n">
        <v>0</v>
      </c>
      <c r="Q496" t="n">
        <v>0</v>
      </c>
      <c r="R496" s="2" t="inlineStr"/>
    </row>
    <row r="497" ht="15" customHeight="1">
      <c r="A497" t="inlineStr">
        <is>
          <t>A 55649-2023</t>
        </is>
      </c>
      <c r="B497" s="1" t="n">
        <v>45238</v>
      </c>
      <c r="C497" s="1" t="n">
        <v>46048</v>
      </c>
      <c r="D497" t="inlineStr">
        <is>
          <t>JÄMTLANDS LÄN</t>
        </is>
      </c>
      <c r="E497" t="inlineStr">
        <is>
          <t>RAGUNDA</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56284-2023</t>
        </is>
      </c>
      <c r="B498" s="1" t="n">
        <v>45241.95724537037</v>
      </c>
      <c r="C498" s="1" t="n">
        <v>46048</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57889-2024</t>
        </is>
      </c>
      <c r="B499" s="1" t="n">
        <v>45631.46665509259</v>
      </c>
      <c r="C499" s="1" t="n">
        <v>46048</v>
      </c>
      <c r="D499" t="inlineStr">
        <is>
          <t>JÄMTLANDS LÄN</t>
        </is>
      </c>
      <c r="E499" t="inlineStr">
        <is>
          <t>RAGUNDA</t>
        </is>
      </c>
      <c r="G499" t="n">
        <v>11.1</v>
      </c>
      <c r="H499" t="n">
        <v>0</v>
      </c>
      <c r="I499" t="n">
        <v>0</v>
      </c>
      <c r="J499" t="n">
        <v>0</v>
      </c>
      <c r="K499" t="n">
        <v>0</v>
      </c>
      <c r="L499" t="n">
        <v>0</v>
      </c>
      <c r="M499" t="n">
        <v>0</v>
      </c>
      <c r="N499" t="n">
        <v>0</v>
      </c>
      <c r="O499" t="n">
        <v>0</v>
      </c>
      <c r="P499" t="n">
        <v>0</v>
      </c>
      <c r="Q499" t="n">
        <v>0</v>
      </c>
      <c r="R499" s="2" t="inlineStr"/>
    </row>
    <row r="500" ht="15" customHeight="1">
      <c r="A500" t="inlineStr">
        <is>
          <t>A 12521-2023</t>
        </is>
      </c>
      <c r="B500" s="1" t="n">
        <v>45000</v>
      </c>
      <c r="C500" s="1" t="n">
        <v>46048</v>
      </c>
      <c r="D500" t="inlineStr">
        <is>
          <t>JÄMTLANDS LÄN</t>
        </is>
      </c>
      <c r="E500" t="inlineStr">
        <is>
          <t>RAGUNDA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50503-2024</t>
        </is>
      </c>
      <c r="B501" s="1" t="n">
        <v>45601.5315625</v>
      </c>
      <c r="C501" s="1" t="n">
        <v>46048</v>
      </c>
      <c r="D501" t="inlineStr">
        <is>
          <t>JÄMTLANDS LÄN</t>
        </is>
      </c>
      <c r="E501" t="inlineStr">
        <is>
          <t>RAGUNDA</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10610-2024</t>
        </is>
      </c>
      <c r="B502" s="1" t="n">
        <v>45367.04693287037</v>
      </c>
      <c r="C502" s="1" t="n">
        <v>46048</v>
      </c>
      <c r="D502" t="inlineStr">
        <is>
          <t>JÄMTLANDS LÄN</t>
        </is>
      </c>
      <c r="E502" t="inlineStr">
        <is>
          <t>RAGUNDA</t>
        </is>
      </c>
      <c r="F502" t="inlineStr">
        <is>
          <t>SCA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60629-2023</t>
        </is>
      </c>
      <c r="B503" s="1" t="n">
        <v>45259</v>
      </c>
      <c r="C503" s="1" t="n">
        <v>46048</v>
      </c>
      <c r="D503" t="inlineStr">
        <is>
          <t>JÄMTLANDS LÄN</t>
        </is>
      </c>
      <c r="E503" t="inlineStr">
        <is>
          <t>RAGUNDA</t>
        </is>
      </c>
      <c r="G503" t="n">
        <v>3.4</v>
      </c>
      <c r="H503" t="n">
        <v>0</v>
      </c>
      <c r="I503" t="n">
        <v>0</v>
      </c>
      <c r="J503" t="n">
        <v>0</v>
      </c>
      <c r="K503" t="n">
        <v>0</v>
      </c>
      <c r="L503" t="n">
        <v>0</v>
      </c>
      <c r="M503" t="n">
        <v>0</v>
      </c>
      <c r="N503" t="n">
        <v>0</v>
      </c>
      <c r="O503" t="n">
        <v>0</v>
      </c>
      <c r="P503" t="n">
        <v>0</v>
      </c>
      <c r="Q503" t="n">
        <v>0</v>
      </c>
      <c r="R503" s="2" t="inlineStr"/>
    </row>
    <row r="504" ht="15" customHeight="1">
      <c r="A504" t="inlineStr">
        <is>
          <t>A 29319-2023</t>
        </is>
      </c>
      <c r="B504" s="1" t="n">
        <v>45105</v>
      </c>
      <c r="C504" s="1" t="n">
        <v>46048</v>
      </c>
      <c r="D504" t="inlineStr">
        <is>
          <t>JÄMTLANDS LÄN</t>
        </is>
      </c>
      <c r="E504" t="inlineStr">
        <is>
          <t>RAGUNDA</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18612-2024</t>
        </is>
      </c>
      <c r="B505" s="1" t="n">
        <v>45425.96239583333</v>
      </c>
      <c r="C505" s="1" t="n">
        <v>46048</v>
      </c>
      <c r="D505" t="inlineStr">
        <is>
          <t>JÄMTLANDS LÄN</t>
        </is>
      </c>
      <c r="E505" t="inlineStr">
        <is>
          <t>RAGUNDA</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61045-2022</t>
        </is>
      </c>
      <c r="B506" s="1" t="n">
        <v>44914</v>
      </c>
      <c r="C506" s="1" t="n">
        <v>46048</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61197-2023</t>
        </is>
      </c>
      <c r="B507" s="1" t="n">
        <v>45260</v>
      </c>
      <c r="C507" s="1" t="n">
        <v>46048</v>
      </c>
      <c r="D507" t="inlineStr">
        <is>
          <t>JÄMTLANDS LÄN</t>
        </is>
      </c>
      <c r="E507" t="inlineStr">
        <is>
          <t>RAGUNDA</t>
        </is>
      </c>
      <c r="G507" t="n">
        <v>2.5</v>
      </c>
      <c r="H507" t="n">
        <v>0</v>
      </c>
      <c r="I507" t="n">
        <v>0</v>
      </c>
      <c r="J507" t="n">
        <v>0</v>
      </c>
      <c r="K507" t="n">
        <v>0</v>
      </c>
      <c r="L507" t="n">
        <v>0</v>
      </c>
      <c r="M507" t="n">
        <v>0</v>
      </c>
      <c r="N507" t="n">
        <v>0</v>
      </c>
      <c r="O507" t="n">
        <v>0</v>
      </c>
      <c r="P507" t="n">
        <v>0</v>
      </c>
      <c r="Q507" t="n">
        <v>0</v>
      </c>
      <c r="R507" s="2" t="inlineStr"/>
    </row>
    <row r="508" ht="15" customHeight="1">
      <c r="A508" t="inlineStr">
        <is>
          <t>A 13263-2025</t>
        </is>
      </c>
      <c r="B508" s="1" t="n">
        <v>45735.53177083333</v>
      </c>
      <c r="C508" s="1" t="n">
        <v>46048</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464-2023</t>
        </is>
      </c>
      <c r="B509" s="1" t="n">
        <v>44929.92489583333</v>
      </c>
      <c r="C509" s="1" t="n">
        <v>46048</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53769-2023</t>
        </is>
      </c>
      <c r="B510" s="1" t="n">
        <v>45230</v>
      </c>
      <c r="C510" s="1" t="n">
        <v>46048</v>
      </c>
      <c r="D510" t="inlineStr">
        <is>
          <t>JÄMTLANDS LÄN</t>
        </is>
      </c>
      <c r="E510" t="inlineStr">
        <is>
          <t>RAGUNDA</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48066-2022</t>
        </is>
      </c>
      <c r="B511" s="1" t="n">
        <v>44855</v>
      </c>
      <c r="C511" s="1" t="n">
        <v>46048</v>
      </c>
      <c r="D511" t="inlineStr">
        <is>
          <t>JÄMTLANDS LÄN</t>
        </is>
      </c>
      <c r="E511" t="inlineStr">
        <is>
          <t>RAGUNDA</t>
        </is>
      </c>
      <c r="F511" t="inlineStr">
        <is>
          <t>SCA</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52228-2024</t>
        </is>
      </c>
      <c r="B512" s="1" t="n">
        <v>45608.6078587963</v>
      </c>
      <c r="C512" s="1" t="n">
        <v>46048</v>
      </c>
      <c r="D512" t="inlineStr">
        <is>
          <t>JÄMTLANDS LÄN</t>
        </is>
      </c>
      <c r="E512" t="inlineStr">
        <is>
          <t>RAGUNDA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64415-2023</t>
        </is>
      </c>
      <c r="B513" s="1" t="n">
        <v>45280</v>
      </c>
      <c r="C513" s="1" t="n">
        <v>46048</v>
      </c>
      <c r="D513" t="inlineStr">
        <is>
          <t>JÄMTLANDS LÄN</t>
        </is>
      </c>
      <c r="E513" t="inlineStr">
        <is>
          <t>RAGUNDA</t>
        </is>
      </c>
      <c r="G513" t="n">
        <v>5.1</v>
      </c>
      <c r="H513" t="n">
        <v>0</v>
      </c>
      <c r="I513" t="n">
        <v>0</v>
      </c>
      <c r="J513" t="n">
        <v>0</v>
      </c>
      <c r="K513" t="n">
        <v>0</v>
      </c>
      <c r="L513" t="n">
        <v>0</v>
      </c>
      <c r="M513" t="n">
        <v>0</v>
      </c>
      <c r="N513" t="n">
        <v>0</v>
      </c>
      <c r="O513" t="n">
        <v>0</v>
      </c>
      <c r="P513" t="n">
        <v>0</v>
      </c>
      <c r="Q513" t="n">
        <v>0</v>
      </c>
      <c r="R513" s="2" t="inlineStr"/>
    </row>
    <row r="514" ht="15" customHeight="1">
      <c r="A514" t="inlineStr">
        <is>
          <t>A 22388-2025</t>
        </is>
      </c>
      <c r="B514" s="1" t="n">
        <v>45786.51077546296</v>
      </c>
      <c r="C514" s="1" t="n">
        <v>46048</v>
      </c>
      <c r="D514" t="inlineStr">
        <is>
          <t>JÄMTLANDS LÄN</t>
        </is>
      </c>
      <c r="E514" t="inlineStr">
        <is>
          <t>RAGUNDA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60225-2022</t>
        </is>
      </c>
      <c r="B515" s="1" t="n">
        <v>44903</v>
      </c>
      <c r="C515" s="1" t="n">
        <v>46048</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15864-2024</t>
        </is>
      </c>
      <c r="B516" s="1" t="n">
        <v>45404.99792824074</v>
      </c>
      <c r="C516" s="1" t="n">
        <v>46048</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c r="U516">
        <f>HYPERLINK("https://klasma.github.io/Logging_2303/knärot/A 15864-2024 karta knärot.png", "A 15864-2024")</f>
        <v/>
      </c>
      <c r="V516">
        <f>HYPERLINK("https://klasma.github.io/Logging_2303/klagomål/A 15864-2024 FSC-klagomål.docx", "A 15864-2024")</f>
        <v/>
      </c>
      <c r="W516">
        <f>HYPERLINK("https://klasma.github.io/Logging_2303/klagomålsmail/A 15864-2024 FSC-klagomål mail.docx", "A 15864-2024")</f>
        <v/>
      </c>
      <c r="X516">
        <f>HYPERLINK("https://klasma.github.io/Logging_2303/tillsyn/A 15864-2024 tillsynsbegäran.docx", "A 15864-2024")</f>
        <v/>
      </c>
      <c r="Y516">
        <f>HYPERLINK("https://klasma.github.io/Logging_2303/tillsynsmail/A 15864-2024 tillsynsbegäran mail.docx", "A 15864-2024")</f>
        <v/>
      </c>
    </row>
    <row r="517" ht="15" customHeight="1">
      <c r="A517" t="inlineStr">
        <is>
          <t>A 57749-2024</t>
        </is>
      </c>
      <c r="B517" s="1" t="n">
        <v>45630.7862037037</v>
      </c>
      <c r="C517" s="1" t="n">
        <v>46048</v>
      </c>
      <c r="D517" t="inlineStr">
        <is>
          <t>JÄMTLANDS LÄN</t>
        </is>
      </c>
      <c r="E517" t="inlineStr">
        <is>
          <t>RAGUNDA</t>
        </is>
      </c>
      <c r="G517" t="n">
        <v>1.3</v>
      </c>
      <c r="H517" t="n">
        <v>0</v>
      </c>
      <c r="I517" t="n">
        <v>0</v>
      </c>
      <c r="J517" t="n">
        <v>0</v>
      </c>
      <c r="K517" t="n">
        <v>0</v>
      </c>
      <c r="L517" t="n">
        <v>0</v>
      </c>
      <c r="M517" t="n">
        <v>0</v>
      </c>
      <c r="N517" t="n">
        <v>0</v>
      </c>
      <c r="O517" t="n">
        <v>0</v>
      </c>
      <c r="P517" t="n">
        <v>0</v>
      </c>
      <c r="Q517" t="n">
        <v>0</v>
      </c>
      <c r="R517" s="2" t="inlineStr"/>
    </row>
    <row r="518" ht="15" customHeight="1">
      <c r="A518" t="inlineStr">
        <is>
          <t>A 10706-2023</t>
        </is>
      </c>
      <c r="B518" s="1" t="n">
        <v>44984</v>
      </c>
      <c r="C518" s="1" t="n">
        <v>46048</v>
      </c>
      <c r="D518" t="inlineStr">
        <is>
          <t>JÄMTLANDS LÄN</t>
        </is>
      </c>
      <c r="E518" t="inlineStr">
        <is>
          <t>RAGUNDA</t>
        </is>
      </c>
      <c r="G518" t="n">
        <v>7.7</v>
      </c>
      <c r="H518" t="n">
        <v>0</v>
      </c>
      <c r="I518" t="n">
        <v>0</v>
      </c>
      <c r="J518" t="n">
        <v>0</v>
      </c>
      <c r="K518" t="n">
        <v>0</v>
      </c>
      <c r="L518" t="n">
        <v>0</v>
      </c>
      <c r="M518" t="n">
        <v>0</v>
      </c>
      <c r="N518" t="n">
        <v>0</v>
      </c>
      <c r="O518" t="n">
        <v>0</v>
      </c>
      <c r="P518" t="n">
        <v>0</v>
      </c>
      <c r="Q518" t="n">
        <v>0</v>
      </c>
      <c r="R518" s="2" t="inlineStr"/>
    </row>
    <row r="519" ht="15" customHeight="1">
      <c r="A519" t="inlineStr">
        <is>
          <t>A 2242-2024</t>
        </is>
      </c>
      <c r="B519" s="1" t="n">
        <v>45309</v>
      </c>
      <c r="C519" s="1" t="n">
        <v>46048</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2248-2024</t>
        </is>
      </c>
      <c r="B520" s="1" t="n">
        <v>45309</v>
      </c>
      <c r="C520" s="1" t="n">
        <v>46048</v>
      </c>
      <c r="D520" t="inlineStr">
        <is>
          <t>JÄMTLANDS LÄN</t>
        </is>
      </c>
      <c r="E520" t="inlineStr">
        <is>
          <t>RAGUNDA</t>
        </is>
      </c>
      <c r="G520" t="n">
        <v>4.2</v>
      </c>
      <c r="H520" t="n">
        <v>0</v>
      </c>
      <c r="I520" t="n">
        <v>0</v>
      </c>
      <c r="J520" t="n">
        <v>0</v>
      </c>
      <c r="K520" t="n">
        <v>0</v>
      </c>
      <c r="L520" t="n">
        <v>0</v>
      </c>
      <c r="M520" t="n">
        <v>0</v>
      </c>
      <c r="N520" t="n">
        <v>0</v>
      </c>
      <c r="O520" t="n">
        <v>0</v>
      </c>
      <c r="P520" t="n">
        <v>0</v>
      </c>
      <c r="Q520" t="n">
        <v>0</v>
      </c>
      <c r="R520" s="2" t="inlineStr"/>
    </row>
    <row r="521" ht="15" customHeight="1">
      <c r="A521" t="inlineStr">
        <is>
          <t>A 24280-2021</t>
        </is>
      </c>
      <c r="B521" s="1" t="n">
        <v>44336</v>
      </c>
      <c r="C521" s="1" t="n">
        <v>46048</v>
      </c>
      <c r="D521" t="inlineStr">
        <is>
          <t>JÄMTLANDS LÄN</t>
        </is>
      </c>
      <c r="E521" t="inlineStr">
        <is>
          <t>RAGUNDA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63708-2023</t>
        </is>
      </c>
      <c r="B522" s="1" t="n">
        <v>45275.95060185185</v>
      </c>
      <c r="C522" s="1" t="n">
        <v>46048</v>
      </c>
      <c r="D522" t="inlineStr">
        <is>
          <t>JÄMTLANDS LÄN</t>
        </is>
      </c>
      <c r="E522" t="inlineStr">
        <is>
          <t>RAGUNDA</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8886-2024</t>
        </is>
      </c>
      <c r="B523" s="1" t="n">
        <v>45357.05300925926</v>
      </c>
      <c r="C523" s="1" t="n">
        <v>46048</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16250-2022</t>
        </is>
      </c>
      <c r="B524" s="1" t="n">
        <v>44670</v>
      </c>
      <c r="C524" s="1" t="n">
        <v>46048</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46048</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60663-2022</t>
        </is>
      </c>
      <c r="B526" s="1" t="n">
        <v>44911.93846064815</v>
      </c>
      <c r="C526" s="1" t="n">
        <v>46048</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19264-2025</t>
        </is>
      </c>
      <c r="B527" s="1" t="n">
        <v>45769.51087962963</v>
      </c>
      <c r="C527" s="1" t="n">
        <v>46048</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11058-2025</t>
        </is>
      </c>
      <c r="B528" s="1" t="n">
        <v>45723.51079861111</v>
      </c>
      <c r="C528" s="1" t="n">
        <v>46048</v>
      </c>
      <c r="D528" t="inlineStr">
        <is>
          <t>JÄMTLANDS LÄN</t>
        </is>
      </c>
      <c r="E528" t="inlineStr">
        <is>
          <t>RAGUNDA</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22898-2025</t>
        </is>
      </c>
      <c r="B529" s="1" t="n">
        <v>45790.40670138889</v>
      </c>
      <c r="C529" s="1" t="n">
        <v>46048</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29263-2024</t>
        </is>
      </c>
      <c r="B530" s="1" t="n">
        <v>45482.94891203703</v>
      </c>
      <c r="C530" s="1" t="n">
        <v>46048</v>
      </c>
      <c r="D530" t="inlineStr">
        <is>
          <t>JÄMTLANDS LÄN</t>
        </is>
      </c>
      <c r="E530" t="inlineStr">
        <is>
          <t>RAGUNDA</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58847-2024</t>
        </is>
      </c>
      <c r="B531" s="1" t="n">
        <v>45636.3864699074</v>
      </c>
      <c r="C531" s="1" t="n">
        <v>46048</v>
      </c>
      <c r="D531" t="inlineStr">
        <is>
          <t>JÄMTLANDS LÄN</t>
        </is>
      </c>
      <c r="E531" t="inlineStr">
        <is>
          <t>RAGUNDA</t>
        </is>
      </c>
      <c r="F531" t="inlineStr">
        <is>
          <t>SCA</t>
        </is>
      </c>
      <c r="G531" t="n">
        <v>8</v>
      </c>
      <c r="H531" t="n">
        <v>0</v>
      </c>
      <c r="I531" t="n">
        <v>0</v>
      </c>
      <c r="J531" t="n">
        <v>0</v>
      </c>
      <c r="K531" t="n">
        <v>0</v>
      </c>
      <c r="L531" t="n">
        <v>0</v>
      </c>
      <c r="M531" t="n">
        <v>0</v>
      </c>
      <c r="N531" t="n">
        <v>0</v>
      </c>
      <c r="O531" t="n">
        <v>0</v>
      </c>
      <c r="P531" t="n">
        <v>0</v>
      </c>
      <c r="Q531" t="n">
        <v>0</v>
      </c>
      <c r="R531" s="2" t="inlineStr"/>
    </row>
    <row r="532" ht="15" customHeight="1">
      <c r="A532" t="inlineStr">
        <is>
          <t>A 38664-2022</t>
        </is>
      </c>
      <c r="B532" s="1" t="n">
        <v>44813</v>
      </c>
      <c r="C532" s="1" t="n">
        <v>46048</v>
      </c>
      <c r="D532" t="inlineStr">
        <is>
          <t>JÄMTLANDS LÄN</t>
        </is>
      </c>
      <c r="E532" t="inlineStr">
        <is>
          <t>RAGUNDA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8800-2025</t>
        </is>
      </c>
      <c r="B533" s="1" t="n">
        <v>45712.65671296296</v>
      </c>
      <c r="C533" s="1" t="n">
        <v>46048</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27777-2022</t>
        </is>
      </c>
      <c r="B534" s="1" t="n">
        <v>44743</v>
      </c>
      <c r="C534" s="1" t="n">
        <v>46048</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46048</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46048</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23253-2025</t>
        </is>
      </c>
      <c r="B537" s="1" t="n">
        <v>45791.53238425926</v>
      </c>
      <c r="C537" s="1" t="n">
        <v>46048</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8776-2025</t>
        </is>
      </c>
      <c r="B538" s="1" t="n">
        <v>45712.61510416667</v>
      </c>
      <c r="C538" s="1" t="n">
        <v>46048</v>
      </c>
      <c r="D538" t="inlineStr">
        <is>
          <t>JÄMTLANDS LÄN</t>
        </is>
      </c>
      <c r="E538" t="inlineStr">
        <is>
          <t>RAGUNDA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24441-2024</t>
        </is>
      </c>
      <c r="B539" s="1" t="n">
        <v>45457.96372685185</v>
      </c>
      <c r="C539" s="1" t="n">
        <v>46048</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23413-2025</t>
        </is>
      </c>
      <c r="B540" s="1" t="n">
        <v>45792.34606481482</v>
      </c>
      <c r="C540" s="1" t="n">
        <v>46048</v>
      </c>
      <c r="D540" t="inlineStr">
        <is>
          <t>JÄMTLANDS LÄN</t>
        </is>
      </c>
      <c r="E540" t="inlineStr">
        <is>
          <t>RAGUNDA</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40801-2023</t>
        </is>
      </c>
      <c r="B541" s="1" t="n">
        <v>45170</v>
      </c>
      <c r="C541" s="1" t="n">
        <v>46048</v>
      </c>
      <c r="D541" t="inlineStr">
        <is>
          <t>JÄMTLANDS LÄN</t>
        </is>
      </c>
      <c r="E541" t="inlineStr">
        <is>
          <t>RAGUNDA</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23586-2025</t>
        </is>
      </c>
      <c r="B542" s="1" t="n">
        <v>45792.63584490741</v>
      </c>
      <c r="C542" s="1" t="n">
        <v>46048</v>
      </c>
      <c r="D542" t="inlineStr">
        <is>
          <t>JÄMTLANDS LÄN</t>
        </is>
      </c>
      <c r="E542" t="inlineStr">
        <is>
          <t>RAGUNDA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23841-2025</t>
        </is>
      </c>
      <c r="B543" s="1" t="n">
        <v>45793.61523148148</v>
      </c>
      <c r="C543" s="1" t="n">
        <v>46048</v>
      </c>
      <c r="D543" t="inlineStr">
        <is>
          <t>JÄMTLANDS LÄN</t>
        </is>
      </c>
      <c r="E543" t="inlineStr">
        <is>
          <t>RAGUNDA</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14821-2025</t>
        </is>
      </c>
      <c r="B544" s="1" t="n">
        <v>45743.36</v>
      </c>
      <c r="C544" s="1" t="n">
        <v>46048</v>
      </c>
      <c r="D544" t="inlineStr">
        <is>
          <t>JÄMTLANDS LÄN</t>
        </is>
      </c>
      <c r="E544" t="inlineStr">
        <is>
          <t>RAGUNDA</t>
        </is>
      </c>
      <c r="F544" t="inlineStr">
        <is>
          <t>Kyrkan</t>
        </is>
      </c>
      <c r="G544" t="n">
        <v>6.4</v>
      </c>
      <c r="H544" t="n">
        <v>0</v>
      </c>
      <c r="I544" t="n">
        <v>0</v>
      </c>
      <c r="J544" t="n">
        <v>0</v>
      </c>
      <c r="K544" t="n">
        <v>0</v>
      </c>
      <c r="L544" t="n">
        <v>0</v>
      </c>
      <c r="M544" t="n">
        <v>0</v>
      </c>
      <c r="N544" t="n">
        <v>0</v>
      </c>
      <c r="O544" t="n">
        <v>0</v>
      </c>
      <c r="P544" t="n">
        <v>0</v>
      </c>
      <c r="Q544" t="n">
        <v>0</v>
      </c>
      <c r="R544" s="2" t="inlineStr"/>
    </row>
    <row r="545" ht="15" customHeight="1">
      <c r="A545" t="inlineStr">
        <is>
          <t>A 23507-2025</t>
        </is>
      </c>
      <c r="B545" s="1" t="n">
        <v>45792.49023148148</v>
      </c>
      <c r="C545" s="1" t="n">
        <v>46048</v>
      </c>
      <c r="D545" t="inlineStr">
        <is>
          <t>JÄMTLANDS LÄN</t>
        </is>
      </c>
      <c r="E545" t="inlineStr">
        <is>
          <t>RAGUNDA</t>
        </is>
      </c>
      <c r="F545" t="inlineStr">
        <is>
          <t>SCA</t>
        </is>
      </c>
      <c r="G545" t="n">
        <v>16.4</v>
      </c>
      <c r="H545" t="n">
        <v>0</v>
      </c>
      <c r="I545" t="n">
        <v>0</v>
      </c>
      <c r="J545" t="n">
        <v>0</v>
      </c>
      <c r="K545" t="n">
        <v>0</v>
      </c>
      <c r="L545" t="n">
        <v>0</v>
      </c>
      <c r="M545" t="n">
        <v>0</v>
      </c>
      <c r="N545" t="n">
        <v>0</v>
      </c>
      <c r="O545" t="n">
        <v>0</v>
      </c>
      <c r="P545" t="n">
        <v>0</v>
      </c>
      <c r="Q545" t="n">
        <v>0</v>
      </c>
      <c r="R545" s="2" t="inlineStr"/>
    </row>
    <row r="546" ht="15" customHeight="1">
      <c r="A546" t="inlineStr">
        <is>
          <t>A 23840-2025</t>
        </is>
      </c>
      <c r="B546" s="1" t="n">
        <v>45793</v>
      </c>
      <c r="C546" s="1" t="n">
        <v>46048</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42875-2024</t>
        </is>
      </c>
      <c r="B547" s="1" t="n">
        <v>45566.68125</v>
      </c>
      <c r="C547" s="1" t="n">
        <v>46048</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23654-2025</t>
        </is>
      </c>
      <c r="B548" s="1" t="n">
        <v>45792.71905092592</v>
      </c>
      <c r="C548" s="1" t="n">
        <v>46048</v>
      </c>
      <c r="D548" t="inlineStr">
        <is>
          <t>JÄMTLANDS LÄN</t>
        </is>
      </c>
      <c r="E548" t="inlineStr">
        <is>
          <t>RAGUNDA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36375-2022</t>
        </is>
      </c>
      <c r="B549" s="1" t="n">
        <v>44803.94351851852</v>
      </c>
      <c r="C549" s="1" t="n">
        <v>46048</v>
      </c>
      <c r="D549" t="inlineStr">
        <is>
          <t>JÄMTLANDS LÄN</t>
        </is>
      </c>
      <c r="E549" t="inlineStr">
        <is>
          <t>RAGUNDA</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23405-2025</t>
        </is>
      </c>
      <c r="B550" s="1" t="n">
        <v>45792.34527777778</v>
      </c>
      <c r="C550" s="1" t="n">
        <v>46048</v>
      </c>
      <c r="D550" t="inlineStr">
        <is>
          <t>JÄMTLANDS LÄN</t>
        </is>
      </c>
      <c r="E550" t="inlineStr">
        <is>
          <t>RAGUNDA</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48065-2023</t>
        </is>
      </c>
      <c r="B551" s="1" t="n">
        <v>45204.94399305555</v>
      </c>
      <c r="C551" s="1" t="n">
        <v>46048</v>
      </c>
      <c r="D551" t="inlineStr">
        <is>
          <t>JÄMTLANDS LÄN</t>
        </is>
      </c>
      <c r="E551" t="inlineStr">
        <is>
          <t>RAGUNDA</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8679-2023</t>
        </is>
      </c>
      <c r="B552" s="1" t="n">
        <v>44977.98670138889</v>
      </c>
      <c r="C552" s="1" t="n">
        <v>46048</v>
      </c>
      <c r="D552" t="inlineStr">
        <is>
          <t>JÄMTLANDS LÄN</t>
        </is>
      </c>
      <c r="E552" t="inlineStr">
        <is>
          <t>RAGUNDA</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53935-2022</t>
        </is>
      </c>
      <c r="B553" s="1" t="n">
        <v>44880</v>
      </c>
      <c r="C553" s="1" t="n">
        <v>46048</v>
      </c>
      <c r="D553" t="inlineStr">
        <is>
          <t>JÄMTLANDS LÄN</t>
        </is>
      </c>
      <c r="E553" t="inlineStr">
        <is>
          <t>RAGUNDA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4592-2024</t>
        </is>
      </c>
      <c r="B554" s="1" t="n">
        <v>45327.94443287037</v>
      </c>
      <c r="C554" s="1" t="n">
        <v>46048</v>
      </c>
      <c r="D554" t="inlineStr">
        <is>
          <t>JÄMTLANDS LÄN</t>
        </is>
      </c>
      <c r="E554" t="inlineStr">
        <is>
          <t>RAGUNDA</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9325-2024</t>
        </is>
      </c>
      <c r="B555" s="1" t="n">
        <v>45358.95813657407</v>
      </c>
      <c r="C555" s="1" t="n">
        <v>46048</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5930-2025</t>
        </is>
      </c>
      <c r="B556" s="1" t="n">
        <v>45695.44724537037</v>
      </c>
      <c r="C556" s="1" t="n">
        <v>46048</v>
      </c>
      <c r="D556" t="inlineStr">
        <is>
          <t>JÄMTLANDS LÄN</t>
        </is>
      </c>
      <c r="E556" t="inlineStr">
        <is>
          <t>RAGUNDA</t>
        </is>
      </c>
      <c r="G556" t="n">
        <v>0.7</v>
      </c>
      <c r="H556" t="n">
        <v>0</v>
      </c>
      <c r="I556" t="n">
        <v>0</v>
      </c>
      <c r="J556" t="n">
        <v>0</v>
      </c>
      <c r="K556" t="n">
        <v>0</v>
      </c>
      <c r="L556" t="n">
        <v>0</v>
      </c>
      <c r="M556" t="n">
        <v>0</v>
      </c>
      <c r="N556" t="n">
        <v>0</v>
      </c>
      <c r="O556" t="n">
        <v>0</v>
      </c>
      <c r="P556" t="n">
        <v>0</v>
      </c>
      <c r="Q556" t="n">
        <v>0</v>
      </c>
      <c r="R556" s="2" t="inlineStr"/>
    </row>
    <row r="557" ht="15" customHeight="1">
      <c r="A557" t="inlineStr">
        <is>
          <t>A 60195-2023</t>
        </is>
      </c>
      <c r="B557" s="1" t="n">
        <v>45257</v>
      </c>
      <c r="C557" s="1" t="n">
        <v>46048</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18284-2025</t>
        </is>
      </c>
      <c r="B558" s="1" t="n">
        <v>45762.39876157408</v>
      </c>
      <c r="C558" s="1" t="n">
        <v>46048</v>
      </c>
      <c r="D558" t="inlineStr">
        <is>
          <t>JÄMTLANDS LÄN</t>
        </is>
      </c>
      <c r="E558" t="inlineStr">
        <is>
          <t>RAGUNDA</t>
        </is>
      </c>
      <c r="G558" t="n">
        <v>0.2</v>
      </c>
      <c r="H558" t="n">
        <v>0</v>
      </c>
      <c r="I558" t="n">
        <v>0</v>
      </c>
      <c r="J558" t="n">
        <v>0</v>
      </c>
      <c r="K558" t="n">
        <v>0</v>
      </c>
      <c r="L558" t="n">
        <v>0</v>
      </c>
      <c r="M558" t="n">
        <v>0</v>
      </c>
      <c r="N558" t="n">
        <v>0</v>
      </c>
      <c r="O558" t="n">
        <v>0</v>
      </c>
      <c r="P558" t="n">
        <v>0</v>
      </c>
      <c r="Q558" t="n">
        <v>0</v>
      </c>
      <c r="R558" s="2" t="inlineStr"/>
      <c r="U558">
        <f>HYPERLINK("https://klasma.github.io/Logging_2303/knärot/A 18284-2025 karta knärot.png", "A 18284-2025")</f>
        <v/>
      </c>
      <c r="V558">
        <f>HYPERLINK("https://klasma.github.io/Logging_2303/klagomål/A 18284-2025 FSC-klagomål.docx", "A 18284-2025")</f>
        <v/>
      </c>
      <c r="W558">
        <f>HYPERLINK("https://klasma.github.io/Logging_2303/klagomålsmail/A 18284-2025 FSC-klagomål mail.docx", "A 18284-2025")</f>
        <v/>
      </c>
      <c r="X558">
        <f>HYPERLINK("https://klasma.github.io/Logging_2303/tillsyn/A 18284-2025 tillsynsbegäran.docx", "A 18284-2025")</f>
        <v/>
      </c>
      <c r="Y558">
        <f>HYPERLINK("https://klasma.github.io/Logging_2303/tillsynsmail/A 18284-2025 tillsynsbegäran mail.docx", "A 18284-2025")</f>
        <v/>
      </c>
    </row>
    <row r="559" ht="15" customHeight="1">
      <c r="A559" t="inlineStr">
        <is>
          <t>A 57170-2024</t>
        </is>
      </c>
      <c r="B559" s="1" t="n">
        <v>45629.42759259259</v>
      </c>
      <c r="C559" s="1" t="n">
        <v>46048</v>
      </c>
      <c r="D559" t="inlineStr">
        <is>
          <t>JÄMTLANDS LÄN</t>
        </is>
      </c>
      <c r="E559" t="inlineStr">
        <is>
          <t>RAGUNDA</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22981-2023</t>
        </is>
      </c>
      <c r="B560" s="1" t="n">
        <v>45072.92737268518</v>
      </c>
      <c r="C560" s="1" t="n">
        <v>46048</v>
      </c>
      <c r="D560" t="inlineStr">
        <is>
          <t>JÄMTLANDS LÄN</t>
        </is>
      </c>
      <c r="E560" t="inlineStr">
        <is>
          <t>RAGUNDA</t>
        </is>
      </c>
      <c r="G560" t="n">
        <v>3.8</v>
      </c>
      <c r="H560" t="n">
        <v>0</v>
      </c>
      <c r="I560" t="n">
        <v>0</v>
      </c>
      <c r="J560" t="n">
        <v>0</v>
      </c>
      <c r="K560" t="n">
        <v>0</v>
      </c>
      <c r="L560" t="n">
        <v>0</v>
      </c>
      <c r="M560" t="n">
        <v>0</v>
      </c>
      <c r="N560" t="n">
        <v>0</v>
      </c>
      <c r="O560" t="n">
        <v>0</v>
      </c>
      <c r="P560" t="n">
        <v>0</v>
      </c>
      <c r="Q560" t="n">
        <v>0</v>
      </c>
      <c r="R560" s="2" t="inlineStr"/>
    </row>
    <row r="561" ht="15" customHeight="1">
      <c r="A561" t="inlineStr">
        <is>
          <t>A 19263-2025</t>
        </is>
      </c>
      <c r="B561" s="1" t="n">
        <v>45769.51075231482</v>
      </c>
      <c r="C561" s="1" t="n">
        <v>46048</v>
      </c>
      <c r="D561" t="inlineStr">
        <is>
          <t>JÄMTLANDS LÄN</t>
        </is>
      </c>
      <c r="E561" t="inlineStr">
        <is>
          <t>RAGUNDA</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24158-2025</t>
        </is>
      </c>
      <c r="B562" s="1" t="n">
        <v>45796</v>
      </c>
      <c r="C562" s="1" t="n">
        <v>46048</v>
      </c>
      <c r="D562" t="inlineStr">
        <is>
          <t>JÄMTLANDS LÄN</t>
        </is>
      </c>
      <c r="E562" t="inlineStr">
        <is>
          <t>RAGUNDA</t>
        </is>
      </c>
      <c r="G562" t="n">
        <v>2.9</v>
      </c>
      <c r="H562" t="n">
        <v>0</v>
      </c>
      <c r="I562" t="n">
        <v>0</v>
      </c>
      <c r="J562" t="n">
        <v>0</v>
      </c>
      <c r="K562" t="n">
        <v>0</v>
      </c>
      <c r="L562" t="n">
        <v>0</v>
      </c>
      <c r="M562" t="n">
        <v>0</v>
      </c>
      <c r="N562" t="n">
        <v>0</v>
      </c>
      <c r="O562" t="n">
        <v>0</v>
      </c>
      <c r="P562" t="n">
        <v>0</v>
      </c>
      <c r="Q562" t="n">
        <v>0</v>
      </c>
      <c r="R562" s="2" t="inlineStr"/>
      <c r="U562">
        <f>HYPERLINK("https://klasma.github.io/Logging_2303/knärot/A 24158-2025 karta knärot.png", "A 24158-2025")</f>
        <v/>
      </c>
      <c r="V562">
        <f>HYPERLINK("https://klasma.github.io/Logging_2303/klagomål/A 24158-2025 FSC-klagomål.docx", "A 24158-2025")</f>
        <v/>
      </c>
      <c r="W562">
        <f>HYPERLINK("https://klasma.github.io/Logging_2303/klagomålsmail/A 24158-2025 FSC-klagomål mail.docx", "A 24158-2025")</f>
        <v/>
      </c>
      <c r="X562">
        <f>HYPERLINK("https://klasma.github.io/Logging_2303/tillsyn/A 24158-2025 tillsynsbegäran.docx", "A 24158-2025")</f>
        <v/>
      </c>
      <c r="Y562">
        <f>HYPERLINK("https://klasma.github.io/Logging_2303/tillsynsmail/A 24158-2025 tillsynsbegäran mail.docx", "A 24158-2025")</f>
        <v/>
      </c>
    </row>
    <row r="563" ht="15" customHeight="1">
      <c r="A563" t="inlineStr">
        <is>
          <t>A 24161-2025</t>
        </is>
      </c>
      <c r="B563" s="1" t="n">
        <v>45796</v>
      </c>
      <c r="C563" s="1" t="n">
        <v>46048</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41262-2021</t>
        </is>
      </c>
      <c r="B564" s="1" t="n">
        <v>44424</v>
      </c>
      <c r="C564" s="1" t="n">
        <v>46048</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20221-2025</t>
        </is>
      </c>
      <c r="B565" s="1" t="n">
        <v>45772.6565625</v>
      </c>
      <c r="C565" s="1" t="n">
        <v>46048</v>
      </c>
      <c r="D565" t="inlineStr">
        <is>
          <t>JÄMTLANDS LÄN</t>
        </is>
      </c>
      <c r="E565" t="inlineStr">
        <is>
          <t>RAGUNDA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44349.91978009259</v>
      </c>
      <c r="C566" s="1" t="n">
        <v>46048</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4015-2022</t>
        </is>
      </c>
      <c r="B567" s="1" t="n">
        <v>44587.92149305555</v>
      </c>
      <c r="C567" s="1" t="n">
        <v>46048</v>
      </c>
      <c r="D567" t="inlineStr">
        <is>
          <t>JÄMTLANDS LÄN</t>
        </is>
      </c>
      <c r="E567" t="inlineStr">
        <is>
          <t>RAGUNDA</t>
        </is>
      </c>
      <c r="G567" t="n">
        <v>3.9</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46048</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24391-2025</t>
        </is>
      </c>
      <c r="B569" s="1" t="n">
        <v>45797.63627314815</v>
      </c>
      <c r="C569" s="1" t="n">
        <v>46048</v>
      </c>
      <c r="D569" t="inlineStr">
        <is>
          <t>JÄMTLANDS LÄN</t>
        </is>
      </c>
      <c r="E569" t="inlineStr">
        <is>
          <t>RAGUNDA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46546-2023</t>
        </is>
      </c>
      <c r="B570" s="1" t="n">
        <v>45197.94152777778</v>
      </c>
      <c r="C570" s="1" t="n">
        <v>46048</v>
      </c>
      <c r="D570" t="inlineStr">
        <is>
          <t>JÄMTLANDS LÄN</t>
        </is>
      </c>
      <c r="E570" t="inlineStr">
        <is>
          <t>RAGUNDA</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19865-2023</t>
        </is>
      </c>
      <c r="B571" s="1" t="n">
        <v>45053.94305555556</v>
      </c>
      <c r="C571" s="1" t="n">
        <v>46048</v>
      </c>
      <c r="D571" t="inlineStr">
        <is>
          <t>JÄMTLANDS LÄN</t>
        </is>
      </c>
      <c r="E571" t="inlineStr">
        <is>
          <t>RAGUNDA</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8416-2023</t>
        </is>
      </c>
      <c r="B572" s="1" t="n">
        <v>44977.44373842593</v>
      </c>
      <c r="C572" s="1" t="n">
        <v>46048</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8795-2022</t>
        </is>
      </c>
      <c r="B573" s="1" t="n">
        <v>44614</v>
      </c>
      <c r="C573" s="1" t="n">
        <v>46048</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45253-2023</t>
        </is>
      </c>
      <c r="B574" s="1" t="n">
        <v>45187</v>
      </c>
      <c r="C574" s="1" t="n">
        <v>46048</v>
      </c>
      <c r="D574" t="inlineStr">
        <is>
          <t>JÄMTLANDS LÄN</t>
        </is>
      </c>
      <c r="E574" t="inlineStr">
        <is>
          <t>RAGUNDA</t>
        </is>
      </c>
      <c r="G574" t="n">
        <v>3.3</v>
      </c>
      <c r="H574" t="n">
        <v>0</v>
      </c>
      <c r="I574" t="n">
        <v>0</v>
      </c>
      <c r="J574" t="n">
        <v>0</v>
      </c>
      <c r="K574" t="n">
        <v>0</v>
      </c>
      <c r="L574" t="n">
        <v>0</v>
      </c>
      <c r="M574" t="n">
        <v>0</v>
      </c>
      <c r="N574" t="n">
        <v>0</v>
      </c>
      <c r="O574" t="n">
        <v>0</v>
      </c>
      <c r="P574" t="n">
        <v>0</v>
      </c>
      <c r="Q574" t="n">
        <v>0</v>
      </c>
      <c r="R574" s="2" t="inlineStr"/>
    </row>
    <row r="575" ht="15" customHeight="1">
      <c r="A575" t="inlineStr">
        <is>
          <t>A 14369-2024</t>
        </is>
      </c>
      <c r="B575" s="1" t="n">
        <v>45393.94459490741</v>
      </c>
      <c r="C575" s="1" t="n">
        <v>46048</v>
      </c>
      <c r="D575" t="inlineStr">
        <is>
          <t>JÄMTLANDS LÄN</t>
        </is>
      </c>
      <c r="E575" t="inlineStr">
        <is>
          <t>RAGUNDA</t>
        </is>
      </c>
      <c r="F575" t="inlineStr">
        <is>
          <t>Naturvårdsverket</t>
        </is>
      </c>
      <c r="G575" t="n">
        <v>1.8</v>
      </c>
      <c r="H575" t="n">
        <v>0</v>
      </c>
      <c r="I575" t="n">
        <v>0</v>
      </c>
      <c r="J575" t="n">
        <v>0</v>
      </c>
      <c r="K575" t="n">
        <v>0</v>
      </c>
      <c r="L575" t="n">
        <v>0</v>
      </c>
      <c r="M575" t="n">
        <v>0</v>
      </c>
      <c r="N575" t="n">
        <v>0</v>
      </c>
      <c r="O575" t="n">
        <v>0</v>
      </c>
      <c r="P575" t="n">
        <v>0</v>
      </c>
      <c r="Q575" t="n">
        <v>0</v>
      </c>
      <c r="R575" s="2" t="inlineStr"/>
    </row>
    <row r="576" ht="15" customHeight="1">
      <c r="A576" t="inlineStr">
        <is>
          <t>A 35265-2023</t>
        </is>
      </c>
      <c r="B576" s="1" t="n">
        <v>45145.95326388889</v>
      </c>
      <c r="C576" s="1" t="n">
        <v>46048</v>
      </c>
      <c r="D576" t="inlineStr">
        <is>
          <t>JÄMTLANDS LÄN</t>
        </is>
      </c>
      <c r="E576" t="inlineStr">
        <is>
          <t>RAGUNDA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5148-2023</t>
        </is>
      </c>
      <c r="B577" s="1" t="n">
        <v>44958</v>
      </c>
      <c r="C577" s="1" t="n">
        <v>46048</v>
      </c>
      <c r="D577" t="inlineStr">
        <is>
          <t>JÄMTLANDS LÄN</t>
        </is>
      </c>
      <c r="E577" t="inlineStr">
        <is>
          <t>RAGUNDA</t>
        </is>
      </c>
      <c r="G577" t="n">
        <v>2.9</v>
      </c>
      <c r="H577" t="n">
        <v>0</v>
      </c>
      <c r="I577" t="n">
        <v>0</v>
      </c>
      <c r="J577" t="n">
        <v>0</v>
      </c>
      <c r="K577" t="n">
        <v>0</v>
      </c>
      <c r="L577" t="n">
        <v>0</v>
      </c>
      <c r="M577" t="n">
        <v>0</v>
      </c>
      <c r="N577" t="n">
        <v>0</v>
      </c>
      <c r="O577" t="n">
        <v>0</v>
      </c>
      <c r="P577" t="n">
        <v>0</v>
      </c>
      <c r="Q577" t="n">
        <v>0</v>
      </c>
      <c r="R577" s="2" t="inlineStr"/>
    </row>
    <row r="578" ht="15" customHeight="1">
      <c r="A578" t="inlineStr">
        <is>
          <t>A 62407-2023</t>
        </is>
      </c>
      <c r="B578" s="1" t="n">
        <v>45266</v>
      </c>
      <c r="C578" s="1" t="n">
        <v>46048</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66471-2021</t>
        </is>
      </c>
      <c r="B579" s="1" t="n">
        <v>44518</v>
      </c>
      <c r="C579" s="1" t="n">
        <v>46048</v>
      </c>
      <c r="D579" t="inlineStr">
        <is>
          <t>JÄMTLANDS LÄN</t>
        </is>
      </c>
      <c r="E579" t="inlineStr">
        <is>
          <t>RAGUNDA</t>
        </is>
      </c>
      <c r="G579" t="n">
        <v>13.4</v>
      </c>
      <c r="H579" t="n">
        <v>0</v>
      </c>
      <c r="I579" t="n">
        <v>0</v>
      </c>
      <c r="J579" t="n">
        <v>0</v>
      </c>
      <c r="K579" t="n">
        <v>0</v>
      </c>
      <c r="L579" t="n">
        <v>0</v>
      </c>
      <c r="M579" t="n">
        <v>0</v>
      </c>
      <c r="N579" t="n">
        <v>0</v>
      </c>
      <c r="O579" t="n">
        <v>0</v>
      </c>
      <c r="P579" t="n">
        <v>0</v>
      </c>
      <c r="Q579" t="n">
        <v>0</v>
      </c>
      <c r="R579" s="2" t="inlineStr"/>
    </row>
    <row r="580" ht="15" customHeight="1">
      <c r="A580" t="inlineStr">
        <is>
          <t>A 18778-2024</t>
        </is>
      </c>
      <c r="B580" s="1" t="n">
        <v>45426</v>
      </c>
      <c r="C580" s="1" t="n">
        <v>46048</v>
      </c>
      <c r="D580" t="inlineStr">
        <is>
          <t>JÄMTLANDS LÄN</t>
        </is>
      </c>
      <c r="E580" t="inlineStr">
        <is>
          <t>RAGUNDA</t>
        </is>
      </c>
      <c r="G580" t="n">
        <v>0.9</v>
      </c>
      <c r="H580" t="n">
        <v>0</v>
      </c>
      <c r="I580" t="n">
        <v>0</v>
      </c>
      <c r="J580" t="n">
        <v>0</v>
      </c>
      <c r="K580" t="n">
        <v>0</v>
      </c>
      <c r="L580" t="n">
        <v>0</v>
      </c>
      <c r="M580" t="n">
        <v>0</v>
      </c>
      <c r="N580" t="n">
        <v>0</v>
      </c>
      <c r="O580" t="n">
        <v>0</v>
      </c>
      <c r="P580" t="n">
        <v>0</v>
      </c>
      <c r="Q580" t="n">
        <v>0</v>
      </c>
      <c r="R580" s="2" t="inlineStr"/>
    </row>
    <row r="581" ht="15" customHeight="1">
      <c r="A581" t="inlineStr">
        <is>
          <t>A 59556-2024</t>
        </is>
      </c>
      <c r="B581" s="1" t="n">
        <v>45638.63600694444</v>
      </c>
      <c r="C581" s="1" t="n">
        <v>46048</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21524-2024</t>
        </is>
      </c>
      <c r="B582" s="1" t="n">
        <v>45441</v>
      </c>
      <c r="C582" s="1" t="n">
        <v>46048</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564-2025</t>
        </is>
      </c>
      <c r="B583" s="1" t="n">
        <v>45664.55241898148</v>
      </c>
      <c r="C583" s="1" t="n">
        <v>46048</v>
      </c>
      <c r="D583" t="inlineStr">
        <is>
          <t>JÄMTLANDS LÄN</t>
        </is>
      </c>
      <c r="E583" t="inlineStr">
        <is>
          <t>RAGUNDA</t>
        </is>
      </c>
      <c r="F583" t="inlineStr">
        <is>
          <t>SCA</t>
        </is>
      </c>
      <c r="G583" t="n">
        <v>7</v>
      </c>
      <c r="H583" t="n">
        <v>0</v>
      </c>
      <c r="I583" t="n">
        <v>0</v>
      </c>
      <c r="J583" t="n">
        <v>0</v>
      </c>
      <c r="K583" t="n">
        <v>0</v>
      </c>
      <c r="L583" t="n">
        <v>0</v>
      </c>
      <c r="M583" t="n">
        <v>0</v>
      </c>
      <c r="N583" t="n">
        <v>0</v>
      </c>
      <c r="O583" t="n">
        <v>0</v>
      </c>
      <c r="P583" t="n">
        <v>0</v>
      </c>
      <c r="Q583" t="n">
        <v>0</v>
      </c>
      <c r="R583" s="2" t="inlineStr"/>
    </row>
    <row r="584" ht="15" customHeight="1">
      <c r="A584" t="inlineStr">
        <is>
          <t>A 182-2023</t>
        </is>
      </c>
      <c r="B584" s="1" t="n">
        <v>44922</v>
      </c>
      <c r="C584" s="1" t="n">
        <v>46048</v>
      </c>
      <c r="D584" t="inlineStr">
        <is>
          <t>JÄMTLANDS LÄN</t>
        </is>
      </c>
      <c r="E584" t="inlineStr">
        <is>
          <t>RAGUNDA</t>
        </is>
      </c>
      <c r="G584" t="n">
        <v>1.4</v>
      </c>
      <c r="H584" t="n">
        <v>0</v>
      </c>
      <c r="I584" t="n">
        <v>0</v>
      </c>
      <c r="J584" t="n">
        <v>0</v>
      </c>
      <c r="K584" t="n">
        <v>0</v>
      </c>
      <c r="L584" t="n">
        <v>0</v>
      </c>
      <c r="M584" t="n">
        <v>0</v>
      </c>
      <c r="N584" t="n">
        <v>0</v>
      </c>
      <c r="O584" t="n">
        <v>0</v>
      </c>
      <c r="P584" t="n">
        <v>0</v>
      </c>
      <c r="Q584" t="n">
        <v>0</v>
      </c>
      <c r="R584" s="2" t="inlineStr"/>
    </row>
    <row r="585" ht="15" customHeight="1">
      <c r="A585" t="inlineStr">
        <is>
          <t>A 38191-2024</t>
        </is>
      </c>
      <c r="B585" s="1" t="n">
        <v>45545.49078703704</v>
      </c>
      <c r="C585" s="1" t="n">
        <v>46048</v>
      </c>
      <c r="D585" t="inlineStr">
        <is>
          <t>JÄMTLANDS LÄN</t>
        </is>
      </c>
      <c r="E585" t="inlineStr">
        <is>
          <t>RAGUNDA</t>
        </is>
      </c>
      <c r="G585" t="n">
        <v>1.6</v>
      </c>
      <c r="H585" t="n">
        <v>0</v>
      </c>
      <c r="I585" t="n">
        <v>0</v>
      </c>
      <c r="J585" t="n">
        <v>0</v>
      </c>
      <c r="K585" t="n">
        <v>0</v>
      </c>
      <c r="L585" t="n">
        <v>0</v>
      </c>
      <c r="M585" t="n">
        <v>0</v>
      </c>
      <c r="N585" t="n">
        <v>0</v>
      </c>
      <c r="O585" t="n">
        <v>0</v>
      </c>
      <c r="P585" t="n">
        <v>0</v>
      </c>
      <c r="Q585" t="n">
        <v>0</v>
      </c>
      <c r="R585" s="2" t="inlineStr"/>
    </row>
    <row r="586" ht="15" customHeight="1">
      <c r="A586" t="inlineStr">
        <is>
          <t>A 6490-2022</t>
        </is>
      </c>
      <c r="B586" s="1" t="n">
        <v>44601</v>
      </c>
      <c r="C586" s="1" t="n">
        <v>46048</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50555-2024</t>
        </is>
      </c>
      <c r="B587" s="1" t="n">
        <v>45601.59518518519</v>
      </c>
      <c r="C587" s="1" t="n">
        <v>46048</v>
      </c>
      <c r="D587" t="inlineStr">
        <is>
          <t>JÄMTLANDS LÄN</t>
        </is>
      </c>
      <c r="E587" t="inlineStr">
        <is>
          <t>RAGUNDA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16529-2022</t>
        </is>
      </c>
      <c r="B588" s="1" t="n">
        <v>44671</v>
      </c>
      <c r="C588" s="1" t="n">
        <v>46048</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6802-2021</t>
        </is>
      </c>
      <c r="B589" s="1" t="n">
        <v>44236</v>
      </c>
      <c r="C589" s="1" t="n">
        <v>46048</v>
      </c>
      <c r="D589" t="inlineStr">
        <is>
          <t>JÄMTLANDS LÄN</t>
        </is>
      </c>
      <c r="E589" t="inlineStr">
        <is>
          <t>RAGUNDA</t>
        </is>
      </c>
      <c r="G589" t="n">
        <v>11.2</v>
      </c>
      <c r="H589" t="n">
        <v>0</v>
      </c>
      <c r="I589" t="n">
        <v>0</v>
      </c>
      <c r="J589" t="n">
        <v>0</v>
      </c>
      <c r="K589" t="n">
        <v>0</v>
      </c>
      <c r="L589" t="n">
        <v>0</v>
      </c>
      <c r="M589" t="n">
        <v>0</v>
      </c>
      <c r="N589" t="n">
        <v>0</v>
      </c>
      <c r="O589" t="n">
        <v>0</v>
      </c>
      <c r="P589" t="n">
        <v>0</v>
      </c>
      <c r="Q589" t="n">
        <v>0</v>
      </c>
      <c r="R589" s="2" t="inlineStr"/>
    </row>
    <row r="590" ht="15" customHeight="1">
      <c r="A590" t="inlineStr">
        <is>
          <t>A 6477-2024</t>
        </is>
      </c>
      <c r="B590" s="1" t="n">
        <v>45338.95405092592</v>
      </c>
      <c r="C590" s="1" t="n">
        <v>46048</v>
      </c>
      <c r="D590" t="inlineStr">
        <is>
          <t>JÄMTLANDS LÄN</t>
        </is>
      </c>
      <c r="E590" t="inlineStr">
        <is>
          <t>RAGUNDA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59658-2023</t>
        </is>
      </c>
      <c r="B591" s="1" t="n">
        <v>45254.96402777778</v>
      </c>
      <c r="C591" s="1" t="n">
        <v>46048</v>
      </c>
      <c r="D591" t="inlineStr">
        <is>
          <t>JÄMTLANDS LÄN</t>
        </is>
      </c>
      <c r="E591" t="inlineStr">
        <is>
          <t>RAGUNDA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49649-2024</t>
        </is>
      </c>
      <c r="B592" s="1" t="n">
        <v>45596.61553240741</v>
      </c>
      <c r="C592" s="1" t="n">
        <v>46048</v>
      </c>
      <c r="D592" t="inlineStr">
        <is>
          <t>JÄMTLANDS LÄN</t>
        </is>
      </c>
      <c r="E592" t="inlineStr">
        <is>
          <t>RAGUNDA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61934-2022</t>
        </is>
      </c>
      <c r="B593" s="1" t="n">
        <v>44917</v>
      </c>
      <c r="C593" s="1" t="n">
        <v>46048</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8678-2023</t>
        </is>
      </c>
      <c r="B594" s="1" t="n">
        <v>44977.98660879629</v>
      </c>
      <c r="C594" s="1" t="n">
        <v>46048</v>
      </c>
      <c r="D594" t="inlineStr">
        <is>
          <t>JÄMTLANDS LÄN</t>
        </is>
      </c>
      <c r="E594" t="inlineStr">
        <is>
          <t>RAGUNDA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18193-2022</t>
        </is>
      </c>
      <c r="B595" s="1" t="n">
        <v>44684.94032407407</v>
      </c>
      <c r="C595" s="1" t="n">
        <v>46048</v>
      </c>
      <c r="D595" t="inlineStr">
        <is>
          <t>JÄMTLANDS LÄN</t>
        </is>
      </c>
      <c r="E595" t="inlineStr">
        <is>
          <t>RAGUNDA</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11551-2024</t>
        </is>
      </c>
      <c r="B596" s="1" t="n">
        <v>45372.95762731481</v>
      </c>
      <c r="C596" s="1" t="n">
        <v>46048</v>
      </c>
      <c r="D596" t="inlineStr">
        <is>
          <t>JÄMTLANDS LÄN</t>
        </is>
      </c>
      <c r="E596" t="inlineStr">
        <is>
          <t>RAGUNDA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25631-2025</t>
        </is>
      </c>
      <c r="B597" s="1" t="n">
        <v>45803.5946875</v>
      </c>
      <c r="C597" s="1" t="n">
        <v>46048</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49647-2024</t>
        </is>
      </c>
      <c r="B598" s="1" t="n">
        <v>45596.61533564814</v>
      </c>
      <c r="C598" s="1" t="n">
        <v>46048</v>
      </c>
      <c r="D598" t="inlineStr">
        <is>
          <t>JÄMTLANDS LÄN</t>
        </is>
      </c>
      <c r="E598" t="inlineStr">
        <is>
          <t>RAGUNDA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2831-2024</t>
        </is>
      </c>
      <c r="B599" s="1" t="n">
        <v>45314.92758101852</v>
      </c>
      <c r="C599" s="1" t="n">
        <v>46048</v>
      </c>
      <c r="D599" t="inlineStr">
        <is>
          <t>JÄMTLANDS LÄN</t>
        </is>
      </c>
      <c r="E599" t="inlineStr">
        <is>
          <t>RAGUNDA</t>
        </is>
      </c>
      <c r="G599" t="n">
        <v>0.6</v>
      </c>
      <c r="H599" t="n">
        <v>0</v>
      </c>
      <c r="I599" t="n">
        <v>0</v>
      </c>
      <c r="J599" t="n">
        <v>0</v>
      </c>
      <c r="K599" t="n">
        <v>0</v>
      </c>
      <c r="L599" t="n">
        <v>0</v>
      </c>
      <c r="M599" t="n">
        <v>0</v>
      </c>
      <c r="N599" t="n">
        <v>0</v>
      </c>
      <c r="O599" t="n">
        <v>0</v>
      </c>
      <c r="P599" t="n">
        <v>0</v>
      </c>
      <c r="Q599" t="n">
        <v>0</v>
      </c>
      <c r="R599" s="2" t="inlineStr"/>
    </row>
    <row r="600" ht="15" customHeight="1">
      <c r="A600" t="inlineStr">
        <is>
          <t>A 28742-2023</t>
        </is>
      </c>
      <c r="B600" s="1" t="n">
        <v>45103</v>
      </c>
      <c r="C600" s="1" t="n">
        <v>46048</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25376-2025</t>
        </is>
      </c>
      <c r="B601" s="1" t="n">
        <v>45800.63619212963</v>
      </c>
      <c r="C601" s="1" t="n">
        <v>46048</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53740-2024</t>
        </is>
      </c>
      <c r="B602" s="1" t="n">
        <v>45615.47091435185</v>
      </c>
      <c r="C602" s="1" t="n">
        <v>46048</v>
      </c>
      <c r="D602" t="inlineStr">
        <is>
          <t>JÄMTLANDS LÄN</t>
        </is>
      </c>
      <c r="E602" t="inlineStr">
        <is>
          <t>RAGUNDA</t>
        </is>
      </c>
      <c r="G602" t="n">
        <v>2.7</v>
      </c>
      <c r="H602" t="n">
        <v>0</v>
      </c>
      <c r="I602" t="n">
        <v>0</v>
      </c>
      <c r="J602" t="n">
        <v>0</v>
      </c>
      <c r="K602" t="n">
        <v>0</v>
      </c>
      <c r="L602" t="n">
        <v>0</v>
      </c>
      <c r="M602" t="n">
        <v>0</v>
      </c>
      <c r="N602" t="n">
        <v>0</v>
      </c>
      <c r="O602" t="n">
        <v>0</v>
      </c>
      <c r="P602" t="n">
        <v>0</v>
      </c>
      <c r="Q602" t="n">
        <v>0</v>
      </c>
      <c r="R602" s="2" t="inlineStr"/>
    </row>
    <row r="603" ht="15" customHeight="1">
      <c r="A603" t="inlineStr">
        <is>
          <t>A 17323-2025</t>
        </is>
      </c>
      <c r="B603" s="1" t="n">
        <v>45756.63601851852</v>
      </c>
      <c r="C603" s="1" t="n">
        <v>46048</v>
      </c>
      <c r="D603" t="inlineStr">
        <is>
          <t>JÄMTLANDS LÄN</t>
        </is>
      </c>
      <c r="E603" t="inlineStr">
        <is>
          <t>RAGUNDA</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59372-2024</t>
        </is>
      </c>
      <c r="B604" s="1" t="n">
        <v>45638.34431712963</v>
      </c>
      <c r="C604" s="1" t="n">
        <v>46048</v>
      </c>
      <c r="D604" t="inlineStr">
        <is>
          <t>JÄMTLANDS LÄN</t>
        </is>
      </c>
      <c r="E604" t="inlineStr">
        <is>
          <t>RAGUNDA</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25175-2025</t>
        </is>
      </c>
      <c r="B605" s="1" t="n">
        <v>45800.44822916666</v>
      </c>
      <c r="C605" s="1" t="n">
        <v>46048</v>
      </c>
      <c r="D605" t="inlineStr">
        <is>
          <t>JÄMTLANDS LÄN</t>
        </is>
      </c>
      <c r="E605" t="inlineStr">
        <is>
          <t>RAGUNDA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25177-2025</t>
        </is>
      </c>
      <c r="B606" s="1" t="n">
        <v>45800.44862268519</v>
      </c>
      <c r="C606" s="1" t="n">
        <v>46048</v>
      </c>
      <c r="D606" t="inlineStr">
        <is>
          <t>JÄMTLANDS LÄN</t>
        </is>
      </c>
      <c r="E606" t="inlineStr">
        <is>
          <t>RAGUNDA</t>
        </is>
      </c>
      <c r="F606" t="inlineStr">
        <is>
          <t>SCA</t>
        </is>
      </c>
      <c r="G606" t="n">
        <v>3.3</v>
      </c>
      <c r="H606" t="n">
        <v>0</v>
      </c>
      <c r="I606" t="n">
        <v>0</v>
      </c>
      <c r="J606" t="n">
        <v>0</v>
      </c>
      <c r="K606" t="n">
        <v>0</v>
      </c>
      <c r="L606" t="n">
        <v>0</v>
      </c>
      <c r="M606" t="n">
        <v>0</v>
      </c>
      <c r="N606" t="n">
        <v>0</v>
      </c>
      <c r="O606" t="n">
        <v>0</v>
      </c>
      <c r="P606" t="n">
        <v>0</v>
      </c>
      <c r="Q606" t="n">
        <v>0</v>
      </c>
      <c r="R606" s="2" t="inlineStr"/>
    </row>
    <row r="607" ht="15" customHeight="1">
      <c r="A607" t="inlineStr">
        <is>
          <t>A 16364-2023</t>
        </is>
      </c>
      <c r="B607" s="1" t="n">
        <v>45028</v>
      </c>
      <c r="C607" s="1" t="n">
        <v>46048</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53264-2024</t>
        </is>
      </c>
      <c r="B608" s="1" t="n">
        <v>45614.34545138889</v>
      </c>
      <c r="C608" s="1" t="n">
        <v>46048</v>
      </c>
      <c r="D608" t="inlineStr">
        <is>
          <t>JÄMTLANDS LÄN</t>
        </is>
      </c>
      <c r="E608" t="inlineStr">
        <is>
          <t>RAGUNDA</t>
        </is>
      </c>
      <c r="G608" t="n">
        <v>1.4</v>
      </c>
      <c r="H608" t="n">
        <v>0</v>
      </c>
      <c r="I608" t="n">
        <v>0</v>
      </c>
      <c r="J608" t="n">
        <v>0</v>
      </c>
      <c r="K608" t="n">
        <v>0</v>
      </c>
      <c r="L608" t="n">
        <v>0</v>
      </c>
      <c r="M608" t="n">
        <v>0</v>
      </c>
      <c r="N608" t="n">
        <v>0</v>
      </c>
      <c r="O608" t="n">
        <v>0</v>
      </c>
      <c r="P608" t="n">
        <v>0</v>
      </c>
      <c r="Q608" t="n">
        <v>0</v>
      </c>
      <c r="R608" s="2" t="inlineStr"/>
    </row>
    <row r="609" ht="15" customHeight="1">
      <c r="A609" t="inlineStr">
        <is>
          <t>A 59136-2023</t>
        </is>
      </c>
      <c r="B609" s="1" t="n">
        <v>45251</v>
      </c>
      <c r="C609" s="1" t="n">
        <v>46048</v>
      </c>
      <c r="D609" t="inlineStr">
        <is>
          <t>JÄMTLANDS LÄN</t>
        </is>
      </c>
      <c r="E609" t="inlineStr">
        <is>
          <t>RAGUNDA</t>
        </is>
      </c>
      <c r="G609" t="n">
        <v>1.7</v>
      </c>
      <c r="H609" t="n">
        <v>0</v>
      </c>
      <c r="I609" t="n">
        <v>0</v>
      </c>
      <c r="J609" t="n">
        <v>0</v>
      </c>
      <c r="K609" t="n">
        <v>0</v>
      </c>
      <c r="L609" t="n">
        <v>0</v>
      </c>
      <c r="M609" t="n">
        <v>0</v>
      </c>
      <c r="N609" t="n">
        <v>0</v>
      </c>
      <c r="O609" t="n">
        <v>0</v>
      </c>
      <c r="P609" t="n">
        <v>0</v>
      </c>
      <c r="Q609" t="n">
        <v>0</v>
      </c>
      <c r="R609" s="2" t="inlineStr"/>
    </row>
    <row r="610" ht="15" customHeight="1">
      <c r="A610" t="inlineStr">
        <is>
          <t>A 25659-2025</t>
        </is>
      </c>
      <c r="B610" s="1" t="n">
        <v>45803.61552083334</v>
      </c>
      <c r="C610" s="1" t="n">
        <v>46048</v>
      </c>
      <c r="D610" t="inlineStr">
        <is>
          <t>JÄMTLANDS LÄN</t>
        </is>
      </c>
      <c r="E610" t="inlineStr">
        <is>
          <t>RAGUNDA</t>
        </is>
      </c>
      <c r="G610" t="n">
        <v>1.5</v>
      </c>
      <c r="H610" t="n">
        <v>0</v>
      </c>
      <c r="I610" t="n">
        <v>0</v>
      </c>
      <c r="J610" t="n">
        <v>0</v>
      </c>
      <c r="K610" t="n">
        <v>0</v>
      </c>
      <c r="L610" t="n">
        <v>0</v>
      </c>
      <c r="M610" t="n">
        <v>0</v>
      </c>
      <c r="N610" t="n">
        <v>0</v>
      </c>
      <c r="O610" t="n">
        <v>0</v>
      </c>
      <c r="P610" t="n">
        <v>0</v>
      </c>
      <c r="Q610" t="n">
        <v>0</v>
      </c>
      <c r="R610" s="2" t="inlineStr"/>
    </row>
    <row r="611" ht="15" customHeight="1">
      <c r="A611" t="inlineStr">
        <is>
          <t>A 25661-2025</t>
        </is>
      </c>
      <c r="B611" s="1" t="n">
        <v>45803.61557870371</v>
      </c>
      <c r="C611" s="1" t="n">
        <v>46048</v>
      </c>
      <c r="D611" t="inlineStr">
        <is>
          <t>JÄMTLANDS LÄN</t>
        </is>
      </c>
      <c r="E611" t="inlineStr">
        <is>
          <t>RAGUNDA</t>
        </is>
      </c>
      <c r="G611" t="n">
        <v>1.4</v>
      </c>
      <c r="H611" t="n">
        <v>0</v>
      </c>
      <c r="I611" t="n">
        <v>0</v>
      </c>
      <c r="J611" t="n">
        <v>0</v>
      </c>
      <c r="K611" t="n">
        <v>0</v>
      </c>
      <c r="L611" t="n">
        <v>0</v>
      </c>
      <c r="M611" t="n">
        <v>0</v>
      </c>
      <c r="N611" t="n">
        <v>0</v>
      </c>
      <c r="O611" t="n">
        <v>0</v>
      </c>
      <c r="P611" t="n">
        <v>0</v>
      </c>
      <c r="Q611" t="n">
        <v>0</v>
      </c>
      <c r="R611" s="2" t="inlineStr"/>
    </row>
    <row r="612" ht="15" customHeight="1">
      <c r="A612" t="inlineStr">
        <is>
          <t>A 13389-2025</t>
        </is>
      </c>
      <c r="B612" s="1" t="n">
        <v>45735.69842592593</v>
      </c>
      <c r="C612" s="1" t="n">
        <v>46048</v>
      </c>
      <c r="D612" t="inlineStr">
        <is>
          <t>JÄMTLANDS LÄN</t>
        </is>
      </c>
      <c r="E612" t="inlineStr">
        <is>
          <t>RAGUNDA</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25350-2025</t>
        </is>
      </c>
      <c r="B613" s="1" t="n">
        <v>45800</v>
      </c>
      <c r="C613" s="1" t="n">
        <v>46048</v>
      </c>
      <c r="D613" t="inlineStr">
        <is>
          <t>JÄMTLANDS LÄN</t>
        </is>
      </c>
      <c r="E613" t="inlineStr">
        <is>
          <t>RAGUNDA</t>
        </is>
      </c>
      <c r="G613" t="n">
        <v>2.4</v>
      </c>
      <c r="H613" t="n">
        <v>0</v>
      </c>
      <c r="I613" t="n">
        <v>0</v>
      </c>
      <c r="J613" t="n">
        <v>0</v>
      </c>
      <c r="K613" t="n">
        <v>0</v>
      </c>
      <c r="L613" t="n">
        <v>0</v>
      </c>
      <c r="M613" t="n">
        <v>0</v>
      </c>
      <c r="N613" t="n">
        <v>0</v>
      </c>
      <c r="O613" t="n">
        <v>0</v>
      </c>
      <c r="P613" t="n">
        <v>0</v>
      </c>
      <c r="Q613" t="n">
        <v>0</v>
      </c>
      <c r="R613" s="2" t="inlineStr"/>
    </row>
    <row r="614" ht="15" customHeight="1">
      <c r="A614" t="inlineStr">
        <is>
          <t>A 25152-2025</t>
        </is>
      </c>
      <c r="B614" s="1" t="n">
        <v>45800.42743055556</v>
      </c>
      <c r="C614" s="1" t="n">
        <v>46048</v>
      </c>
      <c r="D614" t="inlineStr">
        <is>
          <t>JÄMTLANDS LÄN</t>
        </is>
      </c>
      <c r="E614" t="inlineStr">
        <is>
          <t>RAGUNDA</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49659-2023</t>
        </is>
      </c>
      <c r="B615" s="1" t="n">
        <v>45211.95134259259</v>
      </c>
      <c r="C615" s="1" t="n">
        <v>46048</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12522-2023</t>
        </is>
      </c>
      <c r="B616" s="1" t="n">
        <v>45000</v>
      </c>
      <c r="C616" s="1" t="n">
        <v>46048</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12523-2023</t>
        </is>
      </c>
      <c r="B617" s="1" t="n">
        <v>45000</v>
      </c>
      <c r="C617" s="1" t="n">
        <v>46048</v>
      </c>
      <c r="D617" t="inlineStr">
        <is>
          <t>JÄMTLANDS LÄN</t>
        </is>
      </c>
      <c r="E617" t="inlineStr">
        <is>
          <t>RAGUNDA</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19613-2023</t>
        </is>
      </c>
      <c r="B618" s="1" t="n">
        <v>45050.94020833333</v>
      </c>
      <c r="C618" s="1" t="n">
        <v>46048</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24861-2023</t>
        </is>
      </c>
      <c r="B619" s="1" t="n">
        <v>45078</v>
      </c>
      <c r="C619" s="1" t="n">
        <v>46048</v>
      </c>
      <c r="D619" t="inlineStr">
        <is>
          <t>JÄMTLANDS LÄN</t>
        </is>
      </c>
      <c r="E619" t="inlineStr">
        <is>
          <t>RAGUNDA</t>
        </is>
      </c>
      <c r="G619" t="n">
        <v>1.3</v>
      </c>
      <c r="H619" t="n">
        <v>0</v>
      </c>
      <c r="I619" t="n">
        <v>0</v>
      </c>
      <c r="J619" t="n">
        <v>0</v>
      </c>
      <c r="K619" t="n">
        <v>0</v>
      </c>
      <c r="L619" t="n">
        <v>0</v>
      </c>
      <c r="M619" t="n">
        <v>0</v>
      </c>
      <c r="N619" t="n">
        <v>0</v>
      </c>
      <c r="O619" t="n">
        <v>0</v>
      </c>
      <c r="P619" t="n">
        <v>0</v>
      </c>
      <c r="Q619" t="n">
        <v>0</v>
      </c>
      <c r="R619" s="2" t="inlineStr"/>
    </row>
    <row r="620" ht="15" customHeight="1">
      <c r="A620" t="inlineStr">
        <is>
          <t>A 25814-2025</t>
        </is>
      </c>
      <c r="B620" s="1" t="n">
        <v>45804.42642361111</v>
      </c>
      <c r="C620" s="1" t="n">
        <v>46048</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25944-2025</t>
        </is>
      </c>
      <c r="B621" s="1" t="n">
        <v>45804.59487268519</v>
      </c>
      <c r="C621" s="1" t="n">
        <v>46048</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26283-2025</t>
        </is>
      </c>
      <c r="B622" s="1" t="n">
        <v>45805.61495370371</v>
      </c>
      <c r="C622" s="1" t="n">
        <v>46048</v>
      </c>
      <c r="D622" t="inlineStr">
        <is>
          <t>JÄMTLANDS LÄN</t>
        </is>
      </c>
      <c r="E622" t="inlineStr">
        <is>
          <t>RAGUNDA</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10788-2025</t>
        </is>
      </c>
      <c r="B623" s="1" t="n">
        <v>45722.48982638889</v>
      </c>
      <c r="C623" s="1" t="n">
        <v>46048</v>
      </c>
      <c r="D623" t="inlineStr">
        <is>
          <t>JÄMTLANDS LÄN</t>
        </is>
      </c>
      <c r="E623" t="inlineStr">
        <is>
          <t>RAGUNDA</t>
        </is>
      </c>
      <c r="G623" t="n">
        <v>3.5</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46048</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50521-2024</t>
        </is>
      </c>
      <c r="B625" s="1" t="n">
        <v>45601.55331018518</v>
      </c>
      <c r="C625" s="1" t="n">
        <v>46048</v>
      </c>
      <c r="D625" t="inlineStr">
        <is>
          <t>JÄMTLANDS LÄN</t>
        </is>
      </c>
      <c r="E625" t="inlineStr">
        <is>
          <t>RAGUNDA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25994-2025</t>
        </is>
      </c>
      <c r="B626" s="1" t="n">
        <v>45804.65672453704</v>
      </c>
      <c r="C626" s="1" t="n">
        <v>46048</v>
      </c>
      <c r="D626" t="inlineStr">
        <is>
          <t>JÄMTLANDS LÄN</t>
        </is>
      </c>
      <c r="E626" t="inlineStr">
        <is>
          <t>RAGUNDA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13905-2025</t>
        </is>
      </c>
      <c r="B627" s="1" t="n">
        <v>45737.63574074074</v>
      </c>
      <c r="C627" s="1" t="n">
        <v>46048</v>
      </c>
      <c r="D627" t="inlineStr">
        <is>
          <t>JÄMTLANDS LÄN</t>
        </is>
      </c>
      <c r="E627" t="inlineStr">
        <is>
          <t>RAGUNDA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13941-2025</t>
        </is>
      </c>
      <c r="B628" s="1" t="n">
        <v>45737.69822916666</v>
      </c>
      <c r="C628" s="1" t="n">
        <v>46048</v>
      </c>
      <c r="D628" t="inlineStr">
        <is>
          <t>JÄMTLANDS LÄN</t>
        </is>
      </c>
      <c r="E628" t="inlineStr">
        <is>
          <t>RAGUNDA</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4916-2025</t>
        </is>
      </c>
      <c r="B629" s="1" t="n">
        <v>45688.68196759259</v>
      </c>
      <c r="C629" s="1" t="n">
        <v>46048</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45631-2024</t>
        </is>
      </c>
      <c r="B630" s="1" t="n">
        <v>45579.47052083333</v>
      </c>
      <c r="C630" s="1" t="n">
        <v>46048</v>
      </c>
      <c r="D630" t="inlineStr">
        <is>
          <t>JÄMTLANDS LÄN</t>
        </is>
      </c>
      <c r="E630" t="inlineStr">
        <is>
          <t>RAGUNDA</t>
        </is>
      </c>
      <c r="G630" t="n">
        <v>15.1</v>
      </c>
      <c r="H630" t="n">
        <v>0</v>
      </c>
      <c r="I630" t="n">
        <v>0</v>
      </c>
      <c r="J630" t="n">
        <v>0</v>
      </c>
      <c r="K630" t="n">
        <v>0</v>
      </c>
      <c r="L630" t="n">
        <v>0</v>
      </c>
      <c r="M630" t="n">
        <v>0</v>
      </c>
      <c r="N630" t="n">
        <v>0</v>
      </c>
      <c r="O630" t="n">
        <v>0</v>
      </c>
      <c r="P630" t="n">
        <v>0</v>
      </c>
      <c r="Q630" t="n">
        <v>0</v>
      </c>
      <c r="R630" s="2" t="inlineStr"/>
    </row>
    <row r="631" ht="15" customHeight="1">
      <c r="A631" t="inlineStr">
        <is>
          <t>A 59557-2023</t>
        </is>
      </c>
      <c r="B631" s="1" t="n">
        <v>45253</v>
      </c>
      <c r="C631" s="1" t="n">
        <v>46048</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26172-2025</t>
        </is>
      </c>
      <c r="B632" s="1" t="n">
        <v>45805.46613425926</v>
      </c>
      <c r="C632" s="1" t="n">
        <v>46048</v>
      </c>
      <c r="D632" t="inlineStr">
        <is>
          <t>JÄMTLANDS LÄN</t>
        </is>
      </c>
      <c r="E632" t="inlineStr">
        <is>
          <t>RAGUNDA</t>
        </is>
      </c>
      <c r="G632" t="n">
        <v>2.1</v>
      </c>
      <c r="H632" t="n">
        <v>0</v>
      </c>
      <c r="I632" t="n">
        <v>0</v>
      </c>
      <c r="J632" t="n">
        <v>0</v>
      </c>
      <c r="K632" t="n">
        <v>0</v>
      </c>
      <c r="L632" t="n">
        <v>0</v>
      </c>
      <c r="M632" t="n">
        <v>0</v>
      </c>
      <c r="N632" t="n">
        <v>0</v>
      </c>
      <c r="O632" t="n">
        <v>0</v>
      </c>
      <c r="P632" t="n">
        <v>0</v>
      </c>
      <c r="Q632" t="n">
        <v>0</v>
      </c>
      <c r="R632" s="2" t="inlineStr"/>
    </row>
    <row r="633" ht="15" customHeight="1">
      <c r="A633" t="inlineStr">
        <is>
          <t>A 57112-2024</t>
        </is>
      </c>
      <c r="B633" s="1" t="n">
        <v>45629.36486111111</v>
      </c>
      <c r="C633" s="1" t="n">
        <v>46048</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53136-2024</t>
        </is>
      </c>
      <c r="B634" s="1" t="n">
        <v>45611.5953125</v>
      </c>
      <c r="C634" s="1" t="n">
        <v>46048</v>
      </c>
      <c r="D634" t="inlineStr">
        <is>
          <t>JÄMTLANDS LÄN</t>
        </is>
      </c>
      <c r="E634" t="inlineStr">
        <is>
          <t>RAGUNDA</t>
        </is>
      </c>
      <c r="G634" t="n">
        <v>3.8</v>
      </c>
      <c r="H634" t="n">
        <v>0</v>
      </c>
      <c r="I634" t="n">
        <v>0</v>
      </c>
      <c r="J634" t="n">
        <v>0</v>
      </c>
      <c r="K634" t="n">
        <v>0</v>
      </c>
      <c r="L634" t="n">
        <v>0</v>
      </c>
      <c r="M634" t="n">
        <v>0</v>
      </c>
      <c r="N634" t="n">
        <v>0</v>
      </c>
      <c r="O634" t="n">
        <v>0</v>
      </c>
      <c r="P634" t="n">
        <v>0</v>
      </c>
      <c r="Q634" t="n">
        <v>0</v>
      </c>
      <c r="R634" s="2" t="inlineStr"/>
    </row>
    <row r="635" ht="15" customHeight="1">
      <c r="A635" t="inlineStr">
        <is>
          <t>A 33621-2023</t>
        </is>
      </c>
      <c r="B635" s="1" t="n">
        <v>45119</v>
      </c>
      <c r="C635" s="1" t="n">
        <v>46048</v>
      </c>
      <c r="D635" t="inlineStr">
        <is>
          <t>JÄMTLANDS LÄN</t>
        </is>
      </c>
      <c r="E635" t="inlineStr">
        <is>
          <t>RAGUNDA</t>
        </is>
      </c>
      <c r="G635" t="n">
        <v>0.5</v>
      </c>
      <c r="H635" t="n">
        <v>0</v>
      </c>
      <c r="I635" t="n">
        <v>0</v>
      </c>
      <c r="J635" t="n">
        <v>0</v>
      </c>
      <c r="K635" t="n">
        <v>0</v>
      </c>
      <c r="L635" t="n">
        <v>0</v>
      </c>
      <c r="M635" t="n">
        <v>0</v>
      </c>
      <c r="N635" t="n">
        <v>0</v>
      </c>
      <c r="O635" t="n">
        <v>0</v>
      </c>
      <c r="P635" t="n">
        <v>0</v>
      </c>
      <c r="Q635" t="n">
        <v>0</v>
      </c>
      <c r="R635" s="2" t="inlineStr"/>
    </row>
    <row r="636" ht="15" customHeight="1">
      <c r="A636" t="inlineStr">
        <is>
          <t>A 6694-2024</t>
        </is>
      </c>
      <c r="B636" s="1" t="n">
        <v>45341.95381944445</v>
      </c>
      <c r="C636" s="1" t="n">
        <v>46048</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26246-2025</t>
        </is>
      </c>
      <c r="B637" s="1" t="n">
        <v>45805.57390046296</v>
      </c>
      <c r="C637" s="1" t="n">
        <v>46048</v>
      </c>
      <c r="D637" t="inlineStr">
        <is>
          <t>JÄMTLANDS LÄN</t>
        </is>
      </c>
      <c r="E637" t="inlineStr">
        <is>
          <t>RAGUNDA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1537-2024</t>
        </is>
      </c>
      <c r="B638" s="1" t="n">
        <v>45306</v>
      </c>
      <c r="C638" s="1" t="n">
        <v>46048</v>
      </c>
      <c r="D638" t="inlineStr">
        <is>
          <t>JÄMTLANDS LÄN</t>
        </is>
      </c>
      <c r="E638" t="inlineStr">
        <is>
          <t>RAGUNDA</t>
        </is>
      </c>
      <c r="G638" t="n">
        <v>0.2</v>
      </c>
      <c r="H638" t="n">
        <v>0</v>
      </c>
      <c r="I638" t="n">
        <v>0</v>
      </c>
      <c r="J638" t="n">
        <v>0</v>
      </c>
      <c r="K638" t="n">
        <v>0</v>
      </c>
      <c r="L638" t="n">
        <v>0</v>
      </c>
      <c r="M638" t="n">
        <v>0</v>
      </c>
      <c r="N638" t="n">
        <v>0</v>
      </c>
      <c r="O638" t="n">
        <v>0</v>
      </c>
      <c r="P638" t="n">
        <v>0</v>
      </c>
      <c r="Q638" t="n">
        <v>0</v>
      </c>
      <c r="R638" s="2" t="inlineStr"/>
    </row>
    <row r="639" ht="15" customHeight="1">
      <c r="A639" t="inlineStr">
        <is>
          <t>A 60935-2024</t>
        </is>
      </c>
      <c r="B639" s="1" t="n">
        <v>45645.36740740741</v>
      </c>
      <c r="C639" s="1" t="n">
        <v>46048</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51245-2024</t>
        </is>
      </c>
      <c r="B640" s="1" t="n">
        <v>45603.67850694444</v>
      </c>
      <c r="C640" s="1" t="n">
        <v>46048</v>
      </c>
      <c r="D640" t="inlineStr">
        <is>
          <t>JÄMTLANDS LÄN</t>
        </is>
      </c>
      <c r="E640" t="inlineStr">
        <is>
          <t>RAGUNDA</t>
        </is>
      </c>
      <c r="G640" t="n">
        <v>0.9</v>
      </c>
      <c r="H640" t="n">
        <v>0</v>
      </c>
      <c r="I640" t="n">
        <v>0</v>
      </c>
      <c r="J640" t="n">
        <v>0</v>
      </c>
      <c r="K640" t="n">
        <v>0</v>
      </c>
      <c r="L640" t="n">
        <v>0</v>
      </c>
      <c r="M640" t="n">
        <v>0</v>
      </c>
      <c r="N640" t="n">
        <v>0</v>
      </c>
      <c r="O640" t="n">
        <v>0</v>
      </c>
      <c r="P640" t="n">
        <v>0</v>
      </c>
      <c r="Q640" t="n">
        <v>0</v>
      </c>
      <c r="R640" s="2" t="inlineStr"/>
    </row>
    <row r="641" ht="15" customHeight="1">
      <c r="A641" t="inlineStr">
        <is>
          <t>A 73278-2021</t>
        </is>
      </c>
      <c r="B641" s="1" t="n">
        <v>44550.92168981482</v>
      </c>
      <c r="C641" s="1" t="n">
        <v>46048</v>
      </c>
      <c r="D641" t="inlineStr">
        <is>
          <t>JÄMTLANDS LÄN</t>
        </is>
      </c>
      <c r="E641" t="inlineStr">
        <is>
          <t>RAGUNDA</t>
        </is>
      </c>
      <c r="G641" t="n">
        <v>4.4</v>
      </c>
      <c r="H641" t="n">
        <v>0</v>
      </c>
      <c r="I641" t="n">
        <v>0</v>
      </c>
      <c r="J641" t="n">
        <v>0</v>
      </c>
      <c r="K641" t="n">
        <v>0</v>
      </c>
      <c r="L641" t="n">
        <v>0</v>
      </c>
      <c r="M641" t="n">
        <v>0</v>
      </c>
      <c r="N641" t="n">
        <v>0</v>
      </c>
      <c r="O641" t="n">
        <v>0</v>
      </c>
      <c r="P641" t="n">
        <v>0</v>
      </c>
      <c r="Q641" t="n">
        <v>0</v>
      </c>
      <c r="R641" s="2" t="inlineStr"/>
    </row>
    <row r="642" ht="15" customHeight="1">
      <c r="A642" t="inlineStr">
        <is>
          <t>A 6257-2025</t>
        </is>
      </c>
      <c r="B642" s="1" t="n">
        <v>45698.59409722222</v>
      </c>
      <c r="C642" s="1" t="n">
        <v>46048</v>
      </c>
      <c r="D642" t="inlineStr">
        <is>
          <t>JÄMTLANDS LÄN</t>
        </is>
      </c>
      <c r="E642" t="inlineStr">
        <is>
          <t>RAGUNDA</t>
        </is>
      </c>
      <c r="F642" t="inlineStr">
        <is>
          <t>SCA</t>
        </is>
      </c>
      <c r="G642" t="n">
        <v>7</v>
      </c>
      <c r="H642" t="n">
        <v>0</v>
      </c>
      <c r="I642" t="n">
        <v>0</v>
      </c>
      <c r="J642" t="n">
        <v>0</v>
      </c>
      <c r="K642" t="n">
        <v>0</v>
      </c>
      <c r="L642" t="n">
        <v>0</v>
      </c>
      <c r="M642" t="n">
        <v>0</v>
      </c>
      <c r="N642" t="n">
        <v>0</v>
      </c>
      <c r="O642" t="n">
        <v>0</v>
      </c>
      <c r="P642" t="n">
        <v>0</v>
      </c>
      <c r="Q642" t="n">
        <v>0</v>
      </c>
      <c r="R642" s="2" t="inlineStr"/>
    </row>
    <row r="643" ht="15" customHeight="1">
      <c r="A643" t="inlineStr">
        <is>
          <t>A 14074-2023</t>
        </is>
      </c>
      <c r="B643" s="1" t="n">
        <v>45009.089375</v>
      </c>
      <c r="C643" s="1" t="n">
        <v>46048</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37265-2024</t>
        </is>
      </c>
      <c r="B644" s="1" t="n">
        <v>45540.38564814815</v>
      </c>
      <c r="C644" s="1" t="n">
        <v>46048</v>
      </c>
      <c r="D644" t="inlineStr">
        <is>
          <t>JÄMTLANDS LÄN</t>
        </is>
      </c>
      <c r="E644" t="inlineStr">
        <is>
          <t>RAGUNDA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51396-2024</t>
        </is>
      </c>
      <c r="B645" s="1" t="n">
        <v>45604.4190625</v>
      </c>
      <c r="C645" s="1" t="n">
        <v>46048</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53955-2022</t>
        </is>
      </c>
      <c r="B646" s="1" t="n">
        <v>44880.95741898148</v>
      </c>
      <c r="C646" s="1" t="n">
        <v>46048</v>
      </c>
      <c r="D646" t="inlineStr">
        <is>
          <t>JÄMTLANDS LÄN</t>
        </is>
      </c>
      <c r="E646" t="inlineStr">
        <is>
          <t>RAGUNDA</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26640-2025</t>
        </is>
      </c>
      <c r="B647" s="1" t="n">
        <v>45810.36495370371</v>
      </c>
      <c r="C647" s="1" t="n">
        <v>46048</v>
      </c>
      <c r="D647" t="inlineStr">
        <is>
          <t>JÄMTLANDS LÄN</t>
        </is>
      </c>
      <c r="E647" t="inlineStr">
        <is>
          <t>RAGUNDA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18777-2024</t>
        </is>
      </c>
      <c r="B648" s="1" t="n">
        <v>45426</v>
      </c>
      <c r="C648" s="1" t="n">
        <v>46048</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41772-2024</t>
        </is>
      </c>
      <c r="B649" s="1" t="n">
        <v>45561.34663194444</v>
      </c>
      <c r="C649" s="1" t="n">
        <v>46048</v>
      </c>
      <c r="D649" t="inlineStr">
        <is>
          <t>JÄMTLANDS LÄN</t>
        </is>
      </c>
      <c r="E649" t="inlineStr">
        <is>
          <t>RAGUNDA</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58564-2024</t>
        </is>
      </c>
      <c r="B650" s="1" t="n">
        <v>45635.47243055556</v>
      </c>
      <c r="C650" s="1" t="n">
        <v>46048</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8243-2024</t>
        </is>
      </c>
      <c r="B651" s="1" t="n">
        <v>45351.98532407408</v>
      </c>
      <c r="C651" s="1" t="n">
        <v>46048</v>
      </c>
      <c r="D651" t="inlineStr">
        <is>
          <t>JÄMTLANDS LÄN</t>
        </is>
      </c>
      <c r="E651" t="inlineStr">
        <is>
          <t>RAGUNDA</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46048</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55701-2021</t>
        </is>
      </c>
      <c r="B653" s="1" t="n">
        <v>44475</v>
      </c>
      <c r="C653" s="1" t="n">
        <v>46048</v>
      </c>
      <c r="D653" t="inlineStr">
        <is>
          <t>JÄMTLANDS LÄN</t>
        </is>
      </c>
      <c r="E653" t="inlineStr">
        <is>
          <t>RAGUNDA</t>
        </is>
      </c>
      <c r="G653" t="n">
        <v>5.6</v>
      </c>
      <c r="H653" t="n">
        <v>0</v>
      </c>
      <c r="I653" t="n">
        <v>0</v>
      </c>
      <c r="J653" t="n">
        <v>0</v>
      </c>
      <c r="K653" t="n">
        <v>0</v>
      </c>
      <c r="L653" t="n">
        <v>0</v>
      </c>
      <c r="M653" t="n">
        <v>0</v>
      </c>
      <c r="N653" t="n">
        <v>0</v>
      </c>
      <c r="O653" t="n">
        <v>0</v>
      </c>
      <c r="P653" t="n">
        <v>0</v>
      </c>
      <c r="Q653" t="n">
        <v>0</v>
      </c>
      <c r="R653" s="2" t="inlineStr"/>
    </row>
    <row r="654" ht="15" customHeight="1">
      <c r="A654" t="inlineStr">
        <is>
          <t>A 1325-2025</t>
        </is>
      </c>
      <c r="B654" s="1" t="n">
        <v>45667.57342592593</v>
      </c>
      <c r="C654" s="1" t="n">
        <v>46048</v>
      </c>
      <c r="D654" t="inlineStr">
        <is>
          <t>JÄMTLANDS LÄN</t>
        </is>
      </c>
      <c r="E654" t="inlineStr">
        <is>
          <t>RAGUNDA</t>
        </is>
      </c>
      <c r="F654" t="inlineStr">
        <is>
          <t>SCA</t>
        </is>
      </c>
      <c r="G654" t="n">
        <v>20.2</v>
      </c>
      <c r="H654" t="n">
        <v>0</v>
      </c>
      <c r="I654" t="n">
        <v>0</v>
      </c>
      <c r="J654" t="n">
        <v>0</v>
      </c>
      <c r="K654" t="n">
        <v>0</v>
      </c>
      <c r="L654" t="n">
        <v>0</v>
      </c>
      <c r="M654" t="n">
        <v>0</v>
      </c>
      <c r="N654" t="n">
        <v>0</v>
      </c>
      <c r="O654" t="n">
        <v>0</v>
      </c>
      <c r="P654" t="n">
        <v>0</v>
      </c>
      <c r="Q654" t="n">
        <v>0</v>
      </c>
      <c r="R654" s="2" t="inlineStr"/>
    </row>
    <row r="655" ht="15" customHeight="1">
      <c r="A655" t="inlineStr">
        <is>
          <t>A 11834-2023</t>
        </is>
      </c>
      <c r="B655" s="1" t="n">
        <v>44994.94296296296</v>
      </c>
      <c r="C655" s="1" t="n">
        <v>46048</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2001-2025</t>
        </is>
      </c>
      <c r="B656" s="1" t="n">
        <v>45672.44898148148</v>
      </c>
      <c r="C656" s="1" t="n">
        <v>46048</v>
      </c>
      <c r="D656" t="inlineStr">
        <is>
          <t>JÄMTLANDS LÄN</t>
        </is>
      </c>
      <c r="E656" t="inlineStr">
        <is>
          <t>RAGUNDA</t>
        </is>
      </c>
      <c r="F656" t="inlineStr">
        <is>
          <t>SCA</t>
        </is>
      </c>
      <c r="G656" t="n">
        <v>16.2</v>
      </c>
      <c r="H656" t="n">
        <v>0</v>
      </c>
      <c r="I656" t="n">
        <v>0</v>
      </c>
      <c r="J656" t="n">
        <v>0</v>
      </c>
      <c r="K656" t="n">
        <v>0</v>
      </c>
      <c r="L656" t="n">
        <v>0</v>
      </c>
      <c r="M656" t="n">
        <v>0</v>
      </c>
      <c r="N656" t="n">
        <v>0</v>
      </c>
      <c r="O656" t="n">
        <v>0</v>
      </c>
      <c r="P656" t="n">
        <v>0</v>
      </c>
      <c r="Q656" t="n">
        <v>0</v>
      </c>
      <c r="R656" s="2" t="inlineStr"/>
    </row>
    <row r="657" ht="15" customHeight="1">
      <c r="A657" t="inlineStr">
        <is>
          <t>A 53762-2023</t>
        </is>
      </c>
      <c r="B657" s="1" t="n">
        <v>45230.96376157407</v>
      </c>
      <c r="C657" s="1" t="n">
        <v>46048</v>
      </c>
      <c r="D657" t="inlineStr">
        <is>
          <t>JÄMTLANDS LÄN</t>
        </is>
      </c>
      <c r="E657" t="inlineStr">
        <is>
          <t>RAGUNDA</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18159-2023</t>
        </is>
      </c>
      <c r="B658" s="1" t="n">
        <v>45040.94277777777</v>
      </c>
      <c r="C658" s="1" t="n">
        <v>46048</v>
      </c>
      <c r="D658" t="inlineStr">
        <is>
          <t>JÄMTLANDS LÄN</t>
        </is>
      </c>
      <c r="E658" t="inlineStr">
        <is>
          <t>RAGUNDA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17559-2023</t>
        </is>
      </c>
      <c r="B659" s="1" t="n">
        <v>45034</v>
      </c>
      <c r="C659" s="1" t="n">
        <v>46048</v>
      </c>
      <c r="D659" t="inlineStr">
        <is>
          <t>JÄMTLANDS LÄN</t>
        </is>
      </c>
      <c r="E659" t="inlineStr">
        <is>
          <t>RAGUNDA</t>
        </is>
      </c>
      <c r="G659" t="n">
        <v>7.5</v>
      </c>
      <c r="H659" t="n">
        <v>0</v>
      </c>
      <c r="I659" t="n">
        <v>0</v>
      </c>
      <c r="J659" t="n">
        <v>0</v>
      </c>
      <c r="K659" t="n">
        <v>0</v>
      </c>
      <c r="L659" t="n">
        <v>0</v>
      </c>
      <c r="M659" t="n">
        <v>0</v>
      </c>
      <c r="N659" t="n">
        <v>0</v>
      </c>
      <c r="O659" t="n">
        <v>0</v>
      </c>
      <c r="P659" t="n">
        <v>0</v>
      </c>
      <c r="Q659" t="n">
        <v>0</v>
      </c>
      <c r="R659" s="2" t="inlineStr"/>
    </row>
    <row r="660" ht="15" customHeight="1">
      <c r="A660" t="inlineStr">
        <is>
          <t>A 38312-2024</t>
        </is>
      </c>
      <c r="B660" s="1" t="n">
        <v>45545.64957175926</v>
      </c>
      <c r="C660" s="1" t="n">
        <v>46048</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19486-2024</t>
        </is>
      </c>
      <c r="B661" s="1" t="n">
        <v>45429</v>
      </c>
      <c r="C661" s="1" t="n">
        <v>46048</v>
      </c>
      <c r="D661" t="inlineStr">
        <is>
          <t>JÄMTLANDS LÄN</t>
        </is>
      </c>
      <c r="E661" t="inlineStr">
        <is>
          <t>RAGUNDA</t>
        </is>
      </c>
      <c r="G661" t="n">
        <v>2.3</v>
      </c>
      <c r="H661" t="n">
        <v>0</v>
      </c>
      <c r="I661" t="n">
        <v>0</v>
      </c>
      <c r="J661" t="n">
        <v>0</v>
      </c>
      <c r="K661" t="n">
        <v>0</v>
      </c>
      <c r="L661" t="n">
        <v>0</v>
      </c>
      <c r="M661" t="n">
        <v>0</v>
      </c>
      <c r="N661" t="n">
        <v>0</v>
      </c>
      <c r="O661" t="n">
        <v>0</v>
      </c>
      <c r="P661" t="n">
        <v>0</v>
      </c>
      <c r="Q661" t="n">
        <v>0</v>
      </c>
      <c r="R661" s="2" t="inlineStr"/>
    </row>
    <row r="662" ht="15" customHeight="1">
      <c r="A662" t="inlineStr">
        <is>
          <t>A 32832-2021</t>
        </is>
      </c>
      <c r="B662" s="1" t="n">
        <v>44375</v>
      </c>
      <c r="C662" s="1" t="n">
        <v>46048</v>
      </c>
      <c r="D662" t="inlineStr">
        <is>
          <t>JÄMTLANDS LÄN</t>
        </is>
      </c>
      <c r="E662" t="inlineStr">
        <is>
          <t>RAGUNDA</t>
        </is>
      </c>
      <c r="G662" t="n">
        <v>3</v>
      </c>
      <c r="H662" t="n">
        <v>0</v>
      </c>
      <c r="I662" t="n">
        <v>0</v>
      </c>
      <c r="J662" t="n">
        <v>0</v>
      </c>
      <c r="K662" t="n">
        <v>0</v>
      </c>
      <c r="L662" t="n">
        <v>0</v>
      </c>
      <c r="M662" t="n">
        <v>0</v>
      </c>
      <c r="N662" t="n">
        <v>0</v>
      </c>
      <c r="O662" t="n">
        <v>0</v>
      </c>
      <c r="P662" t="n">
        <v>0</v>
      </c>
      <c r="Q662" t="n">
        <v>0</v>
      </c>
      <c r="R662" s="2" t="inlineStr"/>
    </row>
    <row r="663" ht="15" customHeight="1">
      <c r="A663" t="inlineStr">
        <is>
          <t>A 1326-2025</t>
        </is>
      </c>
      <c r="B663" s="1" t="n">
        <v>45667.57347222222</v>
      </c>
      <c r="C663" s="1" t="n">
        <v>46048</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19089-2024</t>
        </is>
      </c>
      <c r="B664" s="1" t="n">
        <v>45428.00471064815</v>
      </c>
      <c r="C664" s="1" t="n">
        <v>46048</v>
      </c>
      <c r="D664" t="inlineStr">
        <is>
          <t>JÄMTLANDS LÄN</t>
        </is>
      </c>
      <c r="E664" t="inlineStr">
        <is>
          <t>RAGUNDA</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22011-2023</t>
        </is>
      </c>
      <c r="B665" s="1" t="n">
        <v>45068</v>
      </c>
      <c r="C665" s="1" t="n">
        <v>46048</v>
      </c>
      <c r="D665" t="inlineStr">
        <is>
          <t>JÄMTLANDS LÄN</t>
        </is>
      </c>
      <c r="E665" t="inlineStr">
        <is>
          <t>RAGUNDA</t>
        </is>
      </c>
      <c r="F665" t="inlineStr">
        <is>
          <t>SCA</t>
        </is>
      </c>
      <c r="G665" t="n">
        <v>12.2</v>
      </c>
      <c r="H665" t="n">
        <v>0</v>
      </c>
      <c r="I665" t="n">
        <v>0</v>
      </c>
      <c r="J665" t="n">
        <v>0</v>
      </c>
      <c r="K665" t="n">
        <v>0</v>
      </c>
      <c r="L665" t="n">
        <v>0</v>
      </c>
      <c r="M665" t="n">
        <v>0</v>
      </c>
      <c r="N665" t="n">
        <v>0</v>
      </c>
      <c r="O665" t="n">
        <v>0</v>
      </c>
      <c r="P665" t="n">
        <v>0</v>
      </c>
      <c r="Q665" t="n">
        <v>0</v>
      </c>
      <c r="R665" s="2" t="inlineStr"/>
    </row>
    <row r="666" ht="15" customHeight="1">
      <c r="A666" t="inlineStr">
        <is>
          <t>A 30642-2024</t>
        </is>
      </c>
      <c r="B666" s="1" t="n">
        <v>45495.57677083334</v>
      </c>
      <c r="C666" s="1" t="n">
        <v>46048</v>
      </c>
      <c r="D666" t="inlineStr">
        <is>
          <t>JÄMTLANDS LÄN</t>
        </is>
      </c>
      <c r="E666" t="inlineStr">
        <is>
          <t>RAGUNDA</t>
        </is>
      </c>
      <c r="G666" t="n">
        <v>2.7</v>
      </c>
      <c r="H666" t="n">
        <v>0</v>
      </c>
      <c r="I666" t="n">
        <v>0</v>
      </c>
      <c r="J666" t="n">
        <v>0</v>
      </c>
      <c r="K666" t="n">
        <v>0</v>
      </c>
      <c r="L666" t="n">
        <v>0</v>
      </c>
      <c r="M666" t="n">
        <v>0</v>
      </c>
      <c r="N666" t="n">
        <v>0</v>
      </c>
      <c r="O666" t="n">
        <v>0</v>
      </c>
      <c r="P666" t="n">
        <v>0</v>
      </c>
      <c r="Q666" t="n">
        <v>0</v>
      </c>
      <c r="R666" s="2" t="inlineStr"/>
    </row>
    <row r="667" ht="15" customHeight="1">
      <c r="A667" t="inlineStr">
        <is>
          <t>A 993-2025</t>
        </is>
      </c>
      <c r="B667" s="1" t="n">
        <v>45666.44943287037</v>
      </c>
      <c r="C667" s="1" t="n">
        <v>46048</v>
      </c>
      <c r="D667" t="inlineStr">
        <is>
          <t>JÄMTLANDS LÄN</t>
        </is>
      </c>
      <c r="E667" t="inlineStr">
        <is>
          <t>RAGUNDA</t>
        </is>
      </c>
      <c r="G667" t="n">
        <v>11.3</v>
      </c>
      <c r="H667" t="n">
        <v>0</v>
      </c>
      <c r="I667" t="n">
        <v>0</v>
      </c>
      <c r="J667" t="n">
        <v>0</v>
      </c>
      <c r="K667" t="n">
        <v>0</v>
      </c>
      <c r="L667" t="n">
        <v>0</v>
      </c>
      <c r="M667" t="n">
        <v>0</v>
      </c>
      <c r="N667" t="n">
        <v>0</v>
      </c>
      <c r="O667" t="n">
        <v>0</v>
      </c>
      <c r="P667" t="n">
        <v>0</v>
      </c>
      <c r="Q667" t="n">
        <v>0</v>
      </c>
      <c r="R667" s="2" t="inlineStr"/>
    </row>
    <row r="668" ht="15" customHeight="1">
      <c r="A668" t="inlineStr">
        <is>
          <t>A 58193-2022</t>
        </is>
      </c>
      <c r="B668" s="1" t="n">
        <v>44900.95700231481</v>
      </c>
      <c r="C668" s="1" t="n">
        <v>46048</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14158-2024</t>
        </is>
      </c>
      <c r="B669" s="1" t="n">
        <v>45392</v>
      </c>
      <c r="C669" s="1" t="n">
        <v>46048</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28081-2022</t>
        </is>
      </c>
      <c r="B670" s="1" t="n">
        <v>44746</v>
      </c>
      <c r="C670" s="1" t="n">
        <v>46048</v>
      </c>
      <c r="D670" t="inlineStr">
        <is>
          <t>JÄMTLANDS LÄN</t>
        </is>
      </c>
      <c r="E670" t="inlineStr">
        <is>
          <t>RAGUNDA</t>
        </is>
      </c>
      <c r="G670" t="n">
        <v>7.2</v>
      </c>
      <c r="H670" t="n">
        <v>0</v>
      </c>
      <c r="I670" t="n">
        <v>0</v>
      </c>
      <c r="J670" t="n">
        <v>0</v>
      </c>
      <c r="K670" t="n">
        <v>0</v>
      </c>
      <c r="L670" t="n">
        <v>0</v>
      </c>
      <c r="M670" t="n">
        <v>0</v>
      </c>
      <c r="N670" t="n">
        <v>0</v>
      </c>
      <c r="O670" t="n">
        <v>0</v>
      </c>
      <c r="P670" t="n">
        <v>0</v>
      </c>
      <c r="Q670" t="n">
        <v>0</v>
      </c>
      <c r="R670" s="2" t="inlineStr"/>
    </row>
    <row r="671" ht="15" customHeight="1">
      <c r="A671" t="inlineStr">
        <is>
          <t>A 27510-2025</t>
        </is>
      </c>
      <c r="B671" s="1" t="n">
        <v>45813.42790509259</v>
      </c>
      <c r="C671" s="1" t="n">
        <v>46048</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42508-2023</t>
        </is>
      </c>
      <c r="B672" s="1" t="n">
        <v>45180.95907407408</v>
      </c>
      <c r="C672" s="1" t="n">
        <v>46048</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19404-2025</t>
        </is>
      </c>
      <c r="B673" s="1" t="n">
        <v>45769.67802083334</v>
      </c>
      <c r="C673" s="1" t="n">
        <v>46048</v>
      </c>
      <c r="D673" t="inlineStr">
        <is>
          <t>JÄMTLANDS LÄN</t>
        </is>
      </c>
      <c r="E673" t="inlineStr">
        <is>
          <t>RAGUNDA</t>
        </is>
      </c>
      <c r="F673" t="inlineStr">
        <is>
          <t>SCA</t>
        </is>
      </c>
      <c r="G673" t="n">
        <v>3</v>
      </c>
      <c r="H673" t="n">
        <v>0</v>
      </c>
      <c r="I673" t="n">
        <v>0</v>
      </c>
      <c r="J673" t="n">
        <v>0</v>
      </c>
      <c r="K673" t="n">
        <v>0</v>
      </c>
      <c r="L673" t="n">
        <v>0</v>
      </c>
      <c r="M673" t="n">
        <v>0</v>
      </c>
      <c r="N673" t="n">
        <v>0</v>
      </c>
      <c r="O673" t="n">
        <v>0</v>
      </c>
      <c r="P673" t="n">
        <v>0</v>
      </c>
      <c r="Q673" t="n">
        <v>0</v>
      </c>
      <c r="R673" s="2" t="inlineStr"/>
      <c r="U673">
        <f>HYPERLINK("https://klasma.github.io/Logging_2303/knärot/A 19404-2025 karta knärot.png", "A 19404-2025")</f>
        <v/>
      </c>
      <c r="V673">
        <f>HYPERLINK("https://klasma.github.io/Logging_2303/klagomål/A 19404-2025 FSC-klagomål.docx", "A 19404-2025")</f>
        <v/>
      </c>
      <c r="W673">
        <f>HYPERLINK("https://klasma.github.io/Logging_2303/klagomålsmail/A 19404-2025 FSC-klagomål mail.docx", "A 19404-2025")</f>
        <v/>
      </c>
      <c r="X673">
        <f>HYPERLINK("https://klasma.github.io/Logging_2303/tillsyn/A 19404-2025 tillsynsbegäran.docx", "A 19404-2025")</f>
        <v/>
      </c>
      <c r="Y673">
        <f>HYPERLINK("https://klasma.github.io/Logging_2303/tillsynsmail/A 19404-2025 tillsynsbegäran mail.docx", "A 19404-2025")</f>
        <v/>
      </c>
    </row>
    <row r="674" ht="15" customHeight="1">
      <c r="A674" t="inlineStr">
        <is>
          <t>A 35274-2023</t>
        </is>
      </c>
      <c r="B674" s="1" t="n">
        <v>45145</v>
      </c>
      <c r="C674" s="1" t="n">
        <v>46048</v>
      </c>
      <c r="D674" t="inlineStr">
        <is>
          <t>JÄMTLANDS LÄN</t>
        </is>
      </c>
      <c r="E674" t="inlineStr">
        <is>
          <t>RAGUNDA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51049-2024</t>
        </is>
      </c>
      <c r="B675" s="1" t="n">
        <v>45603.44644675926</v>
      </c>
      <c r="C675" s="1" t="n">
        <v>46048</v>
      </c>
      <c r="D675" t="inlineStr">
        <is>
          <t>JÄMTLANDS LÄN</t>
        </is>
      </c>
      <c r="E675" t="inlineStr">
        <is>
          <t>RAGUNDA</t>
        </is>
      </c>
      <c r="F675" t="inlineStr">
        <is>
          <t>SCA</t>
        </is>
      </c>
      <c r="G675" t="n">
        <v>6.9</v>
      </c>
      <c r="H675" t="n">
        <v>0</v>
      </c>
      <c r="I675" t="n">
        <v>0</v>
      </c>
      <c r="J675" t="n">
        <v>0</v>
      </c>
      <c r="K675" t="n">
        <v>0</v>
      </c>
      <c r="L675" t="n">
        <v>0</v>
      </c>
      <c r="M675" t="n">
        <v>0</v>
      </c>
      <c r="N675" t="n">
        <v>0</v>
      </c>
      <c r="O675" t="n">
        <v>0</v>
      </c>
      <c r="P675" t="n">
        <v>0</v>
      </c>
      <c r="Q675" t="n">
        <v>0</v>
      </c>
      <c r="R675" s="2" t="inlineStr"/>
    </row>
    <row r="676" ht="15" customHeight="1">
      <c r="A676" t="inlineStr">
        <is>
          <t>A 44759-2024</t>
        </is>
      </c>
      <c r="B676" s="1" t="n">
        <v>45574.61634259259</v>
      </c>
      <c r="C676" s="1" t="n">
        <v>46048</v>
      </c>
      <c r="D676" t="inlineStr">
        <is>
          <t>JÄMTLANDS LÄN</t>
        </is>
      </c>
      <c r="E676" t="inlineStr">
        <is>
          <t>RAGUNDA</t>
        </is>
      </c>
      <c r="G676" t="n">
        <v>1.9</v>
      </c>
      <c r="H676" t="n">
        <v>0</v>
      </c>
      <c r="I676" t="n">
        <v>0</v>
      </c>
      <c r="J676" t="n">
        <v>0</v>
      </c>
      <c r="K676" t="n">
        <v>0</v>
      </c>
      <c r="L676" t="n">
        <v>0</v>
      </c>
      <c r="M676" t="n">
        <v>0</v>
      </c>
      <c r="N676" t="n">
        <v>0</v>
      </c>
      <c r="O676" t="n">
        <v>0</v>
      </c>
      <c r="P676" t="n">
        <v>0</v>
      </c>
      <c r="Q676" t="n">
        <v>0</v>
      </c>
      <c r="R676" s="2" t="inlineStr"/>
    </row>
    <row r="677" ht="15" customHeight="1">
      <c r="A677" t="inlineStr">
        <is>
          <t>A 37324-2022</t>
        </is>
      </c>
      <c r="B677" s="1" t="n">
        <v>44806</v>
      </c>
      <c r="C677" s="1" t="n">
        <v>46048</v>
      </c>
      <c r="D677" t="inlineStr">
        <is>
          <t>JÄMTLANDS LÄN</t>
        </is>
      </c>
      <c r="E677" t="inlineStr">
        <is>
          <t>RAGUNDA</t>
        </is>
      </c>
      <c r="G677" t="n">
        <v>2.3</v>
      </c>
      <c r="H677" t="n">
        <v>0</v>
      </c>
      <c r="I677" t="n">
        <v>0</v>
      </c>
      <c r="J677" t="n">
        <v>0</v>
      </c>
      <c r="K677" t="n">
        <v>0</v>
      </c>
      <c r="L677" t="n">
        <v>0</v>
      </c>
      <c r="M677" t="n">
        <v>0</v>
      </c>
      <c r="N677" t="n">
        <v>0</v>
      </c>
      <c r="O677" t="n">
        <v>0</v>
      </c>
      <c r="P677" t="n">
        <v>0</v>
      </c>
      <c r="Q677" t="n">
        <v>0</v>
      </c>
      <c r="R677" s="2" t="inlineStr"/>
    </row>
    <row r="678" ht="15" customHeight="1">
      <c r="A678" t="inlineStr">
        <is>
          <t>A 12983-2025</t>
        </is>
      </c>
      <c r="B678" s="1" t="n">
        <v>45734.4633912037</v>
      </c>
      <c r="C678" s="1" t="n">
        <v>46048</v>
      </c>
      <c r="D678" t="inlineStr">
        <is>
          <t>JÄMTLANDS LÄN</t>
        </is>
      </c>
      <c r="E678" t="inlineStr">
        <is>
          <t>RAGUNDA</t>
        </is>
      </c>
      <c r="G678" t="n">
        <v>5.2</v>
      </c>
      <c r="H678" t="n">
        <v>0</v>
      </c>
      <c r="I678" t="n">
        <v>0</v>
      </c>
      <c r="J678" t="n">
        <v>0</v>
      </c>
      <c r="K678" t="n">
        <v>0</v>
      </c>
      <c r="L678" t="n">
        <v>0</v>
      </c>
      <c r="M678" t="n">
        <v>0</v>
      </c>
      <c r="N678" t="n">
        <v>0</v>
      </c>
      <c r="O678" t="n">
        <v>0</v>
      </c>
      <c r="P678" t="n">
        <v>0</v>
      </c>
      <c r="Q678" t="n">
        <v>0</v>
      </c>
      <c r="R678" s="2" t="inlineStr"/>
    </row>
    <row r="679" ht="15" customHeight="1">
      <c r="A679" t="inlineStr">
        <is>
          <t>A 17598-2021</t>
        </is>
      </c>
      <c r="B679" s="1" t="n">
        <v>44299</v>
      </c>
      <c r="C679" s="1" t="n">
        <v>46048</v>
      </c>
      <c r="D679" t="inlineStr">
        <is>
          <t>JÄMTLANDS LÄN</t>
        </is>
      </c>
      <c r="E679" t="inlineStr">
        <is>
          <t>RAGUNDA</t>
        </is>
      </c>
      <c r="G679" t="n">
        <v>4.6</v>
      </c>
      <c r="H679" t="n">
        <v>0</v>
      </c>
      <c r="I679" t="n">
        <v>0</v>
      </c>
      <c r="J679" t="n">
        <v>0</v>
      </c>
      <c r="K679" t="n">
        <v>0</v>
      </c>
      <c r="L679" t="n">
        <v>0</v>
      </c>
      <c r="M679" t="n">
        <v>0</v>
      </c>
      <c r="N679" t="n">
        <v>0</v>
      </c>
      <c r="O679" t="n">
        <v>0</v>
      </c>
      <c r="P679" t="n">
        <v>0</v>
      </c>
      <c r="Q679" t="n">
        <v>0</v>
      </c>
      <c r="R679" s="2" t="inlineStr"/>
    </row>
    <row r="680" ht="15" customHeight="1">
      <c r="A680" t="inlineStr">
        <is>
          <t>A 41343-2024</t>
        </is>
      </c>
      <c r="B680" s="1" t="n">
        <v>45559.67745370371</v>
      </c>
      <c r="C680" s="1" t="n">
        <v>46048</v>
      </c>
      <c r="D680" t="inlineStr">
        <is>
          <t>JÄMTLANDS LÄN</t>
        </is>
      </c>
      <c r="E680" t="inlineStr">
        <is>
          <t>RAGUNDA</t>
        </is>
      </c>
      <c r="F680" t="inlineStr">
        <is>
          <t>SCA</t>
        </is>
      </c>
      <c r="G680" t="n">
        <v>25.1</v>
      </c>
      <c r="H680" t="n">
        <v>0</v>
      </c>
      <c r="I680" t="n">
        <v>0</v>
      </c>
      <c r="J680" t="n">
        <v>0</v>
      </c>
      <c r="K680" t="n">
        <v>0</v>
      </c>
      <c r="L680" t="n">
        <v>0</v>
      </c>
      <c r="M680" t="n">
        <v>0</v>
      </c>
      <c r="N680" t="n">
        <v>0</v>
      </c>
      <c r="O680" t="n">
        <v>0</v>
      </c>
      <c r="P680" t="n">
        <v>0</v>
      </c>
      <c r="Q680" t="n">
        <v>0</v>
      </c>
      <c r="R680" s="2" t="inlineStr"/>
    </row>
    <row r="681" ht="15" customHeight="1">
      <c r="A681" t="inlineStr">
        <is>
          <t>A 45953-2023</t>
        </is>
      </c>
      <c r="B681" s="1" t="n">
        <v>45195.94672453704</v>
      </c>
      <c r="C681" s="1" t="n">
        <v>46048</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16982-2024</t>
        </is>
      </c>
      <c r="B682" s="1" t="n">
        <v>45412.02506944445</v>
      </c>
      <c r="C682" s="1" t="n">
        <v>46048</v>
      </c>
      <c r="D682" t="inlineStr">
        <is>
          <t>JÄMTLANDS LÄN</t>
        </is>
      </c>
      <c r="E682" t="inlineStr">
        <is>
          <t>RAGUNDA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30484-2024</t>
        </is>
      </c>
      <c r="B683" s="1" t="n">
        <v>45491</v>
      </c>
      <c r="C683" s="1" t="n">
        <v>46048</v>
      </c>
      <c r="D683" t="inlineStr">
        <is>
          <t>JÄMTLANDS LÄN</t>
        </is>
      </c>
      <c r="E683" t="inlineStr">
        <is>
          <t>RAGUNDA</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3938-2024</t>
        </is>
      </c>
      <c r="B684" s="1" t="n">
        <v>45322</v>
      </c>
      <c r="C684" s="1" t="n">
        <v>46048</v>
      </c>
      <c r="D684" t="inlineStr">
        <is>
          <t>JÄMTLANDS LÄN</t>
        </is>
      </c>
      <c r="E684" t="inlineStr">
        <is>
          <t>RAGUNDA</t>
        </is>
      </c>
      <c r="G684" t="n">
        <v>3.2</v>
      </c>
      <c r="H684" t="n">
        <v>0</v>
      </c>
      <c r="I684" t="n">
        <v>0</v>
      </c>
      <c r="J684" t="n">
        <v>0</v>
      </c>
      <c r="K684" t="n">
        <v>0</v>
      </c>
      <c r="L684" t="n">
        <v>0</v>
      </c>
      <c r="M684" t="n">
        <v>0</v>
      </c>
      <c r="N684" t="n">
        <v>0</v>
      </c>
      <c r="O684" t="n">
        <v>0</v>
      </c>
      <c r="P684" t="n">
        <v>0</v>
      </c>
      <c r="Q684" t="n">
        <v>0</v>
      </c>
      <c r="R684" s="2" t="inlineStr"/>
    </row>
    <row r="685" ht="15" customHeight="1">
      <c r="A685" t="inlineStr">
        <is>
          <t>A 49650-2024</t>
        </is>
      </c>
      <c r="B685" s="1" t="n">
        <v>45596.61569444444</v>
      </c>
      <c r="C685" s="1" t="n">
        <v>46048</v>
      </c>
      <c r="D685" t="inlineStr">
        <is>
          <t>JÄMTLANDS LÄN</t>
        </is>
      </c>
      <c r="E685" t="inlineStr">
        <is>
          <t>RAGUNDA</t>
        </is>
      </c>
      <c r="F685" t="inlineStr">
        <is>
          <t>Naturvårdsverket</t>
        </is>
      </c>
      <c r="G685" t="n">
        <v>3</v>
      </c>
      <c r="H685" t="n">
        <v>0</v>
      </c>
      <c r="I685" t="n">
        <v>0</v>
      </c>
      <c r="J685" t="n">
        <v>0</v>
      </c>
      <c r="K685" t="n">
        <v>0</v>
      </c>
      <c r="L685" t="n">
        <v>0</v>
      </c>
      <c r="M685" t="n">
        <v>0</v>
      </c>
      <c r="N685" t="n">
        <v>0</v>
      </c>
      <c r="O685" t="n">
        <v>0</v>
      </c>
      <c r="P685" t="n">
        <v>0</v>
      </c>
      <c r="Q685" t="n">
        <v>0</v>
      </c>
      <c r="R685" s="2" t="inlineStr"/>
    </row>
    <row r="686" ht="15" customHeight="1">
      <c r="A686" t="inlineStr">
        <is>
          <t>A 49651-2024</t>
        </is>
      </c>
      <c r="B686" s="1" t="n">
        <v>45596.61582175926</v>
      </c>
      <c r="C686" s="1" t="n">
        <v>46048</v>
      </c>
      <c r="D686" t="inlineStr">
        <is>
          <t>JÄMTLANDS LÄN</t>
        </is>
      </c>
      <c r="E686" t="inlineStr">
        <is>
          <t>RAGUNDA</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18989-2025</t>
        </is>
      </c>
      <c r="B687" s="1" t="n">
        <v>45764</v>
      </c>
      <c r="C687" s="1" t="n">
        <v>46048</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53144-2024</t>
        </is>
      </c>
      <c r="B688" s="1" t="n">
        <v>45611</v>
      </c>
      <c r="C688" s="1" t="n">
        <v>46048</v>
      </c>
      <c r="D688" t="inlineStr">
        <is>
          <t>JÄMTLANDS LÄN</t>
        </is>
      </c>
      <c r="E688" t="inlineStr">
        <is>
          <t>RAGUNDA</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64264-2023</t>
        </is>
      </c>
      <c r="B689" s="1" t="n">
        <v>45279.94564814815</v>
      </c>
      <c r="C689" s="1" t="n">
        <v>46048</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22311-2024</t>
        </is>
      </c>
      <c r="B690" s="1" t="n">
        <v>45446.57052083333</v>
      </c>
      <c r="C690" s="1" t="n">
        <v>46048</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42893-2022</t>
        </is>
      </c>
      <c r="B691" s="1" t="n">
        <v>44832</v>
      </c>
      <c r="C691" s="1" t="n">
        <v>46048</v>
      </c>
      <c r="D691" t="inlineStr">
        <is>
          <t>JÄMTLANDS LÄN</t>
        </is>
      </c>
      <c r="E691" t="inlineStr">
        <is>
          <t>RAGUNDA</t>
        </is>
      </c>
      <c r="F691" t="inlineStr">
        <is>
          <t>SCA</t>
        </is>
      </c>
      <c r="G691" t="n">
        <v>28.4</v>
      </c>
      <c r="H691" t="n">
        <v>0</v>
      </c>
      <c r="I691" t="n">
        <v>0</v>
      </c>
      <c r="J691" t="n">
        <v>0</v>
      </c>
      <c r="K691" t="n">
        <v>0</v>
      </c>
      <c r="L691" t="n">
        <v>0</v>
      </c>
      <c r="M691" t="n">
        <v>0</v>
      </c>
      <c r="N691" t="n">
        <v>0</v>
      </c>
      <c r="O691" t="n">
        <v>0</v>
      </c>
      <c r="P691" t="n">
        <v>0</v>
      </c>
      <c r="Q691" t="n">
        <v>0</v>
      </c>
      <c r="R691" s="2" t="inlineStr"/>
    </row>
    <row r="692" ht="15" customHeight="1">
      <c r="A692" t="inlineStr">
        <is>
          <t>A 19403-2025</t>
        </is>
      </c>
      <c r="B692" s="1" t="n">
        <v>45769.67790509259</v>
      </c>
      <c r="C692" s="1" t="n">
        <v>46048</v>
      </c>
      <c r="D692" t="inlineStr">
        <is>
          <t>JÄMTLANDS LÄN</t>
        </is>
      </c>
      <c r="E692" t="inlineStr">
        <is>
          <t>RAGUNDA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28637-2025</t>
        </is>
      </c>
      <c r="B693" s="1" t="n">
        <v>45819.6359375</v>
      </c>
      <c r="C693" s="1" t="n">
        <v>46048</v>
      </c>
      <c r="D693" t="inlineStr">
        <is>
          <t>JÄMTLANDS LÄN</t>
        </is>
      </c>
      <c r="E693" t="inlineStr">
        <is>
          <t>RAGUNDA</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28973-2025</t>
        </is>
      </c>
      <c r="B694" s="1" t="n">
        <v>45821.34513888889</v>
      </c>
      <c r="C694" s="1" t="n">
        <v>46048</v>
      </c>
      <c r="D694" t="inlineStr">
        <is>
          <t>JÄMTLANDS LÄN</t>
        </is>
      </c>
      <c r="E694" t="inlineStr">
        <is>
          <t>RAGUNDA</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29940-2023</t>
        </is>
      </c>
      <c r="B695" s="1" t="n">
        <v>45107</v>
      </c>
      <c r="C695" s="1" t="n">
        <v>46048</v>
      </c>
      <c r="D695" t="inlineStr">
        <is>
          <t>JÄMTLANDS LÄN</t>
        </is>
      </c>
      <c r="E695" t="inlineStr">
        <is>
          <t>RAGUNDA</t>
        </is>
      </c>
      <c r="G695" t="n">
        <v>13.5</v>
      </c>
      <c r="H695" t="n">
        <v>0</v>
      </c>
      <c r="I695" t="n">
        <v>0</v>
      </c>
      <c r="J695" t="n">
        <v>0</v>
      </c>
      <c r="K695" t="n">
        <v>0</v>
      </c>
      <c r="L695" t="n">
        <v>0</v>
      </c>
      <c r="M695" t="n">
        <v>0</v>
      </c>
      <c r="N695" t="n">
        <v>0</v>
      </c>
      <c r="O695" t="n">
        <v>0</v>
      </c>
      <c r="P695" t="n">
        <v>0</v>
      </c>
      <c r="Q695" t="n">
        <v>0</v>
      </c>
      <c r="R695" s="2" t="inlineStr"/>
    </row>
    <row r="696" ht="15" customHeight="1">
      <c r="A696" t="inlineStr">
        <is>
          <t>A 23303-2024</t>
        </is>
      </c>
      <c r="B696" s="1" t="n">
        <v>45453.4444212963</v>
      </c>
      <c r="C696" s="1" t="n">
        <v>46048</v>
      </c>
      <c r="D696" t="inlineStr">
        <is>
          <t>JÄMTLANDS LÄN</t>
        </is>
      </c>
      <c r="E696" t="inlineStr">
        <is>
          <t>RAGUNDA</t>
        </is>
      </c>
      <c r="G696" t="n">
        <v>0.7</v>
      </c>
      <c r="H696" t="n">
        <v>0</v>
      </c>
      <c r="I696" t="n">
        <v>0</v>
      </c>
      <c r="J696" t="n">
        <v>0</v>
      </c>
      <c r="K696" t="n">
        <v>0</v>
      </c>
      <c r="L696" t="n">
        <v>0</v>
      </c>
      <c r="M696" t="n">
        <v>0</v>
      </c>
      <c r="N696" t="n">
        <v>0</v>
      </c>
      <c r="O696" t="n">
        <v>0</v>
      </c>
      <c r="P696" t="n">
        <v>0</v>
      </c>
      <c r="Q696" t="n">
        <v>0</v>
      </c>
      <c r="R696" s="2" t="inlineStr"/>
    </row>
    <row r="697" ht="15" customHeight="1">
      <c r="A697" t="inlineStr">
        <is>
          <t>A 11147-2025</t>
        </is>
      </c>
      <c r="B697" s="1" t="n">
        <v>45723.67777777778</v>
      </c>
      <c r="C697" s="1" t="n">
        <v>46048</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179-2025</t>
        </is>
      </c>
      <c r="B698" s="1" t="n">
        <v>45659.69822916666</v>
      </c>
      <c r="C698" s="1" t="n">
        <v>46048</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29731-2025</t>
        </is>
      </c>
      <c r="B699" s="1" t="n">
        <v>45825.58252314815</v>
      </c>
      <c r="C699" s="1" t="n">
        <v>46048</v>
      </c>
      <c r="D699" t="inlineStr">
        <is>
          <t>JÄMTLANDS LÄN</t>
        </is>
      </c>
      <c r="E699" t="inlineStr">
        <is>
          <t>RAGUNDA</t>
        </is>
      </c>
      <c r="G699" t="n">
        <v>2.3</v>
      </c>
      <c r="H699" t="n">
        <v>0</v>
      </c>
      <c r="I699" t="n">
        <v>0</v>
      </c>
      <c r="J699" t="n">
        <v>0</v>
      </c>
      <c r="K699" t="n">
        <v>0</v>
      </c>
      <c r="L699" t="n">
        <v>0</v>
      </c>
      <c r="M699" t="n">
        <v>0</v>
      </c>
      <c r="N699" t="n">
        <v>0</v>
      </c>
      <c r="O699" t="n">
        <v>0</v>
      </c>
      <c r="P699" t="n">
        <v>0</v>
      </c>
      <c r="Q699" t="n">
        <v>0</v>
      </c>
      <c r="R699" s="2" t="inlineStr"/>
    </row>
    <row r="700" ht="15" customHeight="1">
      <c r="A700" t="inlineStr">
        <is>
          <t>A 22412-2024</t>
        </is>
      </c>
      <c r="B700" s="1" t="n">
        <v>45446.68947916666</v>
      </c>
      <c r="C700" s="1" t="n">
        <v>46048</v>
      </c>
      <c r="D700" t="inlineStr">
        <is>
          <t>JÄMTLANDS LÄN</t>
        </is>
      </c>
      <c r="E700" t="inlineStr">
        <is>
          <t>RAGUNDA</t>
        </is>
      </c>
      <c r="G700" t="n">
        <v>0.8</v>
      </c>
      <c r="H700" t="n">
        <v>0</v>
      </c>
      <c r="I700" t="n">
        <v>0</v>
      </c>
      <c r="J700" t="n">
        <v>0</v>
      </c>
      <c r="K700" t="n">
        <v>0</v>
      </c>
      <c r="L700" t="n">
        <v>0</v>
      </c>
      <c r="M700" t="n">
        <v>0</v>
      </c>
      <c r="N700" t="n">
        <v>0</v>
      </c>
      <c r="O700" t="n">
        <v>0</v>
      </c>
      <c r="P700" t="n">
        <v>0</v>
      </c>
      <c r="Q700" t="n">
        <v>0</v>
      </c>
      <c r="R700" s="2" t="inlineStr"/>
    </row>
    <row r="701" ht="15" customHeight="1">
      <c r="A701" t="inlineStr">
        <is>
          <t>A 9847-2025</t>
        </is>
      </c>
      <c r="B701" s="1" t="n">
        <v>45716.61487268518</v>
      </c>
      <c r="C701" s="1" t="n">
        <v>46048</v>
      </c>
      <c r="D701" t="inlineStr">
        <is>
          <t>JÄMTLANDS LÄN</t>
        </is>
      </c>
      <c r="E701" t="inlineStr">
        <is>
          <t>RAGUNDA</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29723-2025</t>
        </is>
      </c>
      <c r="B702" s="1" t="n">
        <v>45825.57675925926</v>
      </c>
      <c r="C702" s="1" t="n">
        <v>46048</v>
      </c>
      <c r="D702" t="inlineStr">
        <is>
          <t>JÄMTLANDS LÄN</t>
        </is>
      </c>
      <c r="E702" t="inlineStr">
        <is>
          <t>RAGUNDA</t>
        </is>
      </c>
      <c r="G702" t="n">
        <v>3.1</v>
      </c>
      <c r="H702" t="n">
        <v>0</v>
      </c>
      <c r="I702" t="n">
        <v>0</v>
      </c>
      <c r="J702" t="n">
        <v>0</v>
      </c>
      <c r="K702" t="n">
        <v>0</v>
      </c>
      <c r="L702" t="n">
        <v>0</v>
      </c>
      <c r="M702" t="n">
        <v>0</v>
      </c>
      <c r="N702" t="n">
        <v>0</v>
      </c>
      <c r="O702" t="n">
        <v>0</v>
      </c>
      <c r="P702" t="n">
        <v>0</v>
      </c>
      <c r="Q702" t="n">
        <v>0</v>
      </c>
      <c r="R702" s="2" t="inlineStr"/>
    </row>
    <row r="703" ht="15" customHeight="1">
      <c r="A703" t="inlineStr">
        <is>
          <t>A 13334-2024</t>
        </is>
      </c>
      <c r="B703" s="1" t="n">
        <v>45386</v>
      </c>
      <c r="C703" s="1" t="n">
        <v>46048</v>
      </c>
      <c r="D703" t="inlineStr">
        <is>
          <t>JÄMTLANDS LÄN</t>
        </is>
      </c>
      <c r="E703" t="inlineStr">
        <is>
          <t>RAGUNDA</t>
        </is>
      </c>
      <c r="G703" t="n">
        <v>8.6</v>
      </c>
      <c r="H703" t="n">
        <v>0</v>
      </c>
      <c r="I703" t="n">
        <v>0</v>
      </c>
      <c r="J703" t="n">
        <v>0</v>
      </c>
      <c r="K703" t="n">
        <v>0</v>
      </c>
      <c r="L703" t="n">
        <v>0</v>
      </c>
      <c r="M703" t="n">
        <v>0</v>
      </c>
      <c r="N703" t="n">
        <v>0</v>
      </c>
      <c r="O703" t="n">
        <v>0</v>
      </c>
      <c r="P703" t="n">
        <v>0</v>
      </c>
      <c r="Q703" t="n">
        <v>0</v>
      </c>
      <c r="R703" s="2" t="inlineStr"/>
    </row>
    <row r="704" ht="15" customHeight="1">
      <c r="A704" t="inlineStr">
        <is>
          <t>A 14513-2025</t>
        </is>
      </c>
      <c r="B704" s="1" t="n">
        <v>45741.63675925926</v>
      </c>
      <c r="C704" s="1" t="n">
        <v>46048</v>
      </c>
      <c r="D704" t="inlineStr">
        <is>
          <t>JÄMTLANDS LÄN</t>
        </is>
      </c>
      <c r="E704" t="inlineStr">
        <is>
          <t>RAGUNDA</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60443-2023</t>
        </is>
      </c>
      <c r="B705" s="1" t="n">
        <v>45258</v>
      </c>
      <c r="C705" s="1" t="n">
        <v>46048</v>
      </c>
      <c r="D705" t="inlineStr">
        <is>
          <t>JÄMTLANDS LÄN</t>
        </is>
      </c>
      <c r="E705" t="inlineStr">
        <is>
          <t>RAGUNDA</t>
        </is>
      </c>
      <c r="G705" t="n">
        <v>2.9</v>
      </c>
      <c r="H705" t="n">
        <v>0</v>
      </c>
      <c r="I705" t="n">
        <v>0</v>
      </c>
      <c r="J705" t="n">
        <v>0</v>
      </c>
      <c r="K705" t="n">
        <v>0</v>
      </c>
      <c r="L705" t="n">
        <v>0</v>
      </c>
      <c r="M705" t="n">
        <v>0</v>
      </c>
      <c r="N705" t="n">
        <v>0</v>
      </c>
      <c r="O705" t="n">
        <v>0</v>
      </c>
      <c r="P705" t="n">
        <v>0</v>
      </c>
      <c r="Q705" t="n">
        <v>0</v>
      </c>
      <c r="R705" s="2" t="inlineStr"/>
    </row>
    <row r="706" ht="15" customHeight="1">
      <c r="A706" t="inlineStr">
        <is>
          <t>A 21726-2023</t>
        </is>
      </c>
      <c r="B706" s="1" t="n">
        <v>45065.42894675926</v>
      </c>
      <c r="C706" s="1" t="n">
        <v>46048</v>
      </c>
      <c r="D706" t="inlineStr">
        <is>
          <t>JÄMTLANDS LÄN</t>
        </is>
      </c>
      <c r="E706" t="inlineStr">
        <is>
          <t>RAGUNDA</t>
        </is>
      </c>
      <c r="G706" t="n">
        <v>0.4</v>
      </c>
      <c r="H706" t="n">
        <v>0</v>
      </c>
      <c r="I706" t="n">
        <v>0</v>
      </c>
      <c r="J706" t="n">
        <v>0</v>
      </c>
      <c r="K706" t="n">
        <v>0</v>
      </c>
      <c r="L706" t="n">
        <v>0</v>
      </c>
      <c r="M706" t="n">
        <v>0</v>
      </c>
      <c r="N706" t="n">
        <v>0</v>
      </c>
      <c r="O706" t="n">
        <v>0</v>
      </c>
      <c r="P706" t="n">
        <v>0</v>
      </c>
      <c r="Q706" t="n">
        <v>0</v>
      </c>
      <c r="R706" s="2" t="inlineStr"/>
    </row>
    <row r="707" ht="15" customHeight="1">
      <c r="A707" t="inlineStr">
        <is>
          <t>A 28173-2024</t>
        </is>
      </c>
      <c r="B707" s="1" t="n">
        <v>45476.94533564815</v>
      </c>
      <c r="C707" s="1" t="n">
        <v>46048</v>
      </c>
      <c r="D707" t="inlineStr">
        <is>
          <t>JÄMTLANDS LÄN</t>
        </is>
      </c>
      <c r="E707" t="inlineStr">
        <is>
          <t>RAGUNDA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23734-2024</t>
        </is>
      </c>
      <c r="B708" s="1" t="n">
        <v>45454.95960648148</v>
      </c>
      <c r="C708" s="1" t="n">
        <v>46048</v>
      </c>
      <c r="D708" t="inlineStr">
        <is>
          <t>JÄMTLANDS LÄN</t>
        </is>
      </c>
      <c r="E708" t="inlineStr">
        <is>
          <t>RAGUNDA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45952-2023</t>
        </is>
      </c>
      <c r="B709" s="1" t="n">
        <v>45195</v>
      </c>
      <c r="C709" s="1" t="n">
        <v>46048</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45954-2023</t>
        </is>
      </c>
      <c r="B710" s="1" t="n">
        <v>45195.94679398148</v>
      </c>
      <c r="C710" s="1" t="n">
        <v>46048</v>
      </c>
      <c r="D710" t="inlineStr">
        <is>
          <t>JÄMTLANDS LÄN</t>
        </is>
      </c>
      <c r="E710" t="inlineStr">
        <is>
          <t>RAGUNDA</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45955-2023</t>
        </is>
      </c>
      <c r="B711" s="1" t="n">
        <v>45195.94685185186</v>
      </c>
      <c r="C711" s="1" t="n">
        <v>46048</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38425-2022</t>
        </is>
      </c>
      <c r="B712" s="1" t="n">
        <v>44812.94709490741</v>
      </c>
      <c r="C712" s="1" t="n">
        <v>46048</v>
      </c>
      <c r="D712" t="inlineStr">
        <is>
          <t>JÄMTLANDS LÄN</t>
        </is>
      </c>
      <c r="E712" t="inlineStr">
        <is>
          <t>RAGUNDA</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12995-2023</t>
        </is>
      </c>
      <c r="B713" s="1" t="n">
        <v>45002.0328125</v>
      </c>
      <c r="C713" s="1" t="n">
        <v>46048</v>
      </c>
      <c r="D713" t="inlineStr">
        <is>
          <t>JÄMTLANDS LÄN</t>
        </is>
      </c>
      <c r="E713" t="inlineStr">
        <is>
          <t>RAGUNDA</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30088-2025</t>
        </is>
      </c>
      <c r="B714" s="1" t="n">
        <v>45826.65759259259</v>
      </c>
      <c r="C714" s="1" t="n">
        <v>46048</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30348-2025</t>
        </is>
      </c>
      <c r="B715" s="1" t="n">
        <v>45827.53178240741</v>
      </c>
      <c r="C715" s="1" t="n">
        <v>46048</v>
      </c>
      <c r="D715" t="inlineStr">
        <is>
          <t>JÄMTLANDS LÄN</t>
        </is>
      </c>
      <c r="E715" t="inlineStr">
        <is>
          <t>RAGUNDA</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60456-2023</t>
        </is>
      </c>
      <c r="B716" s="1" t="n">
        <v>45258</v>
      </c>
      <c r="C716" s="1" t="n">
        <v>46048</v>
      </c>
      <c r="D716" t="inlineStr">
        <is>
          <t>JÄMTLANDS LÄN</t>
        </is>
      </c>
      <c r="E716" t="inlineStr">
        <is>
          <t>RAGUNDA</t>
        </is>
      </c>
      <c r="G716" t="n">
        <v>1.8</v>
      </c>
      <c r="H716" t="n">
        <v>0</v>
      </c>
      <c r="I716" t="n">
        <v>0</v>
      </c>
      <c r="J716" t="n">
        <v>0</v>
      </c>
      <c r="K716" t="n">
        <v>0</v>
      </c>
      <c r="L716" t="n">
        <v>0</v>
      </c>
      <c r="M716" t="n">
        <v>0</v>
      </c>
      <c r="N716" t="n">
        <v>0</v>
      </c>
      <c r="O716" t="n">
        <v>0</v>
      </c>
      <c r="P716" t="n">
        <v>0</v>
      </c>
      <c r="Q716" t="n">
        <v>0</v>
      </c>
      <c r="R716" s="2" t="inlineStr"/>
    </row>
    <row r="717" ht="15" customHeight="1">
      <c r="A717" t="inlineStr">
        <is>
          <t>A 16334-2025</t>
        </is>
      </c>
      <c r="B717" s="1" t="n">
        <v>45751.36490740741</v>
      </c>
      <c r="C717" s="1" t="n">
        <v>46048</v>
      </c>
      <c r="D717" t="inlineStr">
        <is>
          <t>JÄMTLANDS LÄN</t>
        </is>
      </c>
      <c r="E717" t="inlineStr">
        <is>
          <t>RAGUNDA</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44755-2024</t>
        </is>
      </c>
      <c r="B718" s="1" t="n">
        <v>45574.61184027778</v>
      </c>
      <c r="C718" s="1" t="n">
        <v>46048</v>
      </c>
      <c r="D718" t="inlineStr">
        <is>
          <t>JÄMTLANDS LÄN</t>
        </is>
      </c>
      <c r="E718" t="inlineStr">
        <is>
          <t>RAGUNDA</t>
        </is>
      </c>
      <c r="G718" t="n">
        <v>4.4</v>
      </c>
      <c r="H718" t="n">
        <v>0</v>
      </c>
      <c r="I718" t="n">
        <v>0</v>
      </c>
      <c r="J718" t="n">
        <v>0</v>
      </c>
      <c r="K718" t="n">
        <v>0</v>
      </c>
      <c r="L718" t="n">
        <v>0</v>
      </c>
      <c r="M718" t="n">
        <v>0</v>
      </c>
      <c r="N718" t="n">
        <v>0</v>
      </c>
      <c r="O718" t="n">
        <v>0</v>
      </c>
      <c r="P718" t="n">
        <v>0</v>
      </c>
      <c r="Q718" t="n">
        <v>0</v>
      </c>
      <c r="R718" s="2" t="inlineStr"/>
    </row>
    <row r="719" ht="15" customHeight="1">
      <c r="A719" t="inlineStr">
        <is>
          <t>A 44766-2024</t>
        </is>
      </c>
      <c r="B719" s="1" t="n">
        <v>45574.62297453704</v>
      </c>
      <c r="C719" s="1" t="n">
        <v>46048</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58438-2022</t>
        </is>
      </c>
      <c r="B720" s="1" t="n">
        <v>44901</v>
      </c>
      <c r="C720" s="1" t="n">
        <v>46048</v>
      </c>
      <c r="D720" t="inlineStr">
        <is>
          <t>JÄMTLANDS LÄN</t>
        </is>
      </c>
      <c r="E720" t="inlineStr">
        <is>
          <t>RAGUNDA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58442-2022</t>
        </is>
      </c>
      <c r="B721" s="1" t="n">
        <v>44901</v>
      </c>
      <c r="C721" s="1" t="n">
        <v>46048</v>
      </c>
      <c r="D721" t="inlineStr">
        <is>
          <t>JÄMTLANDS LÄN</t>
        </is>
      </c>
      <c r="E721" t="inlineStr">
        <is>
          <t>RAGUNDA</t>
        </is>
      </c>
      <c r="F721" t="inlineStr">
        <is>
          <t>SCA</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16676-2022</t>
        </is>
      </c>
      <c r="B722" s="1" t="n">
        <v>44672.94018518519</v>
      </c>
      <c r="C722" s="1" t="n">
        <v>46048</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5806-2025</t>
        </is>
      </c>
      <c r="B723" s="1" t="n">
        <v>45694.69826388889</v>
      </c>
      <c r="C723" s="1" t="n">
        <v>46048</v>
      </c>
      <c r="D723" t="inlineStr">
        <is>
          <t>JÄMTLANDS LÄN</t>
        </is>
      </c>
      <c r="E723" t="inlineStr">
        <is>
          <t>RAGUNDA</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30434-2025</t>
        </is>
      </c>
      <c r="B724" s="1" t="n">
        <v>45827.63582175926</v>
      </c>
      <c r="C724" s="1" t="n">
        <v>46048</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41179-2022</t>
        </is>
      </c>
      <c r="B725" s="1" t="n">
        <v>44825</v>
      </c>
      <c r="C725" s="1" t="n">
        <v>46048</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55536-2024</t>
        </is>
      </c>
      <c r="B726" s="1" t="n">
        <v>45622</v>
      </c>
      <c r="C726" s="1" t="n">
        <v>46048</v>
      </c>
      <c r="D726" t="inlineStr">
        <is>
          <t>JÄMTLANDS LÄN</t>
        </is>
      </c>
      <c r="E726" t="inlineStr">
        <is>
          <t>RAGUNDA</t>
        </is>
      </c>
      <c r="G726" t="n">
        <v>0.8</v>
      </c>
      <c r="H726" t="n">
        <v>0</v>
      </c>
      <c r="I726" t="n">
        <v>0</v>
      </c>
      <c r="J726" t="n">
        <v>0</v>
      </c>
      <c r="K726" t="n">
        <v>0</v>
      </c>
      <c r="L726" t="n">
        <v>0</v>
      </c>
      <c r="M726" t="n">
        <v>0</v>
      </c>
      <c r="N726" t="n">
        <v>0</v>
      </c>
      <c r="O726" t="n">
        <v>0</v>
      </c>
      <c r="P726" t="n">
        <v>0</v>
      </c>
      <c r="Q726" t="n">
        <v>0</v>
      </c>
      <c r="R726" s="2" t="inlineStr"/>
    </row>
    <row r="727" ht="15" customHeight="1">
      <c r="A727" t="inlineStr">
        <is>
          <t>A 44597-2024</t>
        </is>
      </c>
      <c r="B727" s="1" t="n">
        <v>45574.51087962963</v>
      </c>
      <c r="C727" s="1" t="n">
        <v>46048</v>
      </c>
      <c r="D727" t="inlineStr">
        <is>
          <t>JÄMTLANDS LÄN</t>
        </is>
      </c>
      <c r="E727" t="inlineStr">
        <is>
          <t>RAGUNDA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44598-2024</t>
        </is>
      </c>
      <c r="B728" s="1" t="n">
        <v>45574.51090277778</v>
      </c>
      <c r="C728" s="1" t="n">
        <v>46048</v>
      </c>
      <c r="D728" t="inlineStr">
        <is>
          <t>JÄMTLANDS LÄN</t>
        </is>
      </c>
      <c r="E728" t="inlineStr">
        <is>
          <t>RAGUNDA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31463-2024</t>
        </is>
      </c>
      <c r="B729" s="1" t="n">
        <v>45505</v>
      </c>
      <c r="C729" s="1" t="n">
        <v>46048</v>
      </c>
      <c r="D729" t="inlineStr">
        <is>
          <t>JÄMTLANDS LÄN</t>
        </is>
      </c>
      <c r="E729" t="inlineStr">
        <is>
          <t>RAGUNDA</t>
        </is>
      </c>
      <c r="F729" t="inlineStr">
        <is>
          <t>SCA</t>
        </is>
      </c>
      <c r="G729" t="n">
        <v>20.3</v>
      </c>
      <c r="H729" t="n">
        <v>0</v>
      </c>
      <c r="I729" t="n">
        <v>0</v>
      </c>
      <c r="J729" t="n">
        <v>0</v>
      </c>
      <c r="K729" t="n">
        <v>0</v>
      </c>
      <c r="L729" t="n">
        <v>0</v>
      </c>
      <c r="M729" t="n">
        <v>0</v>
      </c>
      <c r="N729" t="n">
        <v>0</v>
      </c>
      <c r="O729" t="n">
        <v>0</v>
      </c>
      <c r="P729" t="n">
        <v>0</v>
      </c>
      <c r="Q729" t="n">
        <v>0</v>
      </c>
      <c r="R729" s="2" t="inlineStr"/>
    </row>
    <row r="730" ht="15" customHeight="1">
      <c r="A730" t="inlineStr">
        <is>
          <t>A 55904-2022</t>
        </is>
      </c>
      <c r="B730" s="1" t="n">
        <v>44888</v>
      </c>
      <c r="C730" s="1" t="n">
        <v>46048</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61598-2024</t>
        </is>
      </c>
      <c r="B731" s="1" t="n">
        <v>45646.63605324074</v>
      </c>
      <c r="C731" s="1" t="n">
        <v>46048</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17667-2025</t>
        </is>
      </c>
      <c r="B732" s="1" t="n">
        <v>45758.36487268518</v>
      </c>
      <c r="C732" s="1" t="n">
        <v>46048</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30887-2025</t>
        </is>
      </c>
      <c r="B733" s="1" t="n">
        <v>45832.3459375</v>
      </c>
      <c r="C733" s="1" t="n">
        <v>46048</v>
      </c>
      <c r="D733" t="inlineStr">
        <is>
          <t>JÄMTLANDS LÄN</t>
        </is>
      </c>
      <c r="E733" t="inlineStr">
        <is>
          <t>RAGUNDA</t>
        </is>
      </c>
      <c r="F733" t="inlineStr">
        <is>
          <t>SCA</t>
        </is>
      </c>
      <c r="G733" t="n">
        <v>10.1</v>
      </c>
      <c r="H733" t="n">
        <v>0</v>
      </c>
      <c r="I733" t="n">
        <v>0</v>
      </c>
      <c r="J733" t="n">
        <v>0</v>
      </c>
      <c r="K733" t="n">
        <v>0</v>
      </c>
      <c r="L733" t="n">
        <v>0</v>
      </c>
      <c r="M733" t="n">
        <v>0</v>
      </c>
      <c r="N733" t="n">
        <v>0</v>
      </c>
      <c r="O733" t="n">
        <v>0</v>
      </c>
      <c r="P733" t="n">
        <v>0</v>
      </c>
      <c r="Q733" t="n">
        <v>0</v>
      </c>
      <c r="R733" s="2" t="inlineStr"/>
    </row>
    <row r="734" ht="15" customHeight="1">
      <c r="A734" t="inlineStr">
        <is>
          <t>A 7281-2025</t>
        </is>
      </c>
      <c r="B734" s="1" t="n">
        <v>45702.63572916666</v>
      </c>
      <c r="C734" s="1" t="n">
        <v>46048</v>
      </c>
      <c r="D734" t="inlineStr">
        <is>
          <t>JÄMTLANDS LÄN</t>
        </is>
      </c>
      <c r="E734" t="inlineStr">
        <is>
          <t>RAGUNDA</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30883-2025</t>
        </is>
      </c>
      <c r="B735" s="1" t="n">
        <v>45832.34552083333</v>
      </c>
      <c r="C735" s="1" t="n">
        <v>46048</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12405-2025</t>
        </is>
      </c>
      <c r="B736" s="1" t="n">
        <v>45730.42738425926</v>
      </c>
      <c r="C736" s="1" t="n">
        <v>46048</v>
      </c>
      <c r="D736" t="inlineStr">
        <is>
          <t>JÄMTLANDS LÄN</t>
        </is>
      </c>
      <c r="E736" t="inlineStr">
        <is>
          <t>RAGUNDA</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18610-2024</t>
        </is>
      </c>
      <c r="B737" s="1" t="n">
        <v>45425.96230324074</v>
      </c>
      <c r="C737" s="1" t="n">
        <v>46048</v>
      </c>
      <c r="D737" t="inlineStr">
        <is>
          <t>JÄMTLANDS LÄN</t>
        </is>
      </c>
      <c r="E737" t="inlineStr">
        <is>
          <t>RAGUNDA</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57116-2024</t>
        </is>
      </c>
      <c r="B738" s="1" t="n">
        <v>45629.36513888889</v>
      </c>
      <c r="C738" s="1" t="n">
        <v>46048</v>
      </c>
      <c r="D738" t="inlineStr">
        <is>
          <t>JÄMTLANDS LÄN</t>
        </is>
      </c>
      <c r="E738" t="inlineStr">
        <is>
          <t>RAGUNDA</t>
        </is>
      </c>
      <c r="G738" t="n">
        <v>0.6</v>
      </c>
      <c r="H738" t="n">
        <v>0</v>
      </c>
      <c r="I738" t="n">
        <v>0</v>
      </c>
      <c r="J738" t="n">
        <v>0</v>
      </c>
      <c r="K738" t="n">
        <v>0</v>
      </c>
      <c r="L738" t="n">
        <v>0</v>
      </c>
      <c r="M738" t="n">
        <v>0</v>
      </c>
      <c r="N738" t="n">
        <v>0</v>
      </c>
      <c r="O738" t="n">
        <v>0</v>
      </c>
      <c r="P738" t="n">
        <v>0</v>
      </c>
      <c r="Q738" t="n">
        <v>0</v>
      </c>
      <c r="R738" s="2" t="inlineStr"/>
    </row>
    <row r="739" ht="15" customHeight="1">
      <c r="A739" t="inlineStr">
        <is>
          <t>A 36986-2023</t>
        </is>
      </c>
      <c r="B739" s="1" t="n">
        <v>45154.95525462963</v>
      </c>
      <c r="C739" s="1" t="n">
        <v>46048</v>
      </c>
      <c r="D739" t="inlineStr">
        <is>
          <t>JÄMTLANDS LÄN</t>
        </is>
      </c>
      <c r="E739" t="inlineStr">
        <is>
          <t>RAGUNDA</t>
        </is>
      </c>
      <c r="F739" t="inlineStr">
        <is>
          <t>SCA</t>
        </is>
      </c>
      <c r="G739" t="n">
        <v>0.2</v>
      </c>
      <c r="H739" t="n">
        <v>0</v>
      </c>
      <c r="I739" t="n">
        <v>0</v>
      </c>
      <c r="J739" t="n">
        <v>0</v>
      </c>
      <c r="K739" t="n">
        <v>0</v>
      </c>
      <c r="L739" t="n">
        <v>0</v>
      </c>
      <c r="M739" t="n">
        <v>0</v>
      </c>
      <c r="N739" t="n">
        <v>0</v>
      </c>
      <c r="O739" t="n">
        <v>0</v>
      </c>
      <c r="P739" t="n">
        <v>0</v>
      </c>
      <c r="Q739" t="n">
        <v>0</v>
      </c>
      <c r="R739" s="2" t="inlineStr"/>
    </row>
    <row r="740" ht="15" customHeight="1">
      <c r="A740" t="inlineStr">
        <is>
          <t>A 3104-2025</t>
        </is>
      </c>
      <c r="B740" s="1" t="n">
        <v>45678.67761574074</v>
      </c>
      <c r="C740" s="1" t="n">
        <v>46048</v>
      </c>
      <c r="D740" t="inlineStr">
        <is>
          <t>JÄMTLANDS LÄN</t>
        </is>
      </c>
      <c r="E740" t="inlineStr">
        <is>
          <t>RAGUNDA</t>
        </is>
      </c>
      <c r="F740" t="inlineStr">
        <is>
          <t>SCA</t>
        </is>
      </c>
      <c r="G740" t="n">
        <v>46.2</v>
      </c>
      <c r="H740" t="n">
        <v>0</v>
      </c>
      <c r="I740" t="n">
        <v>0</v>
      </c>
      <c r="J740" t="n">
        <v>0</v>
      </c>
      <c r="K740" t="n">
        <v>0</v>
      </c>
      <c r="L740" t="n">
        <v>0</v>
      </c>
      <c r="M740" t="n">
        <v>0</v>
      </c>
      <c r="N740" t="n">
        <v>0</v>
      </c>
      <c r="O740" t="n">
        <v>0</v>
      </c>
      <c r="P740" t="n">
        <v>0</v>
      </c>
      <c r="Q740" t="n">
        <v>0</v>
      </c>
      <c r="R740" s="2" t="inlineStr"/>
    </row>
    <row r="741" ht="15" customHeight="1">
      <c r="A741" t="inlineStr">
        <is>
          <t>A 48192-2024</t>
        </is>
      </c>
      <c r="B741" s="1" t="n">
        <v>45590</v>
      </c>
      <c r="C741" s="1" t="n">
        <v>46048</v>
      </c>
      <c r="D741" t="inlineStr">
        <is>
          <t>JÄMTLANDS LÄN</t>
        </is>
      </c>
      <c r="E741" t="inlineStr">
        <is>
          <t>RAGUNDA</t>
        </is>
      </c>
      <c r="G741" t="n">
        <v>2.3</v>
      </c>
      <c r="H741" t="n">
        <v>0</v>
      </c>
      <c r="I741" t="n">
        <v>0</v>
      </c>
      <c r="J741" t="n">
        <v>0</v>
      </c>
      <c r="K741" t="n">
        <v>0</v>
      </c>
      <c r="L741" t="n">
        <v>0</v>
      </c>
      <c r="M741" t="n">
        <v>0</v>
      </c>
      <c r="N741" t="n">
        <v>0</v>
      </c>
      <c r="O741" t="n">
        <v>0</v>
      </c>
      <c r="P741" t="n">
        <v>0</v>
      </c>
      <c r="Q741" t="n">
        <v>0</v>
      </c>
      <c r="R741" s="2" t="inlineStr"/>
    </row>
    <row r="742" ht="15" customHeight="1">
      <c r="A742" t="inlineStr">
        <is>
          <t>A 40246-2024</t>
        </is>
      </c>
      <c r="B742" s="1" t="n">
        <v>45554.61583333334</v>
      </c>
      <c r="C742" s="1" t="n">
        <v>46048</v>
      </c>
      <c r="D742" t="inlineStr">
        <is>
          <t>JÄMTLANDS LÄN</t>
        </is>
      </c>
      <c r="E742" t="inlineStr">
        <is>
          <t>RAGUNDA</t>
        </is>
      </c>
      <c r="G742" t="n">
        <v>1</v>
      </c>
      <c r="H742" t="n">
        <v>0</v>
      </c>
      <c r="I742" t="n">
        <v>0</v>
      </c>
      <c r="J742" t="n">
        <v>0</v>
      </c>
      <c r="K742" t="n">
        <v>0</v>
      </c>
      <c r="L742" t="n">
        <v>0</v>
      </c>
      <c r="M742" t="n">
        <v>0</v>
      </c>
      <c r="N742" t="n">
        <v>0</v>
      </c>
      <c r="O742" t="n">
        <v>0</v>
      </c>
      <c r="P742" t="n">
        <v>0</v>
      </c>
      <c r="Q742" t="n">
        <v>0</v>
      </c>
      <c r="R742" s="2" t="inlineStr"/>
    </row>
    <row r="743" ht="15" customHeight="1">
      <c r="A743" t="inlineStr">
        <is>
          <t>A 30880-2025</t>
        </is>
      </c>
      <c r="B743" s="1" t="n">
        <v>45832.34524305556</v>
      </c>
      <c r="C743" s="1" t="n">
        <v>46048</v>
      </c>
      <c r="D743" t="inlineStr">
        <is>
          <t>JÄMTLANDS LÄN</t>
        </is>
      </c>
      <c r="E743" t="inlineStr">
        <is>
          <t>RAGUNDA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2599-2023</t>
        </is>
      </c>
      <c r="B744" s="1" t="n">
        <v>44943.94802083333</v>
      </c>
      <c r="C744" s="1" t="n">
        <v>46048</v>
      </c>
      <c r="D744" t="inlineStr">
        <is>
          <t>JÄMTLANDS LÄN</t>
        </is>
      </c>
      <c r="E744" t="inlineStr">
        <is>
          <t>RAGUNDA</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4878-2022</t>
        </is>
      </c>
      <c r="B745" s="1" t="n">
        <v>44593</v>
      </c>
      <c r="C745" s="1" t="n">
        <v>46048</v>
      </c>
      <c r="D745" t="inlineStr">
        <is>
          <t>JÄMTLANDS LÄN</t>
        </is>
      </c>
      <c r="E745" t="inlineStr">
        <is>
          <t>RAGUNDA</t>
        </is>
      </c>
      <c r="G745" t="n">
        <v>21.7</v>
      </c>
      <c r="H745" t="n">
        <v>0</v>
      </c>
      <c r="I745" t="n">
        <v>0</v>
      </c>
      <c r="J745" t="n">
        <v>0</v>
      </c>
      <c r="K745" t="n">
        <v>0</v>
      </c>
      <c r="L745" t="n">
        <v>0</v>
      </c>
      <c r="M745" t="n">
        <v>0</v>
      </c>
      <c r="N745" t="n">
        <v>0</v>
      </c>
      <c r="O745" t="n">
        <v>0</v>
      </c>
      <c r="P745" t="n">
        <v>0</v>
      </c>
      <c r="Q745" t="n">
        <v>0</v>
      </c>
      <c r="R745" s="2" t="inlineStr"/>
    </row>
    <row r="746" ht="15" customHeight="1">
      <c r="A746" t="inlineStr">
        <is>
          <t>A 57237-2022</t>
        </is>
      </c>
      <c r="B746" s="1" t="n">
        <v>44889</v>
      </c>
      <c r="C746" s="1" t="n">
        <v>46048</v>
      </c>
      <c r="D746" t="inlineStr">
        <is>
          <t>JÄMTLANDS LÄN</t>
        </is>
      </c>
      <c r="E746" t="inlineStr">
        <is>
          <t>RAGUNDA</t>
        </is>
      </c>
      <c r="G746" t="n">
        <v>2.2</v>
      </c>
      <c r="H746" t="n">
        <v>0</v>
      </c>
      <c r="I746" t="n">
        <v>0</v>
      </c>
      <c r="J746" t="n">
        <v>0</v>
      </c>
      <c r="K746" t="n">
        <v>0</v>
      </c>
      <c r="L746" t="n">
        <v>0</v>
      </c>
      <c r="M746" t="n">
        <v>0</v>
      </c>
      <c r="N746" t="n">
        <v>0</v>
      </c>
      <c r="O746" t="n">
        <v>0</v>
      </c>
      <c r="P746" t="n">
        <v>0</v>
      </c>
      <c r="Q746" t="n">
        <v>0</v>
      </c>
      <c r="R746" s="2" t="inlineStr"/>
    </row>
    <row r="747" ht="15" customHeight="1">
      <c r="A747" t="inlineStr">
        <is>
          <t>A 2224-2024</t>
        </is>
      </c>
      <c r="B747" s="1" t="n">
        <v>45309.92524305556</v>
      </c>
      <c r="C747" s="1" t="n">
        <v>46048</v>
      </c>
      <c r="D747" t="inlineStr">
        <is>
          <t>JÄMTLANDS LÄN</t>
        </is>
      </c>
      <c r="E747" t="inlineStr">
        <is>
          <t>RAGUNDA</t>
        </is>
      </c>
      <c r="G747" t="n">
        <v>0.9</v>
      </c>
      <c r="H747" t="n">
        <v>0</v>
      </c>
      <c r="I747" t="n">
        <v>0</v>
      </c>
      <c r="J747" t="n">
        <v>0</v>
      </c>
      <c r="K747" t="n">
        <v>0</v>
      </c>
      <c r="L747" t="n">
        <v>0</v>
      </c>
      <c r="M747" t="n">
        <v>0</v>
      </c>
      <c r="N747" t="n">
        <v>0</v>
      </c>
      <c r="O747" t="n">
        <v>0</v>
      </c>
      <c r="P747" t="n">
        <v>0</v>
      </c>
      <c r="Q747" t="n">
        <v>0</v>
      </c>
      <c r="R747" s="2" t="inlineStr"/>
    </row>
    <row r="748" ht="15" customHeight="1">
      <c r="A748" t="inlineStr">
        <is>
          <t>A 48249-2024</t>
        </is>
      </c>
      <c r="B748" s="1" t="n">
        <v>45590.40675925926</v>
      </c>
      <c r="C748" s="1" t="n">
        <v>46048</v>
      </c>
      <c r="D748" t="inlineStr">
        <is>
          <t>JÄMTLANDS LÄN</t>
        </is>
      </c>
      <c r="E748" t="inlineStr">
        <is>
          <t>RAGUNDA</t>
        </is>
      </c>
      <c r="F748" t="inlineStr">
        <is>
          <t>SCA</t>
        </is>
      </c>
      <c r="G748" t="n">
        <v>14.4</v>
      </c>
      <c r="H748" t="n">
        <v>0</v>
      </c>
      <c r="I748" t="n">
        <v>0</v>
      </c>
      <c r="J748" t="n">
        <v>0</v>
      </c>
      <c r="K748" t="n">
        <v>0</v>
      </c>
      <c r="L748" t="n">
        <v>0</v>
      </c>
      <c r="M748" t="n">
        <v>0</v>
      </c>
      <c r="N748" t="n">
        <v>0</v>
      </c>
      <c r="O748" t="n">
        <v>0</v>
      </c>
      <c r="P748" t="n">
        <v>0</v>
      </c>
      <c r="Q748" t="n">
        <v>0</v>
      </c>
      <c r="R748" s="2" t="inlineStr"/>
    </row>
    <row r="749" ht="15" customHeight="1">
      <c r="A749" t="inlineStr">
        <is>
          <t>A 1523-2024</t>
        </is>
      </c>
      <c r="B749" s="1" t="n">
        <v>45306</v>
      </c>
      <c r="C749" s="1" t="n">
        <v>46048</v>
      </c>
      <c r="D749" t="inlineStr">
        <is>
          <t>JÄMTLANDS LÄN</t>
        </is>
      </c>
      <c r="E749" t="inlineStr">
        <is>
          <t>RAGUNDA</t>
        </is>
      </c>
      <c r="G749" t="n">
        <v>4.1</v>
      </c>
      <c r="H749" t="n">
        <v>0</v>
      </c>
      <c r="I749" t="n">
        <v>0</v>
      </c>
      <c r="J749" t="n">
        <v>0</v>
      </c>
      <c r="K749" t="n">
        <v>0</v>
      </c>
      <c r="L749" t="n">
        <v>0</v>
      </c>
      <c r="M749" t="n">
        <v>0</v>
      </c>
      <c r="N749" t="n">
        <v>0</v>
      </c>
      <c r="O749" t="n">
        <v>0</v>
      </c>
      <c r="P749" t="n">
        <v>0</v>
      </c>
      <c r="Q749" t="n">
        <v>0</v>
      </c>
      <c r="R749" s="2" t="inlineStr"/>
    </row>
    <row r="750" ht="15" customHeight="1">
      <c r="A750" t="inlineStr">
        <is>
          <t>A 64265-2023</t>
        </is>
      </c>
      <c r="B750" s="1" t="n">
        <v>45279.94572916667</v>
      </c>
      <c r="C750" s="1" t="n">
        <v>46048</v>
      </c>
      <c r="D750" t="inlineStr">
        <is>
          <t>JÄMTLANDS LÄN</t>
        </is>
      </c>
      <c r="E750" t="inlineStr">
        <is>
          <t>RAGUNDA</t>
        </is>
      </c>
      <c r="F750" t="inlineStr">
        <is>
          <t>SCA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32096-2025</t>
        </is>
      </c>
      <c r="B751" s="1" t="n">
        <v>45835.46334490741</v>
      </c>
      <c r="C751" s="1" t="n">
        <v>46048</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32151-2025</t>
        </is>
      </c>
      <c r="B752" s="1" t="n">
        <v>45835.53166666667</v>
      </c>
      <c r="C752" s="1" t="n">
        <v>46048</v>
      </c>
      <c r="D752" t="inlineStr">
        <is>
          <t>JÄMTLANDS LÄN</t>
        </is>
      </c>
      <c r="E752" t="inlineStr">
        <is>
          <t>RAGUNDA</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32306-2025</t>
        </is>
      </c>
      <c r="B753" s="1" t="n">
        <v>45835.72046296296</v>
      </c>
      <c r="C753" s="1" t="n">
        <v>46048</v>
      </c>
      <c r="D753" t="inlineStr">
        <is>
          <t>JÄMTLANDS LÄN</t>
        </is>
      </c>
      <c r="E753" t="inlineStr">
        <is>
          <t>RAGUNDA</t>
        </is>
      </c>
      <c r="G753" t="n">
        <v>10.2</v>
      </c>
      <c r="H753" t="n">
        <v>0</v>
      </c>
      <c r="I753" t="n">
        <v>0</v>
      </c>
      <c r="J753" t="n">
        <v>0</v>
      </c>
      <c r="K753" t="n">
        <v>0</v>
      </c>
      <c r="L753" t="n">
        <v>0</v>
      </c>
      <c r="M753" t="n">
        <v>0</v>
      </c>
      <c r="N753" t="n">
        <v>0</v>
      </c>
      <c r="O753" t="n">
        <v>0</v>
      </c>
      <c r="P753" t="n">
        <v>0</v>
      </c>
      <c r="Q753" t="n">
        <v>0</v>
      </c>
      <c r="R753" s="2" t="inlineStr"/>
    </row>
    <row r="754" ht="15" customHeight="1">
      <c r="A754" t="inlineStr">
        <is>
          <t>A 2133-2023</t>
        </is>
      </c>
      <c r="B754" s="1" t="n">
        <v>44939</v>
      </c>
      <c r="C754" s="1" t="n">
        <v>46048</v>
      </c>
      <c r="D754" t="inlineStr">
        <is>
          <t>JÄMTLANDS LÄN</t>
        </is>
      </c>
      <c r="E754" t="inlineStr">
        <is>
          <t>RAGUNDA</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19419-2024</t>
        </is>
      </c>
      <c r="B755" s="1" t="n">
        <v>45429</v>
      </c>
      <c r="C755" s="1" t="n">
        <v>46048</v>
      </c>
      <c r="D755" t="inlineStr">
        <is>
          <t>JÄMTLANDS LÄN</t>
        </is>
      </c>
      <c r="E755" t="inlineStr">
        <is>
          <t>RAGUNDA</t>
        </is>
      </c>
      <c r="G755" t="n">
        <v>3.5</v>
      </c>
      <c r="H755" t="n">
        <v>0</v>
      </c>
      <c r="I755" t="n">
        <v>0</v>
      </c>
      <c r="J755" t="n">
        <v>0</v>
      </c>
      <c r="K755" t="n">
        <v>0</v>
      </c>
      <c r="L755" t="n">
        <v>0</v>
      </c>
      <c r="M755" t="n">
        <v>0</v>
      </c>
      <c r="N755" t="n">
        <v>0</v>
      </c>
      <c r="O755" t="n">
        <v>0</v>
      </c>
      <c r="P755" t="n">
        <v>0</v>
      </c>
      <c r="Q755" t="n">
        <v>0</v>
      </c>
      <c r="R755" s="2" t="inlineStr"/>
    </row>
    <row r="756" ht="15" customHeight="1">
      <c r="A756" t="inlineStr">
        <is>
          <t>A 32021-2025</t>
        </is>
      </c>
      <c r="B756" s="1" t="n">
        <v>45835.40668981482</v>
      </c>
      <c r="C756" s="1" t="n">
        <v>46048</v>
      </c>
      <c r="D756" t="inlineStr">
        <is>
          <t>JÄMTLANDS LÄN</t>
        </is>
      </c>
      <c r="E756" t="inlineStr">
        <is>
          <t>RAGUNDA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31882-2025</t>
        </is>
      </c>
      <c r="B757" s="1" t="n">
        <v>45834.65662037037</v>
      </c>
      <c r="C757" s="1" t="n">
        <v>46048</v>
      </c>
      <c r="D757" t="inlineStr">
        <is>
          <t>JÄMTLANDS LÄN</t>
        </is>
      </c>
      <c r="E757" t="inlineStr">
        <is>
          <t>RAGUNDA</t>
        </is>
      </c>
      <c r="F757" t="inlineStr">
        <is>
          <t>SCA</t>
        </is>
      </c>
      <c r="G757" t="n">
        <v>5.5</v>
      </c>
      <c r="H757" t="n">
        <v>0</v>
      </c>
      <c r="I757" t="n">
        <v>0</v>
      </c>
      <c r="J757" t="n">
        <v>0</v>
      </c>
      <c r="K757" t="n">
        <v>0</v>
      </c>
      <c r="L757" t="n">
        <v>0</v>
      </c>
      <c r="M757" t="n">
        <v>0</v>
      </c>
      <c r="N757" t="n">
        <v>0</v>
      </c>
      <c r="O757" t="n">
        <v>0</v>
      </c>
      <c r="P757" t="n">
        <v>0</v>
      </c>
      <c r="Q757" t="n">
        <v>0</v>
      </c>
      <c r="R757" s="2" t="inlineStr"/>
    </row>
    <row r="758" ht="15" customHeight="1">
      <c r="A758" t="inlineStr">
        <is>
          <t>A 58630-2024</t>
        </is>
      </c>
      <c r="B758" s="1" t="n">
        <v>45635.57331018519</v>
      </c>
      <c r="C758" s="1" t="n">
        <v>46048</v>
      </c>
      <c r="D758" t="inlineStr">
        <is>
          <t>JÄMTLANDS LÄN</t>
        </is>
      </c>
      <c r="E758" t="inlineStr">
        <is>
          <t>RAGUNDA</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46549-2023</t>
        </is>
      </c>
      <c r="B759" s="1" t="n">
        <v>45197.94171296297</v>
      </c>
      <c r="C759" s="1" t="n">
        <v>46048</v>
      </c>
      <c r="D759" t="inlineStr">
        <is>
          <t>JÄMTLANDS LÄN</t>
        </is>
      </c>
      <c r="E759" t="inlineStr">
        <is>
          <t>RAGUNDA</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32796-2025</t>
        </is>
      </c>
      <c r="B760" s="1" t="n">
        <v>45839.49082175926</v>
      </c>
      <c r="C760" s="1" t="n">
        <v>46048</v>
      </c>
      <c r="D760" t="inlineStr">
        <is>
          <t>JÄMTLANDS LÄN</t>
        </is>
      </c>
      <c r="E760" t="inlineStr">
        <is>
          <t>RAGUNDA</t>
        </is>
      </c>
      <c r="G760" t="n">
        <v>1.7</v>
      </c>
      <c r="H760" t="n">
        <v>0</v>
      </c>
      <c r="I760" t="n">
        <v>0</v>
      </c>
      <c r="J760" t="n">
        <v>0</v>
      </c>
      <c r="K760" t="n">
        <v>0</v>
      </c>
      <c r="L760" t="n">
        <v>0</v>
      </c>
      <c r="M760" t="n">
        <v>0</v>
      </c>
      <c r="N760" t="n">
        <v>0</v>
      </c>
      <c r="O760" t="n">
        <v>0</v>
      </c>
      <c r="P760" t="n">
        <v>0</v>
      </c>
      <c r="Q760" t="n">
        <v>0</v>
      </c>
      <c r="R760" s="2" t="inlineStr"/>
    </row>
    <row r="761" ht="15" customHeight="1">
      <c r="A761" t="inlineStr">
        <is>
          <t>A 32258-2024</t>
        </is>
      </c>
      <c r="B761" s="1" t="n">
        <v>45511</v>
      </c>
      <c r="C761" s="1" t="n">
        <v>46048</v>
      </c>
      <c r="D761" t="inlineStr">
        <is>
          <t>JÄMTLANDS LÄN</t>
        </is>
      </c>
      <c r="E761" t="inlineStr">
        <is>
          <t>RAGUNDA</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32655-2025</t>
        </is>
      </c>
      <c r="B762" s="1" t="n">
        <v>45838.67800925926</v>
      </c>
      <c r="C762" s="1" t="n">
        <v>46048</v>
      </c>
      <c r="D762" t="inlineStr">
        <is>
          <t>JÄMTLANDS LÄN</t>
        </is>
      </c>
      <c r="E762" t="inlineStr">
        <is>
          <t>RAGUNDA</t>
        </is>
      </c>
      <c r="G762" t="n">
        <v>2.8</v>
      </c>
      <c r="H762" t="n">
        <v>0</v>
      </c>
      <c r="I762" t="n">
        <v>0</v>
      </c>
      <c r="J762" t="n">
        <v>0</v>
      </c>
      <c r="K762" t="n">
        <v>0</v>
      </c>
      <c r="L762" t="n">
        <v>0</v>
      </c>
      <c r="M762" t="n">
        <v>0</v>
      </c>
      <c r="N762" t="n">
        <v>0</v>
      </c>
      <c r="O762" t="n">
        <v>0</v>
      </c>
      <c r="P762" t="n">
        <v>0</v>
      </c>
      <c r="Q762" t="n">
        <v>0</v>
      </c>
      <c r="R762" s="2" t="inlineStr"/>
    </row>
    <row r="763" ht="15" customHeight="1">
      <c r="A763" t="inlineStr">
        <is>
          <t>A 38270-2021</t>
        </is>
      </c>
      <c r="B763" s="1" t="n">
        <v>44405.92065972222</v>
      </c>
      <c r="C763" s="1" t="n">
        <v>46048</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32751-2025</t>
        </is>
      </c>
      <c r="B764" s="1" t="n">
        <v>45839.42864583333</v>
      </c>
      <c r="C764" s="1" t="n">
        <v>46048</v>
      </c>
      <c r="D764" t="inlineStr">
        <is>
          <t>JÄMTLANDS LÄN</t>
        </is>
      </c>
      <c r="E764" t="inlineStr">
        <is>
          <t>RAGUNDA</t>
        </is>
      </c>
      <c r="F764" t="inlineStr">
        <is>
          <t>SCA</t>
        </is>
      </c>
      <c r="G764" t="n">
        <v>10</v>
      </c>
      <c r="H764" t="n">
        <v>0</v>
      </c>
      <c r="I764" t="n">
        <v>0</v>
      </c>
      <c r="J764" t="n">
        <v>0</v>
      </c>
      <c r="K764" t="n">
        <v>0</v>
      </c>
      <c r="L764" t="n">
        <v>0</v>
      </c>
      <c r="M764" t="n">
        <v>0</v>
      </c>
      <c r="N764" t="n">
        <v>0</v>
      </c>
      <c r="O764" t="n">
        <v>0</v>
      </c>
      <c r="P764" t="n">
        <v>0</v>
      </c>
      <c r="Q764" t="n">
        <v>0</v>
      </c>
      <c r="R764" s="2" t="inlineStr"/>
    </row>
    <row r="765" ht="15" customHeight="1">
      <c r="A765" t="inlineStr">
        <is>
          <t>A 19383-2025</t>
        </is>
      </c>
      <c r="B765" s="1" t="n">
        <v>45769.65688657408</v>
      </c>
      <c r="C765" s="1" t="n">
        <v>46048</v>
      </c>
      <c r="D765" t="inlineStr">
        <is>
          <t>JÄMTLANDS LÄN</t>
        </is>
      </c>
      <c r="E765" t="inlineStr">
        <is>
          <t>RAGUNDA</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32777-2025</t>
        </is>
      </c>
      <c r="B766" s="1" t="n">
        <v>45839.46915509259</v>
      </c>
      <c r="C766" s="1" t="n">
        <v>46048</v>
      </c>
      <c r="D766" t="inlineStr">
        <is>
          <t>JÄMTLANDS LÄN</t>
        </is>
      </c>
      <c r="E766" t="inlineStr">
        <is>
          <t>RAGUNDA</t>
        </is>
      </c>
      <c r="F766" t="inlineStr">
        <is>
          <t>SCA</t>
        </is>
      </c>
      <c r="G766" t="n">
        <v>21.7</v>
      </c>
      <c r="H766" t="n">
        <v>0</v>
      </c>
      <c r="I766" t="n">
        <v>0</v>
      </c>
      <c r="J766" t="n">
        <v>0</v>
      </c>
      <c r="K766" t="n">
        <v>0</v>
      </c>
      <c r="L766" t="n">
        <v>0</v>
      </c>
      <c r="M766" t="n">
        <v>0</v>
      </c>
      <c r="N766" t="n">
        <v>0</v>
      </c>
      <c r="O766" t="n">
        <v>0</v>
      </c>
      <c r="P766" t="n">
        <v>0</v>
      </c>
      <c r="Q766" t="n">
        <v>0</v>
      </c>
      <c r="R766" s="2" t="inlineStr"/>
    </row>
    <row r="767" ht="15" customHeight="1">
      <c r="A767" t="inlineStr">
        <is>
          <t>A 29257-2024</t>
        </is>
      </c>
      <c r="B767" s="1" t="n">
        <v>45482.94815972223</v>
      </c>
      <c r="C767" s="1" t="n">
        <v>46048</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27373-2023</t>
        </is>
      </c>
      <c r="B768" s="1" t="n">
        <v>45096.93866898148</v>
      </c>
      <c r="C768" s="1" t="n">
        <v>46048</v>
      </c>
      <c r="D768" t="inlineStr">
        <is>
          <t>JÄMTLANDS LÄN</t>
        </is>
      </c>
      <c r="E768" t="inlineStr">
        <is>
          <t>RAGUNDA</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49229-2024</t>
        </is>
      </c>
      <c r="B769" s="1" t="n">
        <v>45595.42738425926</v>
      </c>
      <c r="C769" s="1" t="n">
        <v>46048</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13700-2023</t>
        </is>
      </c>
      <c r="B770" s="1" t="n">
        <v>45006</v>
      </c>
      <c r="C770" s="1" t="n">
        <v>46048</v>
      </c>
      <c r="D770" t="inlineStr">
        <is>
          <t>JÄMTLANDS LÄN</t>
        </is>
      </c>
      <c r="E770" t="inlineStr">
        <is>
          <t>RAGUNDA</t>
        </is>
      </c>
      <c r="F770" t="inlineStr">
        <is>
          <t>SCA</t>
        </is>
      </c>
      <c r="G770" t="n">
        <v>50.3</v>
      </c>
      <c r="H770" t="n">
        <v>0</v>
      </c>
      <c r="I770" t="n">
        <v>0</v>
      </c>
      <c r="J770" t="n">
        <v>0</v>
      </c>
      <c r="K770" t="n">
        <v>0</v>
      </c>
      <c r="L770" t="n">
        <v>0</v>
      </c>
      <c r="M770" t="n">
        <v>0</v>
      </c>
      <c r="N770" t="n">
        <v>0</v>
      </c>
      <c r="O770" t="n">
        <v>0</v>
      </c>
      <c r="P770" t="n">
        <v>0</v>
      </c>
      <c r="Q770" t="n">
        <v>0</v>
      </c>
      <c r="R770" s="2" t="inlineStr"/>
    </row>
    <row r="771" ht="15" customHeight="1">
      <c r="A771" t="inlineStr">
        <is>
          <t>A 51389-2024</t>
        </is>
      </c>
      <c r="B771" s="1" t="n">
        <v>45604.40540509259</v>
      </c>
      <c r="C771" s="1" t="n">
        <v>46048</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51393-2024</t>
        </is>
      </c>
      <c r="B772" s="1" t="n">
        <v>45604.41625</v>
      </c>
      <c r="C772" s="1" t="n">
        <v>46048</v>
      </c>
      <c r="D772" t="inlineStr">
        <is>
          <t>JÄMTLANDS LÄN</t>
        </is>
      </c>
      <c r="E772" t="inlineStr">
        <is>
          <t>RAGUNDA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32430-2025</t>
        </is>
      </c>
      <c r="B773" s="1" t="n">
        <v>45838.36532407408</v>
      </c>
      <c r="C773" s="1" t="n">
        <v>46048</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62115-2024</t>
        </is>
      </c>
      <c r="B774" s="1" t="n">
        <v>45656</v>
      </c>
      <c r="C774" s="1" t="n">
        <v>46048</v>
      </c>
      <c r="D774" t="inlineStr">
        <is>
          <t>JÄMTLANDS LÄN</t>
        </is>
      </c>
      <c r="E774" t="inlineStr">
        <is>
          <t>RAGUNDA</t>
        </is>
      </c>
      <c r="G774" t="n">
        <v>3.3</v>
      </c>
      <c r="H774" t="n">
        <v>0</v>
      </c>
      <c r="I774" t="n">
        <v>0</v>
      </c>
      <c r="J774" t="n">
        <v>0</v>
      </c>
      <c r="K774" t="n">
        <v>0</v>
      </c>
      <c r="L774" t="n">
        <v>0</v>
      </c>
      <c r="M774" t="n">
        <v>0</v>
      </c>
      <c r="N774" t="n">
        <v>0</v>
      </c>
      <c r="O774" t="n">
        <v>0</v>
      </c>
      <c r="P774" t="n">
        <v>0</v>
      </c>
      <c r="Q774" t="n">
        <v>0</v>
      </c>
      <c r="R774" s="2" t="inlineStr"/>
    </row>
    <row r="775" ht="15" customHeight="1">
      <c r="A775" t="inlineStr">
        <is>
          <t>A 12653-2024</t>
        </is>
      </c>
      <c r="B775" s="1" t="n">
        <v>45384</v>
      </c>
      <c r="C775" s="1" t="n">
        <v>46048</v>
      </c>
      <c r="D775" t="inlineStr">
        <is>
          <t>JÄMTLANDS LÄN</t>
        </is>
      </c>
      <c r="E775" t="inlineStr">
        <is>
          <t>RAGUNDA</t>
        </is>
      </c>
      <c r="G775" t="n">
        <v>1.1</v>
      </c>
      <c r="H775" t="n">
        <v>0</v>
      </c>
      <c r="I775" t="n">
        <v>0</v>
      </c>
      <c r="J775" t="n">
        <v>0</v>
      </c>
      <c r="K775" t="n">
        <v>0</v>
      </c>
      <c r="L775" t="n">
        <v>0</v>
      </c>
      <c r="M775" t="n">
        <v>0</v>
      </c>
      <c r="N775" t="n">
        <v>0</v>
      </c>
      <c r="O775" t="n">
        <v>0</v>
      </c>
      <c r="P775" t="n">
        <v>0</v>
      </c>
      <c r="Q775" t="n">
        <v>0</v>
      </c>
      <c r="R775" s="2" t="inlineStr"/>
    </row>
    <row r="776" ht="15" customHeight="1">
      <c r="A776" t="inlineStr">
        <is>
          <t>A 32747-2025</t>
        </is>
      </c>
      <c r="B776" s="1" t="n">
        <v>45839.42810185185</v>
      </c>
      <c r="C776" s="1" t="n">
        <v>46048</v>
      </c>
      <c r="D776" t="inlineStr">
        <is>
          <t>JÄMTLANDS LÄN</t>
        </is>
      </c>
      <c r="E776" t="inlineStr">
        <is>
          <t>RAGUNDA</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32757-2025</t>
        </is>
      </c>
      <c r="B777" s="1" t="n">
        <v>45838</v>
      </c>
      <c r="C777" s="1" t="n">
        <v>46048</v>
      </c>
      <c r="D777" t="inlineStr">
        <is>
          <t>JÄMTLANDS LÄN</t>
        </is>
      </c>
      <c r="E777" t="inlineStr">
        <is>
          <t>RAGUNDA</t>
        </is>
      </c>
      <c r="G777" t="n">
        <v>4.5</v>
      </c>
      <c r="H777" t="n">
        <v>0</v>
      </c>
      <c r="I777" t="n">
        <v>0</v>
      </c>
      <c r="J777" t="n">
        <v>0</v>
      </c>
      <c r="K777" t="n">
        <v>0</v>
      </c>
      <c r="L777" t="n">
        <v>0</v>
      </c>
      <c r="M777" t="n">
        <v>0</v>
      </c>
      <c r="N777" t="n">
        <v>0</v>
      </c>
      <c r="O777" t="n">
        <v>0</v>
      </c>
      <c r="P777" t="n">
        <v>0</v>
      </c>
      <c r="Q777" t="n">
        <v>0</v>
      </c>
      <c r="R777" s="2" t="inlineStr"/>
    </row>
    <row r="778" ht="15" customHeight="1">
      <c r="A778" t="inlineStr">
        <is>
          <t>A 66706-2021</t>
        </is>
      </c>
      <c r="B778" s="1" t="n">
        <v>44519.94440972222</v>
      </c>
      <c r="C778" s="1" t="n">
        <v>46048</v>
      </c>
      <c r="D778" t="inlineStr">
        <is>
          <t>JÄMTLANDS LÄN</t>
        </is>
      </c>
      <c r="E778" t="inlineStr">
        <is>
          <t>RAGUNDA</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50211-2023</t>
        </is>
      </c>
      <c r="B779" s="1" t="n">
        <v>45215.94657407407</v>
      </c>
      <c r="C779" s="1" t="n">
        <v>46048</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32846-2025</t>
        </is>
      </c>
      <c r="B780" s="1" t="n">
        <v>45839.57331018519</v>
      </c>
      <c r="C780" s="1" t="n">
        <v>46048</v>
      </c>
      <c r="D780" t="inlineStr">
        <is>
          <t>JÄMTLANDS LÄN</t>
        </is>
      </c>
      <c r="E780" t="inlineStr">
        <is>
          <t>RAGUNDA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32748-2025</t>
        </is>
      </c>
      <c r="B781" s="1" t="n">
        <v>45839.42822916667</v>
      </c>
      <c r="C781" s="1" t="n">
        <v>46048</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32762-2025</t>
        </is>
      </c>
      <c r="B782" s="1" t="n">
        <v>45838</v>
      </c>
      <c r="C782" s="1" t="n">
        <v>46048</v>
      </c>
      <c r="D782" t="inlineStr">
        <is>
          <t>JÄMTLANDS LÄN</t>
        </is>
      </c>
      <c r="E782" t="inlineStr">
        <is>
          <t>RAGUNDA</t>
        </is>
      </c>
      <c r="G782" t="n">
        <v>0.6</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46048</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32660-2025</t>
        </is>
      </c>
      <c r="B784" s="1" t="n">
        <v>45838.67887731481</v>
      </c>
      <c r="C784" s="1" t="n">
        <v>46048</v>
      </c>
      <c r="D784" t="inlineStr">
        <is>
          <t>JÄMTLANDS LÄN</t>
        </is>
      </c>
      <c r="E784" t="inlineStr">
        <is>
          <t>RAGUNDA</t>
        </is>
      </c>
      <c r="F784" t="inlineStr">
        <is>
          <t>SCA</t>
        </is>
      </c>
      <c r="G784" t="n">
        <v>10.3</v>
      </c>
      <c r="H784" t="n">
        <v>0</v>
      </c>
      <c r="I784" t="n">
        <v>0</v>
      </c>
      <c r="J784" t="n">
        <v>0</v>
      </c>
      <c r="K784" t="n">
        <v>0</v>
      </c>
      <c r="L784" t="n">
        <v>0</v>
      </c>
      <c r="M784" t="n">
        <v>0</v>
      </c>
      <c r="N784" t="n">
        <v>0</v>
      </c>
      <c r="O784" t="n">
        <v>0</v>
      </c>
      <c r="P784" t="n">
        <v>0</v>
      </c>
      <c r="Q784" t="n">
        <v>0</v>
      </c>
      <c r="R784" s="2" t="inlineStr"/>
    </row>
    <row r="785" ht="15" customHeight="1">
      <c r="A785" t="inlineStr">
        <is>
          <t>A 29775-2023</t>
        </is>
      </c>
      <c r="B785" s="1" t="n">
        <v>45098</v>
      </c>
      <c r="C785" s="1" t="n">
        <v>46048</v>
      </c>
      <c r="D785" t="inlineStr">
        <is>
          <t>JÄMTLANDS LÄN</t>
        </is>
      </c>
      <c r="E785" t="inlineStr">
        <is>
          <t>RAGUNDA</t>
        </is>
      </c>
      <c r="G785" t="n">
        <v>3.6</v>
      </c>
      <c r="H785" t="n">
        <v>0</v>
      </c>
      <c r="I785" t="n">
        <v>0</v>
      </c>
      <c r="J785" t="n">
        <v>0</v>
      </c>
      <c r="K785" t="n">
        <v>0</v>
      </c>
      <c r="L785" t="n">
        <v>0</v>
      </c>
      <c r="M785" t="n">
        <v>0</v>
      </c>
      <c r="N785" t="n">
        <v>0</v>
      </c>
      <c r="O785" t="n">
        <v>0</v>
      </c>
      <c r="P785" t="n">
        <v>0</v>
      </c>
      <c r="Q785" t="n">
        <v>0</v>
      </c>
      <c r="R785" s="2" t="inlineStr"/>
    </row>
    <row r="786" ht="15" customHeight="1">
      <c r="A786" t="inlineStr">
        <is>
          <t>A 20987-2023</t>
        </is>
      </c>
      <c r="B786" s="1" t="n">
        <v>45056</v>
      </c>
      <c r="C786" s="1" t="n">
        <v>46048</v>
      </c>
      <c r="D786" t="inlineStr">
        <is>
          <t>JÄMTLANDS LÄN</t>
        </is>
      </c>
      <c r="E786" t="inlineStr">
        <is>
          <t>RAGUNDA</t>
        </is>
      </c>
      <c r="G786" t="n">
        <v>1.1</v>
      </c>
      <c r="H786" t="n">
        <v>0</v>
      </c>
      <c r="I786" t="n">
        <v>0</v>
      </c>
      <c r="J786" t="n">
        <v>0</v>
      </c>
      <c r="K786" t="n">
        <v>0</v>
      </c>
      <c r="L786" t="n">
        <v>0</v>
      </c>
      <c r="M786" t="n">
        <v>0</v>
      </c>
      <c r="N786" t="n">
        <v>0</v>
      </c>
      <c r="O786" t="n">
        <v>0</v>
      </c>
      <c r="P786" t="n">
        <v>0</v>
      </c>
      <c r="Q786" t="n">
        <v>0</v>
      </c>
      <c r="R786" s="2" t="inlineStr"/>
    </row>
    <row r="787" ht="15" customHeight="1">
      <c r="A787" t="inlineStr">
        <is>
          <t>A 20994-2023</t>
        </is>
      </c>
      <c r="B787" s="1" t="n">
        <v>45056</v>
      </c>
      <c r="C787" s="1" t="n">
        <v>46048</v>
      </c>
      <c r="D787" t="inlineStr">
        <is>
          <t>JÄMTLANDS LÄN</t>
        </is>
      </c>
      <c r="E787" t="inlineStr">
        <is>
          <t>RAGUNDA</t>
        </is>
      </c>
      <c r="G787" t="n">
        <v>1.3</v>
      </c>
      <c r="H787" t="n">
        <v>0</v>
      </c>
      <c r="I787" t="n">
        <v>0</v>
      </c>
      <c r="J787" t="n">
        <v>0</v>
      </c>
      <c r="K787" t="n">
        <v>0</v>
      </c>
      <c r="L787" t="n">
        <v>0</v>
      </c>
      <c r="M787" t="n">
        <v>0</v>
      </c>
      <c r="N787" t="n">
        <v>0</v>
      </c>
      <c r="O787" t="n">
        <v>0</v>
      </c>
      <c r="P787" t="n">
        <v>0</v>
      </c>
      <c r="Q787" t="n">
        <v>0</v>
      </c>
      <c r="R787" s="2" t="inlineStr"/>
    </row>
    <row r="788" ht="15" customHeight="1">
      <c r="A788" t="inlineStr">
        <is>
          <t>A 32527-2025</t>
        </is>
      </c>
      <c r="B788" s="1" t="n">
        <v>45838.48996527777</v>
      </c>
      <c r="C788" s="1" t="n">
        <v>46048</v>
      </c>
      <c r="D788" t="inlineStr">
        <is>
          <t>JÄMTLANDS LÄN</t>
        </is>
      </c>
      <c r="E788" t="inlineStr">
        <is>
          <t>RAGUNDA</t>
        </is>
      </c>
      <c r="G788" t="n">
        <v>5</v>
      </c>
      <c r="H788" t="n">
        <v>0</v>
      </c>
      <c r="I788" t="n">
        <v>0</v>
      </c>
      <c r="J788" t="n">
        <v>0</v>
      </c>
      <c r="K788" t="n">
        <v>0</v>
      </c>
      <c r="L788" t="n">
        <v>0</v>
      </c>
      <c r="M788" t="n">
        <v>0</v>
      </c>
      <c r="N788" t="n">
        <v>0</v>
      </c>
      <c r="O788" t="n">
        <v>0</v>
      </c>
      <c r="P788" t="n">
        <v>0</v>
      </c>
      <c r="Q788" t="n">
        <v>0</v>
      </c>
      <c r="R788" s="2" t="inlineStr"/>
    </row>
    <row r="789" ht="15" customHeight="1">
      <c r="A789" t="inlineStr">
        <is>
          <t>A 55669-2023</t>
        </is>
      </c>
      <c r="B789" s="1" t="n">
        <v>45238.96797453704</v>
      </c>
      <c r="C789" s="1" t="n">
        <v>46048</v>
      </c>
      <c r="D789" t="inlineStr">
        <is>
          <t>JÄMTLANDS LÄN</t>
        </is>
      </c>
      <c r="E789" t="inlineStr">
        <is>
          <t>RAGUNDA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44494-2024</t>
        </is>
      </c>
      <c r="B790" s="1" t="n">
        <v>45574.39081018518</v>
      </c>
      <c r="C790" s="1" t="n">
        <v>46048</v>
      </c>
      <c r="D790" t="inlineStr">
        <is>
          <t>JÄMTLANDS LÄN</t>
        </is>
      </c>
      <c r="E790" t="inlineStr">
        <is>
          <t>RAGUNDA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33140-2025</t>
        </is>
      </c>
      <c r="B791" s="1" t="n">
        <v>45840.52225694444</v>
      </c>
      <c r="C791" s="1" t="n">
        <v>46048</v>
      </c>
      <c r="D791" t="inlineStr">
        <is>
          <t>JÄMTLANDS LÄN</t>
        </is>
      </c>
      <c r="E791" t="inlineStr">
        <is>
          <t>RAGUNDA</t>
        </is>
      </c>
      <c r="G791" t="n">
        <v>2</v>
      </c>
      <c r="H791" t="n">
        <v>0</v>
      </c>
      <c r="I791" t="n">
        <v>0</v>
      </c>
      <c r="J791" t="n">
        <v>0</v>
      </c>
      <c r="K791" t="n">
        <v>0</v>
      </c>
      <c r="L791" t="n">
        <v>0</v>
      </c>
      <c r="M791" t="n">
        <v>0</v>
      </c>
      <c r="N791" t="n">
        <v>0</v>
      </c>
      <c r="O791" t="n">
        <v>0</v>
      </c>
      <c r="P791" t="n">
        <v>0</v>
      </c>
      <c r="Q791" t="n">
        <v>0</v>
      </c>
      <c r="R791" s="2" t="inlineStr"/>
    </row>
    <row r="792" ht="15" customHeight="1">
      <c r="A792" t="inlineStr">
        <is>
          <t>A 32063-2024</t>
        </is>
      </c>
      <c r="B792" s="1" t="n">
        <v>45510</v>
      </c>
      <c r="C792" s="1" t="n">
        <v>46048</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33556-2025</t>
        </is>
      </c>
      <c r="B793" s="1" t="n">
        <v>45841.57427083333</v>
      </c>
      <c r="C793" s="1" t="n">
        <v>46048</v>
      </c>
      <c r="D793" t="inlineStr">
        <is>
          <t>JÄMTLANDS LÄN</t>
        </is>
      </c>
      <c r="E793" t="inlineStr">
        <is>
          <t>RAGUNDA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10641-2024</t>
        </is>
      </c>
      <c r="B794" s="1" t="n">
        <v>45367.69850694444</v>
      </c>
      <c r="C794" s="1" t="n">
        <v>46048</v>
      </c>
      <c r="D794" t="inlineStr">
        <is>
          <t>JÄMTLANDS LÄN</t>
        </is>
      </c>
      <c r="E794" t="inlineStr">
        <is>
          <t>RAGUNDA</t>
        </is>
      </c>
      <c r="G794" t="n">
        <v>0.9</v>
      </c>
      <c r="H794" t="n">
        <v>0</v>
      </c>
      <c r="I794" t="n">
        <v>0</v>
      </c>
      <c r="J794" t="n">
        <v>0</v>
      </c>
      <c r="K794" t="n">
        <v>0</v>
      </c>
      <c r="L794" t="n">
        <v>0</v>
      </c>
      <c r="M794" t="n">
        <v>0</v>
      </c>
      <c r="N794" t="n">
        <v>0</v>
      </c>
      <c r="O794" t="n">
        <v>0</v>
      </c>
      <c r="P794" t="n">
        <v>0</v>
      </c>
      <c r="Q794" t="n">
        <v>0</v>
      </c>
      <c r="R794" s="2" t="inlineStr"/>
    </row>
    <row r="795" ht="15" customHeight="1">
      <c r="A795" t="inlineStr">
        <is>
          <t>A 10644-2024</t>
        </is>
      </c>
      <c r="B795" s="1" t="n">
        <v>45367.71348379629</v>
      </c>
      <c r="C795" s="1" t="n">
        <v>46048</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13898-2023</t>
        </is>
      </c>
      <c r="B796" s="1" t="n">
        <v>45008.01408564814</v>
      </c>
      <c r="C796" s="1" t="n">
        <v>46048</v>
      </c>
      <c r="D796" t="inlineStr">
        <is>
          <t>JÄMTLANDS LÄN</t>
        </is>
      </c>
      <c r="E796" t="inlineStr">
        <is>
          <t>RAGUNDA</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20426-2024</t>
        </is>
      </c>
      <c r="B797" s="1" t="n">
        <v>45435</v>
      </c>
      <c r="C797" s="1" t="n">
        <v>46048</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17742-2022</t>
        </is>
      </c>
      <c r="B798" s="1" t="n">
        <v>44680.95246527778</v>
      </c>
      <c r="C798" s="1" t="n">
        <v>46048</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30825-2023</t>
        </is>
      </c>
      <c r="B799" s="1" t="n">
        <v>45112.94310185185</v>
      </c>
      <c r="C799" s="1" t="n">
        <v>46048</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26026-2024</t>
        </is>
      </c>
      <c r="B800" s="1" t="n">
        <v>45467.96207175926</v>
      </c>
      <c r="C800" s="1" t="n">
        <v>46048</v>
      </c>
      <c r="D800" t="inlineStr">
        <is>
          <t>JÄMTLANDS LÄN</t>
        </is>
      </c>
      <c r="E800" t="inlineStr">
        <is>
          <t>RAGUNDA</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55222-2024</t>
        </is>
      </c>
      <c r="B801" s="1" t="n">
        <v>45621.57395833333</v>
      </c>
      <c r="C801" s="1" t="n">
        <v>46048</v>
      </c>
      <c r="D801" t="inlineStr">
        <is>
          <t>JÄMTLANDS LÄN</t>
        </is>
      </c>
      <c r="E801" t="inlineStr">
        <is>
          <t>RAGUNDA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46211-2024</t>
        </is>
      </c>
      <c r="B802" s="1" t="n">
        <v>45581.55260416667</v>
      </c>
      <c r="C802" s="1" t="n">
        <v>46048</v>
      </c>
      <c r="D802" t="inlineStr">
        <is>
          <t>JÄMTLANDS LÄN</t>
        </is>
      </c>
      <c r="E802" t="inlineStr">
        <is>
          <t>RAGUNDA</t>
        </is>
      </c>
      <c r="G802" t="n">
        <v>7.3</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46048</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5429-2024</t>
        </is>
      </c>
      <c r="B804" s="1" t="n">
        <v>45331.92746527777</v>
      </c>
      <c r="C804" s="1" t="n">
        <v>46048</v>
      </c>
      <c r="D804" t="inlineStr">
        <is>
          <t>JÄMTLANDS LÄN</t>
        </is>
      </c>
      <c r="E804" t="inlineStr">
        <is>
          <t>RAGUNDA</t>
        </is>
      </c>
      <c r="G804" t="n">
        <v>1.1</v>
      </c>
      <c r="H804" t="n">
        <v>0</v>
      </c>
      <c r="I804" t="n">
        <v>0</v>
      </c>
      <c r="J804" t="n">
        <v>0</v>
      </c>
      <c r="K804" t="n">
        <v>0</v>
      </c>
      <c r="L804" t="n">
        <v>0</v>
      </c>
      <c r="M804" t="n">
        <v>0</v>
      </c>
      <c r="N804" t="n">
        <v>0</v>
      </c>
      <c r="O804" t="n">
        <v>0</v>
      </c>
      <c r="P804" t="n">
        <v>0</v>
      </c>
      <c r="Q804" t="n">
        <v>0</v>
      </c>
      <c r="R804" s="2" t="inlineStr"/>
    </row>
    <row r="805" ht="15" customHeight="1">
      <c r="A805" t="inlineStr">
        <is>
          <t>A 39608-2024</t>
        </is>
      </c>
      <c r="B805" s="1" t="n">
        <v>45552.39113425926</v>
      </c>
      <c r="C805" s="1" t="n">
        <v>46048</v>
      </c>
      <c r="D805" t="inlineStr">
        <is>
          <t>JÄMTLANDS LÄN</t>
        </is>
      </c>
      <c r="E805" t="inlineStr">
        <is>
          <t>RAGUNDA</t>
        </is>
      </c>
      <c r="G805" t="n">
        <v>3.2</v>
      </c>
      <c r="H805" t="n">
        <v>0</v>
      </c>
      <c r="I805" t="n">
        <v>0</v>
      </c>
      <c r="J805" t="n">
        <v>0</v>
      </c>
      <c r="K805" t="n">
        <v>0</v>
      </c>
      <c r="L805" t="n">
        <v>0</v>
      </c>
      <c r="M805" t="n">
        <v>0</v>
      </c>
      <c r="N805" t="n">
        <v>0</v>
      </c>
      <c r="O805" t="n">
        <v>0</v>
      </c>
      <c r="P805" t="n">
        <v>0</v>
      </c>
      <c r="Q805" t="n">
        <v>0</v>
      </c>
      <c r="R805" s="2" t="inlineStr"/>
    </row>
    <row r="806" ht="15" customHeight="1">
      <c r="A806" t="inlineStr">
        <is>
          <t>A 39626-2024</t>
        </is>
      </c>
      <c r="B806" s="1" t="n">
        <v>45552.44096064815</v>
      </c>
      <c r="C806" s="1" t="n">
        <v>46048</v>
      </c>
      <c r="D806" t="inlineStr">
        <is>
          <t>JÄMTLANDS LÄN</t>
        </is>
      </c>
      <c r="E806" t="inlineStr">
        <is>
          <t>RAGUNDA</t>
        </is>
      </c>
      <c r="G806" t="n">
        <v>23.5</v>
      </c>
      <c r="H806" t="n">
        <v>0</v>
      </c>
      <c r="I806" t="n">
        <v>0</v>
      </c>
      <c r="J806" t="n">
        <v>0</v>
      </c>
      <c r="K806" t="n">
        <v>0</v>
      </c>
      <c r="L806" t="n">
        <v>0</v>
      </c>
      <c r="M806" t="n">
        <v>0</v>
      </c>
      <c r="N806" t="n">
        <v>0</v>
      </c>
      <c r="O806" t="n">
        <v>0</v>
      </c>
      <c r="P806" t="n">
        <v>0</v>
      </c>
      <c r="Q806" t="n">
        <v>0</v>
      </c>
      <c r="R806" s="2" t="inlineStr"/>
    </row>
    <row r="807" ht="15" customHeight="1">
      <c r="A807" t="inlineStr">
        <is>
          <t>A 9084-2023</t>
        </is>
      </c>
      <c r="B807" s="1" t="n">
        <v>44979</v>
      </c>
      <c r="C807" s="1" t="n">
        <v>46048</v>
      </c>
      <c r="D807" t="inlineStr">
        <is>
          <t>JÄMTLANDS LÄN</t>
        </is>
      </c>
      <c r="E807" t="inlineStr">
        <is>
          <t>RAGUNDA</t>
        </is>
      </c>
      <c r="G807" t="n">
        <v>1.9</v>
      </c>
      <c r="H807" t="n">
        <v>0</v>
      </c>
      <c r="I807" t="n">
        <v>0</v>
      </c>
      <c r="J807" t="n">
        <v>0</v>
      </c>
      <c r="K807" t="n">
        <v>0</v>
      </c>
      <c r="L807" t="n">
        <v>0</v>
      </c>
      <c r="M807" t="n">
        <v>0</v>
      </c>
      <c r="N807" t="n">
        <v>0</v>
      </c>
      <c r="O807" t="n">
        <v>0</v>
      </c>
      <c r="P807" t="n">
        <v>0</v>
      </c>
      <c r="Q807" t="n">
        <v>0</v>
      </c>
      <c r="R807" s="2" t="inlineStr"/>
    </row>
    <row r="808" ht="15" customHeight="1">
      <c r="A808" t="inlineStr">
        <is>
          <t>A 33790-2025</t>
        </is>
      </c>
      <c r="B808" s="1" t="n">
        <v>45842.42608796297</v>
      </c>
      <c r="C808" s="1" t="n">
        <v>46048</v>
      </c>
      <c r="D808" t="inlineStr">
        <is>
          <t>JÄMTLANDS LÄN</t>
        </is>
      </c>
      <c r="E808" t="inlineStr">
        <is>
          <t>RAGUNDA</t>
        </is>
      </c>
      <c r="G808" t="n">
        <v>0.3</v>
      </c>
      <c r="H808" t="n">
        <v>0</v>
      </c>
      <c r="I808" t="n">
        <v>0</v>
      </c>
      <c r="J808" t="n">
        <v>0</v>
      </c>
      <c r="K808" t="n">
        <v>0</v>
      </c>
      <c r="L808" t="n">
        <v>0</v>
      </c>
      <c r="M808" t="n">
        <v>0</v>
      </c>
      <c r="N808" t="n">
        <v>0</v>
      </c>
      <c r="O808" t="n">
        <v>0</v>
      </c>
      <c r="P808" t="n">
        <v>0</v>
      </c>
      <c r="Q808" t="n">
        <v>0</v>
      </c>
      <c r="R808" s="2" t="inlineStr"/>
    </row>
    <row r="809" ht="15" customHeight="1">
      <c r="A809" t="inlineStr">
        <is>
          <t>A 9326-2024</t>
        </is>
      </c>
      <c r="B809" s="1" t="n">
        <v>45358.95818287037</v>
      </c>
      <c r="C809" s="1" t="n">
        <v>46048</v>
      </c>
      <c r="D809" t="inlineStr">
        <is>
          <t>JÄMTLANDS LÄN</t>
        </is>
      </c>
      <c r="E809" t="inlineStr">
        <is>
          <t>RAGUNDA</t>
        </is>
      </c>
      <c r="G809" t="n">
        <v>0.7</v>
      </c>
      <c r="H809" t="n">
        <v>0</v>
      </c>
      <c r="I809" t="n">
        <v>0</v>
      </c>
      <c r="J809" t="n">
        <v>0</v>
      </c>
      <c r="K809" t="n">
        <v>0</v>
      </c>
      <c r="L809" t="n">
        <v>0</v>
      </c>
      <c r="M809" t="n">
        <v>0</v>
      </c>
      <c r="N809" t="n">
        <v>0</v>
      </c>
      <c r="O809" t="n">
        <v>0</v>
      </c>
      <c r="P809" t="n">
        <v>0</v>
      </c>
      <c r="Q809" t="n">
        <v>0</v>
      </c>
      <c r="R809" s="2" t="inlineStr"/>
    </row>
    <row r="810" ht="15" customHeight="1">
      <c r="A810" t="inlineStr">
        <is>
          <t>A 7520-2023</t>
        </is>
      </c>
      <c r="B810" s="1" t="n">
        <v>44971</v>
      </c>
      <c r="C810" s="1" t="n">
        <v>46048</v>
      </c>
      <c r="D810" t="inlineStr">
        <is>
          <t>JÄMTLANDS LÄN</t>
        </is>
      </c>
      <c r="E810" t="inlineStr">
        <is>
          <t>RAGUNDA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34607-2025</t>
        </is>
      </c>
      <c r="B811" s="1" t="n">
        <v>45847.65703703704</v>
      </c>
      <c r="C811" s="1" t="n">
        <v>46048</v>
      </c>
      <c r="D811" t="inlineStr">
        <is>
          <t>JÄMTLANDS LÄN</t>
        </is>
      </c>
      <c r="E811" t="inlineStr">
        <is>
          <t>RAGUNDA</t>
        </is>
      </c>
      <c r="F811" t="inlineStr">
        <is>
          <t>SCA</t>
        </is>
      </c>
      <c r="G811" t="n">
        <v>31.4</v>
      </c>
      <c r="H811" t="n">
        <v>0</v>
      </c>
      <c r="I811" t="n">
        <v>0</v>
      </c>
      <c r="J811" t="n">
        <v>0</v>
      </c>
      <c r="K811" t="n">
        <v>0</v>
      </c>
      <c r="L811" t="n">
        <v>0</v>
      </c>
      <c r="M811" t="n">
        <v>0</v>
      </c>
      <c r="N811" t="n">
        <v>0</v>
      </c>
      <c r="O811" t="n">
        <v>0</v>
      </c>
      <c r="P811" t="n">
        <v>0</v>
      </c>
      <c r="Q811" t="n">
        <v>0</v>
      </c>
      <c r="R811" s="2" t="inlineStr"/>
    </row>
    <row r="812" ht="15" customHeight="1">
      <c r="A812" t="inlineStr">
        <is>
          <t>A 34461-2025</t>
        </is>
      </c>
      <c r="B812" s="1" t="n">
        <v>45847.34474537037</v>
      </c>
      <c r="C812" s="1" t="n">
        <v>46048</v>
      </c>
      <c r="D812" t="inlineStr">
        <is>
          <t>JÄMTLANDS LÄN</t>
        </is>
      </c>
      <c r="E812" t="inlineStr">
        <is>
          <t>RAGUNDA</t>
        </is>
      </c>
      <c r="F812" t="inlineStr">
        <is>
          <t>SCA</t>
        </is>
      </c>
      <c r="G812" t="n">
        <v>44.8</v>
      </c>
      <c r="H812" t="n">
        <v>0</v>
      </c>
      <c r="I812" t="n">
        <v>0</v>
      </c>
      <c r="J812" t="n">
        <v>0</v>
      </c>
      <c r="K812" t="n">
        <v>0</v>
      </c>
      <c r="L812" t="n">
        <v>0</v>
      </c>
      <c r="M812" t="n">
        <v>0</v>
      </c>
      <c r="N812" t="n">
        <v>0</v>
      </c>
      <c r="O812" t="n">
        <v>0</v>
      </c>
      <c r="P812" t="n">
        <v>0</v>
      </c>
      <c r="Q812" t="n">
        <v>0</v>
      </c>
      <c r="R812" s="2" t="inlineStr"/>
    </row>
    <row r="813" ht="15" customHeight="1">
      <c r="A813" t="inlineStr">
        <is>
          <t>A 34464-2025</t>
        </is>
      </c>
      <c r="B813" s="1" t="n">
        <v>45847.34528935186</v>
      </c>
      <c r="C813" s="1" t="n">
        <v>46048</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3720-2025</t>
        </is>
      </c>
      <c r="B814" s="1" t="n">
        <v>45681.5315625</v>
      </c>
      <c r="C814" s="1" t="n">
        <v>46048</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46048</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21662-2023</t>
        </is>
      </c>
      <c r="B816" s="1" t="n">
        <v>45063</v>
      </c>
      <c r="C816" s="1" t="n">
        <v>46048</v>
      </c>
      <c r="D816" t="inlineStr">
        <is>
          <t>JÄMTLANDS LÄN</t>
        </is>
      </c>
      <c r="E816" t="inlineStr">
        <is>
          <t>RAGUNDA</t>
        </is>
      </c>
      <c r="G816" t="n">
        <v>1.8</v>
      </c>
      <c r="H816" t="n">
        <v>0</v>
      </c>
      <c r="I816" t="n">
        <v>0</v>
      </c>
      <c r="J816" t="n">
        <v>0</v>
      </c>
      <c r="K816" t="n">
        <v>0</v>
      </c>
      <c r="L816" t="n">
        <v>0</v>
      </c>
      <c r="M816" t="n">
        <v>0</v>
      </c>
      <c r="N816" t="n">
        <v>0</v>
      </c>
      <c r="O816" t="n">
        <v>0</v>
      </c>
      <c r="P816" t="n">
        <v>0</v>
      </c>
      <c r="Q816" t="n">
        <v>0</v>
      </c>
      <c r="R816" s="2" t="inlineStr"/>
    </row>
    <row r="817" ht="15" customHeight="1">
      <c r="A817" t="inlineStr">
        <is>
          <t>A 34468-2025</t>
        </is>
      </c>
      <c r="B817" s="1" t="n">
        <v>45847.34597222223</v>
      </c>
      <c r="C817" s="1" t="n">
        <v>46048</v>
      </c>
      <c r="D817" t="inlineStr">
        <is>
          <t>JÄMTLANDS LÄN</t>
        </is>
      </c>
      <c r="E817" t="inlineStr">
        <is>
          <t>RAGUNDA</t>
        </is>
      </c>
      <c r="F817" t="inlineStr">
        <is>
          <t>SCA</t>
        </is>
      </c>
      <c r="G817" t="n">
        <v>10</v>
      </c>
      <c r="H817" t="n">
        <v>0</v>
      </c>
      <c r="I817" t="n">
        <v>0</v>
      </c>
      <c r="J817" t="n">
        <v>0</v>
      </c>
      <c r="K817" t="n">
        <v>0</v>
      </c>
      <c r="L817" t="n">
        <v>0</v>
      </c>
      <c r="M817" t="n">
        <v>0</v>
      </c>
      <c r="N817" t="n">
        <v>0</v>
      </c>
      <c r="O817" t="n">
        <v>0</v>
      </c>
      <c r="P817" t="n">
        <v>0</v>
      </c>
      <c r="Q817" t="n">
        <v>0</v>
      </c>
      <c r="R817" s="2" t="inlineStr"/>
    </row>
    <row r="818" ht="15" customHeight="1">
      <c r="A818" t="inlineStr">
        <is>
          <t>A 34466-2025</t>
        </is>
      </c>
      <c r="B818" s="1" t="n">
        <v>45847.34565972222</v>
      </c>
      <c r="C818" s="1" t="n">
        <v>46048</v>
      </c>
      <c r="D818" t="inlineStr">
        <is>
          <t>JÄMTLANDS LÄN</t>
        </is>
      </c>
      <c r="E818" t="inlineStr">
        <is>
          <t>RAGUNDA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34463-2025</t>
        </is>
      </c>
      <c r="B819" s="1" t="n">
        <v>45847.34515046296</v>
      </c>
      <c r="C819" s="1" t="n">
        <v>46048</v>
      </c>
      <c r="D819" t="inlineStr">
        <is>
          <t>JÄMTLANDS LÄN</t>
        </is>
      </c>
      <c r="E819" t="inlineStr">
        <is>
          <t>RAGUNDA</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51579-2024</t>
        </is>
      </c>
      <c r="B820" s="1" t="n">
        <v>45604.63575231482</v>
      </c>
      <c r="C820" s="1" t="n">
        <v>46048</v>
      </c>
      <c r="D820" t="inlineStr">
        <is>
          <t>JÄMTLANDS LÄN</t>
        </is>
      </c>
      <c r="E820" t="inlineStr">
        <is>
          <t>RAGUNDA</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8775-2025</t>
        </is>
      </c>
      <c r="B821" s="1" t="n">
        <v>45712.61502314815</v>
      </c>
      <c r="C821" s="1" t="n">
        <v>46048</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44727-2024</t>
        </is>
      </c>
      <c r="B822" s="1" t="n">
        <v>45574.57967592592</v>
      </c>
      <c r="C822" s="1" t="n">
        <v>46048</v>
      </c>
      <c r="D822" t="inlineStr">
        <is>
          <t>JÄMTLANDS LÄN</t>
        </is>
      </c>
      <c r="E822" t="inlineStr">
        <is>
          <t>RAGUNDA</t>
        </is>
      </c>
      <c r="G822" t="n">
        <v>4.7</v>
      </c>
      <c r="H822" t="n">
        <v>0</v>
      </c>
      <c r="I822" t="n">
        <v>0</v>
      </c>
      <c r="J822" t="n">
        <v>0</v>
      </c>
      <c r="K822" t="n">
        <v>0</v>
      </c>
      <c r="L822" t="n">
        <v>0</v>
      </c>
      <c r="M822" t="n">
        <v>0</v>
      </c>
      <c r="N822" t="n">
        <v>0</v>
      </c>
      <c r="O822" t="n">
        <v>0</v>
      </c>
      <c r="P822" t="n">
        <v>0</v>
      </c>
      <c r="Q822" t="n">
        <v>0</v>
      </c>
      <c r="R822" s="2" t="inlineStr"/>
    </row>
    <row r="823" ht="15" customHeight="1">
      <c r="A823" t="inlineStr">
        <is>
          <t>A 34586-2025</t>
        </is>
      </c>
      <c r="B823" s="1" t="n">
        <v>45847.61513888889</v>
      </c>
      <c r="C823" s="1" t="n">
        <v>46048</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34588-2025</t>
        </is>
      </c>
      <c r="B824" s="1" t="n">
        <v>45847.61548611111</v>
      </c>
      <c r="C824" s="1" t="n">
        <v>46048</v>
      </c>
      <c r="D824" t="inlineStr">
        <is>
          <t>JÄMTLANDS LÄN</t>
        </is>
      </c>
      <c r="E824" t="inlineStr">
        <is>
          <t>RAGUNDA</t>
        </is>
      </c>
      <c r="G824" t="n">
        <v>32.3</v>
      </c>
      <c r="H824" t="n">
        <v>0</v>
      </c>
      <c r="I824" t="n">
        <v>0</v>
      </c>
      <c r="J824" t="n">
        <v>0</v>
      </c>
      <c r="K824" t="n">
        <v>0</v>
      </c>
      <c r="L824" t="n">
        <v>0</v>
      </c>
      <c r="M824" t="n">
        <v>0</v>
      </c>
      <c r="N824" t="n">
        <v>0</v>
      </c>
      <c r="O824" t="n">
        <v>0</v>
      </c>
      <c r="P824" t="n">
        <v>0</v>
      </c>
      <c r="Q824" t="n">
        <v>0</v>
      </c>
      <c r="R824" s="2" t="inlineStr"/>
    </row>
    <row r="825" ht="15" customHeight="1">
      <c r="A825" t="inlineStr">
        <is>
          <t>A 34296-2025</t>
        </is>
      </c>
      <c r="B825" s="1" t="n">
        <v>45846.34454861111</v>
      </c>
      <c r="C825" s="1" t="n">
        <v>46048</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34709-2025</t>
        </is>
      </c>
      <c r="B826" s="1" t="n">
        <v>45848.49761574074</v>
      </c>
      <c r="C826" s="1" t="n">
        <v>46048</v>
      </c>
      <c r="D826" t="inlineStr">
        <is>
          <t>JÄMTLANDS LÄN</t>
        </is>
      </c>
      <c r="E826" t="inlineStr">
        <is>
          <t>RAGUNDA</t>
        </is>
      </c>
      <c r="G826" t="n">
        <v>3.1</v>
      </c>
      <c r="H826" t="n">
        <v>0</v>
      </c>
      <c r="I826" t="n">
        <v>0</v>
      </c>
      <c r="J826" t="n">
        <v>0</v>
      </c>
      <c r="K826" t="n">
        <v>0</v>
      </c>
      <c r="L826" t="n">
        <v>0</v>
      </c>
      <c r="M826" t="n">
        <v>0</v>
      </c>
      <c r="N826" t="n">
        <v>0</v>
      </c>
      <c r="O826" t="n">
        <v>0</v>
      </c>
      <c r="P826" t="n">
        <v>0</v>
      </c>
      <c r="Q826" t="n">
        <v>0</v>
      </c>
      <c r="R826" s="2" t="inlineStr"/>
    </row>
    <row r="827" ht="15" customHeight="1">
      <c r="A827" t="inlineStr">
        <is>
          <t>A 34772-2025</t>
        </is>
      </c>
      <c r="B827" s="1" t="n">
        <v>45848.65658564815</v>
      </c>
      <c r="C827" s="1" t="n">
        <v>46048</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2339-2025</t>
        </is>
      </c>
      <c r="B828" s="1" t="n">
        <v>45673.66358796296</v>
      </c>
      <c r="C828" s="1" t="n">
        <v>46048</v>
      </c>
      <c r="D828" t="inlineStr">
        <is>
          <t>JÄMTLANDS LÄN</t>
        </is>
      </c>
      <c r="E828" t="inlineStr">
        <is>
          <t>RAGUNDA</t>
        </is>
      </c>
      <c r="G828" t="n">
        <v>5</v>
      </c>
      <c r="H828" t="n">
        <v>0</v>
      </c>
      <c r="I828" t="n">
        <v>0</v>
      </c>
      <c r="J828" t="n">
        <v>0</v>
      </c>
      <c r="K828" t="n">
        <v>0</v>
      </c>
      <c r="L828" t="n">
        <v>0</v>
      </c>
      <c r="M828" t="n">
        <v>0</v>
      </c>
      <c r="N828" t="n">
        <v>0</v>
      </c>
      <c r="O828" t="n">
        <v>0</v>
      </c>
      <c r="P828" t="n">
        <v>0</v>
      </c>
      <c r="Q828" t="n">
        <v>0</v>
      </c>
      <c r="R828" s="2" t="inlineStr"/>
    </row>
    <row r="829" ht="15" customHeight="1">
      <c r="A829" t="inlineStr">
        <is>
          <t>A 34710-2025</t>
        </is>
      </c>
      <c r="B829" s="1" t="n">
        <v>45848.49774305556</v>
      </c>
      <c r="C829" s="1" t="n">
        <v>46048</v>
      </c>
      <c r="D829" t="inlineStr">
        <is>
          <t>JÄMTLANDS LÄN</t>
        </is>
      </c>
      <c r="E829" t="inlineStr">
        <is>
          <t>RAGUNDA</t>
        </is>
      </c>
      <c r="G829" t="n">
        <v>4.1</v>
      </c>
      <c r="H829" t="n">
        <v>0</v>
      </c>
      <c r="I829" t="n">
        <v>0</v>
      </c>
      <c r="J829" t="n">
        <v>0</v>
      </c>
      <c r="K829" t="n">
        <v>0</v>
      </c>
      <c r="L829" t="n">
        <v>0</v>
      </c>
      <c r="M829" t="n">
        <v>0</v>
      </c>
      <c r="N829" t="n">
        <v>0</v>
      </c>
      <c r="O829" t="n">
        <v>0</v>
      </c>
      <c r="P829" t="n">
        <v>0</v>
      </c>
      <c r="Q829" t="n">
        <v>0</v>
      </c>
      <c r="R829" s="2" t="inlineStr"/>
    </row>
    <row r="830" ht="15" customHeight="1">
      <c r="A830" t="inlineStr">
        <is>
          <t>A 27499-2024</t>
        </is>
      </c>
      <c r="B830" s="1" t="n">
        <v>45474.50608796296</v>
      </c>
      <c r="C830" s="1" t="n">
        <v>46048</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57078-2023</t>
        </is>
      </c>
      <c r="B831" s="1" t="n">
        <v>45244.96774305555</v>
      </c>
      <c r="C831" s="1" t="n">
        <v>46048</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34968-2025</t>
        </is>
      </c>
      <c r="B832" s="1" t="n">
        <v>45849.65663194445</v>
      </c>
      <c r="C832" s="1" t="n">
        <v>46048</v>
      </c>
      <c r="D832" t="inlineStr">
        <is>
          <t>JÄMTLANDS LÄN</t>
        </is>
      </c>
      <c r="E832" t="inlineStr">
        <is>
          <t>RAGUNDA</t>
        </is>
      </c>
      <c r="F832" t="inlineStr">
        <is>
          <t>SCA</t>
        </is>
      </c>
      <c r="G832" t="n">
        <v>20.2</v>
      </c>
      <c r="H832" t="n">
        <v>0</v>
      </c>
      <c r="I832" t="n">
        <v>0</v>
      </c>
      <c r="J832" t="n">
        <v>0</v>
      </c>
      <c r="K832" t="n">
        <v>0</v>
      </c>
      <c r="L832" t="n">
        <v>0</v>
      </c>
      <c r="M832" t="n">
        <v>0</v>
      </c>
      <c r="N832" t="n">
        <v>0</v>
      </c>
      <c r="O832" t="n">
        <v>0</v>
      </c>
      <c r="P832" t="n">
        <v>0</v>
      </c>
      <c r="Q832" t="n">
        <v>0</v>
      </c>
      <c r="R832" s="2" t="inlineStr"/>
    </row>
    <row r="833" ht="15" customHeight="1">
      <c r="A833" t="inlineStr">
        <is>
          <t>A 21083-2024</t>
        </is>
      </c>
      <c r="B833" s="1" t="n">
        <v>45439.92752314815</v>
      </c>
      <c r="C833" s="1" t="n">
        <v>46048</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462-2023</t>
        </is>
      </c>
      <c r="B834" s="1" t="n">
        <v>44929</v>
      </c>
      <c r="C834" s="1" t="n">
        <v>46048</v>
      </c>
      <c r="D834" t="inlineStr">
        <is>
          <t>JÄMTLANDS LÄN</t>
        </is>
      </c>
      <c r="E834" t="inlineStr">
        <is>
          <t>RAGUNDA</t>
        </is>
      </c>
      <c r="G834" t="n">
        <v>4.5</v>
      </c>
      <c r="H834" t="n">
        <v>0</v>
      </c>
      <c r="I834" t="n">
        <v>0</v>
      </c>
      <c r="J834" t="n">
        <v>0</v>
      </c>
      <c r="K834" t="n">
        <v>0</v>
      </c>
      <c r="L834" t="n">
        <v>0</v>
      </c>
      <c r="M834" t="n">
        <v>0</v>
      </c>
      <c r="N834" t="n">
        <v>0</v>
      </c>
      <c r="O834" t="n">
        <v>0</v>
      </c>
      <c r="P834" t="n">
        <v>0</v>
      </c>
      <c r="Q834" t="n">
        <v>0</v>
      </c>
      <c r="R834" s="2" t="inlineStr"/>
    </row>
    <row r="835" ht="15" customHeight="1">
      <c r="A835" t="inlineStr">
        <is>
          <t>A 59368-2022</t>
        </is>
      </c>
      <c r="B835" s="1" t="n">
        <v>44904.94824074074</v>
      </c>
      <c r="C835" s="1" t="n">
        <v>46048</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34998-2025</t>
        </is>
      </c>
      <c r="B836" s="1" t="n">
        <v>45850.34434027778</v>
      </c>
      <c r="C836" s="1" t="n">
        <v>46048</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34999-2025</t>
        </is>
      </c>
      <c r="B837" s="1" t="n">
        <v>45850.34450231482</v>
      </c>
      <c r="C837" s="1" t="n">
        <v>46048</v>
      </c>
      <c r="D837" t="inlineStr">
        <is>
          <t>JÄMTLANDS LÄN</t>
        </is>
      </c>
      <c r="E837" t="inlineStr">
        <is>
          <t>RAGUNDA</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12050-2023</t>
        </is>
      </c>
      <c r="B838" s="1" t="n">
        <v>44995.98644675926</v>
      </c>
      <c r="C838" s="1" t="n">
        <v>46048</v>
      </c>
      <c r="D838" t="inlineStr">
        <is>
          <t>JÄMTLANDS LÄN</t>
        </is>
      </c>
      <c r="E838" t="inlineStr">
        <is>
          <t>RAGUNDA</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6801-2023</t>
        </is>
      </c>
      <c r="B839" s="1" t="n">
        <v>44966.95328703704</v>
      </c>
      <c r="C839" s="1" t="n">
        <v>46048</v>
      </c>
      <c r="D839" t="inlineStr">
        <is>
          <t>JÄMTLANDS LÄN</t>
        </is>
      </c>
      <c r="E839" t="inlineStr">
        <is>
          <t>RAGUNDA</t>
        </is>
      </c>
      <c r="F839" t="inlineStr">
        <is>
          <t>SCA</t>
        </is>
      </c>
      <c r="G839" t="n">
        <v>10.6</v>
      </c>
      <c r="H839" t="n">
        <v>0</v>
      </c>
      <c r="I839" t="n">
        <v>0</v>
      </c>
      <c r="J839" t="n">
        <v>0</v>
      </c>
      <c r="K839" t="n">
        <v>0</v>
      </c>
      <c r="L839" t="n">
        <v>0</v>
      </c>
      <c r="M839" t="n">
        <v>0</v>
      </c>
      <c r="N839" t="n">
        <v>0</v>
      </c>
      <c r="O839" t="n">
        <v>0</v>
      </c>
      <c r="P839" t="n">
        <v>0</v>
      </c>
      <c r="Q839" t="n">
        <v>0</v>
      </c>
      <c r="R839" s="2" t="inlineStr"/>
    </row>
    <row r="840" ht="15" customHeight="1">
      <c r="A840" t="inlineStr">
        <is>
          <t>A 62358-2023</t>
        </is>
      </c>
      <c r="B840" s="1" t="n">
        <v>45267</v>
      </c>
      <c r="C840" s="1" t="n">
        <v>46048</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56984-2022</t>
        </is>
      </c>
      <c r="B841" s="1" t="n">
        <v>44894.79018518519</v>
      </c>
      <c r="C841" s="1" t="n">
        <v>46048</v>
      </c>
      <c r="D841" t="inlineStr">
        <is>
          <t>JÄMTLANDS LÄN</t>
        </is>
      </c>
      <c r="E841" t="inlineStr">
        <is>
          <t>RAGUNDA</t>
        </is>
      </c>
      <c r="G841" t="n">
        <v>1.4</v>
      </c>
      <c r="H841" t="n">
        <v>0</v>
      </c>
      <c r="I841" t="n">
        <v>0</v>
      </c>
      <c r="J841" t="n">
        <v>0</v>
      </c>
      <c r="K841" t="n">
        <v>0</v>
      </c>
      <c r="L841" t="n">
        <v>0</v>
      </c>
      <c r="M841" t="n">
        <v>0</v>
      </c>
      <c r="N841" t="n">
        <v>0</v>
      </c>
      <c r="O841" t="n">
        <v>0</v>
      </c>
      <c r="P841" t="n">
        <v>0</v>
      </c>
      <c r="Q841" t="n">
        <v>0</v>
      </c>
      <c r="R841" s="2" t="inlineStr"/>
    </row>
    <row r="842" ht="15" customHeight="1">
      <c r="A842" t="inlineStr">
        <is>
          <t>A 35092-2025</t>
        </is>
      </c>
      <c r="B842" s="1" t="n">
        <v>45852.53185185185</v>
      </c>
      <c r="C842" s="1" t="n">
        <v>46048</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35091-2025</t>
        </is>
      </c>
      <c r="B843" s="1" t="n">
        <v>45852.53168981482</v>
      </c>
      <c r="C843" s="1" t="n">
        <v>46048</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41656-2023</t>
        </is>
      </c>
      <c r="B844" s="1" t="n">
        <v>45175</v>
      </c>
      <c r="C844" s="1" t="n">
        <v>46048</v>
      </c>
      <c r="D844" t="inlineStr">
        <is>
          <t>JÄMTLANDS LÄN</t>
        </is>
      </c>
      <c r="E844" t="inlineStr">
        <is>
          <t>RAGUNDA</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18820-2023</t>
        </is>
      </c>
      <c r="B845" s="1" t="n">
        <v>45042</v>
      </c>
      <c r="C845" s="1" t="n">
        <v>46048</v>
      </c>
      <c r="D845" t="inlineStr">
        <is>
          <t>JÄMTLANDS LÄN</t>
        </is>
      </c>
      <c r="E845" t="inlineStr">
        <is>
          <t>RAGUNDA</t>
        </is>
      </c>
      <c r="G845" t="n">
        <v>18.8</v>
      </c>
      <c r="H845" t="n">
        <v>0</v>
      </c>
      <c r="I845" t="n">
        <v>0</v>
      </c>
      <c r="J845" t="n">
        <v>0</v>
      </c>
      <c r="K845" t="n">
        <v>0</v>
      </c>
      <c r="L845" t="n">
        <v>0</v>
      </c>
      <c r="M845" t="n">
        <v>0</v>
      </c>
      <c r="N845" t="n">
        <v>0</v>
      </c>
      <c r="O845" t="n">
        <v>0</v>
      </c>
      <c r="P845" t="n">
        <v>0</v>
      </c>
      <c r="Q845" t="n">
        <v>0</v>
      </c>
      <c r="R845" s="2" t="inlineStr"/>
    </row>
    <row r="846" ht="15" customHeight="1">
      <c r="A846" t="inlineStr">
        <is>
          <t>A 51646-2023</t>
        </is>
      </c>
      <c r="B846" s="1" t="n">
        <v>45215</v>
      </c>
      <c r="C846" s="1" t="n">
        <v>46048</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49648-2023</t>
        </is>
      </c>
      <c r="B847" s="1" t="n">
        <v>45211.95061342593</v>
      </c>
      <c r="C847" s="1" t="n">
        <v>46048</v>
      </c>
      <c r="D847" t="inlineStr">
        <is>
          <t>JÄMTLANDS LÄN</t>
        </is>
      </c>
      <c r="E847" t="inlineStr">
        <is>
          <t>RAGUNDA</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37268-2024</t>
        </is>
      </c>
      <c r="B848" s="1" t="n">
        <v>45540.38586805556</v>
      </c>
      <c r="C848" s="1" t="n">
        <v>46048</v>
      </c>
      <c r="D848" t="inlineStr">
        <is>
          <t>JÄMTLANDS LÄN</t>
        </is>
      </c>
      <c r="E848" t="inlineStr">
        <is>
          <t>RAGUNDA</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35462-2025</t>
        </is>
      </c>
      <c r="B849" s="1" t="n">
        <v>45855.61523148148</v>
      </c>
      <c r="C849" s="1" t="n">
        <v>46048</v>
      </c>
      <c r="D849" t="inlineStr">
        <is>
          <t>JÄMTLANDS LÄN</t>
        </is>
      </c>
      <c r="E849" t="inlineStr">
        <is>
          <t>RAGUNDA</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35355-2025</t>
        </is>
      </c>
      <c r="B850" s="1" t="n">
        <v>45854.65663194445</v>
      </c>
      <c r="C850" s="1" t="n">
        <v>46048</v>
      </c>
      <c r="D850" t="inlineStr">
        <is>
          <t>JÄMTLANDS LÄN</t>
        </is>
      </c>
      <c r="E850" t="inlineStr">
        <is>
          <t>RAGUNDA</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35477-2025</t>
        </is>
      </c>
      <c r="B851" s="1" t="n">
        <v>45855.67899305555</v>
      </c>
      <c r="C851" s="1" t="n">
        <v>46048</v>
      </c>
      <c r="D851" t="inlineStr">
        <is>
          <t>JÄMTLANDS LÄN</t>
        </is>
      </c>
      <c r="E851" t="inlineStr">
        <is>
          <t>RAGUNDA</t>
        </is>
      </c>
      <c r="G851" t="n">
        <v>3.6</v>
      </c>
      <c r="H851" t="n">
        <v>0</v>
      </c>
      <c r="I851" t="n">
        <v>0</v>
      </c>
      <c r="J851" t="n">
        <v>0</v>
      </c>
      <c r="K851" t="n">
        <v>0</v>
      </c>
      <c r="L851" t="n">
        <v>0</v>
      </c>
      <c r="M851" t="n">
        <v>0</v>
      </c>
      <c r="N851" t="n">
        <v>0</v>
      </c>
      <c r="O851" t="n">
        <v>0</v>
      </c>
      <c r="P851" t="n">
        <v>0</v>
      </c>
      <c r="Q851" t="n">
        <v>0</v>
      </c>
      <c r="R851" s="2" t="inlineStr"/>
    </row>
    <row r="852" ht="15" customHeight="1">
      <c r="A852" t="inlineStr">
        <is>
          <t>A 51537-2022</t>
        </is>
      </c>
      <c r="B852" s="1" t="n">
        <v>44869</v>
      </c>
      <c r="C852" s="1" t="n">
        <v>46048</v>
      </c>
      <c r="D852" t="inlineStr">
        <is>
          <t>JÄMTLANDS LÄN</t>
        </is>
      </c>
      <c r="E852" t="inlineStr">
        <is>
          <t>RAGUNDA</t>
        </is>
      </c>
      <c r="G852" t="n">
        <v>1.8</v>
      </c>
      <c r="H852" t="n">
        <v>0</v>
      </c>
      <c r="I852" t="n">
        <v>0</v>
      </c>
      <c r="J852" t="n">
        <v>0</v>
      </c>
      <c r="K852" t="n">
        <v>0</v>
      </c>
      <c r="L852" t="n">
        <v>0</v>
      </c>
      <c r="M852" t="n">
        <v>0</v>
      </c>
      <c r="N852" t="n">
        <v>0</v>
      </c>
      <c r="O852" t="n">
        <v>0</v>
      </c>
      <c r="P852" t="n">
        <v>0</v>
      </c>
      <c r="Q852" t="n">
        <v>0</v>
      </c>
      <c r="R852" s="2" t="inlineStr"/>
    </row>
    <row r="853" ht="15" customHeight="1">
      <c r="A853" t="inlineStr">
        <is>
          <t>A 59044-2022</t>
        </is>
      </c>
      <c r="B853" s="1" t="n">
        <v>44903</v>
      </c>
      <c r="C853" s="1" t="n">
        <v>46048</v>
      </c>
      <c r="D853" t="inlineStr">
        <is>
          <t>JÄMTLANDS LÄN</t>
        </is>
      </c>
      <c r="E853" t="inlineStr">
        <is>
          <t>RAGUNDA</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14512-2025</t>
        </is>
      </c>
      <c r="B854" s="1" t="n">
        <v>45741.63659722222</v>
      </c>
      <c r="C854" s="1" t="n">
        <v>46048</v>
      </c>
      <c r="D854" t="inlineStr">
        <is>
          <t>JÄMTLANDS LÄN</t>
        </is>
      </c>
      <c r="E854" t="inlineStr">
        <is>
          <t>RAGUNDA</t>
        </is>
      </c>
      <c r="F854" t="inlineStr">
        <is>
          <t>SCA</t>
        </is>
      </c>
      <c r="G854" t="n">
        <v>8.9</v>
      </c>
      <c r="H854" t="n">
        <v>0</v>
      </c>
      <c r="I854" t="n">
        <v>0</v>
      </c>
      <c r="J854" t="n">
        <v>0</v>
      </c>
      <c r="K854" t="n">
        <v>0</v>
      </c>
      <c r="L854" t="n">
        <v>0</v>
      </c>
      <c r="M854" t="n">
        <v>0</v>
      </c>
      <c r="N854" t="n">
        <v>0</v>
      </c>
      <c r="O854" t="n">
        <v>0</v>
      </c>
      <c r="P854" t="n">
        <v>0</v>
      </c>
      <c r="Q854" t="n">
        <v>0</v>
      </c>
      <c r="R854" s="2" t="inlineStr"/>
    </row>
    <row r="855" ht="15" customHeight="1">
      <c r="A855" t="inlineStr">
        <is>
          <t>A 5958-2023</t>
        </is>
      </c>
      <c r="B855" s="1" t="n">
        <v>44963</v>
      </c>
      <c r="C855" s="1" t="n">
        <v>46048</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35541-2025</t>
        </is>
      </c>
      <c r="B856" s="1" t="n">
        <v>45856.46931712963</v>
      </c>
      <c r="C856" s="1" t="n">
        <v>46048</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13264-2025</t>
        </is>
      </c>
      <c r="B857" s="1" t="n">
        <v>45735</v>
      </c>
      <c r="C857" s="1" t="n">
        <v>46048</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8779-2025</t>
        </is>
      </c>
      <c r="B858" s="1" t="n">
        <v>45712.61552083334</v>
      </c>
      <c r="C858" s="1" t="n">
        <v>46048</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50649-2022</t>
        </is>
      </c>
      <c r="B859" s="1" t="n">
        <v>44866</v>
      </c>
      <c r="C859" s="1" t="n">
        <v>46048</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35658-2025</t>
        </is>
      </c>
      <c r="B860" s="1" t="n">
        <v>45859.594375</v>
      </c>
      <c r="C860" s="1" t="n">
        <v>46048</v>
      </c>
      <c r="D860" t="inlineStr">
        <is>
          <t>JÄMTLANDS LÄN</t>
        </is>
      </c>
      <c r="E860" t="inlineStr">
        <is>
          <t>RAGUNDA</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61400-2022</t>
        </is>
      </c>
      <c r="B861" s="1" t="n">
        <v>44915</v>
      </c>
      <c r="C861" s="1" t="n">
        <v>46048</v>
      </c>
      <c r="D861" t="inlineStr">
        <is>
          <t>JÄMTLANDS LÄN</t>
        </is>
      </c>
      <c r="E861" t="inlineStr">
        <is>
          <t>RAGUNDA</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59759-2024</t>
        </is>
      </c>
      <c r="B862" s="1" t="n">
        <v>45639.55240740741</v>
      </c>
      <c r="C862" s="1" t="n">
        <v>46048</v>
      </c>
      <c r="D862" t="inlineStr">
        <is>
          <t>JÄMTLANDS LÄN</t>
        </is>
      </c>
      <c r="E862" t="inlineStr">
        <is>
          <t>RAGUNDA</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35537-2021</t>
        </is>
      </c>
      <c r="B863" s="1" t="n">
        <v>44384</v>
      </c>
      <c r="C863" s="1" t="n">
        <v>46048</v>
      </c>
      <c r="D863" t="inlineStr">
        <is>
          <t>JÄMTLANDS LÄN</t>
        </is>
      </c>
      <c r="E863" t="inlineStr">
        <is>
          <t>RAGUNDA</t>
        </is>
      </c>
      <c r="G863" t="n">
        <v>3.1</v>
      </c>
      <c r="H863" t="n">
        <v>0</v>
      </c>
      <c r="I863" t="n">
        <v>0</v>
      </c>
      <c r="J863" t="n">
        <v>0</v>
      </c>
      <c r="K863" t="n">
        <v>0</v>
      </c>
      <c r="L863" t="n">
        <v>0</v>
      </c>
      <c r="M863" t="n">
        <v>0</v>
      </c>
      <c r="N863" t="n">
        <v>0</v>
      </c>
      <c r="O863" t="n">
        <v>0</v>
      </c>
      <c r="P863" t="n">
        <v>0</v>
      </c>
      <c r="Q863" t="n">
        <v>0</v>
      </c>
      <c r="R863" s="2" t="inlineStr"/>
    </row>
    <row r="864" ht="15" customHeight="1">
      <c r="A864" t="inlineStr">
        <is>
          <t>A 4348-2023</t>
        </is>
      </c>
      <c r="B864" s="1" t="n">
        <v>44953</v>
      </c>
      <c r="C864" s="1" t="n">
        <v>46048</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2819-2023</t>
        </is>
      </c>
      <c r="B865" s="1" t="n">
        <v>44944</v>
      </c>
      <c r="C865" s="1" t="n">
        <v>46048</v>
      </c>
      <c r="D865" t="inlineStr">
        <is>
          <t>JÄMTLANDS LÄN</t>
        </is>
      </c>
      <c r="E865" t="inlineStr">
        <is>
          <t>RAGUNDA</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56286-2023</t>
        </is>
      </c>
      <c r="B866" s="1" t="n">
        <v>45241.95741898148</v>
      </c>
      <c r="C866" s="1" t="n">
        <v>46048</v>
      </c>
      <c r="D866" t="inlineStr">
        <is>
          <t>JÄMTLANDS LÄN</t>
        </is>
      </c>
      <c r="E866" t="inlineStr">
        <is>
          <t>RAGUNDA</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56287-2023</t>
        </is>
      </c>
      <c r="B867" s="1" t="n">
        <v>45241</v>
      </c>
      <c r="C867" s="1" t="n">
        <v>46048</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35689-2025</t>
        </is>
      </c>
      <c r="B868" s="1" t="n">
        <v>45860.30229166667</v>
      </c>
      <c r="C868" s="1" t="n">
        <v>46048</v>
      </c>
      <c r="D868" t="inlineStr">
        <is>
          <t>JÄMTLANDS LÄN</t>
        </is>
      </c>
      <c r="E868" t="inlineStr">
        <is>
          <t>RAGUNDA</t>
        </is>
      </c>
      <c r="G868" t="n">
        <v>1.9</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46048</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5307-2025</t>
        </is>
      </c>
      <c r="B870" s="1" t="n">
        <v>45692.48993055556</v>
      </c>
      <c r="C870" s="1" t="n">
        <v>46048</v>
      </c>
      <c r="D870" t="inlineStr">
        <is>
          <t>JÄMTLANDS LÄN</t>
        </is>
      </c>
      <c r="E870" t="inlineStr">
        <is>
          <t>RAGUNDA</t>
        </is>
      </c>
      <c r="F870" t="inlineStr">
        <is>
          <t>SCA</t>
        </is>
      </c>
      <c r="G870" t="n">
        <v>20.9</v>
      </c>
      <c r="H870" t="n">
        <v>0</v>
      </c>
      <c r="I870" t="n">
        <v>0</v>
      </c>
      <c r="J870" t="n">
        <v>0</v>
      </c>
      <c r="K870" t="n">
        <v>0</v>
      </c>
      <c r="L870" t="n">
        <v>0</v>
      </c>
      <c r="M870" t="n">
        <v>0</v>
      </c>
      <c r="N870" t="n">
        <v>0</v>
      </c>
      <c r="O870" t="n">
        <v>0</v>
      </c>
      <c r="P870" t="n">
        <v>0</v>
      </c>
      <c r="Q870" t="n">
        <v>0</v>
      </c>
      <c r="R870" s="2" t="inlineStr"/>
    </row>
    <row r="871" ht="15" customHeight="1">
      <c r="A871" t="inlineStr">
        <is>
          <t>A 38548-2024</t>
        </is>
      </c>
      <c r="B871" s="1" t="n">
        <v>45546</v>
      </c>
      <c r="C871" s="1" t="n">
        <v>46048</v>
      </c>
      <c r="D871" t="inlineStr">
        <is>
          <t>JÄMTLANDS LÄN</t>
        </is>
      </c>
      <c r="E871" t="inlineStr">
        <is>
          <t>RAGUNDA</t>
        </is>
      </c>
      <c r="G871" t="n">
        <v>1.4</v>
      </c>
      <c r="H871" t="n">
        <v>0</v>
      </c>
      <c r="I871" t="n">
        <v>0</v>
      </c>
      <c r="J871" t="n">
        <v>0</v>
      </c>
      <c r="K871" t="n">
        <v>0</v>
      </c>
      <c r="L871" t="n">
        <v>0</v>
      </c>
      <c r="M871" t="n">
        <v>0</v>
      </c>
      <c r="N871" t="n">
        <v>0</v>
      </c>
      <c r="O871" t="n">
        <v>0</v>
      </c>
      <c r="P871" t="n">
        <v>0</v>
      </c>
      <c r="Q871" t="n">
        <v>0</v>
      </c>
      <c r="R871" s="2" t="inlineStr"/>
    </row>
    <row r="872" ht="15" customHeight="1">
      <c r="A872" t="inlineStr">
        <is>
          <t>A 62135-2024</t>
        </is>
      </c>
      <c r="B872" s="1" t="n">
        <v>45656.64223379629</v>
      </c>
      <c r="C872" s="1" t="n">
        <v>46048</v>
      </c>
      <c r="D872" t="inlineStr">
        <is>
          <t>JÄMTLANDS LÄN</t>
        </is>
      </c>
      <c r="E872" t="inlineStr">
        <is>
          <t>RAGUNDA</t>
        </is>
      </c>
      <c r="G872" t="n">
        <v>1.5</v>
      </c>
      <c r="H872" t="n">
        <v>0</v>
      </c>
      <c r="I872" t="n">
        <v>0</v>
      </c>
      <c r="J872" t="n">
        <v>0</v>
      </c>
      <c r="K872" t="n">
        <v>0</v>
      </c>
      <c r="L872" t="n">
        <v>0</v>
      </c>
      <c r="M872" t="n">
        <v>0</v>
      </c>
      <c r="N872" t="n">
        <v>0</v>
      </c>
      <c r="O872" t="n">
        <v>0</v>
      </c>
      <c r="P872" t="n">
        <v>0</v>
      </c>
      <c r="Q872" t="n">
        <v>0</v>
      </c>
      <c r="R872" s="2" t="inlineStr"/>
    </row>
    <row r="873" ht="15" customHeight="1">
      <c r="A873" t="inlineStr">
        <is>
          <t>A 2411-2023</t>
        </is>
      </c>
      <c r="B873" s="1" t="n">
        <v>44942</v>
      </c>
      <c r="C873" s="1" t="n">
        <v>46048</v>
      </c>
      <c r="D873" t="inlineStr">
        <is>
          <t>JÄMTLANDS LÄN</t>
        </is>
      </c>
      <c r="E873" t="inlineStr">
        <is>
          <t>RAGUNDA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18248-2023</t>
        </is>
      </c>
      <c r="B874" s="1" t="n">
        <v>45040</v>
      </c>
      <c r="C874" s="1" t="n">
        <v>46048</v>
      </c>
      <c r="D874" t="inlineStr">
        <is>
          <t>JÄMTLANDS LÄN</t>
        </is>
      </c>
      <c r="E874" t="inlineStr">
        <is>
          <t>RAGUNDA</t>
        </is>
      </c>
      <c r="G874" t="n">
        <v>4.3</v>
      </c>
      <c r="H874" t="n">
        <v>0</v>
      </c>
      <c r="I874" t="n">
        <v>0</v>
      </c>
      <c r="J874" t="n">
        <v>0</v>
      </c>
      <c r="K874" t="n">
        <v>0</v>
      </c>
      <c r="L874" t="n">
        <v>0</v>
      </c>
      <c r="M874" t="n">
        <v>0</v>
      </c>
      <c r="N874" t="n">
        <v>0</v>
      </c>
      <c r="O874" t="n">
        <v>0</v>
      </c>
      <c r="P874" t="n">
        <v>0</v>
      </c>
      <c r="Q874" t="n">
        <v>0</v>
      </c>
      <c r="R874" s="2" t="inlineStr"/>
    </row>
    <row r="875" ht="15" customHeight="1">
      <c r="A875" t="inlineStr">
        <is>
          <t>A 8802-2022</t>
        </is>
      </c>
      <c r="B875" s="1" t="n">
        <v>44614</v>
      </c>
      <c r="C875" s="1" t="n">
        <v>46048</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13935-2024</t>
        </is>
      </c>
      <c r="B876" s="1" t="n">
        <v>45391.95329861111</v>
      </c>
      <c r="C876" s="1" t="n">
        <v>46048</v>
      </c>
      <c r="D876" t="inlineStr">
        <is>
          <t>JÄMTLANDS LÄN</t>
        </is>
      </c>
      <c r="E876" t="inlineStr">
        <is>
          <t>RAGUNDA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54092-2024</t>
        </is>
      </c>
      <c r="B877" s="1" t="n">
        <v>45616.5108912037</v>
      </c>
      <c r="C877" s="1" t="n">
        <v>46048</v>
      </c>
      <c r="D877" t="inlineStr">
        <is>
          <t>JÄMTLANDS LÄN</t>
        </is>
      </c>
      <c r="E877" t="inlineStr">
        <is>
          <t>RAGUNDA</t>
        </is>
      </c>
      <c r="F877" t="inlineStr">
        <is>
          <t>Naturvårdsverket</t>
        </is>
      </c>
      <c r="G877" t="n">
        <v>1.3</v>
      </c>
      <c r="H877" t="n">
        <v>0</v>
      </c>
      <c r="I877" t="n">
        <v>0</v>
      </c>
      <c r="J877" t="n">
        <v>0</v>
      </c>
      <c r="K877" t="n">
        <v>0</v>
      </c>
      <c r="L877" t="n">
        <v>0</v>
      </c>
      <c r="M877" t="n">
        <v>0</v>
      </c>
      <c r="N877" t="n">
        <v>0</v>
      </c>
      <c r="O877" t="n">
        <v>0</v>
      </c>
      <c r="P877" t="n">
        <v>0</v>
      </c>
      <c r="Q877" t="n">
        <v>0</v>
      </c>
      <c r="R877" s="2" t="inlineStr"/>
    </row>
    <row r="878" ht="15" customHeight="1">
      <c r="A878" t="inlineStr">
        <is>
          <t>A 30459-2021</t>
        </is>
      </c>
      <c r="B878" s="1" t="n">
        <v>44362</v>
      </c>
      <c r="C878" s="1" t="n">
        <v>46048</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39489-2023</t>
        </is>
      </c>
      <c r="B879" s="1" t="n">
        <v>45166</v>
      </c>
      <c r="C879" s="1" t="n">
        <v>46048</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55214-2022</t>
        </is>
      </c>
      <c r="B880" s="1" t="n">
        <v>44886</v>
      </c>
      <c r="C880" s="1" t="n">
        <v>46048</v>
      </c>
      <c r="D880" t="inlineStr">
        <is>
          <t>JÄMTLANDS LÄN</t>
        </is>
      </c>
      <c r="E880" t="inlineStr">
        <is>
          <t>RAGUNDA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5308-2025</t>
        </is>
      </c>
      <c r="B881" s="1" t="n">
        <v>45692.49008101852</v>
      </c>
      <c r="C881" s="1" t="n">
        <v>46048</v>
      </c>
      <c r="D881" t="inlineStr">
        <is>
          <t>JÄMTLANDS LÄN</t>
        </is>
      </c>
      <c r="E881" t="inlineStr">
        <is>
          <t>RAGUNDA</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36541-2025</t>
        </is>
      </c>
      <c r="B882" s="1" t="n">
        <v>45869.65666666667</v>
      </c>
      <c r="C882" s="1" t="n">
        <v>46048</v>
      </c>
      <c r="D882" t="inlineStr">
        <is>
          <t>JÄMTLANDS LÄN</t>
        </is>
      </c>
      <c r="E882" t="inlineStr">
        <is>
          <t>RAGUNDA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36544-2025</t>
        </is>
      </c>
      <c r="B883" s="1" t="n">
        <v>45869.67744212963</v>
      </c>
      <c r="C883" s="1" t="n">
        <v>46048</v>
      </c>
      <c r="D883" t="inlineStr">
        <is>
          <t>JÄMTLANDS LÄN</t>
        </is>
      </c>
      <c r="E883" t="inlineStr">
        <is>
          <t>RAGUNDA</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58194-2022</t>
        </is>
      </c>
      <c r="B884" s="1" t="n">
        <v>44900</v>
      </c>
      <c r="C884" s="1" t="n">
        <v>46048</v>
      </c>
      <c r="D884" t="inlineStr">
        <is>
          <t>JÄMTLANDS LÄN</t>
        </is>
      </c>
      <c r="E884" t="inlineStr">
        <is>
          <t>RAGUNDA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37543-2023</t>
        </is>
      </c>
      <c r="B885" s="1" t="n">
        <v>45158.94231481481</v>
      </c>
      <c r="C885" s="1" t="n">
        <v>46048</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36553-2025</t>
        </is>
      </c>
      <c r="B886" s="1" t="n">
        <v>45870.34439814815</v>
      </c>
      <c r="C886" s="1" t="n">
        <v>46048</v>
      </c>
      <c r="D886" t="inlineStr">
        <is>
          <t>JÄMTLANDS LÄN</t>
        </is>
      </c>
      <c r="E886" t="inlineStr">
        <is>
          <t>RAGUNDA</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7668-2025</t>
        </is>
      </c>
      <c r="B887" s="1" t="n">
        <v>45706.34450231482</v>
      </c>
      <c r="C887" s="1" t="n">
        <v>46048</v>
      </c>
      <c r="D887" t="inlineStr">
        <is>
          <t>JÄMTLANDS LÄN</t>
        </is>
      </c>
      <c r="E887" t="inlineStr">
        <is>
          <t>RAGUNDA</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24171-2021</t>
        </is>
      </c>
      <c r="B888" s="1" t="n">
        <v>44336</v>
      </c>
      <c r="C888" s="1" t="n">
        <v>46048</v>
      </c>
      <c r="D888" t="inlineStr">
        <is>
          <t>JÄMTLANDS LÄN</t>
        </is>
      </c>
      <c r="E888" t="inlineStr">
        <is>
          <t>RAGUNDA</t>
        </is>
      </c>
      <c r="G888" t="n">
        <v>3.6</v>
      </c>
      <c r="H888" t="n">
        <v>0</v>
      </c>
      <c r="I888" t="n">
        <v>0</v>
      </c>
      <c r="J888" t="n">
        <v>0</v>
      </c>
      <c r="K888" t="n">
        <v>0</v>
      </c>
      <c r="L888" t="n">
        <v>0</v>
      </c>
      <c r="M888" t="n">
        <v>0</v>
      </c>
      <c r="N888" t="n">
        <v>0</v>
      </c>
      <c r="O888" t="n">
        <v>0</v>
      </c>
      <c r="P888" t="n">
        <v>0</v>
      </c>
      <c r="Q888" t="n">
        <v>0</v>
      </c>
      <c r="R888" s="2" t="inlineStr"/>
    </row>
    <row r="889" ht="15" customHeight="1">
      <c r="A889" t="inlineStr">
        <is>
          <t>A 36046-2023</t>
        </is>
      </c>
      <c r="B889" s="1" t="n">
        <v>45148</v>
      </c>
      <c r="C889" s="1" t="n">
        <v>46048</v>
      </c>
      <c r="D889" t="inlineStr">
        <is>
          <t>JÄMTLANDS LÄN</t>
        </is>
      </c>
      <c r="E889" t="inlineStr">
        <is>
          <t>RAGUNDA</t>
        </is>
      </c>
      <c r="G889" t="n">
        <v>1.9</v>
      </c>
      <c r="H889" t="n">
        <v>0</v>
      </c>
      <c r="I889" t="n">
        <v>0</v>
      </c>
      <c r="J889" t="n">
        <v>0</v>
      </c>
      <c r="K889" t="n">
        <v>0</v>
      </c>
      <c r="L889" t="n">
        <v>0</v>
      </c>
      <c r="M889" t="n">
        <v>0</v>
      </c>
      <c r="N889" t="n">
        <v>0</v>
      </c>
      <c r="O889" t="n">
        <v>0</v>
      </c>
      <c r="P889" t="n">
        <v>0</v>
      </c>
      <c r="Q889" t="n">
        <v>0</v>
      </c>
      <c r="R889" s="2" t="inlineStr"/>
    </row>
    <row r="890" ht="15" customHeight="1">
      <c r="A890" t="inlineStr">
        <is>
          <t>A 58843-2024</t>
        </is>
      </c>
      <c r="B890" s="1" t="n">
        <v>45636.38599537037</v>
      </c>
      <c r="C890" s="1" t="n">
        <v>46048</v>
      </c>
      <c r="D890" t="inlineStr">
        <is>
          <t>JÄMTLANDS LÄN</t>
        </is>
      </c>
      <c r="E890" t="inlineStr">
        <is>
          <t>RAGUNDA</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7722-2023</t>
        </is>
      </c>
      <c r="B891" s="1" t="n">
        <v>44972.94140046297</v>
      </c>
      <c r="C891" s="1" t="n">
        <v>46048</v>
      </c>
      <c r="D891" t="inlineStr">
        <is>
          <t>JÄMTLANDS LÄN</t>
        </is>
      </c>
      <c r="E891" t="inlineStr">
        <is>
          <t>RAGUNDA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12204-2025</t>
        </is>
      </c>
      <c r="B892" s="1" t="n">
        <v>45729.51074074074</v>
      </c>
      <c r="C892" s="1" t="n">
        <v>46048</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13299-2024</t>
        </is>
      </c>
      <c r="B893" s="1" t="n">
        <v>45386.68003472222</v>
      </c>
      <c r="C893" s="1" t="n">
        <v>46048</v>
      </c>
      <c r="D893" t="inlineStr">
        <is>
          <t>JÄMTLANDS LÄN</t>
        </is>
      </c>
      <c r="E893" t="inlineStr">
        <is>
          <t>RAGUNDA</t>
        </is>
      </c>
      <c r="G893" t="n">
        <v>1.9</v>
      </c>
      <c r="H893" t="n">
        <v>0</v>
      </c>
      <c r="I893" t="n">
        <v>0</v>
      </c>
      <c r="J893" t="n">
        <v>0</v>
      </c>
      <c r="K893" t="n">
        <v>0</v>
      </c>
      <c r="L893" t="n">
        <v>0</v>
      </c>
      <c r="M893" t="n">
        <v>0</v>
      </c>
      <c r="N893" t="n">
        <v>0</v>
      </c>
      <c r="O893" t="n">
        <v>0</v>
      </c>
      <c r="P893" t="n">
        <v>0</v>
      </c>
      <c r="Q893" t="n">
        <v>0</v>
      </c>
      <c r="R893" s="2" t="inlineStr"/>
    </row>
    <row r="894" ht="15" customHeight="1">
      <c r="A894" t="inlineStr">
        <is>
          <t>A 32075-2025</t>
        </is>
      </c>
      <c r="B894" s="1" t="n">
        <v>45835.4506712963</v>
      </c>
      <c r="C894" s="1" t="n">
        <v>46048</v>
      </c>
      <c r="D894" t="inlineStr">
        <is>
          <t>JÄMTLANDS LÄN</t>
        </is>
      </c>
      <c r="E894" t="inlineStr">
        <is>
          <t>RAGUNDA</t>
        </is>
      </c>
      <c r="G894" t="n">
        <v>1.1</v>
      </c>
      <c r="H894" t="n">
        <v>0</v>
      </c>
      <c r="I894" t="n">
        <v>0</v>
      </c>
      <c r="J894" t="n">
        <v>0</v>
      </c>
      <c r="K894" t="n">
        <v>0</v>
      </c>
      <c r="L894" t="n">
        <v>0</v>
      </c>
      <c r="M894" t="n">
        <v>0</v>
      </c>
      <c r="N894" t="n">
        <v>0</v>
      </c>
      <c r="O894" t="n">
        <v>0</v>
      </c>
      <c r="P894" t="n">
        <v>0</v>
      </c>
      <c r="Q894" t="n">
        <v>0</v>
      </c>
      <c r="R894" s="2" t="inlineStr"/>
    </row>
    <row r="895" ht="15" customHeight="1">
      <c r="A895" t="inlineStr">
        <is>
          <t>A 15024-2022</t>
        </is>
      </c>
      <c r="B895" s="1" t="n">
        <v>44657</v>
      </c>
      <c r="C895" s="1" t="n">
        <v>46048</v>
      </c>
      <c r="D895" t="inlineStr">
        <is>
          <t>JÄMTLANDS LÄN</t>
        </is>
      </c>
      <c r="E895" t="inlineStr">
        <is>
          <t>RAGUNDA</t>
        </is>
      </c>
      <c r="G895" t="n">
        <v>1.8</v>
      </c>
      <c r="H895" t="n">
        <v>0</v>
      </c>
      <c r="I895" t="n">
        <v>0</v>
      </c>
      <c r="J895" t="n">
        <v>0</v>
      </c>
      <c r="K895" t="n">
        <v>0</v>
      </c>
      <c r="L895" t="n">
        <v>0</v>
      </c>
      <c r="M895" t="n">
        <v>0</v>
      </c>
      <c r="N895" t="n">
        <v>0</v>
      </c>
      <c r="O895" t="n">
        <v>0</v>
      </c>
      <c r="P895" t="n">
        <v>0</v>
      </c>
      <c r="Q895" t="n">
        <v>0</v>
      </c>
      <c r="R895" s="2" t="inlineStr"/>
    </row>
    <row r="896" ht="15" customHeight="1">
      <c r="A896" t="inlineStr">
        <is>
          <t>A 891-2022</t>
        </is>
      </c>
      <c r="B896" s="1" t="n">
        <v>44571</v>
      </c>
      <c r="C896" s="1" t="n">
        <v>46048</v>
      </c>
      <c r="D896" t="inlineStr">
        <is>
          <t>JÄMTLANDS LÄN</t>
        </is>
      </c>
      <c r="E896" t="inlineStr">
        <is>
          <t>RAGUNDA</t>
        </is>
      </c>
      <c r="G896" t="n">
        <v>1.7</v>
      </c>
      <c r="H896" t="n">
        <v>0</v>
      </c>
      <c r="I896" t="n">
        <v>0</v>
      </c>
      <c r="J896" t="n">
        <v>0</v>
      </c>
      <c r="K896" t="n">
        <v>0</v>
      </c>
      <c r="L896" t="n">
        <v>0</v>
      </c>
      <c r="M896" t="n">
        <v>0</v>
      </c>
      <c r="N896" t="n">
        <v>0</v>
      </c>
      <c r="O896" t="n">
        <v>0</v>
      </c>
      <c r="P896" t="n">
        <v>0</v>
      </c>
      <c r="Q896" t="n">
        <v>0</v>
      </c>
      <c r="R896" s="2" t="inlineStr"/>
    </row>
    <row r="897" ht="15" customHeight="1">
      <c r="A897" t="inlineStr">
        <is>
          <t>A 36371-2023</t>
        </is>
      </c>
      <c r="B897" s="1" t="n">
        <v>45149</v>
      </c>
      <c r="C897" s="1" t="n">
        <v>46048</v>
      </c>
      <c r="D897" t="inlineStr">
        <is>
          <t>JÄMTLANDS LÄN</t>
        </is>
      </c>
      <c r="E897" t="inlineStr">
        <is>
          <t>RAGUNDA</t>
        </is>
      </c>
      <c r="G897" t="n">
        <v>25.7</v>
      </c>
      <c r="H897" t="n">
        <v>0</v>
      </c>
      <c r="I897" t="n">
        <v>0</v>
      </c>
      <c r="J897" t="n">
        <v>0</v>
      </c>
      <c r="K897" t="n">
        <v>0</v>
      </c>
      <c r="L897" t="n">
        <v>0</v>
      </c>
      <c r="M897" t="n">
        <v>0</v>
      </c>
      <c r="N897" t="n">
        <v>0</v>
      </c>
      <c r="O897" t="n">
        <v>0</v>
      </c>
      <c r="P897" t="n">
        <v>0</v>
      </c>
      <c r="Q897" t="n">
        <v>0</v>
      </c>
      <c r="R897" s="2" t="inlineStr"/>
    </row>
    <row r="898" ht="15" customHeight="1">
      <c r="A898" t="inlineStr">
        <is>
          <t>A 32874-2025</t>
        </is>
      </c>
      <c r="B898" s="1" t="n">
        <v>45839</v>
      </c>
      <c r="C898" s="1" t="n">
        <v>46048</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56702-2023</t>
        </is>
      </c>
      <c r="B899" s="1" t="n">
        <v>45243</v>
      </c>
      <c r="C899" s="1" t="n">
        <v>46048</v>
      </c>
      <c r="D899" t="inlineStr">
        <is>
          <t>JÄMTLANDS LÄN</t>
        </is>
      </c>
      <c r="E899" t="inlineStr">
        <is>
          <t>RAGUNDA</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36994-2025</t>
        </is>
      </c>
      <c r="B900" s="1" t="n">
        <v>45874.67746527777</v>
      </c>
      <c r="C900" s="1" t="n">
        <v>46048</v>
      </c>
      <c r="D900" t="inlineStr">
        <is>
          <t>JÄMTLANDS LÄN</t>
        </is>
      </c>
      <c r="E900" t="inlineStr">
        <is>
          <t>RAGUNDA</t>
        </is>
      </c>
      <c r="F900" t="inlineStr">
        <is>
          <t>SCA</t>
        </is>
      </c>
      <c r="G900" t="n">
        <v>7.2</v>
      </c>
      <c r="H900" t="n">
        <v>0</v>
      </c>
      <c r="I900" t="n">
        <v>0</v>
      </c>
      <c r="J900" t="n">
        <v>0</v>
      </c>
      <c r="K900" t="n">
        <v>0</v>
      </c>
      <c r="L900" t="n">
        <v>0</v>
      </c>
      <c r="M900" t="n">
        <v>0</v>
      </c>
      <c r="N900" t="n">
        <v>0</v>
      </c>
      <c r="O900" t="n">
        <v>0</v>
      </c>
      <c r="P900" t="n">
        <v>0</v>
      </c>
      <c r="Q900" t="n">
        <v>0</v>
      </c>
      <c r="R900" s="2" t="inlineStr"/>
    </row>
    <row r="901" ht="15" customHeight="1">
      <c r="A901" t="inlineStr">
        <is>
          <t>A 8654-2024</t>
        </is>
      </c>
      <c r="B901" s="1" t="n">
        <v>45356.03784722222</v>
      </c>
      <c r="C901" s="1" t="n">
        <v>46048</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32259-2024</t>
        </is>
      </c>
      <c r="B902" s="1" t="n">
        <v>45511</v>
      </c>
      <c r="C902" s="1" t="n">
        <v>46048</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6902-2024</t>
        </is>
      </c>
      <c r="B903" s="1" t="n">
        <v>45342</v>
      </c>
      <c r="C903" s="1" t="n">
        <v>46048</v>
      </c>
      <c r="D903" t="inlineStr">
        <is>
          <t>JÄMTLANDS LÄN</t>
        </is>
      </c>
      <c r="E903" t="inlineStr">
        <is>
          <t>RAGUNDA</t>
        </is>
      </c>
      <c r="F903" t="inlineStr">
        <is>
          <t>SCA</t>
        </is>
      </c>
      <c r="G903" t="n">
        <v>18.7</v>
      </c>
      <c r="H903" t="n">
        <v>0</v>
      </c>
      <c r="I903" t="n">
        <v>0</v>
      </c>
      <c r="J903" t="n">
        <v>0</v>
      </c>
      <c r="K903" t="n">
        <v>0</v>
      </c>
      <c r="L903" t="n">
        <v>0</v>
      </c>
      <c r="M903" t="n">
        <v>0</v>
      </c>
      <c r="N903" t="n">
        <v>0</v>
      </c>
      <c r="O903" t="n">
        <v>0</v>
      </c>
      <c r="P903" t="n">
        <v>0</v>
      </c>
      <c r="Q903" t="n">
        <v>0</v>
      </c>
      <c r="R903" s="2" t="inlineStr"/>
    </row>
    <row r="904" ht="15" customHeight="1">
      <c r="A904" t="inlineStr">
        <is>
          <t>A 6905-2024</t>
        </is>
      </c>
      <c r="B904" s="1" t="n">
        <v>45342.9462037037</v>
      </c>
      <c r="C904" s="1" t="n">
        <v>46048</v>
      </c>
      <c r="D904" t="inlineStr">
        <is>
          <t>JÄMTLANDS LÄN</t>
        </is>
      </c>
      <c r="E904" t="inlineStr">
        <is>
          <t>RAGUNDA</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37008-2025</t>
        </is>
      </c>
      <c r="B905" s="1" t="n">
        <v>45874.69844907407</v>
      </c>
      <c r="C905" s="1" t="n">
        <v>46048</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36947-2025</t>
        </is>
      </c>
      <c r="B906" s="1" t="n">
        <v>45874.59496527778</v>
      </c>
      <c r="C906" s="1" t="n">
        <v>46048</v>
      </c>
      <c r="D906" t="inlineStr">
        <is>
          <t>JÄMTLANDS LÄN</t>
        </is>
      </c>
      <c r="E906" t="inlineStr">
        <is>
          <t>RAGUNDA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5313-2025</t>
        </is>
      </c>
      <c r="B907" s="1" t="n">
        <v>45692.51069444444</v>
      </c>
      <c r="C907" s="1" t="n">
        <v>46048</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5357-2025</t>
        </is>
      </c>
      <c r="B908" s="1" t="n">
        <v>45692.57326388889</v>
      </c>
      <c r="C908" s="1" t="n">
        <v>46048</v>
      </c>
      <c r="D908" t="inlineStr">
        <is>
          <t>JÄMTLANDS LÄN</t>
        </is>
      </c>
      <c r="E908" t="inlineStr">
        <is>
          <t>RAGUNDA</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37292-2025</t>
        </is>
      </c>
      <c r="B909" s="1" t="n">
        <v>45876.53188657408</v>
      </c>
      <c r="C909" s="1" t="n">
        <v>46048</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3018-2024</t>
        </is>
      </c>
      <c r="B910" s="1" t="n">
        <v>45315.9492824074</v>
      </c>
      <c r="C910" s="1" t="n">
        <v>46048</v>
      </c>
      <c r="D910" t="inlineStr">
        <is>
          <t>JÄMTLANDS LÄN</t>
        </is>
      </c>
      <c r="E910" t="inlineStr">
        <is>
          <t>RAGUNDA</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44605-2024</t>
        </is>
      </c>
      <c r="B911" s="1" t="n">
        <v>45574.51185185185</v>
      </c>
      <c r="C911" s="1" t="n">
        <v>46048</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53287-2022</t>
        </is>
      </c>
      <c r="B912" s="1" t="n">
        <v>44876</v>
      </c>
      <c r="C912" s="1" t="n">
        <v>46048</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16320-2025</t>
        </is>
      </c>
      <c r="B913" s="1" t="n">
        <v>45751.34859953704</v>
      </c>
      <c r="C913" s="1" t="n">
        <v>46048</v>
      </c>
      <c r="D913" t="inlineStr">
        <is>
          <t>JÄMTLANDS LÄN</t>
        </is>
      </c>
      <c r="E913" t="inlineStr">
        <is>
          <t>RAGUNDA</t>
        </is>
      </c>
      <c r="F913" t="inlineStr">
        <is>
          <t>SCA</t>
        </is>
      </c>
      <c r="G913" t="n">
        <v>16.2</v>
      </c>
      <c r="H913" t="n">
        <v>0</v>
      </c>
      <c r="I913" t="n">
        <v>0</v>
      </c>
      <c r="J913" t="n">
        <v>0</v>
      </c>
      <c r="K913" t="n">
        <v>0</v>
      </c>
      <c r="L913" t="n">
        <v>0</v>
      </c>
      <c r="M913" t="n">
        <v>0</v>
      </c>
      <c r="N913" t="n">
        <v>0</v>
      </c>
      <c r="O913" t="n">
        <v>0</v>
      </c>
      <c r="P913" t="n">
        <v>0</v>
      </c>
      <c r="Q913" t="n">
        <v>0</v>
      </c>
      <c r="R913" s="2" t="inlineStr"/>
    </row>
    <row r="914" ht="15" customHeight="1">
      <c r="A914" t="inlineStr">
        <is>
          <t>A 16321-2025</t>
        </is>
      </c>
      <c r="B914" s="1" t="n">
        <v>45751.34873842593</v>
      </c>
      <c r="C914" s="1" t="n">
        <v>46048</v>
      </c>
      <c r="D914" t="inlineStr">
        <is>
          <t>JÄMTLANDS LÄN</t>
        </is>
      </c>
      <c r="E914" t="inlineStr">
        <is>
          <t>RAGUNDA</t>
        </is>
      </c>
      <c r="F914" t="inlineStr">
        <is>
          <t>SCA</t>
        </is>
      </c>
      <c r="G914" t="n">
        <v>63.3</v>
      </c>
      <c r="H914" t="n">
        <v>0</v>
      </c>
      <c r="I914" t="n">
        <v>0</v>
      </c>
      <c r="J914" t="n">
        <v>0</v>
      </c>
      <c r="K914" t="n">
        <v>0</v>
      </c>
      <c r="L914" t="n">
        <v>0</v>
      </c>
      <c r="M914" t="n">
        <v>0</v>
      </c>
      <c r="N914" t="n">
        <v>0</v>
      </c>
      <c r="O914" t="n">
        <v>0</v>
      </c>
      <c r="P914" t="n">
        <v>0</v>
      </c>
      <c r="Q914" t="n">
        <v>0</v>
      </c>
      <c r="R914" s="2" t="inlineStr"/>
    </row>
    <row r="915" ht="15" customHeight="1">
      <c r="A915" t="inlineStr">
        <is>
          <t>A 14696-2022</t>
        </is>
      </c>
      <c r="B915" s="1" t="n">
        <v>44655</v>
      </c>
      <c r="C915" s="1" t="n">
        <v>46048</v>
      </c>
      <c r="D915" t="inlineStr">
        <is>
          <t>JÄMTLANDS LÄN</t>
        </is>
      </c>
      <c r="E915" t="inlineStr">
        <is>
          <t>RAGUNDA</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55514-2024</t>
        </is>
      </c>
      <c r="B916" s="1" t="n">
        <v>45622.46910879629</v>
      </c>
      <c r="C916" s="1" t="n">
        <v>46048</v>
      </c>
      <c r="D916" t="inlineStr">
        <is>
          <t>JÄMTLANDS LÄN</t>
        </is>
      </c>
      <c r="E916" t="inlineStr">
        <is>
          <t>RAGUNDA</t>
        </is>
      </c>
      <c r="G916" t="n">
        <v>0.9</v>
      </c>
      <c r="H916" t="n">
        <v>0</v>
      </c>
      <c r="I916" t="n">
        <v>0</v>
      </c>
      <c r="J916" t="n">
        <v>0</v>
      </c>
      <c r="K916" t="n">
        <v>0</v>
      </c>
      <c r="L916" t="n">
        <v>0</v>
      </c>
      <c r="M916" t="n">
        <v>0</v>
      </c>
      <c r="N916" t="n">
        <v>0</v>
      </c>
      <c r="O916" t="n">
        <v>0</v>
      </c>
      <c r="P916" t="n">
        <v>0</v>
      </c>
      <c r="Q916" t="n">
        <v>0</v>
      </c>
      <c r="R916" s="2" t="inlineStr"/>
    </row>
    <row r="917" ht="15" customHeight="1">
      <c r="A917" t="inlineStr">
        <is>
          <t>A 18375-2022</t>
        </is>
      </c>
      <c r="B917" s="1" t="n">
        <v>44685</v>
      </c>
      <c r="C917" s="1" t="n">
        <v>46048</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17248-2023</t>
        </is>
      </c>
      <c r="B918" s="1" t="n">
        <v>45033</v>
      </c>
      <c r="C918" s="1" t="n">
        <v>46048</v>
      </c>
      <c r="D918" t="inlineStr">
        <is>
          <t>JÄMTLANDS LÄN</t>
        </is>
      </c>
      <c r="E918" t="inlineStr">
        <is>
          <t>RAGUNDA</t>
        </is>
      </c>
      <c r="G918" t="n">
        <v>3</v>
      </c>
      <c r="H918" t="n">
        <v>0</v>
      </c>
      <c r="I918" t="n">
        <v>0</v>
      </c>
      <c r="J918" t="n">
        <v>0</v>
      </c>
      <c r="K918" t="n">
        <v>0</v>
      </c>
      <c r="L918" t="n">
        <v>0</v>
      </c>
      <c r="M918" t="n">
        <v>0</v>
      </c>
      <c r="N918" t="n">
        <v>0</v>
      </c>
      <c r="O918" t="n">
        <v>0</v>
      </c>
      <c r="P918" t="n">
        <v>0</v>
      </c>
      <c r="Q918" t="n">
        <v>0</v>
      </c>
      <c r="R918" s="2" t="inlineStr"/>
    </row>
    <row r="919" ht="15" customHeight="1">
      <c r="A919" t="inlineStr">
        <is>
          <t>A 62011-2022</t>
        </is>
      </c>
      <c r="B919" s="1" t="n">
        <v>44914</v>
      </c>
      <c r="C919" s="1" t="n">
        <v>46048</v>
      </c>
      <c r="D919" t="inlineStr">
        <is>
          <t>JÄMTLANDS LÄN</t>
        </is>
      </c>
      <c r="E919" t="inlineStr">
        <is>
          <t>RAGUNDA</t>
        </is>
      </c>
      <c r="G919" t="n">
        <v>0.3</v>
      </c>
      <c r="H919" t="n">
        <v>0</v>
      </c>
      <c r="I919" t="n">
        <v>0</v>
      </c>
      <c r="J919" t="n">
        <v>0</v>
      </c>
      <c r="K919" t="n">
        <v>0</v>
      </c>
      <c r="L919" t="n">
        <v>0</v>
      </c>
      <c r="M919" t="n">
        <v>0</v>
      </c>
      <c r="N919" t="n">
        <v>0</v>
      </c>
      <c r="O919" t="n">
        <v>0</v>
      </c>
      <c r="P919" t="n">
        <v>0</v>
      </c>
      <c r="Q919" t="n">
        <v>0</v>
      </c>
      <c r="R919" s="2" t="inlineStr"/>
    </row>
    <row r="920" ht="15" customHeight="1">
      <c r="A920" t="inlineStr">
        <is>
          <t>A 11557-2023</t>
        </is>
      </c>
      <c r="B920" s="1" t="n">
        <v>44993.94950231481</v>
      </c>
      <c r="C920" s="1" t="n">
        <v>46048</v>
      </c>
      <c r="D920" t="inlineStr">
        <is>
          <t>JÄMTLANDS LÄN</t>
        </is>
      </c>
      <c r="E920" t="inlineStr">
        <is>
          <t>RAGUNDA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11562-2023</t>
        </is>
      </c>
      <c r="B921" s="1" t="n">
        <v>44993</v>
      </c>
      <c r="C921" s="1" t="n">
        <v>46048</v>
      </c>
      <c r="D921" t="inlineStr">
        <is>
          <t>JÄMTLANDS LÄN</t>
        </is>
      </c>
      <c r="E921" t="inlineStr">
        <is>
          <t>RAGUNDA</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22131-2021</t>
        </is>
      </c>
      <c r="B922" s="1" t="n">
        <v>44323</v>
      </c>
      <c r="C922" s="1" t="n">
        <v>46048</v>
      </c>
      <c r="D922" t="inlineStr">
        <is>
          <t>JÄMTLANDS LÄN</t>
        </is>
      </c>
      <c r="E922" t="inlineStr">
        <is>
          <t>RAGUNDA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46048</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30563-2023</t>
        </is>
      </c>
      <c r="B924" s="1" t="n">
        <v>45111.92793981481</v>
      </c>
      <c r="C924" s="1" t="n">
        <v>46048</v>
      </c>
      <c r="D924" t="inlineStr">
        <is>
          <t>JÄMTLANDS LÄN</t>
        </is>
      </c>
      <c r="E924" t="inlineStr">
        <is>
          <t>RAGUNDA</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46048</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12768-2022</t>
        </is>
      </c>
      <c r="B926" s="1" t="n">
        <v>44641</v>
      </c>
      <c r="C926" s="1" t="n">
        <v>46048</v>
      </c>
      <c r="D926" t="inlineStr">
        <is>
          <t>JÄMTLANDS LÄN</t>
        </is>
      </c>
      <c r="E926" t="inlineStr">
        <is>
          <t>RAGUNDA</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12773-2022</t>
        </is>
      </c>
      <c r="B927" s="1" t="n">
        <v>44641</v>
      </c>
      <c r="C927" s="1" t="n">
        <v>46048</v>
      </c>
      <c r="D927" t="inlineStr">
        <is>
          <t>JÄMTLANDS LÄN</t>
        </is>
      </c>
      <c r="E927" t="inlineStr">
        <is>
          <t>RAGUNDA</t>
        </is>
      </c>
      <c r="F927" t="inlineStr">
        <is>
          <t>SCA</t>
        </is>
      </c>
      <c r="G927" t="n">
        <v>14.7</v>
      </c>
      <c r="H927" t="n">
        <v>0</v>
      </c>
      <c r="I927" t="n">
        <v>0</v>
      </c>
      <c r="J927" t="n">
        <v>0</v>
      </c>
      <c r="K927" t="n">
        <v>0</v>
      </c>
      <c r="L927" t="n">
        <v>0</v>
      </c>
      <c r="M927" t="n">
        <v>0</v>
      </c>
      <c r="N927" t="n">
        <v>0</v>
      </c>
      <c r="O927" t="n">
        <v>0</v>
      </c>
      <c r="P927" t="n">
        <v>0</v>
      </c>
      <c r="Q927" t="n">
        <v>0</v>
      </c>
      <c r="R927" s="2" t="inlineStr"/>
    </row>
    <row r="928" ht="15" customHeight="1">
      <c r="A928" t="inlineStr">
        <is>
          <t>A 9504-2025</t>
        </is>
      </c>
      <c r="B928" s="1" t="n">
        <v>45714</v>
      </c>
      <c r="C928" s="1" t="n">
        <v>46048</v>
      </c>
      <c r="D928" t="inlineStr">
        <is>
          <t>JÄMTLANDS LÄN</t>
        </is>
      </c>
      <c r="E928" t="inlineStr">
        <is>
          <t>RAGUNDA</t>
        </is>
      </c>
      <c r="G928" t="n">
        <v>6</v>
      </c>
      <c r="H928" t="n">
        <v>0</v>
      </c>
      <c r="I928" t="n">
        <v>0</v>
      </c>
      <c r="J928" t="n">
        <v>0</v>
      </c>
      <c r="K928" t="n">
        <v>0</v>
      </c>
      <c r="L928" t="n">
        <v>0</v>
      </c>
      <c r="M928" t="n">
        <v>0</v>
      </c>
      <c r="N928" t="n">
        <v>0</v>
      </c>
      <c r="O928" t="n">
        <v>0</v>
      </c>
      <c r="P928" t="n">
        <v>0</v>
      </c>
      <c r="Q928" t="n">
        <v>0</v>
      </c>
      <c r="R928" s="2" t="inlineStr"/>
    </row>
    <row r="929" ht="15" customHeight="1">
      <c r="A929" t="inlineStr">
        <is>
          <t>A 5067-2024</t>
        </is>
      </c>
      <c r="B929" s="1" t="n">
        <v>45329.95806712963</v>
      </c>
      <c r="C929" s="1" t="n">
        <v>46048</v>
      </c>
      <c r="D929" t="inlineStr">
        <is>
          <t>JÄMTLANDS LÄN</t>
        </is>
      </c>
      <c r="E929" t="inlineStr">
        <is>
          <t>RAGUNDA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14905-2022</t>
        </is>
      </c>
      <c r="B930" s="1" t="n">
        <v>44656.94708333333</v>
      </c>
      <c r="C930" s="1" t="n">
        <v>46048</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29766-2023</t>
        </is>
      </c>
      <c r="B931" s="1" t="n">
        <v>45098</v>
      </c>
      <c r="C931" s="1" t="n">
        <v>46048</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61107-2024</t>
        </is>
      </c>
      <c r="B932" s="1" t="n">
        <v>45645.55665509259</v>
      </c>
      <c r="C932" s="1" t="n">
        <v>46048</v>
      </c>
      <c r="D932" t="inlineStr">
        <is>
          <t>JÄMTLANDS LÄN</t>
        </is>
      </c>
      <c r="E932" t="inlineStr">
        <is>
          <t>RAGUNDA</t>
        </is>
      </c>
      <c r="G932" t="n">
        <v>3.2</v>
      </c>
      <c r="H932" t="n">
        <v>0</v>
      </c>
      <c r="I932" t="n">
        <v>0</v>
      </c>
      <c r="J932" t="n">
        <v>0</v>
      </c>
      <c r="K932" t="n">
        <v>0</v>
      </c>
      <c r="L932" t="n">
        <v>0</v>
      </c>
      <c r="M932" t="n">
        <v>0</v>
      </c>
      <c r="N932" t="n">
        <v>0</v>
      </c>
      <c r="O932" t="n">
        <v>0</v>
      </c>
      <c r="P932" t="n">
        <v>0</v>
      </c>
      <c r="Q932" t="n">
        <v>0</v>
      </c>
      <c r="R932" s="2" t="inlineStr"/>
    </row>
    <row r="933" ht="15" customHeight="1">
      <c r="A933" t="inlineStr">
        <is>
          <t>A 23287-2024</t>
        </is>
      </c>
      <c r="B933" s="1" t="n">
        <v>45453.42041666667</v>
      </c>
      <c r="C933" s="1" t="n">
        <v>46048</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36922-2022</t>
        </is>
      </c>
      <c r="B934" s="1" t="n">
        <v>44805.94592592592</v>
      </c>
      <c r="C934" s="1" t="n">
        <v>46048</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26347-2023</t>
        </is>
      </c>
      <c r="B935" s="1" t="n">
        <v>45091</v>
      </c>
      <c r="C935" s="1" t="n">
        <v>46048</v>
      </c>
      <c r="D935" t="inlineStr">
        <is>
          <t>JÄMTLANDS LÄN</t>
        </is>
      </c>
      <c r="E935" t="inlineStr">
        <is>
          <t>RAGUNDA</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34483-2023</t>
        </is>
      </c>
      <c r="B936" s="1" t="n">
        <v>45139.94681712963</v>
      </c>
      <c r="C936" s="1" t="n">
        <v>46048</v>
      </c>
      <c r="D936" t="inlineStr">
        <is>
          <t>JÄMTLANDS LÄN</t>
        </is>
      </c>
      <c r="E936" t="inlineStr">
        <is>
          <t>RAGUNDA</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22948-2024</t>
        </is>
      </c>
      <c r="B937" s="1" t="n">
        <v>45448.94600694445</v>
      </c>
      <c r="C937" s="1" t="n">
        <v>46048</v>
      </c>
      <c r="D937" t="inlineStr">
        <is>
          <t>JÄMTLANDS LÄN</t>
        </is>
      </c>
      <c r="E937" t="inlineStr">
        <is>
          <t>RAGUNDA</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39192-2025</t>
        </is>
      </c>
      <c r="B938" s="1" t="n">
        <v>45888.6775</v>
      </c>
      <c r="C938" s="1" t="n">
        <v>46048</v>
      </c>
      <c r="D938" t="inlineStr">
        <is>
          <t>JÄMTLANDS LÄN</t>
        </is>
      </c>
      <c r="E938" t="inlineStr">
        <is>
          <t>RAGUNDA</t>
        </is>
      </c>
      <c r="F938" t="inlineStr">
        <is>
          <t>Naturvårdsverket</t>
        </is>
      </c>
      <c r="G938" t="n">
        <v>2.3</v>
      </c>
      <c r="H938" t="n">
        <v>0</v>
      </c>
      <c r="I938" t="n">
        <v>0</v>
      </c>
      <c r="J938" t="n">
        <v>0</v>
      </c>
      <c r="K938" t="n">
        <v>0</v>
      </c>
      <c r="L938" t="n">
        <v>0</v>
      </c>
      <c r="M938" t="n">
        <v>0</v>
      </c>
      <c r="N938" t="n">
        <v>0</v>
      </c>
      <c r="O938" t="n">
        <v>0</v>
      </c>
      <c r="P938" t="n">
        <v>0</v>
      </c>
      <c r="Q938" t="n">
        <v>0</v>
      </c>
      <c r="R938" s="2" t="inlineStr"/>
    </row>
    <row r="939" ht="15" customHeight="1">
      <c r="A939" t="inlineStr">
        <is>
          <t>A 23304-2023</t>
        </is>
      </c>
      <c r="B939" s="1" t="n">
        <v>45075.945</v>
      </c>
      <c r="C939" s="1" t="n">
        <v>46048</v>
      </c>
      <c r="D939" t="inlineStr">
        <is>
          <t>JÄMTLANDS LÄN</t>
        </is>
      </c>
      <c r="E939" t="inlineStr">
        <is>
          <t>RAGUNDA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39384-2025</t>
        </is>
      </c>
      <c r="B940" s="1" t="n">
        <v>45889.61517361111</v>
      </c>
      <c r="C940" s="1" t="n">
        <v>46048</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28216-2025</t>
        </is>
      </c>
      <c r="B941" s="1" t="n">
        <v>45818.46898148148</v>
      </c>
      <c r="C941" s="1" t="n">
        <v>46048</v>
      </c>
      <c r="D941" t="inlineStr">
        <is>
          <t>JÄMTLANDS LÄN</t>
        </is>
      </c>
      <c r="E941" t="inlineStr">
        <is>
          <t>RAGUNDA</t>
        </is>
      </c>
      <c r="G941" t="n">
        <v>6.6</v>
      </c>
      <c r="H941" t="n">
        <v>0</v>
      </c>
      <c r="I941" t="n">
        <v>0</v>
      </c>
      <c r="J941" t="n">
        <v>0</v>
      </c>
      <c r="K941" t="n">
        <v>0</v>
      </c>
      <c r="L941" t="n">
        <v>0</v>
      </c>
      <c r="M941" t="n">
        <v>0</v>
      </c>
      <c r="N941" t="n">
        <v>0</v>
      </c>
      <c r="O941" t="n">
        <v>0</v>
      </c>
      <c r="P941" t="n">
        <v>0</v>
      </c>
      <c r="Q941" t="n">
        <v>0</v>
      </c>
      <c r="R941" s="2" t="inlineStr"/>
    </row>
    <row r="942" ht="15" customHeight="1">
      <c r="A942" t="inlineStr">
        <is>
          <t>A 36226-2023</t>
        </is>
      </c>
      <c r="B942" s="1" t="n">
        <v>45149.95372685185</v>
      </c>
      <c r="C942" s="1" t="n">
        <v>46048</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18615-2024</t>
        </is>
      </c>
      <c r="B943" s="1" t="n">
        <v>45425.96275462963</v>
      </c>
      <c r="C943" s="1" t="n">
        <v>46048</v>
      </c>
      <c r="D943" t="inlineStr">
        <is>
          <t>JÄMTLANDS LÄN</t>
        </is>
      </c>
      <c r="E943" t="inlineStr">
        <is>
          <t>RAGUNDA</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40269-2022</t>
        </is>
      </c>
      <c r="B944" s="1" t="n">
        <v>44820</v>
      </c>
      <c r="C944" s="1" t="n">
        <v>46048</v>
      </c>
      <c r="D944" t="inlineStr">
        <is>
          <t>JÄMTLANDS LÄN</t>
        </is>
      </c>
      <c r="E944" t="inlineStr">
        <is>
          <t>RAGUNDA</t>
        </is>
      </c>
      <c r="F944" t="inlineStr">
        <is>
          <t>SCA</t>
        </is>
      </c>
      <c r="G944" t="n">
        <v>77.8</v>
      </c>
      <c r="H944" t="n">
        <v>0</v>
      </c>
      <c r="I944" t="n">
        <v>0</v>
      </c>
      <c r="J944" t="n">
        <v>0</v>
      </c>
      <c r="K944" t="n">
        <v>0</v>
      </c>
      <c r="L944" t="n">
        <v>0</v>
      </c>
      <c r="M944" t="n">
        <v>0</v>
      </c>
      <c r="N944" t="n">
        <v>0</v>
      </c>
      <c r="O944" t="n">
        <v>0</v>
      </c>
      <c r="P944" t="n">
        <v>0</v>
      </c>
      <c r="Q944" t="n">
        <v>0</v>
      </c>
      <c r="R944" s="2" t="inlineStr"/>
    </row>
    <row r="945" ht="15" customHeight="1">
      <c r="A945" t="inlineStr">
        <is>
          <t>A 37242-2024</t>
        </is>
      </c>
      <c r="B945" s="1" t="n">
        <v>45540.34428240741</v>
      </c>
      <c r="C945" s="1" t="n">
        <v>46048</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45438-2022</t>
        </is>
      </c>
      <c r="B946" s="1" t="n">
        <v>44844.95368055555</v>
      </c>
      <c r="C946" s="1" t="n">
        <v>46048</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56191-2022</t>
        </is>
      </c>
      <c r="B947" s="1" t="n">
        <v>44889.95015046297</v>
      </c>
      <c r="C947" s="1" t="n">
        <v>46048</v>
      </c>
      <c r="D947" t="inlineStr">
        <is>
          <t>JÄMTLANDS LÄN</t>
        </is>
      </c>
      <c r="E947" t="inlineStr">
        <is>
          <t>RAGUNDA</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30823-2023</t>
        </is>
      </c>
      <c r="B948" s="1" t="n">
        <v>45112</v>
      </c>
      <c r="C948" s="1" t="n">
        <v>46048</v>
      </c>
      <c r="D948" t="inlineStr">
        <is>
          <t>JÄMTLANDS LÄN</t>
        </is>
      </c>
      <c r="E948" t="inlineStr">
        <is>
          <t>RAGUNDA</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43339-2024</t>
        </is>
      </c>
      <c r="B949" s="1" t="n">
        <v>45568.51075231482</v>
      </c>
      <c r="C949" s="1" t="n">
        <v>46048</v>
      </c>
      <c r="D949" t="inlineStr">
        <is>
          <t>JÄMTLANDS LÄN</t>
        </is>
      </c>
      <c r="E949" t="inlineStr">
        <is>
          <t>RAGUNDA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39947-2025</t>
        </is>
      </c>
      <c r="B950" s="1" t="n">
        <v>45892.34438657408</v>
      </c>
      <c r="C950" s="1" t="n">
        <v>46048</v>
      </c>
      <c r="D950" t="inlineStr">
        <is>
          <t>JÄMTLANDS LÄN</t>
        </is>
      </c>
      <c r="E950" t="inlineStr">
        <is>
          <t>RAGUNDA</t>
        </is>
      </c>
      <c r="G950" t="n">
        <v>6.6</v>
      </c>
      <c r="H950" t="n">
        <v>0</v>
      </c>
      <c r="I950" t="n">
        <v>0</v>
      </c>
      <c r="J950" t="n">
        <v>0</v>
      </c>
      <c r="K950" t="n">
        <v>0</v>
      </c>
      <c r="L950" t="n">
        <v>0</v>
      </c>
      <c r="M950" t="n">
        <v>0</v>
      </c>
      <c r="N950" t="n">
        <v>0</v>
      </c>
      <c r="O950" t="n">
        <v>0</v>
      </c>
      <c r="P950" t="n">
        <v>0</v>
      </c>
      <c r="Q950" t="n">
        <v>0</v>
      </c>
      <c r="R950" s="2" t="inlineStr"/>
    </row>
    <row r="951" ht="15" customHeight="1">
      <c r="A951" t="inlineStr">
        <is>
          <t>A 39951-2025</t>
        </is>
      </c>
      <c r="B951" s="1" t="n">
        <v>45892.38657407407</v>
      </c>
      <c r="C951" s="1" t="n">
        <v>46048</v>
      </c>
      <c r="D951" t="inlineStr">
        <is>
          <t>JÄMTLANDS LÄN</t>
        </is>
      </c>
      <c r="E951" t="inlineStr">
        <is>
          <t>RAGUNDA</t>
        </is>
      </c>
      <c r="G951" t="n">
        <v>2.3</v>
      </c>
      <c r="H951" t="n">
        <v>0</v>
      </c>
      <c r="I951" t="n">
        <v>0</v>
      </c>
      <c r="J951" t="n">
        <v>0</v>
      </c>
      <c r="K951" t="n">
        <v>0</v>
      </c>
      <c r="L951" t="n">
        <v>0</v>
      </c>
      <c r="M951" t="n">
        <v>0</v>
      </c>
      <c r="N951" t="n">
        <v>0</v>
      </c>
      <c r="O951" t="n">
        <v>0</v>
      </c>
      <c r="P951" t="n">
        <v>0</v>
      </c>
      <c r="Q951" t="n">
        <v>0</v>
      </c>
      <c r="R951" s="2" t="inlineStr"/>
    </row>
    <row r="952" ht="15" customHeight="1">
      <c r="A952" t="inlineStr">
        <is>
          <t>A 43102-2023</t>
        </is>
      </c>
      <c r="B952" s="1" t="n">
        <v>45182</v>
      </c>
      <c r="C952" s="1" t="n">
        <v>46048</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39948-2025</t>
        </is>
      </c>
      <c r="B953" s="1" t="n">
        <v>45892.38591435185</v>
      </c>
      <c r="C953" s="1" t="n">
        <v>46048</v>
      </c>
      <c r="D953" t="inlineStr">
        <is>
          <t>JÄMTLANDS LÄN</t>
        </is>
      </c>
      <c r="E953" t="inlineStr">
        <is>
          <t>RAGUNDA</t>
        </is>
      </c>
      <c r="G953" t="n">
        <v>5</v>
      </c>
      <c r="H953" t="n">
        <v>0</v>
      </c>
      <c r="I953" t="n">
        <v>0</v>
      </c>
      <c r="J953" t="n">
        <v>0</v>
      </c>
      <c r="K953" t="n">
        <v>0</v>
      </c>
      <c r="L953" t="n">
        <v>0</v>
      </c>
      <c r="M953" t="n">
        <v>0</v>
      </c>
      <c r="N953" t="n">
        <v>0</v>
      </c>
      <c r="O953" t="n">
        <v>0</v>
      </c>
      <c r="P953" t="n">
        <v>0</v>
      </c>
      <c r="Q953" t="n">
        <v>0</v>
      </c>
      <c r="R953" s="2" t="inlineStr"/>
    </row>
    <row r="954" ht="15" customHeight="1">
      <c r="A954" t="inlineStr">
        <is>
          <t>A 39946-2025</t>
        </is>
      </c>
      <c r="B954" s="1" t="n">
        <v>45892.34423611111</v>
      </c>
      <c r="C954" s="1" t="n">
        <v>46048</v>
      </c>
      <c r="D954" t="inlineStr">
        <is>
          <t>JÄMTLANDS LÄN</t>
        </is>
      </c>
      <c r="E954" t="inlineStr">
        <is>
          <t>RAGUNDA</t>
        </is>
      </c>
      <c r="G954" t="n">
        <v>4.7</v>
      </c>
      <c r="H954" t="n">
        <v>0</v>
      </c>
      <c r="I954" t="n">
        <v>0</v>
      </c>
      <c r="J954" t="n">
        <v>0</v>
      </c>
      <c r="K954" t="n">
        <v>0</v>
      </c>
      <c r="L954" t="n">
        <v>0</v>
      </c>
      <c r="M954" t="n">
        <v>0</v>
      </c>
      <c r="N954" t="n">
        <v>0</v>
      </c>
      <c r="O954" t="n">
        <v>0</v>
      </c>
      <c r="P954" t="n">
        <v>0</v>
      </c>
      <c r="Q954" t="n">
        <v>0</v>
      </c>
      <c r="R954" s="2" t="inlineStr"/>
    </row>
    <row r="955" ht="15" customHeight="1">
      <c r="A955" t="inlineStr">
        <is>
          <t>A 39950-2025</t>
        </is>
      </c>
      <c r="B955" s="1" t="n">
        <v>45892.38641203703</v>
      </c>
      <c r="C955" s="1" t="n">
        <v>46048</v>
      </c>
      <c r="D955" t="inlineStr">
        <is>
          <t>JÄMTLANDS LÄN</t>
        </is>
      </c>
      <c r="E955" t="inlineStr">
        <is>
          <t>RAGUNDA</t>
        </is>
      </c>
      <c r="G955" t="n">
        <v>1.1</v>
      </c>
      <c r="H955" t="n">
        <v>0</v>
      </c>
      <c r="I955" t="n">
        <v>0</v>
      </c>
      <c r="J955" t="n">
        <v>0</v>
      </c>
      <c r="K955" t="n">
        <v>0</v>
      </c>
      <c r="L955" t="n">
        <v>0</v>
      </c>
      <c r="M955" t="n">
        <v>0</v>
      </c>
      <c r="N955" t="n">
        <v>0</v>
      </c>
      <c r="O955" t="n">
        <v>0</v>
      </c>
      <c r="P955" t="n">
        <v>0</v>
      </c>
      <c r="Q955" t="n">
        <v>0</v>
      </c>
      <c r="R955" s="2" t="inlineStr"/>
    </row>
    <row r="956" ht="15" customHeight="1">
      <c r="A956" t="inlineStr">
        <is>
          <t>A 39955-2025</t>
        </is>
      </c>
      <c r="B956" s="1" t="n">
        <v>45892.44824074074</v>
      </c>
      <c r="C956" s="1" t="n">
        <v>46048</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39956-2025</t>
        </is>
      </c>
      <c r="B957" s="1" t="n">
        <v>45892.44840277778</v>
      </c>
      <c r="C957" s="1" t="n">
        <v>46048</v>
      </c>
      <c r="D957" t="inlineStr">
        <is>
          <t>JÄMTLANDS LÄN</t>
        </is>
      </c>
      <c r="E957" t="inlineStr">
        <is>
          <t>RAGUNDA</t>
        </is>
      </c>
      <c r="G957" t="n">
        <v>3.6</v>
      </c>
      <c r="H957" t="n">
        <v>0</v>
      </c>
      <c r="I957" t="n">
        <v>0</v>
      </c>
      <c r="J957" t="n">
        <v>0</v>
      </c>
      <c r="K957" t="n">
        <v>0</v>
      </c>
      <c r="L957" t="n">
        <v>0</v>
      </c>
      <c r="M957" t="n">
        <v>0</v>
      </c>
      <c r="N957" t="n">
        <v>0</v>
      </c>
      <c r="O957" t="n">
        <v>0</v>
      </c>
      <c r="P957" t="n">
        <v>0</v>
      </c>
      <c r="Q957" t="n">
        <v>0</v>
      </c>
      <c r="R957" s="2" t="inlineStr"/>
    </row>
    <row r="958" ht="15" customHeight="1">
      <c r="A958" t="inlineStr">
        <is>
          <t>A 9823-2025</t>
        </is>
      </c>
      <c r="B958" s="1" t="n">
        <v>45716</v>
      </c>
      <c r="C958" s="1" t="n">
        <v>46048</v>
      </c>
      <c r="D958" t="inlineStr">
        <is>
          <t>JÄMTLANDS LÄN</t>
        </is>
      </c>
      <c r="E958" t="inlineStr">
        <is>
          <t>RAGUNDA</t>
        </is>
      </c>
      <c r="F958" t="inlineStr">
        <is>
          <t>SCA</t>
        </is>
      </c>
      <c r="G958" t="n">
        <v>6.2</v>
      </c>
      <c r="H958" t="n">
        <v>0</v>
      </c>
      <c r="I958" t="n">
        <v>0</v>
      </c>
      <c r="J958" t="n">
        <v>0</v>
      </c>
      <c r="K958" t="n">
        <v>0</v>
      </c>
      <c r="L958" t="n">
        <v>0</v>
      </c>
      <c r="M958" t="n">
        <v>0</v>
      </c>
      <c r="N958" t="n">
        <v>0</v>
      </c>
      <c r="O958" t="n">
        <v>0</v>
      </c>
      <c r="P958" t="n">
        <v>0</v>
      </c>
      <c r="Q958" t="n">
        <v>0</v>
      </c>
      <c r="R958" s="2" t="inlineStr"/>
    </row>
    <row r="959" ht="15" customHeight="1">
      <c r="A959" t="inlineStr">
        <is>
          <t>A 13917-2023</t>
        </is>
      </c>
      <c r="B959" s="1" t="n">
        <v>45007</v>
      </c>
      <c r="C959" s="1" t="n">
        <v>46048</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53019-2023</t>
        </is>
      </c>
      <c r="B960" s="1" t="n">
        <v>45222</v>
      </c>
      <c r="C960" s="1" t="n">
        <v>46048</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14212-2023</t>
        </is>
      </c>
      <c r="B961" s="1" t="n">
        <v>45009</v>
      </c>
      <c r="C961" s="1" t="n">
        <v>46048</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39949-2025</t>
        </is>
      </c>
      <c r="B962" s="1" t="n">
        <v>45892.38619212963</v>
      </c>
      <c r="C962" s="1" t="n">
        <v>46048</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59996-2023</t>
        </is>
      </c>
      <c r="B963" s="1" t="n">
        <v>45257.92826388889</v>
      </c>
      <c r="C963" s="1" t="n">
        <v>46048</v>
      </c>
      <c r="D963" t="inlineStr">
        <is>
          <t>JÄMTLANDS LÄN</t>
        </is>
      </c>
      <c r="E963" t="inlineStr">
        <is>
          <t>RAGUNDA</t>
        </is>
      </c>
      <c r="G963" t="n">
        <v>2.7</v>
      </c>
      <c r="H963" t="n">
        <v>0</v>
      </c>
      <c r="I963" t="n">
        <v>0</v>
      </c>
      <c r="J963" t="n">
        <v>0</v>
      </c>
      <c r="K963" t="n">
        <v>0</v>
      </c>
      <c r="L963" t="n">
        <v>0</v>
      </c>
      <c r="M963" t="n">
        <v>0</v>
      </c>
      <c r="N963" t="n">
        <v>0</v>
      </c>
      <c r="O963" t="n">
        <v>0</v>
      </c>
      <c r="P963" t="n">
        <v>0</v>
      </c>
      <c r="Q963" t="n">
        <v>0</v>
      </c>
      <c r="R963" s="2" t="inlineStr"/>
    </row>
    <row r="964" ht="15" customHeight="1">
      <c r="A964" t="inlineStr">
        <is>
          <t>A 44980-2023</t>
        </is>
      </c>
      <c r="B964" s="1" t="n">
        <v>45190</v>
      </c>
      <c r="C964" s="1" t="n">
        <v>46048</v>
      </c>
      <c r="D964" t="inlineStr">
        <is>
          <t>JÄMTLANDS LÄN</t>
        </is>
      </c>
      <c r="E964" t="inlineStr">
        <is>
          <t>RAGUNDA</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14076-2023</t>
        </is>
      </c>
      <c r="B965" s="1" t="n">
        <v>45009.0897337963</v>
      </c>
      <c r="C965" s="1" t="n">
        <v>46048</v>
      </c>
      <c r="D965" t="inlineStr">
        <is>
          <t>JÄMTLANDS LÄN</t>
        </is>
      </c>
      <c r="E965" t="inlineStr">
        <is>
          <t>RAGUNDA</t>
        </is>
      </c>
      <c r="F965" t="inlineStr">
        <is>
          <t>SCA</t>
        </is>
      </c>
      <c r="G965" t="n">
        <v>6.4</v>
      </c>
      <c r="H965" t="n">
        <v>0</v>
      </c>
      <c r="I965" t="n">
        <v>0</v>
      </c>
      <c r="J965" t="n">
        <v>0</v>
      </c>
      <c r="K965" t="n">
        <v>0</v>
      </c>
      <c r="L965" t="n">
        <v>0</v>
      </c>
      <c r="M965" t="n">
        <v>0</v>
      </c>
      <c r="N965" t="n">
        <v>0</v>
      </c>
      <c r="O965" t="n">
        <v>0</v>
      </c>
      <c r="P965" t="n">
        <v>0</v>
      </c>
      <c r="Q965" t="n">
        <v>0</v>
      </c>
      <c r="R965" s="2" t="inlineStr"/>
    </row>
    <row r="966" ht="15" customHeight="1">
      <c r="A966" t="inlineStr">
        <is>
          <t>A 12805-2025</t>
        </is>
      </c>
      <c r="B966" s="1" t="n">
        <v>45733.61497685185</v>
      </c>
      <c r="C966" s="1" t="n">
        <v>46048</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12808-2025</t>
        </is>
      </c>
      <c r="B967" s="1" t="n">
        <v>45733.61554398148</v>
      </c>
      <c r="C967" s="1" t="n">
        <v>46048</v>
      </c>
      <c r="D967" t="inlineStr">
        <is>
          <t>JÄMTLANDS LÄN</t>
        </is>
      </c>
      <c r="E967" t="inlineStr">
        <is>
          <t>RAGUNDA</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40586-2025</t>
        </is>
      </c>
      <c r="B968" s="1" t="n">
        <v>45896.52478009259</v>
      </c>
      <c r="C968" s="1" t="n">
        <v>46048</v>
      </c>
      <c r="D968" t="inlineStr">
        <is>
          <t>JÄMTLANDS LÄN</t>
        </is>
      </c>
      <c r="E968" t="inlineStr">
        <is>
          <t>RAGUNDA</t>
        </is>
      </c>
      <c r="G968" t="n">
        <v>1.2</v>
      </c>
      <c r="H968" t="n">
        <v>0</v>
      </c>
      <c r="I968" t="n">
        <v>0</v>
      </c>
      <c r="J968" t="n">
        <v>0</v>
      </c>
      <c r="K968" t="n">
        <v>0</v>
      </c>
      <c r="L968" t="n">
        <v>0</v>
      </c>
      <c r="M968" t="n">
        <v>0</v>
      </c>
      <c r="N968" t="n">
        <v>0</v>
      </c>
      <c r="O968" t="n">
        <v>0</v>
      </c>
      <c r="P968" t="n">
        <v>0</v>
      </c>
      <c r="Q968" t="n">
        <v>0</v>
      </c>
      <c r="R968" s="2" t="inlineStr"/>
    </row>
    <row r="969" ht="15" customHeight="1">
      <c r="A969" t="inlineStr">
        <is>
          <t>A 4615-2023</t>
        </is>
      </c>
      <c r="B969" s="1" t="n">
        <v>44956.93924768519</v>
      </c>
      <c r="C969" s="1" t="n">
        <v>46048</v>
      </c>
      <c r="D969" t="inlineStr">
        <is>
          <t>JÄMTLANDS LÄN</t>
        </is>
      </c>
      <c r="E969" t="inlineStr">
        <is>
          <t>RAGUNDA</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5938-2025</t>
        </is>
      </c>
      <c r="B970" s="1" t="n">
        <v>45695.45868055556</v>
      </c>
      <c r="C970" s="1" t="n">
        <v>46048</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4125-2024</t>
        </is>
      </c>
      <c r="B971" s="1" t="n">
        <v>45323</v>
      </c>
      <c r="C971" s="1" t="n">
        <v>46048</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53549-2024</t>
        </is>
      </c>
      <c r="B972" s="1" t="n">
        <v>45614.63869212963</v>
      </c>
      <c r="C972" s="1" t="n">
        <v>46048</v>
      </c>
      <c r="D972" t="inlineStr">
        <is>
          <t>JÄMTLANDS LÄN</t>
        </is>
      </c>
      <c r="E972" t="inlineStr">
        <is>
          <t>RAGUNDA</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41161-2025</t>
        </is>
      </c>
      <c r="B973" s="1" t="n">
        <v>45898.53193287037</v>
      </c>
      <c r="C973" s="1" t="n">
        <v>46048</v>
      </c>
      <c r="D973" t="inlineStr">
        <is>
          <t>JÄMTLANDS LÄN</t>
        </is>
      </c>
      <c r="E973" t="inlineStr">
        <is>
          <t>RAGUNDA</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41233-2025</t>
        </is>
      </c>
      <c r="B974" s="1" t="n">
        <v>45898.59295138889</v>
      </c>
      <c r="C974" s="1" t="n">
        <v>46048</v>
      </c>
      <c r="D974" t="inlineStr">
        <is>
          <t>JÄMTLANDS LÄN</t>
        </is>
      </c>
      <c r="E974" t="inlineStr">
        <is>
          <t>RAGUNDA</t>
        </is>
      </c>
      <c r="G974" t="n">
        <v>1.7</v>
      </c>
      <c r="H974" t="n">
        <v>0</v>
      </c>
      <c r="I974" t="n">
        <v>0</v>
      </c>
      <c r="J974" t="n">
        <v>0</v>
      </c>
      <c r="K974" t="n">
        <v>0</v>
      </c>
      <c r="L974" t="n">
        <v>0</v>
      </c>
      <c r="M974" t="n">
        <v>0</v>
      </c>
      <c r="N974" t="n">
        <v>0</v>
      </c>
      <c r="O974" t="n">
        <v>0</v>
      </c>
      <c r="P974" t="n">
        <v>0</v>
      </c>
      <c r="Q974" t="n">
        <v>0</v>
      </c>
      <c r="R974" s="2" t="inlineStr"/>
    </row>
    <row r="975" ht="15" customHeight="1">
      <c r="A975" t="inlineStr">
        <is>
          <t>A 7284-2025</t>
        </is>
      </c>
      <c r="B975" s="1" t="n">
        <v>45702.63604166666</v>
      </c>
      <c r="C975" s="1" t="n">
        <v>46048</v>
      </c>
      <c r="D975" t="inlineStr">
        <is>
          <t>JÄMTLANDS LÄN</t>
        </is>
      </c>
      <c r="E975" t="inlineStr">
        <is>
          <t>RAGUNDA</t>
        </is>
      </c>
      <c r="F975" t="inlineStr">
        <is>
          <t>SCA</t>
        </is>
      </c>
      <c r="G975" t="n">
        <v>0.3</v>
      </c>
      <c r="H975" t="n">
        <v>0</v>
      </c>
      <c r="I975" t="n">
        <v>0</v>
      </c>
      <c r="J975" t="n">
        <v>0</v>
      </c>
      <c r="K975" t="n">
        <v>0</v>
      </c>
      <c r="L975" t="n">
        <v>0</v>
      </c>
      <c r="M975" t="n">
        <v>0</v>
      </c>
      <c r="N975" t="n">
        <v>0</v>
      </c>
      <c r="O975" t="n">
        <v>0</v>
      </c>
      <c r="P975" t="n">
        <v>0</v>
      </c>
      <c r="Q975" t="n">
        <v>0</v>
      </c>
      <c r="R975" s="2" t="inlineStr"/>
    </row>
    <row r="976" ht="15" customHeight="1">
      <c r="A976" t="inlineStr">
        <is>
          <t>A 41262-2025</t>
        </is>
      </c>
      <c r="B976" s="1" t="n">
        <v>45898.61502314815</v>
      </c>
      <c r="C976" s="1" t="n">
        <v>46048</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31506-2024</t>
        </is>
      </c>
      <c r="B977" s="1" t="n">
        <v>45505</v>
      </c>
      <c r="C977" s="1" t="n">
        <v>46048</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19382-2025</t>
        </is>
      </c>
      <c r="B978" s="1" t="n">
        <v>45769.65659722222</v>
      </c>
      <c r="C978" s="1" t="n">
        <v>46048</v>
      </c>
      <c r="D978" t="inlineStr">
        <is>
          <t>JÄMTLANDS LÄN</t>
        </is>
      </c>
      <c r="E978" t="inlineStr">
        <is>
          <t>RAGUNDA</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41423-2025</t>
        </is>
      </c>
      <c r="B979" s="1" t="n">
        <v>45901.38578703703</v>
      </c>
      <c r="C979" s="1" t="n">
        <v>46048</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37479-2023</t>
        </is>
      </c>
      <c r="B980" s="1" t="n">
        <v>45156</v>
      </c>
      <c r="C980" s="1" t="n">
        <v>46048</v>
      </c>
      <c r="D980" t="inlineStr">
        <is>
          <t>JÄMTLANDS LÄN</t>
        </is>
      </c>
      <c r="E980" t="inlineStr">
        <is>
          <t>RAGUNDA</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5958-2021</t>
        </is>
      </c>
      <c r="B981" s="1" t="n">
        <v>44231</v>
      </c>
      <c r="C981" s="1" t="n">
        <v>46048</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41424-2025</t>
        </is>
      </c>
      <c r="B982" s="1" t="n">
        <v>45901.38584490741</v>
      </c>
      <c r="C982" s="1" t="n">
        <v>46048</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4866-2025</t>
        </is>
      </c>
      <c r="B983" s="1" t="n">
        <v>45688.67542824074</v>
      </c>
      <c r="C983" s="1" t="n">
        <v>46048</v>
      </c>
      <c r="D983" t="inlineStr">
        <is>
          <t>JÄMTLANDS LÄN</t>
        </is>
      </c>
      <c r="E983" t="inlineStr">
        <is>
          <t>RAGUNDA</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41140-2025</t>
        </is>
      </c>
      <c r="B984" s="1" t="n">
        <v>45898.49012731481</v>
      </c>
      <c r="C984" s="1" t="n">
        <v>46048</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41422-2025</t>
        </is>
      </c>
      <c r="B985" s="1" t="n">
        <v>45901.38572916666</v>
      </c>
      <c r="C985" s="1" t="n">
        <v>46048</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41876-2025</t>
        </is>
      </c>
      <c r="B986" s="1" t="n">
        <v>45903.34555555556</v>
      </c>
      <c r="C986" s="1" t="n">
        <v>46048</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11780-2024</t>
        </is>
      </c>
      <c r="B987" s="1" t="n">
        <v>45374</v>
      </c>
      <c r="C987" s="1" t="n">
        <v>46048</v>
      </c>
      <c r="D987" t="inlineStr">
        <is>
          <t>JÄMTLANDS LÄN</t>
        </is>
      </c>
      <c r="E987" t="inlineStr">
        <is>
          <t>RAGUNDA</t>
        </is>
      </c>
      <c r="G987" t="n">
        <v>14.6</v>
      </c>
      <c r="H987" t="n">
        <v>0</v>
      </c>
      <c r="I987" t="n">
        <v>0</v>
      </c>
      <c r="J987" t="n">
        <v>0</v>
      </c>
      <c r="K987" t="n">
        <v>0</v>
      </c>
      <c r="L987" t="n">
        <v>0</v>
      </c>
      <c r="M987" t="n">
        <v>0</v>
      </c>
      <c r="N987" t="n">
        <v>0</v>
      </c>
      <c r="O987" t="n">
        <v>0</v>
      </c>
      <c r="P987" t="n">
        <v>0</v>
      </c>
      <c r="Q987" t="n">
        <v>0</v>
      </c>
      <c r="R987" s="2" t="inlineStr"/>
    </row>
    <row r="988" ht="15" customHeight="1">
      <c r="A988" t="inlineStr">
        <is>
          <t>A 41656-2025</t>
        </is>
      </c>
      <c r="B988" s="1" t="n">
        <v>45902.34423611111</v>
      </c>
      <c r="C988" s="1" t="n">
        <v>46048</v>
      </c>
      <c r="D988" t="inlineStr">
        <is>
          <t>JÄMTLANDS LÄN</t>
        </is>
      </c>
      <c r="E988" t="inlineStr">
        <is>
          <t>RAGUNDA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11288-2022</t>
        </is>
      </c>
      <c r="B989" s="1" t="n">
        <v>44629</v>
      </c>
      <c r="C989" s="1" t="n">
        <v>46048</v>
      </c>
      <c r="D989" t="inlineStr">
        <is>
          <t>JÄMTLANDS LÄN</t>
        </is>
      </c>
      <c r="E989" t="inlineStr">
        <is>
          <t>RAGUNDA</t>
        </is>
      </c>
      <c r="G989" t="n">
        <v>4.9</v>
      </c>
      <c r="H989" t="n">
        <v>0</v>
      </c>
      <c r="I989" t="n">
        <v>0</v>
      </c>
      <c r="J989" t="n">
        <v>0</v>
      </c>
      <c r="K989" t="n">
        <v>0</v>
      </c>
      <c r="L989" t="n">
        <v>0</v>
      </c>
      <c r="M989" t="n">
        <v>0</v>
      </c>
      <c r="N989" t="n">
        <v>0</v>
      </c>
      <c r="O989" t="n">
        <v>0</v>
      </c>
      <c r="P989" t="n">
        <v>0</v>
      </c>
      <c r="Q989" t="n">
        <v>0</v>
      </c>
      <c r="R989" s="2" t="inlineStr"/>
    </row>
    <row r="990" ht="15" customHeight="1">
      <c r="A990" t="inlineStr">
        <is>
          <t>A 18984-2023</t>
        </is>
      </c>
      <c r="B990" s="1" t="n">
        <v>45044</v>
      </c>
      <c r="C990" s="1" t="n">
        <v>46048</v>
      </c>
      <c r="D990" t="inlineStr">
        <is>
          <t>JÄMTLANDS LÄN</t>
        </is>
      </c>
      <c r="E990" t="inlineStr">
        <is>
          <t>RAGUNDA</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66011-2021</t>
        </is>
      </c>
      <c r="B991" s="1" t="n">
        <v>44517.58137731482</v>
      </c>
      <c r="C991" s="1" t="n">
        <v>46048</v>
      </c>
      <c r="D991" t="inlineStr">
        <is>
          <t>JÄMTLANDS LÄN</t>
        </is>
      </c>
      <c r="E991" t="inlineStr">
        <is>
          <t>RAGUNDA</t>
        </is>
      </c>
      <c r="G991" t="n">
        <v>1.1</v>
      </c>
      <c r="H991" t="n">
        <v>0</v>
      </c>
      <c r="I991" t="n">
        <v>0</v>
      </c>
      <c r="J991" t="n">
        <v>0</v>
      </c>
      <c r="K991" t="n">
        <v>0</v>
      </c>
      <c r="L991" t="n">
        <v>0</v>
      </c>
      <c r="M991" t="n">
        <v>0</v>
      </c>
      <c r="N991" t="n">
        <v>0</v>
      </c>
      <c r="O991" t="n">
        <v>0</v>
      </c>
      <c r="P991" t="n">
        <v>0</v>
      </c>
      <c r="Q991" t="n">
        <v>0</v>
      </c>
      <c r="R991" s="2" t="inlineStr"/>
    </row>
    <row r="992" ht="15" customHeight="1">
      <c r="A992" t="inlineStr">
        <is>
          <t>A 42509-2023</t>
        </is>
      </c>
      <c r="B992" s="1" t="n">
        <v>45180</v>
      </c>
      <c r="C992" s="1" t="n">
        <v>46048</v>
      </c>
      <c r="D992" t="inlineStr">
        <is>
          <t>JÄMTLANDS LÄN</t>
        </is>
      </c>
      <c r="E992" t="inlineStr">
        <is>
          <t>RAGUNDA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33615-2023</t>
        </is>
      </c>
      <c r="B993" s="1" t="n">
        <v>45119</v>
      </c>
      <c r="C993" s="1" t="n">
        <v>46048</v>
      </c>
      <c r="D993" t="inlineStr">
        <is>
          <t>JÄMTLANDS LÄN</t>
        </is>
      </c>
      <c r="E993" t="inlineStr">
        <is>
          <t>RAGUNDA</t>
        </is>
      </c>
      <c r="G993" t="n">
        <v>0.9</v>
      </c>
      <c r="H993" t="n">
        <v>0</v>
      </c>
      <c r="I993" t="n">
        <v>0</v>
      </c>
      <c r="J993" t="n">
        <v>0</v>
      </c>
      <c r="K993" t="n">
        <v>0</v>
      </c>
      <c r="L993" t="n">
        <v>0</v>
      </c>
      <c r="M993" t="n">
        <v>0</v>
      </c>
      <c r="N993" t="n">
        <v>0</v>
      </c>
      <c r="O993" t="n">
        <v>0</v>
      </c>
      <c r="P993" t="n">
        <v>0</v>
      </c>
      <c r="Q993" t="n">
        <v>0</v>
      </c>
      <c r="R993" s="2" t="inlineStr"/>
    </row>
    <row r="994" ht="15" customHeight="1">
      <c r="A994" t="inlineStr">
        <is>
          <t>A 42510-2023</t>
        </is>
      </c>
      <c r="B994" s="1" t="n">
        <v>45180.95927083334</v>
      </c>
      <c r="C994" s="1" t="n">
        <v>46048</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53860-2023</t>
        </is>
      </c>
      <c r="B995" s="1" t="n">
        <v>45224</v>
      </c>
      <c r="C995" s="1" t="n">
        <v>46048</v>
      </c>
      <c r="D995" t="inlineStr">
        <is>
          <t>JÄMTLANDS LÄN</t>
        </is>
      </c>
      <c r="E995" t="inlineStr">
        <is>
          <t>RAGUNDA</t>
        </is>
      </c>
      <c r="G995" t="n">
        <v>3.3</v>
      </c>
      <c r="H995" t="n">
        <v>0</v>
      </c>
      <c r="I995" t="n">
        <v>0</v>
      </c>
      <c r="J995" t="n">
        <v>0</v>
      </c>
      <c r="K995" t="n">
        <v>0</v>
      </c>
      <c r="L995" t="n">
        <v>0</v>
      </c>
      <c r="M995" t="n">
        <v>0</v>
      </c>
      <c r="N995" t="n">
        <v>0</v>
      </c>
      <c r="O995" t="n">
        <v>0</v>
      </c>
      <c r="P995" t="n">
        <v>0</v>
      </c>
      <c r="Q995" t="n">
        <v>0</v>
      </c>
      <c r="R995" s="2" t="inlineStr"/>
    </row>
    <row r="996" ht="15" customHeight="1">
      <c r="A996" t="inlineStr">
        <is>
          <t>A 12039-2023</t>
        </is>
      </c>
      <c r="B996" s="1" t="n">
        <v>44995.98341435185</v>
      </c>
      <c r="C996" s="1" t="n">
        <v>46048</v>
      </c>
      <c r="D996" t="inlineStr">
        <is>
          <t>JÄMTLANDS LÄN</t>
        </is>
      </c>
      <c r="E996" t="inlineStr">
        <is>
          <t>RAGUNDA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26991-2023</t>
        </is>
      </c>
      <c r="B997" s="1" t="n">
        <v>45093.92207175926</v>
      </c>
      <c r="C997" s="1" t="n">
        <v>46048</v>
      </c>
      <c r="D997" t="inlineStr">
        <is>
          <t>JÄMTLANDS LÄN</t>
        </is>
      </c>
      <c r="E997" t="inlineStr">
        <is>
          <t>RAGUNDA</t>
        </is>
      </c>
      <c r="G997" t="n">
        <v>1.4</v>
      </c>
      <c r="H997" t="n">
        <v>0</v>
      </c>
      <c r="I997" t="n">
        <v>0</v>
      </c>
      <c r="J997" t="n">
        <v>0</v>
      </c>
      <c r="K997" t="n">
        <v>0</v>
      </c>
      <c r="L997" t="n">
        <v>0</v>
      </c>
      <c r="M997" t="n">
        <v>0</v>
      </c>
      <c r="N997" t="n">
        <v>0</v>
      </c>
      <c r="O997" t="n">
        <v>0</v>
      </c>
      <c r="P997" t="n">
        <v>0</v>
      </c>
      <c r="Q997" t="n">
        <v>0</v>
      </c>
      <c r="R997" s="2" t="inlineStr"/>
    </row>
    <row r="998" ht="15" customHeight="1">
      <c r="A998" t="inlineStr">
        <is>
          <t>A 42269-2025</t>
        </is>
      </c>
      <c r="B998" s="1" t="n">
        <v>45904.60431712963</v>
      </c>
      <c r="C998" s="1" t="n">
        <v>46048</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13302-2022</t>
        </is>
      </c>
      <c r="B999" s="1" t="n">
        <v>44644</v>
      </c>
      <c r="C999" s="1" t="n">
        <v>46048</v>
      </c>
      <c r="D999" t="inlineStr">
        <is>
          <t>JÄMTLANDS LÄN</t>
        </is>
      </c>
      <c r="E999" t="inlineStr">
        <is>
          <t>RAGUNDA</t>
        </is>
      </c>
      <c r="F999" t="inlineStr">
        <is>
          <t>SCA</t>
        </is>
      </c>
      <c r="G999" t="n">
        <v>35.6</v>
      </c>
      <c r="H999" t="n">
        <v>0</v>
      </c>
      <c r="I999" t="n">
        <v>0</v>
      </c>
      <c r="J999" t="n">
        <v>0</v>
      </c>
      <c r="K999" t="n">
        <v>0</v>
      </c>
      <c r="L999" t="n">
        <v>0</v>
      </c>
      <c r="M999" t="n">
        <v>0</v>
      </c>
      <c r="N999" t="n">
        <v>0</v>
      </c>
      <c r="O999" t="n">
        <v>0</v>
      </c>
      <c r="P999" t="n">
        <v>0</v>
      </c>
      <c r="Q999" t="n">
        <v>0</v>
      </c>
      <c r="R999" s="2" t="inlineStr"/>
    </row>
    <row r="1000" ht="15" customHeight="1">
      <c r="A1000" t="inlineStr">
        <is>
          <t>A 26651-2024</t>
        </is>
      </c>
      <c r="B1000" s="1" t="n">
        <v>45469.94876157407</v>
      </c>
      <c r="C1000" s="1" t="n">
        <v>46048</v>
      </c>
      <c r="D1000" t="inlineStr">
        <is>
          <t>JÄMTLANDS LÄN</t>
        </is>
      </c>
      <c r="E1000" t="inlineStr">
        <is>
          <t>RAGUNDA</t>
        </is>
      </c>
      <c r="F1000" t="inlineStr">
        <is>
          <t>SCA</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40919-2024</t>
        </is>
      </c>
      <c r="B1001" s="1" t="n">
        <v>45558.63575231482</v>
      </c>
      <c r="C1001" s="1" t="n">
        <v>46048</v>
      </c>
      <c r="D1001" t="inlineStr">
        <is>
          <t>JÄMTLANDS LÄN</t>
        </is>
      </c>
      <c r="E1001" t="inlineStr">
        <is>
          <t>RAGUNDA</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3186-2025</t>
        </is>
      </c>
      <c r="B1002" s="1" t="n">
        <v>45679.40362268518</v>
      </c>
      <c r="C1002" s="1" t="n">
        <v>46048</v>
      </c>
      <c r="D1002" t="inlineStr">
        <is>
          <t>JÄMTLANDS LÄN</t>
        </is>
      </c>
      <c r="E1002" t="inlineStr">
        <is>
          <t>RAGUNDA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465-2023</t>
        </is>
      </c>
      <c r="B1003" s="1" t="n">
        <v>44929</v>
      </c>
      <c r="C1003" s="1" t="n">
        <v>46048</v>
      </c>
      <c r="D1003" t="inlineStr">
        <is>
          <t>JÄMTLANDS LÄN</t>
        </is>
      </c>
      <c r="E1003" t="inlineStr">
        <is>
          <t>RAGUNDA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26455-2023</t>
        </is>
      </c>
      <c r="B1004" s="1" t="n">
        <v>45092</v>
      </c>
      <c r="C1004" s="1" t="n">
        <v>46048</v>
      </c>
      <c r="D1004" t="inlineStr">
        <is>
          <t>JÄMTLANDS LÄN</t>
        </is>
      </c>
      <c r="E1004" t="inlineStr">
        <is>
          <t>RAGUNDA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33763-2025</t>
        </is>
      </c>
      <c r="B1005" s="1" t="n">
        <v>45842.38579861111</v>
      </c>
      <c r="C1005" s="1" t="n">
        <v>46048</v>
      </c>
      <c r="D1005" t="inlineStr">
        <is>
          <t>JÄMTLANDS LÄN</t>
        </is>
      </c>
      <c r="E1005" t="inlineStr">
        <is>
          <t>RAGUNDA</t>
        </is>
      </c>
      <c r="F1005" t="inlineStr">
        <is>
          <t>SCA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10639-2024</t>
        </is>
      </c>
      <c r="B1006" s="1" t="n">
        <v>45367.67256944445</v>
      </c>
      <c r="C1006" s="1" t="n">
        <v>46048</v>
      </c>
      <c r="D1006" t="inlineStr">
        <is>
          <t>JÄMTLANDS LÄN</t>
        </is>
      </c>
      <c r="E1006" t="inlineStr">
        <is>
          <t>RAGUNDA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2751-2024</t>
        </is>
      </c>
      <c r="B1007" s="1" t="n">
        <v>45314</v>
      </c>
      <c r="C1007" s="1" t="n">
        <v>46048</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36317-2024</t>
        </is>
      </c>
      <c r="B1008" s="1" t="n">
        <v>45534.63537037037</v>
      </c>
      <c r="C1008" s="1" t="n">
        <v>46048</v>
      </c>
      <c r="D1008" t="inlineStr">
        <is>
          <t>JÄMTLANDS LÄN</t>
        </is>
      </c>
      <c r="E1008" t="inlineStr">
        <is>
          <t>RAGUNDA</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18614-2024</t>
        </is>
      </c>
      <c r="B1009" s="1" t="n">
        <v>45425.96263888889</v>
      </c>
      <c r="C1009" s="1" t="n">
        <v>46048</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43177-2025</t>
        </is>
      </c>
      <c r="B1010" s="1" t="n">
        <v>45910.40667824074</v>
      </c>
      <c r="C1010" s="1" t="n">
        <v>46048</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8787-2022</t>
        </is>
      </c>
      <c r="B1011" s="1" t="n">
        <v>44614</v>
      </c>
      <c r="C1011" s="1" t="n">
        <v>46048</v>
      </c>
      <c r="D1011" t="inlineStr">
        <is>
          <t>JÄMTLANDS LÄN</t>
        </is>
      </c>
      <c r="E1011" t="inlineStr">
        <is>
          <t>RAGUNDA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43181-2025</t>
        </is>
      </c>
      <c r="B1012" s="1" t="n">
        <v>45910.40721064815</v>
      </c>
      <c r="C1012" s="1" t="n">
        <v>46048</v>
      </c>
      <c r="D1012" t="inlineStr">
        <is>
          <t>JÄMTLANDS LÄN</t>
        </is>
      </c>
      <c r="E1012" t="inlineStr">
        <is>
          <t>RAGUNDA</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5967-2021</t>
        </is>
      </c>
      <c r="B1013" s="1" t="n">
        <v>44231</v>
      </c>
      <c r="C1013" s="1" t="n">
        <v>46048</v>
      </c>
      <c r="D1013" t="inlineStr">
        <is>
          <t>JÄMTLANDS LÄN</t>
        </is>
      </c>
      <c r="E1013" t="inlineStr">
        <is>
          <t>RAGUNDA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50431-2024</t>
        </is>
      </c>
      <c r="B1014" s="1" t="n">
        <v>45601.40686342592</v>
      </c>
      <c r="C1014" s="1" t="n">
        <v>46048</v>
      </c>
      <c r="D1014" t="inlineStr">
        <is>
          <t>JÄMTLANDS LÄN</t>
        </is>
      </c>
      <c r="E1014" t="inlineStr">
        <is>
          <t>RAGUNDA</t>
        </is>
      </c>
      <c r="F1014" t="inlineStr">
        <is>
          <t>SCA</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60936-2024</t>
        </is>
      </c>
      <c r="B1015" s="1" t="n">
        <v>45645.36743055555</v>
      </c>
      <c r="C1015" s="1" t="n">
        <v>46048</v>
      </c>
      <c r="D1015" t="inlineStr">
        <is>
          <t>JÄMTLANDS LÄN</t>
        </is>
      </c>
      <c r="E1015" t="inlineStr">
        <is>
          <t>RAGUNDA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43330-2025</t>
        </is>
      </c>
      <c r="B1016" s="1" t="n">
        <v>45910.67766203704</v>
      </c>
      <c r="C1016" s="1" t="n">
        <v>46048</v>
      </c>
      <c r="D1016" t="inlineStr">
        <is>
          <t>JÄMTLANDS LÄN</t>
        </is>
      </c>
      <c r="E1016" t="inlineStr">
        <is>
          <t>RAGUNDA</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4212-2024</t>
        </is>
      </c>
      <c r="B1017" s="1" t="n">
        <v>45324</v>
      </c>
      <c r="C1017" s="1" t="n">
        <v>46048</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9262-2025</t>
        </is>
      </c>
      <c r="B1018" s="1" t="n">
        <v>45714.60649305556</v>
      </c>
      <c r="C1018" s="1" t="n">
        <v>46048</v>
      </c>
      <c r="D1018" t="inlineStr">
        <is>
          <t>JÄMTLANDS LÄN</t>
        </is>
      </c>
      <c r="E1018" t="inlineStr">
        <is>
          <t>RAGUNDA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43776-2025</t>
        </is>
      </c>
      <c r="B1019" s="1" t="n">
        <v>45912.51086805556</v>
      </c>
      <c r="C1019" s="1" t="n">
        <v>46048</v>
      </c>
      <c r="D1019" t="inlineStr">
        <is>
          <t>JÄMTLANDS LÄN</t>
        </is>
      </c>
      <c r="E1019" t="inlineStr">
        <is>
          <t>RAGUNDA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43971-2025</t>
        </is>
      </c>
      <c r="B1020" s="1" t="n">
        <v>45915.40694444445</v>
      </c>
      <c r="C1020" s="1" t="n">
        <v>46048</v>
      </c>
      <c r="D1020" t="inlineStr">
        <is>
          <t>JÄMTLANDS LÄN</t>
        </is>
      </c>
      <c r="E1020" t="inlineStr">
        <is>
          <t>RAGUNDA</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43804-2025</t>
        </is>
      </c>
      <c r="B1021" s="1" t="n">
        <v>45912.57373842593</v>
      </c>
      <c r="C1021" s="1" t="n">
        <v>46048</v>
      </c>
      <c r="D1021" t="inlineStr">
        <is>
          <t>JÄMTLANDS LÄN</t>
        </is>
      </c>
      <c r="E1021" t="inlineStr">
        <is>
          <t>RAGUNDA</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60012-2023</t>
        </is>
      </c>
      <c r="B1022" s="1" t="n">
        <v>45257</v>
      </c>
      <c r="C1022" s="1" t="n">
        <v>46048</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53676-2022</t>
        </is>
      </c>
      <c r="B1023" s="1" t="n">
        <v>44879</v>
      </c>
      <c r="C1023" s="1" t="n">
        <v>46048</v>
      </c>
      <c r="D1023" t="inlineStr">
        <is>
          <t>JÄMTLANDS LÄN</t>
        </is>
      </c>
      <c r="E1023" t="inlineStr">
        <is>
          <t>RAGUNDA</t>
        </is>
      </c>
      <c r="F1023" t="inlineStr">
        <is>
          <t>Sveaskog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56504-2024</t>
        </is>
      </c>
      <c r="B1024" s="1" t="n">
        <v>45625.51068287037</v>
      </c>
      <c r="C1024" s="1" t="n">
        <v>46048</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934-2023</t>
        </is>
      </c>
      <c r="B1025" s="1" t="n">
        <v>44932.93927083333</v>
      </c>
      <c r="C1025" s="1" t="n">
        <v>46048</v>
      </c>
      <c r="D1025" t="inlineStr">
        <is>
          <t>JÄMTLANDS LÄN</t>
        </is>
      </c>
      <c r="E1025" t="inlineStr">
        <is>
          <t>RAGUNDA</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36106-2022</t>
        </is>
      </c>
      <c r="B1026" s="1" t="n">
        <v>44802.94811342593</v>
      </c>
      <c r="C1026" s="1" t="n">
        <v>46048</v>
      </c>
      <c r="D1026" t="inlineStr">
        <is>
          <t>JÄMTLANDS LÄN</t>
        </is>
      </c>
      <c r="E1026" t="inlineStr">
        <is>
          <t>RAGUNDA</t>
        </is>
      </c>
      <c r="F1026" t="inlineStr">
        <is>
          <t>SCA</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57839-2022</t>
        </is>
      </c>
      <c r="B1027" s="1" t="n">
        <v>44897</v>
      </c>
      <c r="C1027" s="1" t="n">
        <v>46048</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41693-2023</t>
        </is>
      </c>
      <c r="B1028" s="1" t="n">
        <v>45176</v>
      </c>
      <c r="C1028" s="1" t="n">
        <v>46048</v>
      </c>
      <c r="D1028" t="inlineStr">
        <is>
          <t>JÄMTLANDS LÄN</t>
        </is>
      </c>
      <c r="E1028" t="inlineStr">
        <is>
          <t>RAGUNDA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45279-2025</t>
        </is>
      </c>
      <c r="B1029" s="1" t="n">
        <v>45919.71912037037</v>
      </c>
      <c r="C1029" s="1" t="n">
        <v>46048</v>
      </c>
      <c r="D1029" t="inlineStr">
        <is>
          <t>JÄMTLANDS LÄN</t>
        </is>
      </c>
      <c r="E1029" t="inlineStr">
        <is>
          <t>RAGUNDA</t>
        </is>
      </c>
      <c r="F1029" t="inlineStr">
        <is>
          <t>SCA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53678-2022</t>
        </is>
      </c>
      <c r="B1030" s="1" t="n">
        <v>44879.95768518518</v>
      </c>
      <c r="C1030" s="1" t="n">
        <v>46048</v>
      </c>
      <c r="D1030" t="inlineStr">
        <is>
          <t>JÄMTLANDS LÄN</t>
        </is>
      </c>
      <c r="E1030" t="inlineStr">
        <is>
          <t>RAGUNDA</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44954-2025</t>
        </is>
      </c>
      <c r="B1031" s="1" t="n">
        <v>45918.61203703703</v>
      </c>
      <c r="C1031" s="1" t="n">
        <v>46048</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23305-2023</t>
        </is>
      </c>
      <c r="B1032" s="1" t="n">
        <v>45075.94506944445</v>
      </c>
      <c r="C1032" s="1" t="n">
        <v>46048</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18194-2025</t>
        </is>
      </c>
      <c r="B1033" s="1" t="n">
        <v>45761.67744212963</v>
      </c>
      <c r="C1033" s="1" t="n">
        <v>46048</v>
      </c>
      <c r="D1033" t="inlineStr">
        <is>
          <t>JÄMTLANDS LÄN</t>
        </is>
      </c>
      <c r="E1033" t="inlineStr">
        <is>
          <t>RAGUNDA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18225-2024</t>
        </is>
      </c>
      <c r="B1034" s="1" t="n">
        <v>45420</v>
      </c>
      <c r="C1034" s="1" t="n">
        <v>46048</v>
      </c>
      <c r="D1034" t="inlineStr">
        <is>
          <t>JÄMTLANDS LÄN</t>
        </is>
      </c>
      <c r="E1034" t="inlineStr">
        <is>
          <t>RAGUNDA</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54764-2024</t>
        </is>
      </c>
      <c r="B1035" s="1" t="n">
        <v>45618.46921296296</v>
      </c>
      <c r="C1035" s="1" t="n">
        <v>46048</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32904-2024</t>
        </is>
      </c>
      <c r="B1036" s="1" t="n">
        <v>45516.94732638889</v>
      </c>
      <c r="C1036" s="1" t="n">
        <v>46048</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12976-2025</t>
        </is>
      </c>
      <c r="B1037" s="1" t="n">
        <v>45734.45268518518</v>
      </c>
      <c r="C1037" s="1" t="n">
        <v>46048</v>
      </c>
      <c r="D1037" t="inlineStr">
        <is>
          <t>JÄMTLANDS LÄN</t>
        </is>
      </c>
      <c r="E1037" t="inlineStr">
        <is>
          <t>RAGUNDA</t>
        </is>
      </c>
      <c r="G1037" t="n">
        <v>24.2</v>
      </c>
      <c r="H1037" t="n">
        <v>0</v>
      </c>
      <c r="I1037" t="n">
        <v>0</v>
      </c>
      <c r="J1037" t="n">
        <v>0</v>
      </c>
      <c r="K1037" t="n">
        <v>0</v>
      </c>
      <c r="L1037" t="n">
        <v>0</v>
      </c>
      <c r="M1037" t="n">
        <v>0</v>
      </c>
      <c r="N1037" t="n">
        <v>0</v>
      </c>
      <c r="O1037" t="n">
        <v>0</v>
      </c>
      <c r="P1037" t="n">
        <v>0</v>
      </c>
      <c r="Q1037" t="n">
        <v>0</v>
      </c>
      <c r="R1037" s="2" t="inlineStr"/>
    </row>
    <row r="1038" ht="15" customHeight="1">
      <c r="A1038" t="inlineStr">
        <is>
          <t>A 59286-2023</t>
        </is>
      </c>
      <c r="B1038" s="1" t="n">
        <v>45253</v>
      </c>
      <c r="C1038" s="1" t="n">
        <v>46048</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15672-2021</t>
        </is>
      </c>
      <c r="B1039" s="1" t="n">
        <v>44286</v>
      </c>
      <c r="C1039" s="1" t="n">
        <v>46048</v>
      </c>
      <c r="D1039" t="inlineStr">
        <is>
          <t>JÄMTLANDS LÄN</t>
        </is>
      </c>
      <c r="E1039" t="inlineStr">
        <is>
          <t>RAGUNDA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6688-2024</t>
        </is>
      </c>
      <c r="B1040" s="1" t="n">
        <v>45341</v>
      </c>
      <c r="C1040" s="1" t="n">
        <v>46048</v>
      </c>
      <c r="D1040" t="inlineStr">
        <is>
          <t>JÄMTLANDS LÄN</t>
        </is>
      </c>
      <c r="E1040" t="inlineStr">
        <is>
          <t>RAGUNDA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45894-2025</t>
        </is>
      </c>
      <c r="B1041" s="1" t="n">
        <v>45923.67765046296</v>
      </c>
      <c r="C1041" s="1" t="n">
        <v>46048</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46192-2025</t>
        </is>
      </c>
      <c r="B1042" s="1" t="n">
        <v>45924.67789351852</v>
      </c>
      <c r="C1042" s="1" t="n">
        <v>46048</v>
      </c>
      <c r="D1042" t="inlineStr">
        <is>
          <t>JÄMTLANDS LÄN</t>
        </is>
      </c>
      <c r="E1042" t="inlineStr">
        <is>
          <t>RAGUNDA</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50650-2023</t>
        </is>
      </c>
      <c r="B1043" s="1" t="n">
        <v>45210</v>
      </c>
      <c r="C1043" s="1" t="n">
        <v>46048</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41344-2024</t>
        </is>
      </c>
      <c r="B1044" s="1" t="n">
        <v>45559.67759259259</v>
      </c>
      <c r="C1044" s="1" t="n">
        <v>46048</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59670-2023</t>
        </is>
      </c>
      <c r="B1045" s="1" t="n">
        <v>45254.96516203704</v>
      </c>
      <c r="C1045" s="1" t="n">
        <v>46048</v>
      </c>
      <c r="D1045" t="inlineStr">
        <is>
          <t>JÄMTLANDS LÄN</t>
        </is>
      </c>
      <c r="E1045" t="inlineStr">
        <is>
          <t>RAGUNDA</t>
        </is>
      </c>
      <c r="F1045" t="inlineStr">
        <is>
          <t>SCA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46275-2025</t>
        </is>
      </c>
      <c r="B1046" s="1" t="n">
        <v>45925.3711574074</v>
      </c>
      <c r="C1046" s="1" t="n">
        <v>46048</v>
      </c>
      <c r="D1046" t="inlineStr">
        <is>
          <t>JÄMTLANDS LÄN</t>
        </is>
      </c>
      <c r="E1046" t="inlineStr">
        <is>
          <t>RAGUNDA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55508-2024</t>
        </is>
      </c>
      <c r="B1047" s="1" t="n">
        <v>45622.46200231482</v>
      </c>
      <c r="C1047" s="1" t="n">
        <v>46048</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46825-2025</t>
        </is>
      </c>
      <c r="B1048" s="1" t="n">
        <v>45926.92506944444</v>
      </c>
      <c r="C1048" s="1" t="n">
        <v>46048</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46710-2025</t>
        </is>
      </c>
      <c r="B1049" s="1" t="n">
        <v>45926.57337962963</v>
      </c>
      <c r="C1049" s="1" t="n">
        <v>46048</v>
      </c>
      <c r="D1049" t="inlineStr">
        <is>
          <t>JÄMTLANDS LÄN</t>
        </is>
      </c>
      <c r="E1049" t="inlineStr">
        <is>
          <t>RAGUNDA</t>
        </is>
      </c>
      <c r="F1049" t="inlineStr">
        <is>
          <t>SCA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47075-2025</t>
        </is>
      </c>
      <c r="B1050" s="1" t="n">
        <v>45929.63728009259</v>
      </c>
      <c r="C1050" s="1" t="n">
        <v>46048</v>
      </c>
      <c r="D1050" t="inlineStr">
        <is>
          <t>JÄMTLANDS LÄN</t>
        </is>
      </c>
      <c r="E1050" t="inlineStr">
        <is>
          <t>RAGUNDA</t>
        </is>
      </c>
      <c r="F1050" t="inlineStr">
        <is>
          <t>SCA</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59492-2024</t>
        </is>
      </c>
      <c r="B1051" s="1" t="n">
        <v>45638</v>
      </c>
      <c r="C1051" s="1" t="n">
        <v>46048</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20772-2024</t>
        </is>
      </c>
      <c r="B1052" s="1" t="n">
        <v>45436.94628472222</v>
      </c>
      <c r="C1052" s="1" t="n">
        <v>46048</v>
      </c>
      <c r="D1052" t="inlineStr">
        <is>
          <t>JÄMTLANDS LÄN</t>
        </is>
      </c>
      <c r="E1052" t="inlineStr">
        <is>
          <t>RAGUNDA</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47119-2025</t>
        </is>
      </c>
      <c r="B1053" s="1" t="n">
        <v>45929.67795138889</v>
      </c>
      <c r="C1053" s="1" t="n">
        <v>46048</v>
      </c>
      <c r="D1053" t="inlineStr">
        <is>
          <t>JÄMTLANDS LÄN</t>
        </is>
      </c>
      <c r="E1053" t="inlineStr">
        <is>
          <t>RAGUNDA</t>
        </is>
      </c>
      <c r="F1053" t="inlineStr">
        <is>
          <t>SCA</t>
        </is>
      </c>
      <c r="G1053" t="n">
        <v>22.7</v>
      </c>
      <c r="H1053" t="n">
        <v>0</v>
      </c>
      <c r="I1053" t="n">
        <v>0</v>
      </c>
      <c r="J1053" t="n">
        <v>0</v>
      </c>
      <c r="K1053" t="n">
        <v>0</v>
      </c>
      <c r="L1053" t="n">
        <v>0</v>
      </c>
      <c r="M1053" t="n">
        <v>0</v>
      </c>
      <c r="N1053" t="n">
        <v>0</v>
      </c>
      <c r="O1053" t="n">
        <v>0</v>
      </c>
      <c r="P1053" t="n">
        <v>0</v>
      </c>
      <c r="Q1053" t="n">
        <v>0</v>
      </c>
      <c r="R1053" s="2" t="inlineStr"/>
    </row>
    <row r="1054" ht="15" customHeight="1">
      <c r="A1054" t="inlineStr">
        <is>
          <t>A 53757-2024</t>
        </is>
      </c>
      <c r="B1054" s="1" t="n">
        <v>45615.50034722222</v>
      </c>
      <c r="C1054" s="1" t="n">
        <v>46048</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46689-2025</t>
        </is>
      </c>
      <c r="B1055" s="1" t="n">
        <v>45926.55307870371</v>
      </c>
      <c r="C1055" s="1" t="n">
        <v>46048</v>
      </c>
      <c r="D1055" t="inlineStr">
        <is>
          <t>JÄMTLANDS LÄN</t>
        </is>
      </c>
      <c r="E1055" t="inlineStr">
        <is>
          <t>RAGUNDA</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46909-2025</t>
        </is>
      </c>
      <c r="B1056" s="1" t="n">
        <v>45929.40673611111</v>
      </c>
      <c r="C1056" s="1" t="n">
        <v>46048</v>
      </c>
      <c r="D1056" t="inlineStr">
        <is>
          <t>JÄMTLANDS LÄN</t>
        </is>
      </c>
      <c r="E1056" t="inlineStr">
        <is>
          <t>RAGUNDA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47122-2025</t>
        </is>
      </c>
      <c r="B1057" s="1" t="n">
        <v>45929.67878472222</v>
      </c>
      <c r="C1057" s="1" t="n">
        <v>46048</v>
      </c>
      <c r="D1057" t="inlineStr">
        <is>
          <t>JÄMTLANDS LÄN</t>
        </is>
      </c>
      <c r="E1057" t="inlineStr">
        <is>
          <t>RAGUNDA</t>
        </is>
      </c>
      <c r="F1057" t="inlineStr">
        <is>
          <t>SCA</t>
        </is>
      </c>
      <c r="G1057" t="n">
        <v>31.1</v>
      </c>
      <c r="H1057" t="n">
        <v>0</v>
      </c>
      <c r="I1057" t="n">
        <v>0</v>
      </c>
      <c r="J1057" t="n">
        <v>0</v>
      </c>
      <c r="K1057" t="n">
        <v>0</v>
      </c>
      <c r="L1057" t="n">
        <v>0</v>
      </c>
      <c r="M1057" t="n">
        <v>0</v>
      </c>
      <c r="N1057" t="n">
        <v>0</v>
      </c>
      <c r="O1057" t="n">
        <v>0</v>
      </c>
      <c r="P1057" t="n">
        <v>0</v>
      </c>
      <c r="Q1057" t="n">
        <v>0</v>
      </c>
      <c r="R1057" s="2" t="inlineStr"/>
    </row>
    <row r="1058" ht="15" customHeight="1">
      <c r="A1058" t="inlineStr">
        <is>
          <t>A 46974-2025</t>
        </is>
      </c>
      <c r="B1058" s="1" t="n">
        <v>45929.51104166666</v>
      </c>
      <c r="C1058" s="1" t="n">
        <v>46048</v>
      </c>
      <c r="D1058" t="inlineStr">
        <is>
          <t>JÄMTLANDS LÄN</t>
        </is>
      </c>
      <c r="E1058" t="inlineStr">
        <is>
          <t>RAGUNDA</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46751-2025</t>
        </is>
      </c>
      <c r="B1059" s="1" t="n">
        <v>45926.6153125</v>
      </c>
      <c r="C1059" s="1" t="n">
        <v>46048</v>
      </c>
      <c r="D1059" t="inlineStr">
        <is>
          <t>JÄMTLANDS LÄN</t>
        </is>
      </c>
      <c r="E1059" t="inlineStr">
        <is>
          <t>RAGUNDA</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46753-2025</t>
        </is>
      </c>
      <c r="B1060" s="1" t="n">
        <v>45926.61552083334</v>
      </c>
      <c r="C1060" s="1" t="n">
        <v>46048</v>
      </c>
      <c r="D1060" t="inlineStr">
        <is>
          <t>JÄMTLANDS LÄN</t>
        </is>
      </c>
      <c r="E1060" t="inlineStr">
        <is>
          <t>RAGUNDA</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6716-2025</t>
        </is>
      </c>
      <c r="B1061" s="1" t="n">
        <v>45700.57324074074</v>
      </c>
      <c r="C1061" s="1" t="n">
        <v>46048</v>
      </c>
      <c r="D1061" t="inlineStr">
        <is>
          <t>JÄMTLANDS LÄN</t>
        </is>
      </c>
      <c r="E1061" t="inlineStr">
        <is>
          <t>RAGUNDA</t>
        </is>
      </c>
      <c r="F1061" t="inlineStr">
        <is>
          <t>SCA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47037-2025</t>
        </is>
      </c>
      <c r="B1062" s="1" t="n">
        <v>45929.59456018519</v>
      </c>
      <c r="C1062" s="1" t="n">
        <v>46048</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19866-2023</t>
        </is>
      </c>
      <c r="B1063" s="1" t="n">
        <v>45053.94313657407</v>
      </c>
      <c r="C1063" s="1" t="n">
        <v>46048</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21853-2024</t>
        </is>
      </c>
      <c r="B1064" s="1" t="n">
        <v>45442.96296296296</v>
      </c>
      <c r="C1064" s="1" t="n">
        <v>46048</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8241-2024</t>
        </is>
      </c>
      <c r="B1065" s="1" t="n">
        <v>45351.98496527778</v>
      </c>
      <c r="C1065" s="1" t="n">
        <v>46048</v>
      </c>
      <c r="D1065" t="inlineStr">
        <is>
          <t>JÄMTLANDS LÄN</t>
        </is>
      </c>
      <c r="E1065" t="inlineStr">
        <is>
          <t>RAGUNDA</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40365-2024</t>
        </is>
      </c>
      <c r="B1066" s="1" t="n">
        <v>45555.38509259259</v>
      </c>
      <c r="C1066" s="1" t="n">
        <v>46048</v>
      </c>
      <c r="D1066" t="inlineStr">
        <is>
          <t>JÄMTLANDS LÄN</t>
        </is>
      </c>
      <c r="E1066" t="inlineStr">
        <is>
          <t>RAGUNDA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20770-2024</t>
        </is>
      </c>
      <c r="B1067" s="1" t="n">
        <v>45436.94613425926</v>
      </c>
      <c r="C1067" s="1" t="n">
        <v>46048</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19438-2023</t>
        </is>
      </c>
      <c r="B1068" s="1" t="n">
        <v>45049</v>
      </c>
      <c r="C1068" s="1" t="n">
        <v>46048</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47749-2025</t>
        </is>
      </c>
      <c r="B1069" s="1" t="n">
        <v>45931.65711805555</v>
      </c>
      <c r="C1069" s="1" t="n">
        <v>46048</v>
      </c>
      <c r="D1069" t="inlineStr">
        <is>
          <t>JÄMTLANDS LÄN</t>
        </is>
      </c>
      <c r="E1069" t="inlineStr">
        <is>
          <t>RAGUNDA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47228-2025</t>
        </is>
      </c>
      <c r="B1070" s="1" t="n">
        <v>45930.3990162037</v>
      </c>
      <c r="C1070" s="1" t="n">
        <v>46048</v>
      </c>
      <c r="D1070" t="inlineStr">
        <is>
          <t>JÄMTLANDS LÄN</t>
        </is>
      </c>
      <c r="E1070" t="inlineStr">
        <is>
          <t>RAGUNDA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7281-2024</t>
        </is>
      </c>
      <c r="B1071" s="1" t="n">
        <v>45344</v>
      </c>
      <c r="C1071" s="1" t="n">
        <v>46048</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7284-2024</t>
        </is>
      </c>
      <c r="B1072" s="1" t="n">
        <v>45344.92865740741</v>
      </c>
      <c r="C1072" s="1" t="n">
        <v>46048</v>
      </c>
      <c r="D1072" t="inlineStr">
        <is>
          <t>JÄMTLANDS LÄN</t>
        </is>
      </c>
      <c r="E1072" t="inlineStr">
        <is>
          <t>RAGUNDA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7285-2024</t>
        </is>
      </c>
      <c r="B1073" s="1" t="n">
        <v>45344.92873842592</v>
      </c>
      <c r="C1073" s="1" t="n">
        <v>46048</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47229-2025</t>
        </is>
      </c>
      <c r="B1074" s="1" t="n">
        <v>45930.40166666666</v>
      </c>
      <c r="C1074" s="1" t="n">
        <v>46048</v>
      </c>
      <c r="D1074" t="inlineStr">
        <is>
          <t>JÄMTLANDS LÄN</t>
        </is>
      </c>
      <c r="E1074" t="inlineStr">
        <is>
          <t>RAGUNDA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47748-2025</t>
        </is>
      </c>
      <c r="B1075" s="1" t="n">
        <v>45931.65693287037</v>
      </c>
      <c r="C1075" s="1" t="n">
        <v>46048</v>
      </c>
      <c r="D1075" t="inlineStr">
        <is>
          <t>JÄMTLANDS LÄN</t>
        </is>
      </c>
      <c r="E1075" t="inlineStr">
        <is>
          <t>RAGUNDA</t>
        </is>
      </c>
      <c r="F1075" t="inlineStr">
        <is>
          <t>SCA</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21332-2025</t>
        </is>
      </c>
      <c r="B1076" s="1" t="n">
        <v>45782.36506944444</v>
      </c>
      <c r="C1076" s="1" t="n">
        <v>46048</v>
      </c>
      <c r="D1076" t="inlineStr">
        <is>
          <t>JÄMTLANDS LÄN</t>
        </is>
      </c>
      <c r="E1076" t="inlineStr">
        <is>
          <t>RAGUNDA</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53347-2023</t>
        </is>
      </c>
      <c r="B1077" s="1" t="n">
        <v>45223</v>
      </c>
      <c r="C1077" s="1" t="n">
        <v>46048</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46048</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9548-2025</t>
        </is>
      </c>
      <c r="B1079" s="1" t="n">
        <v>45715.59405092592</v>
      </c>
      <c r="C1079" s="1" t="n">
        <v>46048</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53989-2024</t>
        </is>
      </c>
      <c r="B1080" s="1" t="n">
        <v>45616.34479166667</v>
      </c>
      <c r="C1080" s="1" t="n">
        <v>46048</v>
      </c>
      <c r="D1080" t="inlineStr">
        <is>
          <t>JÄMTLANDS LÄN</t>
        </is>
      </c>
      <c r="E1080" t="inlineStr">
        <is>
          <t>RAGUNDA</t>
        </is>
      </c>
      <c r="F1080" t="inlineStr">
        <is>
          <t>SCA</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15581-2024</t>
        </is>
      </c>
      <c r="B1081" s="1" t="n">
        <v>45401</v>
      </c>
      <c r="C1081" s="1" t="n">
        <v>46048</v>
      </c>
      <c r="D1081" t="inlineStr">
        <is>
          <t>JÄMTLANDS LÄN</t>
        </is>
      </c>
      <c r="E1081" t="inlineStr">
        <is>
          <t>RAGUNDA</t>
        </is>
      </c>
      <c r="F1081" t="inlineStr">
        <is>
          <t>Kommuner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15611-2024</t>
        </is>
      </c>
      <c r="B1082" s="1" t="n">
        <v>45401</v>
      </c>
      <c r="C1082" s="1" t="n">
        <v>46048</v>
      </c>
      <c r="D1082" t="inlineStr">
        <is>
          <t>JÄMTLANDS LÄN</t>
        </is>
      </c>
      <c r="E1082" t="inlineStr">
        <is>
          <t>RAGUNDA</t>
        </is>
      </c>
      <c r="F1082" t="inlineStr">
        <is>
          <t>SCA</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23528-2024</t>
        </is>
      </c>
      <c r="B1083" s="1" t="n">
        <v>45453.95016203704</v>
      </c>
      <c r="C1083" s="1" t="n">
        <v>46048</v>
      </c>
      <c r="D1083" t="inlineStr">
        <is>
          <t>JÄMTLANDS LÄN</t>
        </is>
      </c>
      <c r="E1083" t="inlineStr">
        <is>
          <t>RAGUNDA</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4594-2024</t>
        </is>
      </c>
      <c r="B1084" s="1" t="n">
        <v>45327.94459490741</v>
      </c>
      <c r="C1084" s="1" t="n">
        <v>46048</v>
      </c>
      <c r="D1084" t="inlineStr">
        <is>
          <t>JÄMTLANDS LÄN</t>
        </is>
      </c>
      <c r="E1084" t="inlineStr">
        <is>
          <t>RAGUNDA</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30824-2023</t>
        </is>
      </c>
      <c r="B1085" s="1" t="n">
        <v>45112.94303240741</v>
      </c>
      <c r="C1085" s="1" t="n">
        <v>46048</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48748-2025</t>
        </is>
      </c>
      <c r="B1086" s="1" t="n">
        <v>45936.67912037037</v>
      </c>
      <c r="C1086" s="1" t="n">
        <v>46048</v>
      </c>
      <c r="D1086" t="inlineStr">
        <is>
          <t>JÄMTLANDS LÄN</t>
        </is>
      </c>
      <c r="E1086" t="inlineStr">
        <is>
          <t>RAGUNDA</t>
        </is>
      </c>
      <c r="F1086" t="inlineStr">
        <is>
          <t>SCA</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48528-2025</t>
        </is>
      </c>
      <c r="B1087" s="1" t="n">
        <v>45936.40758101852</v>
      </c>
      <c r="C1087" s="1" t="n">
        <v>46048</v>
      </c>
      <c r="D1087" t="inlineStr">
        <is>
          <t>JÄMTLANDS LÄN</t>
        </is>
      </c>
      <c r="E1087" t="inlineStr">
        <is>
          <t>RAGUNDA</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48742-2025</t>
        </is>
      </c>
      <c r="B1088" s="1" t="n">
        <v>45936.67810185185</v>
      </c>
      <c r="C1088" s="1" t="n">
        <v>46048</v>
      </c>
      <c r="D1088" t="inlineStr">
        <is>
          <t>JÄMTLANDS LÄN</t>
        </is>
      </c>
      <c r="E1088" t="inlineStr">
        <is>
          <t>RAGUNDA</t>
        </is>
      </c>
      <c r="F1088" t="inlineStr">
        <is>
          <t>SCA</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48746-2025</t>
        </is>
      </c>
      <c r="B1089" s="1" t="n">
        <v>45936.67878472222</v>
      </c>
      <c r="C1089" s="1" t="n">
        <v>46048</v>
      </c>
      <c r="D1089" t="inlineStr">
        <is>
          <t>JÄMTLANDS LÄN</t>
        </is>
      </c>
      <c r="E1089" t="inlineStr">
        <is>
          <t>RAGUNDA</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49639-2025</t>
        </is>
      </c>
      <c r="B1090" s="1" t="n">
        <v>45939.61253472222</v>
      </c>
      <c r="C1090" s="1" t="n">
        <v>46048</v>
      </c>
      <c r="D1090" t="inlineStr">
        <is>
          <t>JÄMTLANDS LÄN</t>
        </is>
      </c>
      <c r="E1090" t="inlineStr">
        <is>
          <t>RAGUNDA</t>
        </is>
      </c>
      <c r="F1090" t="inlineStr">
        <is>
          <t>Kommuner</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49059-2025</t>
        </is>
      </c>
      <c r="B1091" s="1" t="n">
        <v>45937.64123842592</v>
      </c>
      <c r="C1091" s="1" t="n">
        <v>46048</v>
      </c>
      <c r="D1091" t="inlineStr">
        <is>
          <t>JÄMTLANDS LÄN</t>
        </is>
      </c>
      <c r="E1091" t="inlineStr">
        <is>
          <t>RAGUNDA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49193-2025</t>
        </is>
      </c>
      <c r="B1092" s="1" t="n">
        <v>45938.40831018519</v>
      </c>
      <c r="C1092" s="1" t="n">
        <v>46048</v>
      </c>
      <c r="D1092" t="inlineStr">
        <is>
          <t>JÄMTLANDS LÄN</t>
        </is>
      </c>
      <c r="E1092" t="inlineStr">
        <is>
          <t>RAGUNDA</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49238-2025</t>
        </is>
      </c>
      <c r="B1093" s="1" t="n">
        <v>45938.48231481481</v>
      </c>
      <c r="C1093" s="1" t="n">
        <v>46048</v>
      </c>
      <c r="D1093" t="inlineStr">
        <is>
          <t>JÄMTLANDS LÄN</t>
        </is>
      </c>
      <c r="E1093" t="inlineStr">
        <is>
          <t>RAGUNDA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49290-2025</t>
        </is>
      </c>
      <c r="B1094" s="1" t="n">
        <v>45938.53168981482</v>
      </c>
      <c r="C1094" s="1" t="n">
        <v>46048</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49092-2025</t>
        </is>
      </c>
      <c r="B1095" s="1" t="n">
        <v>45937.67792824074</v>
      </c>
      <c r="C1095" s="1" t="n">
        <v>46048</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34088-2025</t>
        </is>
      </c>
      <c r="B1096" s="1" t="n">
        <v>45845</v>
      </c>
      <c r="C1096" s="1" t="n">
        <v>46048</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50215-2025</t>
        </is>
      </c>
      <c r="B1097" s="1" t="n">
        <v>45943.67842592593</v>
      </c>
      <c r="C1097" s="1" t="n">
        <v>46048</v>
      </c>
      <c r="D1097" t="inlineStr">
        <is>
          <t>JÄMTLANDS LÄN</t>
        </is>
      </c>
      <c r="E1097" t="inlineStr">
        <is>
          <t>RAGUNDA</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49991-2025</t>
        </is>
      </c>
      <c r="B1098" s="1" t="n">
        <v>45942.91568287037</v>
      </c>
      <c r="C1098" s="1" t="n">
        <v>46048</v>
      </c>
      <c r="D1098" t="inlineStr">
        <is>
          <t>JÄMTLANDS LÄN</t>
        </is>
      </c>
      <c r="E1098" t="inlineStr">
        <is>
          <t>RAGUNDA</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49993-2025</t>
        </is>
      </c>
      <c r="B1099" s="1" t="n">
        <v>45942.94371527778</v>
      </c>
      <c r="C1099" s="1" t="n">
        <v>46048</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49994-2025</t>
        </is>
      </c>
      <c r="B1100" s="1" t="n">
        <v>45942.96922453704</v>
      </c>
      <c r="C1100" s="1" t="n">
        <v>46048</v>
      </c>
      <c r="D1100" t="inlineStr">
        <is>
          <t>JÄMTLANDS LÄN</t>
        </is>
      </c>
      <c r="E1100" t="inlineStr">
        <is>
          <t>RAGUNDA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49995-2025</t>
        </is>
      </c>
      <c r="B1101" s="1" t="n">
        <v>45943.00986111111</v>
      </c>
      <c r="C1101" s="1" t="n">
        <v>46048</v>
      </c>
      <c r="D1101" t="inlineStr">
        <is>
          <t>JÄMTLANDS LÄN</t>
        </is>
      </c>
      <c r="E1101" t="inlineStr">
        <is>
          <t>RAGUNDA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50126-2025</t>
        </is>
      </c>
      <c r="B1102" s="1" t="n">
        <v>45943.55271990741</v>
      </c>
      <c r="C1102" s="1" t="n">
        <v>46048</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50098-2025</t>
        </is>
      </c>
      <c r="B1103" s="1" t="n">
        <v>45943.51086805556</v>
      </c>
      <c r="C1103" s="1" t="n">
        <v>46048</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50125-2025</t>
        </is>
      </c>
      <c r="B1104" s="1" t="n">
        <v>45943.55262731481</v>
      </c>
      <c r="C1104" s="1" t="n">
        <v>46048</v>
      </c>
      <c r="D1104" t="inlineStr">
        <is>
          <t>JÄMTLANDS LÄN</t>
        </is>
      </c>
      <c r="E1104" t="inlineStr">
        <is>
          <t>RAGUNDA</t>
        </is>
      </c>
      <c r="F1104" t="inlineStr">
        <is>
          <t>Sveaskog</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50081-2025</t>
        </is>
      </c>
      <c r="B1105" s="1" t="n">
        <v>45943.46954861111</v>
      </c>
      <c r="C1105" s="1" t="n">
        <v>46048</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50055-2025</t>
        </is>
      </c>
      <c r="B1106" s="1" t="n">
        <v>45943.43287037037</v>
      </c>
      <c r="C1106" s="1" t="n">
        <v>46048</v>
      </c>
      <c r="D1106" t="inlineStr">
        <is>
          <t>JÄMTLANDS LÄN</t>
        </is>
      </c>
      <c r="E1106" t="inlineStr">
        <is>
          <t>RAGUNDA</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50080-2025</t>
        </is>
      </c>
      <c r="B1107" s="1" t="n">
        <v>45943.469375</v>
      </c>
      <c r="C1107" s="1" t="n">
        <v>46048</v>
      </c>
      <c r="D1107" t="inlineStr">
        <is>
          <t>JÄMTLANDS LÄN</t>
        </is>
      </c>
      <c r="E1107" t="inlineStr">
        <is>
          <t>RAGUNDA</t>
        </is>
      </c>
      <c r="F1107" t="inlineStr">
        <is>
          <t>Naturvårdsverket</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50260-2025</t>
        </is>
      </c>
      <c r="B1108" s="1" t="n">
        <v>45944.34515046296</v>
      </c>
      <c r="C1108" s="1" t="n">
        <v>46048</v>
      </c>
      <c r="D1108" t="inlineStr">
        <is>
          <t>JÄMTLANDS LÄN</t>
        </is>
      </c>
      <c r="E1108" t="inlineStr">
        <is>
          <t>RAGUNDA</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50473-2025</t>
        </is>
      </c>
      <c r="B1109" s="1" t="n">
        <v>45945.36520833334</v>
      </c>
      <c r="C1109" s="1" t="n">
        <v>46048</v>
      </c>
      <c r="D1109" t="inlineStr">
        <is>
          <t>JÄMTLANDS LÄN</t>
        </is>
      </c>
      <c r="E1109" t="inlineStr">
        <is>
          <t>RAGUNDA</t>
        </is>
      </c>
      <c r="F1109" t="inlineStr">
        <is>
          <t>SCA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50504-2025</t>
        </is>
      </c>
      <c r="B1110" s="1" t="n">
        <v>45945.4284837963</v>
      </c>
      <c r="C1110" s="1" t="n">
        <v>46048</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50503-2025</t>
        </is>
      </c>
      <c r="B1111" s="1" t="n">
        <v>45945.42746527777</v>
      </c>
      <c r="C1111" s="1" t="n">
        <v>46048</v>
      </c>
      <c r="D1111" t="inlineStr">
        <is>
          <t>JÄMTLANDS LÄN</t>
        </is>
      </c>
      <c r="E1111" t="inlineStr">
        <is>
          <t>RAGUNDA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33650-2025</t>
        </is>
      </c>
      <c r="B1112" s="1" t="n">
        <v>45841</v>
      </c>
      <c r="C1112" s="1" t="n">
        <v>46048</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50711-2025</t>
        </is>
      </c>
      <c r="B1113" s="1" t="n">
        <v>45946.34431712963</v>
      </c>
      <c r="C1113" s="1" t="n">
        <v>46048</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50716-2025</t>
        </is>
      </c>
      <c r="B1114" s="1" t="n">
        <v>45946.34572916666</v>
      </c>
      <c r="C1114" s="1" t="n">
        <v>46048</v>
      </c>
      <c r="D1114" t="inlineStr">
        <is>
          <t>JÄMTLANDS LÄN</t>
        </is>
      </c>
      <c r="E1114" t="inlineStr">
        <is>
          <t>RAGUNDA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50719-2025</t>
        </is>
      </c>
      <c r="B1115" s="1" t="n">
        <v>45946.34642361111</v>
      </c>
      <c r="C1115" s="1" t="n">
        <v>46048</v>
      </c>
      <c r="D1115" t="inlineStr">
        <is>
          <t>JÄMTLANDS LÄN</t>
        </is>
      </c>
      <c r="E1115" t="inlineStr">
        <is>
          <t>RAGUNDA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51019-2025</t>
        </is>
      </c>
      <c r="B1116" s="1" t="n">
        <v>45947.38623842593</v>
      </c>
      <c r="C1116" s="1" t="n">
        <v>46048</v>
      </c>
      <c r="D1116" t="inlineStr">
        <is>
          <t>JÄMTLANDS LÄN</t>
        </is>
      </c>
      <c r="E1116" t="inlineStr">
        <is>
          <t>RAGUNDA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50985-2025</t>
        </is>
      </c>
      <c r="B1117" s="1" t="n">
        <v>45947.34506944445</v>
      </c>
      <c r="C1117" s="1" t="n">
        <v>46048</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51034-2025</t>
        </is>
      </c>
      <c r="B1118" s="1" t="n">
        <v>45947.40670138889</v>
      </c>
      <c r="C1118" s="1" t="n">
        <v>46048</v>
      </c>
      <c r="D1118" t="inlineStr">
        <is>
          <t>JÄMTLANDS LÄN</t>
        </is>
      </c>
      <c r="E1118" t="inlineStr">
        <is>
          <t>RAGUNDA</t>
        </is>
      </c>
      <c r="F1118" t="inlineStr">
        <is>
          <t>SCA</t>
        </is>
      </c>
      <c r="G1118" t="n">
        <v>44.1</v>
      </c>
      <c r="H1118" t="n">
        <v>0</v>
      </c>
      <c r="I1118" t="n">
        <v>0</v>
      </c>
      <c r="J1118" t="n">
        <v>0</v>
      </c>
      <c r="K1118" t="n">
        <v>0</v>
      </c>
      <c r="L1118" t="n">
        <v>0</v>
      </c>
      <c r="M1118" t="n">
        <v>0</v>
      </c>
      <c r="N1118" t="n">
        <v>0</v>
      </c>
      <c r="O1118" t="n">
        <v>0</v>
      </c>
      <c r="P1118" t="n">
        <v>0</v>
      </c>
      <c r="Q1118" t="n">
        <v>0</v>
      </c>
      <c r="R1118" s="2" t="inlineStr"/>
    </row>
    <row r="1119" ht="15" customHeight="1">
      <c r="A1119" t="inlineStr">
        <is>
          <t>A 51592-2025</t>
        </is>
      </c>
      <c r="B1119" s="1" t="n">
        <v>45951.36541666667</v>
      </c>
      <c r="C1119" s="1" t="n">
        <v>46048</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51395-2025</t>
        </is>
      </c>
      <c r="B1120" s="1" t="n">
        <v>45950.46989583333</v>
      </c>
      <c r="C1120" s="1" t="n">
        <v>46048</v>
      </c>
      <c r="D1120" t="inlineStr">
        <is>
          <t>JÄMTLANDS LÄN</t>
        </is>
      </c>
      <c r="E1120" t="inlineStr">
        <is>
          <t>RAGUNDA</t>
        </is>
      </c>
      <c r="F1120" t="inlineStr">
        <is>
          <t>SCA</t>
        </is>
      </c>
      <c r="G1120" t="n">
        <v>30.7</v>
      </c>
      <c r="H1120" t="n">
        <v>0</v>
      </c>
      <c r="I1120" t="n">
        <v>0</v>
      </c>
      <c r="J1120" t="n">
        <v>0</v>
      </c>
      <c r="K1120" t="n">
        <v>0</v>
      </c>
      <c r="L1120" t="n">
        <v>0</v>
      </c>
      <c r="M1120" t="n">
        <v>0</v>
      </c>
      <c r="N1120" t="n">
        <v>0</v>
      </c>
      <c r="O1120" t="n">
        <v>0</v>
      </c>
      <c r="P1120" t="n">
        <v>0</v>
      </c>
      <c r="Q1120" t="n">
        <v>0</v>
      </c>
      <c r="R1120" s="2" t="inlineStr"/>
    </row>
    <row r="1121" ht="15" customHeight="1">
      <c r="A1121" t="inlineStr">
        <is>
          <t>A 51678-2025</t>
        </is>
      </c>
      <c r="B1121" s="1" t="n">
        <v>45951.51106481482</v>
      </c>
      <c r="C1121" s="1" t="n">
        <v>46048</v>
      </c>
      <c r="D1121" t="inlineStr">
        <is>
          <t>JÄMTLANDS LÄN</t>
        </is>
      </c>
      <c r="E1121" t="inlineStr">
        <is>
          <t>RAGUNDA</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51593-2025</t>
        </is>
      </c>
      <c r="B1122" s="1" t="n">
        <v>45951.36548611111</v>
      </c>
      <c r="C1122" s="1" t="n">
        <v>46048</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51484-2025</t>
        </is>
      </c>
      <c r="B1123" s="1" t="n">
        <v>45950.62196759259</v>
      </c>
      <c r="C1123" s="1" t="n">
        <v>46048</v>
      </c>
      <c r="D1123" t="inlineStr">
        <is>
          <t>JÄMTLANDS LÄN</t>
        </is>
      </c>
      <c r="E1123" t="inlineStr">
        <is>
          <t>RAGUNDA</t>
        </is>
      </c>
      <c r="F1123" t="inlineStr">
        <is>
          <t>SCA</t>
        </is>
      </c>
      <c r="G1123" t="n">
        <v>23.1</v>
      </c>
      <c r="H1123" t="n">
        <v>0</v>
      </c>
      <c r="I1123" t="n">
        <v>0</v>
      </c>
      <c r="J1123" t="n">
        <v>0</v>
      </c>
      <c r="K1123" t="n">
        <v>0</v>
      </c>
      <c r="L1123" t="n">
        <v>0</v>
      </c>
      <c r="M1123" t="n">
        <v>0</v>
      </c>
      <c r="N1123" t="n">
        <v>0</v>
      </c>
      <c r="O1123" t="n">
        <v>0</v>
      </c>
      <c r="P1123" t="n">
        <v>0</v>
      </c>
      <c r="Q1123" t="n">
        <v>0</v>
      </c>
      <c r="R1123" s="2" t="inlineStr"/>
    </row>
    <row r="1124" ht="15" customHeight="1">
      <c r="A1124" t="inlineStr">
        <is>
          <t>A 51491-2025</t>
        </is>
      </c>
      <c r="B1124" s="1" t="n">
        <v>45950.63362268519</v>
      </c>
      <c r="C1124" s="1" t="n">
        <v>46048</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51791-2025</t>
        </is>
      </c>
      <c r="B1125" s="1" t="n">
        <v>45951.69833333333</v>
      </c>
      <c r="C1125" s="1" t="n">
        <v>46048</v>
      </c>
      <c r="D1125" t="inlineStr">
        <is>
          <t>JÄMTLANDS LÄN</t>
        </is>
      </c>
      <c r="E1125" t="inlineStr">
        <is>
          <t>RAGUNDA</t>
        </is>
      </c>
      <c r="F1125" t="inlineStr">
        <is>
          <t>SCA</t>
        </is>
      </c>
      <c r="G1125" t="n">
        <v>43.3</v>
      </c>
      <c r="H1125" t="n">
        <v>0</v>
      </c>
      <c r="I1125" t="n">
        <v>0</v>
      </c>
      <c r="J1125" t="n">
        <v>0</v>
      </c>
      <c r="K1125" t="n">
        <v>0</v>
      </c>
      <c r="L1125" t="n">
        <v>0</v>
      </c>
      <c r="M1125" t="n">
        <v>0</v>
      </c>
      <c r="N1125" t="n">
        <v>0</v>
      </c>
      <c r="O1125" t="n">
        <v>0</v>
      </c>
      <c r="P1125" t="n">
        <v>0</v>
      </c>
      <c r="Q1125" t="n">
        <v>0</v>
      </c>
      <c r="R1125" s="2" t="inlineStr"/>
    </row>
    <row r="1126" ht="15" customHeight="1">
      <c r="A1126" t="inlineStr">
        <is>
          <t>A 51702-2025</t>
        </is>
      </c>
      <c r="B1126" s="1" t="n">
        <v>45951.55305555555</v>
      </c>
      <c r="C1126" s="1" t="n">
        <v>46048</v>
      </c>
      <c r="D1126" t="inlineStr">
        <is>
          <t>JÄMTLANDS LÄN</t>
        </is>
      </c>
      <c r="E1126" t="inlineStr">
        <is>
          <t>RAGUNDA</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51394-2025</t>
        </is>
      </c>
      <c r="B1127" s="1" t="n">
        <v>45950.46972222222</v>
      </c>
      <c r="C1127" s="1" t="n">
        <v>46048</v>
      </c>
      <c r="D1127" t="inlineStr">
        <is>
          <t>JÄMTLANDS LÄN</t>
        </is>
      </c>
      <c r="E1127" t="inlineStr">
        <is>
          <t>RAGUNDA</t>
        </is>
      </c>
      <c r="F1127" t="inlineStr">
        <is>
          <t>SCA</t>
        </is>
      </c>
      <c r="G1127" t="n">
        <v>36.5</v>
      </c>
      <c r="H1127" t="n">
        <v>0</v>
      </c>
      <c r="I1127" t="n">
        <v>0</v>
      </c>
      <c r="J1127" t="n">
        <v>0</v>
      </c>
      <c r="K1127" t="n">
        <v>0</v>
      </c>
      <c r="L1127" t="n">
        <v>0</v>
      </c>
      <c r="M1127" t="n">
        <v>0</v>
      </c>
      <c r="N1127" t="n">
        <v>0</v>
      </c>
      <c r="O1127" t="n">
        <v>0</v>
      </c>
      <c r="P1127" t="n">
        <v>0</v>
      </c>
      <c r="Q1127" t="n">
        <v>0</v>
      </c>
      <c r="R1127" s="2" t="inlineStr"/>
    </row>
    <row r="1128" ht="15" customHeight="1">
      <c r="A1128" t="inlineStr">
        <is>
          <t>A 52317-2025</t>
        </is>
      </c>
      <c r="B1128" s="1" t="n">
        <v>45953.65675925926</v>
      </c>
      <c r="C1128" s="1" t="n">
        <v>46048</v>
      </c>
      <c r="D1128" t="inlineStr">
        <is>
          <t>JÄMTLANDS LÄN</t>
        </is>
      </c>
      <c r="E1128" t="inlineStr">
        <is>
          <t>RAGUNDA</t>
        </is>
      </c>
      <c r="F1128" t="inlineStr">
        <is>
          <t>SCA</t>
        </is>
      </c>
      <c r="G1128" t="n">
        <v>27.2</v>
      </c>
      <c r="H1128" t="n">
        <v>0</v>
      </c>
      <c r="I1128" t="n">
        <v>0</v>
      </c>
      <c r="J1128" t="n">
        <v>0</v>
      </c>
      <c r="K1128" t="n">
        <v>0</v>
      </c>
      <c r="L1128" t="n">
        <v>0</v>
      </c>
      <c r="M1128" t="n">
        <v>0</v>
      </c>
      <c r="N1128" t="n">
        <v>0</v>
      </c>
      <c r="O1128" t="n">
        <v>0</v>
      </c>
      <c r="P1128" t="n">
        <v>0</v>
      </c>
      <c r="Q1128" t="n">
        <v>0</v>
      </c>
      <c r="R1128" s="2" t="inlineStr"/>
    </row>
    <row r="1129" ht="15" customHeight="1">
      <c r="A1129" t="inlineStr">
        <is>
          <t>A 52122-2025</t>
        </is>
      </c>
      <c r="B1129" s="1" t="n">
        <v>45952.71946759259</v>
      </c>
      <c r="C1129" s="1" t="n">
        <v>46048</v>
      </c>
      <c r="D1129" t="inlineStr">
        <is>
          <t>JÄMTLANDS LÄN</t>
        </is>
      </c>
      <c r="E1129" t="inlineStr">
        <is>
          <t>RAGUNDA</t>
        </is>
      </c>
      <c r="F1129" t="inlineStr">
        <is>
          <t>SCA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52330-2025</t>
        </is>
      </c>
      <c r="B1130" s="1" t="n">
        <v>45953.67752314815</v>
      </c>
      <c r="C1130" s="1" t="n">
        <v>46048</v>
      </c>
      <c r="D1130" t="inlineStr">
        <is>
          <t>JÄMTLANDS LÄN</t>
        </is>
      </c>
      <c r="E1130" t="inlineStr">
        <is>
          <t>RAGUNDA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52093-2025</t>
        </is>
      </c>
      <c r="B1131" s="1" t="n">
        <v>45952.67865740741</v>
      </c>
      <c r="C1131" s="1" t="n">
        <v>46048</v>
      </c>
      <c r="D1131" t="inlineStr">
        <is>
          <t>JÄMTLANDS LÄN</t>
        </is>
      </c>
      <c r="E1131" t="inlineStr">
        <is>
          <t>RAGUNDA</t>
        </is>
      </c>
      <c r="F1131" t="inlineStr">
        <is>
          <t>SCA</t>
        </is>
      </c>
      <c r="G1131" t="n">
        <v>22.7</v>
      </c>
      <c r="H1131" t="n">
        <v>0</v>
      </c>
      <c r="I1131" t="n">
        <v>0</v>
      </c>
      <c r="J1131" t="n">
        <v>0</v>
      </c>
      <c r="K1131" t="n">
        <v>0</v>
      </c>
      <c r="L1131" t="n">
        <v>0</v>
      </c>
      <c r="M1131" t="n">
        <v>0</v>
      </c>
      <c r="N1131" t="n">
        <v>0</v>
      </c>
      <c r="O1131" t="n">
        <v>0</v>
      </c>
      <c r="P1131" t="n">
        <v>0</v>
      </c>
      <c r="Q1131" t="n">
        <v>0</v>
      </c>
      <c r="R1131" s="2" t="inlineStr"/>
    </row>
    <row r="1132" ht="15" customHeight="1">
      <c r="A1132" t="inlineStr">
        <is>
          <t>A 51882-2025</t>
        </is>
      </c>
      <c r="B1132" s="1" t="n">
        <v>45952.40685185185</v>
      </c>
      <c r="C1132" s="1" t="n">
        <v>46048</v>
      </c>
      <c r="D1132" t="inlineStr">
        <is>
          <t>JÄMTLANDS LÄN</t>
        </is>
      </c>
      <c r="E1132" t="inlineStr">
        <is>
          <t>RAGUNDA</t>
        </is>
      </c>
      <c r="F1132" t="inlineStr">
        <is>
          <t>SCA</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51903-2025</t>
        </is>
      </c>
      <c r="B1133" s="1" t="n">
        <v>45952.44857638889</v>
      </c>
      <c r="C1133" s="1" t="n">
        <v>46048</v>
      </c>
      <c r="D1133" t="inlineStr">
        <is>
          <t>JÄMTLANDS LÄN</t>
        </is>
      </c>
      <c r="E1133" t="inlineStr">
        <is>
          <t>RAGUNDA</t>
        </is>
      </c>
      <c r="F1133" t="inlineStr">
        <is>
          <t>SCA</t>
        </is>
      </c>
      <c r="G1133" t="n">
        <v>20.8</v>
      </c>
      <c r="H1133" t="n">
        <v>0</v>
      </c>
      <c r="I1133" t="n">
        <v>0</v>
      </c>
      <c r="J1133" t="n">
        <v>0</v>
      </c>
      <c r="K1133" t="n">
        <v>0</v>
      </c>
      <c r="L1133" t="n">
        <v>0</v>
      </c>
      <c r="M1133" t="n">
        <v>0</v>
      </c>
      <c r="N1133" t="n">
        <v>0</v>
      </c>
      <c r="O1133" t="n">
        <v>0</v>
      </c>
      <c r="P1133" t="n">
        <v>0</v>
      </c>
      <c r="Q1133" t="n">
        <v>0</v>
      </c>
      <c r="R1133" s="2" t="inlineStr"/>
    </row>
    <row r="1134" ht="15" customHeight="1">
      <c r="A1134" t="inlineStr">
        <is>
          <t>A 51932-2025</t>
        </is>
      </c>
      <c r="B1134" s="1" t="n">
        <v>45952.51094907407</v>
      </c>
      <c r="C1134" s="1" t="n">
        <v>46048</v>
      </c>
      <c r="D1134" t="inlineStr">
        <is>
          <t>JÄMTLANDS LÄN</t>
        </is>
      </c>
      <c r="E1134" t="inlineStr">
        <is>
          <t>RAGUNDA</t>
        </is>
      </c>
      <c r="F1134" t="inlineStr">
        <is>
          <t>SCA</t>
        </is>
      </c>
      <c r="G1134" t="n">
        <v>39.2</v>
      </c>
      <c r="H1134" t="n">
        <v>0</v>
      </c>
      <c r="I1134" t="n">
        <v>0</v>
      </c>
      <c r="J1134" t="n">
        <v>0</v>
      </c>
      <c r="K1134" t="n">
        <v>0</v>
      </c>
      <c r="L1134" t="n">
        <v>0</v>
      </c>
      <c r="M1134" t="n">
        <v>0</v>
      </c>
      <c r="N1134" t="n">
        <v>0</v>
      </c>
      <c r="O1134" t="n">
        <v>0</v>
      </c>
      <c r="P1134" t="n">
        <v>0</v>
      </c>
      <c r="Q1134" t="n">
        <v>0</v>
      </c>
      <c r="R1134" s="2" t="inlineStr"/>
    </row>
    <row r="1135" ht="15" customHeight="1">
      <c r="A1135" t="inlineStr">
        <is>
          <t>A 51906-2025</t>
        </is>
      </c>
      <c r="B1135" s="1" t="n">
        <v>45952.4615162037</v>
      </c>
      <c r="C1135" s="1" t="n">
        <v>46048</v>
      </c>
      <c r="D1135" t="inlineStr">
        <is>
          <t>JÄMTLANDS LÄN</t>
        </is>
      </c>
      <c r="E1135" t="inlineStr">
        <is>
          <t>RAGUNDA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52972-2025</t>
        </is>
      </c>
      <c r="B1136" s="1" t="n">
        <v>45957.67783564814</v>
      </c>
      <c r="C1136" s="1" t="n">
        <v>46048</v>
      </c>
      <c r="D1136" t="inlineStr">
        <is>
          <t>JÄMTLANDS LÄN</t>
        </is>
      </c>
      <c r="E1136" t="inlineStr">
        <is>
          <t>RAGUNDA</t>
        </is>
      </c>
      <c r="F1136" t="inlineStr">
        <is>
          <t>SCA</t>
        </is>
      </c>
      <c r="G1136" t="n">
        <v>53.4</v>
      </c>
      <c r="H1136" t="n">
        <v>0</v>
      </c>
      <c r="I1136" t="n">
        <v>0</v>
      </c>
      <c r="J1136" t="n">
        <v>0</v>
      </c>
      <c r="K1136" t="n">
        <v>0</v>
      </c>
      <c r="L1136" t="n">
        <v>0</v>
      </c>
      <c r="M1136" t="n">
        <v>0</v>
      </c>
      <c r="N1136" t="n">
        <v>0</v>
      </c>
      <c r="O1136" t="n">
        <v>0</v>
      </c>
      <c r="P1136" t="n">
        <v>0</v>
      </c>
      <c r="Q1136" t="n">
        <v>0</v>
      </c>
      <c r="R1136" s="2" t="inlineStr"/>
    </row>
    <row r="1137" ht="15" customHeight="1">
      <c r="A1137" t="inlineStr">
        <is>
          <t>A 52430-2025</t>
        </is>
      </c>
      <c r="B1137" s="1" t="n">
        <v>45954.38592592593</v>
      </c>
      <c r="C1137" s="1" t="n">
        <v>46048</v>
      </c>
      <c r="D1137" t="inlineStr">
        <is>
          <t>JÄMTLANDS LÄN</t>
        </is>
      </c>
      <c r="E1137" t="inlineStr">
        <is>
          <t>RAGUNDA</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52875-2025</t>
        </is>
      </c>
      <c r="B1138" s="1" t="n">
        <v>45957.53211805555</v>
      </c>
      <c r="C1138" s="1" t="n">
        <v>46048</v>
      </c>
      <c r="D1138" t="inlineStr">
        <is>
          <t>JÄMTLANDS LÄN</t>
        </is>
      </c>
      <c r="E1138" t="inlineStr">
        <is>
          <t>RAGUNDA</t>
        </is>
      </c>
      <c r="F1138" t="inlineStr">
        <is>
          <t>SCA</t>
        </is>
      </c>
      <c r="G1138" t="n">
        <v>34.3</v>
      </c>
      <c r="H1138" t="n">
        <v>0</v>
      </c>
      <c r="I1138" t="n">
        <v>0</v>
      </c>
      <c r="J1138" t="n">
        <v>0</v>
      </c>
      <c r="K1138" t="n">
        <v>0</v>
      </c>
      <c r="L1138" t="n">
        <v>0</v>
      </c>
      <c r="M1138" t="n">
        <v>0</v>
      </c>
      <c r="N1138" t="n">
        <v>0</v>
      </c>
      <c r="O1138" t="n">
        <v>0</v>
      </c>
      <c r="P1138" t="n">
        <v>0</v>
      </c>
      <c r="Q1138" t="n">
        <v>0</v>
      </c>
      <c r="R1138" s="2" t="inlineStr"/>
    </row>
    <row r="1139" ht="15" customHeight="1">
      <c r="A1139" t="inlineStr">
        <is>
          <t>A 52394-2025</t>
        </is>
      </c>
      <c r="B1139" s="1" t="n">
        <v>45954.34466435185</v>
      </c>
      <c r="C1139" s="1" t="n">
        <v>46048</v>
      </c>
      <c r="D1139" t="inlineStr">
        <is>
          <t>JÄMTLANDS LÄN</t>
        </is>
      </c>
      <c r="E1139" t="inlineStr">
        <is>
          <t>RAGUNDA</t>
        </is>
      </c>
      <c r="F1139" t="inlineStr">
        <is>
          <t>SCA</t>
        </is>
      </c>
      <c r="G1139" t="n">
        <v>53.8</v>
      </c>
      <c r="H1139" t="n">
        <v>0</v>
      </c>
      <c r="I1139" t="n">
        <v>0</v>
      </c>
      <c r="J1139" t="n">
        <v>0</v>
      </c>
      <c r="K1139" t="n">
        <v>0</v>
      </c>
      <c r="L1139" t="n">
        <v>0</v>
      </c>
      <c r="M1139" t="n">
        <v>0</v>
      </c>
      <c r="N1139" t="n">
        <v>0</v>
      </c>
      <c r="O1139" t="n">
        <v>0</v>
      </c>
      <c r="P1139" t="n">
        <v>0</v>
      </c>
      <c r="Q1139" t="n">
        <v>0</v>
      </c>
      <c r="R1139" s="2" t="inlineStr"/>
    </row>
    <row r="1140" ht="15" customHeight="1">
      <c r="A1140" t="inlineStr">
        <is>
          <t>A 52395-2025</t>
        </is>
      </c>
      <c r="B1140" s="1" t="n">
        <v>45954.34487268519</v>
      </c>
      <c r="C1140" s="1" t="n">
        <v>46048</v>
      </c>
      <c r="D1140" t="inlineStr">
        <is>
          <t>JÄMTLANDS LÄN</t>
        </is>
      </c>
      <c r="E1140" t="inlineStr">
        <is>
          <t>RAGUNDA</t>
        </is>
      </c>
      <c r="F1140" t="inlineStr">
        <is>
          <t>SCA</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53211-2025</t>
        </is>
      </c>
      <c r="B1141" s="1" t="n">
        <v>45958.59490740741</v>
      </c>
      <c r="C1141" s="1" t="n">
        <v>46048</v>
      </c>
      <c r="D1141" t="inlineStr">
        <is>
          <t>JÄMTLANDS LÄN</t>
        </is>
      </c>
      <c r="E1141" t="inlineStr">
        <is>
          <t>RAGUNDA</t>
        </is>
      </c>
      <c r="F1141" t="inlineStr">
        <is>
          <t>SCA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53032-2025</t>
        </is>
      </c>
      <c r="B1142" s="1" t="n">
        <v>45958.34462962963</v>
      </c>
      <c r="C1142" s="1" t="n">
        <v>46048</v>
      </c>
      <c r="D1142" t="inlineStr">
        <is>
          <t>JÄMTLANDS LÄN</t>
        </is>
      </c>
      <c r="E1142" t="inlineStr">
        <is>
          <t>RAGUNDA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53075-2025</t>
        </is>
      </c>
      <c r="B1143" s="1" t="n">
        <v>45958.38584490741</v>
      </c>
      <c r="C1143" s="1" t="n">
        <v>46048</v>
      </c>
      <c r="D1143" t="inlineStr">
        <is>
          <t>JÄMTLANDS LÄN</t>
        </is>
      </c>
      <c r="E1143" t="inlineStr">
        <is>
          <t>RAGUNDA</t>
        </is>
      </c>
      <c r="F1143" t="inlineStr">
        <is>
          <t>SCA</t>
        </is>
      </c>
      <c r="G1143" t="n">
        <v>28.9</v>
      </c>
      <c r="H1143" t="n">
        <v>0</v>
      </c>
      <c r="I1143" t="n">
        <v>0</v>
      </c>
      <c r="J1143" t="n">
        <v>0</v>
      </c>
      <c r="K1143" t="n">
        <v>0</v>
      </c>
      <c r="L1143" t="n">
        <v>0</v>
      </c>
      <c r="M1143" t="n">
        <v>0</v>
      </c>
      <c r="N1143" t="n">
        <v>0</v>
      </c>
      <c r="O1143" t="n">
        <v>0</v>
      </c>
      <c r="P1143" t="n">
        <v>0</v>
      </c>
      <c r="Q1143" t="n">
        <v>0</v>
      </c>
      <c r="R1143" s="2" t="inlineStr"/>
    </row>
    <row r="1144" ht="15" customHeight="1">
      <c r="A1144" t="inlineStr">
        <is>
          <t>A 52578-2025</t>
        </is>
      </c>
      <c r="B1144" s="1" t="n">
        <v>45954.61508101852</v>
      </c>
      <c r="C1144" s="1" t="n">
        <v>46048</v>
      </c>
      <c r="D1144" t="inlineStr">
        <is>
          <t>JÄMTLANDS LÄN</t>
        </is>
      </c>
      <c r="E1144" t="inlineStr">
        <is>
          <t>RAGUNDA</t>
        </is>
      </c>
      <c r="F1144" t="inlineStr">
        <is>
          <t>SCA</t>
        </is>
      </c>
      <c r="G1144" t="n">
        <v>25.2</v>
      </c>
      <c r="H1144" t="n">
        <v>0</v>
      </c>
      <c r="I1144" t="n">
        <v>0</v>
      </c>
      <c r="J1144" t="n">
        <v>0</v>
      </c>
      <c r="K1144" t="n">
        <v>0</v>
      </c>
      <c r="L1144" t="n">
        <v>0</v>
      </c>
      <c r="M1144" t="n">
        <v>0</v>
      </c>
      <c r="N1144" t="n">
        <v>0</v>
      </c>
      <c r="O1144" t="n">
        <v>0</v>
      </c>
      <c r="P1144" t="n">
        <v>0</v>
      </c>
      <c r="Q1144" t="n">
        <v>0</v>
      </c>
      <c r="R1144" s="2" t="inlineStr"/>
    </row>
    <row r="1145" ht="15" customHeight="1">
      <c r="A1145" t="inlineStr">
        <is>
          <t>A 53076-2025</t>
        </is>
      </c>
      <c r="B1145" s="1" t="n">
        <v>45958.38604166666</v>
      </c>
      <c r="C1145" s="1" t="n">
        <v>46048</v>
      </c>
      <c r="D1145" t="inlineStr">
        <is>
          <t>JÄMTLANDS LÄN</t>
        </is>
      </c>
      <c r="E1145" t="inlineStr">
        <is>
          <t>RAGUNDA</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25304-2023</t>
        </is>
      </c>
      <c r="B1146" s="1" t="n">
        <v>45086</v>
      </c>
      <c r="C1146" s="1" t="n">
        <v>46048</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53986-2025</t>
        </is>
      </c>
      <c r="B1147" s="1" t="n">
        <v>45961.57381944444</v>
      </c>
      <c r="C1147" s="1" t="n">
        <v>46048</v>
      </c>
      <c r="D1147" t="inlineStr">
        <is>
          <t>JÄMTLANDS LÄN</t>
        </is>
      </c>
      <c r="E1147" t="inlineStr">
        <is>
          <t>RAGUNDA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53973-2025</t>
        </is>
      </c>
      <c r="B1148" s="1" t="n">
        <v>45961.55246527777</v>
      </c>
      <c r="C1148" s="1" t="n">
        <v>46048</v>
      </c>
      <c r="D1148" t="inlineStr">
        <is>
          <t>JÄMTLANDS LÄN</t>
        </is>
      </c>
      <c r="E1148" t="inlineStr">
        <is>
          <t>RAGUNDA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53549-2025</t>
        </is>
      </c>
      <c r="B1149" s="1" t="n">
        <v>45960.38576388889</v>
      </c>
      <c r="C1149" s="1" t="n">
        <v>46048</v>
      </c>
      <c r="D1149" t="inlineStr">
        <is>
          <t>JÄMTLANDS LÄN</t>
        </is>
      </c>
      <c r="E1149" t="inlineStr">
        <is>
          <t>RAGUNDA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53975-2025</t>
        </is>
      </c>
      <c r="B1150" s="1" t="n">
        <v>45961.55277777778</v>
      </c>
      <c r="C1150" s="1" t="n">
        <v>46048</v>
      </c>
      <c r="D1150" t="inlineStr">
        <is>
          <t>JÄMTLANDS LÄN</t>
        </is>
      </c>
      <c r="E1150" t="inlineStr">
        <is>
          <t>RAGUNDA</t>
        </is>
      </c>
      <c r="F1150" t="inlineStr">
        <is>
          <t>SCA</t>
        </is>
      </c>
      <c r="G1150" t="n">
        <v>21.9</v>
      </c>
      <c r="H1150" t="n">
        <v>0</v>
      </c>
      <c r="I1150" t="n">
        <v>0</v>
      </c>
      <c r="J1150" t="n">
        <v>0</v>
      </c>
      <c r="K1150" t="n">
        <v>0</v>
      </c>
      <c r="L1150" t="n">
        <v>0</v>
      </c>
      <c r="M1150" t="n">
        <v>0</v>
      </c>
      <c r="N1150" t="n">
        <v>0</v>
      </c>
      <c r="O1150" t="n">
        <v>0</v>
      </c>
      <c r="P1150" t="n">
        <v>0</v>
      </c>
      <c r="Q1150" t="n">
        <v>0</v>
      </c>
      <c r="R1150" s="2" t="inlineStr"/>
    </row>
    <row r="1151" ht="15" customHeight="1">
      <c r="A1151" t="inlineStr">
        <is>
          <t>A 53726-2025</t>
        </is>
      </c>
      <c r="B1151" s="1" t="n">
        <v>45960.63597222222</v>
      </c>
      <c r="C1151" s="1" t="n">
        <v>46048</v>
      </c>
      <c r="D1151" t="inlineStr">
        <is>
          <t>JÄMTLANDS LÄN</t>
        </is>
      </c>
      <c r="E1151" t="inlineStr">
        <is>
          <t>RAGUNDA</t>
        </is>
      </c>
      <c r="F1151" t="inlineStr">
        <is>
          <t>SCA</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53748-2025</t>
        </is>
      </c>
      <c r="B1152" s="1" t="n">
        <v>45960.65673611111</v>
      </c>
      <c r="C1152" s="1" t="n">
        <v>46048</v>
      </c>
      <c r="D1152" t="inlineStr">
        <is>
          <t>JÄMTLANDS LÄN</t>
        </is>
      </c>
      <c r="E1152" t="inlineStr">
        <is>
          <t>RAGUNDA</t>
        </is>
      </c>
      <c r="F1152" t="inlineStr">
        <is>
          <t>SCA</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53727-2025</t>
        </is>
      </c>
      <c r="B1153" s="1" t="n">
        <v>45960.63630787037</v>
      </c>
      <c r="C1153" s="1" t="n">
        <v>46048</v>
      </c>
      <c r="D1153" t="inlineStr">
        <is>
          <t>JÄMTLANDS LÄN</t>
        </is>
      </c>
      <c r="E1153" t="inlineStr">
        <is>
          <t>RAGUNDA</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53765-2025</t>
        </is>
      </c>
      <c r="B1154" s="1" t="n">
        <v>45960.67753472222</v>
      </c>
      <c r="C1154" s="1" t="n">
        <v>46048</v>
      </c>
      <c r="D1154" t="inlineStr">
        <is>
          <t>JÄMTLANDS LÄN</t>
        </is>
      </c>
      <c r="E1154" t="inlineStr">
        <is>
          <t>RAGUNDA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53951-2025</t>
        </is>
      </c>
      <c r="B1155" s="1" t="n">
        <v>45961.50200231482</v>
      </c>
      <c r="C1155" s="1" t="n">
        <v>46048</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53948-2025</t>
        </is>
      </c>
      <c r="B1156" s="1" t="n">
        <v>45961.50033564815</v>
      </c>
      <c r="C1156" s="1" t="n">
        <v>46048</v>
      </c>
      <c r="D1156" t="inlineStr">
        <is>
          <t>JÄMTLANDS LÄN</t>
        </is>
      </c>
      <c r="E1156" t="inlineStr">
        <is>
          <t>RAGUNDA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62432-2025</t>
        </is>
      </c>
      <c r="B1157" s="1" t="n">
        <v>46007</v>
      </c>
      <c r="C1157" s="1" t="n">
        <v>46048</v>
      </c>
      <c r="D1157" t="inlineStr">
        <is>
          <t>JÄMTLANDS LÄN</t>
        </is>
      </c>
      <c r="E1157" t="inlineStr">
        <is>
          <t>RAGUNDA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62436-2025</t>
        </is>
      </c>
      <c r="B1158" s="1" t="n">
        <v>46007</v>
      </c>
      <c r="C1158" s="1" t="n">
        <v>46048</v>
      </c>
      <c r="D1158" t="inlineStr">
        <is>
          <t>JÄMTLANDS LÄN</t>
        </is>
      </c>
      <c r="E1158" t="inlineStr">
        <is>
          <t>RAGUNDA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62467-2025</t>
        </is>
      </c>
      <c r="B1159" s="1" t="n">
        <v>46007.5108912037</v>
      </c>
      <c r="C1159" s="1" t="n">
        <v>46048</v>
      </c>
      <c r="D1159" t="inlineStr">
        <is>
          <t>JÄMTLANDS LÄN</t>
        </is>
      </c>
      <c r="E1159" t="inlineStr">
        <is>
          <t>RAGUNDA</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50160-2023</t>
        </is>
      </c>
      <c r="B1160" s="1" t="n">
        <v>45208</v>
      </c>
      <c r="C1160" s="1" t="n">
        <v>46048</v>
      </c>
      <c r="D1160" t="inlineStr">
        <is>
          <t>JÄMTLANDS LÄN</t>
        </is>
      </c>
      <c r="E1160" t="inlineStr">
        <is>
          <t>RAGUNDA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54195-2025</t>
        </is>
      </c>
      <c r="B1161" s="1" t="n">
        <v>45964.57413194444</v>
      </c>
      <c r="C1161" s="1" t="n">
        <v>46048</v>
      </c>
      <c r="D1161" t="inlineStr">
        <is>
          <t>JÄMTLANDS LÄN</t>
        </is>
      </c>
      <c r="E1161" t="inlineStr">
        <is>
          <t>RAGUNDA</t>
        </is>
      </c>
      <c r="F1161" t="inlineStr">
        <is>
          <t>SCA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54396-2025</t>
        </is>
      </c>
      <c r="B1162" s="1" t="n">
        <v>45965.44849537037</v>
      </c>
      <c r="C1162" s="1" t="n">
        <v>46048</v>
      </c>
      <c r="D1162" t="inlineStr">
        <is>
          <t>JÄMTLANDS LÄN</t>
        </is>
      </c>
      <c r="E1162" t="inlineStr">
        <is>
          <t>RAGUNDA</t>
        </is>
      </c>
      <c r="F1162" t="inlineStr">
        <is>
          <t>SCA</t>
        </is>
      </c>
      <c r="G1162" t="n">
        <v>35.2</v>
      </c>
      <c r="H1162" t="n">
        <v>0</v>
      </c>
      <c r="I1162" t="n">
        <v>0</v>
      </c>
      <c r="J1162" t="n">
        <v>0</v>
      </c>
      <c r="K1162" t="n">
        <v>0</v>
      </c>
      <c r="L1162" t="n">
        <v>0</v>
      </c>
      <c r="M1162" t="n">
        <v>0</v>
      </c>
      <c r="N1162" t="n">
        <v>0</v>
      </c>
      <c r="O1162" t="n">
        <v>0</v>
      </c>
      <c r="P1162" t="n">
        <v>0</v>
      </c>
      <c r="Q1162" t="n">
        <v>0</v>
      </c>
      <c r="R1162" s="2" t="inlineStr"/>
    </row>
    <row r="1163" ht="15" customHeight="1">
      <c r="A1163" t="inlineStr">
        <is>
          <t>A 50157-2023</t>
        </is>
      </c>
      <c r="B1163" s="1" t="n">
        <v>45208</v>
      </c>
      <c r="C1163" s="1" t="n">
        <v>46048</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63060-2025</t>
        </is>
      </c>
      <c r="B1164" s="1" t="n">
        <v>46009.64414351852</v>
      </c>
      <c r="C1164" s="1" t="n">
        <v>46048</v>
      </c>
      <c r="D1164" t="inlineStr">
        <is>
          <t>JÄMTLANDS LÄN</t>
        </is>
      </c>
      <c r="E1164" t="inlineStr">
        <is>
          <t>RAGUNDA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54794-2025</t>
        </is>
      </c>
      <c r="B1165" s="1" t="n">
        <v>45966.63592592593</v>
      </c>
      <c r="C1165" s="1" t="n">
        <v>46048</v>
      </c>
      <c r="D1165" t="inlineStr">
        <is>
          <t>JÄMTLANDS LÄN</t>
        </is>
      </c>
      <c r="E1165" t="inlineStr">
        <is>
          <t>RAGUNDA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62638-2025</t>
        </is>
      </c>
      <c r="B1166" s="1" t="n">
        <v>46008.36564814814</v>
      </c>
      <c r="C1166" s="1" t="n">
        <v>46048</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62691-2025</t>
        </is>
      </c>
      <c r="B1167" s="1" t="n">
        <v>46008.4759837963</v>
      </c>
      <c r="C1167" s="1" t="n">
        <v>46048</v>
      </c>
      <c r="D1167" t="inlineStr">
        <is>
          <t>JÄMTLANDS LÄN</t>
        </is>
      </c>
      <c r="E1167" t="inlineStr">
        <is>
          <t>RAGUNDA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62927-2025</t>
        </is>
      </c>
      <c r="B1168" s="1" t="n">
        <v>46009.38609953703</v>
      </c>
      <c r="C1168" s="1" t="n">
        <v>46048</v>
      </c>
      <c r="D1168" t="inlineStr">
        <is>
          <t>JÄMTLANDS LÄN</t>
        </is>
      </c>
      <c r="E1168" t="inlineStr">
        <is>
          <t>RAGUNDA</t>
        </is>
      </c>
      <c r="G1168" t="n">
        <v>6.3</v>
      </c>
      <c r="H1168" t="n">
        <v>0</v>
      </c>
      <c r="I1168" t="n">
        <v>0</v>
      </c>
      <c r="J1168" t="n">
        <v>0</v>
      </c>
      <c r="K1168" t="n">
        <v>0</v>
      </c>
      <c r="L1168" t="n">
        <v>0</v>
      </c>
      <c r="M1168" t="n">
        <v>0</v>
      </c>
      <c r="N1168" t="n">
        <v>0</v>
      </c>
      <c r="O1168" t="n">
        <v>0</v>
      </c>
      <c r="P1168" t="n">
        <v>0</v>
      </c>
      <c r="Q1168" t="n">
        <v>0</v>
      </c>
      <c r="R1168" s="2" t="inlineStr"/>
      <c r="U1168">
        <f>HYPERLINK("https://klasma.github.io/Logging_2303/knärot/A 62927-2025 karta knärot.png", "A 62927-2025")</f>
        <v/>
      </c>
      <c r="V1168">
        <f>HYPERLINK("https://klasma.github.io/Logging_2303/klagomål/A 62927-2025 FSC-klagomål.docx", "A 62927-2025")</f>
        <v/>
      </c>
      <c r="W1168">
        <f>HYPERLINK("https://klasma.github.io/Logging_2303/klagomålsmail/A 62927-2025 FSC-klagomål mail.docx", "A 62927-2025")</f>
        <v/>
      </c>
      <c r="X1168">
        <f>HYPERLINK("https://klasma.github.io/Logging_2303/tillsyn/A 62927-2025 tillsynsbegäran.docx", "A 62927-2025")</f>
        <v/>
      </c>
      <c r="Y1168">
        <f>HYPERLINK("https://klasma.github.io/Logging_2303/tillsynsmail/A 62927-2025 tillsynsbegäran mail.docx", "A 62927-2025")</f>
        <v/>
      </c>
    </row>
    <row r="1169" ht="15" customHeight="1">
      <c r="A1169" t="inlineStr">
        <is>
          <t>A 62819-2025</t>
        </is>
      </c>
      <c r="B1169" s="1" t="n">
        <v>46008</v>
      </c>
      <c r="C1169" s="1" t="n">
        <v>46048</v>
      </c>
      <c r="D1169" t="inlineStr">
        <is>
          <t>JÄMTLANDS LÄN</t>
        </is>
      </c>
      <c r="E1169" t="inlineStr">
        <is>
          <t>RAGUNDA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54820-2025</t>
        </is>
      </c>
      <c r="B1170" s="1" t="n">
        <v>45966.65728009259</v>
      </c>
      <c r="C1170" s="1" t="n">
        <v>46048</v>
      </c>
      <c r="D1170" t="inlineStr">
        <is>
          <t>JÄMTLANDS LÄN</t>
        </is>
      </c>
      <c r="E1170" t="inlineStr">
        <is>
          <t>RAGUNDA</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58909-2025</t>
        </is>
      </c>
      <c r="B1171" s="1" t="n">
        <v>45987</v>
      </c>
      <c r="C1171" s="1" t="n">
        <v>46048</v>
      </c>
      <c r="D1171" t="inlineStr">
        <is>
          <t>JÄMTLANDS LÄN</t>
        </is>
      </c>
      <c r="E1171" t="inlineStr">
        <is>
          <t>RAGUNDA</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63057-2025</t>
        </is>
      </c>
      <c r="B1172" s="1" t="n">
        <v>46009.63837962963</v>
      </c>
      <c r="C1172" s="1" t="n">
        <v>46048</v>
      </c>
      <c r="D1172" t="inlineStr">
        <is>
          <t>JÄMTLANDS LÄN</t>
        </is>
      </c>
      <c r="E1172" t="inlineStr">
        <is>
          <t>RAGUNDA</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55547-2025</t>
        </is>
      </c>
      <c r="B1173" s="1" t="n">
        <v>45971</v>
      </c>
      <c r="C1173" s="1" t="n">
        <v>46048</v>
      </c>
      <c r="D1173" t="inlineStr">
        <is>
          <t>JÄMTLANDS LÄN</t>
        </is>
      </c>
      <c r="E1173" t="inlineStr">
        <is>
          <t>RAGUNDA</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63141-2025</t>
        </is>
      </c>
      <c r="B1174" s="1" t="n">
        <v>46010.34440972222</v>
      </c>
      <c r="C1174" s="1" t="n">
        <v>46048</v>
      </c>
      <c r="D1174" t="inlineStr">
        <is>
          <t>JÄMTLANDS LÄN</t>
        </is>
      </c>
      <c r="E1174" t="inlineStr">
        <is>
          <t>RAGUNDA</t>
        </is>
      </c>
      <c r="F1174" t="inlineStr">
        <is>
          <t>SCA</t>
        </is>
      </c>
      <c r="G1174" t="n">
        <v>24.4</v>
      </c>
      <c r="H1174" t="n">
        <v>0</v>
      </c>
      <c r="I1174" t="n">
        <v>0</v>
      </c>
      <c r="J1174" t="n">
        <v>0</v>
      </c>
      <c r="K1174" t="n">
        <v>0</v>
      </c>
      <c r="L1174" t="n">
        <v>0</v>
      </c>
      <c r="M1174" t="n">
        <v>0</v>
      </c>
      <c r="N1174" t="n">
        <v>0</v>
      </c>
      <c r="O1174" t="n">
        <v>0</v>
      </c>
      <c r="P1174" t="n">
        <v>0</v>
      </c>
      <c r="Q1174" t="n">
        <v>0</v>
      </c>
      <c r="R1174" s="2" t="inlineStr"/>
    </row>
    <row r="1175" ht="15" customHeight="1">
      <c r="A1175" t="inlineStr">
        <is>
          <t>A 63578-2025</t>
        </is>
      </c>
      <c r="B1175" s="1" t="n">
        <v>46013.67690972222</v>
      </c>
      <c r="C1175" s="1" t="n">
        <v>46048</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55797-2025</t>
        </is>
      </c>
      <c r="B1176" s="1" t="n">
        <v>45972.65693287037</v>
      </c>
      <c r="C1176" s="1" t="n">
        <v>46048</v>
      </c>
      <c r="D1176" t="inlineStr">
        <is>
          <t>JÄMTLANDS LÄN</t>
        </is>
      </c>
      <c r="E1176" t="inlineStr">
        <is>
          <t>RAGUNDA</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55671-2025</t>
        </is>
      </c>
      <c r="B1177" s="1" t="n">
        <v>45972</v>
      </c>
      <c r="C1177" s="1" t="n">
        <v>46048</v>
      </c>
      <c r="D1177" t="inlineStr">
        <is>
          <t>JÄMTLANDS LÄN</t>
        </is>
      </c>
      <c r="E1177" t="inlineStr">
        <is>
          <t>RAGUNDA</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55897-2025</t>
        </is>
      </c>
      <c r="B1178" s="1" t="n">
        <v>45973.38600694444</v>
      </c>
      <c r="C1178" s="1" t="n">
        <v>46048</v>
      </c>
      <c r="D1178" t="inlineStr">
        <is>
          <t>JÄMTLANDS LÄN</t>
        </is>
      </c>
      <c r="E1178" t="inlineStr">
        <is>
          <t>RAGUNDA</t>
        </is>
      </c>
      <c r="F1178" t="inlineStr">
        <is>
          <t>SCA</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63672-2025</t>
        </is>
      </c>
      <c r="B1179" s="1" t="n">
        <v>46014.47575231481</v>
      </c>
      <c r="C1179" s="1" t="n">
        <v>46048</v>
      </c>
      <c r="D1179" t="inlineStr">
        <is>
          <t>JÄMTLANDS LÄN</t>
        </is>
      </c>
      <c r="E1179" t="inlineStr">
        <is>
          <t>RAGUNDA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55633-2025</t>
        </is>
      </c>
      <c r="B1180" s="1" t="n">
        <v>45972</v>
      </c>
      <c r="C1180" s="1" t="n">
        <v>46048</v>
      </c>
      <c r="D1180" t="inlineStr">
        <is>
          <t>JÄMTLANDS LÄN</t>
        </is>
      </c>
      <c r="E1180" t="inlineStr">
        <is>
          <t>RAGUNDA</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63671-2025</t>
        </is>
      </c>
      <c r="B1181" s="1" t="n">
        <v>46014.46555555556</v>
      </c>
      <c r="C1181" s="1" t="n">
        <v>46048</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56435-2025</t>
        </is>
      </c>
      <c r="B1182" s="1" t="n">
        <v>45975.34679398148</v>
      </c>
      <c r="C1182" s="1" t="n">
        <v>46048</v>
      </c>
      <c r="D1182" t="inlineStr">
        <is>
          <t>JÄMTLANDS LÄN</t>
        </is>
      </c>
      <c r="E1182" t="inlineStr">
        <is>
          <t>RAGUNDA</t>
        </is>
      </c>
      <c r="F1182" t="inlineStr">
        <is>
          <t>SCA</t>
        </is>
      </c>
      <c r="G1182" t="n">
        <v>9.199999999999999</v>
      </c>
      <c r="H1182" t="n">
        <v>0</v>
      </c>
      <c r="I1182" t="n">
        <v>0</v>
      </c>
      <c r="J1182" t="n">
        <v>0</v>
      </c>
      <c r="K1182" t="n">
        <v>0</v>
      </c>
      <c r="L1182" t="n">
        <v>0</v>
      </c>
      <c r="M1182" t="n">
        <v>0</v>
      </c>
      <c r="N1182" t="n">
        <v>0</v>
      </c>
      <c r="O1182" t="n">
        <v>0</v>
      </c>
      <c r="P1182" t="n">
        <v>0</v>
      </c>
      <c r="Q1182" t="n">
        <v>0</v>
      </c>
      <c r="R1182" s="2" t="inlineStr"/>
      <c r="U1182">
        <f>HYPERLINK("https://klasma.github.io/Logging_2303/knärot/A 56435-2025 karta knärot.png", "A 56435-2025")</f>
        <v/>
      </c>
      <c r="V1182">
        <f>HYPERLINK("https://klasma.github.io/Logging_2303/klagomål/A 56435-2025 FSC-klagomål.docx", "A 56435-2025")</f>
        <v/>
      </c>
      <c r="W1182">
        <f>HYPERLINK("https://klasma.github.io/Logging_2303/klagomålsmail/A 56435-2025 FSC-klagomål mail.docx", "A 56435-2025")</f>
        <v/>
      </c>
      <c r="X1182">
        <f>HYPERLINK("https://klasma.github.io/Logging_2303/tillsyn/A 56435-2025 tillsynsbegäran.docx", "A 56435-2025")</f>
        <v/>
      </c>
      <c r="Y1182">
        <f>HYPERLINK("https://klasma.github.io/Logging_2303/tillsynsmail/A 56435-2025 tillsynsbegäran mail.docx", "A 56435-2025")</f>
        <v/>
      </c>
    </row>
    <row r="1183" ht="15" customHeight="1">
      <c r="A1183" t="inlineStr">
        <is>
          <t>A 56170-2025</t>
        </is>
      </c>
      <c r="B1183" s="1" t="n">
        <v>45974.39398148148</v>
      </c>
      <c r="C1183" s="1" t="n">
        <v>46048</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63828-2025</t>
        </is>
      </c>
      <c r="B1184" s="1" t="n">
        <v>46020.37814814815</v>
      </c>
      <c r="C1184" s="1" t="n">
        <v>46048</v>
      </c>
      <c r="D1184" t="inlineStr">
        <is>
          <t>JÄMTLANDS LÄN</t>
        </is>
      </c>
      <c r="E1184" t="inlineStr">
        <is>
          <t>RAGUNDA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57111-2025</t>
        </is>
      </c>
      <c r="B1185" s="1" t="n">
        <v>45978</v>
      </c>
      <c r="C1185" s="1" t="n">
        <v>46048</v>
      </c>
      <c r="D1185" t="inlineStr">
        <is>
          <t>JÄMTLANDS LÄN</t>
        </is>
      </c>
      <c r="E1185" t="inlineStr">
        <is>
          <t>RAGUNDA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57117-2025</t>
        </is>
      </c>
      <c r="B1186" s="1" t="n">
        <v>45978</v>
      </c>
      <c r="C1186" s="1" t="n">
        <v>46048</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56751-2025</t>
        </is>
      </c>
      <c r="B1187" s="1" t="n">
        <v>45978.36538194444</v>
      </c>
      <c r="C1187" s="1" t="n">
        <v>46048</v>
      </c>
      <c r="D1187" t="inlineStr">
        <is>
          <t>JÄMTLANDS LÄN</t>
        </is>
      </c>
      <c r="E1187" t="inlineStr">
        <is>
          <t>RAGUNDA</t>
        </is>
      </c>
      <c r="F1187" t="inlineStr">
        <is>
          <t>SCA</t>
        </is>
      </c>
      <c r="G1187" t="n">
        <v>34.5</v>
      </c>
      <c r="H1187" t="n">
        <v>0</v>
      </c>
      <c r="I1187" t="n">
        <v>0</v>
      </c>
      <c r="J1187" t="n">
        <v>0</v>
      </c>
      <c r="K1187" t="n">
        <v>0</v>
      </c>
      <c r="L1187" t="n">
        <v>0</v>
      </c>
      <c r="M1187" t="n">
        <v>0</v>
      </c>
      <c r="N1187" t="n">
        <v>0</v>
      </c>
      <c r="O1187" t="n">
        <v>0</v>
      </c>
      <c r="P1187" t="n">
        <v>0</v>
      </c>
      <c r="Q1187" t="n">
        <v>0</v>
      </c>
      <c r="R1187" s="2" t="inlineStr"/>
    </row>
    <row r="1188" ht="15" customHeight="1">
      <c r="A1188" t="inlineStr">
        <is>
          <t>A 56806-2025</t>
        </is>
      </c>
      <c r="B1188" s="1" t="n">
        <v>45978.44842592593</v>
      </c>
      <c r="C1188" s="1" t="n">
        <v>46048</v>
      </c>
      <c r="D1188" t="inlineStr">
        <is>
          <t>JÄMTLANDS LÄN</t>
        </is>
      </c>
      <c r="E1188" t="inlineStr">
        <is>
          <t>RAGUNDA</t>
        </is>
      </c>
      <c r="F1188" t="inlineStr">
        <is>
          <t>SCA</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63714-2025</t>
        </is>
      </c>
      <c r="B1189" s="1" t="n">
        <v>46014</v>
      </c>
      <c r="C1189" s="1" t="n">
        <v>46048</v>
      </c>
      <c r="D1189" t="inlineStr">
        <is>
          <t>JÄMTLANDS LÄN</t>
        </is>
      </c>
      <c r="E1189" t="inlineStr">
        <is>
          <t>RAGUNDA</t>
        </is>
      </c>
      <c r="F1189" t="inlineStr">
        <is>
          <t>Sveaskog</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57184-2025</t>
        </is>
      </c>
      <c r="B1190" s="1" t="n">
        <v>45979.57361111111</v>
      </c>
      <c r="C1190" s="1" t="n">
        <v>46048</v>
      </c>
      <c r="D1190" t="inlineStr">
        <is>
          <t>JÄMTLANDS LÄN</t>
        </is>
      </c>
      <c r="E1190" t="inlineStr">
        <is>
          <t>RAGUNDA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57561-2025</t>
        </is>
      </c>
      <c r="B1191" s="1" t="n">
        <v>45980.69885416667</v>
      </c>
      <c r="C1191" s="1" t="n">
        <v>46048</v>
      </c>
      <c r="D1191" t="inlineStr">
        <is>
          <t>JÄMTLANDS LÄN</t>
        </is>
      </c>
      <c r="E1191" t="inlineStr">
        <is>
          <t>RAGUNDA</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57332-2025</t>
        </is>
      </c>
      <c r="B1192" s="1" t="n">
        <v>45980.34467592592</v>
      </c>
      <c r="C1192" s="1" t="n">
        <v>46048</v>
      </c>
      <c r="D1192" t="inlineStr">
        <is>
          <t>JÄMTLANDS LÄN</t>
        </is>
      </c>
      <c r="E1192" t="inlineStr">
        <is>
          <t>RAGUNDA</t>
        </is>
      </c>
      <c r="F1192" t="inlineStr">
        <is>
          <t>SCA</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57560-2025</t>
        </is>
      </c>
      <c r="B1193" s="1" t="n">
        <v>45980.6987962963</v>
      </c>
      <c r="C1193" s="1" t="n">
        <v>46048</v>
      </c>
      <c r="D1193" t="inlineStr">
        <is>
          <t>JÄMTLANDS LÄN</t>
        </is>
      </c>
      <c r="E1193" t="inlineStr">
        <is>
          <t>RAGUNDA</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57916-2025</t>
        </is>
      </c>
      <c r="B1194" s="1" t="n">
        <v>45981</v>
      </c>
      <c r="C1194" s="1" t="n">
        <v>46048</v>
      </c>
      <c r="D1194" t="inlineStr">
        <is>
          <t>JÄMTLANDS LÄN</t>
        </is>
      </c>
      <c r="E1194" t="inlineStr">
        <is>
          <t>RAGUNDA</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57914-2025</t>
        </is>
      </c>
      <c r="B1195" s="1" t="n">
        <v>45981</v>
      </c>
      <c r="C1195" s="1" t="n">
        <v>46048</v>
      </c>
      <c r="D1195" t="inlineStr">
        <is>
          <t>JÄMTLANDS LÄN</t>
        </is>
      </c>
      <c r="E1195" t="inlineStr">
        <is>
          <t>RAGUNDA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57915-2025</t>
        </is>
      </c>
      <c r="B1196" s="1" t="n">
        <v>45981</v>
      </c>
      <c r="C1196" s="1" t="n">
        <v>46048</v>
      </c>
      <c r="D1196" t="inlineStr">
        <is>
          <t>JÄMTLANDS LÄN</t>
        </is>
      </c>
      <c r="E1196" t="inlineStr">
        <is>
          <t>RAGUNDA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57833-2025</t>
        </is>
      </c>
      <c r="B1197" s="1" t="n">
        <v>45981.61541666667</v>
      </c>
      <c r="C1197" s="1" t="n">
        <v>46048</v>
      </c>
      <c r="D1197" t="inlineStr">
        <is>
          <t>JÄMTLANDS LÄN</t>
        </is>
      </c>
      <c r="E1197" t="inlineStr">
        <is>
          <t>RAGUNDA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64108-2025</t>
        </is>
      </c>
      <c r="B1198" s="1" t="n">
        <v>46013</v>
      </c>
      <c r="C1198" s="1" t="n">
        <v>46048</v>
      </c>
      <c r="D1198" t="inlineStr">
        <is>
          <t>JÄMTLANDS LÄN</t>
        </is>
      </c>
      <c r="E1198" t="inlineStr">
        <is>
          <t>RAGUNDA</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57785-2025</t>
        </is>
      </c>
      <c r="B1199" s="1" t="n">
        <v>45981.57393518519</v>
      </c>
      <c r="C1199" s="1" t="n">
        <v>46048</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58093-2025</t>
        </is>
      </c>
      <c r="B1200" s="1" t="n">
        <v>45982.5741087963</v>
      </c>
      <c r="C1200" s="1" t="n">
        <v>46048</v>
      </c>
      <c r="D1200" t="inlineStr">
        <is>
          <t>JÄMTLANDS LÄN</t>
        </is>
      </c>
      <c r="E1200" t="inlineStr">
        <is>
          <t>RAGUNDA</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222-2026</t>
        </is>
      </c>
      <c r="B1201" s="1" t="n">
        <v>46026.84054398148</v>
      </c>
      <c r="C1201" s="1" t="n">
        <v>46048</v>
      </c>
      <c r="D1201" t="inlineStr">
        <is>
          <t>JÄMTLANDS LÄN</t>
        </is>
      </c>
      <c r="E1201" t="inlineStr">
        <is>
          <t>RAGUNDA</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57970-2025</t>
        </is>
      </c>
      <c r="B1202" s="1" t="n">
        <v>45982.38582175926</v>
      </c>
      <c r="C1202" s="1" t="n">
        <v>46048</v>
      </c>
      <c r="D1202" t="inlineStr">
        <is>
          <t>JÄMTLANDS LÄN</t>
        </is>
      </c>
      <c r="E1202" t="inlineStr">
        <is>
          <t>RAGUNDA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58076-2025</t>
        </is>
      </c>
      <c r="B1203" s="1" t="n">
        <v>45982.55273148148</v>
      </c>
      <c r="C1203" s="1" t="n">
        <v>46048</v>
      </c>
      <c r="D1203" t="inlineStr">
        <is>
          <t>JÄMTLANDS LÄN</t>
        </is>
      </c>
      <c r="E1203" t="inlineStr">
        <is>
          <t>RAGUNDA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57963-2025</t>
        </is>
      </c>
      <c r="B1204" s="1" t="n">
        <v>45982.37800925926</v>
      </c>
      <c r="C1204" s="1" t="n">
        <v>46048</v>
      </c>
      <c r="D1204" t="inlineStr">
        <is>
          <t>JÄMTLANDS LÄN</t>
        </is>
      </c>
      <c r="E1204" t="inlineStr">
        <is>
          <t>RAGUNDA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122-2026</t>
        </is>
      </c>
      <c r="B1205" s="1" t="n">
        <v>46024.57335648148</v>
      </c>
      <c r="C1205" s="1" t="n">
        <v>46048</v>
      </c>
      <c r="D1205" t="inlineStr">
        <is>
          <t>JÄMTLANDS LÄN</t>
        </is>
      </c>
      <c r="E1205" t="inlineStr">
        <is>
          <t>RAGUNDA</t>
        </is>
      </c>
      <c r="F1205" t="inlineStr">
        <is>
          <t>SCA</t>
        </is>
      </c>
      <c r="G1205" t="n">
        <v>15.3</v>
      </c>
      <c r="H1205" t="n">
        <v>0</v>
      </c>
      <c r="I1205" t="n">
        <v>0</v>
      </c>
      <c r="J1205" t="n">
        <v>0</v>
      </c>
      <c r="K1205" t="n">
        <v>0</v>
      </c>
      <c r="L1205" t="n">
        <v>0</v>
      </c>
      <c r="M1205" t="n">
        <v>0</v>
      </c>
      <c r="N1205" t="n">
        <v>0</v>
      </c>
      <c r="O1205" t="n">
        <v>0</v>
      </c>
      <c r="P1205" t="n">
        <v>0</v>
      </c>
      <c r="Q1205" t="n">
        <v>0</v>
      </c>
      <c r="R1205" s="2" t="inlineStr"/>
    </row>
    <row r="1206" ht="15" customHeight="1">
      <c r="A1206" t="inlineStr">
        <is>
          <t>A 265-2026</t>
        </is>
      </c>
      <c r="B1206" s="1" t="n">
        <v>46027.44956018519</v>
      </c>
      <c r="C1206" s="1" t="n">
        <v>46048</v>
      </c>
      <c r="D1206" t="inlineStr">
        <is>
          <t>JÄMTLANDS LÄN</t>
        </is>
      </c>
      <c r="E1206" t="inlineStr">
        <is>
          <t>RAGUNDA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53109-2025</t>
        </is>
      </c>
      <c r="B1207" s="1" t="n">
        <v>45958</v>
      </c>
      <c r="C1207" s="1" t="n">
        <v>46048</v>
      </c>
      <c r="D1207" t="inlineStr">
        <is>
          <t>JÄMTLANDS LÄN</t>
        </is>
      </c>
      <c r="E1207" t="inlineStr">
        <is>
          <t>RAGUNDA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58918-2025</t>
        </is>
      </c>
      <c r="B1208" s="1" t="n">
        <v>45987.52952546296</v>
      </c>
      <c r="C1208" s="1" t="n">
        <v>46048</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647-2026</t>
        </is>
      </c>
      <c r="B1209" s="1" t="n">
        <v>46029.57357638889</v>
      </c>
      <c r="C1209" s="1" t="n">
        <v>46048</v>
      </c>
      <c r="D1209" t="inlineStr">
        <is>
          <t>JÄMTLANDS LÄN</t>
        </is>
      </c>
      <c r="E1209" t="inlineStr">
        <is>
          <t>RAGUNDA</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58638-2025</t>
        </is>
      </c>
      <c r="B1210" s="1" t="n">
        <v>45986.49016203704</v>
      </c>
      <c r="C1210" s="1" t="n">
        <v>46048</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557-2026</t>
        </is>
      </c>
      <c r="B1211" s="1" t="n">
        <v>46021</v>
      </c>
      <c r="C1211" s="1" t="n">
        <v>46048</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58559-2025</t>
        </is>
      </c>
      <c r="B1212" s="1" t="n">
        <v>45986.34475694445</v>
      </c>
      <c r="C1212" s="1" t="n">
        <v>46048</v>
      </c>
      <c r="D1212" t="inlineStr">
        <is>
          <t>JÄMTLANDS LÄN</t>
        </is>
      </c>
      <c r="E1212" t="inlineStr">
        <is>
          <t>RAGUNDA</t>
        </is>
      </c>
      <c r="F1212" t="inlineStr">
        <is>
          <t>SCA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59214-2025</t>
        </is>
      </c>
      <c r="B1213" s="1" t="n">
        <v>45988.61623842592</v>
      </c>
      <c r="C1213" s="1" t="n">
        <v>46048</v>
      </c>
      <c r="D1213" t="inlineStr">
        <is>
          <t>JÄMTLANDS LÄN</t>
        </is>
      </c>
      <c r="E1213" t="inlineStr">
        <is>
          <t>RAGUNDA</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59499-2025</t>
        </is>
      </c>
      <c r="B1214" s="1" t="n">
        <v>45989.61846064815</v>
      </c>
      <c r="C1214" s="1" t="n">
        <v>46048</v>
      </c>
      <c r="D1214" t="inlineStr">
        <is>
          <t>JÄMTLANDS LÄN</t>
        </is>
      </c>
      <c r="E1214" t="inlineStr">
        <is>
          <t>RAGUNDA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59491-2025</t>
        </is>
      </c>
      <c r="B1215" s="1" t="n">
        <v>45989.60376157407</v>
      </c>
      <c r="C1215" s="1" t="n">
        <v>46048</v>
      </c>
      <c r="D1215" t="inlineStr">
        <is>
          <t>JÄMTLANDS LÄN</t>
        </is>
      </c>
      <c r="E1215" t="inlineStr">
        <is>
          <t>RAGUNDA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1333-2026</t>
        </is>
      </c>
      <c r="B1216" s="1" t="n">
        <v>46031.57340277778</v>
      </c>
      <c r="C1216" s="1" t="n">
        <v>46048</v>
      </c>
      <c r="D1216" t="inlineStr">
        <is>
          <t>JÄMTLANDS LÄN</t>
        </is>
      </c>
      <c r="E1216" t="inlineStr">
        <is>
          <t>RAGUNDA</t>
        </is>
      </c>
      <c r="F1216" t="inlineStr">
        <is>
          <t>SCA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59503-2025</t>
        </is>
      </c>
      <c r="B1217" s="1" t="n">
        <v>45989.62703703704</v>
      </c>
      <c r="C1217" s="1" t="n">
        <v>46048</v>
      </c>
      <c r="D1217" t="inlineStr">
        <is>
          <t>JÄMTLANDS LÄN</t>
        </is>
      </c>
      <c r="E1217" t="inlineStr">
        <is>
          <t>RAGUNDA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59692-2025</t>
        </is>
      </c>
      <c r="B1218" s="1" t="n">
        <v>45992.49001157407</v>
      </c>
      <c r="C1218" s="1" t="n">
        <v>46048</v>
      </c>
      <c r="D1218" t="inlineStr">
        <is>
          <t>JÄMTLANDS LÄN</t>
        </is>
      </c>
      <c r="E1218" t="inlineStr">
        <is>
          <t>RAGUNDA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59738-2025</t>
        </is>
      </c>
      <c r="B1219" s="1" t="n">
        <v>45992.57408564815</v>
      </c>
      <c r="C1219" s="1" t="n">
        <v>46048</v>
      </c>
      <c r="D1219" t="inlineStr">
        <is>
          <t>JÄMTLANDS LÄN</t>
        </is>
      </c>
      <c r="E1219" t="inlineStr">
        <is>
          <t>RAGUNDA</t>
        </is>
      </c>
      <c r="F1219" t="inlineStr">
        <is>
          <t>SCA</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59739-2025</t>
        </is>
      </c>
      <c r="B1220" s="1" t="n">
        <v>45992.57417824074</v>
      </c>
      <c r="C1220" s="1" t="n">
        <v>46048</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59740-2025</t>
        </is>
      </c>
      <c r="B1221" s="1" t="n">
        <v>45992.5743287037</v>
      </c>
      <c r="C1221" s="1" t="n">
        <v>46048</v>
      </c>
      <c r="D1221" t="inlineStr">
        <is>
          <t>JÄMTLANDS LÄN</t>
        </is>
      </c>
      <c r="E1221" t="inlineStr">
        <is>
          <t>RAGUNDA</t>
        </is>
      </c>
      <c r="F1221" t="inlineStr">
        <is>
          <t>SCA</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59931-2025</t>
        </is>
      </c>
      <c r="B1222" s="1" t="n">
        <v>45993.40177083333</v>
      </c>
      <c r="C1222" s="1" t="n">
        <v>46048</v>
      </c>
      <c r="D1222" t="inlineStr">
        <is>
          <t>JÄMTLANDS LÄN</t>
        </is>
      </c>
      <c r="E1222" t="inlineStr">
        <is>
          <t>RAGUNDA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59693-2025</t>
        </is>
      </c>
      <c r="B1223" s="1" t="n">
        <v>45992.49009259259</v>
      </c>
      <c r="C1223" s="1" t="n">
        <v>46048</v>
      </c>
      <c r="D1223" t="inlineStr">
        <is>
          <t>JÄMTLANDS LÄN</t>
        </is>
      </c>
      <c r="E1223" t="inlineStr">
        <is>
          <t>RAGUNDA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60062-2025</t>
        </is>
      </c>
      <c r="B1224" s="1" t="n">
        <v>45993.65694444445</v>
      </c>
      <c r="C1224" s="1" t="n">
        <v>46048</v>
      </c>
      <c r="D1224" t="inlineStr">
        <is>
          <t>JÄMTLANDS LÄN</t>
        </is>
      </c>
      <c r="E1224" t="inlineStr">
        <is>
          <t>RAGUNDA</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2123-2026</t>
        </is>
      </c>
      <c r="B1225" s="1" t="n">
        <v>46036.38618055556</v>
      </c>
      <c r="C1225" s="1" t="n">
        <v>46048</v>
      </c>
      <c r="D1225" t="inlineStr">
        <is>
          <t>JÄMTLANDS LÄN</t>
        </is>
      </c>
      <c r="E1225" t="inlineStr">
        <is>
          <t>RAGUNDA</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60128-2025</t>
        </is>
      </c>
      <c r="B1226" s="1" t="n">
        <v>45994.34456018519</v>
      </c>
      <c r="C1226" s="1" t="n">
        <v>46048</v>
      </c>
      <c r="D1226" t="inlineStr">
        <is>
          <t>JÄMTLANDS LÄN</t>
        </is>
      </c>
      <c r="E1226" t="inlineStr">
        <is>
          <t>RAGUNDA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2173-2026</t>
        </is>
      </c>
      <c r="B1227" s="1" t="n">
        <v>46036.44984953704</v>
      </c>
      <c r="C1227" s="1" t="n">
        <v>46048</v>
      </c>
      <c r="D1227" t="inlineStr">
        <is>
          <t>JÄMTLANDS LÄN</t>
        </is>
      </c>
      <c r="E1227" t="inlineStr">
        <is>
          <t>RAGUNDA</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62490-2025</t>
        </is>
      </c>
      <c r="B1228" s="1" t="n">
        <v>46007.5697337963</v>
      </c>
      <c r="C1228" s="1" t="n">
        <v>46048</v>
      </c>
      <c r="D1228" t="inlineStr">
        <is>
          <t>JÄMTLANDS LÄN</t>
        </is>
      </c>
      <c r="E1228" t="inlineStr">
        <is>
          <t>RAGUNDA</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2271-2026</t>
        </is>
      </c>
      <c r="B1229" s="1" t="n">
        <v>46036.57347222222</v>
      </c>
      <c r="C1229" s="1" t="n">
        <v>46048</v>
      </c>
      <c r="D1229" t="inlineStr">
        <is>
          <t>JÄMTLANDS LÄN</t>
        </is>
      </c>
      <c r="E1229" t="inlineStr">
        <is>
          <t>RAGUNDA</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60389-2025</t>
        </is>
      </c>
      <c r="B1230" s="1" t="n">
        <v>45995.38628472222</v>
      </c>
      <c r="C1230" s="1" t="n">
        <v>46048</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2282-2026</t>
        </is>
      </c>
      <c r="B1231" s="1" t="n">
        <v>46036.57798611111</v>
      </c>
      <c r="C1231" s="1" t="n">
        <v>46048</v>
      </c>
      <c r="D1231" t="inlineStr">
        <is>
          <t>JÄMTLANDS LÄN</t>
        </is>
      </c>
      <c r="E1231" t="inlineStr">
        <is>
          <t>RAGUNDA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60387-2025</t>
        </is>
      </c>
      <c r="B1232" s="1" t="n">
        <v>45995.38611111111</v>
      </c>
      <c r="C1232" s="1" t="n">
        <v>46048</v>
      </c>
      <c r="D1232" t="inlineStr">
        <is>
          <t>JÄMTLANDS LÄN</t>
        </is>
      </c>
      <c r="E1232" t="inlineStr">
        <is>
          <t>RAGUNDA</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2316-2026</t>
        </is>
      </c>
      <c r="B1233" s="1" t="n">
        <v>46036.59826388889</v>
      </c>
      <c r="C1233" s="1" t="n">
        <v>46048</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2156-2026</t>
        </is>
      </c>
      <c r="B1234" s="1" t="n">
        <v>46036.42771990741</v>
      </c>
      <c r="C1234" s="1" t="n">
        <v>46048</v>
      </c>
      <c r="D1234" t="inlineStr">
        <is>
          <t>JÄMTLANDS LÄN</t>
        </is>
      </c>
      <c r="E1234" t="inlineStr">
        <is>
          <t>RAGUNDA</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60307-2025</t>
        </is>
      </c>
      <c r="B1235" s="1" t="n">
        <v>45994.6842824074</v>
      </c>
      <c r="C1235" s="1" t="n">
        <v>46048</v>
      </c>
      <c r="D1235" t="inlineStr">
        <is>
          <t>JÄMTLANDS LÄN</t>
        </is>
      </c>
      <c r="E1235" t="inlineStr">
        <is>
          <t>RAGUNDA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2233-2026</t>
        </is>
      </c>
      <c r="B1236" s="1" t="n">
        <v>46036.53207175926</v>
      </c>
      <c r="C1236" s="1" t="n">
        <v>46048</v>
      </c>
      <c r="D1236" t="inlineStr">
        <is>
          <t>JÄMTLANDS LÄN</t>
        </is>
      </c>
      <c r="E1236" t="inlineStr">
        <is>
          <t>RAGUNDA</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60130-2025</t>
        </is>
      </c>
      <c r="B1237" s="1" t="n">
        <v>45994.34467592592</v>
      </c>
      <c r="C1237" s="1" t="n">
        <v>46048</v>
      </c>
      <c r="D1237" t="inlineStr">
        <is>
          <t>JÄMTLANDS LÄN</t>
        </is>
      </c>
      <c r="E1237" t="inlineStr">
        <is>
          <t>RAGUNDA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60775-2025</t>
        </is>
      </c>
      <c r="B1238" s="1" t="n">
        <v>45999.3905787037</v>
      </c>
      <c r="C1238" s="1" t="n">
        <v>46048</v>
      </c>
      <c r="D1238" t="inlineStr">
        <is>
          <t>JÄMTLANDS LÄN</t>
        </is>
      </c>
      <c r="E1238" t="inlineStr">
        <is>
          <t>RAGUNDA</t>
        </is>
      </c>
      <c r="G1238" t="n">
        <v>15.7</v>
      </c>
      <c r="H1238" t="n">
        <v>0</v>
      </c>
      <c r="I1238" t="n">
        <v>0</v>
      </c>
      <c r="J1238" t="n">
        <v>0</v>
      </c>
      <c r="K1238" t="n">
        <v>0</v>
      </c>
      <c r="L1238" t="n">
        <v>0</v>
      </c>
      <c r="M1238" t="n">
        <v>0</v>
      </c>
      <c r="N1238" t="n">
        <v>0</v>
      </c>
      <c r="O1238" t="n">
        <v>0</v>
      </c>
      <c r="P1238" t="n">
        <v>0</v>
      </c>
      <c r="Q1238" t="n">
        <v>0</v>
      </c>
      <c r="R1238" s="2" t="inlineStr"/>
    </row>
    <row r="1239" ht="15" customHeight="1">
      <c r="A1239" t="inlineStr">
        <is>
          <t>A 60760-2025</t>
        </is>
      </c>
      <c r="B1239" s="1" t="n">
        <v>45999.38597222222</v>
      </c>
      <c r="C1239" s="1" t="n">
        <v>46048</v>
      </c>
      <c r="D1239" t="inlineStr">
        <is>
          <t>JÄMTLANDS LÄN</t>
        </is>
      </c>
      <c r="E1239" t="inlineStr">
        <is>
          <t>RAGUNDA</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3065-2026</t>
        </is>
      </c>
      <c r="B1240" s="1" t="n">
        <v>46040.47866898148</v>
      </c>
      <c r="C1240" s="1" t="n">
        <v>46048</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60630-2025</t>
        </is>
      </c>
      <c r="B1241" s="1" t="n">
        <v>45996.42120370371</v>
      </c>
      <c r="C1241" s="1" t="n">
        <v>46048</v>
      </c>
      <c r="D1241" t="inlineStr">
        <is>
          <t>JÄMTLANDS LÄN</t>
        </is>
      </c>
      <c r="E1241" t="inlineStr">
        <is>
          <t>RAGUNDA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61233-2025</t>
        </is>
      </c>
      <c r="B1242" s="1" t="n">
        <v>46000.6359837963</v>
      </c>
      <c r="C1242" s="1" t="n">
        <v>46048</v>
      </c>
      <c r="D1242" t="inlineStr">
        <is>
          <t>JÄMTLANDS LÄN</t>
        </is>
      </c>
      <c r="E1242" t="inlineStr">
        <is>
          <t>RAGUNDA</t>
        </is>
      </c>
      <c r="F1242" t="inlineStr">
        <is>
          <t>SCA</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3561-2026</t>
        </is>
      </c>
      <c r="B1243" s="1" t="n">
        <v>46042.67142361111</v>
      </c>
      <c r="C1243" s="1" t="n">
        <v>46048</v>
      </c>
      <c r="D1243" t="inlineStr">
        <is>
          <t>JÄMTLANDS LÄN</t>
        </is>
      </c>
      <c r="E1243" t="inlineStr">
        <is>
          <t>RAGUNDA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61509-2025</t>
        </is>
      </c>
      <c r="B1244" s="1" t="n">
        <v>46001.68189814815</v>
      </c>
      <c r="C1244" s="1" t="n">
        <v>46048</v>
      </c>
      <c r="D1244" t="inlineStr">
        <is>
          <t>JÄMTLANDS LÄN</t>
        </is>
      </c>
      <c r="E1244" t="inlineStr">
        <is>
          <t>RAGUNDA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61266-2025</t>
        </is>
      </c>
      <c r="B1245" s="1" t="n">
        <v>46000.67784722222</v>
      </c>
      <c r="C1245" s="1" t="n">
        <v>46048</v>
      </c>
      <c r="D1245" t="inlineStr">
        <is>
          <t>JÄMTLANDS LÄN</t>
        </is>
      </c>
      <c r="E1245" t="inlineStr">
        <is>
          <t>RAGUNDA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3813-2026</t>
        </is>
      </c>
      <c r="B1246" s="1" t="n">
        <v>46043.58447916667</v>
      </c>
      <c r="C1246" s="1" t="n">
        <v>46048</v>
      </c>
      <c r="D1246" t="inlineStr">
        <is>
          <t>JÄMTLANDS LÄN</t>
        </is>
      </c>
      <c r="E1246" t="inlineStr">
        <is>
          <t>RAGUNDA</t>
        </is>
      </c>
      <c r="F1246" t="inlineStr">
        <is>
          <t>SCA</t>
        </is>
      </c>
      <c r="G1246" t="n">
        <v>23.2</v>
      </c>
      <c r="H1246" t="n">
        <v>0</v>
      </c>
      <c r="I1246" t="n">
        <v>0</v>
      </c>
      <c r="J1246" t="n">
        <v>0</v>
      </c>
      <c r="K1246" t="n">
        <v>0</v>
      </c>
      <c r="L1246" t="n">
        <v>0</v>
      </c>
      <c r="M1246" t="n">
        <v>0</v>
      </c>
      <c r="N1246" t="n">
        <v>0</v>
      </c>
      <c r="O1246" t="n">
        <v>0</v>
      </c>
      <c r="P1246" t="n">
        <v>0</v>
      </c>
      <c r="Q1246" t="n">
        <v>0</v>
      </c>
      <c r="R1246" s="2" t="inlineStr"/>
    </row>
    <row r="1247" ht="15" customHeight="1">
      <c r="A1247" t="inlineStr">
        <is>
          <t>A 61755-2025</t>
        </is>
      </c>
      <c r="B1247" s="1" t="n">
        <v>46002</v>
      </c>
      <c r="C1247" s="1" t="n">
        <v>46048</v>
      </c>
      <c r="D1247" t="inlineStr">
        <is>
          <t>JÄMTLANDS LÄN</t>
        </is>
      </c>
      <c r="E1247" t="inlineStr">
        <is>
          <t>RAGUNDA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4047-2026</t>
        </is>
      </c>
      <c r="B1248" s="1" t="n">
        <v>46044.46944444445</v>
      </c>
      <c r="C1248" s="1" t="n">
        <v>46048</v>
      </c>
      <c r="D1248" t="inlineStr">
        <is>
          <t>JÄMTLANDS LÄN</t>
        </is>
      </c>
      <c r="E1248" t="inlineStr">
        <is>
          <t>RAGUNDA</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4073-2026</t>
        </is>
      </c>
      <c r="B1249" s="1" t="n">
        <v>46044.53168981482</v>
      </c>
      <c r="C1249" s="1" t="n">
        <v>46048</v>
      </c>
      <c r="D1249" t="inlineStr">
        <is>
          <t>JÄMTLANDS LÄN</t>
        </is>
      </c>
      <c r="E1249" t="inlineStr">
        <is>
          <t>RAGUNDA</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3841-2026</t>
        </is>
      </c>
      <c r="B1250" s="1" t="n">
        <v>46043</v>
      </c>
      <c r="C1250" s="1" t="n">
        <v>46048</v>
      </c>
      <c r="D1250" t="inlineStr">
        <is>
          <t>JÄMTLANDS LÄN</t>
        </is>
      </c>
      <c r="E1250" t="inlineStr">
        <is>
          <t>RAGUNDA</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4142-2026</t>
        </is>
      </c>
      <c r="B1251" s="1" t="n">
        <v>46044.63607638889</v>
      </c>
      <c r="C1251" s="1" t="n">
        <v>46048</v>
      </c>
      <c r="D1251" t="inlineStr">
        <is>
          <t>JÄMTLANDS LÄN</t>
        </is>
      </c>
      <c r="E1251" t="inlineStr">
        <is>
          <t>RAGUNDA</t>
        </is>
      </c>
      <c r="F1251" t="inlineStr">
        <is>
          <t>SCA</t>
        </is>
      </c>
      <c r="G1251" t="n">
        <v>19.3</v>
      </c>
      <c r="H1251" t="n">
        <v>0</v>
      </c>
      <c r="I1251" t="n">
        <v>0</v>
      </c>
      <c r="J1251" t="n">
        <v>0</v>
      </c>
      <c r="K1251" t="n">
        <v>0</v>
      </c>
      <c r="L1251" t="n">
        <v>0</v>
      </c>
      <c r="M1251" t="n">
        <v>0</v>
      </c>
      <c r="N1251" t="n">
        <v>0</v>
      </c>
      <c r="O1251" t="n">
        <v>0</v>
      </c>
      <c r="P1251" t="n">
        <v>0</v>
      </c>
      <c r="Q1251" t="n">
        <v>0</v>
      </c>
      <c r="R1251" s="2" t="inlineStr"/>
    </row>
    <row r="1252" ht="15" customHeight="1">
      <c r="A1252" t="inlineStr">
        <is>
          <t>A 4099-2026</t>
        </is>
      </c>
      <c r="B1252" s="1" t="n">
        <v>46044.57357638889</v>
      </c>
      <c r="C1252" s="1" t="n">
        <v>46048</v>
      </c>
      <c r="D1252" t="inlineStr">
        <is>
          <t>JÄMTLANDS LÄN</t>
        </is>
      </c>
      <c r="E1252" t="inlineStr">
        <is>
          <t>RAGUNDA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61697-2025</t>
        </is>
      </c>
      <c r="B1253" s="1" t="n">
        <v>46002</v>
      </c>
      <c r="C1253" s="1" t="n">
        <v>46048</v>
      </c>
      <c r="D1253" t="inlineStr">
        <is>
          <t>JÄMTLANDS LÄN</t>
        </is>
      </c>
      <c r="E1253" t="inlineStr">
        <is>
          <t>RAGUNDA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4237-2026</t>
        </is>
      </c>
      <c r="B1254" s="1" t="n">
        <v>46044.92743055556</v>
      </c>
      <c r="C1254" s="1" t="n">
        <v>46048</v>
      </c>
      <c r="D1254" t="inlineStr">
        <is>
          <t>JÄMTLANDS LÄN</t>
        </is>
      </c>
      <c r="E1254" t="inlineStr">
        <is>
          <t>RAGUNDA</t>
        </is>
      </c>
      <c r="G1254" t="n">
        <v>1.3</v>
      </c>
      <c r="H1254" t="n">
        <v>0</v>
      </c>
      <c r="I1254" t="n">
        <v>0</v>
      </c>
      <c r="J1254" t="n">
        <v>0</v>
      </c>
      <c r="K1254" t="n">
        <v>0</v>
      </c>
      <c r="L1254" t="n">
        <v>0</v>
      </c>
      <c r="M1254" t="n">
        <v>0</v>
      </c>
      <c r="N1254" t="n">
        <v>0</v>
      </c>
      <c r="O1254" t="n">
        <v>0</v>
      </c>
      <c r="P1254" t="n">
        <v>0</v>
      </c>
      <c r="Q1254" t="n">
        <v>0</v>
      </c>
      <c r="R1254" s="2" t="inlineStr"/>
    </row>
    <row r="1255">
      <c r="A1255" t="inlineStr">
        <is>
          <t>A 4046-2026</t>
        </is>
      </c>
      <c r="B1255" s="1" t="n">
        <v>46044.46921296296</v>
      </c>
      <c r="C1255" s="1" t="n">
        <v>46048</v>
      </c>
      <c r="D1255" t="inlineStr">
        <is>
          <t>JÄMTLANDS LÄN</t>
        </is>
      </c>
      <c r="E1255" t="inlineStr">
        <is>
          <t>RAGUNDA</t>
        </is>
      </c>
      <c r="G1255" t="n">
        <v>5.3</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2026-01-26T11:02:17Z</dcterms:created>
  <dcterms:modified xmlns:dcterms="http://purl.org/dc/terms/" xmlns:xsi="http://www.w3.org/2001/XMLSchema-instance" xsi:type="dcterms:W3CDTF">2026-01-26T11:02:18Z</dcterms:modified>
</cp:coreProperties>
</file>