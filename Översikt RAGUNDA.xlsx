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45359</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45359</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45359</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45359</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45359</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45359</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45359</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45359</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45359</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45359</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45359</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45359</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45359</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45359</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45359</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45359</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45359</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45359</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45359</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45359</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45359</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45359</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45359</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45359</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45359</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45359</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45359</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45359</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45359</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45359</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45359</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45359</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45359</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45359</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45359</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45359</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45359</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45359</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45359</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45359</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45359</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45359</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45359</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45359</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45359</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45359</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45359</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45359</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45359</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45359</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45359</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45359</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45359</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45359</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45359</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45359</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45359</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45359</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45359</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45359</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45359</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45359</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45359</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45359</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45359</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45359</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45359</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45359</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45359</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45359</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45359</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45359</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45359</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45359</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45359</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45359</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45359</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45359</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45359</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45359</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45359</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45359</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45359</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45359</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45359</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45359</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45359</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45359</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45359</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45359</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45359</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45359</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45359</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27770-2019</t>
        </is>
      </c>
      <c r="B99" s="1" t="n">
        <v>43619</v>
      </c>
      <c r="C99" s="1" t="n">
        <v>45359</v>
      </c>
      <c r="D99" t="inlineStr">
        <is>
          <t>JÄMTLANDS LÄN</t>
        </is>
      </c>
      <c r="E99" t="inlineStr">
        <is>
          <t>RAGUNDA</t>
        </is>
      </c>
      <c r="F99" t="inlineStr">
        <is>
          <t>SCA</t>
        </is>
      </c>
      <c r="G99" t="n">
        <v>2.3</v>
      </c>
      <c r="H99" t="n">
        <v>0</v>
      </c>
      <c r="I99" t="n">
        <v>0</v>
      </c>
      <c r="J99" t="n">
        <v>2</v>
      </c>
      <c r="K99" t="n">
        <v>1</v>
      </c>
      <c r="L99" t="n">
        <v>0</v>
      </c>
      <c r="M99" t="n">
        <v>0</v>
      </c>
      <c r="N99" t="n">
        <v>0</v>
      </c>
      <c r="O99" t="n">
        <v>3</v>
      </c>
      <c r="P99" t="n">
        <v>1</v>
      </c>
      <c r="Q99" t="n">
        <v>3</v>
      </c>
      <c r="R99" s="2" t="inlineStr">
        <is>
          <t>Gräddporing
Lunglav
Skrovellav</t>
        </is>
      </c>
      <c r="S99">
        <f>HYPERLINK("https://klasma.github.io/Logging_2303/artfynd/A 27770-2019 artfynd.xlsx", "A 27770-2019")</f>
        <v/>
      </c>
      <c r="T99">
        <f>HYPERLINK("https://klasma.github.io/Logging_2303/kartor/A 27770-2019 karta.png", "A 27770-2019")</f>
        <v/>
      </c>
      <c r="V99">
        <f>HYPERLINK("https://klasma.github.io/Logging_2303/klagomål/A 27770-2019 FSC-klagomål.docx", "A 27770-2019")</f>
        <v/>
      </c>
      <c r="W99">
        <f>HYPERLINK("https://klasma.github.io/Logging_2303/klagomålsmail/A 27770-2019 FSC-klagomål mail.docx", "A 27770-2019")</f>
        <v/>
      </c>
      <c r="X99">
        <f>HYPERLINK("https://klasma.github.io/Logging_2303/tillsyn/A 27770-2019 tillsynsbegäran.docx", "A 27770-2019")</f>
        <v/>
      </c>
      <c r="Y99">
        <f>HYPERLINK("https://klasma.github.io/Logging_2303/tillsynsmail/A 27770-2019 tillsynsbegäran mail.docx", "A 27770-2019")</f>
        <v/>
      </c>
    </row>
    <row r="100" ht="15" customHeight="1">
      <c r="A100" t="inlineStr">
        <is>
          <t>A 68248-2019</t>
        </is>
      </c>
      <c r="B100" s="1" t="n">
        <v>43817</v>
      </c>
      <c r="C100" s="1" t="n">
        <v>45359</v>
      </c>
      <c r="D100" t="inlineStr">
        <is>
          <t>JÄMTLANDS LÄN</t>
        </is>
      </c>
      <c r="E100" t="inlineStr">
        <is>
          <t>RAGUNDA</t>
        </is>
      </c>
      <c r="G100" t="n">
        <v>9</v>
      </c>
      <c r="H100" t="n">
        <v>0</v>
      </c>
      <c r="I100" t="n">
        <v>0</v>
      </c>
      <c r="J100" t="n">
        <v>3</v>
      </c>
      <c r="K100" t="n">
        <v>0</v>
      </c>
      <c r="L100" t="n">
        <v>0</v>
      </c>
      <c r="M100" t="n">
        <v>0</v>
      </c>
      <c r="N100" t="n">
        <v>0</v>
      </c>
      <c r="O100" t="n">
        <v>3</v>
      </c>
      <c r="P100" t="n">
        <v>0</v>
      </c>
      <c r="Q100" t="n">
        <v>3</v>
      </c>
      <c r="R100" s="2" t="inlineStr">
        <is>
          <t>Garnlav
Mörk kolflarnlav
Vedskivlav</t>
        </is>
      </c>
      <c r="S100">
        <f>HYPERLINK("https://klasma.github.io/Logging_2303/artfynd/A 68248-2019 artfynd.xlsx", "A 68248-2019")</f>
        <v/>
      </c>
      <c r="T100">
        <f>HYPERLINK("https://klasma.github.io/Logging_2303/kartor/A 68248-2019 karta.png", "A 68248-2019")</f>
        <v/>
      </c>
      <c r="U100">
        <f>HYPERLINK("https://klasma.github.io/Logging_2303/knärot/A 68248-2019 karta knärot.png", "A 68248-2019")</f>
        <v/>
      </c>
      <c r="V100">
        <f>HYPERLINK("https://klasma.github.io/Logging_2303/klagomål/A 68248-2019 FSC-klagomål.docx", "A 68248-2019")</f>
        <v/>
      </c>
      <c r="W100">
        <f>HYPERLINK("https://klasma.github.io/Logging_2303/klagomålsmail/A 68248-2019 FSC-klagomål mail.docx", "A 68248-2019")</f>
        <v/>
      </c>
      <c r="X100">
        <f>HYPERLINK("https://klasma.github.io/Logging_2303/tillsyn/A 68248-2019 tillsynsbegäran.docx", "A 68248-2019")</f>
        <v/>
      </c>
      <c r="Y100">
        <f>HYPERLINK("https://klasma.github.io/Logging_2303/tillsynsmail/A 68248-2019 tillsynsbegäran mail.docx", "A 68248-2019")</f>
        <v/>
      </c>
    </row>
    <row r="101" ht="15" customHeight="1">
      <c r="A101" t="inlineStr">
        <is>
          <t>A 51010-2020</t>
        </is>
      </c>
      <c r="B101" s="1" t="n">
        <v>44111</v>
      </c>
      <c r="C101" s="1" t="n">
        <v>45359</v>
      </c>
      <c r="D101" t="inlineStr">
        <is>
          <t>JÄMTLANDS LÄN</t>
        </is>
      </c>
      <c r="E101" t="inlineStr">
        <is>
          <t>RAGUNDA</t>
        </is>
      </c>
      <c r="F101" t="inlineStr">
        <is>
          <t>SCA</t>
        </is>
      </c>
      <c r="G101" t="n">
        <v>4.1</v>
      </c>
      <c r="H101" t="n">
        <v>0</v>
      </c>
      <c r="I101" t="n">
        <v>0</v>
      </c>
      <c r="J101" t="n">
        <v>3</v>
      </c>
      <c r="K101" t="n">
        <v>0</v>
      </c>
      <c r="L101" t="n">
        <v>0</v>
      </c>
      <c r="M101" t="n">
        <v>0</v>
      </c>
      <c r="N101" t="n">
        <v>0</v>
      </c>
      <c r="O101" t="n">
        <v>3</v>
      </c>
      <c r="P101" t="n">
        <v>0</v>
      </c>
      <c r="Q101" t="n">
        <v>3</v>
      </c>
      <c r="R101" s="2" t="inlineStr">
        <is>
          <t>Garnlav
Lunglav
Ullticka</t>
        </is>
      </c>
      <c r="S101">
        <f>HYPERLINK("https://klasma.github.io/Logging_2303/artfynd/A 51010-2020 artfynd.xlsx", "A 51010-2020")</f>
        <v/>
      </c>
      <c r="T101">
        <f>HYPERLINK("https://klasma.github.io/Logging_2303/kartor/A 51010-2020 karta.png", "A 51010-2020")</f>
        <v/>
      </c>
      <c r="V101">
        <f>HYPERLINK("https://klasma.github.io/Logging_2303/klagomål/A 51010-2020 FSC-klagomål.docx", "A 51010-2020")</f>
        <v/>
      </c>
      <c r="W101">
        <f>HYPERLINK("https://klasma.github.io/Logging_2303/klagomålsmail/A 51010-2020 FSC-klagomål mail.docx", "A 51010-2020")</f>
        <v/>
      </c>
      <c r="X101">
        <f>HYPERLINK("https://klasma.github.io/Logging_2303/tillsyn/A 51010-2020 tillsynsbegäran.docx", "A 51010-2020")</f>
        <v/>
      </c>
      <c r="Y101">
        <f>HYPERLINK("https://klasma.github.io/Logging_2303/tillsynsmail/A 51010-2020 tillsynsbegäran mail.docx", "A 51010-2020")</f>
        <v/>
      </c>
    </row>
    <row r="102" ht="15" customHeight="1">
      <c r="A102" t="inlineStr">
        <is>
          <t>A 41065-2021</t>
        </is>
      </c>
      <c r="B102" s="1" t="n">
        <v>44421</v>
      </c>
      <c r="C102" s="1" t="n">
        <v>45359</v>
      </c>
      <c r="D102" t="inlineStr">
        <is>
          <t>JÄMTLANDS LÄN</t>
        </is>
      </c>
      <c r="E102" t="inlineStr">
        <is>
          <t>RAGUNDA</t>
        </is>
      </c>
      <c r="F102" t="inlineStr">
        <is>
          <t>SCA</t>
        </is>
      </c>
      <c r="G102" t="n">
        <v>1.6</v>
      </c>
      <c r="H102" t="n">
        <v>0</v>
      </c>
      <c r="I102" t="n">
        <v>1</v>
      </c>
      <c r="J102" t="n">
        <v>2</v>
      </c>
      <c r="K102" t="n">
        <v>0</v>
      </c>
      <c r="L102" t="n">
        <v>0</v>
      </c>
      <c r="M102" t="n">
        <v>0</v>
      </c>
      <c r="N102" t="n">
        <v>0</v>
      </c>
      <c r="O102" t="n">
        <v>2</v>
      </c>
      <c r="P102" t="n">
        <v>0</v>
      </c>
      <c r="Q102" t="n">
        <v>3</v>
      </c>
      <c r="R102" s="2" t="inlineStr">
        <is>
          <t>Kolflarnlav
Lunglav
Stuplav</t>
        </is>
      </c>
      <c r="S102">
        <f>HYPERLINK("https://klasma.github.io/Logging_2303/artfynd/A 41065-2021 artfynd.xlsx", "A 41065-2021")</f>
        <v/>
      </c>
      <c r="T102">
        <f>HYPERLINK("https://klasma.github.io/Logging_2303/kartor/A 41065-2021 karta.png", "A 41065-2021")</f>
        <v/>
      </c>
      <c r="V102">
        <f>HYPERLINK("https://klasma.github.io/Logging_2303/klagomål/A 41065-2021 FSC-klagomål.docx", "A 41065-2021")</f>
        <v/>
      </c>
      <c r="W102">
        <f>HYPERLINK("https://klasma.github.io/Logging_2303/klagomålsmail/A 41065-2021 FSC-klagomål mail.docx", "A 41065-2021")</f>
        <v/>
      </c>
      <c r="X102">
        <f>HYPERLINK("https://klasma.github.io/Logging_2303/tillsyn/A 41065-2021 tillsynsbegäran.docx", "A 41065-2021")</f>
        <v/>
      </c>
      <c r="Y102">
        <f>HYPERLINK("https://klasma.github.io/Logging_2303/tillsynsmail/A 41065-2021 tillsynsbegäran mail.docx", "A 41065-2021")</f>
        <v/>
      </c>
    </row>
    <row r="103" ht="15" customHeight="1">
      <c r="A103" t="inlineStr">
        <is>
          <t>A 27025-2022</t>
        </is>
      </c>
      <c r="B103" s="1" t="n">
        <v>44740</v>
      </c>
      <c r="C103" s="1" t="n">
        <v>45359</v>
      </c>
      <c r="D103" t="inlineStr">
        <is>
          <t>JÄMTLANDS LÄN</t>
        </is>
      </c>
      <c r="E103" t="inlineStr">
        <is>
          <t>RAGUNDA</t>
        </is>
      </c>
      <c r="G103" t="n">
        <v>5.8</v>
      </c>
      <c r="H103" t="n">
        <v>0</v>
      </c>
      <c r="I103" t="n">
        <v>1</v>
      </c>
      <c r="J103" t="n">
        <v>2</v>
      </c>
      <c r="K103" t="n">
        <v>0</v>
      </c>
      <c r="L103" t="n">
        <v>0</v>
      </c>
      <c r="M103" t="n">
        <v>0</v>
      </c>
      <c r="N103" t="n">
        <v>0</v>
      </c>
      <c r="O103" t="n">
        <v>2</v>
      </c>
      <c r="P103" t="n">
        <v>0</v>
      </c>
      <c r="Q103" t="n">
        <v>3</v>
      </c>
      <c r="R103" s="2" t="inlineStr">
        <is>
          <t>Blanksvart spiklav
Kortskaftad ärgspik
Dropptaggsvamp</t>
        </is>
      </c>
      <c r="S103">
        <f>HYPERLINK("https://klasma.github.io/Logging_2303/artfynd/A 27025-2022 artfynd.xlsx", "A 27025-2022")</f>
        <v/>
      </c>
      <c r="T103">
        <f>HYPERLINK("https://klasma.github.io/Logging_2303/kartor/A 27025-2022 karta.png", "A 27025-2022")</f>
        <v/>
      </c>
      <c r="V103">
        <f>HYPERLINK("https://klasma.github.io/Logging_2303/klagomål/A 27025-2022 FSC-klagomål.docx", "A 27025-2022")</f>
        <v/>
      </c>
      <c r="W103">
        <f>HYPERLINK("https://klasma.github.io/Logging_2303/klagomålsmail/A 27025-2022 FSC-klagomål mail.docx", "A 27025-2022")</f>
        <v/>
      </c>
      <c r="X103">
        <f>HYPERLINK("https://klasma.github.io/Logging_2303/tillsyn/A 27025-2022 tillsynsbegäran.docx", "A 27025-2022")</f>
        <v/>
      </c>
      <c r="Y103">
        <f>HYPERLINK("https://klasma.github.io/Logging_2303/tillsynsmail/A 27025-2022 tillsynsbegäran mail.docx", "A 27025-2022")</f>
        <v/>
      </c>
    </row>
    <row r="104" ht="15" customHeight="1">
      <c r="A104" t="inlineStr">
        <is>
          <t>A 48052-2022</t>
        </is>
      </c>
      <c r="B104" s="1" t="n">
        <v>44855</v>
      </c>
      <c r="C104" s="1" t="n">
        <v>45359</v>
      </c>
      <c r="D104" t="inlineStr">
        <is>
          <t>JÄMTLANDS LÄN</t>
        </is>
      </c>
      <c r="E104" t="inlineStr">
        <is>
          <t>RAGUNDA</t>
        </is>
      </c>
      <c r="F104" t="inlineStr">
        <is>
          <t>SCA</t>
        </is>
      </c>
      <c r="G104" t="n">
        <v>8.6</v>
      </c>
      <c r="H104" t="n">
        <v>0</v>
      </c>
      <c r="I104" t="n">
        <v>1</v>
      </c>
      <c r="J104" t="n">
        <v>2</v>
      </c>
      <c r="K104" t="n">
        <v>0</v>
      </c>
      <c r="L104" t="n">
        <v>0</v>
      </c>
      <c r="M104" t="n">
        <v>0</v>
      </c>
      <c r="N104" t="n">
        <v>0</v>
      </c>
      <c r="O104" t="n">
        <v>2</v>
      </c>
      <c r="P104" t="n">
        <v>0</v>
      </c>
      <c r="Q104" t="n">
        <v>3</v>
      </c>
      <c r="R104" s="2" t="inlineStr">
        <is>
          <t>Lunglav
Ullticka
Stuplav</t>
        </is>
      </c>
      <c r="S104">
        <f>HYPERLINK("https://klasma.github.io/Logging_2303/artfynd/A 48052-2022 artfynd.xlsx", "A 48052-2022")</f>
        <v/>
      </c>
      <c r="T104">
        <f>HYPERLINK("https://klasma.github.io/Logging_2303/kartor/A 48052-2022 karta.png", "A 48052-2022")</f>
        <v/>
      </c>
      <c r="V104">
        <f>HYPERLINK("https://klasma.github.io/Logging_2303/klagomål/A 48052-2022 FSC-klagomål.docx", "A 48052-2022")</f>
        <v/>
      </c>
      <c r="W104">
        <f>HYPERLINK("https://klasma.github.io/Logging_2303/klagomålsmail/A 48052-2022 FSC-klagomål mail.docx", "A 48052-2022")</f>
        <v/>
      </c>
      <c r="X104">
        <f>HYPERLINK("https://klasma.github.io/Logging_2303/tillsyn/A 48052-2022 tillsynsbegäran.docx", "A 48052-2022")</f>
        <v/>
      </c>
      <c r="Y104">
        <f>HYPERLINK("https://klasma.github.io/Logging_2303/tillsynsmail/A 48052-2022 tillsynsbegäran mail.docx", "A 48052-2022")</f>
        <v/>
      </c>
    </row>
    <row r="105" ht="15" customHeight="1">
      <c r="A105" t="inlineStr">
        <is>
          <t>A 48054-2022</t>
        </is>
      </c>
      <c r="B105" s="1" t="n">
        <v>44855</v>
      </c>
      <c r="C105" s="1" t="n">
        <v>45359</v>
      </c>
      <c r="D105" t="inlineStr">
        <is>
          <t>JÄMTLANDS LÄN</t>
        </is>
      </c>
      <c r="E105" t="inlineStr">
        <is>
          <t>RAGUNDA</t>
        </is>
      </c>
      <c r="F105" t="inlineStr">
        <is>
          <t>SCA</t>
        </is>
      </c>
      <c r="G105" t="n">
        <v>1.5</v>
      </c>
      <c r="H105" t="n">
        <v>2</v>
      </c>
      <c r="I105" t="n">
        <v>0</v>
      </c>
      <c r="J105" t="n">
        <v>1</v>
      </c>
      <c r="K105" t="n">
        <v>1</v>
      </c>
      <c r="L105" t="n">
        <v>0</v>
      </c>
      <c r="M105" t="n">
        <v>0</v>
      </c>
      <c r="N105" t="n">
        <v>0</v>
      </c>
      <c r="O105" t="n">
        <v>2</v>
      </c>
      <c r="P105" t="n">
        <v>1</v>
      </c>
      <c r="Q105" t="n">
        <v>3</v>
      </c>
      <c r="R105" s="2" t="inlineStr">
        <is>
          <t>Knärot
Lunglav
Blåsippa</t>
        </is>
      </c>
      <c r="S105">
        <f>HYPERLINK("https://klasma.github.io/Logging_2303/artfynd/A 48054-2022 artfynd.xlsx", "A 48054-2022")</f>
        <v/>
      </c>
      <c r="T105">
        <f>HYPERLINK("https://klasma.github.io/Logging_2303/kartor/A 48054-2022 karta.png", "A 48054-2022")</f>
        <v/>
      </c>
      <c r="U105">
        <f>HYPERLINK("https://klasma.github.io/Logging_2303/knärot/A 48054-2022 karta knärot.png", "A 48054-2022")</f>
        <v/>
      </c>
      <c r="V105">
        <f>HYPERLINK("https://klasma.github.io/Logging_2303/klagomål/A 48054-2022 FSC-klagomål.docx", "A 48054-2022")</f>
        <v/>
      </c>
      <c r="W105">
        <f>HYPERLINK("https://klasma.github.io/Logging_2303/klagomålsmail/A 48054-2022 FSC-klagomål mail.docx", "A 48054-2022")</f>
        <v/>
      </c>
      <c r="X105">
        <f>HYPERLINK("https://klasma.github.io/Logging_2303/tillsyn/A 48054-2022 tillsynsbegäran.docx", "A 48054-2022")</f>
        <v/>
      </c>
      <c r="Y105">
        <f>HYPERLINK("https://klasma.github.io/Logging_2303/tillsynsmail/A 48054-2022 tillsynsbegäran mail.docx", "A 48054-2022")</f>
        <v/>
      </c>
    </row>
    <row r="106" ht="15" customHeight="1">
      <c r="A106" t="inlineStr">
        <is>
          <t>A 53022-2022</t>
        </is>
      </c>
      <c r="B106" s="1" t="n">
        <v>44875</v>
      </c>
      <c r="C106" s="1" t="n">
        <v>45359</v>
      </c>
      <c r="D106" t="inlineStr">
        <is>
          <t>JÄMTLANDS LÄN</t>
        </is>
      </c>
      <c r="E106" t="inlineStr">
        <is>
          <t>RAGUNDA</t>
        </is>
      </c>
      <c r="F106" t="inlineStr">
        <is>
          <t>SCA</t>
        </is>
      </c>
      <c r="G106" t="n">
        <v>2.7</v>
      </c>
      <c r="H106" t="n">
        <v>0</v>
      </c>
      <c r="I106" t="n">
        <v>1</v>
      </c>
      <c r="J106" t="n">
        <v>2</v>
      </c>
      <c r="K106" t="n">
        <v>0</v>
      </c>
      <c r="L106" t="n">
        <v>0</v>
      </c>
      <c r="M106" t="n">
        <v>0</v>
      </c>
      <c r="N106" t="n">
        <v>0</v>
      </c>
      <c r="O106" t="n">
        <v>2</v>
      </c>
      <c r="P106" t="n">
        <v>0</v>
      </c>
      <c r="Q106" t="n">
        <v>3</v>
      </c>
      <c r="R106" s="2" t="inlineStr">
        <is>
          <t>Garnlav
Lunglav
Dropptaggsvamp</t>
        </is>
      </c>
      <c r="S106">
        <f>HYPERLINK("https://klasma.github.io/Logging_2303/artfynd/A 53022-2022 artfynd.xlsx", "A 53022-2022")</f>
        <v/>
      </c>
      <c r="T106">
        <f>HYPERLINK("https://klasma.github.io/Logging_2303/kartor/A 53022-2022 karta.png", "A 53022-2022")</f>
        <v/>
      </c>
      <c r="V106">
        <f>HYPERLINK("https://klasma.github.io/Logging_2303/klagomål/A 53022-2022 FSC-klagomål.docx", "A 53022-2022")</f>
        <v/>
      </c>
      <c r="W106">
        <f>HYPERLINK("https://klasma.github.io/Logging_2303/klagomålsmail/A 53022-2022 FSC-klagomål mail.docx", "A 53022-2022")</f>
        <v/>
      </c>
      <c r="X106">
        <f>HYPERLINK("https://klasma.github.io/Logging_2303/tillsyn/A 53022-2022 tillsynsbegäran.docx", "A 53022-2022")</f>
        <v/>
      </c>
      <c r="Y106">
        <f>HYPERLINK("https://klasma.github.io/Logging_2303/tillsynsmail/A 53022-2022 tillsynsbegäran mail.docx", "A 53022-2022")</f>
        <v/>
      </c>
    </row>
    <row r="107" ht="15" customHeight="1">
      <c r="A107" t="inlineStr">
        <is>
          <t>A 58737-2022</t>
        </is>
      </c>
      <c r="B107" s="1" t="n">
        <v>44902</v>
      </c>
      <c r="C107" s="1" t="n">
        <v>45359</v>
      </c>
      <c r="D107" t="inlineStr">
        <is>
          <t>JÄMTLANDS LÄN</t>
        </is>
      </c>
      <c r="E107" t="inlineStr">
        <is>
          <t>RAGUNDA</t>
        </is>
      </c>
      <c r="F107" t="inlineStr">
        <is>
          <t>SCA</t>
        </is>
      </c>
      <c r="G107" t="n">
        <v>2.7</v>
      </c>
      <c r="H107" t="n">
        <v>0</v>
      </c>
      <c r="I107" t="n">
        <v>2</v>
      </c>
      <c r="J107" t="n">
        <v>1</v>
      </c>
      <c r="K107" t="n">
        <v>0</v>
      </c>
      <c r="L107" t="n">
        <v>0</v>
      </c>
      <c r="M107" t="n">
        <v>0</v>
      </c>
      <c r="N107" t="n">
        <v>0</v>
      </c>
      <c r="O107" t="n">
        <v>1</v>
      </c>
      <c r="P107" t="n">
        <v>0</v>
      </c>
      <c r="Q107" t="n">
        <v>3</v>
      </c>
      <c r="R107" s="2" t="inlineStr">
        <is>
          <t>Garnlav
Källmossor
Stuplav</t>
        </is>
      </c>
      <c r="S107">
        <f>HYPERLINK("https://klasma.github.io/Logging_2303/artfynd/A 58737-2022 artfynd.xlsx", "A 58737-2022")</f>
        <v/>
      </c>
      <c r="T107">
        <f>HYPERLINK("https://klasma.github.io/Logging_2303/kartor/A 58737-2022 karta.png", "A 58737-2022")</f>
        <v/>
      </c>
      <c r="V107">
        <f>HYPERLINK("https://klasma.github.io/Logging_2303/klagomål/A 58737-2022 FSC-klagomål.docx", "A 58737-2022")</f>
        <v/>
      </c>
      <c r="W107">
        <f>HYPERLINK("https://klasma.github.io/Logging_2303/klagomålsmail/A 58737-2022 FSC-klagomål mail.docx", "A 58737-2022")</f>
        <v/>
      </c>
      <c r="X107">
        <f>HYPERLINK("https://klasma.github.io/Logging_2303/tillsyn/A 58737-2022 tillsynsbegäran.docx", "A 58737-2022")</f>
        <v/>
      </c>
      <c r="Y107">
        <f>HYPERLINK("https://klasma.github.io/Logging_2303/tillsynsmail/A 58737-2022 tillsynsbegäran mail.docx", "A 58737-2022")</f>
        <v/>
      </c>
    </row>
    <row r="108" ht="15" customHeight="1">
      <c r="A108" t="inlineStr">
        <is>
          <t>A 7519-2023</t>
        </is>
      </c>
      <c r="B108" s="1" t="n">
        <v>44971</v>
      </c>
      <c r="C108" s="1" t="n">
        <v>45359</v>
      </c>
      <c r="D108" t="inlineStr">
        <is>
          <t>JÄMTLANDS LÄN</t>
        </is>
      </c>
      <c r="E108" t="inlineStr">
        <is>
          <t>RAGUNDA</t>
        </is>
      </c>
      <c r="F108" t="inlineStr">
        <is>
          <t>SCA</t>
        </is>
      </c>
      <c r="G108" t="n">
        <v>3.2</v>
      </c>
      <c r="H108" t="n">
        <v>0</v>
      </c>
      <c r="I108" t="n">
        <v>1</v>
      </c>
      <c r="J108" t="n">
        <v>2</v>
      </c>
      <c r="K108" t="n">
        <v>0</v>
      </c>
      <c r="L108" t="n">
        <v>0</v>
      </c>
      <c r="M108" t="n">
        <v>0</v>
      </c>
      <c r="N108" t="n">
        <v>0</v>
      </c>
      <c r="O108" t="n">
        <v>2</v>
      </c>
      <c r="P108" t="n">
        <v>0</v>
      </c>
      <c r="Q108" t="n">
        <v>3</v>
      </c>
      <c r="R108" s="2" t="inlineStr">
        <is>
          <t>Granticka
Lunglav
Stor aspticka</t>
        </is>
      </c>
      <c r="S108">
        <f>HYPERLINK("https://klasma.github.io/Logging_2303/artfynd/A 7519-2023 artfynd.xlsx", "A 7519-2023")</f>
        <v/>
      </c>
      <c r="T108">
        <f>HYPERLINK("https://klasma.github.io/Logging_2303/kartor/A 7519-2023 karta.png", "A 7519-2023")</f>
        <v/>
      </c>
      <c r="V108">
        <f>HYPERLINK("https://klasma.github.io/Logging_2303/klagomål/A 7519-2023 FSC-klagomål.docx", "A 7519-2023")</f>
        <v/>
      </c>
      <c r="W108">
        <f>HYPERLINK("https://klasma.github.io/Logging_2303/klagomålsmail/A 7519-2023 FSC-klagomål mail.docx", "A 7519-2023")</f>
        <v/>
      </c>
      <c r="X108">
        <f>HYPERLINK("https://klasma.github.io/Logging_2303/tillsyn/A 7519-2023 tillsynsbegäran.docx", "A 7519-2023")</f>
        <v/>
      </c>
      <c r="Y108">
        <f>HYPERLINK("https://klasma.github.io/Logging_2303/tillsynsmail/A 7519-2023 tillsynsbegäran mail.docx", "A 7519-2023")</f>
        <v/>
      </c>
    </row>
    <row r="109" ht="15" customHeight="1">
      <c r="A109" t="inlineStr">
        <is>
          <t>A 10531-2023</t>
        </is>
      </c>
      <c r="B109" s="1" t="n">
        <v>44987</v>
      </c>
      <c r="C109" s="1" t="n">
        <v>45359</v>
      </c>
      <c r="D109" t="inlineStr">
        <is>
          <t>JÄMTLANDS LÄN</t>
        </is>
      </c>
      <c r="E109" t="inlineStr">
        <is>
          <t>RAGUNDA</t>
        </is>
      </c>
      <c r="G109" t="n">
        <v>27.1</v>
      </c>
      <c r="H109" t="n">
        <v>0</v>
      </c>
      <c r="I109" t="n">
        <v>1</v>
      </c>
      <c r="J109" t="n">
        <v>2</v>
      </c>
      <c r="K109" t="n">
        <v>0</v>
      </c>
      <c r="L109" t="n">
        <v>0</v>
      </c>
      <c r="M109" t="n">
        <v>0</v>
      </c>
      <c r="N109" t="n">
        <v>0</v>
      </c>
      <c r="O109" t="n">
        <v>2</v>
      </c>
      <c r="P109" t="n">
        <v>0</v>
      </c>
      <c r="Q109" t="n">
        <v>3</v>
      </c>
      <c r="R109" s="2" t="inlineStr">
        <is>
          <t>Blanksvart spiklav
Stiftgelélav
Dropptaggsvamp</t>
        </is>
      </c>
      <c r="S109">
        <f>HYPERLINK("https://klasma.github.io/Logging_2303/artfynd/A 10531-2023 artfynd.xlsx", "A 10531-2023")</f>
        <v/>
      </c>
      <c r="T109">
        <f>HYPERLINK("https://klasma.github.io/Logging_2303/kartor/A 10531-2023 karta.png", "A 10531-2023")</f>
        <v/>
      </c>
      <c r="U109">
        <f>HYPERLINK("https://klasma.github.io/Logging_2303/knärot/A 10531-2023 karta knärot.png", "A 10531-2023")</f>
        <v/>
      </c>
      <c r="V109">
        <f>HYPERLINK("https://klasma.github.io/Logging_2303/klagomål/A 10531-2023 FSC-klagomål.docx", "A 10531-2023")</f>
        <v/>
      </c>
      <c r="W109">
        <f>HYPERLINK("https://klasma.github.io/Logging_2303/klagomålsmail/A 10531-2023 FSC-klagomål mail.docx", "A 10531-2023")</f>
        <v/>
      </c>
      <c r="X109">
        <f>HYPERLINK("https://klasma.github.io/Logging_2303/tillsyn/A 10531-2023 tillsynsbegäran.docx", "A 10531-2023")</f>
        <v/>
      </c>
      <c r="Y109">
        <f>HYPERLINK("https://klasma.github.io/Logging_2303/tillsynsmail/A 10531-2023 tillsynsbegäran mail.docx", "A 10531-2023")</f>
        <v/>
      </c>
    </row>
    <row r="110" ht="15" customHeight="1">
      <c r="A110" t="inlineStr">
        <is>
          <t>A 15368-2023</t>
        </is>
      </c>
      <c r="B110" s="1" t="n">
        <v>45016</v>
      </c>
      <c r="C110" s="1" t="n">
        <v>45359</v>
      </c>
      <c r="D110" t="inlineStr">
        <is>
          <t>JÄMTLANDS LÄN</t>
        </is>
      </c>
      <c r="E110" t="inlineStr">
        <is>
          <t>RAGUNDA</t>
        </is>
      </c>
      <c r="G110" t="n">
        <v>13</v>
      </c>
      <c r="H110" t="n">
        <v>0</v>
      </c>
      <c r="I110" t="n">
        <v>0</v>
      </c>
      <c r="J110" t="n">
        <v>3</v>
      </c>
      <c r="K110" t="n">
        <v>0</v>
      </c>
      <c r="L110" t="n">
        <v>0</v>
      </c>
      <c r="M110" t="n">
        <v>0</v>
      </c>
      <c r="N110" t="n">
        <v>0</v>
      </c>
      <c r="O110" t="n">
        <v>3</v>
      </c>
      <c r="P110" t="n">
        <v>0</v>
      </c>
      <c r="Q110" t="n">
        <v>3</v>
      </c>
      <c r="R110" s="2" t="inlineStr">
        <is>
          <t>Lunglav
Rosenticka
Ullticka</t>
        </is>
      </c>
      <c r="S110">
        <f>HYPERLINK("https://klasma.github.io/Logging_2303/artfynd/A 15368-2023 artfynd.xlsx", "A 15368-2023")</f>
        <v/>
      </c>
      <c r="T110">
        <f>HYPERLINK("https://klasma.github.io/Logging_2303/kartor/A 15368-2023 karta.png", "A 15368-2023")</f>
        <v/>
      </c>
      <c r="V110">
        <f>HYPERLINK("https://klasma.github.io/Logging_2303/klagomål/A 15368-2023 FSC-klagomål.docx", "A 15368-2023")</f>
        <v/>
      </c>
      <c r="W110">
        <f>HYPERLINK("https://klasma.github.io/Logging_2303/klagomålsmail/A 15368-2023 FSC-klagomål mail.docx", "A 15368-2023")</f>
        <v/>
      </c>
      <c r="X110">
        <f>HYPERLINK("https://klasma.github.io/Logging_2303/tillsyn/A 15368-2023 tillsynsbegäran.docx", "A 15368-2023")</f>
        <v/>
      </c>
      <c r="Y110">
        <f>HYPERLINK("https://klasma.github.io/Logging_2303/tillsynsmail/A 15368-2023 tillsynsbegäran mail.docx", "A 15368-2023")</f>
        <v/>
      </c>
    </row>
    <row r="111" ht="15" customHeight="1">
      <c r="A111" t="inlineStr">
        <is>
          <t>A 19439-2023</t>
        </is>
      </c>
      <c r="B111" s="1" t="n">
        <v>45049</v>
      </c>
      <c r="C111" s="1" t="n">
        <v>45359</v>
      </c>
      <c r="D111" t="inlineStr">
        <is>
          <t>JÄMTLANDS LÄN</t>
        </is>
      </c>
      <c r="E111" t="inlineStr">
        <is>
          <t>RAGUNDA</t>
        </is>
      </c>
      <c r="F111" t="inlineStr">
        <is>
          <t>SCA</t>
        </is>
      </c>
      <c r="G111" t="n">
        <v>1.7</v>
      </c>
      <c r="H111" t="n">
        <v>2</v>
      </c>
      <c r="I111" t="n">
        <v>0</v>
      </c>
      <c r="J111" t="n">
        <v>1</v>
      </c>
      <c r="K111" t="n">
        <v>0</v>
      </c>
      <c r="L111" t="n">
        <v>0</v>
      </c>
      <c r="M111" t="n">
        <v>0</v>
      </c>
      <c r="N111" t="n">
        <v>0</v>
      </c>
      <c r="O111" t="n">
        <v>1</v>
      </c>
      <c r="P111" t="n">
        <v>0</v>
      </c>
      <c r="Q111" t="n">
        <v>3</v>
      </c>
      <c r="R111" s="2" t="inlineStr">
        <is>
          <t>Lunglav
Nattviol
Blåsippa</t>
        </is>
      </c>
      <c r="S111">
        <f>HYPERLINK("https://klasma.github.io/Logging_2303/artfynd/A 19439-2023 artfynd.xlsx", "A 19439-2023")</f>
        <v/>
      </c>
      <c r="T111">
        <f>HYPERLINK("https://klasma.github.io/Logging_2303/kartor/A 19439-2023 karta.png", "A 19439-2023")</f>
        <v/>
      </c>
      <c r="V111">
        <f>HYPERLINK("https://klasma.github.io/Logging_2303/klagomål/A 19439-2023 FSC-klagomål.docx", "A 19439-2023")</f>
        <v/>
      </c>
      <c r="W111">
        <f>HYPERLINK("https://klasma.github.io/Logging_2303/klagomålsmail/A 19439-2023 FSC-klagomål mail.docx", "A 19439-2023")</f>
        <v/>
      </c>
      <c r="X111">
        <f>HYPERLINK("https://klasma.github.io/Logging_2303/tillsyn/A 19439-2023 tillsynsbegäran.docx", "A 19439-2023")</f>
        <v/>
      </c>
      <c r="Y111">
        <f>HYPERLINK("https://klasma.github.io/Logging_2303/tillsynsmail/A 19439-2023 tillsynsbegäran mail.docx", "A 19439-2023")</f>
        <v/>
      </c>
    </row>
    <row r="112" ht="15" customHeight="1">
      <c r="A112" t="inlineStr">
        <is>
          <t>A 22730-2023</t>
        </is>
      </c>
      <c r="B112" s="1" t="n">
        <v>45071</v>
      </c>
      <c r="C112" s="1" t="n">
        <v>45359</v>
      </c>
      <c r="D112" t="inlineStr">
        <is>
          <t>JÄMTLANDS LÄN</t>
        </is>
      </c>
      <c r="E112" t="inlineStr">
        <is>
          <t>RAGUNDA</t>
        </is>
      </c>
      <c r="G112" t="n">
        <v>3.6</v>
      </c>
      <c r="H112" t="n">
        <v>0</v>
      </c>
      <c r="I112" t="n">
        <v>0</v>
      </c>
      <c r="J112" t="n">
        <v>3</v>
      </c>
      <c r="K112" t="n">
        <v>0</v>
      </c>
      <c r="L112" t="n">
        <v>0</v>
      </c>
      <c r="M112" t="n">
        <v>0</v>
      </c>
      <c r="N112" t="n">
        <v>0</v>
      </c>
      <c r="O112" t="n">
        <v>3</v>
      </c>
      <c r="P112" t="n">
        <v>0</v>
      </c>
      <c r="Q112" t="n">
        <v>3</v>
      </c>
      <c r="R112" s="2" t="inlineStr">
        <is>
          <t>Garnlav
Lunglav
Vitgrynig nållav</t>
        </is>
      </c>
      <c r="S112">
        <f>HYPERLINK("https://klasma.github.io/Logging_2303/artfynd/A 22730-2023 artfynd.xlsx", "A 22730-2023")</f>
        <v/>
      </c>
      <c r="T112">
        <f>HYPERLINK("https://klasma.github.io/Logging_2303/kartor/A 22730-2023 karta.png", "A 22730-2023")</f>
        <v/>
      </c>
      <c r="V112">
        <f>HYPERLINK("https://klasma.github.io/Logging_2303/klagomål/A 22730-2023 FSC-klagomål.docx", "A 22730-2023")</f>
        <v/>
      </c>
      <c r="W112">
        <f>HYPERLINK("https://klasma.github.io/Logging_2303/klagomålsmail/A 22730-2023 FSC-klagomål mail.docx", "A 22730-2023")</f>
        <v/>
      </c>
      <c r="X112">
        <f>HYPERLINK("https://klasma.github.io/Logging_2303/tillsyn/A 22730-2023 tillsynsbegäran.docx", "A 22730-2023")</f>
        <v/>
      </c>
      <c r="Y112">
        <f>HYPERLINK("https://klasma.github.io/Logging_2303/tillsynsmail/A 22730-2023 tillsynsbegäran mail.docx", "A 22730-2023")</f>
        <v/>
      </c>
    </row>
    <row r="113" ht="15" customHeight="1">
      <c r="A113" t="inlineStr">
        <is>
          <t>A 28178-2023</t>
        </is>
      </c>
      <c r="B113" s="1" t="n">
        <v>45093</v>
      </c>
      <c r="C113" s="1" t="n">
        <v>45359</v>
      </c>
      <c r="D113" t="inlineStr">
        <is>
          <t>JÄMTLANDS LÄN</t>
        </is>
      </c>
      <c r="E113" t="inlineStr">
        <is>
          <t>RAGUNDA</t>
        </is>
      </c>
      <c r="G113" t="n">
        <v>5.6</v>
      </c>
      <c r="H113" t="n">
        <v>0</v>
      </c>
      <c r="I113" t="n">
        <v>0</v>
      </c>
      <c r="J113" t="n">
        <v>3</v>
      </c>
      <c r="K113" t="n">
        <v>0</v>
      </c>
      <c r="L113" t="n">
        <v>0</v>
      </c>
      <c r="M113" t="n">
        <v>0</v>
      </c>
      <c r="N113" t="n">
        <v>0</v>
      </c>
      <c r="O113" t="n">
        <v>3</v>
      </c>
      <c r="P113" t="n">
        <v>0</v>
      </c>
      <c r="Q113" t="n">
        <v>3</v>
      </c>
      <c r="R113" s="2" t="inlineStr">
        <is>
          <t>Garnlav
Gultoppig fingersvamp
Violettgrå tagellav</t>
        </is>
      </c>
      <c r="S113">
        <f>HYPERLINK("https://klasma.github.io/Logging_2303/artfynd/A 28178-2023 artfynd.xlsx", "A 28178-2023")</f>
        <v/>
      </c>
      <c r="T113">
        <f>HYPERLINK("https://klasma.github.io/Logging_2303/kartor/A 28178-2023 karta.png", "A 28178-2023")</f>
        <v/>
      </c>
      <c r="V113">
        <f>HYPERLINK("https://klasma.github.io/Logging_2303/klagomål/A 28178-2023 FSC-klagomål.docx", "A 28178-2023")</f>
        <v/>
      </c>
      <c r="W113">
        <f>HYPERLINK("https://klasma.github.io/Logging_2303/klagomålsmail/A 28178-2023 FSC-klagomål mail.docx", "A 28178-2023")</f>
        <v/>
      </c>
      <c r="X113">
        <f>HYPERLINK("https://klasma.github.io/Logging_2303/tillsyn/A 28178-2023 tillsynsbegäran.docx", "A 28178-2023")</f>
        <v/>
      </c>
      <c r="Y113">
        <f>HYPERLINK("https://klasma.github.io/Logging_2303/tillsynsmail/A 28178-2023 tillsynsbegäran mail.docx", "A 28178-2023")</f>
        <v/>
      </c>
    </row>
    <row r="114" ht="15" customHeight="1">
      <c r="A114" t="inlineStr">
        <is>
          <t>A 36504-2023</t>
        </is>
      </c>
      <c r="B114" s="1" t="n">
        <v>45152</v>
      </c>
      <c r="C114" s="1" t="n">
        <v>45359</v>
      </c>
      <c r="D114" t="inlineStr">
        <is>
          <t>JÄMTLANDS LÄN</t>
        </is>
      </c>
      <c r="E114" t="inlineStr">
        <is>
          <t>RAGUNDA</t>
        </is>
      </c>
      <c r="F114" t="inlineStr">
        <is>
          <t>SCA</t>
        </is>
      </c>
      <c r="G114" t="n">
        <v>2</v>
      </c>
      <c r="H114" t="n">
        <v>0</v>
      </c>
      <c r="I114" t="n">
        <v>0</v>
      </c>
      <c r="J114" t="n">
        <v>3</v>
      </c>
      <c r="K114" t="n">
        <v>0</v>
      </c>
      <c r="L114" t="n">
        <v>0</v>
      </c>
      <c r="M114" t="n">
        <v>0</v>
      </c>
      <c r="N114" t="n">
        <v>0</v>
      </c>
      <c r="O114" t="n">
        <v>3</v>
      </c>
      <c r="P114" t="n">
        <v>0</v>
      </c>
      <c r="Q114" t="n">
        <v>3</v>
      </c>
      <c r="R114" s="2" t="inlineStr">
        <is>
          <t>Gammelgransskål
Garnlav
Granticka</t>
        </is>
      </c>
      <c r="S114">
        <f>HYPERLINK("https://klasma.github.io/Logging_2303/artfynd/A 36504-2023 artfynd.xlsx", "A 36504-2023")</f>
        <v/>
      </c>
      <c r="T114">
        <f>HYPERLINK("https://klasma.github.io/Logging_2303/kartor/A 36504-2023 karta.png", "A 36504-2023")</f>
        <v/>
      </c>
      <c r="V114">
        <f>HYPERLINK("https://klasma.github.io/Logging_2303/klagomål/A 36504-2023 FSC-klagomål.docx", "A 36504-2023")</f>
        <v/>
      </c>
      <c r="W114">
        <f>HYPERLINK("https://klasma.github.io/Logging_2303/klagomålsmail/A 36504-2023 FSC-klagomål mail.docx", "A 36504-2023")</f>
        <v/>
      </c>
      <c r="X114">
        <f>HYPERLINK("https://klasma.github.io/Logging_2303/tillsyn/A 36504-2023 tillsynsbegäran.docx", "A 36504-2023")</f>
        <v/>
      </c>
      <c r="Y114">
        <f>HYPERLINK("https://klasma.github.io/Logging_2303/tillsynsmail/A 36504-2023 tillsynsbegäran mail.docx", "A 36504-2023")</f>
        <v/>
      </c>
    </row>
    <row r="115" ht="15" customHeight="1">
      <c r="A115" t="inlineStr">
        <is>
          <t>A 36756-2023</t>
        </is>
      </c>
      <c r="B115" s="1" t="n">
        <v>45153</v>
      </c>
      <c r="C115" s="1" t="n">
        <v>45359</v>
      </c>
      <c r="D115" t="inlineStr">
        <is>
          <t>JÄMTLANDS LÄN</t>
        </is>
      </c>
      <c r="E115" t="inlineStr">
        <is>
          <t>RAGUNDA</t>
        </is>
      </c>
      <c r="G115" t="n">
        <v>8.5</v>
      </c>
      <c r="H115" t="n">
        <v>2</v>
      </c>
      <c r="I115" t="n">
        <v>0</v>
      </c>
      <c r="J115" t="n">
        <v>3</v>
      </c>
      <c r="K115" t="n">
        <v>0</v>
      </c>
      <c r="L115" t="n">
        <v>0</v>
      </c>
      <c r="M115" t="n">
        <v>0</v>
      </c>
      <c r="N115" t="n">
        <v>0</v>
      </c>
      <c r="O115" t="n">
        <v>3</v>
      </c>
      <c r="P115" t="n">
        <v>0</v>
      </c>
      <c r="Q115" t="n">
        <v>3</v>
      </c>
      <c r="R115" s="2" t="inlineStr">
        <is>
          <t>Granticka
Spillkråka
Tretåig hackspett</t>
        </is>
      </c>
      <c r="S115">
        <f>HYPERLINK("https://klasma.github.io/Logging_2303/artfynd/A 36756-2023 artfynd.xlsx", "A 36756-2023")</f>
        <v/>
      </c>
      <c r="T115">
        <f>HYPERLINK("https://klasma.github.io/Logging_2303/kartor/A 36756-2023 karta.png", "A 36756-2023")</f>
        <v/>
      </c>
      <c r="V115">
        <f>HYPERLINK("https://klasma.github.io/Logging_2303/klagomål/A 36756-2023 FSC-klagomål.docx", "A 36756-2023")</f>
        <v/>
      </c>
      <c r="W115">
        <f>HYPERLINK("https://klasma.github.io/Logging_2303/klagomålsmail/A 36756-2023 FSC-klagomål mail.docx", "A 36756-2023")</f>
        <v/>
      </c>
      <c r="X115">
        <f>HYPERLINK("https://klasma.github.io/Logging_2303/tillsyn/A 36756-2023 tillsynsbegäran.docx", "A 36756-2023")</f>
        <v/>
      </c>
      <c r="Y115">
        <f>HYPERLINK("https://klasma.github.io/Logging_2303/tillsynsmail/A 36756-2023 tillsynsbegäran mail.docx", "A 36756-2023")</f>
        <v/>
      </c>
      <c r="Z115">
        <f>HYPERLINK("https://klasma.github.io/Logging_2303/fåglar/A 36756-2023 prioriterade fågelarter.docx", "A 36756-2023")</f>
        <v/>
      </c>
    </row>
    <row r="116" ht="15" customHeight="1">
      <c r="A116" t="inlineStr">
        <is>
          <t>A 37235-2023</t>
        </is>
      </c>
      <c r="B116" s="1" t="n">
        <v>45155</v>
      </c>
      <c r="C116" s="1" t="n">
        <v>45359</v>
      </c>
      <c r="D116" t="inlineStr">
        <is>
          <t>JÄMTLANDS LÄN</t>
        </is>
      </c>
      <c r="E116" t="inlineStr">
        <is>
          <t>RAGUNDA</t>
        </is>
      </c>
      <c r="F116" t="inlineStr">
        <is>
          <t>SCA</t>
        </is>
      </c>
      <c r="G116" t="n">
        <v>12.4</v>
      </c>
      <c r="H116" t="n">
        <v>3</v>
      </c>
      <c r="I116" t="n">
        <v>1</v>
      </c>
      <c r="J116" t="n">
        <v>0</v>
      </c>
      <c r="K116" t="n">
        <v>1</v>
      </c>
      <c r="L116" t="n">
        <v>0</v>
      </c>
      <c r="M116" t="n">
        <v>0</v>
      </c>
      <c r="N116" t="n">
        <v>0</v>
      </c>
      <c r="O116" t="n">
        <v>1</v>
      </c>
      <c r="P116" t="n">
        <v>1</v>
      </c>
      <c r="Q116" t="n">
        <v>3</v>
      </c>
      <c r="R116" s="2" t="inlineStr">
        <is>
          <t>Knärot
Tvåblad
Nattviol</t>
        </is>
      </c>
      <c r="S116">
        <f>HYPERLINK("https://klasma.github.io/Logging_2303/artfynd/A 37235-2023 artfynd.xlsx", "A 37235-2023")</f>
        <v/>
      </c>
      <c r="T116">
        <f>HYPERLINK("https://klasma.github.io/Logging_2303/kartor/A 37235-2023 karta.png", "A 37235-2023")</f>
        <v/>
      </c>
      <c r="U116">
        <f>HYPERLINK("https://klasma.github.io/Logging_2303/knärot/A 37235-2023 karta knärot.png", "A 37235-2023")</f>
        <v/>
      </c>
      <c r="V116">
        <f>HYPERLINK("https://klasma.github.io/Logging_2303/klagomål/A 37235-2023 FSC-klagomål.docx", "A 37235-2023")</f>
        <v/>
      </c>
      <c r="W116">
        <f>HYPERLINK("https://klasma.github.io/Logging_2303/klagomålsmail/A 37235-2023 FSC-klagomål mail.docx", "A 37235-2023")</f>
        <v/>
      </c>
      <c r="X116">
        <f>HYPERLINK("https://klasma.github.io/Logging_2303/tillsyn/A 37235-2023 tillsynsbegäran.docx", "A 37235-2023")</f>
        <v/>
      </c>
      <c r="Y116">
        <f>HYPERLINK("https://klasma.github.io/Logging_2303/tillsynsmail/A 37235-2023 tillsynsbegäran mail.docx", "A 37235-2023")</f>
        <v/>
      </c>
    </row>
    <row r="117" ht="15" customHeight="1">
      <c r="A117" t="inlineStr">
        <is>
          <t>A 44302-2023</t>
        </is>
      </c>
      <c r="B117" s="1" t="n">
        <v>45188</v>
      </c>
      <c r="C117" s="1" t="n">
        <v>45359</v>
      </c>
      <c r="D117" t="inlineStr">
        <is>
          <t>JÄMTLANDS LÄN</t>
        </is>
      </c>
      <c r="E117" t="inlineStr">
        <is>
          <t>RAGUNDA</t>
        </is>
      </c>
      <c r="G117" t="n">
        <v>9.1</v>
      </c>
      <c r="H117" t="n">
        <v>1</v>
      </c>
      <c r="I117" t="n">
        <v>1</v>
      </c>
      <c r="J117" t="n">
        <v>2</v>
      </c>
      <c r="K117" t="n">
        <v>0</v>
      </c>
      <c r="L117" t="n">
        <v>0</v>
      </c>
      <c r="M117" t="n">
        <v>0</v>
      </c>
      <c r="N117" t="n">
        <v>0</v>
      </c>
      <c r="O117" t="n">
        <v>2</v>
      </c>
      <c r="P117" t="n">
        <v>0</v>
      </c>
      <c r="Q117" t="n">
        <v>3</v>
      </c>
      <c r="R117" s="2" t="inlineStr">
        <is>
          <t>Lunglav
Skrovellav
Korallrot</t>
        </is>
      </c>
      <c r="S117">
        <f>HYPERLINK("https://klasma.github.io/Logging_2303/artfynd/A 44302-2023 artfynd.xlsx", "A 44302-2023")</f>
        <v/>
      </c>
      <c r="T117">
        <f>HYPERLINK("https://klasma.github.io/Logging_2303/kartor/A 44302-2023 karta.png", "A 44302-2023")</f>
        <v/>
      </c>
      <c r="V117">
        <f>HYPERLINK("https://klasma.github.io/Logging_2303/klagomål/A 44302-2023 FSC-klagomål.docx", "A 44302-2023")</f>
        <v/>
      </c>
      <c r="W117">
        <f>HYPERLINK("https://klasma.github.io/Logging_2303/klagomålsmail/A 44302-2023 FSC-klagomål mail.docx", "A 44302-2023")</f>
        <v/>
      </c>
      <c r="X117">
        <f>HYPERLINK("https://klasma.github.io/Logging_2303/tillsyn/A 44302-2023 tillsynsbegäran.docx", "A 44302-2023")</f>
        <v/>
      </c>
      <c r="Y117">
        <f>HYPERLINK("https://klasma.github.io/Logging_2303/tillsynsmail/A 44302-2023 tillsynsbegäran mail.docx", "A 44302-2023")</f>
        <v/>
      </c>
    </row>
    <row r="118" ht="15" customHeight="1">
      <c r="A118" t="inlineStr">
        <is>
          <t>A 49047-2023</t>
        </is>
      </c>
      <c r="B118" s="1" t="n">
        <v>45209</v>
      </c>
      <c r="C118" s="1" t="n">
        <v>45359</v>
      </c>
      <c r="D118" t="inlineStr">
        <is>
          <t>JÄMTLANDS LÄN</t>
        </is>
      </c>
      <c r="E118" t="inlineStr">
        <is>
          <t>RAGUNDA</t>
        </is>
      </c>
      <c r="F118" t="inlineStr">
        <is>
          <t>SCA</t>
        </is>
      </c>
      <c r="G118" t="n">
        <v>6.9</v>
      </c>
      <c r="H118" t="n">
        <v>0</v>
      </c>
      <c r="I118" t="n">
        <v>0</v>
      </c>
      <c r="J118" t="n">
        <v>3</v>
      </c>
      <c r="K118" t="n">
        <v>0</v>
      </c>
      <c r="L118" t="n">
        <v>0</v>
      </c>
      <c r="M118" t="n">
        <v>0</v>
      </c>
      <c r="N118" t="n">
        <v>0</v>
      </c>
      <c r="O118" t="n">
        <v>3</v>
      </c>
      <c r="P118" t="n">
        <v>0</v>
      </c>
      <c r="Q118" t="n">
        <v>3</v>
      </c>
      <c r="R118" s="2" t="inlineStr">
        <is>
          <t>Lunglav
Rosenticka
Skrovellav</t>
        </is>
      </c>
      <c r="S118">
        <f>HYPERLINK("https://klasma.github.io/Logging_2303/artfynd/A 49047-2023 artfynd.xlsx", "A 49047-2023")</f>
        <v/>
      </c>
      <c r="T118">
        <f>HYPERLINK("https://klasma.github.io/Logging_2303/kartor/A 49047-2023 karta.png", "A 49047-2023")</f>
        <v/>
      </c>
      <c r="V118">
        <f>HYPERLINK("https://klasma.github.io/Logging_2303/klagomål/A 49047-2023 FSC-klagomål.docx", "A 49047-2023")</f>
        <v/>
      </c>
      <c r="W118">
        <f>HYPERLINK("https://klasma.github.io/Logging_2303/klagomålsmail/A 49047-2023 FSC-klagomål mail.docx", "A 49047-2023")</f>
        <v/>
      </c>
      <c r="X118">
        <f>HYPERLINK("https://klasma.github.io/Logging_2303/tillsyn/A 49047-2023 tillsynsbegäran.docx", "A 49047-2023")</f>
        <v/>
      </c>
      <c r="Y118">
        <f>HYPERLINK("https://klasma.github.io/Logging_2303/tillsynsmail/A 49047-2023 tillsynsbegäran mail.docx", "A 49047-2023")</f>
        <v/>
      </c>
    </row>
    <row r="119" ht="15" customHeight="1">
      <c r="A119" t="inlineStr">
        <is>
          <t>A 61790-2023</t>
        </is>
      </c>
      <c r="B119" s="1" t="n">
        <v>45265</v>
      </c>
      <c r="C119" s="1" t="n">
        <v>45359</v>
      </c>
      <c r="D119" t="inlineStr">
        <is>
          <t>JÄMTLANDS LÄN</t>
        </is>
      </c>
      <c r="E119" t="inlineStr">
        <is>
          <t>RAGUNDA</t>
        </is>
      </c>
      <c r="F119" t="inlineStr">
        <is>
          <t>SCA</t>
        </is>
      </c>
      <c r="G119" t="n">
        <v>6.1</v>
      </c>
      <c r="H119" t="n">
        <v>0</v>
      </c>
      <c r="I119" t="n">
        <v>0</v>
      </c>
      <c r="J119" t="n">
        <v>3</v>
      </c>
      <c r="K119" t="n">
        <v>0</v>
      </c>
      <c r="L119" t="n">
        <v>0</v>
      </c>
      <c r="M119" t="n">
        <v>0</v>
      </c>
      <c r="N119" t="n">
        <v>0</v>
      </c>
      <c r="O119" t="n">
        <v>3</v>
      </c>
      <c r="P119" t="n">
        <v>0</v>
      </c>
      <c r="Q119" t="n">
        <v>3</v>
      </c>
      <c r="R119" s="2" t="inlineStr">
        <is>
          <t>Gammelgransskål
Lunglav
Skrovellav</t>
        </is>
      </c>
      <c r="S119">
        <f>HYPERLINK("https://klasma.github.io/Logging_2303/artfynd/A 61790-2023 artfynd.xlsx", "A 61790-2023")</f>
        <v/>
      </c>
      <c r="T119">
        <f>HYPERLINK("https://klasma.github.io/Logging_2303/kartor/A 61790-2023 karta.png", "A 61790-2023")</f>
        <v/>
      </c>
      <c r="V119">
        <f>HYPERLINK("https://klasma.github.io/Logging_2303/klagomål/A 61790-2023 FSC-klagomål.docx", "A 61790-2023")</f>
        <v/>
      </c>
      <c r="W119">
        <f>HYPERLINK("https://klasma.github.io/Logging_2303/klagomålsmail/A 61790-2023 FSC-klagomål mail.docx", "A 61790-2023")</f>
        <v/>
      </c>
      <c r="X119">
        <f>HYPERLINK("https://klasma.github.io/Logging_2303/tillsyn/A 61790-2023 tillsynsbegäran.docx", "A 61790-2023")</f>
        <v/>
      </c>
      <c r="Y119">
        <f>HYPERLINK("https://klasma.github.io/Logging_2303/tillsynsmail/A 61790-2023 tillsynsbegäran mail.docx", "A 61790-2023")</f>
        <v/>
      </c>
    </row>
    <row r="120" ht="15" customHeight="1">
      <c r="A120" t="inlineStr">
        <is>
          <t>A 36701-2018</t>
        </is>
      </c>
      <c r="B120" s="1" t="n">
        <v>43329</v>
      </c>
      <c r="C120" s="1" t="n">
        <v>45359</v>
      </c>
      <c r="D120" t="inlineStr">
        <is>
          <t>JÄMTLANDS LÄN</t>
        </is>
      </c>
      <c r="E120" t="inlineStr">
        <is>
          <t>RAGUNDA</t>
        </is>
      </c>
      <c r="G120" t="n">
        <v>39.9</v>
      </c>
      <c r="H120" t="n">
        <v>0</v>
      </c>
      <c r="I120" t="n">
        <v>0</v>
      </c>
      <c r="J120" t="n">
        <v>2</v>
      </c>
      <c r="K120" t="n">
        <v>0</v>
      </c>
      <c r="L120" t="n">
        <v>0</v>
      </c>
      <c r="M120" t="n">
        <v>0</v>
      </c>
      <c r="N120" t="n">
        <v>0</v>
      </c>
      <c r="O120" t="n">
        <v>2</v>
      </c>
      <c r="P120" t="n">
        <v>0</v>
      </c>
      <c r="Q120" t="n">
        <v>2</v>
      </c>
      <c r="R120" s="2" t="inlineStr">
        <is>
          <t>Lunglav
Ullticka</t>
        </is>
      </c>
      <c r="S120">
        <f>HYPERLINK("https://klasma.github.io/Logging_2303/artfynd/A 36701-2018 artfynd.xlsx", "A 36701-2018")</f>
        <v/>
      </c>
      <c r="T120">
        <f>HYPERLINK("https://klasma.github.io/Logging_2303/kartor/A 36701-2018 karta.png", "A 36701-2018")</f>
        <v/>
      </c>
      <c r="V120">
        <f>HYPERLINK("https://klasma.github.io/Logging_2303/klagomål/A 36701-2018 FSC-klagomål.docx", "A 36701-2018")</f>
        <v/>
      </c>
      <c r="W120">
        <f>HYPERLINK("https://klasma.github.io/Logging_2303/klagomålsmail/A 36701-2018 FSC-klagomål mail.docx", "A 36701-2018")</f>
        <v/>
      </c>
      <c r="X120">
        <f>HYPERLINK("https://klasma.github.io/Logging_2303/tillsyn/A 36701-2018 tillsynsbegäran.docx", "A 36701-2018")</f>
        <v/>
      </c>
      <c r="Y120">
        <f>HYPERLINK("https://klasma.github.io/Logging_2303/tillsynsmail/A 36701-2018 tillsynsbegäran mail.docx", "A 36701-2018")</f>
        <v/>
      </c>
    </row>
    <row r="121" ht="15" customHeight="1">
      <c r="A121" t="inlineStr">
        <is>
          <t>A 59960-2018</t>
        </is>
      </c>
      <c r="B121" s="1" t="n">
        <v>43411</v>
      </c>
      <c r="C121" s="1" t="n">
        <v>45359</v>
      </c>
      <c r="D121" t="inlineStr">
        <is>
          <t>JÄMTLANDS LÄN</t>
        </is>
      </c>
      <c r="E121" t="inlineStr">
        <is>
          <t>RAGUNDA</t>
        </is>
      </c>
      <c r="G121" t="n">
        <v>5</v>
      </c>
      <c r="H121" t="n">
        <v>0</v>
      </c>
      <c r="I121" t="n">
        <v>0</v>
      </c>
      <c r="J121" t="n">
        <v>2</v>
      </c>
      <c r="K121" t="n">
        <v>0</v>
      </c>
      <c r="L121" t="n">
        <v>0</v>
      </c>
      <c r="M121" t="n">
        <v>0</v>
      </c>
      <c r="N121" t="n">
        <v>0</v>
      </c>
      <c r="O121" t="n">
        <v>2</v>
      </c>
      <c r="P121" t="n">
        <v>0</v>
      </c>
      <c r="Q121" t="n">
        <v>2</v>
      </c>
      <c r="R121" s="2" t="inlineStr">
        <is>
          <t>Garnlav
Lunglav</t>
        </is>
      </c>
      <c r="S121">
        <f>HYPERLINK("https://klasma.github.io/Logging_2303/artfynd/A 59960-2018 artfynd.xlsx", "A 59960-2018")</f>
        <v/>
      </c>
      <c r="T121">
        <f>HYPERLINK("https://klasma.github.io/Logging_2303/kartor/A 59960-2018 karta.png", "A 59960-2018")</f>
        <v/>
      </c>
      <c r="V121">
        <f>HYPERLINK("https://klasma.github.io/Logging_2303/klagomål/A 59960-2018 FSC-klagomål.docx", "A 59960-2018")</f>
        <v/>
      </c>
      <c r="W121">
        <f>HYPERLINK("https://klasma.github.io/Logging_2303/klagomålsmail/A 59960-2018 FSC-klagomål mail.docx", "A 59960-2018")</f>
        <v/>
      </c>
      <c r="X121">
        <f>HYPERLINK("https://klasma.github.io/Logging_2303/tillsyn/A 59960-2018 tillsynsbegäran.docx", "A 59960-2018")</f>
        <v/>
      </c>
      <c r="Y121">
        <f>HYPERLINK("https://klasma.github.io/Logging_2303/tillsynsmail/A 59960-2018 tillsynsbegäran mail.docx", "A 59960-2018")</f>
        <v/>
      </c>
    </row>
    <row r="122" ht="15" customHeight="1">
      <c r="A122" t="inlineStr">
        <is>
          <t>A 43760-2019</t>
        </is>
      </c>
      <c r="B122" s="1" t="n">
        <v>43707</v>
      </c>
      <c r="C122" s="1" t="n">
        <v>45359</v>
      </c>
      <c r="D122" t="inlineStr">
        <is>
          <t>JÄMTLANDS LÄN</t>
        </is>
      </c>
      <c r="E122" t="inlineStr">
        <is>
          <t>RAGUNDA</t>
        </is>
      </c>
      <c r="G122" t="n">
        <v>3.5</v>
      </c>
      <c r="H122" t="n">
        <v>1</v>
      </c>
      <c r="I122" t="n">
        <v>0</v>
      </c>
      <c r="J122" t="n">
        <v>1</v>
      </c>
      <c r="K122" t="n">
        <v>1</v>
      </c>
      <c r="L122" t="n">
        <v>0</v>
      </c>
      <c r="M122" t="n">
        <v>0</v>
      </c>
      <c r="N122" t="n">
        <v>0</v>
      </c>
      <c r="O122" t="n">
        <v>2</v>
      </c>
      <c r="P122" t="n">
        <v>1</v>
      </c>
      <c r="Q122" t="n">
        <v>2</v>
      </c>
      <c r="R122" s="2" t="inlineStr">
        <is>
          <t>Knärot
Lunglav</t>
        </is>
      </c>
      <c r="S122">
        <f>HYPERLINK("https://klasma.github.io/Logging_2303/artfynd/A 43760-2019 artfynd.xlsx", "A 43760-2019")</f>
        <v/>
      </c>
      <c r="T122">
        <f>HYPERLINK("https://klasma.github.io/Logging_2303/kartor/A 43760-2019 karta.png", "A 43760-2019")</f>
        <v/>
      </c>
      <c r="U122">
        <f>HYPERLINK("https://klasma.github.io/Logging_2303/knärot/A 43760-2019 karta knärot.png", "A 43760-2019")</f>
        <v/>
      </c>
      <c r="V122">
        <f>HYPERLINK("https://klasma.github.io/Logging_2303/klagomål/A 43760-2019 FSC-klagomål.docx", "A 43760-2019")</f>
        <v/>
      </c>
      <c r="W122">
        <f>HYPERLINK("https://klasma.github.io/Logging_2303/klagomålsmail/A 43760-2019 FSC-klagomål mail.docx", "A 43760-2019")</f>
        <v/>
      </c>
      <c r="X122">
        <f>HYPERLINK("https://klasma.github.io/Logging_2303/tillsyn/A 43760-2019 tillsynsbegäran.docx", "A 43760-2019")</f>
        <v/>
      </c>
      <c r="Y122">
        <f>HYPERLINK("https://klasma.github.io/Logging_2303/tillsynsmail/A 43760-2019 tillsynsbegäran mail.docx", "A 43760-2019")</f>
        <v/>
      </c>
    </row>
    <row r="123" ht="15" customHeight="1">
      <c r="A123" t="inlineStr">
        <is>
          <t>A 20477-2020</t>
        </is>
      </c>
      <c r="B123" s="1" t="n">
        <v>43948</v>
      </c>
      <c r="C123" s="1" t="n">
        <v>45359</v>
      </c>
      <c r="D123" t="inlineStr">
        <is>
          <t>JÄMTLANDS LÄN</t>
        </is>
      </c>
      <c r="E123" t="inlineStr">
        <is>
          <t>RAGUNDA</t>
        </is>
      </c>
      <c r="G123" t="n">
        <v>33.6</v>
      </c>
      <c r="H123" t="n">
        <v>0</v>
      </c>
      <c r="I123" t="n">
        <v>1</v>
      </c>
      <c r="J123" t="n">
        <v>1</v>
      </c>
      <c r="K123" t="n">
        <v>0</v>
      </c>
      <c r="L123" t="n">
        <v>0</v>
      </c>
      <c r="M123" t="n">
        <v>0</v>
      </c>
      <c r="N123" t="n">
        <v>0</v>
      </c>
      <c r="O123" t="n">
        <v>1</v>
      </c>
      <c r="P123" t="n">
        <v>0</v>
      </c>
      <c r="Q123" t="n">
        <v>2</v>
      </c>
      <c r="R123" s="2" t="inlineStr">
        <is>
          <t>Lunglav
Luddlav</t>
        </is>
      </c>
      <c r="S123">
        <f>HYPERLINK("https://klasma.github.io/Logging_2303/artfynd/A 20477-2020 artfynd.xlsx", "A 20477-2020")</f>
        <v/>
      </c>
      <c r="T123">
        <f>HYPERLINK("https://klasma.github.io/Logging_2303/kartor/A 20477-2020 karta.png", "A 20477-2020")</f>
        <v/>
      </c>
      <c r="V123">
        <f>HYPERLINK("https://klasma.github.io/Logging_2303/klagomål/A 20477-2020 FSC-klagomål.docx", "A 20477-2020")</f>
        <v/>
      </c>
      <c r="W123">
        <f>HYPERLINK("https://klasma.github.io/Logging_2303/klagomålsmail/A 20477-2020 FSC-klagomål mail.docx", "A 20477-2020")</f>
        <v/>
      </c>
      <c r="X123">
        <f>HYPERLINK("https://klasma.github.io/Logging_2303/tillsyn/A 20477-2020 tillsynsbegäran.docx", "A 20477-2020")</f>
        <v/>
      </c>
      <c r="Y123">
        <f>HYPERLINK("https://klasma.github.io/Logging_2303/tillsynsmail/A 20477-2020 tillsynsbegäran mail.docx", "A 20477-2020")</f>
        <v/>
      </c>
    </row>
    <row r="124" ht="15" customHeight="1">
      <c r="A124" t="inlineStr">
        <is>
          <t>A 47164-2021</t>
        </is>
      </c>
      <c r="B124" s="1" t="n">
        <v>44447</v>
      </c>
      <c r="C124" s="1" t="n">
        <v>45359</v>
      </c>
      <c r="D124" t="inlineStr">
        <is>
          <t>JÄMTLANDS LÄN</t>
        </is>
      </c>
      <c r="E124" t="inlineStr">
        <is>
          <t>RAGUNDA</t>
        </is>
      </c>
      <c r="F124" t="inlineStr">
        <is>
          <t>SCA</t>
        </is>
      </c>
      <c r="G124" t="n">
        <v>8.5</v>
      </c>
      <c r="H124" t="n">
        <v>0</v>
      </c>
      <c r="I124" t="n">
        <v>0</v>
      </c>
      <c r="J124" t="n">
        <v>2</v>
      </c>
      <c r="K124" t="n">
        <v>0</v>
      </c>
      <c r="L124" t="n">
        <v>0</v>
      </c>
      <c r="M124" t="n">
        <v>0</v>
      </c>
      <c r="N124" t="n">
        <v>0</v>
      </c>
      <c r="O124" t="n">
        <v>2</v>
      </c>
      <c r="P124" t="n">
        <v>0</v>
      </c>
      <c r="Q124" t="n">
        <v>2</v>
      </c>
      <c r="R124" s="2" t="inlineStr">
        <is>
          <t>Lunglav
Mörk kolflarnlav</t>
        </is>
      </c>
      <c r="S124">
        <f>HYPERLINK("https://klasma.github.io/Logging_2303/artfynd/A 47164-2021 artfynd.xlsx", "A 47164-2021")</f>
        <v/>
      </c>
      <c r="T124">
        <f>HYPERLINK("https://klasma.github.io/Logging_2303/kartor/A 47164-2021 karta.png", "A 47164-2021")</f>
        <v/>
      </c>
      <c r="V124">
        <f>HYPERLINK("https://klasma.github.io/Logging_2303/klagomål/A 47164-2021 FSC-klagomål.docx", "A 47164-2021")</f>
        <v/>
      </c>
      <c r="W124">
        <f>HYPERLINK("https://klasma.github.io/Logging_2303/klagomålsmail/A 47164-2021 FSC-klagomål mail.docx", "A 47164-2021")</f>
        <v/>
      </c>
      <c r="X124">
        <f>HYPERLINK("https://klasma.github.io/Logging_2303/tillsyn/A 47164-2021 tillsynsbegäran.docx", "A 47164-2021")</f>
        <v/>
      </c>
      <c r="Y124">
        <f>HYPERLINK("https://klasma.github.io/Logging_2303/tillsynsmail/A 47164-2021 tillsynsbegäran mail.docx", "A 47164-2021")</f>
        <v/>
      </c>
    </row>
    <row r="125" ht="15" customHeight="1">
      <c r="A125" t="inlineStr">
        <is>
          <t>A 17043-2022</t>
        </is>
      </c>
      <c r="B125" s="1" t="n">
        <v>44676</v>
      </c>
      <c r="C125" s="1" t="n">
        <v>45359</v>
      </c>
      <c r="D125" t="inlineStr">
        <is>
          <t>JÄMTLANDS LÄN</t>
        </is>
      </c>
      <c r="E125" t="inlineStr">
        <is>
          <t>RAGUNDA</t>
        </is>
      </c>
      <c r="F125" t="inlineStr">
        <is>
          <t>SCA</t>
        </is>
      </c>
      <c r="G125" t="n">
        <v>3</v>
      </c>
      <c r="H125" t="n">
        <v>0</v>
      </c>
      <c r="I125" t="n">
        <v>2</v>
      </c>
      <c r="J125" t="n">
        <v>0</v>
      </c>
      <c r="K125" t="n">
        <v>0</v>
      </c>
      <c r="L125" t="n">
        <v>0</v>
      </c>
      <c r="M125" t="n">
        <v>0</v>
      </c>
      <c r="N125" t="n">
        <v>0</v>
      </c>
      <c r="O125" t="n">
        <v>0</v>
      </c>
      <c r="P125" t="n">
        <v>0</v>
      </c>
      <c r="Q125" t="n">
        <v>2</v>
      </c>
      <c r="R125" s="2" t="inlineStr">
        <is>
          <t>Skinnlav
Vedticka</t>
        </is>
      </c>
      <c r="S125">
        <f>HYPERLINK("https://klasma.github.io/Logging_2303/artfynd/A 17043-2022 artfynd.xlsx", "A 17043-2022")</f>
        <v/>
      </c>
      <c r="T125">
        <f>HYPERLINK("https://klasma.github.io/Logging_2303/kartor/A 17043-2022 karta.png", "A 17043-2022")</f>
        <v/>
      </c>
      <c r="V125">
        <f>HYPERLINK("https://klasma.github.io/Logging_2303/klagomål/A 17043-2022 FSC-klagomål.docx", "A 17043-2022")</f>
        <v/>
      </c>
      <c r="W125">
        <f>HYPERLINK("https://klasma.github.io/Logging_2303/klagomålsmail/A 17043-2022 FSC-klagomål mail.docx", "A 17043-2022")</f>
        <v/>
      </c>
      <c r="X125">
        <f>HYPERLINK("https://klasma.github.io/Logging_2303/tillsyn/A 17043-2022 tillsynsbegäran.docx", "A 17043-2022")</f>
        <v/>
      </c>
      <c r="Y125">
        <f>HYPERLINK("https://klasma.github.io/Logging_2303/tillsynsmail/A 17043-2022 tillsynsbegäran mail.docx", "A 17043-2022")</f>
        <v/>
      </c>
    </row>
    <row r="126" ht="15" customHeight="1">
      <c r="A126" t="inlineStr">
        <is>
          <t>A 17733-2022</t>
        </is>
      </c>
      <c r="B126" s="1" t="n">
        <v>44680</v>
      </c>
      <c r="C126" s="1" t="n">
        <v>45359</v>
      </c>
      <c r="D126" t="inlineStr">
        <is>
          <t>JÄMTLANDS LÄN</t>
        </is>
      </c>
      <c r="E126" t="inlineStr">
        <is>
          <t>RAGUNDA</t>
        </is>
      </c>
      <c r="G126" t="n">
        <v>2.2</v>
      </c>
      <c r="H126" t="n">
        <v>0</v>
      </c>
      <c r="I126" t="n">
        <v>0</v>
      </c>
      <c r="J126" t="n">
        <v>2</v>
      </c>
      <c r="K126" t="n">
        <v>0</v>
      </c>
      <c r="L126" t="n">
        <v>0</v>
      </c>
      <c r="M126" t="n">
        <v>0</v>
      </c>
      <c r="N126" t="n">
        <v>0</v>
      </c>
      <c r="O126" t="n">
        <v>2</v>
      </c>
      <c r="P126" t="n">
        <v>0</v>
      </c>
      <c r="Q126" t="n">
        <v>2</v>
      </c>
      <c r="R126" s="2" t="inlineStr">
        <is>
          <t>Lunglav
Skrovellav</t>
        </is>
      </c>
      <c r="S126">
        <f>HYPERLINK("https://klasma.github.io/Logging_2303/artfynd/A 17733-2022 artfynd.xlsx", "A 17733-2022")</f>
        <v/>
      </c>
      <c r="T126">
        <f>HYPERLINK("https://klasma.github.io/Logging_2303/kartor/A 17733-2022 karta.png", "A 17733-2022")</f>
        <v/>
      </c>
      <c r="V126">
        <f>HYPERLINK("https://klasma.github.io/Logging_2303/klagomål/A 17733-2022 FSC-klagomål.docx", "A 17733-2022")</f>
        <v/>
      </c>
      <c r="W126">
        <f>HYPERLINK("https://klasma.github.io/Logging_2303/klagomålsmail/A 17733-2022 FSC-klagomål mail.docx", "A 17733-2022")</f>
        <v/>
      </c>
      <c r="X126">
        <f>HYPERLINK("https://klasma.github.io/Logging_2303/tillsyn/A 17733-2022 tillsynsbegäran.docx", "A 17733-2022")</f>
        <v/>
      </c>
      <c r="Y126">
        <f>HYPERLINK("https://klasma.github.io/Logging_2303/tillsynsmail/A 17733-2022 tillsynsbegäran mail.docx", "A 17733-2022")</f>
        <v/>
      </c>
    </row>
    <row r="127" ht="15" customHeight="1">
      <c r="A127" t="inlineStr">
        <is>
          <t>A 18552-2022</t>
        </is>
      </c>
      <c r="B127" s="1" t="n">
        <v>44687</v>
      </c>
      <c r="C127" s="1" t="n">
        <v>45359</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Granticka
Vedtrappmossa</t>
        </is>
      </c>
      <c r="S127">
        <f>HYPERLINK("https://klasma.github.io/Logging_2303/artfynd/A 18552-2022 artfynd.xlsx", "A 18552-2022")</f>
        <v/>
      </c>
      <c r="T127">
        <f>HYPERLINK("https://klasma.github.io/Logging_2303/kartor/A 18552-2022 karta.png", "A 18552-2022")</f>
        <v/>
      </c>
      <c r="V127">
        <f>HYPERLINK("https://klasma.github.io/Logging_2303/klagomål/A 18552-2022 FSC-klagomål.docx", "A 18552-2022")</f>
        <v/>
      </c>
      <c r="W127">
        <f>HYPERLINK("https://klasma.github.io/Logging_2303/klagomålsmail/A 18552-2022 FSC-klagomål mail.docx", "A 18552-2022")</f>
        <v/>
      </c>
      <c r="X127">
        <f>HYPERLINK("https://klasma.github.io/Logging_2303/tillsyn/A 18552-2022 tillsynsbegäran.docx", "A 18552-2022")</f>
        <v/>
      </c>
      <c r="Y127">
        <f>HYPERLINK("https://klasma.github.io/Logging_2303/tillsynsmail/A 18552-2022 tillsynsbegäran mail.docx", "A 18552-2022")</f>
        <v/>
      </c>
    </row>
    <row r="128" ht="15" customHeight="1">
      <c r="A128" t="inlineStr">
        <is>
          <t>A 47583-2022</t>
        </is>
      </c>
      <c r="B128" s="1" t="n">
        <v>44854</v>
      </c>
      <c r="C128" s="1" t="n">
        <v>45359</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47583-2022 artfynd.xlsx", "A 47583-2022")</f>
        <v/>
      </c>
      <c r="T128">
        <f>HYPERLINK("https://klasma.github.io/Logging_2303/kartor/A 47583-2022 karta.png", "A 47583-2022")</f>
        <v/>
      </c>
      <c r="V128">
        <f>HYPERLINK("https://klasma.github.io/Logging_2303/klagomål/A 47583-2022 FSC-klagomål.docx", "A 47583-2022")</f>
        <v/>
      </c>
      <c r="W128">
        <f>HYPERLINK("https://klasma.github.io/Logging_2303/klagomålsmail/A 47583-2022 FSC-klagomål mail.docx", "A 47583-2022")</f>
        <v/>
      </c>
      <c r="X128">
        <f>HYPERLINK("https://klasma.github.io/Logging_2303/tillsyn/A 47583-2022 tillsynsbegäran.docx", "A 47583-2022")</f>
        <v/>
      </c>
      <c r="Y128">
        <f>HYPERLINK("https://klasma.github.io/Logging_2303/tillsynsmail/A 47583-2022 tillsynsbegäran mail.docx", "A 47583-2022")</f>
        <v/>
      </c>
    </row>
    <row r="129" ht="15" customHeight="1">
      <c r="A129" t="inlineStr">
        <is>
          <t>A 48059-2022</t>
        </is>
      </c>
      <c r="B129" s="1" t="n">
        <v>44855</v>
      </c>
      <c r="C129" s="1" t="n">
        <v>45359</v>
      </c>
      <c r="D129" t="inlineStr">
        <is>
          <t>JÄMTLANDS LÄN</t>
        </is>
      </c>
      <c r="E129" t="inlineStr">
        <is>
          <t>RAGUNDA</t>
        </is>
      </c>
      <c r="F129" t="inlineStr">
        <is>
          <t>SCA</t>
        </is>
      </c>
      <c r="G129" t="n">
        <v>3.2</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48059-2022 artfynd.xlsx", "A 48059-2022")</f>
        <v/>
      </c>
      <c r="T129">
        <f>HYPERLINK("https://klasma.github.io/Logging_2303/kartor/A 48059-2022 karta.png", "A 48059-2022")</f>
        <v/>
      </c>
      <c r="V129">
        <f>HYPERLINK("https://klasma.github.io/Logging_2303/klagomål/A 48059-2022 FSC-klagomål.docx", "A 48059-2022")</f>
        <v/>
      </c>
      <c r="W129">
        <f>HYPERLINK("https://klasma.github.io/Logging_2303/klagomålsmail/A 48059-2022 FSC-klagomål mail.docx", "A 48059-2022")</f>
        <v/>
      </c>
      <c r="X129">
        <f>HYPERLINK("https://klasma.github.io/Logging_2303/tillsyn/A 48059-2022 tillsynsbegäran.docx", "A 48059-2022")</f>
        <v/>
      </c>
      <c r="Y129">
        <f>HYPERLINK("https://klasma.github.io/Logging_2303/tillsynsmail/A 48059-2022 tillsynsbegäran mail.docx", "A 48059-2022")</f>
        <v/>
      </c>
    </row>
    <row r="130" ht="15" customHeight="1">
      <c r="A130" t="inlineStr">
        <is>
          <t>A 48084-2022</t>
        </is>
      </c>
      <c r="B130" s="1" t="n">
        <v>44855</v>
      </c>
      <c r="C130" s="1" t="n">
        <v>45359</v>
      </c>
      <c r="D130" t="inlineStr">
        <is>
          <t>JÄMTLANDS LÄN</t>
        </is>
      </c>
      <c r="E130" t="inlineStr">
        <is>
          <t>RAGUNDA</t>
        </is>
      </c>
      <c r="F130" t="inlineStr">
        <is>
          <t>SCA</t>
        </is>
      </c>
      <c r="G130" t="n">
        <v>4.7</v>
      </c>
      <c r="H130" t="n">
        <v>1</v>
      </c>
      <c r="I130" t="n">
        <v>0</v>
      </c>
      <c r="J130" t="n">
        <v>2</v>
      </c>
      <c r="K130" t="n">
        <v>0</v>
      </c>
      <c r="L130" t="n">
        <v>0</v>
      </c>
      <c r="M130" t="n">
        <v>0</v>
      </c>
      <c r="N130" t="n">
        <v>0</v>
      </c>
      <c r="O130" t="n">
        <v>2</v>
      </c>
      <c r="P130" t="n">
        <v>0</v>
      </c>
      <c r="Q130" t="n">
        <v>2</v>
      </c>
      <c r="R130" s="2" t="inlineStr">
        <is>
          <t>Rosenticka
Tretåig hackspett</t>
        </is>
      </c>
      <c r="S130">
        <f>HYPERLINK("https://klasma.github.io/Logging_2303/artfynd/A 48084-2022 artfynd.xlsx", "A 48084-2022")</f>
        <v/>
      </c>
      <c r="T130">
        <f>HYPERLINK("https://klasma.github.io/Logging_2303/kartor/A 48084-2022 karta.png", "A 48084-2022")</f>
        <v/>
      </c>
      <c r="V130">
        <f>HYPERLINK("https://klasma.github.io/Logging_2303/klagomål/A 48084-2022 FSC-klagomål.docx", "A 48084-2022")</f>
        <v/>
      </c>
      <c r="W130">
        <f>HYPERLINK("https://klasma.github.io/Logging_2303/klagomålsmail/A 48084-2022 FSC-klagomål mail.docx", "A 48084-2022")</f>
        <v/>
      </c>
      <c r="X130">
        <f>HYPERLINK("https://klasma.github.io/Logging_2303/tillsyn/A 48084-2022 tillsynsbegäran.docx", "A 48084-2022")</f>
        <v/>
      </c>
      <c r="Y130">
        <f>HYPERLINK("https://klasma.github.io/Logging_2303/tillsynsmail/A 48084-2022 tillsynsbegäran mail.docx", "A 48084-2022")</f>
        <v/>
      </c>
      <c r="Z130">
        <f>HYPERLINK("https://klasma.github.io/Logging_2303/fåglar/A 48084-2022 prioriterade fågelarter.docx", "A 48084-2022")</f>
        <v/>
      </c>
    </row>
    <row r="131" ht="15" customHeight="1">
      <c r="A131" t="inlineStr">
        <is>
          <t>A 49194-2022</t>
        </is>
      </c>
      <c r="B131" s="1" t="n">
        <v>44860</v>
      </c>
      <c r="C131" s="1" t="n">
        <v>45359</v>
      </c>
      <c r="D131" t="inlineStr">
        <is>
          <t>JÄMTLANDS LÄN</t>
        </is>
      </c>
      <c r="E131" t="inlineStr">
        <is>
          <t>RAGUNDA</t>
        </is>
      </c>
      <c r="F131" t="inlineStr">
        <is>
          <t>SCA</t>
        </is>
      </c>
      <c r="G131" t="n">
        <v>2</v>
      </c>
      <c r="H131" t="n">
        <v>1</v>
      </c>
      <c r="I131" t="n">
        <v>0</v>
      </c>
      <c r="J131" t="n">
        <v>1</v>
      </c>
      <c r="K131" t="n">
        <v>1</v>
      </c>
      <c r="L131" t="n">
        <v>0</v>
      </c>
      <c r="M131" t="n">
        <v>0</v>
      </c>
      <c r="N131" t="n">
        <v>0</v>
      </c>
      <c r="O131" t="n">
        <v>2</v>
      </c>
      <c r="P131" t="n">
        <v>1</v>
      </c>
      <c r="Q131" t="n">
        <v>2</v>
      </c>
      <c r="R131" s="2" t="inlineStr">
        <is>
          <t>Doftticka
Lunglav</t>
        </is>
      </c>
      <c r="S131">
        <f>HYPERLINK("https://klasma.github.io/Logging_2303/artfynd/A 49194-2022 artfynd.xlsx", "A 49194-2022")</f>
        <v/>
      </c>
      <c r="T131">
        <f>HYPERLINK("https://klasma.github.io/Logging_2303/kartor/A 49194-2022 karta.png", "A 49194-2022")</f>
        <v/>
      </c>
      <c r="V131">
        <f>HYPERLINK("https://klasma.github.io/Logging_2303/klagomål/A 49194-2022 FSC-klagomål.docx", "A 49194-2022")</f>
        <v/>
      </c>
      <c r="W131">
        <f>HYPERLINK("https://klasma.github.io/Logging_2303/klagomålsmail/A 49194-2022 FSC-klagomål mail.docx", "A 49194-2022")</f>
        <v/>
      </c>
      <c r="X131">
        <f>HYPERLINK("https://klasma.github.io/Logging_2303/tillsyn/A 49194-2022 tillsynsbegäran.docx", "A 49194-2022")</f>
        <v/>
      </c>
      <c r="Y131">
        <f>HYPERLINK("https://klasma.github.io/Logging_2303/tillsynsmail/A 49194-2022 tillsynsbegäran mail.docx", "A 49194-2022")</f>
        <v/>
      </c>
    </row>
    <row r="132" ht="15" customHeight="1">
      <c r="A132" t="inlineStr">
        <is>
          <t>A 8033-2023</t>
        </is>
      </c>
      <c r="B132" s="1" t="n">
        <v>44973</v>
      </c>
      <c r="C132" s="1" t="n">
        <v>45359</v>
      </c>
      <c r="D132" t="inlineStr">
        <is>
          <t>JÄMTLANDS LÄN</t>
        </is>
      </c>
      <c r="E132" t="inlineStr">
        <is>
          <t>RAGUNDA</t>
        </is>
      </c>
      <c r="F132" t="inlineStr">
        <is>
          <t>SCA</t>
        </is>
      </c>
      <c r="G132" t="n">
        <v>9.199999999999999</v>
      </c>
      <c r="H132" t="n">
        <v>0</v>
      </c>
      <c r="I132" t="n">
        <v>1</v>
      </c>
      <c r="J132" t="n">
        <v>1</v>
      </c>
      <c r="K132" t="n">
        <v>0</v>
      </c>
      <c r="L132" t="n">
        <v>0</v>
      </c>
      <c r="M132" t="n">
        <v>0</v>
      </c>
      <c r="N132" t="n">
        <v>0</v>
      </c>
      <c r="O132" t="n">
        <v>1</v>
      </c>
      <c r="P132" t="n">
        <v>0</v>
      </c>
      <c r="Q132" t="n">
        <v>2</v>
      </c>
      <c r="R132" s="2" t="inlineStr">
        <is>
          <t>Kolflarnlav
Grönpyrola</t>
        </is>
      </c>
      <c r="S132">
        <f>HYPERLINK("https://klasma.github.io/Logging_2303/artfynd/A 8033-2023 artfynd.xlsx", "A 8033-2023")</f>
        <v/>
      </c>
      <c r="T132">
        <f>HYPERLINK("https://klasma.github.io/Logging_2303/kartor/A 8033-2023 karta.png", "A 8033-2023")</f>
        <v/>
      </c>
      <c r="V132">
        <f>HYPERLINK("https://klasma.github.io/Logging_2303/klagomål/A 8033-2023 FSC-klagomål.docx", "A 8033-2023")</f>
        <v/>
      </c>
      <c r="W132">
        <f>HYPERLINK("https://klasma.github.io/Logging_2303/klagomålsmail/A 8033-2023 FSC-klagomål mail.docx", "A 8033-2023")</f>
        <v/>
      </c>
      <c r="X132">
        <f>HYPERLINK("https://klasma.github.io/Logging_2303/tillsyn/A 8033-2023 tillsynsbegäran.docx", "A 8033-2023")</f>
        <v/>
      </c>
      <c r="Y132">
        <f>HYPERLINK("https://klasma.github.io/Logging_2303/tillsynsmail/A 8033-2023 tillsynsbegäran mail.docx", "A 8033-2023")</f>
        <v/>
      </c>
    </row>
    <row r="133" ht="15" customHeight="1">
      <c r="A133" t="inlineStr">
        <is>
          <t>A 9340-2023</t>
        </is>
      </c>
      <c r="B133" s="1" t="n">
        <v>44980</v>
      </c>
      <c r="C133" s="1" t="n">
        <v>45359</v>
      </c>
      <c r="D133" t="inlineStr">
        <is>
          <t>JÄMTLANDS LÄN</t>
        </is>
      </c>
      <c r="E133" t="inlineStr">
        <is>
          <t>RAGUNDA</t>
        </is>
      </c>
      <c r="G133" t="n">
        <v>2.9</v>
      </c>
      <c r="H133" t="n">
        <v>0</v>
      </c>
      <c r="I133" t="n">
        <v>0</v>
      </c>
      <c r="J133" t="n">
        <v>2</v>
      </c>
      <c r="K133" t="n">
        <v>0</v>
      </c>
      <c r="L133" t="n">
        <v>0</v>
      </c>
      <c r="M133" t="n">
        <v>0</v>
      </c>
      <c r="N133" t="n">
        <v>0</v>
      </c>
      <c r="O133" t="n">
        <v>2</v>
      </c>
      <c r="P133" t="n">
        <v>0</v>
      </c>
      <c r="Q133" t="n">
        <v>2</v>
      </c>
      <c r="R133" s="2" t="inlineStr">
        <is>
          <t>Garnlav
Lunglav</t>
        </is>
      </c>
      <c r="S133">
        <f>HYPERLINK("https://klasma.github.io/Logging_2303/artfynd/A 9340-2023 artfynd.xlsx", "A 9340-2023")</f>
        <v/>
      </c>
      <c r="T133">
        <f>HYPERLINK("https://klasma.github.io/Logging_2303/kartor/A 9340-2023 karta.png", "A 9340-2023")</f>
        <v/>
      </c>
      <c r="V133">
        <f>HYPERLINK("https://klasma.github.io/Logging_2303/klagomål/A 9340-2023 FSC-klagomål.docx", "A 9340-2023")</f>
        <v/>
      </c>
      <c r="W133">
        <f>HYPERLINK("https://klasma.github.io/Logging_2303/klagomålsmail/A 9340-2023 FSC-klagomål mail.docx", "A 9340-2023")</f>
        <v/>
      </c>
      <c r="X133">
        <f>HYPERLINK("https://klasma.github.io/Logging_2303/tillsyn/A 9340-2023 tillsynsbegäran.docx", "A 9340-2023")</f>
        <v/>
      </c>
      <c r="Y133">
        <f>HYPERLINK("https://klasma.github.io/Logging_2303/tillsynsmail/A 9340-2023 tillsynsbegäran mail.docx", "A 9340-2023")</f>
        <v/>
      </c>
    </row>
    <row r="134" ht="15" customHeight="1">
      <c r="A134" t="inlineStr">
        <is>
          <t>A 13486-2023</t>
        </is>
      </c>
      <c r="B134" s="1" t="n">
        <v>45005</v>
      </c>
      <c r="C134" s="1" t="n">
        <v>45359</v>
      </c>
      <c r="D134" t="inlineStr">
        <is>
          <t>JÄMTLANDS LÄN</t>
        </is>
      </c>
      <c r="E134" t="inlineStr">
        <is>
          <t>RAGUNDA</t>
        </is>
      </c>
      <c r="F134" t="inlineStr">
        <is>
          <t>SCA</t>
        </is>
      </c>
      <c r="G134" t="n">
        <v>4</v>
      </c>
      <c r="H134" t="n">
        <v>0</v>
      </c>
      <c r="I134" t="n">
        <v>0</v>
      </c>
      <c r="J134" t="n">
        <v>2</v>
      </c>
      <c r="K134" t="n">
        <v>0</v>
      </c>
      <c r="L134" t="n">
        <v>0</v>
      </c>
      <c r="M134" t="n">
        <v>0</v>
      </c>
      <c r="N134" t="n">
        <v>0</v>
      </c>
      <c r="O134" t="n">
        <v>2</v>
      </c>
      <c r="P134" t="n">
        <v>0</v>
      </c>
      <c r="Q134" t="n">
        <v>2</v>
      </c>
      <c r="R134" s="2" t="inlineStr">
        <is>
          <t>Dvärgbägarlav
Lunglav</t>
        </is>
      </c>
      <c r="S134">
        <f>HYPERLINK("https://klasma.github.io/Logging_2303/artfynd/A 13486-2023 artfynd.xlsx", "A 13486-2023")</f>
        <v/>
      </c>
      <c r="T134">
        <f>HYPERLINK("https://klasma.github.io/Logging_2303/kartor/A 13486-2023 karta.png", "A 13486-2023")</f>
        <v/>
      </c>
      <c r="V134">
        <f>HYPERLINK("https://klasma.github.io/Logging_2303/klagomål/A 13486-2023 FSC-klagomål.docx", "A 13486-2023")</f>
        <v/>
      </c>
      <c r="W134">
        <f>HYPERLINK("https://klasma.github.io/Logging_2303/klagomålsmail/A 13486-2023 FSC-klagomål mail.docx", "A 13486-2023")</f>
        <v/>
      </c>
      <c r="X134">
        <f>HYPERLINK("https://klasma.github.io/Logging_2303/tillsyn/A 13486-2023 tillsynsbegäran.docx", "A 13486-2023")</f>
        <v/>
      </c>
      <c r="Y134">
        <f>HYPERLINK("https://klasma.github.io/Logging_2303/tillsynsmail/A 13486-2023 tillsynsbegäran mail.docx", "A 13486-2023")</f>
        <v/>
      </c>
    </row>
    <row r="135" ht="15" customHeight="1">
      <c r="A135" t="inlineStr">
        <is>
          <t>A 13899-2023</t>
        </is>
      </c>
      <c r="B135" s="1" t="n">
        <v>45008</v>
      </c>
      <c r="C135" s="1" t="n">
        <v>45359</v>
      </c>
      <c r="D135" t="inlineStr">
        <is>
          <t>JÄMTLANDS LÄN</t>
        </is>
      </c>
      <c r="E135" t="inlineStr">
        <is>
          <t>RAGUNDA</t>
        </is>
      </c>
      <c r="F135" t="inlineStr">
        <is>
          <t>SCA</t>
        </is>
      </c>
      <c r="G135" t="n">
        <v>3.6</v>
      </c>
      <c r="H135" t="n">
        <v>0</v>
      </c>
      <c r="I135" t="n">
        <v>1</v>
      </c>
      <c r="J135" t="n">
        <v>1</v>
      </c>
      <c r="K135" t="n">
        <v>0</v>
      </c>
      <c r="L135" t="n">
        <v>0</v>
      </c>
      <c r="M135" t="n">
        <v>0</v>
      </c>
      <c r="N135" t="n">
        <v>0</v>
      </c>
      <c r="O135" t="n">
        <v>1</v>
      </c>
      <c r="P135" t="n">
        <v>0</v>
      </c>
      <c r="Q135" t="n">
        <v>2</v>
      </c>
      <c r="R135" s="2" t="inlineStr">
        <is>
          <t>Garnlav
Källmossa</t>
        </is>
      </c>
      <c r="S135">
        <f>HYPERLINK("https://klasma.github.io/Logging_2303/artfynd/A 13899-2023 artfynd.xlsx", "A 13899-2023")</f>
        <v/>
      </c>
      <c r="T135">
        <f>HYPERLINK("https://klasma.github.io/Logging_2303/kartor/A 13899-2023 karta.png", "A 13899-2023")</f>
        <v/>
      </c>
      <c r="V135">
        <f>HYPERLINK("https://klasma.github.io/Logging_2303/klagomål/A 13899-2023 FSC-klagomål.docx", "A 13899-2023")</f>
        <v/>
      </c>
      <c r="W135">
        <f>HYPERLINK("https://klasma.github.io/Logging_2303/klagomålsmail/A 13899-2023 FSC-klagomål mail.docx", "A 13899-2023")</f>
        <v/>
      </c>
      <c r="X135">
        <f>HYPERLINK("https://klasma.github.io/Logging_2303/tillsyn/A 13899-2023 tillsynsbegäran.docx", "A 13899-2023")</f>
        <v/>
      </c>
      <c r="Y135">
        <f>HYPERLINK("https://klasma.github.io/Logging_2303/tillsynsmail/A 13899-2023 tillsynsbegäran mail.docx", "A 13899-2023")</f>
        <v/>
      </c>
    </row>
    <row r="136" ht="15" customHeight="1">
      <c r="A136" t="inlineStr">
        <is>
          <t>A 14075-2023</t>
        </is>
      </c>
      <c r="B136" s="1" t="n">
        <v>45009</v>
      </c>
      <c r="C136" s="1" t="n">
        <v>45359</v>
      </c>
      <c r="D136" t="inlineStr">
        <is>
          <t>JÄMTLANDS LÄN</t>
        </is>
      </c>
      <c r="E136" t="inlineStr">
        <is>
          <t>RAGUNDA</t>
        </is>
      </c>
      <c r="F136" t="inlineStr">
        <is>
          <t>SCA</t>
        </is>
      </c>
      <c r="G136" t="n">
        <v>9.5</v>
      </c>
      <c r="H136" t="n">
        <v>0</v>
      </c>
      <c r="I136" t="n">
        <v>0</v>
      </c>
      <c r="J136" t="n">
        <v>1</v>
      </c>
      <c r="K136" t="n">
        <v>1</v>
      </c>
      <c r="L136" t="n">
        <v>0</v>
      </c>
      <c r="M136" t="n">
        <v>0</v>
      </c>
      <c r="N136" t="n">
        <v>0</v>
      </c>
      <c r="O136" t="n">
        <v>2</v>
      </c>
      <c r="P136" t="n">
        <v>1</v>
      </c>
      <c r="Q136" t="n">
        <v>2</v>
      </c>
      <c r="R136" s="2" t="inlineStr">
        <is>
          <t>Gräddporing
Lunglav</t>
        </is>
      </c>
      <c r="S136">
        <f>HYPERLINK("https://klasma.github.io/Logging_2303/artfynd/A 14075-2023 artfynd.xlsx", "A 14075-2023")</f>
        <v/>
      </c>
      <c r="T136">
        <f>HYPERLINK("https://klasma.github.io/Logging_2303/kartor/A 14075-2023 karta.png", "A 14075-2023")</f>
        <v/>
      </c>
      <c r="V136">
        <f>HYPERLINK("https://klasma.github.io/Logging_2303/klagomål/A 14075-2023 FSC-klagomål.docx", "A 14075-2023")</f>
        <v/>
      </c>
      <c r="W136">
        <f>HYPERLINK("https://klasma.github.io/Logging_2303/klagomålsmail/A 14075-2023 FSC-klagomål mail.docx", "A 14075-2023")</f>
        <v/>
      </c>
      <c r="X136">
        <f>HYPERLINK("https://klasma.github.io/Logging_2303/tillsyn/A 14075-2023 tillsynsbegäran.docx", "A 14075-2023")</f>
        <v/>
      </c>
      <c r="Y136">
        <f>HYPERLINK("https://klasma.github.io/Logging_2303/tillsynsmail/A 14075-2023 tillsynsbegäran mail.docx", "A 14075-2023")</f>
        <v/>
      </c>
    </row>
    <row r="137" ht="15" customHeight="1">
      <c r="A137" t="inlineStr">
        <is>
          <t>A 22732-2023</t>
        </is>
      </c>
      <c r="B137" s="1" t="n">
        <v>45071</v>
      </c>
      <c r="C137" s="1" t="n">
        <v>45359</v>
      </c>
      <c r="D137" t="inlineStr">
        <is>
          <t>JÄMTLANDS LÄN</t>
        </is>
      </c>
      <c r="E137" t="inlineStr">
        <is>
          <t>RAGUNDA</t>
        </is>
      </c>
      <c r="G137" t="n">
        <v>3.8</v>
      </c>
      <c r="H137" t="n">
        <v>0</v>
      </c>
      <c r="I137" t="n">
        <v>1</v>
      </c>
      <c r="J137" t="n">
        <v>1</v>
      </c>
      <c r="K137" t="n">
        <v>0</v>
      </c>
      <c r="L137" t="n">
        <v>0</v>
      </c>
      <c r="M137" t="n">
        <v>0</v>
      </c>
      <c r="N137" t="n">
        <v>0</v>
      </c>
      <c r="O137" t="n">
        <v>1</v>
      </c>
      <c r="P137" t="n">
        <v>0</v>
      </c>
      <c r="Q137" t="n">
        <v>2</v>
      </c>
      <c r="R137" s="2" t="inlineStr">
        <is>
          <t>Lunglav
Stuplav</t>
        </is>
      </c>
      <c r="S137">
        <f>HYPERLINK("https://klasma.github.io/Logging_2303/artfynd/A 22732-2023 artfynd.xlsx", "A 22732-2023")</f>
        <v/>
      </c>
      <c r="T137">
        <f>HYPERLINK("https://klasma.github.io/Logging_2303/kartor/A 22732-2023 karta.png", "A 22732-2023")</f>
        <v/>
      </c>
      <c r="V137">
        <f>HYPERLINK("https://klasma.github.io/Logging_2303/klagomål/A 22732-2023 FSC-klagomål.docx", "A 22732-2023")</f>
        <v/>
      </c>
      <c r="W137">
        <f>HYPERLINK("https://klasma.github.io/Logging_2303/klagomålsmail/A 22732-2023 FSC-klagomål mail.docx", "A 22732-2023")</f>
        <v/>
      </c>
      <c r="X137">
        <f>HYPERLINK("https://klasma.github.io/Logging_2303/tillsyn/A 22732-2023 tillsynsbegäran.docx", "A 22732-2023")</f>
        <v/>
      </c>
      <c r="Y137">
        <f>HYPERLINK("https://klasma.github.io/Logging_2303/tillsynsmail/A 22732-2023 tillsynsbegäran mail.docx", "A 22732-2023")</f>
        <v/>
      </c>
    </row>
    <row r="138" ht="15" customHeight="1">
      <c r="A138" t="inlineStr">
        <is>
          <t>A 32736-2023</t>
        </is>
      </c>
      <c r="B138" s="1" t="n">
        <v>45121</v>
      </c>
      <c r="C138" s="1" t="n">
        <v>45359</v>
      </c>
      <c r="D138" t="inlineStr">
        <is>
          <t>JÄMTLANDS LÄN</t>
        </is>
      </c>
      <c r="E138" t="inlineStr">
        <is>
          <t>RAGUNDA</t>
        </is>
      </c>
      <c r="F138" t="inlineStr">
        <is>
          <t>SCA</t>
        </is>
      </c>
      <c r="G138" t="n">
        <v>2.5</v>
      </c>
      <c r="H138" t="n">
        <v>0</v>
      </c>
      <c r="I138" t="n">
        <v>1</v>
      </c>
      <c r="J138" t="n">
        <v>1</v>
      </c>
      <c r="K138" t="n">
        <v>0</v>
      </c>
      <c r="L138" t="n">
        <v>0</v>
      </c>
      <c r="M138" t="n">
        <v>0</v>
      </c>
      <c r="N138" t="n">
        <v>0</v>
      </c>
      <c r="O138" t="n">
        <v>1</v>
      </c>
      <c r="P138" t="n">
        <v>0</v>
      </c>
      <c r="Q138" t="n">
        <v>2</v>
      </c>
      <c r="R138" s="2" t="inlineStr">
        <is>
          <t>Vedtrappmossa
Stor aspticka</t>
        </is>
      </c>
      <c r="S138">
        <f>HYPERLINK("https://klasma.github.io/Logging_2303/artfynd/A 32736-2023 artfynd.xlsx", "A 32736-2023")</f>
        <v/>
      </c>
      <c r="T138">
        <f>HYPERLINK("https://klasma.github.io/Logging_2303/kartor/A 32736-2023 karta.png", "A 32736-2023")</f>
        <v/>
      </c>
      <c r="V138">
        <f>HYPERLINK("https://klasma.github.io/Logging_2303/klagomål/A 32736-2023 FSC-klagomål.docx", "A 32736-2023")</f>
        <v/>
      </c>
      <c r="W138">
        <f>HYPERLINK("https://klasma.github.io/Logging_2303/klagomålsmail/A 32736-2023 FSC-klagomål mail.docx", "A 32736-2023")</f>
        <v/>
      </c>
      <c r="X138">
        <f>HYPERLINK("https://klasma.github.io/Logging_2303/tillsyn/A 32736-2023 tillsynsbegäran.docx", "A 32736-2023")</f>
        <v/>
      </c>
      <c r="Y138">
        <f>HYPERLINK("https://klasma.github.io/Logging_2303/tillsynsmail/A 32736-2023 tillsynsbegäran mail.docx", "A 32736-2023")</f>
        <v/>
      </c>
    </row>
    <row r="139" ht="15" customHeight="1">
      <c r="A139" t="inlineStr">
        <is>
          <t>A 37236-2023</t>
        </is>
      </c>
      <c r="B139" s="1" t="n">
        <v>45155</v>
      </c>
      <c r="C139" s="1" t="n">
        <v>45359</v>
      </c>
      <c r="D139" t="inlineStr">
        <is>
          <t>JÄMTLANDS LÄN</t>
        </is>
      </c>
      <c r="E139" t="inlineStr">
        <is>
          <t>RAGUNDA</t>
        </is>
      </c>
      <c r="F139" t="inlineStr">
        <is>
          <t>SCA</t>
        </is>
      </c>
      <c r="G139" t="n">
        <v>4.7</v>
      </c>
      <c r="H139" t="n">
        <v>0</v>
      </c>
      <c r="I139" t="n">
        <v>0</v>
      </c>
      <c r="J139" t="n">
        <v>2</v>
      </c>
      <c r="K139" t="n">
        <v>0</v>
      </c>
      <c r="L139" t="n">
        <v>0</v>
      </c>
      <c r="M139" t="n">
        <v>0</v>
      </c>
      <c r="N139" t="n">
        <v>0</v>
      </c>
      <c r="O139" t="n">
        <v>2</v>
      </c>
      <c r="P139" t="n">
        <v>0</v>
      </c>
      <c r="Q139" t="n">
        <v>2</v>
      </c>
      <c r="R139" s="2" t="inlineStr">
        <is>
          <t>Kolflarnlav
Lunglav</t>
        </is>
      </c>
      <c r="S139">
        <f>HYPERLINK("https://klasma.github.io/Logging_2303/artfynd/A 37236-2023 artfynd.xlsx", "A 37236-2023")</f>
        <v/>
      </c>
      <c r="T139">
        <f>HYPERLINK("https://klasma.github.io/Logging_2303/kartor/A 37236-2023 karta.png", "A 37236-2023")</f>
        <v/>
      </c>
      <c r="U139">
        <f>HYPERLINK("https://klasma.github.io/Logging_2303/knärot/A 37236-2023 karta knärot.png", "A 37236-2023")</f>
        <v/>
      </c>
      <c r="V139">
        <f>HYPERLINK("https://klasma.github.io/Logging_2303/klagomål/A 37236-2023 FSC-klagomål.docx", "A 37236-2023")</f>
        <v/>
      </c>
      <c r="W139">
        <f>HYPERLINK("https://klasma.github.io/Logging_2303/klagomålsmail/A 37236-2023 FSC-klagomål mail.docx", "A 37236-2023")</f>
        <v/>
      </c>
      <c r="X139">
        <f>HYPERLINK("https://klasma.github.io/Logging_2303/tillsyn/A 37236-2023 tillsynsbegäran.docx", "A 37236-2023")</f>
        <v/>
      </c>
      <c r="Y139">
        <f>HYPERLINK("https://klasma.github.io/Logging_2303/tillsynsmail/A 37236-2023 tillsynsbegäran mail.docx", "A 37236-2023")</f>
        <v/>
      </c>
    </row>
    <row r="140" ht="15" customHeight="1">
      <c r="A140" t="inlineStr">
        <is>
          <t>A 39818-2023</t>
        </is>
      </c>
      <c r="B140" s="1" t="n">
        <v>45167</v>
      </c>
      <c r="C140" s="1" t="n">
        <v>45359</v>
      </c>
      <c r="D140" t="inlineStr">
        <is>
          <t>JÄMTLANDS LÄN</t>
        </is>
      </c>
      <c r="E140" t="inlineStr">
        <is>
          <t>RAGUNDA</t>
        </is>
      </c>
      <c r="F140" t="inlineStr">
        <is>
          <t>SCA</t>
        </is>
      </c>
      <c r="G140" t="n">
        <v>13.6</v>
      </c>
      <c r="H140" t="n">
        <v>0</v>
      </c>
      <c r="I140" t="n">
        <v>0</v>
      </c>
      <c r="J140" t="n">
        <v>2</v>
      </c>
      <c r="K140" t="n">
        <v>0</v>
      </c>
      <c r="L140" t="n">
        <v>0</v>
      </c>
      <c r="M140" t="n">
        <v>0</v>
      </c>
      <c r="N140" t="n">
        <v>0</v>
      </c>
      <c r="O140" t="n">
        <v>2</v>
      </c>
      <c r="P140" t="n">
        <v>0</v>
      </c>
      <c r="Q140" t="n">
        <v>2</v>
      </c>
      <c r="R140" s="2" t="inlineStr">
        <is>
          <t>Lunglav
Ullticka</t>
        </is>
      </c>
      <c r="S140">
        <f>HYPERLINK("https://klasma.github.io/Logging_2303/artfynd/A 39818-2023 artfynd.xlsx", "A 39818-2023")</f>
        <v/>
      </c>
      <c r="T140">
        <f>HYPERLINK("https://klasma.github.io/Logging_2303/kartor/A 39818-2023 karta.png", "A 39818-2023")</f>
        <v/>
      </c>
      <c r="V140">
        <f>HYPERLINK("https://klasma.github.io/Logging_2303/klagomål/A 39818-2023 FSC-klagomål.docx", "A 39818-2023")</f>
        <v/>
      </c>
      <c r="W140">
        <f>HYPERLINK("https://klasma.github.io/Logging_2303/klagomålsmail/A 39818-2023 FSC-klagomål mail.docx", "A 39818-2023")</f>
        <v/>
      </c>
      <c r="X140">
        <f>HYPERLINK("https://klasma.github.io/Logging_2303/tillsyn/A 39818-2023 tillsynsbegäran.docx", "A 39818-2023")</f>
        <v/>
      </c>
      <c r="Y140">
        <f>HYPERLINK("https://klasma.github.io/Logging_2303/tillsynsmail/A 39818-2023 tillsynsbegäran mail.docx", "A 39818-2023")</f>
        <v/>
      </c>
    </row>
    <row r="141" ht="15" customHeight="1">
      <c r="A141" t="inlineStr">
        <is>
          <t>A 40826-2023</t>
        </is>
      </c>
      <c r="B141" s="1" t="n">
        <v>45171</v>
      </c>
      <c r="C141" s="1" t="n">
        <v>45359</v>
      </c>
      <c r="D141" t="inlineStr">
        <is>
          <t>JÄMTLANDS LÄN</t>
        </is>
      </c>
      <c r="E141" t="inlineStr">
        <is>
          <t>RAGUNDA</t>
        </is>
      </c>
      <c r="F141" t="inlineStr">
        <is>
          <t>SCA</t>
        </is>
      </c>
      <c r="G141" t="n">
        <v>4.5</v>
      </c>
      <c r="H141" t="n">
        <v>0</v>
      </c>
      <c r="I141" t="n">
        <v>1</v>
      </c>
      <c r="J141" t="n">
        <v>1</v>
      </c>
      <c r="K141" t="n">
        <v>0</v>
      </c>
      <c r="L141" t="n">
        <v>0</v>
      </c>
      <c r="M141" t="n">
        <v>0</v>
      </c>
      <c r="N141" t="n">
        <v>0</v>
      </c>
      <c r="O141" t="n">
        <v>1</v>
      </c>
      <c r="P141" t="n">
        <v>0</v>
      </c>
      <c r="Q141" t="n">
        <v>2</v>
      </c>
      <c r="R141" s="2" t="inlineStr">
        <is>
          <t>Lunglav
Stuplav</t>
        </is>
      </c>
      <c r="S141">
        <f>HYPERLINK("https://klasma.github.io/Logging_2303/artfynd/A 40826-2023 artfynd.xlsx", "A 40826-2023")</f>
        <v/>
      </c>
      <c r="T141">
        <f>HYPERLINK("https://klasma.github.io/Logging_2303/kartor/A 40826-2023 karta.png", "A 40826-2023")</f>
        <v/>
      </c>
      <c r="V141">
        <f>HYPERLINK("https://klasma.github.io/Logging_2303/klagomål/A 40826-2023 FSC-klagomål.docx", "A 40826-2023")</f>
        <v/>
      </c>
      <c r="W141">
        <f>HYPERLINK("https://klasma.github.io/Logging_2303/klagomålsmail/A 40826-2023 FSC-klagomål mail.docx", "A 40826-2023")</f>
        <v/>
      </c>
      <c r="X141">
        <f>HYPERLINK("https://klasma.github.io/Logging_2303/tillsyn/A 40826-2023 tillsynsbegäran.docx", "A 40826-2023")</f>
        <v/>
      </c>
      <c r="Y141">
        <f>HYPERLINK("https://klasma.github.io/Logging_2303/tillsynsmail/A 40826-2023 tillsynsbegäran mail.docx", "A 40826-2023")</f>
        <v/>
      </c>
    </row>
    <row r="142" ht="15" customHeight="1">
      <c r="A142" t="inlineStr">
        <is>
          <t>A 41407-2023</t>
        </is>
      </c>
      <c r="B142" s="1" t="n">
        <v>45174</v>
      </c>
      <c r="C142" s="1" t="n">
        <v>45359</v>
      </c>
      <c r="D142" t="inlineStr">
        <is>
          <t>JÄMTLANDS LÄN</t>
        </is>
      </c>
      <c r="E142" t="inlineStr">
        <is>
          <t>RAGUNDA</t>
        </is>
      </c>
      <c r="F142" t="inlineStr">
        <is>
          <t>SCA</t>
        </is>
      </c>
      <c r="G142" t="n">
        <v>1.4</v>
      </c>
      <c r="H142" t="n">
        <v>0</v>
      </c>
      <c r="I142" t="n">
        <v>0</v>
      </c>
      <c r="J142" t="n">
        <v>1</v>
      </c>
      <c r="K142" t="n">
        <v>1</v>
      </c>
      <c r="L142" t="n">
        <v>0</v>
      </c>
      <c r="M142" t="n">
        <v>0</v>
      </c>
      <c r="N142" t="n">
        <v>0</v>
      </c>
      <c r="O142" t="n">
        <v>2</v>
      </c>
      <c r="P142" t="n">
        <v>1</v>
      </c>
      <c r="Q142" t="n">
        <v>2</v>
      </c>
      <c r="R142" s="2" t="inlineStr">
        <is>
          <t>Gräddporing
Dvärgbägarlav</t>
        </is>
      </c>
      <c r="S142">
        <f>HYPERLINK("https://klasma.github.io/Logging_2303/artfynd/A 41407-2023 artfynd.xlsx", "A 41407-2023")</f>
        <v/>
      </c>
      <c r="T142">
        <f>HYPERLINK("https://klasma.github.io/Logging_2303/kartor/A 41407-2023 karta.png", "A 41407-2023")</f>
        <v/>
      </c>
      <c r="V142">
        <f>HYPERLINK("https://klasma.github.io/Logging_2303/klagomål/A 41407-2023 FSC-klagomål.docx", "A 41407-2023")</f>
        <v/>
      </c>
      <c r="W142">
        <f>HYPERLINK("https://klasma.github.io/Logging_2303/klagomålsmail/A 41407-2023 FSC-klagomål mail.docx", "A 41407-2023")</f>
        <v/>
      </c>
      <c r="X142">
        <f>HYPERLINK("https://klasma.github.io/Logging_2303/tillsyn/A 41407-2023 tillsynsbegäran.docx", "A 41407-2023")</f>
        <v/>
      </c>
      <c r="Y142">
        <f>HYPERLINK("https://klasma.github.io/Logging_2303/tillsynsmail/A 41407-2023 tillsynsbegäran mail.docx", "A 41407-2023")</f>
        <v/>
      </c>
    </row>
    <row r="143" ht="15" customHeight="1">
      <c r="A143" t="inlineStr">
        <is>
          <t>A 43232-2023</t>
        </is>
      </c>
      <c r="B143" s="1" t="n">
        <v>45180</v>
      </c>
      <c r="C143" s="1" t="n">
        <v>45359</v>
      </c>
      <c r="D143" t="inlineStr">
        <is>
          <t>JÄMTLANDS LÄN</t>
        </is>
      </c>
      <c r="E143" t="inlineStr">
        <is>
          <t>RAGUNDA</t>
        </is>
      </c>
      <c r="G143" t="n">
        <v>7.9</v>
      </c>
      <c r="H143" t="n">
        <v>0</v>
      </c>
      <c r="I143" t="n">
        <v>0</v>
      </c>
      <c r="J143" t="n">
        <v>2</v>
      </c>
      <c r="K143" t="n">
        <v>0</v>
      </c>
      <c r="L143" t="n">
        <v>0</v>
      </c>
      <c r="M143" t="n">
        <v>0</v>
      </c>
      <c r="N143" t="n">
        <v>0</v>
      </c>
      <c r="O143" t="n">
        <v>2</v>
      </c>
      <c r="P143" t="n">
        <v>0</v>
      </c>
      <c r="Q143" t="n">
        <v>2</v>
      </c>
      <c r="R143" s="2" t="inlineStr">
        <is>
          <t>Garnlav
Ullticka</t>
        </is>
      </c>
      <c r="S143">
        <f>HYPERLINK("https://klasma.github.io/Logging_2303/artfynd/A 43232-2023 artfynd.xlsx", "A 43232-2023")</f>
        <v/>
      </c>
      <c r="T143">
        <f>HYPERLINK("https://klasma.github.io/Logging_2303/kartor/A 43232-2023 karta.png", "A 43232-2023")</f>
        <v/>
      </c>
      <c r="V143">
        <f>HYPERLINK("https://klasma.github.io/Logging_2303/klagomål/A 43232-2023 FSC-klagomål.docx", "A 43232-2023")</f>
        <v/>
      </c>
      <c r="W143">
        <f>HYPERLINK("https://klasma.github.io/Logging_2303/klagomålsmail/A 43232-2023 FSC-klagomål mail.docx", "A 43232-2023")</f>
        <v/>
      </c>
      <c r="X143">
        <f>HYPERLINK("https://klasma.github.io/Logging_2303/tillsyn/A 43232-2023 tillsynsbegäran.docx", "A 43232-2023")</f>
        <v/>
      </c>
      <c r="Y143">
        <f>HYPERLINK("https://klasma.github.io/Logging_2303/tillsynsmail/A 43232-2023 tillsynsbegäran mail.docx", "A 43232-2023")</f>
        <v/>
      </c>
    </row>
    <row r="144" ht="15" customHeight="1">
      <c r="A144" t="inlineStr">
        <is>
          <t>A 44409-2023</t>
        </is>
      </c>
      <c r="B144" s="1" t="n">
        <v>45188</v>
      </c>
      <c r="C144" s="1" t="n">
        <v>45359</v>
      </c>
      <c r="D144" t="inlineStr">
        <is>
          <t>JÄMTLANDS LÄN</t>
        </is>
      </c>
      <c r="E144" t="inlineStr">
        <is>
          <t>RAGUNDA</t>
        </is>
      </c>
      <c r="F144" t="inlineStr">
        <is>
          <t>SCA</t>
        </is>
      </c>
      <c r="G144" t="n">
        <v>2.5</v>
      </c>
      <c r="H144" t="n">
        <v>0</v>
      </c>
      <c r="I144" t="n">
        <v>1</v>
      </c>
      <c r="J144" t="n">
        <v>1</v>
      </c>
      <c r="K144" t="n">
        <v>0</v>
      </c>
      <c r="L144" t="n">
        <v>0</v>
      </c>
      <c r="M144" t="n">
        <v>0</v>
      </c>
      <c r="N144" t="n">
        <v>0</v>
      </c>
      <c r="O144" t="n">
        <v>1</v>
      </c>
      <c r="P144" t="n">
        <v>0</v>
      </c>
      <c r="Q144" t="n">
        <v>2</v>
      </c>
      <c r="R144" s="2" t="inlineStr">
        <is>
          <t>Garnlav
Norrlandslav</t>
        </is>
      </c>
      <c r="S144">
        <f>HYPERLINK("https://klasma.github.io/Logging_2303/artfynd/A 44409-2023 artfynd.xlsx", "A 44409-2023")</f>
        <v/>
      </c>
      <c r="T144">
        <f>HYPERLINK("https://klasma.github.io/Logging_2303/kartor/A 44409-2023 karta.png", "A 44409-2023")</f>
        <v/>
      </c>
      <c r="V144">
        <f>HYPERLINK("https://klasma.github.io/Logging_2303/klagomål/A 44409-2023 FSC-klagomål.docx", "A 44409-2023")</f>
        <v/>
      </c>
      <c r="W144">
        <f>HYPERLINK("https://klasma.github.io/Logging_2303/klagomålsmail/A 44409-2023 FSC-klagomål mail.docx", "A 44409-2023")</f>
        <v/>
      </c>
      <c r="X144">
        <f>HYPERLINK("https://klasma.github.io/Logging_2303/tillsyn/A 44409-2023 tillsynsbegäran.docx", "A 44409-2023")</f>
        <v/>
      </c>
      <c r="Y144">
        <f>HYPERLINK("https://klasma.github.io/Logging_2303/tillsynsmail/A 44409-2023 tillsynsbegäran mail.docx", "A 44409-2023")</f>
        <v/>
      </c>
    </row>
    <row r="145" ht="15" customHeight="1">
      <c r="A145" t="inlineStr">
        <is>
          <t>A 45021-2023</t>
        </is>
      </c>
      <c r="B145" s="1" t="n">
        <v>45190</v>
      </c>
      <c r="C145" s="1" t="n">
        <v>45359</v>
      </c>
      <c r="D145" t="inlineStr">
        <is>
          <t>JÄMTLANDS LÄN</t>
        </is>
      </c>
      <c r="E145" t="inlineStr">
        <is>
          <t>RAGUNDA</t>
        </is>
      </c>
      <c r="F145" t="inlineStr">
        <is>
          <t>SCA</t>
        </is>
      </c>
      <c r="G145" t="n">
        <v>1.6</v>
      </c>
      <c r="H145" t="n">
        <v>1</v>
      </c>
      <c r="I145" t="n">
        <v>0</v>
      </c>
      <c r="J145" t="n">
        <v>1</v>
      </c>
      <c r="K145" t="n">
        <v>0</v>
      </c>
      <c r="L145" t="n">
        <v>0</v>
      </c>
      <c r="M145" t="n">
        <v>0</v>
      </c>
      <c r="N145" t="n">
        <v>0</v>
      </c>
      <c r="O145" t="n">
        <v>1</v>
      </c>
      <c r="P145" t="n">
        <v>0</v>
      </c>
      <c r="Q145" t="n">
        <v>2</v>
      </c>
      <c r="R145" s="2" t="inlineStr">
        <is>
          <t>Lunglav
Fläcknycklar</t>
        </is>
      </c>
      <c r="S145">
        <f>HYPERLINK("https://klasma.github.io/Logging_2303/artfynd/A 45021-2023 artfynd.xlsx", "A 45021-2023")</f>
        <v/>
      </c>
      <c r="T145">
        <f>HYPERLINK("https://klasma.github.io/Logging_2303/kartor/A 45021-2023 karta.png", "A 45021-2023")</f>
        <v/>
      </c>
      <c r="V145">
        <f>HYPERLINK("https://klasma.github.io/Logging_2303/klagomål/A 45021-2023 FSC-klagomål.docx", "A 45021-2023")</f>
        <v/>
      </c>
      <c r="W145">
        <f>HYPERLINK("https://klasma.github.io/Logging_2303/klagomålsmail/A 45021-2023 FSC-klagomål mail.docx", "A 45021-2023")</f>
        <v/>
      </c>
      <c r="X145">
        <f>HYPERLINK("https://klasma.github.io/Logging_2303/tillsyn/A 45021-2023 tillsynsbegäran.docx", "A 45021-2023")</f>
        <v/>
      </c>
      <c r="Y145">
        <f>HYPERLINK("https://klasma.github.io/Logging_2303/tillsynsmail/A 45021-2023 tillsynsbegäran mail.docx", "A 45021-2023")</f>
        <v/>
      </c>
    </row>
    <row r="146" ht="15" customHeight="1">
      <c r="A146" t="inlineStr">
        <is>
          <t>A 45035-2023</t>
        </is>
      </c>
      <c r="B146" s="1" t="n">
        <v>45191</v>
      </c>
      <c r="C146" s="1" t="n">
        <v>45359</v>
      </c>
      <c r="D146" t="inlineStr">
        <is>
          <t>JÄMTLANDS LÄN</t>
        </is>
      </c>
      <c r="E146" t="inlineStr">
        <is>
          <t>RAGUNDA</t>
        </is>
      </c>
      <c r="G146" t="n">
        <v>2.9</v>
      </c>
      <c r="H146" t="n">
        <v>0</v>
      </c>
      <c r="I146" t="n">
        <v>1</v>
      </c>
      <c r="J146" t="n">
        <v>1</v>
      </c>
      <c r="K146" t="n">
        <v>0</v>
      </c>
      <c r="L146" t="n">
        <v>0</v>
      </c>
      <c r="M146" t="n">
        <v>0</v>
      </c>
      <c r="N146" t="n">
        <v>0</v>
      </c>
      <c r="O146" t="n">
        <v>1</v>
      </c>
      <c r="P146" t="n">
        <v>0</v>
      </c>
      <c r="Q146" t="n">
        <v>2</v>
      </c>
      <c r="R146" s="2" t="inlineStr">
        <is>
          <t>Lunglav
Korallblylav</t>
        </is>
      </c>
      <c r="S146">
        <f>HYPERLINK("https://klasma.github.io/Logging_2303/artfynd/A 45035-2023 artfynd.xlsx", "A 45035-2023")</f>
        <v/>
      </c>
      <c r="T146">
        <f>HYPERLINK("https://klasma.github.io/Logging_2303/kartor/A 45035-2023 karta.png", "A 45035-2023")</f>
        <v/>
      </c>
      <c r="V146">
        <f>HYPERLINK("https://klasma.github.io/Logging_2303/klagomål/A 45035-2023 FSC-klagomål.docx", "A 45035-2023")</f>
        <v/>
      </c>
      <c r="W146">
        <f>HYPERLINK("https://klasma.github.io/Logging_2303/klagomålsmail/A 45035-2023 FSC-klagomål mail.docx", "A 45035-2023")</f>
        <v/>
      </c>
      <c r="X146">
        <f>HYPERLINK("https://klasma.github.io/Logging_2303/tillsyn/A 45035-2023 tillsynsbegäran.docx", "A 45035-2023")</f>
        <v/>
      </c>
      <c r="Y146">
        <f>HYPERLINK("https://klasma.github.io/Logging_2303/tillsynsmail/A 45035-2023 tillsynsbegäran mail.docx", "A 45035-2023")</f>
        <v/>
      </c>
    </row>
    <row r="147" ht="15" customHeight="1">
      <c r="A147" t="inlineStr">
        <is>
          <t>A 48427-2023</t>
        </is>
      </c>
      <c r="B147" s="1" t="n">
        <v>45205</v>
      </c>
      <c r="C147" s="1" t="n">
        <v>45359</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48427-2023 artfynd.xlsx", "A 48427-2023")</f>
        <v/>
      </c>
      <c r="T147">
        <f>HYPERLINK("https://klasma.github.io/Logging_2303/kartor/A 48427-2023 karta.png", "A 48427-2023")</f>
        <v/>
      </c>
      <c r="V147">
        <f>HYPERLINK("https://klasma.github.io/Logging_2303/klagomål/A 48427-2023 FSC-klagomål.docx", "A 48427-2023")</f>
        <v/>
      </c>
      <c r="W147">
        <f>HYPERLINK("https://klasma.github.io/Logging_2303/klagomålsmail/A 48427-2023 FSC-klagomål mail.docx", "A 48427-2023")</f>
        <v/>
      </c>
      <c r="X147">
        <f>HYPERLINK("https://klasma.github.io/Logging_2303/tillsyn/A 48427-2023 tillsynsbegäran.docx", "A 48427-2023")</f>
        <v/>
      </c>
      <c r="Y147">
        <f>HYPERLINK("https://klasma.github.io/Logging_2303/tillsynsmail/A 48427-2023 tillsynsbegäran mail.docx", "A 48427-2023")</f>
        <v/>
      </c>
    </row>
    <row r="148" ht="15" customHeight="1">
      <c r="A148" t="inlineStr">
        <is>
          <t>A 48474-2023</t>
        </is>
      </c>
      <c r="B148" s="1" t="n">
        <v>45206</v>
      </c>
      <c r="C148" s="1" t="n">
        <v>45359</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48474-2023 artfynd.xlsx", "A 48474-2023")</f>
        <v/>
      </c>
      <c r="T148">
        <f>HYPERLINK("https://klasma.github.io/Logging_2303/kartor/A 48474-2023 karta.png", "A 48474-2023")</f>
        <v/>
      </c>
      <c r="V148">
        <f>HYPERLINK("https://klasma.github.io/Logging_2303/klagomål/A 48474-2023 FSC-klagomål.docx", "A 48474-2023")</f>
        <v/>
      </c>
      <c r="W148">
        <f>HYPERLINK("https://klasma.github.io/Logging_2303/klagomålsmail/A 48474-2023 FSC-klagomål mail.docx", "A 48474-2023")</f>
        <v/>
      </c>
      <c r="X148">
        <f>HYPERLINK("https://klasma.github.io/Logging_2303/tillsyn/A 48474-2023 tillsynsbegäran.docx", "A 48474-2023")</f>
        <v/>
      </c>
      <c r="Y148">
        <f>HYPERLINK("https://klasma.github.io/Logging_2303/tillsynsmail/A 48474-2023 tillsynsbegäran mail.docx", "A 48474-2023")</f>
        <v/>
      </c>
    </row>
    <row r="149" ht="15" customHeight="1">
      <c r="A149" t="inlineStr">
        <is>
          <t>A 55647-2023</t>
        </is>
      </c>
      <c r="B149" s="1" t="n">
        <v>45238</v>
      </c>
      <c r="C149" s="1" t="n">
        <v>45359</v>
      </c>
      <c r="D149" t="inlineStr">
        <is>
          <t>JÄMTLANDS LÄN</t>
        </is>
      </c>
      <c r="E149" t="inlineStr">
        <is>
          <t>RAGUNDA</t>
        </is>
      </c>
      <c r="F149" t="inlineStr">
        <is>
          <t>SCA</t>
        </is>
      </c>
      <c r="G149" t="n">
        <v>3.7</v>
      </c>
      <c r="H149" t="n">
        <v>0</v>
      </c>
      <c r="I149" t="n">
        <v>1</v>
      </c>
      <c r="J149" t="n">
        <v>1</v>
      </c>
      <c r="K149" t="n">
        <v>0</v>
      </c>
      <c r="L149" t="n">
        <v>0</v>
      </c>
      <c r="M149" t="n">
        <v>0</v>
      </c>
      <c r="N149" t="n">
        <v>0</v>
      </c>
      <c r="O149" t="n">
        <v>1</v>
      </c>
      <c r="P149" t="n">
        <v>0</v>
      </c>
      <c r="Q149" t="n">
        <v>2</v>
      </c>
      <c r="R149" s="2" t="inlineStr">
        <is>
          <t>Granticka
Trådticka</t>
        </is>
      </c>
      <c r="S149">
        <f>HYPERLINK("https://klasma.github.io/Logging_2303/artfynd/A 55647-2023 artfynd.xlsx", "A 55647-2023")</f>
        <v/>
      </c>
      <c r="T149">
        <f>HYPERLINK("https://klasma.github.io/Logging_2303/kartor/A 55647-2023 karta.png", "A 55647-2023")</f>
        <v/>
      </c>
      <c r="V149">
        <f>HYPERLINK("https://klasma.github.io/Logging_2303/klagomål/A 55647-2023 FSC-klagomål.docx", "A 55647-2023")</f>
        <v/>
      </c>
      <c r="W149">
        <f>HYPERLINK("https://klasma.github.io/Logging_2303/klagomålsmail/A 55647-2023 FSC-klagomål mail.docx", "A 55647-2023")</f>
        <v/>
      </c>
      <c r="X149">
        <f>HYPERLINK("https://klasma.github.io/Logging_2303/tillsyn/A 55647-2023 tillsynsbegäran.docx", "A 55647-2023")</f>
        <v/>
      </c>
      <c r="Y149">
        <f>HYPERLINK("https://klasma.github.io/Logging_2303/tillsynsmail/A 55647-2023 tillsynsbegäran mail.docx", "A 55647-2023")</f>
        <v/>
      </c>
    </row>
    <row r="150" ht="15" customHeight="1">
      <c r="A150" t="inlineStr">
        <is>
          <t>A 56285-2023</t>
        </is>
      </c>
      <c r="B150" s="1" t="n">
        <v>45241</v>
      </c>
      <c r="C150" s="1" t="n">
        <v>45359</v>
      </c>
      <c r="D150" t="inlineStr">
        <is>
          <t>JÄMTLANDS LÄN</t>
        </is>
      </c>
      <c r="E150" t="inlineStr">
        <is>
          <t>RAGUNDA</t>
        </is>
      </c>
      <c r="F150" t="inlineStr">
        <is>
          <t>SCA</t>
        </is>
      </c>
      <c r="G150" t="n">
        <v>5.5</v>
      </c>
      <c r="H150" t="n">
        <v>0</v>
      </c>
      <c r="I150" t="n">
        <v>0</v>
      </c>
      <c r="J150" t="n">
        <v>2</v>
      </c>
      <c r="K150" t="n">
        <v>0</v>
      </c>
      <c r="L150" t="n">
        <v>0</v>
      </c>
      <c r="M150" t="n">
        <v>0</v>
      </c>
      <c r="N150" t="n">
        <v>0</v>
      </c>
      <c r="O150" t="n">
        <v>2</v>
      </c>
      <c r="P150" t="n">
        <v>0</v>
      </c>
      <c r="Q150" t="n">
        <v>2</v>
      </c>
      <c r="R150" s="2" t="inlineStr">
        <is>
          <t>Lunglav
Skrovellav</t>
        </is>
      </c>
      <c r="S150">
        <f>HYPERLINK("https://klasma.github.io/Logging_2303/artfynd/A 56285-2023 artfynd.xlsx", "A 56285-2023")</f>
        <v/>
      </c>
      <c r="T150">
        <f>HYPERLINK("https://klasma.github.io/Logging_2303/kartor/A 56285-2023 karta.png", "A 56285-2023")</f>
        <v/>
      </c>
      <c r="V150">
        <f>HYPERLINK("https://klasma.github.io/Logging_2303/klagomål/A 56285-2023 FSC-klagomål.docx", "A 56285-2023")</f>
        <v/>
      </c>
      <c r="W150">
        <f>HYPERLINK("https://klasma.github.io/Logging_2303/klagomålsmail/A 56285-2023 FSC-klagomål mail.docx", "A 56285-2023")</f>
        <v/>
      </c>
      <c r="X150">
        <f>HYPERLINK("https://klasma.github.io/Logging_2303/tillsyn/A 56285-2023 tillsynsbegäran.docx", "A 56285-2023")</f>
        <v/>
      </c>
      <c r="Y150">
        <f>HYPERLINK("https://klasma.github.io/Logging_2303/tillsynsmail/A 56285-2023 tillsynsbegäran mail.docx", "A 56285-2023")</f>
        <v/>
      </c>
    </row>
    <row r="151" ht="15" customHeight="1">
      <c r="A151" t="inlineStr">
        <is>
          <t>A 3838-2024</t>
        </is>
      </c>
      <c r="B151" s="1" t="n">
        <v>45321</v>
      </c>
      <c r="C151" s="1" t="n">
        <v>45359</v>
      </c>
      <c r="D151" t="inlineStr">
        <is>
          <t>JÄMTLANDS LÄN</t>
        </is>
      </c>
      <c r="E151" t="inlineStr">
        <is>
          <t>RAGUNDA</t>
        </is>
      </c>
      <c r="F151" t="inlineStr">
        <is>
          <t>SCA</t>
        </is>
      </c>
      <c r="G151" t="n">
        <v>2</v>
      </c>
      <c r="H151" t="n">
        <v>1</v>
      </c>
      <c r="I151" t="n">
        <v>1</v>
      </c>
      <c r="J151" t="n">
        <v>1</v>
      </c>
      <c r="K151" t="n">
        <v>0</v>
      </c>
      <c r="L151" t="n">
        <v>0</v>
      </c>
      <c r="M151" t="n">
        <v>0</v>
      </c>
      <c r="N151" t="n">
        <v>0</v>
      </c>
      <c r="O151" t="n">
        <v>1</v>
      </c>
      <c r="P151" t="n">
        <v>0</v>
      </c>
      <c r="Q151" t="n">
        <v>2</v>
      </c>
      <c r="R151" s="2" t="inlineStr">
        <is>
          <t>Garnlav
Guckusko</t>
        </is>
      </c>
      <c r="S151">
        <f>HYPERLINK("https://klasma.github.io/Logging_2303/artfynd/A 3838-2024 artfynd.xlsx", "A 3838-2024")</f>
        <v/>
      </c>
      <c r="T151">
        <f>HYPERLINK("https://klasma.github.io/Logging_2303/kartor/A 3838-2024 karta.png", "A 3838-2024")</f>
        <v/>
      </c>
      <c r="V151">
        <f>HYPERLINK("https://klasma.github.io/Logging_2303/klagomål/A 3838-2024 FSC-klagomål.docx", "A 3838-2024")</f>
        <v/>
      </c>
      <c r="W151">
        <f>HYPERLINK("https://klasma.github.io/Logging_2303/klagomålsmail/A 3838-2024 FSC-klagomål mail.docx", "A 3838-2024")</f>
        <v/>
      </c>
      <c r="X151">
        <f>HYPERLINK("https://klasma.github.io/Logging_2303/tillsyn/A 3838-2024 tillsynsbegäran.docx", "A 3838-2024")</f>
        <v/>
      </c>
      <c r="Y151">
        <f>HYPERLINK("https://klasma.github.io/Logging_2303/tillsynsmail/A 3838-2024 tillsynsbegäran mail.docx", "A 3838-2024")</f>
        <v/>
      </c>
    </row>
    <row r="152" ht="15" customHeight="1">
      <c r="A152" t="inlineStr">
        <is>
          <t>A 11079-2019</t>
        </is>
      </c>
      <c r="B152" s="1" t="n">
        <v>43515</v>
      </c>
      <c r="C152" s="1" t="n">
        <v>45359</v>
      </c>
      <c r="D152" t="inlineStr">
        <is>
          <t>JÄMTLANDS LÄN</t>
        </is>
      </c>
      <c r="E152" t="inlineStr">
        <is>
          <t>RAGUNDA</t>
        </is>
      </c>
      <c r="G152" t="n">
        <v>0.9</v>
      </c>
      <c r="H152" t="n">
        <v>1</v>
      </c>
      <c r="I152" t="n">
        <v>0</v>
      </c>
      <c r="J152" t="n">
        <v>0</v>
      </c>
      <c r="K152" t="n">
        <v>1</v>
      </c>
      <c r="L152" t="n">
        <v>0</v>
      </c>
      <c r="M152" t="n">
        <v>0</v>
      </c>
      <c r="N152" t="n">
        <v>0</v>
      </c>
      <c r="O152" t="n">
        <v>1</v>
      </c>
      <c r="P152" t="n">
        <v>1</v>
      </c>
      <c r="Q152" t="n">
        <v>1</v>
      </c>
      <c r="R152" s="2" t="inlineStr">
        <is>
          <t>Bombmurkla</t>
        </is>
      </c>
      <c r="S152">
        <f>HYPERLINK("https://klasma.github.io/Logging_2303/artfynd/A 11079-2019 artfynd.xlsx", "A 11079-2019")</f>
        <v/>
      </c>
      <c r="T152">
        <f>HYPERLINK("https://klasma.github.io/Logging_2303/kartor/A 11079-2019 karta.png", "A 11079-2019")</f>
        <v/>
      </c>
      <c r="V152">
        <f>HYPERLINK("https://klasma.github.io/Logging_2303/klagomål/A 11079-2019 FSC-klagomål.docx", "A 11079-2019")</f>
        <v/>
      </c>
      <c r="W152">
        <f>HYPERLINK("https://klasma.github.io/Logging_2303/klagomålsmail/A 11079-2019 FSC-klagomål mail.docx", "A 11079-2019")</f>
        <v/>
      </c>
      <c r="X152">
        <f>HYPERLINK("https://klasma.github.io/Logging_2303/tillsyn/A 11079-2019 tillsynsbegäran.docx", "A 11079-2019")</f>
        <v/>
      </c>
      <c r="Y152">
        <f>HYPERLINK("https://klasma.github.io/Logging_2303/tillsynsmail/A 11079-2019 tillsynsbegäran mail.docx", "A 11079-2019")</f>
        <v/>
      </c>
    </row>
    <row r="153" ht="15" customHeight="1">
      <c r="A153" t="inlineStr">
        <is>
          <t>A 33241-2019</t>
        </is>
      </c>
      <c r="B153" s="1" t="n">
        <v>43650</v>
      </c>
      <c r="C153" s="1" t="n">
        <v>45359</v>
      </c>
      <c r="D153" t="inlineStr">
        <is>
          <t>JÄMTLANDS LÄN</t>
        </is>
      </c>
      <c r="E153" t="inlineStr">
        <is>
          <t>RAGUNDA</t>
        </is>
      </c>
      <c r="G153" t="n">
        <v>6.3</v>
      </c>
      <c r="H153" t="n">
        <v>0</v>
      </c>
      <c r="I153" t="n">
        <v>0</v>
      </c>
      <c r="J153" t="n">
        <v>1</v>
      </c>
      <c r="K153" t="n">
        <v>0</v>
      </c>
      <c r="L153" t="n">
        <v>0</v>
      </c>
      <c r="M153" t="n">
        <v>0</v>
      </c>
      <c r="N153" t="n">
        <v>0</v>
      </c>
      <c r="O153" t="n">
        <v>1</v>
      </c>
      <c r="P153" t="n">
        <v>0</v>
      </c>
      <c r="Q153" t="n">
        <v>1</v>
      </c>
      <c r="R153" s="2" t="inlineStr">
        <is>
          <t>Garnlav</t>
        </is>
      </c>
      <c r="S153">
        <f>HYPERLINK("https://klasma.github.io/Logging_2303/artfynd/A 33241-2019 artfynd.xlsx", "A 33241-2019")</f>
        <v/>
      </c>
      <c r="T153">
        <f>HYPERLINK("https://klasma.github.io/Logging_2303/kartor/A 33241-2019 karta.png", "A 33241-2019")</f>
        <v/>
      </c>
      <c r="V153">
        <f>HYPERLINK("https://klasma.github.io/Logging_2303/klagomål/A 33241-2019 FSC-klagomål.docx", "A 33241-2019")</f>
        <v/>
      </c>
      <c r="W153">
        <f>HYPERLINK("https://klasma.github.io/Logging_2303/klagomålsmail/A 33241-2019 FSC-klagomål mail.docx", "A 33241-2019")</f>
        <v/>
      </c>
      <c r="X153">
        <f>HYPERLINK("https://klasma.github.io/Logging_2303/tillsyn/A 33241-2019 tillsynsbegäran.docx", "A 33241-2019")</f>
        <v/>
      </c>
      <c r="Y153">
        <f>HYPERLINK("https://klasma.github.io/Logging_2303/tillsynsmail/A 33241-2019 tillsynsbegäran mail.docx", "A 33241-2019")</f>
        <v/>
      </c>
    </row>
    <row r="154" ht="15" customHeight="1">
      <c r="A154" t="inlineStr">
        <is>
          <t>A 61777-2019</t>
        </is>
      </c>
      <c r="B154" s="1" t="n">
        <v>43784</v>
      </c>
      <c r="C154" s="1" t="n">
        <v>45359</v>
      </c>
      <c r="D154" t="inlineStr">
        <is>
          <t>JÄMTLANDS LÄN</t>
        </is>
      </c>
      <c r="E154" t="inlineStr">
        <is>
          <t>RAGUNDA</t>
        </is>
      </c>
      <c r="F154" t="inlineStr">
        <is>
          <t>SCA</t>
        </is>
      </c>
      <c r="G154" t="n">
        <v>6.1</v>
      </c>
      <c r="H154" t="n">
        <v>1</v>
      </c>
      <c r="I154" t="n">
        <v>1</v>
      </c>
      <c r="J154" t="n">
        <v>0</v>
      </c>
      <c r="K154" t="n">
        <v>0</v>
      </c>
      <c r="L154" t="n">
        <v>0</v>
      </c>
      <c r="M154" t="n">
        <v>0</v>
      </c>
      <c r="N154" t="n">
        <v>0</v>
      </c>
      <c r="O154" t="n">
        <v>0</v>
      </c>
      <c r="P154" t="n">
        <v>0</v>
      </c>
      <c r="Q154" t="n">
        <v>1</v>
      </c>
      <c r="R154" s="2" t="inlineStr">
        <is>
          <t>Guckusko</t>
        </is>
      </c>
      <c r="S154">
        <f>HYPERLINK("https://klasma.github.io/Logging_2303/artfynd/A 61777-2019 artfynd.xlsx", "A 61777-2019")</f>
        <v/>
      </c>
      <c r="T154">
        <f>HYPERLINK("https://klasma.github.io/Logging_2303/kartor/A 61777-2019 karta.png", "A 61777-2019")</f>
        <v/>
      </c>
      <c r="V154">
        <f>HYPERLINK("https://klasma.github.io/Logging_2303/klagomål/A 61777-2019 FSC-klagomål.docx", "A 61777-2019")</f>
        <v/>
      </c>
      <c r="W154">
        <f>HYPERLINK("https://klasma.github.io/Logging_2303/klagomålsmail/A 61777-2019 FSC-klagomål mail.docx", "A 61777-2019")</f>
        <v/>
      </c>
      <c r="X154">
        <f>HYPERLINK("https://klasma.github.io/Logging_2303/tillsyn/A 61777-2019 tillsynsbegäran.docx", "A 61777-2019")</f>
        <v/>
      </c>
      <c r="Y154">
        <f>HYPERLINK("https://klasma.github.io/Logging_2303/tillsynsmail/A 61777-2019 tillsynsbegäran mail.docx", "A 61777-2019")</f>
        <v/>
      </c>
    </row>
    <row r="155" ht="15" customHeight="1">
      <c r="A155" t="inlineStr">
        <is>
          <t>A 63221-2019</t>
        </is>
      </c>
      <c r="B155" s="1" t="n">
        <v>43791</v>
      </c>
      <c r="C155" s="1" t="n">
        <v>45359</v>
      </c>
      <c r="D155" t="inlineStr">
        <is>
          <t>JÄMTLANDS LÄN</t>
        </is>
      </c>
      <c r="E155" t="inlineStr">
        <is>
          <t>RAGUNDA</t>
        </is>
      </c>
      <c r="G155" t="n">
        <v>2.2</v>
      </c>
      <c r="H155" t="n">
        <v>0</v>
      </c>
      <c r="I155" t="n">
        <v>1</v>
      </c>
      <c r="J155" t="n">
        <v>0</v>
      </c>
      <c r="K155" t="n">
        <v>0</v>
      </c>
      <c r="L155" t="n">
        <v>0</v>
      </c>
      <c r="M155" t="n">
        <v>0</v>
      </c>
      <c r="N155" t="n">
        <v>0</v>
      </c>
      <c r="O155" t="n">
        <v>0</v>
      </c>
      <c r="P155" t="n">
        <v>0</v>
      </c>
      <c r="Q155" t="n">
        <v>1</v>
      </c>
      <c r="R155" s="2" t="inlineStr">
        <is>
          <t>Dvärghäxört</t>
        </is>
      </c>
      <c r="S155">
        <f>HYPERLINK("https://klasma.github.io/Logging_2303/artfynd/A 63221-2019 artfynd.xlsx", "A 63221-2019")</f>
        <v/>
      </c>
      <c r="T155">
        <f>HYPERLINK("https://klasma.github.io/Logging_2303/kartor/A 63221-2019 karta.png", "A 63221-2019")</f>
        <v/>
      </c>
      <c r="V155">
        <f>HYPERLINK("https://klasma.github.io/Logging_2303/klagomål/A 63221-2019 FSC-klagomål.docx", "A 63221-2019")</f>
        <v/>
      </c>
      <c r="W155">
        <f>HYPERLINK("https://klasma.github.io/Logging_2303/klagomålsmail/A 63221-2019 FSC-klagomål mail.docx", "A 63221-2019")</f>
        <v/>
      </c>
      <c r="X155">
        <f>HYPERLINK("https://klasma.github.io/Logging_2303/tillsyn/A 63221-2019 tillsynsbegäran.docx", "A 63221-2019")</f>
        <v/>
      </c>
      <c r="Y155">
        <f>HYPERLINK("https://klasma.github.io/Logging_2303/tillsynsmail/A 63221-2019 tillsynsbegäran mail.docx", "A 63221-2019")</f>
        <v/>
      </c>
    </row>
    <row r="156" ht="15" customHeight="1">
      <c r="A156" t="inlineStr">
        <is>
          <t>A 24657-2020</t>
        </is>
      </c>
      <c r="B156" s="1" t="n">
        <v>43977</v>
      </c>
      <c r="C156" s="1" t="n">
        <v>45359</v>
      </c>
      <c r="D156" t="inlineStr">
        <is>
          <t>JÄMTLANDS LÄN</t>
        </is>
      </c>
      <c r="E156" t="inlineStr">
        <is>
          <t>RAGUNDA</t>
        </is>
      </c>
      <c r="F156" t="inlineStr">
        <is>
          <t>SCA</t>
        </is>
      </c>
      <c r="G156" t="n">
        <v>20.5</v>
      </c>
      <c r="H156" t="n">
        <v>0</v>
      </c>
      <c r="I156" t="n">
        <v>0</v>
      </c>
      <c r="J156" t="n">
        <v>0</v>
      </c>
      <c r="K156" t="n">
        <v>1</v>
      </c>
      <c r="L156" t="n">
        <v>0</v>
      </c>
      <c r="M156" t="n">
        <v>0</v>
      </c>
      <c r="N156" t="n">
        <v>0</v>
      </c>
      <c r="O156" t="n">
        <v>1</v>
      </c>
      <c r="P156" t="n">
        <v>1</v>
      </c>
      <c r="Q156" t="n">
        <v>1</v>
      </c>
      <c r="R156" s="2" t="inlineStr">
        <is>
          <t>Gräddporing</t>
        </is>
      </c>
      <c r="S156">
        <f>HYPERLINK("https://klasma.github.io/Logging_2303/artfynd/A 24657-2020 artfynd.xlsx", "A 24657-2020")</f>
        <v/>
      </c>
      <c r="T156">
        <f>HYPERLINK("https://klasma.github.io/Logging_2303/kartor/A 24657-2020 karta.png", "A 24657-2020")</f>
        <v/>
      </c>
      <c r="V156">
        <f>HYPERLINK("https://klasma.github.io/Logging_2303/klagomål/A 24657-2020 FSC-klagomål.docx", "A 24657-2020")</f>
        <v/>
      </c>
      <c r="W156">
        <f>HYPERLINK("https://klasma.github.io/Logging_2303/klagomålsmail/A 24657-2020 FSC-klagomål mail.docx", "A 24657-2020")</f>
        <v/>
      </c>
      <c r="X156">
        <f>HYPERLINK("https://klasma.github.io/Logging_2303/tillsyn/A 24657-2020 tillsynsbegäran.docx", "A 24657-2020")</f>
        <v/>
      </c>
      <c r="Y156">
        <f>HYPERLINK("https://klasma.github.io/Logging_2303/tillsynsmail/A 24657-2020 tillsynsbegäran mail.docx", "A 24657-2020")</f>
        <v/>
      </c>
    </row>
    <row r="157" ht="15" customHeight="1">
      <c r="A157" t="inlineStr">
        <is>
          <t>A 31357-2020</t>
        </is>
      </c>
      <c r="B157" s="1" t="n">
        <v>44012</v>
      </c>
      <c r="C157" s="1" t="n">
        <v>45359</v>
      </c>
      <c r="D157" t="inlineStr">
        <is>
          <t>JÄMTLANDS LÄN</t>
        </is>
      </c>
      <c r="E157" t="inlineStr">
        <is>
          <t>RAGUNDA</t>
        </is>
      </c>
      <c r="F157" t="inlineStr">
        <is>
          <t>SCA</t>
        </is>
      </c>
      <c r="G157" t="n">
        <v>21.4</v>
      </c>
      <c r="H157" t="n">
        <v>1</v>
      </c>
      <c r="I157" t="n">
        <v>0</v>
      </c>
      <c r="J157" t="n">
        <v>1</v>
      </c>
      <c r="K157" t="n">
        <v>0</v>
      </c>
      <c r="L157" t="n">
        <v>0</v>
      </c>
      <c r="M157" t="n">
        <v>0</v>
      </c>
      <c r="N157" t="n">
        <v>0</v>
      </c>
      <c r="O157" t="n">
        <v>1</v>
      </c>
      <c r="P157" t="n">
        <v>0</v>
      </c>
      <c r="Q157" t="n">
        <v>1</v>
      </c>
      <c r="R157" s="2" t="inlineStr">
        <is>
          <t>Tretåig hackspett</t>
        </is>
      </c>
      <c r="S157">
        <f>HYPERLINK("https://klasma.github.io/Logging_2303/artfynd/A 31357-2020 artfynd.xlsx", "A 31357-2020")</f>
        <v/>
      </c>
      <c r="T157">
        <f>HYPERLINK("https://klasma.github.io/Logging_2303/kartor/A 31357-2020 karta.png", "A 31357-2020")</f>
        <v/>
      </c>
      <c r="V157">
        <f>HYPERLINK("https://klasma.github.io/Logging_2303/klagomål/A 31357-2020 FSC-klagomål.docx", "A 31357-2020")</f>
        <v/>
      </c>
      <c r="W157">
        <f>HYPERLINK("https://klasma.github.io/Logging_2303/klagomålsmail/A 31357-2020 FSC-klagomål mail.docx", "A 31357-2020")</f>
        <v/>
      </c>
      <c r="X157">
        <f>HYPERLINK("https://klasma.github.io/Logging_2303/tillsyn/A 31357-2020 tillsynsbegäran.docx", "A 31357-2020")</f>
        <v/>
      </c>
      <c r="Y157">
        <f>HYPERLINK("https://klasma.github.io/Logging_2303/tillsynsmail/A 31357-2020 tillsynsbegäran mail.docx", "A 31357-2020")</f>
        <v/>
      </c>
      <c r="Z157">
        <f>HYPERLINK("https://klasma.github.io/Logging_2303/fåglar/A 31357-2020 prioriterade fågelarter.docx", "A 31357-2020")</f>
        <v/>
      </c>
    </row>
    <row r="158" ht="15" customHeight="1">
      <c r="A158" t="inlineStr">
        <is>
          <t>A 36457-2020</t>
        </is>
      </c>
      <c r="B158" s="1" t="n">
        <v>44049</v>
      </c>
      <c r="C158" s="1" t="n">
        <v>45359</v>
      </c>
      <c r="D158" t="inlineStr">
        <is>
          <t>JÄMTLANDS LÄN</t>
        </is>
      </c>
      <c r="E158" t="inlineStr">
        <is>
          <t>RAGUNDA</t>
        </is>
      </c>
      <c r="F158" t="inlineStr">
        <is>
          <t>SCA</t>
        </is>
      </c>
      <c r="G158" t="n">
        <v>2.5</v>
      </c>
      <c r="H158" t="n">
        <v>1</v>
      </c>
      <c r="I158" t="n">
        <v>1</v>
      </c>
      <c r="J158" t="n">
        <v>0</v>
      </c>
      <c r="K158" t="n">
        <v>0</v>
      </c>
      <c r="L158" t="n">
        <v>0</v>
      </c>
      <c r="M158" t="n">
        <v>0</v>
      </c>
      <c r="N158" t="n">
        <v>0</v>
      </c>
      <c r="O158" t="n">
        <v>0</v>
      </c>
      <c r="P158" t="n">
        <v>0</v>
      </c>
      <c r="Q158" t="n">
        <v>1</v>
      </c>
      <c r="R158" s="2" t="inlineStr">
        <is>
          <t>Guckusko</t>
        </is>
      </c>
      <c r="S158">
        <f>HYPERLINK("https://klasma.github.io/Logging_2303/artfynd/A 36457-2020 artfynd.xlsx", "A 36457-2020")</f>
        <v/>
      </c>
      <c r="T158">
        <f>HYPERLINK("https://klasma.github.io/Logging_2303/kartor/A 36457-2020 karta.png", "A 36457-2020")</f>
        <v/>
      </c>
      <c r="V158">
        <f>HYPERLINK("https://klasma.github.io/Logging_2303/klagomål/A 36457-2020 FSC-klagomål.docx", "A 36457-2020")</f>
        <v/>
      </c>
      <c r="W158">
        <f>HYPERLINK("https://klasma.github.io/Logging_2303/klagomålsmail/A 36457-2020 FSC-klagomål mail.docx", "A 36457-2020")</f>
        <v/>
      </c>
      <c r="X158">
        <f>HYPERLINK("https://klasma.github.io/Logging_2303/tillsyn/A 36457-2020 tillsynsbegäran.docx", "A 36457-2020")</f>
        <v/>
      </c>
      <c r="Y158">
        <f>HYPERLINK("https://klasma.github.io/Logging_2303/tillsynsmail/A 36457-2020 tillsynsbegäran mail.docx", "A 36457-2020")</f>
        <v/>
      </c>
    </row>
    <row r="159" ht="15" customHeight="1">
      <c r="A159" t="inlineStr">
        <is>
          <t>A 39060-2020</t>
        </is>
      </c>
      <c r="B159" s="1" t="n">
        <v>44062</v>
      </c>
      <c r="C159" s="1" t="n">
        <v>45359</v>
      </c>
      <c r="D159" t="inlineStr">
        <is>
          <t>JÄMTLANDS LÄN</t>
        </is>
      </c>
      <c r="E159" t="inlineStr">
        <is>
          <t>RAGUNDA</t>
        </is>
      </c>
      <c r="F159" t="inlineStr">
        <is>
          <t>SCA</t>
        </is>
      </c>
      <c r="G159" t="n">
        <v>6.5</v>
      </c>
      <c r="H159" t="n">
        <v>0</v>
      </c>
      <c r="I159" t="n">
        <v>1</v>
      </c>
      <c r="J159" t="n">
        <v>0</v>
      </c>
      <c r="K159" t="n">
        <v>0</v>
      </c>
      <c r="L159" t="n">
        <v>0</v>
      </c>
      <c r="M159" t="n">
        <v>0</v>
      </c>
      <c r="N159" t="n">
        <v>0</v>
      </c>
      <c r="O159" t="n">
        <v>0</v>
      </c>
      <c r="P159" t="n">
        <v>0</v>
      </c>
      <c r="Q159" t="n">
        <v>1</v>
      </c>
      <c r="R159" s="2" t="inlineStr">
        <is>
          <t>Stuplav</t>
        </is>
      </c>
      <c r="S159">
        <f>HYPERLINK("https://klasma.github.io/Logging_2303/artfynd/A 39060-2020 artfynd.xlsx", "A 39060-2020")</f>
        <v/>
      </c>
      <c r="T159">
        <f>HYPERLINK("https://klasma.github.io/Logging_2303/kartor/A 39060-2020 karta.png", "A 39060-2020")</f>
        <v/>
      </c>
      <c r="V159">
        <f>HYPERLINK("https://klasma.github.io/Logging_2303/klagomål/A 39060-2020 FSC-klagomål.docx", "A 39060-2020")</f>
        <v/>
      </c>
      <c r="W159">
        <f>HYPERLINK("https://klasma.github.io/Logging_2303/klagomålsmail/A 39060-2020 FSC-klagomål mail.docx", "A 39060-2020")</f>
        <v/>
      </c>
      <c r="X159">
        <f>HYPERLINK("https://klasma.github.io/Logging_2303/tillsyn/A 39060-2020 tillsynsbegäran.docx", "A 39060-2020")</f>
        <v/>
      </c>
      <c r="Y159">
        <f>HYPERLINK("https://klasma.github.io/Logging_2303/tillsynsmail/A 39060-2020 tillsynsbegäran mail.docx", "A 39060-2020")</f>
        <v/>
      </c>
    </row>
    <row r="160" ht="15" customHeight="1">
      <c r="A160" t="inlineStr">
        <is>
          <t>A 47853-2020</t>
        </is>
      </c>
      <c r="B160" s="1" t="n">
        <v>44098</v>
      </c>
      <c r="C160" s="1" t="n">
        <v>45359</v>
      </c>
      <c r="D160" t="inlineStr">
        <is>
          <t>JÄMTLANDS LÄN</t>
        </is>
      </c>
      <c r="E160" t="inlineStr">
        <is>
          <t>RAGUNDA</t>
        </is>
      </c>
      <c r="F160" t="inlineStr">
        <is>
          <t>SCA</t>
        </is>
      </c>
      <c r="G160" t="n">
        <v>5.3</v>
      </c>
      <c r="H160" t="n">
        <v>0</v>
      </c>
      <c r="I160" t="n">
        <v>0</v>
      </c>
      <c r="J160" t="n">
        <v>1</v>
      </c>
      <c r="K160" t="n">
        <v>0</v>
      </c>
      <c r="L160" t="n">
        <v>0</v>
      </c>
      <c r="M160" t="n">
        <v>0</v>
      </c>
      <c r="N160" t="n">
        <v>0</v>
      </c>
      <c r="O160" t="n">
        <v>1</v>
      </c>
      <c r="P160" t="n">
        <v>0</v>
      </c>
      <c r="Q160" t="n">
        <v>1</v>
      </c>
      <c r="R160" s="2" t="inlineStr">
        <is>
          <t>Lunglav</t>
        </is>
      </c>
      <c r="S160">
        <f>HYPERLINK("https://klasma.github.io/Logging_2303/artfynd/A 47853-2020 artfynd.xlsx", "A 47853-2020")</f>
        <v/>
      </c>
      <c r="T160">
        <f>HYPERLINK("https://klasma.github.io/Logging_2303/kartor/A 47853-2020 karta.png", "A 47853-2020")</f>
        <v/>
      </c>
      <c r="V160">
        <f>HYPERLINK("https://klasma.github.io/Logging_2303/klagomål/A 47853-2020 FSC-klagomål.docx", "A 47853-2020")</f>
        <v/>
      </c>
      <c r="W160">
        <f>HYPERLINK("https://klasma.github.io/Logging_2303/klagomålsmail/A 47853-2020 FSC-klagomål mail.docx", "A 47853-2020")</f>
        <v/>
      </c>
      <c r="X160">
        <f>HYPERLINK("https://klasma.github.io/Logging_2303/tillsyn/A 47853-2020 tillsynsbegäran.docx", "A 47853-2020")</f>
        <v/>
      </c>
      <c r="Y160">
        <f>HYPERLINK("https://klasma.github.io/Logging_2303/tillsynsmail/A 47853-2020 tillsynsbegäran mail.docx", "A 47853-2020")</f>
        <v/>
      </c>
    </row>
    <row r="161" ht="15" customHeight="1">
      <c r="A161" t="inlineStr">
        <is>
          <t>A 52898-2020</t>
        </is>
      </c>
      <c r="B161" s="1" t="n">
        <v>44119</v>
      </c>
      <c r="C161" s="1" t="n">
        <v>45359</v>
      </c>
      <c r="D161" t="inlineStr">
        <is>
          <t>JÄMTLANDS LÄN</t>
        </is>
      </c>
      <c r="E161" t="inlineStr">
        <is>
          <t>RAGUNDA</t>
        </is>
      </c>
      <c r="G161" t="n">
        <v>1.4</v>
      </c>
      <c r="H161" t="n">
        <v>1</v>
      </c>
      <c r="I161" t="n">
        <v>0</v>
      </c>
      <c r="J161" t="n">
        <v>0</v>
      </c>
      <c r="K161" t="n">
        <v>0</v>
      </c>
      <c r="L161" t="n">
        <v>0</v>
      </c>
      <c r="M161" t="n">
        <v>0</v>
      </c>
      <c r="N161" t="n">
        <v>0</v>
      </c>
      <c r="O161" t="n">
        <v>0</v>
      </c>
      <c r="P161" t="n">
        <v>0</v>
      </c>
      <c r="Q161" t="n">
        <v>1</v>
      </c>
      <c r="R161" s="2" t="inlineStr">
        <is>
          <t>Revlummer</t>
        </is>
      </c>
      <c r="S161">
        <f>HYPERLINK("https://klasma.github.io/Logging_2303/artfynd/A 52898-2020 artfynd.xlsx", "A 52898-2020")</f>
        <v/>
      </c>
      <c r="T161">
        <f>HYPERLINK("https://klasma.github.io/Logging_2303/kartor/A 52898-2020 karta.png", "A 52898-2020")</f>
        <v/>
      </c>
      <c r="V161">
        <f>HYPERLINK("https://klasma.github.io/Logging_2303/klagomål/A 52898-2020 FSC-klagomål.docx", "A 52898-2020")</f>
        <v/>
      </c>
      <c r="W161">
        <f>HYPERLINK("https://klasma.github.io/Logging_2303/klagomålsmail/A 52898-2020 FSC-klagomål mail.docx", "A 52898-2020")</f>
        <v/>
      </c>
      <c r="X161">
        <f>HYPERLINK("https://klasma.github.io/Logging_2303/tillsyn/A 52898-2020 tillsynsbegäran.docx", "A 52898-2020")</f>
        <v/>
      </c>
      <c r="Y161">
        <f>HYPERLINK("https://klasma.github.io/Logging_2303/tillsynsmail/A 52898-2020 tillsynsbegäran mail.docx", "A 52898-2020")</f>
        <v/>
      </c>
    </row>
    <row r="162" ht="15" customHeight="1">
      <c r="A162" t="inlineStr">
        <is>
          <t>A 64363-2020</t>
        </is>
      </c>
      <c r="B162" s="1" t="n">
        <v>44166</v>
      </c>
      <c r="C162" s="1" t="n">
        <v>45359</v>
      </c>
      <c r="D162" t="inlineStr">
        <is>
          <t>JÄMTLANDS LÄN</t>
        </is>
      </c>
      <c r="E162" t="inlineStr">
        <is>
          <t>RAGUNDA</t>
        </is>
      </c>
      <c r="G162" t="n">
        <v>4.5</v>
      </c>
      <c r="H162" t="n">
        <v>1</v>
      </c>
      <c r="I162" t="n">
        <v>0</v>
      </c>
      <c r="J162" t="n">
        <v>0</v>
      </c>
      <c r="K162" t="n">
        <v>1</v>
      </c>
      <c r="L162" t="n">
        <v>0</v>
      </c>
      <c r="M162" t="n">
        <v>0</v>
      </c>
      <c r="N162" t="n">
        <v>0</v>
      </c>
      <c r="O162" t="n">
        <v>1</v>
      </c>
      <c r="P162" t="n">
        <v>1</v>
      </c>
      <c r="Q162" t="n">
        <v>1</v>
      </c>
      <c r="R162" s="2" t="inlineStr">
        <is>
          <t>Bombmurkla</t>
        </is>
      </c>
      <c r="S162">
        <f>HYPERLINK("https://klasma.github.io/Logging_2303/artfynd/A 64363-2020 artfynd.xlsx", "A 64363-2020")</f>
        <v/>
      </c>
      <c r="T162">
        <f>HYPERLINK("https://klasma.github.io/Logging_2303/kartor/A 64363-2020 karta.png", "A 64363-2020")</f>
        <v/>
      </c>
      <c r="V162">
        <f>HYPERLINK("https://klasma.github.io/Logging_2303/klagomål/A 64363-2020 FSC-klagomål.docx", "A 64363-2020")</f>
        <v/>
      </c>
      <c r="W162">
        <f>HYPERLINK("https://klasma.github.io/Logging_2303/klagomålsmail/A 64363-2020 FSC-klagomål mail.docx", "A 64363-2020")</f>
        <v/>
      </c>
      <c r="X162">
        <f>HYPERLINK("https://klasma.github.io/Logging_2303/tillsyn/A 64363-2020 tillsynsbegäran.docx", "A 64363-2020")</f>
        <v/>
      </c>
      <c r="Y162">
        <f>HYPERLINK("https://klasma.github.io/Logging_2303/tillsynsmail/A 64363-2020 tillsynsbegäran mail.docx", "A 64363-2020")</f>
        <v/>
      </c>
    </row>
    <row r="163" ht="15" customHeight="1">
      <c r="A163" t="inlineStr">
        <is>
          <t>A 21037-2021</t>
        </is>
      </c>
      <c r="B163" s="1" t="n">
        <v>44319</v>
      </c>
      <c r="C163" s="1" t="n">
        <v>45359</v>
      </c>
      <c r="D163" t="inlineStr">
        <is>
          <t>JÄMTLANDS LÄN</t>
        </is>
      </c>
      <c r="E163" t="inlineStr">
        <is>
          <t>RAGUNDA</t>
        </is>
      </c>
      <c r="F163" t="inlineStr">
        <is>
          <t>Kyrkan</t>
        </is>
      </c>
      <c r="G163" t="n">
        <v>0.8</v>
      </c>
      <c r="H163" t="n">
        <v>0</v>
      </c>
      <c r="I163" t="n">
        <v>0</v>
      </c>
      <c r="J163" t="n">
        <v>1</v>
      </c>
      <c r="K163" t="n">
        <v>0</v>
      </c>
      <c r="L163" t="n">
        <v>0</v>
      </c>
      <c r="M163" t="n">
        <v>0</v>
      </c>
      <c r="N163" t="n">
        <v>0</v>
      </c>
      <c r="O163" t="n">
        <v>1</v>
      </c>
      <c r="P163" t="n">
        <v>0</v>
      </c>
      <c r="Q163" t="n">
        <v>1</v>
      </c>
      <c r="R163" s="2" t="inlineStr">
        <is>
          <t>Olivbrun gytterlav</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31773-2021</t>
        </is>
      </c>
      <c r="B164" s="1" t="n">
        <v>44369</v>
      </c>
      <c r="C164" s="1" t="n">
        <v>45359</v>
      </c>
      <c r="D164" t="inlineStr">
        <is>
          <t>JÄMTLANDS LÄN</t>
        </is>
      </c>
      <c r="E164" t="inlineStr">
        <is>
          <t>RAGUNDA</t>
        </is>
      </c>
      <c r="G164" t="n">
        <v>0.8</v>
      </c>
      <c r="H164" t="n">
        <v>0</v>
      </c>
      <c r="I164" t="n">
        <v>0</v>
      </c>
      <c r="J164" t="n">
        <v>0</v>
      </c>
      <c r="K164" t="n">
        <v>1</v>
      </c>
      <c r="L164" t="n">
        <v>0</v>
      </c>
      <c r="M164" t="n">
        <v>0</v>
      </c>
      <c r="N164" t="n">
        <v>0</v>
      </c>
      <c r="O164" t="n">
        <v>1</v>
      </c>
      <c r="P164" t="n">
        <v>1</v>
      </c>
      <c r="Q164" t="n">
        <v>1</v>
      </c>
      <c r="R164" s="2" t="inlineStr">
        <is>
          <t>Strandsandjägare</t>
        </is>
      </c>
      <c r="S164">
        <f>HYPERLINK("https://klasma.github.io/Logging_2303/artfynd/A 31773-2021 artfynd.xlsx", "A 31773-2021")</f>
        <v/>
      </c>
      <c r="T164">
        <f>HYPERLINK("https://klasma.github.io/Logging_2303/kartor/A 31773-2021 karta.png", "A 31773-2021")</f>
        <v/>
      </c>
      <c r="V164">
        <f>HYPERLINK("https://klasma.github.io/Logging_2303/klagomål/A 31773-2021 FSC-klagomål.docx", "A 31773-2021")</f>
        <v/>
      </c>
      <c r="W164">
        <f>HYPERLINK("https://klasma.github.io/Logging_2303/klagomålsmail/A 31773-2021 FSC-klagomål mail.docx", "A 31773-2021")</f>
        <v/>
      </c>
      <c r="X164">
        <f>HYPERLINK("https://klasma.github.io/Logging_2303/tillsyn/A 31773-2021 tillsynsbegäran.docx", "A 31773-2021")</f>
        <v/>
      </c>
      <c r="Y164">
        <f>HYPERLINK("https://klasma.github.io/Logging_2303/tillsynsmail/A 31773-2021 tillsynsbegäran mail.docx", "A 31773-2021")</f>
        <v/>
      </c>
    </row>
    <row r="165" ht="15" customHeight="1">
      <c r="A165" t="inlineStr">
        <is>
          <t>A 42546-2021</t>
        </is>
      </c>
      <c r="B165" s="1" t="n">
        <v>44428</v>
      </c>
      <c r="C165" s="1" t="n">
        <v>45359</v>
      </c>
      <c r="D165" t="inlineStr">
        <is>
          <t>JÄMTLANDS LÄN</t>
        </is>
      </c>
      <c r="E165" t="inlineStr">
        <is>
          <t>RAGUNDA</t>
        </is>
      </c>
      <c r="F165" t="inlineStr">
        <is>
          <t>SCA</t>
        </is>
      </c>
      <c r="G165" t="n">
        <v>5.6</v>
      </c>
      <c r="H165" t="n">
        <v>0</v>
      </c>
      <c r="I165" t="n">
        <v>0</v>
      </c>
      <c r="J165" t="n">
        <v>1</v>
      </c>
      <c r="K165" t="n">
        <v>0</v>
      </c>
      <c r="L165" t="n">
        <v>0</v>
      </c>
      <c r="M165" t="n">
        <v>0</v>
      </c>
      <c r="N165" t="n">
        <v>0</v>
      </c>
      <c r="O165" t="n">
        <v>1</v>
      </c>
      <c r="P165" t="n">
        <v>0</v>
      </c>
      <c r="Q165" t="n">
        <v>1</v>
      </c>
      <c r="R165" s="2" t="inlineStr">
        <is>
          <t>Dvärgbägarlav</t>
        </is>
      </c>
      <c r="S165">
        <f>HYPERLINK("https://klasma.github.io/Logging_2303/artfynd/A 42546-2021 artfynd.xlsx", "A 42546-2021")</f>
        <v/>
      </c>
      <c r="T165">
        <f>HYPERLINK("https://klasma.github.io/Logging_2303/kartor/A 42546-2021 karta.png", "A 42546-2021")</f>
        <v/>
      </c>
      <c r="V165">
        <f>HYPERLINK("https://klasma.github.io/Logging_2303/klagomål/A 42546-2021 FSC-klagomål.docx", "A 42546-2021")</f>
        <v/>
      </c>
      <c r="W165">
        <f>HYPERLINK("https://klasma.github.io/Logging_2303/klagomålsmail/A 42546-2021 FSC-klagomål mail.docx", "A 42546-2021")</f>
        <v/>
      </c>
      <c r="X165">
        <f>HYPERLINK("https://klasma.github.io/Logging_2303/tillsyn/A 42546-2021 tillsynsbegäran.docx", "A 42546-2021")</f>
        <v/>
      </c>
      <c r="Y165">
        <f>HYPERLINK("https://klasma.github.io/Logging_2303/tillsynsmail/A 42546-2021 tillsynsbegäran mail.docx", "A 42546-2021")</f>
        <v/>
      </c>
    </row>
    <row r="166" ht="15" customHeight="1">
      <c r="A166" t="inlineStr">
        <is>
          <t>A 51916-2021</t>
        </is>
      </c>
      <c r="B166" s="1" t="n">
        <v>44462</v>
      </c>
      <c r="C166" s="1" t="n">
        <v>45359</v>
      </c>
      <c r="D166" t="inlineStr">
        <is>
          <t>JÄMTLANDS LÄN</t>
        </is>
      </c>
      <c r="E166" t="inlineStr">
        <is>
          <t>RAGUNDA</t>
        </is>
      </c>
      <c r="F166" t="inlineStr">
        <is>
          <t>SCA</t>
        </is>
      </c>
      <c r="G166" t="n">
        <v>3</v>
      </c>
      <c r="H166" t="n">
        <v>1</v>
      </c>
      <c r="I166" t="n">
        <v>0</v>
      </c>
      <c r="J166" t="n">
        <v>1</v>
      </c>
      <c r="K166" t="n">
        <v>0</v>
      </c>
      <c r="L166" t="n">
        <v>0</v>
      </c>
      <c r="M166" t="n">
        <v>0</v>
      </c>
      <c r="N166" t="n">
        <v>0</v>
      </c>
      <c r="O166" t="n">
        <v>1</v>
      </c>
      <c r="P166" t="n">
        <v>0</v>
      </c>
      <c r="Q166" t="n">
        <v>1</v>
      </c>
      <c r="R166" s="2" t="inlineStr">
        <is>
          <t>Varglav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6550-2022</t>
        </is>
      </c>
      <c r="B167" s="1" t="n">
        <v>44601</v>
      </c>
      <c r="C167" s="1" t="n">
        <v>45359</v>
      </c>
      <c r="D167" t="inlineStr">
        <is>
          <t>JÄMTLANDS LÄN</t>
        </is>
      </c>
      <c r="E167" t="inlineStr">
        <is>
          <t>RAGUNDA</t>
        </is>
      </c>
      <c r="G167" t="n">
        <v>2.3</v>
      </c>
      <c r="H167" t="n">
        <v>0</v>
      </c>
      <c r="I167" t="n">
        <v>0</v>
      </c>
      <c r="J167" t="n">
        <v>1</v>
      </c>
      <c r="K167" t="n">
        <v>0</v>
      </c>
      <c r="L167" t="n">
        <v>0</v>
      </c>
      <c r="M167" t="n">
        <v>0</v>
      </c>
      <c r="N167" t="n">
        <v>0</v>
      </c>
      <c r="O167" t="n">
        <v>1</v>
      </c>
      <c r="P167" t="n">
        <v>0</v>
      </c>
      <c r="Q167" t="n">
        <v>1</v>
      </c>
      <c r="R167" s="2" t="inlineStr">
        <is>
          <t>Dvärgbägarlav</t>
        </is>
      </c>
      <c r="S167">
        <f>HYPERLINK("https://klasma.github.io/Logging_2303/artfynd/A 6550-2022 artfynd.xlsx", "A 6550-2022")</f>
        <v/>
      </c>
      <c r="T167">
        <f>HYPERLINK("https://klasma.github.io/Logging_2303/kartor/A 6550-2022 karta.png", "A 6550-2022")</f>
        <v/>
      </c>
      <c r="V167">
        <f>HYPERLINK("https://klasma.github.io/Logging_2303/klagomål/A 6550-2022 FSC-klagomål.docx", "A 6550-2022")</f>
        <v/>
      </c>
      <c r="W167">
        <f>HYPERLINK("https://klasma.github.io/Logging_2303/klagomålsmail/A 6550-2022 FSC-klagomål mail.docx", "A 6550-2022")</f>
        <v/>
      </c>
      <c r="X167">
        <f>HYPERLINK("https://klasma.github.io/Logging_2303/tillsyn/A 6550-2022 tillsynsbegäran.docx", "A 6550-2022")</f>
        <v/>
      </c>
      <c r="Y167">
        <f>HYPERLINK("https://klasma.github.io/Logging_2303/tillsynsmail/A 6550-2022 tillsynsbegäran mail.docx", "A 6550-2022")</f>
        <v/>
      </c>
    </row>
    <row r="168" ht="15" customHeight="1">
      <c r="A168" t="inlineStr">
        <is>
          <t>A 7666-2022</t>
        </is>
      </c>
      <c r="B168" s="1" t="n">
        <v>44607</v>
      </c>
      <c r="C168" s="1" t="n">
        <v>45359</v>
      </c>
      <c r="D168" t="inlineStr">
        <is>
          <t>JÄMTLANDS LÄN</t>
        </is>
      </c>
      <c r="E168" t="inlineStr">
        <is>
          <t>RAGUNDA</t>
        </is>
      </c>
      <c r="F168" t="inlineStr">
        <is>
          <t>SCA</t>
        </is>
      </c>
      <c r="G168" t="n">
        <v>1.4</v>
      </c>
      <c r="H168" t="n">
        <v>0</v>
      </c>
      <c r="I168" t="n">
        <v>0</v>
      </c>
      <c r="J168" t="n">
        <v>1</v>
      </c>
      <c r="K168" t="n">
        <v>0</v>
      </c>
      <c r="L168" t="n">
        <v>0</v>
      </c>
      <c r="M168" t="n">
        <v>0</v>
      </c>
      <c r="N168" t="n">
        <v>0</v>
      </c>
      <c r="O168" t="n">
        <v>1</v>
      </c>
      <c r="P168" t="n">
        <v>0</v>
      </c>
      <c r="Q168" t="n">
        <v>1</v>
      </c>
      <c r="R168" s="2" t="inlineStr">
        <is>
          <t>Garnlav</t>
        </is>
      </c>
      <c r="S168">
        <f>HYPERLINK("https://klasma.github.io/Logging_2303/artfynd/A 7666-2022 artfynd.xlsx", "A 7666-2022")</f>
        <v/>
      </c>
      <c r="T168">
        <f>HYPERLINK("https://klasma.github.io/Logging_2303/kartor/A 7666-2022 karta.png", "A 7666-2022")</f>
        <v/>
      </c>
      <c r="V168">
        <f>HYPERLINK("https://klasma.github.io/Logging_2303/klagomål/A 7666-2022 FSC-klagomål.docx", "A 7666-2022")</f>
        <v/>
      </c>
      <c r="W168">
        <f>HYPERLINK("https://klasma.github.io/Logging_2303/klagomålsmail/A 7666-2022 FSC-klagomål mail.docx", "A 7666-2022")</f>
        <v/>
      </c>
      <c r="X168">
        <f>HYPERLINK("https://klasma.github.io/Logging_2303/tillsyn/A 7666-2022 tillsynsbegäran.docx", "A 7666-2022")</f>
        <v/>
      </c>
      <c r="Y168">
        <f>HYPERLINK("https://klasma.github.io/Logging_2303/tillsynsmail/A 7666-2022 tillsynsbegäran mail.docx", "A 7666-2022")</f>
        <v/>
      </c>
    </row>
    <row r="169" ht="15" customHeight="1">
      <c r="A169" t="inlineStr">
        <is>
          <t>A 15663-2022</t>
        </is>
      </c>
      <c r="B169" s="1" t="n">
        <v>44663</v>
      </c>
      <c r="C169" s="1" t="n">
        <v>45359</v>
      </c>
      <c r="D169" t="inlineStr">
        <is>
          <t>JÄMTLANDS LÄN</t>
        </is>
      </c>
      <c r="E169" t="inlineStr">
        <is>
          <t>RAGUNDA</t>
        </is>
      </c>
      <c r="F169" t="inlineStr">
        <is>
          <t>SCA</t>
        </is>
      </c>
      <c r="G169" t="n">
        <v>1.7</v>
      </c>
      <c r="H169" t="n">
        <v>1</v>
      </c>
      <c r="I169" t="n">
        <v>0</v>
      </c>
      <c r="J169" t="n">
        <v>0</v>
      </c>
      <c r="K169" t="n">
        <v>1</v>
      </c>
      <c r="L169" t="n">
        <v>0</v>
      </c>
      <c r="M169" t="n">
        <v>0</v>
      </c>
      <c r="N169" t="n">
        <v>0</v>
      </c>
      <c r="O169" t="n">
        <v>1</v>
      </c>
      <c r="P169" t="n">
        <v>1</v>
      </c>
      <c r="Q169" t="n">
        <v>1</v>
      </c>
      <c r="R169" s="2" t="inlineStr">
        <is>
          <t>Norna</t>
        </is>
      </c>
      <c r="S169">
        <f>HYPERLINK("https://klasma.github.io/Logging_2303/artfynd/A 15663-2022 artfynd.xlsx", "A 15663-2022")</f>
        <v/>
      </c>
      <c r="T169">
        <f>HYPERLINK("https://klasma.github.io/Logging_2303/kartor/A 15663-2022 karta.png", "A 15663-2022")</f>
        <v/>
      </c>
      <c r="V169">
        <f>HYPERLINK("https://klasma.github.io/Logging_2303/klagomål/A 15663-2022 FSC-klagomål.docx", "A 15663-2022")</f>
        <v/>
      </c>
      <c r="W169">
        <f>HYPERLINK("https://klasma.github.io/Logging_2303/klagomålsmail/A 15663-2022 FSC-klagomål mail.docx", "A 15663-2022")</f>
        <v/>
      </c>
      <c r="X169">
        <f>HYPERLINK("https://klasma.github.io/Logging_2303/tillsyn/A 15663-2022 tillsynsbegäran.docx", "A 15663-2022")</f>
        <v/>
      </c>
      <c r="Y169">
        <f>HYPERLINK("https://klasma.github.io/Logging_2303/tillsynsmail/A 15663-2022 tillsynsbegäran mail.docx", "A 15663-2022")</f>
        <v/>
      </c>
    </row>
    <row r="170" ht="15" customHeight="1">
      <c r="A170" t="inlineStr">
        <is>
          <t>A 17751-2022</t>
        </is>
      </c>
      <c r="B170" s="1" t="n">
        <v>44681</v>
      </c>
      <c r="C170" s="1" t="n">
        <v>45359</v>
      </c>
      <c r="D170" t="inlineStr">
        <is>
          <t>JÄMTLANDS LÄN</t>
        </is>
      </c>
      <c r="E170" t="inlineStr">
        <is>
          <t>RAGUNDA</t>
        </is>
      </c>
      <c r="F170" t="inlineStr">
        <is>
          <t>SCA</t>
        </is>
      </c>
      <c r="G170" t="n">
        <v>1.4</v>
      </c>
      <c r="H170" t="n">
        <v>0</v>
      </c>
      <c r="I170" t="n">
        <v>0</v>
      </c>
      <c r="J170" t="n">
        <v>1</v>
      </c>
      <c r="K170" t="n">
        <v>0</v>
      </c>
      <c r="L170" t="n">
        <v>0</v>
      </c>
      <c r="M170" t="n">
        <v>0</v>
      </c>
      <c r="N170" t="n">
        <v>0</v>
      </c>
      <c r="O170" t="n">
        <v>1</v>
      </c>
      <c r="P170" t="n">
        <v>0</v>
      </c>
      <c r="Q170" t="n">
        <v>1</v>
      </c>
      <c r="R170" s="2" t="inlineStr">
        <is>
          <t>Granticka</t>
        </is>
      </c>
      <c r="S170">
        <f>HYPERLINK("https://klasma.github.io/Logging_2303/artfynd/A 17751-2022 artfynd.xlsx", "A 17751-2022")</f>
        <v/>
      </c>
      <c r="T170">
        <f>HYPERLINK("https://klasma.github.io/Logging_2303/kartor/A 17751-2022 karta.png", "A 17751-2022")</f>
        <v/>
      </c>
      <c r="V170">
        <f>HYPERLINK("https://klasma.github.io/Logging_2303/klagomål/A 17751-2022 FSC-klagomål.docx", "A 17751-2022")</f>
        <v/>
      </c>
      <c r="W170">
        <f>HYPERLINK("https://klasma.github.io/Logging_2303/klagomålsmail/A 17751-2022 FSC-klagomål mail.docx", "A 17751-2022")</f>
        <v/>
      </c>
      <c r="X170">
        <f>HYPERLINK("https://klasma.github.io/Logging_2303/tillsyn/A 17751-2022 tillsynsbegäran.docx", "A 17751-2022")</f>
        <v/>
      </c>
      <c r="Y170">
        <f>HYPERLINK("https://klasma.github.io/Logging_2303/tillsynsmail/A 17751-2022 tillsynsbegäran mail.docx", "A 17751-2022")</f>
        <v/>
      </c>
    </row>
    <row r="171" ht="15" customHeight="1">
      <c r="A171" t="inlineStr">
        <is>
          <t>A 21275-2022</t>
        </is>
      </c>
      <c r="B171" s="1" t="n">
        <v>44705</v>
      </c>
      <c r="C171" s="1" t="n">
        <v>45359</v>
      </c>
      <c r="D171" t="inlineStr">
        <is>
          <t>JÄMTLANDS LÄN</t>
        </is>
      </c>
      <c r="E171" t="inlineStr">
        <is>
          <t>RAGUNDA</t>
        </is>
      </c>
      <c r="G171" t="n">
        <v>2.2</v>
      </c>
      <c r="H171" t="n">
        <v>0</v>
      </c>
      <c r="I171" t="n">
        <v>1</v>
      </c>
      <c r="J171" t="n">
        <v>0</v>
      </c>
      <c r="K171" t="n">
        <v>0</v>
      </c>
      <c r="L171" t="n">
        <v>0</v>
      </c>
      <c r="M171" t="n">
        <v>0</v>
      </c>
      <c r="N171" t="n">
        <v>0</v>
      </c>
      <c r="O171" t="n">
        <v>0</v>
      </c>
      <c r="P171" t="n">
        <v>0</v>
      </c>
      <c r="Q171" t="n">
        <v>1</v>
      </c>
      <c r="R171" s="2" t="inlineStr">
        <is>
          <t>Kransrams</t>
        </is>
      </c>
      <c r="S171">
        <f>HYPERLINK("https://klasma.github.io/Logging_2303/artfynd/A 21275-2022 artfynd.xlsx", "A 21275-2022")</f>
        <v/>
      </c>
      <c r="T171">
        <f>HYPERLINK("https://klasma.github.io/Logging_2303/kartor/A 21275-2022 karta.png", "A 21275-2022")</f>
        <v/>
      </c>
      <c r="V171">
        <f>HYPERLINK("https://klasma.github.io/Logging_2303/klagomål/A 21275-2022 FSC-klagomål.docx", "A 21275-2022")</f>
        <v/>
      </c>
      <c r="W171">
        <f>HYPERLINK("https://klasma.github.io/Logging_2303/klagomålsmail/A 21275-2022 FSC-klagomål mail.docx", "A 21275-2022")</f>
        <v/>
      </c>
      <c r="X171">
        <f>HYPERLINK("https://klasma.github.io/Logging_2303/tillsyn/A 21275-2022 tillsynsbegäran.docx", "A 21275-2022")</f>
        <v/>
      </c>
      <c r="Y171">
        <f>HYPERLINK("https://klasma.github.io/Logging_2303/tillsynsmail/A 21275-2022 tillsynsbegäran mail.docx", "A 21275-2022")</f>
        <v/>
      </c>
    </row>
    <row r="172" ht="15" customHeight="1">
      <c r="A172" t="inlineStr">
        <is>
          <t>A 27273-2022</t>
        </is>
      </c>
      <c r="B172" s="1" t="n">
        <v>44741</v>
      </c>
      <c r="C172" s="1" t="n">
        <v>45359</v>
      </c>
      <c r="D172" t="inlineStr">
        <is>
          <t>JÄMTLANDS LÄN</t>
        </is>
      </c>
      <c r="E172" t="inlineStr">
        <is>
          <t>RAGUNDA</t>
        </is>
      </c>
      <c r="G172" t="n">
        <v>1.2</v>
      </c>
      <c r="H172" t="n">
        <v>0</v>
      </c>
      <c r="I172" t="n">
        <v>1</v>
      </c>
      <c r="J172" t="n">
        <v>0</v>
      </c>
      <c r="K172" t="n">
        <v>0</v>
      </c>
      <c r="L172" t="n">
        <v>0</v>
      </c>
      <c r="M172" t="n">
        <v>0</v>
      </c>
      <c r="N172" t="n">
        <v>0</v>
      </c>
      <c r="O172" t="n">
        <v>0</v>
      </c>
      <c r="P172" t="n">
        <v>0</v>
      </c>
      <c r="Q172" t="n">
        <v>1</v>
      </c>
      <c r="R172" s="2" t="inlineStr">
        <is>
          <t>Svart trolldruva</t>
        </is>
      </c>
      <c r="S172">
        <f>HYPERLINK("https://klasma.github.io/Logging_2303/artfynd/A 27273-2022 artfynd.xlsx", "A 27273-2022")</f>
        <v/>
      </c>
      <c r="T172">
        <f>HYPERLINK("https://klasma.github.io/Logging_2303/kartor/A 27273-2022 karta.png", "A 27273-2022")</f>
        <v/>
      </c>
      <c r="V172">
        <f>HYPERLINK("https://klasma.github.io/Logging_2303/klagomål/A 27273-2022 FSC-klagomål.docx", "A 27273-2022")</f>
        <v/>
      </c>
      <c r="W172">
        <f>HYPERLINK("https://klasma.github.io/Logging_2303/klagomålsmail/A 27273-2022 FSC-klagomål mail.docx", "A 27273-2022")</f>
        <v/>
      </c>
      <c r="X172">
        <f>HYPERLINK("https://klasma.github.io/Logging_2303/tillsyn/A 27273-2022 tillsynsbegäran.docx", "A 27273-2022")</f>
        <v/>
      </c>
      <c r="Y172">
        <f>HYPERLINK("https://klasma.github.io/Logging_2303/tillsynsmail/A 27273-2022 tillsynsbegäran mail.docx", "A 27273-2022")</f>
        <v/>
      </c>
    </row>
    <row r="173" ht="15" customHeight="1">
      <c r="A173" t="inlineStr">
        <is>
          <t>A 27286-2022</t>
        </is>
      </c>
      <c r="B173" s="1" t="n">
        <v>44741</v>
      </c>
      <c r="C173" s="1" t="n">
        <v>45359</v>
      </c>
      <c r="D173" t="inlineStr">
        <is>
          <t>JÄMTLANDS LÄN</t>
        </is>
      </c>
      <c r="E173" t="inlineStr">
        <is>
          <t>RAGUNDA</t>
        </is>
      </c>
      <c r="F173" t="inlineStr">
        <is>
          <t>SCA</t>
        </is>
      </c>
      <c r="G173" t="n">
        <v>3.1</v>
      </c>
      <c r="H173" t="n">
        <v>0</v>
      </c>
      <c r="I173" t="n">
        <v>0</v>
      </c>
      <c r="J173" t="n">
        <v>1</v>
      </c>
      <c r="K173" t="n">
        <v>0</v>
      </c>
      <c r="L173" t="n">
        <v>0</v>
      </c>
      <c r="M173" t="n">
        <v>0</v>
      </c>
      <c r="N173" t="n">
        <v>0</v>
      </c>
      <c r="O173" t="n">
        <v>1</v>
      </c>
      <c r="P173" t="n">
        <v>0</v>
      </c>
      <c r="Q173" t="n">
        <v>1</v>
      </c>
      <c r="R173" s="2" t="inlineStr">
        <is>
          <t>Harticka</t>
        </is>
      </c>
      <c r="S173">
        <f>HYPERLINK("https://klasma.github.io/Logging_2303/artfynd/A 27286-2022 artfynd.xlsx", "A 27286-2022")</f>
        <v/>
      </c>
      <c r="T173">
        <f>HYPERLINK("https://klasma.github.io/Logging_2303/kartor/A 27286-2022 karta.png", "A 27286-2022")</f>
        <v/>
      </c>
      <c r="V173">
        <f>HYPERLINK("https://klasma.github.io/Logging_2303/klagomål/A 27286-2022 FSC-klagomål.docx", "A 27286-2022")</f>
        <v/>
      </c>
      <c r="W173">
        <f>HYPERLINK("https://klasma.github.io/Logging_2303/klagomålsmail/A 27286-2022 FSC-klagomål mail.docx", "A 27286-2022")</f>
        <v/>
      </c>
      <c r="X173">
        <f>HYPERLINK("https://klasma.github.io/Logging_2303/tillsyn/A 27286-2022 tillsynsbegäran.docx", "A 27286-2022")</f>
        <v/>
      </c>
      <c r="Y173">
        <f>HYPERLINK("https://klasma.github.io/Logging_2303/tillsynsmail/A 27286-2022 tillsynsbegäran mail.docx", "A 27286-2022")</f>
        <v/>
      </c>
    </row>
    <row r="174" ht="15" customHeight="1">
      <c r="A174" t="inlineStr">
        <is>
          <t>A 31477-2022</t>
        </is>
      </c>
      <c r="B174" s="1" t="n">
        <v>44775</v>
      </c>
      <c r="C174" s="1" t="n">
        <v>45359</v>
      </c>
      <c r="D174" t="inlineStr">
        <is>
          <t>JÄMTLANDS LÄN</t>
        </is>
      </c>
      <c r="E174" t="inlineStr">
        <is>
          <t>RAGUNDA</t>
        </is>
      </c>
      <c r="F174" t="inlineStr">
        <is>
          <t>SCA</t>
        </is>
      </c>
      <c r="G174" t="n">
        <v>1.8</v>
      </c>
      <c r="H174" t="n">
        <v>0</v>
      </c>
      <c r="I174" t="n">
        <v>0</v>
      </c>
      <c r="J174" t="n">
        <v>1</v>
      </c>
      <c r="K174" t="n">
        <v>0</v>
      </c>
      <c r="L174" t="n">
        <v>0</v>
      </c>
      <c r="M174" t="n">
        <v>0</v>
      </c>
      <c r="N174" t="n">
        <v>0</v>
      </c>
      <c r="O174" t="n">
        <v>1</v>
      </c>
      <c r="P174" t="n">
        <v>0</v>
      </c>
      <c r="Q174" t="n">
        <v>1</v>
      </c>
      <c r="R174" s="2" t="inlineStr">
        <is>
          <t>Garnlav</t>
        </is>
      </c>
      <c r="S174">
        <f>HYPERLINK("https://klasma.github.io/Logging_2303/artfynd/A 31477-2022 artfynd.xlsx", "A 31477-2022")</f>
        <v/>
      </c>
      <c r="T174">
        <f>HYPERLINK("https://klasma.github.io/Logging_2303/kartor/A 31477-2022 karta.png", "A 31477-2022")</f>
        <v/>
      </c>
      <c r="V174">
        <f>HYPERLINK("https://klasma.github.io/Logging_2303/klagomål/A 31477-2022 FSC-klagomål.docx", "A 31477-2022")</f>
        <v/>
      </c>
      <c r="W174">
        <f>HYPERLINK("https://klasma.github.io/Logging_2303/klagomålsmail/A 31477-2022 FSC-klagomål mail.docx", "A 31477-2022")</f>
        <v/>
      </c>
      <c r="X174">
        <f>HYPERLINK("https://klasma.github.io/Logging_2303/tillsyn/A 31477-2022 tillsynsbegäran.docx", "A 31477-2022")</f>
        <v/>
      </c>
      <c r="Y174">
        <f>HYPERLINK("https://klasma.github.io/Logging_2303/tillsynsmail/A 31477-2022 tillsynsbegäran mail.docx", "A 31477-2022")</f>
        <v/>
      </c>
    </row>
    <row r="175" ht="15" customHeight="1">
      <c r="A175" t="inlineStr">
        <is>
          <t>A 42307-2022</t>
        </is>
      </c>
      <c r="B175" s="1" t="n">
        <v>44830</v>
      </c>
      <c r="C175" s="1" t="n">
        <v>45359</v>
      </c>
      <c r="D175" t="inlineStr">
        <is>
          <t>JÄMTLANDS LÄN</t>
        </is>
      </c>
      <c r="E175" t="inlineStr">
        <is>
          <t>RAGUNDA</t>
        </is>
      </c>
      <c r="F175" t="inlineStr">
        <is>
          <t>SCA</t>
        </is>
      </c>
      <c r="G175" t="n">
        <v>2.6</v>
      </c>
      <c r="H175" t="n">
        <v>0</v>
      </c>
      <c r="I175" t="n">
        <v>0</v>
      </c>
      <c r="J175" t="n">
        <v>0</v>
      </c>
      <c r="K175" t="n">
        <v>1</v>
      </c>
      <c r="L175" t="n">
        <v>0</v>
      </c>
      <c r="M175" t="n">
        <v>0</v>
      </c>
      <c r="N175" t="n">
        <v>0</v>
      </c>
      <c r="O175" t="n">
        <v>1</v>
      </c>
      <c r="P175" t="n">
        <v>1</v>
      </c>
      <c r="Q175" t="n">
        <v>1</v>
      </c>
      <c r="R175" s="2" t="inlineStr">
        <is>
          <t>Smalskaftslav</t>
        </is>
      </c>
      <c r="S175">
        <f>HYPERLINK("https://klasma.github.io/Logging_2303/artfynd/A 42307-2022 artfynd.xlsx", "A 42307-2022")</f>
        <v/>
      </c>
      <c r="T175">
        <f>HYPERLINK("https://klasma.github.io/Logging_2303/kartor/A 42307-2022 karta.png", "A 42307-2022")</f>
        <v/>
      </c>
      <c r="V175">
        <f>HYPERLINK("https://klasma.github.io/Logging_2303/klagomål/A 42307-2022 FSC-klagomål.docx", "A 42307-2022")</f>
        <v/>
      </c>
      <c r="W175">
        <f>HYPERLINK("https://klasma.github.io/Logging_2303/klagomålsmail/A 42307-2022 FSC-klagomål mail.docx", "A 42307-2022")</f>
        <v/>
      </c>
      <c r="X175">
        <f>HYPERLINK("https://klasma.github.io/Logging_2303/tillsyn/A 42307-2022 tillsynsbegäran.docx", "A 42307-2022")</f>
        <v/>
      </c>
      <c r="Y175">
        <f>HYPERLINK("https://klasma.github.io/Logging_2303/tillsynsmail/A 42307-2022 tillsynsbegäran mail.docx", "A 42307-2022")</f>
        <v/>
      </c>
    </row>
    <row r="176" ht="15" customHeight="1">
      <c r="A176" t="inlineStr">
        <is>
          <t>A 42899-2022</t>
        </is>
      </c>
      <c r="B176" s="1" t="n">
        <v>44832</v>
      </c>
      <c r="C176" s="1" t="n">
        <v>45359</v>
      </c>
      <c r="D176" t="inlineStr">
        <is>
          <t>JÄMTLANDS LÄN</t>
        </is>
      </c>
      <c r="E176" t="inlineStr">
        <is>
          <t>RAGUNDA</t>
        </is>
      </c>
      <c r="F176" t="inlineStr">
        <is>
          <t>SCA</t>
        </is>
      </c>
      <c r="G176" t="n">
        <v>2.3</v>
      </c>
      <c r="H176" t="n">
        <v>0</v>
      </c>
      <c r="I176" t="n">
        <v>0</v>
      </c>
      <c r="J176" t="n">
        <v>1</v>
      </c>
      <c r="K176" t="n">
        <v>0</v>
      </c>
      <c r="L176" t="n">
        <v>0</v>
      </c>
      <c r="M176" t="n">
        <v>0</v>
      </c>
      <c r="N176" t="n">
        <v>0</v>
      </c>
      <c r="O176" t="n">
        <v>1</v>
      </c>
      <c r="P176" t="n">
        <v>0</v>
      </c>
      <c r="Q176" t="n">
        <v>1</v>
      </c>
      <c r="R176" s="2" t="inlineStr">
        <is>
          <t>Ullticka</t>
        </is>
      </c>
      <c r="S176">
        <f>HYPERLINK("https://klasma.github.io/Logging_2303/artfynd/A 42899-2022 artfynd.xlsx", "A 42899-2022")</f>
        <v/>
      </c>
      <c r="T176">
        <f>HYPERLINK("https://klasma.github.io/Logging_2303/kartor/A 42899-2022 karta.png", "A 42899-2022")</f>
        <v/>
      </c>
      <c r="V176">
        <f>HYPERLINK("https://klasma.github.io/Logging_2303/klagomål/A 42899-2022 FSC-klagomål.docx", "A 42899-2022")</f>
        <v/>
      </c>
      <c r="W176">
        <f>HYPERLINK("https://klasma.github.io/Logging_2303/klagomålsmail/A 42899-2022 FSC-klagomål mail.docx", "A 42899-2022")</f>
        <v/>
      </c>
      <c r="X176">
        <f>HYPERLINK("https://klasma.github.io/Logging_2303/tillsyn/A 42899-2022 tillsynsbegäran.docx", "A 42899-2022")</f>
        <v/>
      </c>
      <c r="Y176">
        <f>HYPERLINK("https://klasma.github.io/Logging_2303/tillsynsmail/A 42899-2022 tillsynsbegäran mail.docx", "A 42899-2022")</f>
        <v/>
      </c>
    </row>
    <row r="177" ht="15" customHeight="1">
      <c r="A177" t="inlineStr">
        <is>
          <t>A 48063-2022</t>
        </is>
      </c>
      <c r="B177" s="1" t="n">
        <v>44855</v>
      </c>
      <c r="C177" s="1" t="n">
        <v>45359</v>
      </c>
      <c r="D177" t="inlineStr">
        <is>
          <t>JÄMTLANDS LÄN</t>
        </is>
      </c>
      <c r="E177" t="inlineStr">
        <is>
          <t>RAGUNDA</t>
        </is>
      </c>
      <c r="F177" t="inlineStr">
        <is>
          <t>SCA</t>
        </is>
      </c>
      <c r="G177" t="n">
        <v>3.3</v>
      </c>
      <c r="H177" t="n">
        <v>0</v>
      </c>
      <c r="I177" t="n">
        <v>1</v>
      </c>
      <c r="J177" t="n">
        <v>0</v>
      </c>
      <c r="K177" t="n">
        <v>0</v>
      </c>
      <c r="L177" t="n">
        <v>0</v>
      </c>
      <c r="M177" t="n">
        <v>0</v>
      </c>
      <c r="N177" t="n">
        <v>0</v>
      </c>
      <c r="O177" t="n">
        <v>0</v>
      </c>
      <c r="P177" t="n">
        <v>0</v>
      </c>
      <c r="Q177" t="n">
        <v>1</v>
      </c>
      <c r="R177" s="2" t="inlineStr">
        <is>
          <t>Källmossa</t>
        </is>
      </c>
      <c r="S177">
        <f>HYPERLINK("https://klasma.github.io/Logging_2303/artfynd/A 48063-2022 artfynd.xlsx", "A 48063-2022")</f>
        <v/>
      </c>
      <c r="T177">
        <f>HYPERLINK("https://klasma.github.io/Logging_2303/kartor/A 48063-2022 karta.png", "A 48063-2022")</f>
        <v/>
      </c>
      <c r="V177">
        <f>HYPERLINK("https://klasma.github.io/Logging_2303/klagomål/A 48063-2022 FSC-klagomål.docx", "A 48063-2022")</f>
        <v/>
      </c>
      <c r="W177">
        <f>HYPERLINK("https://klasma.github.io/Logging_2303/klagomålsmail/A 48063-2022 FSC-klagomål mail.docx", "A 48063-2022")</f>
        <v/>
      </c>
      <c r="X177">
        <f>HYPERLINK("https://klasma.github.io/Logging_2303/tillsyn/A 48063-2022 tillsynsbegäran.docx", "A 48063-2022")</f>
        <v/>
      </c>
      <c r="Y177">
        <f>HYPERLINK("https://klasma.github.io/Logging_2303/tillsynsmail/A 48063-2022 tillsynsbegäran mail.docx", "A 48063-2022")</f>
        <v/>
      </c>
    </row>
    <row r="178" ht="15" customHeight="1">
      <c r="A178" t="inlineStr">
        <is>
          <t>A 49091-2022</t>
        </is>
      </c>
      <c r="B178" s="1" t="n">
        <v>44860</v>
      </c>
      <c r="C178" s="1" t="n">
        <v>45359</v>
      </c>
      <c r="D178" t="inlineStr">
        <is>
          <t>JÄMTLANDS LÄN</t>
        </is>
      </c>
      <c r="E178" t="inlineStr">
        <is>
          <t>RAGUNDA</t>
        </is>
      </c>
      <c r="G178" t="n">
        <v>3.5</v>
      </c>
      <c r="H178" t="n">
        <v>1</v>
      </c>
      <c r="I178" t="n">
        <v>0</v>
      </c>
      <c r="J178" t="n">
        <v>0</v>
      </c>
      <c r="K178" t="n">
        <v>1</v>
      </c>
      <c r="L178" t="n">
        <v>0</v>
      </c>
      <c r="M178" t="n">
        <v>0</v>
      </c>
      <c r="N178" t="n">
        <v>0</v>
      </c>
      <c r="O178" t="n">
        <v>1</v>
      </c>
      <c r="P178" t="n">
        <v>1</v>
      </c>
      <c r="Q178" t="n">
        <v>1</v>
      </c>
      <c r="R178" s="2" t="inlineStr">
        <is>
          <t>Doftticka</t>
        </is>
      </c>
      <c r="S178">
        <f>HYPERLINK("https://klasma.github.io/Logging_2303/artfynd/A 49091-2022 artfynd.xlsx", "A 49091-2022")</f>
        <v/>
      </c>
      <c r="T178">
        <f>HYPERLINK("https://klasma.github.io/Logging_2303/kartor/A 49091-2022 karta.png", "A 49091-2022")</f>
        <v/>
      </c>
      <c r="V178">
        <f>HYPERLINK("https://klasma.github.io/Logging_2303/klagomål/A 49091-2022 FSC-klagomål.docx", "A 49091-2022")</f>
        <v/>
      </c>
      <c r="W178">
        <f>HYPERLINK("https://klasma.github.io/Logging_2303/klagomålsmail/A 49091-2022 FSC-klagomål mail.docx", "A 49091-2022")</f>
        <v/>
      </c>
      <c r="X178">
        <f>HYPERLINK("https://klasma.github.io/Logging_2303/tillsyn/A 49091-2022 tillsynsbegäran.docx", "A 49091-2022")</f>
        <v/>
      </c>
      <c r="Y178">
        <f>HYPERLINK("https://klasma.github.io/Logging_2303/tillsynsmail/A 49091-2022 tillsynsbegäran mail.docx", "A 49091-2022")</f>
        <v/>
      </c>
    </row>
    <row r="179" ht="15" customHeight="1">
      <c r="A179" t="inlineStr">
        <is>
          <t>A 17340-2023</t>
        </is>
      </c>
      <c r="B179" s="1" t="n">
        <v>45033</v>
      </c>
      <c r="C179" s="1" t="n">
        <v>45359</v>
      </c>
      <c r="D179" t="inlineStr">
        <is>
          <t>JÄMTLANDS LÄN</t>
        </is>
      </c>
      <c r="E179" t="inlineStr">
        <is>
          <t>RAGUNDA</t>
        </is>
      </c>
      <c r="G179" t="n">
        <v>1.6</v>
      </c>
      <c r="H179" t="n">
        <v>0</v>
      </c>
      <c r="I179" t="n">
        <v>0</v>
      </c>
      <c r="J179" t="n">
        <v>1</v>
      </c>
      <c r="K179" t="n">
        <v>0</v>
      </c>
      <c r="L179" t="n">
        <v>0</v>
      </c>
      <c r="M179" t="n">
        <v>0</v>
      </c>
      <c r="N179" t="n">
        <v>0</v>
      </c>
      <c r="O179" t="n">
        <v>1</v>
      </c>
      <c r="P179" t="n">
        <v>0</v>
      </c>
      <c r="Q179" t="n">
        <v>1</v>
      </c>
      <c r="R179" s="2" t="inlineStr">
        <is>
          <t>Vedtrappmossa</t>
        </is>
      </c>
      <c r="S179">
        <f>HYPERLINK("https://klasma.github.io/Logging_2303/artfynd/A 17340-2023 artfynd.xlsx", "A 17340-2023")</f>
        <v/>
      </c>
      <c r="T179">
        <f>HYPERLINK("https://klasma.github.io/Logging_2303/kartor/A 17340-2023 karta.png", "A 17340-2023")</f>
        <v/>
      </c>
      <c r="U179">
        <f>HYPERLINK("https://klasma.github.io/Logging_2303/knärot/A 17340-2023 karta knärot.png", "A 17340-2023")</f>
        <v/>
      </c>
      <c r="V179">
        <f>HYPERLINK("https://klasma.github.io/Logging_2303/klagomål/A 17340-2023 FSC-klagomål.docx", "A 17340-2023")</f>
        <v/>
      </c>
      <c r="W179">
        <f>HYPERLINK("https://klasma.github.io/Logging_2303/klagomålsmail/A 17340-2023 FSC-klagomål mail.docx", "A 17340-2023")</f>
        <v/>
      </c>
      <c r="X179">
        <f>HYPERLINK("https://klasma.github.io/Logging_2303/tillsyn/A 17340-2023 tillsynsbegäran.docx", "A 17340-2023")</f>
        <v/>
      </c>
      <c r="Y179">
        <f>HYPERLINK("https://klasma.github.io/Logging_2303/tillsynsmail/A 17340-2023 tillsynsbegäran mail.docx", "A 17340-2023")</f>
        <v/>
      </c>
    </row>
    <row r="180" ht="15" customHeight="1">
      <c r="A180" t="inlineStr">
        <is>
          <t>A 18985-2023</t>
        </is>
      </c>
      <c r="B180" s="1" t="n">
        <v>45044</v>
      </c>
      <c r="C180" s="1" t="n">
        <v>45359</v>
      </c>
      <c r="D180" t="inlineStr">
        <is>
          <t>JÄMTLANDS LÄN</t>
        </is>
      </c>
      <c r="E180" t="inlineStr">
        <is>
          <t>RAGUNDA</t>
        </is>
      </c>
      <c r="F180" t="inlineStr">
        <is>
          <t>SCA</t>
        </is>
      </c>
      <c r="G180" t="n">
        <v>2.6</v>
      </c>
      <c r="H180" t="n">
        <v>0</v>
      </c>
      <c r="I180" t="n">
        <v>0</v>
      </c>
      <c r="J180" t="n">
        <v>1</v>
      </c>
      <c r="K180" t="n">
        <v>0</v>
      </c>
      <c r="L180" t="n">
        <v>0</v>
      </c>
      <c r="M180" t="n">
        <v>0</v>
      </c>
      <c r="N180" t="n">
        <v>0</v>
      </c>
      <c r="O180" t="n">
        <v>1</v>
      </c>
      <c r="P180" t="n">
        <v>0</v>
      </c>
      <c r="Q180" t="n">
        <v>1</v>
      </c>
      <c r="R180" s="2" t="inlineStr">
        <is>
          <t>Doftskinn</t>
        </is>
      </c>
      <c r="S180">
        <f>HYPERLINK("https://klasma.github.io/Logging_2303/artfynd/A 18985-2023 artfynd.xlsx", "A 18985-2023")</f>
        <v/>
      </c>
      <c r="T180">
        <f>HYPERLINK("https://klasma.github.io/Logging_2303/kartor/A 18985-2023 karta.png", "A 18985-2023")</f>
        <v/>
      </c>
      <c r="V180">
        <f>HYPERLINK("https://klasma.github.io/Logging_2303/klagomål/A 18985-2023 FSC-klagomål.docx", "A 18985-2023")</f>
        <v/>
      </c>
      <c r="W180">
        <f>HYPERLINK("https://klasma.github.io/Logging_2303/klagomålsmail/A 18985-2023 FSC-klagomål mail.docx", "A 18985-2023")</f>
        <v/>
      </c>
      <c r="X180">
        <f>HYPERLINK("https://klasma.github.io/Logging_2303/tillsyn/A 18985-2023 tillsynsbegäran.docx", "A 18985-2023")</f>
        <v/>
      </c>
      <c r="Y180">
        <f>HYPERLINK("https://klasma.github.io/Logging_2303/tillsynsmail/A 18985-2023 tillsynsbegäran mail.docx", "A 18985-2023")</f>
        <v/>
      </c>
    </row>
    <row r="181" ht="15" customHeight="1">
      <c r="A181" t="inlineStr">
        <is>
          <t>A 26482-2023</t>
        </is>
      </c>
      <c r="B181" s="1" t="n">
        <v>45089</v>
      </c>
      <c r="C181" s="1" t="n">
        <v>45359</v>
      </c>
      <c r="D181" t="inlineStr">
        <is>
          <t>JÄMTLANDS LÄN</t>
        </is>
      </c>
      <c r="E181" t="inlineStr">
        <is>
          <t>RAGUNDA</t>
        </is>
      </c>
      <c r="G181" t="n">
        <v>2</v>
      </c>
      <c r="H181" t="n">
        <v>0</v>
      </c>
      <c r="I181" t="n">
        <v>0</v>
      </c>
      <c r="J181" t="n">
        <v>1</v>
      </c>
      <c r="K181" t="n">
        <v>0</v>
      </c>
      <c r="L181" t="n">
        <v>0</v>
      </c>
      <c r="M181" t="n">
        <v>0</v>
      </c>
      <c r="N181" t="n">
        <v>0</v>
      </c>
      <c r="O181" t="n">
        <v>1</v>
      </c>
      <c r="P181" t="n">
        <v>0</v>
      </c>
      <c r="Q181" t="n">
        <v>1</v>
      </c>
      <c r="R181" s="2" t="inlineStr">
        <is>
          <t>Ullticka</t>
        </is>
      </c>
      <c r="S181">
        <f>HYPERLINK("https://klasma.github.io/Logging_2303/artfynd/A 26482-2023 artfynd.xlsx", "A 26482-2023")</f>
        <v/>
      </c>
      <c r="T181">
        <f>HYPERLINK("https://klasma.github.io/Logging_2303/kartor/A 26482-2023 karta.png", "A 26482-2023")</f>
        <v/>
      </c>
      <c r="V181">
        <f>HYPERLINK("https://klasma.github.io/Logging_2303/klagomål/A 26482-2023 FSC-klagomål.docx", "A 26482-2023")</f>
        <v/>
      </c>
      <c r="W181">
        <f>HYPERLINK("https://klasma.github.io/Logging_2303/klagomålsmail/A 26482-2023 FSC-klagomål mail.docx", "A 26482-2023")</f>
        <v/>
      </c>
      <c r="X181">
        <f>HYPERLINK("https://klasma.github.io/Logging_2303/tillsyn/A 26482-2023 tillsynsbegäran.docx", "A 26482-2023")</f>
        <v/>
      </c>
      <c r="Y181">
        <f>HYPERLINK("https://klasma.github.io/Logging_2303/tillsynsmail/A 26482-2023 tillsynsbegäran mail.docx", "A 26482-2023")</f>
        <v/>
      </c>
    </row>
    <row r="182" ht="15" customHeight="1">
      <c r="A182" t="inlineStr">
        <is>
          <t>A 27683-2023</t>
        </is>
      </c>
      <c r="B182" s="1" t="n">
        <v>45097</v>
      </c>
      <c r="C182" s="1" t="n">
        <v>45359</v>
      </c>
      <c r="D182" t="inlineStr">
        <is>
          <t>JÄMTLANDS LÄN</t>
        </is>
      </c>
      <c r="E182" t="inlineStr">
        <is>
          <t>RAGUNDA</t>
        </is>
      </c>
      <c r="F182" t="inlineStr">
        <is>
          <t>SCA</t>
        </is>
      </c>
      <c r="G182" t="n">
        <v>7.3</v>
      </c>
      <c r="H182" t="n">
        <v>0</v>
      </c>
      <c r="I182" t="n">
        <v>0</v>
      </c>
      <c r="J182" t="n">
        <v>1</v>
      </c>
      <c r="K182" t="n">
        <v>0</v>
      </c>
      <c r="L182" t="n">
        <v>0</v>
      </c>
      <c r="M182" t="n">
        <v>0</v>
      </c>
      <c r="N182" t="n">
        <v>0</v>
      </c>
      <c r="O182" t="n">
        <v>1</v>
      </c>
      <c r="P182" t="n">
        <v>0</v>
      </c>
      <c r="Q182" t="n">
        <v>1</v>
      </c>
      <c r="R182" s="2" t="inlineStr">
        <is>
          <t>Dvärgbägarlav</t>
        </is>
      </c>
      <c r="S182">
        <f>HYPERLINK("https://klasma.github.io/Logging_2303/artfynd/A 27683-2023 artfynd.xlsx", "A 27683-2023")</f>
        <v/>
      </c>
      <c r="T182">
        <f>HYPERLINK("https://klasma.github.io/Logging_2303/kartor/A 27683-2023 karta.png", "A 27683-2023")</f>
        <v/>
      </c>
      <c r="V182">
        <f>HYPERLINK("https://klasma.github.io/Logging_2303/klagomål/A 27683-2023 FSC-klagomål.docx", "A 27683-2023")</f>
        <v/>
      </c>
      <c r="W182">
        <f>HYPERLINK("https://klasma.github.io/Logging_2303/klagomålsmail/A 27683-2023 FSC-klagomål mail.docx", "A 27683-2023")</f>
        <v/>
      </c>
      <c r="X182">
        <f>HYPERLINK("https://klasma.github.io/Logging_2303/tillsyn/A 27683-2023 tillsynsbegäran.docx", "A 27683-2023")</f>
        <v/>
      </c>
      <c r="Y182">
        <f>HYPERLINK("https://klasma.github.io/Logging_2303/tillsynsmail/A 27683-2023 tillsynsbegäran mail.docx", "A 27683-2023")</f>
        <v/>
      </c>
    </row>
    <row r="183" ht="15" customHeight="1">
      <c r="A183" t="inlineStr">
        <is>
          <t>A 35750-2023</t>
        </is>
      </c>
      <c r="B183" s="1" t="n">
        <v>45147</v>
      </c>
      <c r="C183" s="1" t="n">
        <v>45359</v>
      </c>
      <c r="D183" t="inlineStr">
        <is>
          <t>JÄMTLANDS LÄN</t>
        </is>
      </c>
      <c r="E183" t="inlineStr">
        <is>
          <t>RAGUNDA</t>
        </is>
      </c>
      <c r="F183" t="inlineStr">
        <is>
          <t>SCA</t>
        </is>
      </c>
      <c r="G183" t="n">
        <v>4.8</v>
      </c>
      <c r="H183" t="n">
        <v>0</v>
      </c>
      <c r="I183" t="n">
        <v>0</v>
      </c>
      <c r="J183" t="n">
        <v>1</v>
      </c>
      <c r="K183" t="n">
        <v>0</v>
      </c>
      <c r="L183" t="n">
        <v>0</v>
      </c>
      <c r="M183" t="n">
        <v>0</v>
      </c>
      <c r="N183" t="n">
        <v>0</v>
      </c>
      <c r="O183" t="n">
        <v>1</v>
      </c>
      <c r="P183" t="n">
        <v>0</v>
      </c>
      <c r="Q183" t="n">
        <v>1</v>
      </c>
      <c r="R183" s="2" t="inlineStr">
        <is>
          <t>Grantaggsvamp</t>
        </is>
      </c>
      <c r="S183">
        <f>HYPERLINK("https://klasma.github.io/Logging_2303/artfynd/A 35750-2023 artfynd.xlsx", "A 35750-2023")</f>
        <v/>
      </c>
      <c r="T183">
        <f>HYPERLINK("https://klasma.github.io/Logging_2303/kartor/A 35750-2023 karta.png", "A 35750-2023")</f>
        <v/>
      </c>
      <c r="V183">
        <f>HYPERLINK("https://klasma.github.io/Logging_2303/klagomål/A 35750-2023 FSC-klagomål.docx", "A 35750-2023")</f>
        <v/>
      </c>
      <c r="W183">
        <f>HYPERLINK("https://klasma.github.io/Logging_2303/klagomålsmail/A 35750-2023 FSC-klagomål mail.docx", "A 35750-2023")</f>
        <v/>
      </c>
      <c r="X183">
        <f>HYPERLINK("https://klasma.github.io/Logging_2303/tillsyn/A 35750-2023 tillsynsbegäran.docx", "A 35750-2023")</f>
        <v/>
      </c>
      <c r="Y183">
        <f>HYPERLINK("https://klasma.github.io/Logging_2303/tillsynsmail/A 35750-2023 tillsynsbegäran mail.docx", "A 35750-2023")</f>
        <v/>
      </c>
    </row>
    <row r="184" ht="15" customHeight="1">
      <c r="A184" t="inlineStr">
        <is>
          <t>A 36224-2023</t>
        </is>
      </c>
      <c r="B184" s="1" t="n">
        <v>45149</v>
      </c>
      <c r="C184" s="1" t="n">
        <v>45359</v>
      </c>
      <c r="D184" t="inlineStr">
        <is>
          <t>JÄMTLANDS LÄN</t>
        </is>
      </c>
      <c r="E184" t="inlineStr">
        <is>
          <t>RAGUNDA</t>
        </is>
      </c>
      <c r="F184" t="inlineStr">
        <is>
          <t>SCA</t>
        </is>
      </c>
      <c r="G184" t="n">
        <v>8.1</v>
      </c>
      <c r="H184" t="n">
        <v>0</v>
      </c>
      <c r="I184" t="n">
        <v>0</v>
      </c>
      <c r="J184" t="n">
        <v>1</v>
      </c>
      <c r="K184" t="n">
        <v>0</v>
      </c>
      <c r="L184" t="n">
        <v>0</v>
      </c>
      <c r="M184" t="n">
        <v>0</v>
      </c>
      <c r="N184" t="n">
        <v>0</v>
      </c>
      <c r="O184" t="n">
        <v>1</v>
      </c>
      <c r="P184" t="n">
        <v>0</v>
      </c>
      <c r="Q184" t="n">
        <v>1</v>
      </c>
      <c r="R184" s="2" t="inlineStr">
        <is>
          <t>Garnlav</t>
        </is>
      </c>
      <c r="S184">
        <f>HYPERLINK("https://klasma.github.io/Logging_2303/artfynd/A 36224-2023 artfynd.xlsx", "A 36224-2023")</f>
        <v/>
      </c>
      <c r="T184">
        <f>HYPERLINK("https://klasma.github.io/Logging_2303/kartor/A 36224-2023 karta.png", "A 36224-2023")</f>
        <v/>
      </c>
      <c r="V184">
        <f>HYPERLINK("https://klasma.github.io/Logging_2303/klagomål/A 36224-2023 FSC-klagomål.docx", "A 36224-2023")</f>
        <v/>
      </c>
      <c r="W184">
        <f>HYPERLINK("https://klasma.github.io/Logging_2303/klagomålsmail/A 36224-2023 FSC-klagomål mail.docx", "A 36224-2023")</f>
        <v/>
      </c>
      <c r="X184">
        <f>HYPERLINK("https://klasma.github.io/Logging_2303/tillsyn/A 36224-2023 tillsynsbegäran.docx", "A 36224-2023")</f>
        <v/>
      </c>
      <c r="Y184">
        <f>HYPERLINK("https://klasma.github.io/Logging_2303/tillsynsmail/A 36224-2023 tillsynsbegäran mail.docx", "A 36224-2023")</f>
        <v/>
      </c>
    </row>
    <row r="185" ht="15" customHeight="1">
      <c r="A185" t="inlineStr">
        <is>
          <t>A 36204-2023</t>
        </is>
      </c>
      <c r="B185" s="1" t="n">
        <v>45149</v>
      </c>
      <c r="C185" s="1" t="n">
        <v>45359</v>
      </c>
      <c r="D185" t="inlineStr">
        <is>
          <t>JÄMTLANDS LÄN</t>
        </is>
      </c>
      <c r="E185" t="inlineStr">
        <is>
          <t>RAGUNDA</t>
        </is>
      </c>
      <c r="F185" t="inlineStr">
        <is>
          <t>SCA</t>
        </is>
      </c>
      <c r="G185" t="n">
        <v>5.1</v>
      </c>
      <c r="H185" t="n">
        <v>0</v>
      </c>
      <c r="I185" t="n">
        <v>0</v>
      </c>
      <c r="J185" t="n">
        <v>1</v>
      </c>
      <c r="K185" t="n">
        <v>0</v>
      </c>
      <c r="L185" t="n">
        <v>0</v>
      </c>
      <c r="M185" t="n">
        <v>0</v>
      </c>
      <c r="N185" t="n">
        <v>0</v>
      </c>
      <c r="O185" t="n">
        <v>1</v>
      </c>
      <c r="P185" t="n">
        <v>0</v>
      </c>
      <c r="Q185" t="n">
        <v>1</v>
      </c>
      <c r="R185" s="2" t="inlineStr">
        <is>
          <t>Rosenticka</t>
        </is>
      </c>
      <c r="S185">
        <f>HYPERLINK("https://klasma.github.io/Logging_2303/artfynd/A 36204-2023 artfynd.xlsx", "A 36204-2023")</f>
        <v/>
      </c>
      <c r="T185">
        <f>HYPERLINK("https://klasma.github.io/Logging_2303/kartor/A 36204-2023 karta.png", "A 36204-2023")</f>
        <v/>
      </c>
      <c r="V185">
        <f>HYPERLINK("https://klasma.github.io/Logging_2303/klagomål/A 36204-2023 FSC-klagomål.docx", "A 36204-2023")</f>
        <v/>
      </c>
      <c r="W185">
        <f>HYPERLINK("https://klasma.github.io/Logging_2303/klagomålsmail/A 36204-2023 FSC-klagomål mail.docx", "A 36204-2023")</f>
        <v/>
      </c>
      <c r="X185">
        <f>HYPERLINK("https://klasma.github.io/Logging_2303/tillsyn/A 36204-2023 tillsynsbegäran.docx", "A 36204-2023")</f>
        <v/>
      </c>
      <c r="Y185">
        <f>HYPERLINK("https://klasma.github.io/Logging_2303/tillsynsmail/A 36204-2023 tillsynsbegäran mail.docx", "A 36204-2023")</f>
        <v/>
      </c>
    </row>
    <row r="186" ht="15" customHeight="1">
      <c r="A186" t="inlineStr">
        <is>
          <t>A 36225-2023</t>
        </is>
      </c>
      <c r="B186" s="1" t="n">
        <v>45149</v>
      </c>
      <c r="C186" s="1" t="n">
        <v>45359</v>
      </c>
      <c r="D186" t="inlineStr">
        <is>
          <t>JÄMTLANDS LÄN</t>
        </is>
      </c>
      <c r="E186" t="inlineStr">
        <is>
          <t>RAGUNDA</t>
        </is>
      </c>
      <c r="F186" t="inlineStr">
        <is>
          <t>SCA</t>
        </is>
      </c>
      <c r="G186" t="n">
        <v>3.9</v>
      </c>
      <c r="H186" t="n">
        <v>0</v>
      </c>
      <c r="I186" t="n">
        <v>0</v>
      </c>
      <c r="J186" t="n">
        <v>1</v>
      </c>
      <c r="K186" t="n">
        <v>0</v>
      </c>
      <c r="L186" t="n">
        <v>0</v>
      </c>
      <c r="M186" t="n">
        <v>0</v>
      </c>
      <c r="N186" t="n">
        <v>0</v>
      </c>
      <c r="O186" t="n">
        <v>1</v>
      </c>
      <c r="P186" t="n">
        <v>0</v>
      </c>
      <c r="Q186" t="n">
        <v>1</v>
      </c>
      <c r="R186" s="2" t="inlineStr">
        <is>
          <t>Lunglav</t>
        </is>
      </c>
      <c r="S186">
        <f>HYPERLINK("https://klasma.github.io/Logging_2303/artfynd/A 36225-2023 artfynd.xlsx", "A 36225-2023")</f>
        <v/>
      </c>
      <c r="T186">
        <f>HYPERLINK("https://klasma.github.io/Logging_2303/kartor/A 36225-2023 karta.png", "A 36225-2023")</f>
        <v/>
      </c>
      <c r="V186">
        <f>HYPERLINK("https://klasma.github.io/Logging_2303/klagomål/A 36225-2023 FSC-klagomål.docx", "A 36225-2023")</f>
        <v/>
      </c>
      <c r="W186">
        <f>HYPERLINK("https://klasma.github.io/Logging_2303/klagomålsmail/A 36225-2023 FSC-klagomål mail.docx", "A 36225-2023")</f>
        <v/>
      </c>
      <c r="X186">
        <f>HYPERLINK("https://klasma.github.io/Logging_2303/tillsyn/A 36225-2023 tillsynsbegäran.docx", "A 36225-2023")</f>
        <v/>
      </c>
      <c r="Y186">
        <f>HYPERLINK("https://klasma.github.io/Logging_2303/tillsynsmail/A 36225-2023 tillsynsbegäran mail.docx", "A 36225-2023")</f>
        <v/>
      </c>
    </row>
    <row r="187" ht="15" customHeight="1">
      <c r="A187" t="inlineStr">
        <is>
          <t>A 36758-2023</t>
        </is>
      </c>
      <c r="B187" s="1" t="n">
        <v>45153</v>
      </c>
      <c r="C187" s="1" t="n">
        <v>45359</v>
      </c>
      <c r="D187" t="inlineStr">
        <is>
          <t>JÄMTLANDS LÄN</t>
        </is>
      </c>
      <c r="E187" t="inlineStr">
        <is>
          <t>RAGUNDA</t>
        </is>
      </c>
      <c r="G187" t="n">
        <v>6</v>
      </c>
      <c r="H187" t="n">
        <v>0</v>
      </c>
      <c r="I187" t="n">
        <v>0</v>
      </c>
      <c r="J187" t="n">
        <v>1</v>
      </c>
      <c r="K187" t="n">
        <v>0</v>
      </c>
      <c r="L187" t="n">
        <v>0</v>
      </c>
      <c r="M187" t="n">
        <v>0</v>
      </c>
      <c r="N187" t="n">
        <v>0</v>
      </c>
      <c r="O187" t="n">
        <v>1</v>
      </c>
      <c r="P187" t="n">
        <v>0</v>
      </c>
      <c r="Q187" t="n">
        <v>1</v>
      </c>
      <c r="R187" s="2" t="inlineStr">
        <is>
          <t>Lunglav</t>
        </is>
      </c>
      <c r="S187">
        <f>HYPERLINK("https://klasma.github.io/Logging_2303/artfynd/A 36758-2023 artfynd.xlsx", "A 36758-2023")</f>
        <v/>
      </c>
      <c r="T187">
        <f>HYPERLINK("https://klasma.github.io/Logging_2303/kartor/A 36758-2023 karta.png", "A 36758-2023")</f>
        <v/>
      </c>
      <c r="V187">
        <f>HYPERLINK("https://klasma.github.io/Logging_2303/klagomål/A 36758-2023 FSC-klagomål.docx", "A 36758-2023")</f>
        <v/>
      </c>
      <c r="W187">
        <f>HYPERLINK("https://klasma.github.io/Logging_2303/klagomålsmail/A 36758-2023 FSC-klagomål mail.docx", "A 36758-2023")</f>
        <v/>
      </c>
      <c r="X187">
        <f>HYPERLINK("https://klasma.github.io/Logging_2303/tillsyn/A 36758-2023 tillsynsbegäran.docx", "A 36758-2023")</f>
        <v/>
      </c>
      <c r="Y187">
        <f>HYPERLINK("https://klasma.github.io/Logging_2303/tillsynsmail/A 36758-2023 tillsynsbegäran mail.docx", "A 36758-2023")</f>
        <v/>
      </c>
    </row>
    <row r="188" ht="15" customHeight="1">
      <c r="A188" t="inlineStr">
        <is>
          <t>A 36757-2023</t>
        </is>
      </c>
      <c r="B188" s="1" t="n">
        <v>45153</v>
      </c>
      <c r="C188" s="1" t="n">
        <v>45359</v>
      </c>
      <c r="D188" t="inlineStr">
        <is>
          <t>JÄMTLANDS LÄN</t>
        </is>
      </c>
      <c r="E188" t="inlineStr">
        <is>
          <t>RAGUNDA</t>
        </is>
      </c>
      <c r="G188" t="n">
        <v>0.7</v>
      </c>
      <c r="H188" t="n">
        <v>1</v>
      </c>
      <c r="I188" t="n">
        <v>0</v>
      </c>
      <c r="J188" t="n">
        <v>1</v>
      </c>
      <c r="K188" t="n">
        <v>0</v>
      </c>
      <c r="L188" t="n">
        <v>0</v>
      </c>
      <c r="M188" t="n">
        <v>0</v>
      </c>
      <c r="N188" t="n">
        <v>0</v>
      </c>
      <c r="O188" t="n">
        <v>1</v>
      </c>
      <c r="P188" t="n">
        <v>0</v>
      </c>
      <c r="Q188" t="n">
        <v>1</v>
      </c>
      <c r="R188" s="2" t="inlineStr">
        <is>
          <t>Tretåig hackspett</t>
        </is>
      </c>
      <c r="S188">
        <f>HYPERLINK("https://klasma.github.io/Logging_2303/artfynd/A 36757-2023 artfynd.xlsx", "A 36757-2023")</f>
        <v/>
      </c>
      <c r="T188">
        <f>HYPERLINK("https://klasma.github.io/Logging_2303/kartor/A 36757-2023 karta.png", "A 36757-2023")</f>
        <v/>
      </c>
      <c r="V188">
        <f>HYPERLINK("https://klasma.github.io/Logging_2303/klagomål/A 36757-2023 FSC-klagomål.docx", "A 36757-2023")</f>
        <v/>
      </c>
      <c r="W188">
        <f>HYPERLINK("https://klasma.github.io/Logging_2303/klagomålsmail/A 36757-2023 FSC-klagomål mail.docx", "A 36757-2023")</f>
        <v/>
      </c>
      <c r="X188">
        <f>HYPERLINK("https://klasma.github.io/Logging_2303/tillsyn/A 36757-2023 tillsynsbegäran.docx", "A 36757-2023")</f>
        <v/>
      </c>
      <c r="Y188">
        <f>HYPERLINK("https://klasma.github.io/Logging_2303/tillsynsmail/A 36757-2023 tillsynsbegäran mail.docx", "A 36757-2023")</f>
        <v/>
      </c>
      <c r="Z188">
        <f>HYPERLINK("https://klasma.github.io/Logging_2303/fåglar/A 36757-2023 prioriterade fågelarter.docx", "A 36757-2023")</f>
        <v/>
      </c>
    </row>
    <row r="189" ht="15" customHeight="1">
      <c r="A189" t="inlineStr">
        <is>
          <t>A 36854-2023</t>
        </is>
      </c>
      <c r="B189" s="1" t="n">
        <v>45153</v>
      </c>
      <c r="C189" s="1" t="n">
        <v>45359</v>
      </c>
      <c r="D189" t="inlineStr">
        <is>
          <t>JÄMTLANDS LÄN</t>
        </is>
      </c>
      <c r="E189" t="inlineStr">
        <is>
          <t>RAGUNDA</t>
        </is>
      </c>
      <c r="G189" t="n">
        <v>4</v>
      </c>
      <c r="H189" t="n">
        <v>1</v>
      </c>
      <c r="I189" t="n">
        <v>0</v>
      </c>
      <c r="J189" t="n">
        <v>1</v>
      </c>
      <c r="K189" t="n">
        <v>0</v>
      </c>
      <c r="L189" t="n">
        <v>0</v>
      </c>
      <c r="M189" t="n">
        <v>0</v>
      </c>
      <c r="N189" t="n">
        <v>0</v>
      </c>
      <c r="O189" t="n">
        <v>1</v>
      </c>
      <c r="P189" t="n">
        <v>0</v>
      </c>
      <c r="Q189" t="n">
        <v>1</v>
      </c>
      <c r="R189" s="2" t="inlineStr">
        <is>
          <t>Talltita</t>
        </is>
      </c>
      <c r="S189">
        <f>HYPERLINK("https://klasma.github.io/Logging_2303/artfynd/A 36854-2023 artfynd.xlsx", "A 36854-2023")</f>
        <v/>
      </c>
      <c r="T189">
        <f>HYPERLINK("https://klasma.github.io/Logging_2303/kartor/A 36854-2023 karta.png", "A 36854-2023")</f>
        <v/>
      </c>
      <c r="V189">
        <f>HYPERLINK("https://klasma.github.io/Logging_2303/klagomål/A 36854-2023 FSC-klagomål.docx", "A 36854-2023")</f>
        <v/>
      </c>
      <c r="W189">
        <f>HYPERLINK("https://klasma.github.io/Logging_2303/klagomålsmail/A 36854-2023 FSC-klagomål mail.docx", "A 36854-2023")</f>
        <v/>
      </c>
      <c r="X189">
        <f>HYPERLINK("https://klasma.github.io/Logging_2303/tillsyn/A 36854-2023 tillsynsbegäran.docx", "A 36854-2023")</f>
        <v/>
      </c>
      <c r="Y189">
        <f>HYPERLINK("https://klasma.github.io/Logging_2303/tillsynsmail/A 36854-2023 tillsynsbegäran mail.docx", "A 36854-2023")</f>
        <v/>
      </c>
      <c r="Z189">
        <f>HYPERLINK("https://klasma.github.io/Logging_2303/fåglar/A 36854-2023 prioriterade fågelarter.docx", "A 36854-2023")</f>
        <v/>
      </c>
    </row>
    <row r="190" ht="15" customHeight="1">
      <c r="A190" t="inlineStr">
        <is>
          <t>A 36975-2023</t>
        </is>
      </c>
      <c r="B190" s="1" t="n">
        <v>45154</v>
      </c>
      <c r="C190" s="1" t="n">
        <v>45359</v>
      </c>
      <c r="D190" t="inlineStr">
        <is>
          <t>JÄMTLANDS LÄN</t>
        </is>
      </c>
      <c r="E190" t="inlineStr">
        <is>
          <t>RAGUNDA</t>
        </is>
      </c>
      <c r="F190" t="inlineStr">
        <is>
          <t>SCA</t>
        </is>
      </c>
      <c r="G190" t="n">
        <v>3.8</v>
      </c>
      <c r="H190" t="n">
        <v>0</v>
      </c>
      <c r="I190" t="n">
        <v>0</v>
      </c>
      <c r="J190" t="n">
        <v>0</v>
      </c>
      <c r="K190" t="n">
        <v>1</v>
      </c>
      <c r="L190" t="n">
        <v>0</v>
      </c>
      <c r="M190" t="n">
        <v>0</v>
      </c>
      <c r="N190" t="n">
        <v>0</v>
      </c>
      <c r="O190" t="n">
        <v>1</v>
      </c>
      <c r="P190" t="n">
        <v>1</v>
      </c>
      <c r="Q190" t="n">
        <v>1</v>
      </c>
      <c r="R190" s="2" t="inlineStr">
        <is>
          <t>Gräddporing</t>
        </is>
      </c>
      <c r="S190">
        <f>HYPERLINK("https://klasma.github.io/Logging_2303/artfynd/A 36975-2023 artfynd.xlsx", "A 36975-2023")</f>
        <v/>
      </c>
      <c r="T190">
        <f>HYPERLINK("https://klasma.github.io/Logging_2303/kartor/A 36975-2023 karta.png", "A 36975-2023")</f>
        <v/>
      </c>
      <c r="V190">
        <f>HYPERLINK("https://klasma.github.io/Logging_2303/klagomål/A 36975-2023 FSC-klagomål.docx", "A 36975-2023")</f>
        <v/>
      </c>
      <c r="W190">
        <f>HYPERLINK("https://klasma.github.io/Logging_2303/klagomålsmail/A 36975-2023 FSC-klagomål mail.docx", "A 36975-2023")</f>
        <v/>
      </c>
      <c r="X190">
        <f>HYPERLINK("https://klasma.github.io/Logging_2303/tillsyn/A 36975-2023 tillsynsbegäran.docx", "A 36975-2023")</f>
        <v/>
      </c>
      <c r="Y190">
        <f>HYPERLINK("https://klasma.github.io/Logging_2303/tillsynsmail/A 36975-2023 tillsynsbegäran mail.docx", "A 36975-2023")</f>
        <v/>
      </c>
    </row>
    <row r="191" ht="15" customHeight="1">
      <c r="A191" t="inlineStr">
        <is>
          <t>A 37234-2023</t>
        </is>
      </c>
      <c r="B191" s="1" t="n">
        <v>45155</v>
      </c>
      <c r="C191" s="1" t="n">
        <v>45359</v>
      </c>
      <c r="D191" t="inlineStr">
        <is>
          <t>JÄMTLANDS LÄN</t>
        </is>
      </c>
      <c r="E191" t="inlineStr">
        <is>
          <t>RAGUNDA</t>
        </is>
      </c>
      <c r="F191" t="inlineStr">
        <is>
          <t>SCA</t>
        </is>
      </c>
      <c r="G191" t="n">
        <v>7.5</v>
      </c>
      <c r="H191" t="n">
        <v>1</v>
      </c>
      <c r="I191" t="n">
        <v>0</v>
      </c>
      <c r="J191" t="n">
        <v>0</v>
      </c>
      <c r="K191" t="n">
        <v>1</v>
      </c>
      <c r="L191" t="n">
        <v>0</v>
      </c>
      <c r="M191" t="n">
        <v>0</v>
      </c>
      <c r="N191" t="n">
        <v>0</v>
      </c>
      <c r="O191" t="n">
        <v>1</v>
      </c>
      <c r="P191" t="n">
        <v>1</v>
      </c>
      <c r="Q191" t="n">
        <v>1</v>
      </c>
      <c r="R191" s="2" t="inlineStr">
        <is>
          <t>Knärot</t>
        </is>
      </c>
      <c r="S191">
        <f>HYPERLINK("https://klasma.github.io/Logging_2303/artfynd/A 37234-2023 artfynd.xlsx", "A 37234-2023")</f>
        <v/>
      </c>
      <c r="T191">
        <f>HYPERLINK("https://klasma.github.io/Logging_2303/kartor/A 37234-2023 karta.png", "A 37234-2023")</f>
        <v/>
      </c>
      <c r="U191">
        <f>HYPERLINK("https://klasma.github.io/Logging_2303/knärot/A 37234-2023 karta knärot.png", "A 37234-2023")</f>
        <v/>
      </c>
      <c r="V191">
        <f>HYPERLINK("https://klasma.github.io/Logging_2303/klagomål/A 37234-2023 FSC-klagomål.docx", "A 37234-2023")</f>
        <v/>
      </c>
      <c r="W191">
        <f>HYPERLINK("https://klasma.github.io/Logging_2303/klagomålsmail/A 37234-2023 FSC-klagomål mail.docx", "A 37234-2023")</f>
        <v/>
      </c>
      <c r="X191">
        <f>HYPERLINK("https://klasma.github.io/Logging_2303/tillsyn/A 37234-2023 tillsynsbegäran.docx", "A 37234-2023")</f>
        <v/>
      </c>
      <c r="Y191">
        <f>HYPERLINK("https://klasma.github.io/Logging_2303/tillsynsmail/A 37234-2023 tillsynsbegäran mail.docx", "A 37234-2023")</f>
        <v/>
      </c>
    </row>
    <row r="192" ht="15" customHeight="1">
      <c r="A192" t="inlineStr">
        <is>
          <t>A 43404-2023</t>
        </is>
      </c>
      <c r="B192" s="1" t="n">
        <v>45183</v>
      </c>
      <c r="C192" s="1" t="n">
        <v>45359</v>
      </c>
      <c r="D192" t="inlineStr">
        <is>
          <t>JÄMTLANDS LÄN</t>
        </is>
      </c>
      <c r="E192" t="inlineStr">
        <is>
          <t>RAGUNDA</t>
        </is>
      </c>
      <c r="F192" t="inlineStr">
        <is>
          <t>SCA</t>
        </is>
      </c>
      <c r="G192" t="n">
        <v>0.9</v>
      </c>
      <c r="H192" t="n">
        <v>0</v>
      </c>
      <c r="I192" t="n">
        <v>1</v>
      </c>
      <c r="J192" t="n">
        <v>0</v>
      </c>
      <c r="K192" t="n">
        <v>0</v>
      </c>
      <c r="L192" t="n">
        <v>0</v>
      </c>
      <c r="M192" t="n">
        <v>0</v>
      </c>
      <c r="N192" t="n">
        <v>0</v>
      </c>
      <c r="O192" t="n">
        <v>0</v>
      </c>
      <c r="P192" t="n">
        <v>0</v>
      </c>
      <c r="Q192" t="n">
        <v>1</v>
      </c>
      <c r="R192" s="2" t="inlineStr">
        <is>
          <t>Kryddspindling</t>
        </is>
      </c>
      <c r="S192">
        <f>HYPERLINK("https://klasma.github.io/Logging_2303/artfynd/A 43404-2023 artfynd.xlsx", "A 43404-2023")</f>
        <v/>
      </c>
      <c r="T192">
        <f>HYPERLINK("https://klasma.github.io/Logging_2303/kartor/A 43404-2023 karta.png", "A 43404-2023")</f>
        <v/>
      </c>
      <c r="V192">
        <f>HYPERLINK("https://klasma.github.io/Logging_2303/klagomål/A 43404-2023 FSC-klagomål.docx", "A 43404-2023")</f>
        <v/>
      </c>
      <c r="W192">
        <f>HYPERLINK("https://klasma.github.io/Logging_2303/klagomålsmail/A 43404-2023 FSC-klagomål mail.docx", "A 43404-2023")</f>
        <v/>
      </c>
      <c r="X192">
        <f>HYPERLINK("https://klasma.github.io/Logging_2303/tillsyn/A 43404-2023 tillsynsbegäran.docx", "A 43404-2023")</f>
        <v/>
      </c>
      <c r="Y192">
        <f>HYPERLINK("https://klasma.github.io/Logging_2303/tillsynsmail/A 43404-2023 tillsynsbegäran mail.docx", "A 43404-2023")</f>
        <v/>
      </c>
    </row>
    <row r="193" ht="15" customHeight="1">
      <c r="A193" t="inlineStr">
        <is>
          <t>A 48429-2023</t>
        </is>
      </c>
      <c r="B193" s="1" t="n">
        <v>45205</v>
      </c>
      <c r="C193" s="1" t="n">
        <v>45359</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48429-2023 artfynd.xlsx", "A 48429-2023")</f>
        <v/>
      </c>
      <c r="T193">
        <f>HYPERLINK("https://klasma.github.io/Logging_2303/kartor/A 48429-2023 karta.png", "A 48429-2023")</f>
        <v/>
      </c>
      <c r="V193">
        <f>HYPERLINK("https://klasma.github.io/Logging_2303/klagomål/A 48429-2023 FSC-klagomål.docx", "A 48429-2023")</f>
        <v/>
      </c>
      <c r="W193">
        <f>HYPERLINK("https://klasma.github.io/Logging_2303/klagomålsmail/A 48429-2023 FSC-klagomål mail.docx", "A 48429-2023")</f>
        <v/>
      </c>
      <c r="X193">
        <f>HYPERLINK("https://klasma.github.io/Logging_2303/tillsyn/A 48429-2023 tillsynsbegäran.docx", "A 48429-2023")</f>
        <v/>
      </c>
      <c r="Y193">
        <f>HYPERLINK("https://klasma.github.io/Logging_2303/tillsynsmail/A 48429-2023 tillsynsbegäran mail.docx", "A 48429-2023")</f>
        <v/>
      </c>
    </row>
    <row r="194" ht="15" customHeight="1">
      <c r="A194" t="inlineStr">
        <is>
          <t>A 48477-2023</t>
        </is>
      </c>
      <c r="B194" s="1" t="n">
        <v>45206</v>
      </c>
      <c r="C194" s="1" t="n">
        <v>45359</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48477-2023 artfynd.xlsx", "A 48477-2023")</f>
        <v/>
      </c>
      <c r="T194">
        <f>HYPERLINK("https://klasma.github.io/Logging_2303/kartor/A 48477-2023 karta.png", "A 48477-2023")</f>
        <v/>
      </c>
      <c r="V194">
        <f>HYPERLINK("https://klasma.github.io/Logging_2303/klagomål/A 48477-2023 FSC-klagomål.docx", "A 48477-2023")</f>
        <v/>
      </c>
      <c r="W194">
        <f>HYPERLINK("https://klasma.github.io/Logging_2303/klagomålsmail/A 48477-2023 FSC-klagomål mail.docx", "A 48477-2023")</f>
        <v/>
      </c>
      <c r="X194">
        <f>HYPERLINK("https://klasma.github.io/Logging_2303/tillsyn/A 48477-2023 tillsynsbegäran.docx", "A 48477-2023")</f>
        <v/>
      </c>
      <c r="Y194">
        <f>HYPERLINK("https://klasma.github.io/Logging_2303/tillsynsmail/A 48477-2023 tillsynsbegäran mail.docx", "A 48477-2023")</f>
        <v/>
      </c>
    </row>
    <row r="195" ht="15" customHeight="1">
      <c r="A195" t="inlineStr">
        <is>
          <t>A 50164-2023</t>
        </is>
      </c>
      <c r="B195" s="1" t="n">
        <v>45208</v>
      </c>
      <c r="C195" s="1" t="n">
        <v>45359</v>
      </c>
      <c r="D195" t="inlineStr">
        <is>
          <t>JÄMTLANDS LÄN</t>
        </is>
      </c>
      <c r="E195" t="inlineStr">
        <is>
          <t>RAGUNDA</t>
        </is>
      </c>
      <c r="G195" t="n">
        <v>2.9</v>
      </c>
      <c r="H195" t="n">
        <v>0</v>
      </c>
      <c r="I195" t="n">
        <v>0</v>
      </c>
      <c r="J195" t="n">
        <v>0</v>
      </c>
      <c r="K195" t="n">
        <v>1</v>
      </c>
      <c r="L195" t="n">
        <v>0</v>
      </c>
      <c r="M195" t="n">
        <v>0</v>
      </c>
      <c r="N195" t="n">
        <v>0</v>
      </c>
      <c r="O195" t="n">
        <v>1</v>
      </c>
      <c r="P195" t="n">
        <v>1</v>
      </c>
      <c r="Q195" t="n">
        <v>1</v>
      </c>
      <c r="R195" s="2" t="inlineStr">
        <is>
          <t>Mindre barkplattbagge</t>
        </is>
      </c>
      <c r="S195">
        <f>HYPERLINK("https://klasma.github.io/Logging_2303/artfynd/A 50164-2023 artfynd.xlsx", "A 50164-2023")</f>
        <v/>
      </c>
      <c r="T195">
        <f>HYPERLINK("https://klasma.github.io/Logging_2303/kartor/A 50164-2023 karta.png", "A 50164-2023")</f>
        <v/>
      </c>
      <c r="V195">
        <f>HYPERLINK("https://klasma.github.io/Logging_2303/klagomål/A 50164-2023 FSC-klagomål.docx", "A 50164-2023")</f>
        <v/>
      </c>
      <c r="W195">
        <f>HYPERLINK("https://klasma.github.io/Logging_2303/klagomålsmail/A 50164-2023 FSC-klagomål mail.docx", "A 50164-2023")</f>
        <v/>
      </c>
      <c r="X195">
        <f>HYPERLINK("https://klasma.github.io/Logging_2303/tillsyn/A 50164-2023 tillsynsbegäran.docx", "A 50164-2023")</f>
        <v/>
      </c>
      <c r="Y195">
        <f>HYPERLINK("https://klasma.github.io/Logging_2303/tillsynsmail/A 50164-2023 tillsynsbegäran mail.docx", "A 50164-2023")</f>
        <v/>
      </c>
    </row>
    <row r="196" ht="15" customHeight="1">
      <c r="A196" t="inlineStr">
        <is>
          <t>A 56283-2023</t>
        </is>
      </c>
      <c r="B196" s="1" t="n">
        <v>45241</v>
      </c>
      <c r="C196" s="1" t="n">
        <v>45359</v>
      </c>
      <c r="D196" t="inlineStr">
        <is>
          <t>JÄMTLANDS LÄN</t>
        </is>
      </c>
      <c r="E196" t="inlineStr">
        <is>
          <t>RAGUNDA</t>
        </is>
      </c>
      <c r="F196" t="inlineStr">
        <is>
          <t>SCA</t>
        </is>
      </c>
      <c r="G196" t="n">
        <v>7.4</v>
      </c>
      <c r="H196" t="n">
        <v>1</v>
      </c>
      <c r="I196" t="n">
        <v>0</v>
      </c>
      <c r="J196" t="n">
        <v>0</v>
      </c>
      <c r="K196" t="n">
        <v>1</v>
      </c>
      <c r="L196" t="n">
        <v>0</v>
      </c>
      <c r="M196" t="n">
        <v>0</v>
      </c>
      <c r="N196" t="n">
        <v>0</v>
      </c>
      <c r="O196" t="n">
        <v>1</v>
      </c>
      <c r="P196" t="n">
        <v>1</v>
      </c>
      <c r="Q196" t="n">
        <v>1</v>
      </c>
      <c r="R196" s="2" t="inlineStr">
        <is>
          <t>Doftticka</t>
        </is>
      </c>
      <c r="S196">
        <f>HYPERLINK("https://klasma.github.io/Logging_2303/artfynd/A 56283-2023 artfynd.xlsx", "A 56283-2023")</f>
        <v/>
      </c>
      <c r="T196">
        <f>HYPERLINK("https://klasma.github.io/Logging_2303/kartor/A 56283-2023 karta.png", "A 56283-2023")</f>
        <v/>
      </c>
      <c r="V196">
        <f>HYPERLINK("https://klasma.github.io/Logging_2303/klagomål/A 56283-2023 FSC-klagomål.docx", "A 56283-2023")</f>
        <v/>
      </c>
      <c r="W196">
        <f>HYPERLINK("https://klasma.github.io/Logging_2303/klagomålsmail/A 56283-2023 FSC-klagomål mail.docx", "A 56283-2023")</f>
        <v/>
      </c>
      <c r="X196">
        <f>HYPERLINK("https://klasma.github.io/Logging_2303/tillsyn/A 56283-2023 tillsynsbegäran.docx", "A 56283-2023")</f>
        <v/>
      </c>
      <c r="Y196">
        <f>HYPERLINK("https://klasma.github.io/Logging_2303/tillsynsmail/A 56283-2023 tillsynsbegäran mail.docx", "A 56283-2023")</f>
        <v/>
      </c>
    </row>
    <row r="197" ht="15" customHeight="1">
      <c r="A197" t="inlineStr">
        <is>
          <t>A 59104-2023</t>
        </is>
      </c>
      <c r="B197" s="1" t="n">
        <v>45253</v>
      </c>
      <c r="C197" s="1" t="n">
        <v>45359</v>
      </c>
      <c r="D197" t="inlineStr">
        <is>
          <t>JÄMTLANDS LÄN</t>
        </is>
      </c>
      <c r="E197" t="inlineStr">
        <is>
          <t>RAGUNDA</t>
        </is>
      </c>
      <c r="F197" t="inlineStr">
        <is>
          <t>SCA</t>
        </is>
      </c>
      <c r="G197" t="n">
        <v>4.2</v>
      </c>
      <c r="H197" t="n">
        <v>0</v>
      </c>
      <c r="I197" t="n">
        <v>0</v>
      </c>
      <c r="J197" t="n">
        <v>1</v>
      </c>
      <c r="K197" t="n">
        <v>0</v>
      </c>
      <c r="L197" t="n">
        <v>0</v>
      </c>
      <c r="M197" t="n">
        <v>0</v>
      </c>
      <c r="N197" t="n">
        <v>0</v>
      </c>
      <c r="O197" t="n">
        <v>1</v>
      </c>
      <c r="P197" t="n">
        <v>0</v>
      </c>
      <c r="Q197" t="n">
        <v>1</v>
      </c>
      <c r="R197" s="2" t="inlineStr">
        <is>
          <t>Ullticka</t>
        </is>
      </c>
      <c r="S197">
        <f>HYPERLINK("https://klasma.github.io/Logging_2303/artfynd/A 59104-2023 artfynd.xlsx", "A 59104-2023")</f>
        <v/>
      </c>
      <c r="T197">
        <f>HYPERLINK("https://klasma.github.io/Logging_2303/kartor/A 59104-2023 karta.png", "A 59104-2023")</f>
        <v/>
      </c>
      <c r="V197">
        <f>HYPERLINK("https://klasma.github.io/Logging_2303/klagomål/A 59104-2023 FSC-klagomål.docx", "A 59104-2023")</f>
        <v/>
      </c>
      <c r="W197">
        <f>HYPERLINK("https://klasma.github.io/Logging_2303/klagomålsmail/A 59104-2023 FSC-klagomål mail.docx", "A 59104-2023")</f>
        <v/>
      </c>
      <c r="X197">
        <f>HYPERLINK("https://klasma.github.io/Logging_2303/tillsyn/A 59104-2023 tillsynsbegäran.docx", "A 59104-2023")</f>
        <v/>
      </c>
      <c r="Y197">
        <f>HYPERLINK("https://klasma.github.io/Logging_2303/tillsynsmail/A 59104-2023 tillsynsbegäran mail.docx", "A 59104-2023")</f>
        <v/>
      </c>
    </row>
    <row r="198" ht="15" customHeight="1">
      <c r="A198" t="inlineStr">
        <is>
          <t>A 61505-2023</t>
        </is>
      </c>
      <c r="B198" s="1" t="n">
        <v>45264</v>
      </c>
      <c r="C198" s="1" t="n">
        <v>45359</v>
      </c>
      <c r="D198" t="inlineStr">
        <is>
          <t>JÄMTLANDS LÄN</t>
        </is>
      </c>
      <c r="E198" t="inlineStr">
        <is>
          <t>RAGUNDA</t>
        </is>
      </c>
      <c r="F198" t="inlineStr">
        <is>
          <t>SCA</t>
        </is>
      </c>
      <c r="G198" t="n">
        <v>38.3</v>
      </c>
      <c r="H198" t="n">
        <v>1</v>
      </c>
      <c r="I198" t="n">
        <v>0</v>
      </c>
      <c r="J198" t="n">
        <v>1</v>
      </c>
      <c r="K198" t="n">
        <v>0</v>
      </c>
      <c r="L198" t="n">
        <v>0</v>
      </c>
      <c r="M198" t="n">
        <v>0</v>
      </c>
      <c r="N198" t="n">
        <v>0</v>
      </c>
      <c r="O198" t="n">
        <v>1</v>
      </c>
      <c r="P198" t="n">
        <v>0</v>
      </c>
      <c r="Q198" t="n">
        <v>1</v>
      </c>
      <c r="R198" s="2" t="inlineStr">
        <is>
          <t>Järpe</t>
        </is>
      </c>
      <c r="S198">
        <f>HYPERLINK("https://klasma.github.io/Logging_2303/artfynd/A 61505-2023 artfynd.xlsx", "A 61505-2023")</f>
        <v/>
      </c>
      <c r="T198">
        <f>HYPERLINK("https://klasma.github.io/Logging_2303/kartor/A 61505-2023 karta.png", "A 61505-2023")</f>
        <v/>
      </c>
      <c r="V198">
        <f>HYPERLINK("https://klasma.github.io/Logging_2303/klagomål/A 61505-2023 FSC-klagomål.docx", "A 61505-2023")</f>
        <v/>
      </c>
      <c r="W198">
        <f>HYPERLINK("https://klasma.github.io/Logging_2303/klagomålsmail/A 61505-2023 FSC-klagomål mail.docx", "A 61505-2023")</f>
        <v/>
      </c>
      <c r="X198">
        <f>HYPERLINK("https://klasma.github.io/Logging_2303/tillsyn/A 61505-2023 tillsynsbegäran.docx", "A 61505-2023")</f>
        <v/>
      </c>
      <c r="Y198">
        <f>HYPERLINK("https://klasma.github.io/Logging_2303/tillsynsmail/A 61505-2023 tillsynsbegäran mail.docx", "A 61505-2023")</f>
        <v/>
      </c>
      <c r="Z198">
        <f>HYPERLINK("https://klasma.github.io/Logging_2303/fåglar/A 61505-2023 prioriterade fågelarter.docx", "A 61505-2023")</f>
        <v/>
      </c>
    </row>
    <row r="199" ht="15" customHeight="1">
      <c r="A199" t="inlineStr">
        <is>
          <t>A 62072-2023</t>
        </is>
      </c>
      <c r="B199" s="1" t="n">
        <v>45266</v>
      </c>
      <c r="C199" s="1" t="n">
        <v>45359</v>
      </c>
      <c r="D199" t="inlineStr">
        <is>
          <t>JÄMTLANDS LÄN</t>
        </is>
      </c>
      <c r="E199" t="inlineStr">
        <is>
          <t>RAGUNDA</t>
        </is>
      </c>
      <c r="G199" t="n">
        <v>4.5</v>
      </c>
      <c r="H199" t="n">
        <v>1</v>
      </c>
      <c r="I199" t="n">
        <v>0</v>
      </c>
      <c r="J199" t="n">
        <v>0</v>
      </c>
      <c r="K199" t="n">
        <v>1</v>
      </c>
      <c r="L199" t="n">
        <v>0</v>
      </c>
      <c r="M199" t="n">
        <v>0</v>
      </c>
      <c r="N199" t="n">
        <v>0</v>
      </c>
      <c r="O199" t="n">
        <v>1</v>
      </c>
      <c r="P199" t="n">
        <v>1</v>
      </c>
      <c r="Q199" t="n">
        <v>1</v>
      </c>
      <c r="R199" s="2" t="inlineStr">
        <is>
          <t>Lappuggla</t>
        </is>
      </c>
      <c r="S199">
        <f>HYPERLINK("https://klasma.github.io/Logging_2303/artfynd/A 62072-2023 artfynd.xlsx", "A 62072-2023")</f>
        <v/>
      </c>
      <c r="T199">
        <f>HYPERLINK("https://klasma.github.io/Logging_2303/kartor/A 62072-2023 karta.png", "A 62072-2023")</f>
        <v/>
      </c>
      <c r="V199">
        <f>HYPERLINK("https://klasma.github.io/Logging_2303/klagomål/A 62072-2023 FSC-klagomål.docx", "A 62072-2023")</f>
        <v/>
      </c>
      <c r="W199">
        <f>HYPERLINK("https://klasma.github.io/Logging_2303/klagomålsmail/A 62072-2023 FSC-klagomål mail.docx", "A 62072-2023")</f>
        <v/>
      </c>
      <c r="X199">
        <f>HYPERLINK("https://klasma.github.io/Logging_2303/tillsyn/A 62072-2023 tillsynsbegäran.docx", "A 62072-2023")</f>
        <v/>
      </c>
      <c r="Y199">
        <f>HYPERLINK("https://klasma.github.io/Logging_2303/tillsynsmail/A 62072-2023 tillsynsbegäran mail.docx", "A 62072-2023")</f>
        <v/>
      </c>
      <c r="Z199">
        <f>HYPERLINK("https://klasma.github.io/Logging_2303/fåglar/A 62072-2023 prioriterade fågelarter.docx", "A 62072-2023")</f>
        <v/>
      </c>
    </row>
    <row r="200" ht="15" customHeight="1">
      <c r="A200" t="inlineStr">
        <is>
          <t>A 978-2024</t>
        </is>
      </c>
      <c r="B200" s="1" t="n">
        <v>45301</v>
      </c>
      <c r="C200" s="1" t="n">
        <v>45359</v>
      </c>
      <c r="D200" t="inlineStr">
        <is>
          <t>JÄMTLANDS LÄN</t>
        </is>
      </c>
      <c r="E200" t="inlineStr">
        <is>
          <t>RAGUNDA</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HYPERLINK("https://klasma.github.io/Logging_2303/artfynd/A 978-2024 artfynd.xlsx", "A 978-2024")</f>
        <v/>
      </c>
      <c r="T200">
        <f>HYPERLINK("https://klasma.github.io/Logging_2303/kartor/A 978-2024 karta.png", "A 978-2024")</f>
        <v/>
      </c>
      <c r="V200">
        <f>HYPERLINK("https://klasma.github.io/Logging_2303/klagomål/A 978-2024 FSC-klagomål.docx", "A 978-2024")</f>
        <v/>
      </c>
      <c r="W200">
        <f>HYPERLINK("https://klasma.github.io/Logging_2303/klagomålsmail/A 978-2024 FSC-klagomål mail.docx", "A 978-2024")</f>
        <v/>
      </c>
      <c r="X200">
        <f>HYPERLINK("https://klasma.github.io/Logging_2303/tillsyn/A 978-2024 tillsynsbegäran.docx", "A 978-2024")</f>
        <v/>
      </c>
      <c r="Y200">
        <f>HYPERLINK("https://klasma.github.io/Logging_2303/tillsynsmail/A 978-2024 tillsynsbegäran mail.docx", "A 978-2024")</f>
        <v/>
      </c>
      <c r="Z200">
        <f>HYPERLINK("https://klasma.github.io/Logging_2303/fåglar/A 978-2024 prioriterade fågelarter.docx", "A 978-2024")</f>
        <v/>
      </c>
    </row>
    <row r="201" ht="15" customHeight="1">
      <c r="A201" t="inlineStr">
        <is>
          <t>A 1057-2024</t>
        </is>
      </c>
      <c r="B201" s="1" t="n">
        <v>45301</v>
      </c>
      <c r="C201" s="1" t="n">
        <v>45359</v>
      </c>
      <c r="D201" t="inlineStr">
        <is>
          <t>JÄMTLANDS LÄN</t>
        </is>
      </c>
      <c r="E201" t="inlineStr">
        <is>
          <t>RAGUNDA</t>
        </is>
      </c>
      <c r="F201" t="inlineStr">
        <is>
          <t>SCA</t>
        </is>
      </c>
      <c r="G201" t="n">
        <v>6.8</v>
      </c>
      <c r="H201" t="n">
        <v>0</v>
      </c>
      <c r="I201" t="n">
        <v>1</v>
      </c>
      <c r="J201" t="n">
        <v>0</v>
      </c>
      <c r="K201" t="n">
        <v>0</v>
      </c>
      <c r="L201" t="n">
        <v>0</v>
      </c>
      <c r="M201" t="n">
        <v>0</v>
      </c>
      <c r="N201" t="n">
        <v>0</v>
      </c>
      <c r="O201" t="n">
        <v>0</v>
      </c>
      <c r="P201" t="n">
        <v>0</v>
      </c>
      <c r="Q201" t="n">
        <v>1</v>
      </c>
      <c r="R201" s="2" t="inlineStr">
        <is>
          <t>Stor aspticka</t>
        </is>
      </c>
      <c r="S201">
        <f>HYPERLINK("https://klasma.github.io/Logging_2303/artfynd/A 1057-2024 artfynd.xlsx", "A 1057-2024")</f>
        <v/>
      </c>
      <c r="T201">
        <f>HYPERLINK("https://klasma.github.io/Logging_2303/kartor/A 1057-2024 karta.png", "A 1057-2024")</f>
        <v/>
      </c>
      <c r="V201">
        <f>HYPERLINK("https://klasma.github.io/Logging_2303/klagomål/A 1057-2024 FSC-klagomål.docx", "A 1057-2024")</f>
        <v/>
      </c>
      <c r="W201">
        <f>HYPERLINK("https://klasma.github.io/Logging_2303/klagomålsmail/A 1057-2024 FSC-klagomål mail.docx", "A 1057-2024")</f>
        <v/>
      </c>
      <c r="X201">
        <f>HYPERLINK("https://klasma.github.io/Logging_2303/tillsyn/A 1057-2024 tillsynsbegäran.docx", "A 1057-2024")</f>
        <v/>
      </c>
      <c r="Y201">
        <f>HYPERLINK("https://klasma.github.io/Logging_2303/tillsynsmail/A 1057-2024 tillsynsbegäran mail.docx", "A 1057-2024")</f>
        <v/>
      </c>
    </row>
    <row r="202" ht="15" customHeight="1">
      <c r="A202" t="inlineStr">
        <is>
          <t>A 2246-2024</t>
        </is>
      </c>
      <c r="B202" s="1" t="n">
        <v>45309</v>
      </c>
      <c r="C202" s="1" t="n">
        <v>45359</v>
      </c>
      <c r="D202" t="inlineStr">
        <is>
          <t>JÄMTLANDS LÄN</t>
        </is>
      </c>
      <c r="E202" t="inlineStr">
        <is>
          <t>RAGUNDA</t>
        </is>
      </c>
      <c r="G202" t="n">
        <v>3.8</v>
      </c>
      <c r="H202" t="n">
        <v>0</v>
      </c>
      <c r="I202" t="n">
        <v>1</v>
      </c>
      <c r="J202" t="n">
        <v>0</v>
      </c>
      <c r="K202" t="n">
        <v>0</v>
      </c>
      <c r="L202" t="n">
        <v>0</v>
      </c>
      <c r="M202" t="n">
        <v>0</v>
      </c>
      <c r="N202" t="n">
        <v>0</v>
      </c>
      <c r="O202" t="n">
        <v>0</v>
      </c>
      <c r="P202" t="n">
        <v>0</v>
      </c>
      <c r="Q202" t="n">
        <v>1</v>
      </c>
      <c r="R202" s="2" t="inlineStr">
        <is>
          <t>Dropptaggsvamp</t>
        </is>
      </c>
      <c r="S202">
        <f>HYPERLINK("https://klasma.github.io/Logging_2303/artfynd/A 2246-2024 artfynd.xlsx", "A 2246-2024")</f>
        <v/>
      </c>
      <c r="T202">
        <f>HYPERLINK("https://klasma.github.io/Logging_2303/kartor/A 2246-2024 karta.png", "A 2246-2024")</f>
        <v/>
      </c>
      <c r="V202">
        <f>HYPERLINK("https://klasma.github.io/Logging_2303/klagomål/A 2246-2024 FSC-klagomål.docx", "A 2246-2024")</f>
        <v/>
      </c>
      <c r="W202">
        <f>HYPERLINK("https://klasma.github.io/Logging_2303/klagomålsmail/A 2246-2024 FSC-klagomål mail.docx", "A 2246-2024")</f>
        <v/>
      </c>
      <c r="X202">
        <f>HYPERLINK("https://klasma.github.io/Logging_2303/tillsyn/A 2246-2024 tillsynsbegäran.docx", "A 2246-2024")</f>
        <v/>
      </c>
      <c r="Y202">
        <f>HYPERLINK("https://klasma.github.io/Logging_2303/tillsynsmail/A 2246-2024 tillsynsbegäran mail.docx", "A 2246-2024")</f>
        <v/>
      </c>
    </row>
    <row r="203" ht="15" customHeight="1">
      <c r="A203" t="inlineStr">
        <is>
          <t>A 2929-2024</t>
        </is>
      </c>
      <c r="B203" s="1" t="n">
        <v>45315</v>
      </c>
      <c r="C203" s="1" t="n">
        <v>45359</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6703-2024</t>
        </is>
      </c>
      <c r="B204" s="1" t="n">
        <v>45341</v>
      </c>
      <c r="C204" s="1" t="n">
        <v>45359</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35331-2018</t>
        </is>
      </c>
      <c r="B205" s="1" t="n">
        <v>43321</v>
      </c>
      <c r="C205" s="1" t="n">
        <v>45359</v>
      </c>
      <c r="D205" t="inlineStr">
        <is>
          <t>JÄMTLANDS LÄN</t>
        </is>
      </c>
      <c r="E205" t="inlineStr">
        <is>
          <t>RAGUNDA</t>
        </is>
      </c>
      <c r="G205" t="n">
        <v>38</v>
      </c>
      <c r="H205" t="n">
        <v>0</v>
      </c>
      <c r="I205" t="n">
        <v>0</v>
      </c>
      <c r="J205" t="n">
        <v>0</v>
      </c>
      <c r="K205" t="n">
        <v>0</v>
      </c>
      <c r="L205" t="n">
        <v>0</v>
      </c>
      <c r="M205" t="n">
        <v>0</v>
      </c>
      <c r="N205" t="n">
        <v>0</v>
      </c>
      <c r="O205" t="n">
        <v>0</v>
      </c>
      <c r="P205" t="n">
        <v>0</v>
      </c>
      <c r="Q205" t="n">
        <v>0</v>
      </c>
      <c r="R205" s="2" t="inlineStr"/>
    </row>
    <row r="206" ht="15" customHeight="1">
      <c r="A206" t="inlineStr">
        <is>
          <t>A 35216-2018</t>
        </is>
      </c>
      <c r="B206" s="1" t="n">
        <v>43322</v>
      </c>
      <c r="C206" s="1" t="n">
        <v>45359</v>
      </c>
      <c r="D206" t="inlineStr">
        <is>
          <t>JÄMTLANDS LÄN</t>
        </is>
      </c>
      <c r="E206" t="inlineStr">
        <is>
          <t>RAGUNDA</t>
        </is>
      </c>
      <c r="F206" t="inlineStr">
        <is>
          <t>SCA</t>
        </is>
      </c>
      <c r="G206" t="n">
        <v>6</v>
      </c>
      <c r="H206" t="n">
        <v>0</v>
      </c>
      <c r="I206" t="n">
        <v>0</v>
      </c>
      <c r="J206" t="n">
        <v>0</v>
      </c>
      <c r="K206" t="n">
        <v>0</v>
      </c>
      <c r="L206" t="n">
        <v>0</v>
      </c>
      <c r="M206" t="n">
        <v>0</v>
      </c>
      <c r="N206" t="n">
        <v>0</v>
      </c>
      <c r="O206" t="n">
        <v>0</v>
      </c>
      <c r="P206" t="n">
        <v>0</v>
      </c>
      <c r="Q206" t="n">
        <v>0</v>
      </c>
      <c r="R206" s="2" t="inlineStr"/>
    </row>
    <row r="207" ht="15" customHeight="1">
      <c r="A207" t="inlineStr">
        <is>
          <t>A 35741-2018</t>
        </is>
      </c>
      <c r="B207" s="1" t="n">
        <v>43326</v>
      </c>
      <c r="C207" s="1" t="n">
        <v>45359</v>
      </c>
      <c r="D207" t="inlineStr">
        <is>
          <t>JÄMTLANDS LÄN</t>
        </is>
      </c>
      <c r="E207" t="inlineStr">
        <is>
          <t>RAGUNDA</t>
        </is>
      </c>
      <c r="G207" t="n">
        <v>2.4</v>
      </c>
      <c r="H207" t="n">
        <v>0</v>
      </c>
      <c r="I207" t="n">
        <v>0</v>
      </c>
      <c r="J207" t="n">
        <v>0</v>
      </c>
      <c r="K207" t="n">
        <v>0</v>
      </c>
      <c r="L207" t="n">
        <v>0</v>
      </c>
      <c r="M207" t="n">
        <v>0</v>
      </c>
      <c r="N207" t="n">
        <v>0</v>
      </c>
      <c r="O207" t="n">
        <v>0</v>
      </c>
      <c r="P207" t="n">
        <v>0</v>
      </c>
      <c r="Q207" t="n">
        <v>0</v>
      </c>
      <c r="R207" s="2" t="inlineStr"/>
    </row>
    <row r="208" ht="15" customHeight="1">
      <c r="A208" t="inlineStr">
        <is>
          <t>A 39341-2018</t>
        </is>
      </c>
      <c r="B208" s="1" t="n">
        <v>43341</v>
      </c>
      <c r="C208" s="1" t="n">
        <v>45359</v>
      </c>
      <c r="D208" t="inlineStr">
        <is>
          <t>JÄMTLANDS LÄN</t>
        </is>
      </c>
      <c r="E208" t="inlineStr">
        <is>
          <t>RAGUNDA</t>
        </is>
      </c>
      <c r="G208" t="n">
        <v>0.2</v>
      </c>
      <c r="H208" t="n">
        <v>0</v>
      </c>
      <c r="I208" t="n">
        <v>0</v>
      </c>
      <c r="J208" t="n">
        <v>0</v>
      </c>
      <c r="K208" t="n">
        <v>0</v>
      </c>
      <c r="L208" t="n">
        <v>0</v>
      </c>
      <c r="M208" t="n">
        <v>0</v>
      </c>
      <c r="N208" t="n">
        <v>0</v>
      </c>
      <c r="O208" t="n">
        <v>0</v>
      </c>
      <c r="P208" t="n">
        <v>0</v>
      </c>
      <c r="Q208" t="n">
        <v>0</v>
      </c>
      <c r="R208" s="2" t="inlineStr"/>
    </row>
    <row r="209" ht="15" customHeight="1">
      <c r="A209" t="inlineStr">
        <is>
          <t>A 45365-2018</t>
        </is>
      </c>
      <c r="B209" s="1" t="n">
        <v>43360</v>
      </c>
      <c r="C209" s="1" t="n">
        <v>45359</v>
      </c>
      <c r="D209" t="inlineStr">
        <is>
          <t>JÄMTLANDS LÄN</t>
        </is>
      </c>
      <c r="E209" t="inlineStr">
        <is>
          <t>RAGUNDA</t>
        </is>
      </c>
      <c r="G209" t="n">
        <v>7</v>
      </c>
      <c r="H209" t="n">
        <v>0</v>
      </c>
      <c r="I209" t="n">
        <v>0</v>
      </c>
      <c r="J209" t="n">
        <v>0</v>
      </c>
      <c r="K209" t="n">
        <v>0</v>
      </c>
      <c r="L209" t="n">
        <v>0</v>
      </c>
      <c r="M209" t="n">
        <v>0</v>
      </c>
      <c r="N209" t="n">
        <v>0</v>
      </c>
      <c r="O209" t="n">
        <v>0</v>
      </c>
      <c r="P209" t="n">
        <v>0</v>
      </c>
      <c r="Q209" t="n">
        <v>0</v>
      </c>
      <c r="R209" s="2" t="inlineStr"/>
    </row>
    <row r="210" ht="15" customHeight="1">
      <c r="A210" t="inlineStr">
        <is>
          <t>A 54413-2018</t>
        </is>
      </c>
      <c r="B210" s="1" t="n">
        <v>43395</v>
      </c>
      <c r="C210" s="1" t="n">
        <v>45359</v>
      </c>
      <c r="D210" t="inlineStr">
        <is>
          <t>JÄMTLANDS LÄN</t>
        </is>
      </c>
      <c r="E210" t="inlineStr">
        <is>
          <t>RAGUNDA</t>
        </is>
      </c>
      <c r="G210" t="n">
        <v>31.2</v>
      </c>
      <c r="H210" t="n">
        <v>0</v>
      </c>
      <c r="I210" t="n">
        <v>0</v>
      </c>
      <c r="J210" t="n">
        <v>0</v>
      </c>
      <c r="K210" t="n">
        <v>0</v>
      </c>
      <c r="L210" t="n">
        <v>0</v>
      </c>
      <c r="M210" t="n">
        <v>0</v>
      </c>
      <c r="N210" t="n">
        <v>0</v>
      </c>
      <c r="O210" t="n">
        <v>0</v>
      </c>
      <c r="P210" t="n">
        <v>0</v>
      </c>
      <c r="Q210" t="n">
        <v>0</v>
      </c>
      <c r="R210" s="2" t="inlineStr"/>
    </row>
    <row r="211" ht="15" customHeight="1">
      <c r="A211" t="inlineStr">
        <is>
          <t>A 55010-2018</t>
        </is>
      </c>
      <c r="B211" s="1" t="n">
        <v>43396</v>
      </c>
      <c r="C211" s="1" t="n">
        <v>45359</v>
      </c>
      <c r="D211" t="inlineStr">
        <is>
          <t>JÄMTLANDS LÄN</t>
        </is>
      </c>
      <c r="E211" t="inlineStr">
        <is>
          <t>RAGUNDA</t>
        </is>
      </c>
      <c r="G211" t="n">
        <v>0.8</v>
      </c>
      <c r="H211" t="n">
        <v>0</v>
      </c>
      <c r="I211" t="n">
        <v>0</v>
      </c>
      <c r="J211" t="n">
        <v>0</v>
      </c>
      <c r="K211" t="n">
        <v>0</v>
      </c>
      <c r="L211" t="n">
        <v>0</v>
      </c>
      <c r="M211" t="n">
        <v>0</v>
      </c>
      <c r="N211" t="n">
        <v>0</v>
      </c>
      <c r="O211" t="n">
        <v>0</v>
      </c>
      <c r="P211" t="n">
        <v>0</v>
      </c>
      <c r="Q211" t="n">
        <v>0</v>
      </c>
      <c r="R211" s="2" t="inlineStr"/>
    </row>
    <row r="212" ht="15" customHeight="1">
      <c r="A212" t="inlineStr">
        <is>
          <t>A 55763-2018</t>
        </is>
      </c>
      <c r="B212" s="1" t="n">
        <v>43398</v>
      </c>
      <c r="C212" s="1" t="n">
        <v>45359</v>
      </c>
      <c r="D212" t="inlineStr">
        <is>
          <t>JÄMTLANDS LÄN</t>
        </is>
      </c>
      <c r="E212" t="inlineStr">
        <is>
          <t>RAGUNDA</t>
        </is>
      </c>
      <c r="G212" t="n">
        <v>6.4</v>
      </c>
      <c r="H212" t="n">
        <v>0</v>
      </c>
      <c r="I212" t="n">
        <v>0</v>
      </c>
      <c r="J212" t="n">
        <v>0</v>
      </c>
      <c r="K212" t="n">
        <v>0</v>
      </c>
      <c r="L212" t="n">
        <v>0</v>
      </c>
      <c r="M212" t="n">
        <v>0</v>
      </c>
      <c r="N212" t="n">
        <v>0</v>
      </c>
      <c r="O212" t="n">
        <v>0</v>
      </c>
      <c r="P212" t="n">
        <v>0</v>
      </c>
      <c r="Q212" t="n">
        <v>0</v>
      </c>
      <c r="R212" s="2" t="inlineStr"/>
    </row>
    <row r="213" ht="15" customHeight="1">
      <c r="A213" t="inlineStr">
        <is>
          <t>A 55761-2018</t>
        </is>
      </c>
      <c r="B213" s="1" t="n">
        <v>43398</v>
      </c>
      <c r="C213" s="1" t="n">
        <v>45359</v>
      </c>
      <c r="D213" t="inlineStr">
        <is>
          <t>JÄMTLANDS LÄN</t>
        </is>
      </c>
      <c r="E213" t="inlineStr">
        <is>
          <t>RAGUNDA</t>
        </is>
      </c>
      <c r="G213" t="n">
        <v>11.4</v>
      </c>
      <c r="H213" t="n">
        <v>0</v>
      </c>
      <c r="I213" t="n">
        <v>0</v>
      </c>
      <c r="J213" t="n">
        <v>0</v>
      </c>
      <c r="K213" t="n">
        <v>0</v>
      </c>
      <c r="L213" t="n">
        <v>0</v>
      </c>
      <c r="M213" t="n">
        <v>0</v>
      </c>
      <c r="N213" t="n">
        <v>0</v>
      </c>
      <c r="O213" t="n">
        <v>0</v>
      </c>
      <c r="P213" t="n">
        <v>0</v>
      </c>
      <c r="Q213" t="n">
        <v>0</v>
      </c>
      <c r="R213" s="2" t="inlineStr"/>
    </row>
    <row r="214" ht="15" customHeight="1">
      <c r="A214" t="inlineStr">
        <is>
          <t>A 55786-2018</t>
        </is>
      </c>
      <c r="B214" s="1" t="n">
        <v>43398</v>
      </c>
      <c r="C214" s="1" t="n">
        <v>45359</v>
      </c>
      <c r="D214" t="inlineStr">
        <is>
          <t>JÄMTLANDS LÄN</t>
        </is>
      </c>
      <c r="E214" t="inlineStr">
        <is>
          <t>RAGUNDA</t>
        </is>
      </c>
      <c r="G214" t="n">
        <v>4.4</v>
      </c>
      <c r="H214" t="n">
        <v>0</v>
      </c>
      <c r="I214" t="n">
        <v>0</v>
      </c>
      <c r="J214" t="n">
        <v>0</v>
      </c>
      <c r="K214" t="n">
        <v>0</v>
      </c>
      <c r="L214" t="n">
        <v>0</v>
      </c>
      <c r="M214" t="n">
        <v>0</v>
      </c>
      <c r="N214" t="n">
        <v>0</v>
      </c>
      <c r="O214" t="n">
        <v>0</v>
      </c>
      <c r="P214" t="n">
        <v>0</v>
      </c>
      <c r="Q214" t="n">
        <v>0</v>
      </c>
      <c r="R214" s="2" t="inlineStr"/>
    </row>
    <row r="215" ht="15" customHeight="1">
      <c r="A215" t="inlineStr">
        <is>
          <t>A 57238-2018</t>
        </is>
      </c>
      <c r="B215" s="1" t="n">
        <v>43403</v>
      </c>
      <c r="C215" s="1" t="n">
        <v>45359</v>
      </c>
      <c r="D215" t="inlineStr">
        <is>
          <t>JÄMTLANDS LÄN</t>
        </is>
      </c>
      <c r="E215" t="inlineStr">
        <is>
          <t>RAGUNDA</t>
        </is>
      </c>
      <c r="F215" t="inlineStr">
        <is>
          <t>SCA</t>
        </is>
      </c>
      <c r="G215" t="n">
        <v>10.2</v>
      </c>
      <c r="H215" t="n">
        <v>0</v>
      </c>
      <c r="I215" t="n">
        <v>0</v>
      </c>
      <c r="J215" t="n">
        <v>0</v>
      </c>
      <c r="K215" t="n">
        <v>0</v>
      </c>
      <c r="L215" t="n">
        <v>0</v>
      </c>
      <c r="M215" t="n">
        <v>0</v>
      </c>
      <c r="N215" t="n">
        <v>0</v>
      </c>
      <c r="O215" t="n">
        <v>0</v>
      </c>
      <c r="P215" t="n">
        <v>0</v>
      </c>
      <c r="Q215" t="n">
        <v>0</v>
      </c>
      <c r="R215" s="2" t="inlineStr"/>
    </row>
    <row r="216" ht="15" customHeight="1">
      <c r="A216" t="inlineStr">
        <is>
          <t>A 64983-2018</t>
        </is>
      </c>
      <c r="B216" s="1" t="n">
        <v>43403</v>
      </c>
      <c r="C216" s="1" t="n">
        <v>45359</v>
      </c>
      <c r="D216" t="inlineStr">
        <is>
          <t>JÄMTLANDS LÄN</t>
        </is>
      </c>
      <c r="E216" t="inlineStr">
        <is>
          <t>RAGUNDA</t>
        </is>
      </c>
      <c r="F216" t="inlineStr">
        <is>
          <t>SCA</t>
        </is>
      </c>
      <c r="G216" t="n">
        <v>12.8</v>
      </c>
      <c r="H216" t="n">
        <v>0</v>
      </c>
      <c r="I216" t="n">
        <v>0</v>
      </c>
      <c r="J216" t="n">
        <v>0</v>
      </c>
      <c r="K216" t="n">
        <v>0</v>
      </c>
      <c r="L216" t="n">
        <v>0</v>
      </c>
      <c r="M216" t="n">
        <v>0</v>
      </c>
      <c r="N216" t="n">
        <v>0</v>
      </c>
      <c r="O216" t="n">
        <v>0</v>
      </c>
      <c r="P216" t="n">
        <v>0</v>
      </c>
      <c r="Q216" t="n">
        <v>0</v>
      </c>
      <c r="R216" s="2" t="inlineStr"/>
    </row>
    <row r="217" ht="15" customHeight="1">
      <c r="A217" t="inlineStr">
        <is>
          <t>A 57237-2018</t>
        </is>
      </c>
      <c r="B217" s="1" t="n">
        <v>43403</v>
      </c>
      <c r="C217" s="1" t="n">
        <v>45359</v>
      </c>
      <c r="D217" t="inlineStr">
        <is>
          <t>JÄMTLANDS LÄN</t>
        </is>
      </c>
      <c r="E217" t="inlineStr">
        <is>
          <t>RAGUNDA</t>
        </is>
      </c>
      <c r="F217" t="inlineStr">
        <is>
          <t>SCA</t>
        </is>
      </c>
      <c r="G217" t="n">
        <v>20.7</v>
      </c>
      <c r="H217" t="n">
        <v>0</v>
      </c>
      <c r="I217" t="n">
        <v>0</v>
      </c>
      <c r="J217" t="n">
        <v>0</v>
      </c>
      <c r="K217" t="n">
        <v>0</v>
      </c>
      <c r="L217" t="n">
        <v>0</v>
      </c>
      <c r="M217" t="n">
        <v>0</v>
      </c>
      <c r="N217" t="n">
        <v>0</v>
      </c>
      <c r="O217" t="n">
        <v>0</v>
      </c>
      <c r="P217" t="n">
        <v>0</v>
      </c>
      <c r="Q217" t="n">
        <v>0</v>
      </c>
      <c r="R217" s="2" t="inlineStr"/>
    </row>
    <row r="218" ht="15" customHeight="1">
      <c r="A218" t="inlineStr">
        <is>
          <t>A 57992-2018</t>
        </is>
      </c>
      <c r="B218" s="1" t="n">
        <v>43405</v>
      </c>
      <c r="C218" s="1" t="n">
        <v>45359</v>
      </c>
      <c r="D218" t="inlineStr">
        <is>
          <t>JÄMTLANDS LÄN</t>
        </is>
      </c>
      <c r="E218" t="inlineStr">
        <is>
          <t>RAGUNDA</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58172-2018</t>
        </is>
      </c>
      <c r="B219" s="1" t="n">
        <v>43406</v>
      </c>
      <c r="C219" s="1" t="n">
        <v>45359</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58929-2018</t>
        </is>
      </c>
      <c r="B220" s="1" t="n">
        <v>43410</v>
      </c>
      <c r="C220" s="1" t="n">
        <v>45359</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59114-2018</t>
        </is>
      </c>
      <c r="B221" s="1" t="n">
        <v>43411</v>
      </c>
      <c r="C221" s="1" t="n">
        <v>45359</v>
      </c>
      <c r="D221" t="inlineStr">
        <is>
          <t>JÄMTLANDS LÄN</t>
        </is>
      </c>
      <c r="E221" t="inlineStr">
        <is>
          <t>RAGUNDA</t>
        </is>
      </c>
      <c r="G221" t="n">
        <v>0.7</v>
      </c>
      <c r="H221" t="n">
        <v>0</v>
      </c>
      <c r="I221" t="n">
        <v>0</v>
      </c>
      <c r="J221" t="n">
        <v>0</v>
      </c>
      <c r="K221" t="n">
        <v>0</v>
      </c>
      <c r="L221" t="n">
        <v>0</v>
      </c>
      <c r="M221" t="n">
        <v>0</v>
      </c>
      <c r="N221" t="n">
        <v>0</v>
      </c>
      <c r="O221" t="n">
        <v>0</v>
      </c>
      <c r="P221" t="n">
        <v>0</v>
      </c>
      <c r="Q221" t="n">
        <v>0</v>
      </c>
      <c r="R221" s="2" t="inlineStr"/>
    </row>
    <row r="222" ht="15" customHeight="1">
      <c r="A222" t="inlineStr">
        <is>
          <t>A 59979-2018</t>
        </is>
      </c>
      <c r="B222" s="1" t="n">
        <v>43411</v>
      </c>
      <c r="C222" s="1" t="n">
        <v>45359</v>
      </c>
      <c r="D222" t="inlineStr">
        <is>
          <t>JÄMTLANDS LÄN</t>
        </is>
      </c>
      <c r="E222" t="inlineStr">
        <is>
          <t>RAGUNDA</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59978-2018</t>
        </is>
      </c>
      <c r="B223" s="1" t="n">
        <v>43411</v>
      </c>
      <c r="C223" s="1" t="n">
        <v>45359</v>
      </c>
      <c r="D223" t="inlineStr">
        <is>
          <t>JÄMTLANDS LÄN</t>
        </is>
      </c>
      <c r="E223" t="inlineStr">
        <is>
          <t>RAGUNDA</t>
        </is>
      </c>
      <c r="F223" t="inlineStr">
        <is>
          <t>SCA</t>
        </is>
      </c>
      <c r="G223" t="n">
        <v>5.4</v>
      </c>
      <c r="H223" t="n">
        <v>0</v>
      </c>
      <c r="I223" t="n">
        <v>0</v>
      </c>
      <c r="J223" t="n">
        <v>0</v>
      </c>
      <c r="K223" t="n">
        <v>0</v>
      </c>
      <c r="L223" t="n">
        <v>0</v>
      </c>
      <c r="M223" t="n">
        <v>0</v>
      </c>
      <c r="N223" t="n">
        <v>0</v>
      </c>
      <c r="O223" t="n">
        <v>0</v>
      </c>
      <c r="P223" t="n">
        <v>0</v>
      </c>
      <c r="Q223" t="n">
        <v>0</v>
      </c>
      <c r="R223" s="2" t="inlineStr"/>
    </row>
    <row r="224" ht="15" customHeight="1">
      <c r="A224" t="inlineStr">
        <is>
          <t>A 59977-2018</t>
        </is>
      </c>
      <c r="B224" s="1" t="n">
        <v>43411</v>
      </c>
      <c r="C224" s="1" t="n">
        <v>45359</v>
      </c>
      <c r="D224" t="inlineStr">
        <is>
          <t>JÄMTLANDS LÄN</t>
        </is>
      </c>
      <c r="E224" t="inlineStr">
        <is>
          <t>RAGUNDA</t>
        </is>
      </c>
      <c r="F224" t="inlineStr">
        <is>
          <t>SCA</t>
        </is>
      </c>
      <c r="G224" t="n">
        <v>15.5</v>
      </c>
      <c r="H224" t="n">
        <v>0</v>
      </c>
      <c r="I224" t="n">
        <v>0</v>
      </c>
      <c r="J224" t="n">
        <v>0</v>
      </c>
      <c r="K224" t="n">
        <v>0</v>
      </c>
      <c r="L224" t="n">
        <v>0</v>
      </c>
      <c r="M224" t="n">
        <v>0</v>
      </c>
      <c r="N224" t="n">
        <v>0</v>
      </c>
      <c r="O224" t="n">
        <v>0</v>
      </c>
      <c r="P224" t="n">
        <v>0</v>
      </c>
      <c r="Q224" t="n">
        <v>0</v>
      </c>
      <c r="R224" s="2" t="inlineStr"/>
    </row>
    <row r="225" ht="15" customHeight="1">
      <c r="A225" t="inlineStr">
        <is>
          <t>A 59981-2018</t>
        </is>
      </c>
      <c r="B225" s="1" t="n">
        <v>43411</v>
      </c>
      <c r="C225" s="1" t="n">
        <v>45359</v>
      </c>
      <c r="D225" t="inlineStr">
        <is>
          <t>JÄMTLANDS LÄN</t>
        </is>
      </c>
      <c r="E225" t="inlineStr">
        <is>
          <t>RAGUNDA</t>
        </is>
      </c>
      <c r="F225" t="inlineStr">
        <is>
          <t>SCA</t>
        </is>
      </c>
      <c r="G225" t="n">
        <v>18.9</v>
      </c>
      <c r="H225" t="n">
        <v>0</v>
      </c>
      <c r="I225" t="n">
        <v>0</v>
      </c>
      <c r="J225" t="n">
        <v>0</v>
      </c>
      <c r="K225" t="n">
        <v>0</v>
      </c>
      <c r="L225" t="n">
        <v>0</v>
      </c>
      <c r="M225" t="n">
        <v>0</v>
      </c>
      <c r="N225" t="n">
        <v>0</v>
      </c>
      <c r="O225" t="n">
        <v>0</v>
      </c>
      <c r="P225" t="n">
        <v>0</v>
      </c>
      <c r="Q225" t="n">
        <v>0</v>
      </c>
      <c r="R225" s="2" t="inlineStr"/>
    </row>
    <row r="226" ht="15" customHeight="1">
      <c r="A226" t="inlineStr">
        <is>
          <t>A 59980-2018</t>
        </is>
      </c>
      <c r="B226" s="1" t="n">
        <v>43411</v>
      </c>
      <c r="C226" s="1" t="n">
        <v>45359</v>
      </c>
      <c r="D226" t="inlineStr">
        <is>
          <t>JÄMTLANDS LÄN</t>
        </is>
      </c>
      <c r="E226" t="inlineStr">
        <is>
          <t>RAGUNDA</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59991-2018</t>
        </is>
      </c>
      <c r="B227" s="1" t="n">
        <v>43411</v>
      </c>
      <c r="C227" s="1" t="n">
        <v>45359</v>
      </c>
      <c r="D227" t="inlineStr">
        <is>
          <t>JÄMTLANDS LÄN</t>
        </is>
      </c>
      <c r="E227" t="inlineStr">
        <is>
          <t>RAGUNDA</t>
        </is>
      </c>
      <c r="G227" t="n">
        <v>0.6</v>
      </c>
      <c r="H227" t="n">
        <v>0</v>
      </c>
      <c r="I227" t="n">
        <v>0</v>
      </c>
      <c r="J227" t="n">
        <v>0</v>
      </c>
      <c r="K227" t="n">
        <v>0</v>
      </c>
      <c r="L227" t="n">
        <v>0</v>
      </c>
      <c r="M227" t="n">
        <v>0</v>
      </c>
      <c r="N227" t="n">
        <v>0</v>
      </c>
      <c r="O227" t="n">
        <v>0</v>
      </c>
      <c r="P227" t="n">
        <v>0</v>
      </c>
      <c r="Q227" t="n">
        <v>0</v>
      </c>
      <c r="R227" s="2" t="inlineStr"/>
    </row>
    <row r="228" ht="15" customHeight="1">
      <c r="A228" t="inlineStr">
        <is>
          <t>A 61683-2018</t>
        </is>
      </c>
      <c r="B228" s="1" t="n">
        <v>43413</v>
      </c>
      <c r="C228" s="1" t="n">
        <v>45359</v>
      </c>
      <c r="D228" t="inlineStr">
        <is>
          <t>JÄMTLANDS LÄN</t>
        </is>
      </c>
      <c r="E228" t="inlineStr">
        <is>
          <t>RAGUNDA</t>
        </is>
      </c>
      <c r="G228" t="n">
        <v>3.2</v>
      </c>
      <c r="H228" t="n">
        <v>0</v>
      </c>
      <c r="I228" t="n">
        <v>0</v>
      </c>
      <c r="J228" t="n">
        <v>0</v>
      </c>
      <c r="K228" t="n">
        <v>0</v>
      </c>
      <c r="L228" t="n">
        <v>0</v>
      </c>
      <c r="M228" t="n">
        <v>0</v>
      </c>
      <c r="N228" t="n">
        <v>0</v>
      </c>
      <c r="O228" t="n">
        <v>0</v>
      </c>
      <c r="P228" t="n">
        <v>0</v>
      </c>
      <c r="Q228" t="n">
        <v>0</v>
      </c>
      <c r="R228" s="2" t="inlineStr"/>
    </row>
    <row r="229" ht="15" customHeight="1">
      <c r="A229" t="inlineStr">
        <is>
          <t>A 63072-2018</t>
        </is>
      </c>
      <c r="B229" s="1" t="n">
        <v>43418</v>
      </c>
      <c r="C229" s="1" t="n">
        <v>45359</v>
      </c>
      <c r="D229" t="inlineStr">
        <is>
          <t>JÄMTLANDS LÄN</t>
        </is>
      </c>
      <c r="E229" t="inlineStr">
        <is>
          <t>RAGUNDA</t>
        </is>
      </c>
      <c r="G229" t="n">
        <v>6.6</v>
      </c>
      <c r="H229" t="n">
        <v>0</v>
      </c>
      <c r="I229" t="n">
        <v>0</v>
      </c>
      <c r="J229" t="n">
        <v>0</v>
      </c>
      <c r="K229" t="n">
        <v>0</v>
      </c>
      <c r="L229" t="n">
        <v>0</v>
      </c>
      <c r="M229" t="n">
        <v>0</v>
      </c>
      <c r="N229" t="n">
        <v>0</v>
      </c>
      <c r="O229" t="n">
        <v>0</v>
      </c>
      <c r="P229" t="n">
        <v>0</v>
      </c>
      <c r="Q229" t="n">
        <v>0</v>
      </c>
      <c r="R229" s="2" t="inlineStr"/>
    </row>
    <row r="230" ht="15" customHeight="1">
      <c r="A230" t="inlineStr">
        <is>
          <t>A 64205-2018</t>
        </is>
      </c>
      <c r="B230" s="1" t="n">
        <v>43419</v>
      </c>
      <c r="C230" s="1" t="n">
        <v>45359</v>
      </c>
      <c r="D230" t="inlineStr">
        <is>
          <t>JÄMTLANDS LÄN</t>
        </is>
      </c>
      <c r="E230" t="inlineStr">
        <is>
          <t>RAGUNDA</t>
        </is>
      </c>
      <c r="G230" t="n">
        <v>3.5</v>
      </c>
      <c r="H230" t="n">
        <v>0</v>
      </c>
      <c r="I230" t="n">
        <v>0</v>
      </c>
      <c r="J230" t="n">
        <v>0</v>
      </c>
      <c r="K230" t="n">
        <v>0</v>
      </c>
      <c r="L230" t="n">
        <v>0</v>
      </c>
      <c r="M230" t="n">
        <v>0</v>
      </c>
      <c r="N230" t="n">
        <v>0</v>
      </c>
      <c r="O230" t="n">
        <v>0</v>
      </c>
      <c r="P230" t="n">
        <v>0</v>
      </c>
      <c r="Q230" t="n">
        <v>0</v>
      </c>
      <c r="R230" s="2" t="inlineStr"/>
    </row>
    <row r="231" ht="15" customHeight="1">
      <c r="A231" t="inlineStr">
        <is>
          <t>A 61036-2018</t>
        </is>
      </c>
      <c r="B231" s="1" t="n">
        <v>43423</v>
      </c>
      <c r="C231" s="1" t="n">
        <v>45359</v>
      </c>
      <c r="D231" t="inlineStr">
        <is>
          <t>JÄMTLANDS LÄN</t>
        </is>
      </c>
      <c r="E231" t="inlineStr">
        <is>
          <t>RAGUNDA</t>
        </is>
      </c>
      <c r="G231" t="n">
        <v>4</v>
      </c>
      <c r="H231" t="n">
        <v>0</v>
      </c>
      <c r="I231" t="n">
        <v>0</v>
      </c>
      <c r="J231" t="n">
        <v>0</v>
      </c>
      <c r="K231" t="n">
        <v>0</v>
      </c>
      <c r="L231" t="n">
        <v>0</v>
      </c>
      <c r="M231" t="n">
        <v>0</v>
      </c>
      <c r="N231" t="n">
        <v>0</v>
      </c>
      <c r="O231" t="n">
        <v>0</v>
      </c>
      <c r="P231" t="n">
        <v>0</v>
      </c>
      <c r="Q231" t="n">
        <v>0</v>
      </c>
      <c r="R231" s="2" t="inlineStr"/>
    </row>
    <row r="232" ht="15" customHeight="1">
      <c r="A232" t="inlineStr">
        <is>
          <t>A 64738-2018</t>
        </is>
      </c>
      <c r="B232" s="1" t="n">
        <v>43423</v>
      </c>
      <c r="C232" s="1" t="n">
        <v>45359</v>
      </c>
      <c r="D232" t="inlineStr">
        <is>
          <t>JÄMTLANDS LÄN</t>
        </is>
      </c>
      <c r="E232" t="inlineStr">
        <is>
          <t>RAGUNDA</t>
        </is>
      </c>
      <c r="G232" t="n">
        <v>3</v>
      </c>
      <c r="H232" t="n">
        <v>0</v>
      </c>
      <c r="I232" t="n">
        <v>0</v>
      </c>
      <c r="J232" t="n">
        <v>0</v>
      </c>
      <c r="K232" t="n">
        <v>0</v>
      </c>
      <c r="L232" t="n">
        <v>0</v>
      </c>
      <c r="M232" t="n">
        <v>0</v>
      </c>
      <c r="N232" t="n">
        <v>0</v>
      </c>
      <c r="O232" t="n">
        <v>0</v>
      </c>
      <c r="P232" t="n">
        <v>0</v>
      </c>
      <c r="Q232" t="n">
        <v>0</v>
      </c>
      <c r="R232" s="2" t="inlineStr"/>
    </row>
    <row r="233" ht="15" customHeight="1">
      <c r="A233" t="inlineStr">
        <is>
          <t>A 63573-2018</t>
        </is>
      </c>
      <c r="B233" s="1" t="n">
        <v>43427</v>
      </c>
      <c r="C233" s="1" t="n">
        <v>45359</v>
      </c>
      <c r="D233" t="inlineStr">
        <is>
          <t>JÄMTLANDS LÄN</t>
        </is>
      </c>
      <c r="E233" t="inlineStr">
        <is>
          <t>RAGUNDA</t>
        </is>
      </c>
      <c r="G233" t="n">
        <v>2.2</v>
      </c>
      <c r="H233" t="n">
        <v>0</v>
      </c>
      <c r="I233" t="n">
        <v>0</v>
      </c>
      <c r="J233" t="n">
        <v>0</v>
      </c>
      <c r="K233" t="n">
        <v>0</v>
      </c>
      <c r="L233" t="n">
        <v>0</v>
      </c>
      <c r="M233" t="n">
        <v>0</v>
      </c>
      <c r="N233" t="n">
        <v>0</v>
      </c>
      <c r="O233" t="n">
        <v>0</v>
      </c>
      <c r="P233" t="n">
        <v>0</v>
      </c>
      <c r="Q233" t="n">
        <v>0</v>
      </c>
      <c r="R233" s="2" t="inlineStr"/>
    </row>
    <row r="234" ht="15" customHeight="1">
      <c r="A234" t="inlineStr">
        <is>
          <t>A 63570-2018</t>
        </is>
      </c>
      <c r="B234" s="1" t="n">
        <v>43427</v>
      </c>
      <c r="C234" s="1" t="n">
        <v>45359</v>
      </c>
      <c r="D234" t="inlineStr">
        <is>
          <t>JÄMTLANDS LÄN</t>
        </is>
      </c>
      <c r="E234" t="inlineStr">
        <is>
          <t>RAGUNDA</t>
        </is>
      </c>
      <c r="G234" t="n">
        <v>3.2</v>
      </c>
      <c r="H234" t="n">
        <v>0</v>
      </c>
      <c r="I234" t="n">
        <v>0</v>
      </c>
      <c r="J234" t="n">
        <v>0</v>
      </c>
      <c r="K234" t="n">
        <v>0</v>
      </c>
      <c r="L234" t="n">
        <v>0</v>
      </c>
      <c r="M234" t="n">
        <v>0</v>
      </c>
      <c r="N234" t="n">
        <v>0</v>
      </c>
      <c r="O234" t="n">
        <v>0</v>
      </c>
      <c r="P234" t="n">
        <v>0</v>
      </c>
      <c r="Q234" t="n">
        <v>0</v>
      </c>
      <c r="R234" s="2" t="inlineStr"/>
    </row>
    <row r="235" ht="15" customHeight="1">
      <c r="A235" t="inlineStr">
        <is>
          <t>A 64922-2018</t>
        </is>
      </c>
      <c r="B235" s="1" t="n">
        <v>43431</v>
      </c>
      <c r="C235" s="1" t="n">
        <v>45359</v>
      </c>
      <c r="D235" t="inlineStr">
        <is>
          <t>JÄMTLANDS LÄN</t>
        </is>
      </c>
      <c r="E235" t="inlineStr">
        <is>
          <t>RAGUNDA</t>
        </is>
      </c>
      <c r="F235" t="inlineStr">
        <is>
          <t>SCA</t>
        </is>
      </c>
      <c r="G235" t="n">
        <v>6.7</v>
      </c>
      <c r="H235" t="n">
        <v>0</v>
      </c>
      <c r="I235" t="n">
        <v>0</v>
      </c>
      <c r="J235" t="n">
        <v>0</v>
      </c>
      <c r="K235" t="n">
        <v>0</v>
      </c>
      <c r="L235" t="n">
        <v>0</v>
      </c>
      <c r="M235" t="n">
        <v>0</v>
      </c>
      <c r="N235" t="n">
        <v>0</v>
      </c>
      <c r="O235" t="n">
        <v>0</v>
      </c>
      <c r="P235" t="n">
        <v>0</v>
      </c>
      <c r="Q235" t="n">
        <v>0</v>
      </c>
      <c r="R235" s="2" t="inlineStr"/>
    </row>
    <row r="236" ht="15" customHeight="1">
      <c r="A236" t="inlineStr">
        <is>
          <t>A 67286-2018</t>
        </is>
      </c>
      <c r="B236" s="1" t="n">
        <v>43431</v>
      </c>
      <c r="C236" s="1" t="n">
        <v>45359</v>
      </c>
      <c r="D236" t="inlineStr">
        <is>
          <t>JÄMTLANDS LÄN</t>
        </is>
      </c>
      <c r="E236" t="inlineStr">
        <is>
          <t>RAGUNDA</t>
        </is>
      </c>
      <c r="G236" t="n">
        <v>3.3</v>
      </c>
      <c r="H236" t="n">
        <v>0</v>
      </c>
      <c r="I236" t="n">
        <v>0</v>
      </c>
      <c r="J236" t="n">
        <v>0</v>
      </c>
      <c r="K236" t="n">
        <v>0</v>
      </c>
      <c r="L236" t="n">
        <v>0</v>
      </c>
      <c r="M236" t="n">
        <v>0</v>
      </c>
      <c r="N236" t="n">
        <v>0</v>
      </c>
      <c r="O236" t="n">
        <v>0</v>
      </c>
      <c r="P236" t="n">
        <v>0</v>
      </c>
      <c r="Q236" t="n">
        <v>0</v>
      </c>
      <c r="R236" s="2" t="inlineStr"/>
    </row>
    <row r="237" ht="15" customHeight="1">
      <c r="A237" t="inlineStr">
        <is>
          <t>A 66828-2018</t>
        </is>
      </c>
      <c r="B237" s="1" t="n">
        <v>43437</v>
      </c>
      <c r="C237" s="1" t="n">
        <v>45359</v>
      </c>
      <c r="D237" t="inlineStr">
        <is>
          <t>JÄMTLANDS LÄN</t>
        </is>
      </c>
      <c r="E237" t="inlineStr">
        <is>
          <t>RAGUNDA</t>
        </is>
      </c>
      <c r="F237" t="inlineStr">
        <is>
          <t>SCA</t>
        </is>
      </c>
      <c r="G237" t="n">
        <v>11.5</v>
      </c>
      <c r="H237" t="n">
        <v>0</v>
      </c>
      <c r="I237" t="n">
        <v>0</v>
      </c>
      <c r="J237" t="n">
        <v>0</v>
      </c>
      <c r="K237" t="n">
        <v>0</v>
      </c>
      <c r="L237" t="n">
        <v>0</v>
      </c>
      <c r="M237" t="n">
        <v>0</v>
      </c>
      <c r="N237" t="n">
        <v>0</v>
      </c>
      <c r="O237" t="n">
        <v>0</v>
      </c>
      <c r="P237" t="n">
        <v>0</v>
      </c>
      <c r="Q237" t="n">
        <v>0</v>
      </c>
      <c r="R237" s="2" t="inlineStr"/>
    </row>
    <row r="238" ht="15" customHeight="1">
      <c r="A238" t="inlineStr">
        <is>
          <t>A 66894-2018</t>
        </is>
      </c>
      <c r="B238" s="1" t="n">
        <v>43438</v>
      </c>
      <c r="C238" s="1" t="n">
        <v>45359</v>
      </c>
      <c r="D238" t="inlineStr">
        <is>
          <t>JÄMTLANDS LÄN</t>
        </is>
      </c>
      <c r="E238" t="inlineStr">
        <is>
          <t>RAGUNDA</t>
        </is>
      </c>
      <c r="G238" t="n">
        <v>3.9</v>
      </c>
      <c r="H238" t="n">
        <v>0</v>
      </c>
      <c r="I238" t="n">
        <v>0</v>
      </c>
      <c r="J238" t="n">
        <v>0</v>
      </c>
      <c r="K238" t="n">
        <v>0</v>
      </c>
      <c r="L238" t="n">
        <v>0</v>
      </c>
      <c r="M238" t="n">
        <v>0</v>
      </c>
      <c r="N238" t="n">
        <v>0</v>
      </c>
      <c r="O238" t="n">
        <v>0</v>
      </c>
      <c r="P238" t="n">
        <v>0</v>
      </c>
      <c r="Q238" t="n">
        <v>0</v>
      </c>
      <c r="R238" s="2" t="inlineStr"/>
    </row>
    <row r="239" ht="15" customHeight="1">
      <c r="A239" t="inlineStr">
        <is>
          <t>A 68013-2018</t>
        </is>
      </c>
      <c r="B239" s="1" t="n">
        <v>43440</v>
      </c>
      <c r="C239" s="1" t="n">
        <v>45359</v>
      </c>
      <c r="D239" t="inlineStr">
        <is>
          <t>JÄMTLANDS LÄN</t>
        </is>
      </c>
      <c r="E239" t="inlineStr">
        <is>
          <t>RAGUNDA</t>
        </is>
      </c>
      <c r="G239" t="n">
        <v>16.6</v>
      </c>
      <c r="H239" t="n">
        <v>0</v>
      </c>
      <c r="I239" t="n">
        <v>0</v>
      </c>
      <c r="J239" t="n">
        <v>0</v>
      </c>
      <c r="K239" t="n">
        <v>0</v>
      </c>
      <c r="L239" t="n">
        <v>0</v>
      </c>
      <c r="M239" t="n">
        <v>0</v>
      </c>
      <c r="N239" t="n">
        <v>0</v>
      </c>
      <c r="O239" t="n">
        <v>0</v>
      </c>
      <c r="P239" t="n">
        <v>0</v>
      </c>
      <c r="Q239" t="n">
        <v>0</v>
      </c>
      <c r="R239" s="2" t="inlineStr"/>
    </row>
    <row r="240" ht="15" customHeight="1">
      <c r="A240" t="inlineStr">
        <is>
          <t>A 68778-2018</t>
        </is>
      </c>
      <c r="B240" s="1" t="n">
        <v>43444</v>
      </c>
      <c r="C240" s="1" t="n">
        <v>45359</v>
      </c>
      <c r="D240" t="inlineStr">
        <is>
          <t>JÄMTLANDS LÄN</t>
        </is>
      </c>
      <c r="E240" t="inlineStr">
        <is>
          <t>RAGUNDA</t>
        </is>
      </c>
      <c r="G240" t="n">
        <v>3.5</v>
      </c>
      <c r="H240" t="n">
        <v>0</v>
      </c>
      <c r="I240" t="n">
        <v>0</v>
      </c>
      <c r="J240" t="n">
        <v>0</v>
      </c>
      <c r="K240" t="n">
        <v>0</v>
      </c>
      <c r="L240" t="n">
        <v>0</v>
      </c>
      <c r="M240" t="n">
        <v>0</v>
      </c>
      <c r="N240" t="n">
        <v>0</v>
      </c>
      <c r="O240" t="n">
        <v>0</v>
      </c>
      <c r="P240" t="n">
        <v>0</v>
      </c>
      <c r="Q240" t="n">
        <v>0</v>
      </c>
      <c r="R240" s="2" t="inlineStr"/>
    </row>
    <row r="241" ht="15" customHeight="1">
      <c r="A241" t="inlineStr">
        <is>
          <t>A 70206-2018</t>
        </is>
      </c>
      <c r="B241" s="1" t="n">
        <v>43448</v>
      </c>
      <c r="C241" s="1" t="n">
        <v>45359</v>
      </c>
      <c r="D241" t="inlineStr">
        <is>
          <t>JÄMTLANDS LÄN</t>
        </is>
      </c>
      <c r="E241" t="inlineStr">
        <is>
          <t>RAGUNDA</t>
        </is>
      </c>
      <c r="G241" t="n">
        <v>3.7</v>
      </c>
      <c r="H241" t="n">
        <v>0</v>
      </c>
      <c r="I241" t="n">
        <v>0</v>
      </c>
      <c r="J241" t="n">
        <v>0</v>
      </c>
      <c r="K241" t="n">
        <v>0</v>
      </c>
      <c r="L241" t="n">
        <v>0</v>
      </c>
      <c r="M241" t="n">
        <v>0</v>
      </c>
      <c r="N241" t="n">
        <v>0</v>
      </c>
      <c r="O241" t="n">
        <v>0</v>
      </c>
      <c r="P241" t="n">
        <v>0</v>
      </c>
      <c r="Q241" t="n">
        <v>0</v>
      </c>
      <c r="R241" s="2" t="inlineStr"/>
    </row>
    <row r="242" ht="15" customHeight="1">
      <c r="A242" t="inlineStr">
        <is>
          <t>A 72474-2018</t>
        </is>
      </c>
      <c r="B242" s="1" t="n">
        <v>43461</v>
      </c>
      <c r="C242" s="1" t="n">
        <v>45359</v>
      </c>
      <c r="D242" t="inlineStr">
        <is>
          <t>JÄMTLANDS LÄN</t>
        </is>
      </c>
      <c r="E242" t="inlineStr">
        <is>
          <t>RAGUNDA</t>
        </is>
      </c>
      <c r="G242" t="n">
        <v>2.5</v>
      </c>
      <c r="H242" t="n">
        <v>0</v>
      </c>
      <c r="I242" t="n">
        <v>0</v>
      </c>
      <c r="J242" t="n">
        <v>0</v>
      </c>
      <c r="K242" t="n">
        <v>0</v>
      </c>
      <c r="L242" t="n">
        <v>0</v>
      </c>
      <c r="M242" t="n">
        <v>0</v>
      </c>
      <c r="N242" t="n">
        <v>0</v>
      </c>
      <c r="O242" t="n">
        <v>0</v>
      </c>
      <c r="P242" t="n">
        <v>0</v>
      </c>
      <c r="Q242" t="n">
        <v>0</v>
      </c>
      <c r="R242" s="2" t="inlineStr"/>
    </row>
    <row r="243" ht="15" customHeight="1">
      <c r="A243" t="inlineStr">
        <is>
          <t>A 1685-2019</t>
        </is>
      </c>
      <c r="B243" s="1" t="n">
        <v>43461</v>
      </c>
      <c r="C243" s="1" t="n">
        <v>45359</v>
      </c>
      <c r="D243" t="inlineStr">
        <is>
          <t>JÄMTLANDS LÄN</t>
        </is>
      </c>
      <c r="E243" t="inlineStr">
        <is>
          <t>RAGUNDA</t>
        </is>
      </c>
      <c r="G243" t="n">
        <v>0.6</v>
      </c>
      <c r="H243" t="n">
        <v>0</v>
      </c>
      <c r="I243" t="n">
        <v>0</v>
      </c>
      <c r="J243" t="n">
        <v>0</v>
      </c>
      <c r="K243" t="n">
        <v>0</v>
      </c>
      <c r="L243" t="n">
        <v>0</v>
      </c>
      <c r="M243" t="n">
        <v>0</v>
      </c>
      <c r="N243" t="n">
        <v>0</v>
      </c>
      <c r="O243" t="n">
        <v>0</v>
      </c>
      <c r="P243" t="n">
        <v>0</v>
      </c>
      <c r="Q243" t="n">
        <v>0</v>
      </c>
      <c r="R243" s="2" t="inlineStr"/>
    </row>
    <row r="244" ht="15" customHeight="1">
      <c r="A244" t="inlineStr">
        <is>
          <t>A 171-2019</t>
        </is>
      </c>
      <c r="B244" s="1" t="n">
        <v>43467</v>
      </c>
      <c r="C244" s="1" t="n">
        <v>45359</v>
      </c>
      <c r="D244" t="inlineStr">
        <is>
          <t>JÄMTLANDS LÄN</t>
        </is>
      </c>
      <c r="E244" t="inlineStr">
        <is>
          <t>RAGUNDA</t>
        </is>
      </c>
      <c r="G244" t="n">
        <v>3.2</v>
      </c>
      <c r="H244" t="n">
        <v>0</v>
      </c>
      <c r="I244" t="n">
        <v>0</v>
      </c>
      <c r="J244" t="n">
        <v>0</v>
      </c>
      <c r="K244" t="n">
        <v>0</v>
      </c>
      <c r="L244" t="n">
        <v>0</v>
      </c>
      <c r="M244" t="n">
        <v>0</v>
      </c>
      <c r="N244" t="n">
        <v>0</v>
      </c>
      <c r="O244" t="n">
        <v>0</v>
      </c>
      <c r="P244" t="n">
        <v>0</v>
      </c>
      <c r="Q244" t="n">
        <v>0</v>
      </c>
      <c r="R244" s="2" t="inlineStr"/>
    </row>
    <row r="245" ht="15" customHeight="1">
      <c r="A245" t="inlineStr">
        <is>
          <t>A 169-2019</t>
        </is>
      </c>
      <c r="B245" s="1" t="n">
        <v>43467</v>
      </c>
      <c r="C245" s="1" t="n">
        <v>45359</v>
      </c>
      <c r="D245" t="inlineStr">
        <is>
          <t>JÄMTLANDS LÄN</t>
        </is>
      </c>
      <c r="E245" t="inlineStr">
        <is>
          <t>RAGUNDA</t>
        </is>
      </c>
      <c r="G245" t="n">
        <v>1.2</v>
      </c>
      <c r="H245" t="n">
        <v>0</v>
      </c>
      <c r="I245" t="n">
        <v>0</v>
      </c>
      <c r="J245" t="n">
        <v>0</v>
      </c>
      <c r="K245" t="n">
        <v>0</v>
      </c>
      <c r="L245" t="n">
        <v>0</v>
      </c>
      <c r="M245" t="n">
        <v>0</v>
      </c>
      <c r="N245" t="n">
        <v>0</v>
      </c>
      <c r="O245" t="n">
        <v>0</v>
      </c>
      <c r="P245" t="n">
        <v>0</v>
      </c>
      <c r="Q245" t="n">
        <v>0</v>
      </c>
      <c r="R245" s="2" t="inlineStr"/>
    </row>
    <row r="246" ht="15" customHeight="1">
      <c r="A246" t="inlineStr">
        <is>
          <t>A 3315-2019</t>
        </is>
      </c>
      <c r="B246" s="1" t="n">
        <v>43473</v>
      </c>
      <c r="C246" s="1" t="n">
        <v>45359</v>
      </c>
      <c r="D246" t="inlineStr">
        <is>
          <t>JÄMTLANDS LÄN</t>
        </is>
      </c>
      <c r="E246" t="inlineStr">
        <is>
          <t>RAGUNDA</t>
        </is>
      </c>
      <c r="G246" t="n">
        <v>0.8</v>
      </c>
      <c r="H246" t="n">
        <v>0</v>
      </c>
      <c r="I246" t="n">
        <v>0</v>
      </c>
      <c r="J246" t="n">
        <v>0</v>
      </c>
      <c r="K246" t="n">
        <v>0</v>
      </c>
      <c r="L246" t="n">
        <v>0</v>
      </c>
      <c r="M246" t="n">
        <v>0</v>
      </c>
      <c r="N246" t="n">
        <v>0</v>
      </c>
      <c r="O246" t="n">
        <v>0</v>
      </c>
      <c r="P246" t="n">
        <v>0</v>
      </c>
      <c r="Q246" t="n">
        <v>0</v>
      </c>
      <c r="R246" s="2" t="inlineStr"/>
    </row>
    <row r="247" ht="15" customHeight="1">
      <c r="A247" t="inlineStr">
        <is>
          <t>A 3152-2019</t>
        </is>
      </c>
      <c r="B247" s="1" t="n">
        <v>43473</v>
      </c>
      <c r="C247" s="1" t="n">
        <v>45359</v>
      </c>
      <c r="D247" t="inlineStr">
        <is>
          <t>JÄMTLANDS LÄN</t>
        </is>
      </c>
      <c r="E247" t="inlineStr">
        <is>
          <t>RAGUNDA</t>
        </is>
      </c>
      <c r="G247" t="n">
        <v>4.8</v>
      </c>
      <c r="H247" t="n">
        <v>0</v>
      </c>
      <c r="I247" t="n">
        <v>0</v>
      </c>
      <c r="J247" t="n">
        <v>0</v>
      </c>
      <c r="K247" t="n">
        <v>0</v>
      </c>
      <c r="L247" t="n">
        <v>0</v>
      </c>
      <c r="M247" t="n">
        <v>0</v>
      </c>
      <c r="N247" t="n">
        <v>0</v>
      </c>
      <c r="O247" t="n">
        <v>0</v>
      </c>
      <c r="P247" t="n">
        <v>0</v>
      </c>
      <c r="Q247" t="n">
        <v>0</v>
      </c>
      <c r="R247" s="2" t="inlineStr"/>
    </row>
    <row r="248" ht="15" customHeight="1">
      <c r="A248" t="inlineStr">
        <is>
          <t>A 1707-2019</t>
        </is>
      </c>
      <c r="B248" s="1" t="n">
        <v>43474</v>
      </c>
      <c r="C248" s="1" t="n">
        <v>45359</v>
      </c>
      <c r="D248" t="inlineStr">
        <is>
          <t>JÄMTLANDS LÄN</t>
        </is>
      </c>
      <c r="E248" t="inlineStr">
        <is>
          <t>RAGUNDA</t>
        </is>
      </c>
      <c r="G248" t="n">
        <v>1.8</v>
      </c>
      <c r="H248" t="n">
        <v>0</v>
      </c>
      <c r="I248" t="n">
        <v>0</v>
      </c>
      <c r="J248" t="n">
        <v>0</v>
      </c>
      <c r="K248" t="n">
        <v>0</v>
      </c>
      <c r="L248" t="n">
        <v>0</v>
      </c>
      <c r="M248" t="n">
        <v>0</v>
      </c>
      <c r="N248" t="n">
        <v>0</v>
      </c>
      <c r="O248" t="n">
        <v>0</v>
      </c>
      <c r="P248" t="n">
        <v>0</v>
      </c>
      <c r="Q248" t="n">
        <v>0</v>
      </c>
      <c r="R248" s="2" t="inlineStr"/>
    </row>
    <row r="249" ht="15" customHeight="1">
      <c r="A249" t="inlineStr">
        <is>
          <t>A 3579-2019</t>
        </is>
      </c>
      <c r="B249" s="1" t="n">
        <v>43481</v>
      </c>
      <c r="C249" s="1" t="n">
        <v>45359</v>
      </c>
      <c r="D249" t="inlineStr">
        <is>
          <t>JÄMTLANDS LÄN</t>
        </is>
      </c>
      <c r="E249" t="inlineStr">
        <is>
          <t>RAGUNDA</t>
        </is>
      </c>
      <c r="G249" t="n">
        <v>2.7</v>
      </c>
      <c r="H249" t="n">
        <v>0</v>
      </c>
      <c r="I249" t="n">
        <v>0</v>
      </c>
      <c r="J249" t="n">
        <v>0</v>
      </c>
      <c r="K249" t="n">
        <v>0</v>
      </c>
      <c r="L249" t="n">
        <v>0</v>
      </c>
      <c r="M249" t="n">
        <v>0</v>
      </c>
      <c r="N249" t="n">
        <v>0</v>
      </c>
      <c r="O249" t="n">
        <v>0</v>
      </c>
      <c r="P249" t="n">
        <v>0</v>
      </c>
      <c r="Q249" t="n">
        <v>0</v>
      </c>
      <c r="R249" s="2" t="inlineStr"/>
    </row>
    <row r="250" ht="15" customHeight="1">
      <c r="A250" t="inlineStr">
        <is>
          <t>A 5445-2019</t>
        </is>
      </c>
      <c r="B250" s="1" t="n">
        <v>43481</v>
      </c>
      <c r="C250" s="1" t="n">
        <v>45359</v>
      </c>
      <c r="D250" t="inlineStr">
        <is>
          <t>JÄMTLANDS LÄN</t>
        </is>
      </c>
      <c r="E250" t="inlineStr">
        <is>
          <t>RAGUNDA</t>
        </is>
      </c>
      <c r="G250" t="n">
        <v>21.7</v>
      </c>
      <c r="H250" t="n">
        <v>0</v>
      </c>
      <c r="I250" t="n">
        <v>0</v>
      </c>
      <c r="J250" t="n">
        <v>0</v>
      </c>
      <c r="K250" t="n">
        <v>0</v>
      </c>
      <c r="L250" t="n">
        <v>0</v>
      </c>
      <c r="M250" t="n">
        <v>0</v>
      </c>
      <c r="N250" t="n">
        <v>0</v>
      </c>
      <c r="O250" t="n">
        <v>0</v>
      </c>
      <c r="P250" t="n">
        <v>0</v>
      </c>
      <c r="Q250" t="n">
        <v>0</v>
      </c>
      <c r="R250" s="2" t="inlineStr"/>
    </row>
    <row r="251" ht="15" customHeight="1">
      <c r="A251" t="inlineStr">
        <is>
          <t>A 4345-2019</t>
        </is>
      </c>
      <c r="B251" s="1" t="n">
        <v>43483</v>
      </c>
      <c r="C251" s="1" t="n">
        <v>45359</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7065-2019</t>
        </is>
      </c>
      <c r="B252" s="1" t="n">
        <v>43495</v>
      </c>
      <c r="C252" s="1" t="n">
        <v>45359</v>
      </c>
      <c r="D252" t="inlineStr">
        <is>
          <t>JÄMTLANDS LÄN</t>
        </is>
      </c>
      <c r="E252" t="inlineStr">
        <is>
          <t>RAGUNDA</t>
        </is>
      </c>
      <c r="G252" t="n">
        <v>13.2</v>
      </c>
      <c r="H252" t="n">
        <v>0</v>
      </c>
      <c r="I252" t="n">
        <v>0</v>
      </c>
      <c r="J252" t="n">
        <v>0</v>
      </c>
      <c r="K252" t="n">
        <v>0</v>
      </c>
      <c r="L252" t="n">
        <v>0</v>
      </c>
      <c r="M252" t="n">
        <v>0</v>
      </c>
      <c r="N252" t="n">
        <v>0</v>
      </c>
      <c r="O252" t="n">
        <v>0</v>
      </c>
      <c r="P252" t="n">
        <v>0</v>
      </c>
      <c r="Q252" t="n">
        <v>0</v>
      </c>
      <c r="R252" s="2" t="inlineStr"/>
    </row>
    <row r="253" ht="15" customHeight="1">
      <c r="A253" t="inlineStr">
        <is>
          <t>A 7305-2019</t>
        </is>
      </c>
      <c r="B253" s="1" t="n">
        <v>43496</v>
      </c>
      <c r="C253" s="1" t="n">
        <v>45359</v>
      </c>
      <c r="D253" t="inlineStr">
        <is>
          <t>JÄMTLANDS LÄN</t>
        </is>
      </c>
      <c r="E253" t="inlineStr">
        <is>
          <t>RAGUNDA</t>
        </is>
      </c>
      <c r="F253" t="inlineStr">
        <is>
          <t>Kommuner</t>
        </is>
      </c>
      <c r="G253" t="n">
        <v>32.6</v>
      </c>
      <c r="H253" t="n">
        <v>0</v>
      </c>
      <c r="I253" t="n">
        <v>0</v>
      </c>
      <c r="J253" t="n">
        <v>0</v>
      </c>
      <c r="K253" t="n">
        <v>0</v>
      </c>
      <c r="L253" t="n">
        <v>0</v>
      </c>
      <c r="M253" t="n">
        <v>0</v>
      </c>
      <c r="N253" t="n">
        <v>0</v>
      </c>
      <c r="O253" t="n">
        <v>0</v>
      </c>
      <c r="P253" t="n">
        <v>0</v>
      </c>
      <c r="Q253" t="n">
        <v>0</v>
      </c>
      <c r="R253" s="2" t="inlineStr"/>
    </row>
    <row r="254" ht="15" customHeight="1">
      <c r="A254" t="inlineStr">
        <is>
          <t>A 9994-2019</t>
        </is>
      </c>
      <c r="B254" s="1" t="n">
        <v>43509</v>
      </c>
      <c r="C254" s="1" t="n">
        <v>45359</v>
      </c>
      <c r="D254" t="inlineStr">
        <is>
          <t>JÄMTLANDS LÄN</t>
        </is>
      </c>
      <c r="E254" t="inlineStr">
        <is>
          <t>RAGUNDA</t>
        </is>
      </c>
      <c r="G254" t="n">
        <v>1</v>
      </c>
      <c r="H254" t="n">
        <v>0</v>
      </c>
      <c r="I254" t="n">
        <v>0</v>
      </c>
      <c r="J254" t="n">
        <v>0</v>
      </c>
      <c r="K254" t="n">
        <v>0</v>
      </c>
      <c r="L254" t="n">
        <v>0</v>
      </c>
      <c r="M254" t="n">
        <v>0</v>
      </c>
      <c r="N254" t="n">
        <v>0</v>
      </c>
      <c r="O254" t="n">
        <v>0</v>
      </c>
      <c r="P254" t="n">
        <v>0</v>
      </c>
      <c r="Q254" t="n">
        <v>0</v>
      </c>
      <c r="R254" s="2" t="inlineStr"/>
    </row>
    <row r="255" ht="15" customHeight="1">
      <c r="A255" t="inlineStr">
        <is>
          <t>A 9995-2019</t>
        </is>
      </c>
      <c r="B255" s="1" t="n">
        <v>43509</v>
      </c>
      <c r="C255" s="1" t="n">
        <v>45359</v>
      </c>
      <c r="D255" t="inlineStr">
        <is>
          <t>JÄMTLANDS LÄN</t>
        </is>
      </c>
      <c r="E255" t="inlineStr">
        <is>
          <t>RAGUNDA</t>
        </is>
      </c>
      <c r="G255" t="n">
        <v>16.4</v>
      </c>
      <c r="H255" t="n">
        <v>0</v>
      </c>
      <c r="I255" t="n">
        <v>0</v>
      </c>
      <c r="J255" t="n">
        <v>0</v>
      </c>
      <c r="K255" t="n">
        <v>0</v>
      </c>
      <c r="L255" t="n">
        <v>0</v>
      </c>
      <c r="M255" t="n">
        <v>0</v>
      </c>
      <c r="N255" t="n">
        <v>0</v>
      </c>
      <c r="O255" t="n">
        <v>0</v>
      </c>
      <c r="P255" t="n">
        <v>0</v>
      </c>
      <c r="Q255" t="n">
        <v>0</v>
      </c>
      <c r="R255" s="2" t="inlineStr"/>
    </row>
    <row r="256" ht="15" customHeight="1">
      <c r="A256" t="inlineStr">
        <is>
          <t>A 10013-2019</t>
        </is>
      </c>
      <c r="B256" s="1" t="n">
        <v>43510</v>
      </c>
      <c r="C256" s="1" t="n">
        <v>45359</v>
      </c>
      <c r="D256" t="inlineStr">
        <is>
          <t>JÄMTLANDS LÄN</t>
        </is>
      </c>
      <c r="E256" t="inlineStr">
        <is>
          <t>RAGUNDA</t>
        </is>
      </c>
      <c r="G256" t="n">
        <v>2.3</v>
      </c>
      <c r="H256" t="n">
        <v>0</v>
      </c>
      <c r="I256" t="n">
        <v>0</v>
      </c>
      <c r="J256" t="n">
        <v>0</v>
      </c>
      <c r="K256" t="n">
        <v>0</v>
      </c>
      <c r="L256" t="n">
        <v>0</v>
      </c>
      <c r="M256" t="n">
        <v>0</v>
      </c>
      <c r="N256" t="n">
        <v>0</v>
      </c>
      <c r="O256" t="n">
        <v>0</v>
      </c>
      <c r="P256" t="n">
        <v>0</v>
      </c>
      <c r="Q256" t="n">
        <v>0</v>
      </c>
      <c r="R256" s="2" t="inlineStr"/>
    </row>
    <row r="257" ht="15" customHeight="1">
      <c r="A257" t="inlineStr">
        <is>
          <t>A 11080-2019</t>
        </is>
      </c>
      <c r="B257" s="1" t="n">
        <v>43515</v>
      </c>
      <c r="C257" s="1" t="n">
        <v>45359</v>
      </c>
      <c r="D257" t="inlineStr">
        <is>
          <t>JÄMTLANDS LÄN</t>
        </is>
      </c>
      <c r="E257" t="inlineStr">
        <is>
          <t>RAGUNDA</t>
        </is>
      </c>
      <c r="G257" t="n">
        <v>1.5</v>
      </c>
      <c r="H257" t="n">
        <v>0</v>
      </c>
      <c r="I257" t="n">
        <v>0</v>
      </c>
      <c r="J257" t="n">
        <v>0</v>
      </c>
      <c r="K257" t="n">
        <v>0</v>
      </c>
      <c r="L257" t="n">
        <v>0</v>
      </c>
      <c r="M257" t="n">
        <v>0</v>
      </c>
      <c r="N257" t="n">
        <v>0</v>
      </c>
      <c r="O257" t="n">
        <v>0</v>
      </c>
      <c r="P257" t="n">
        <v>0</v>
      </c>
      <c r="Q257" t="n">
        <v>0</v>
      </c>
      <c r="R257" s="2" t="inlineStr"/>
    </row>
    <row r="258" ht="15" customHeight="1">
      <c r="A258" t="inlineStr">
        <is>
          <t>A 13659-2019</t>
        </is>
      </c>
      <c r="B258" s="1" t="n">
        <v>43530</v>
      </c>
      <c r="C258" s="1" t="n">
        <v>45359</v>
      </c>
      <c r="D258" t="inlineStr">
        <is>
          <t>JÄMTLANDS LÄN</t>
        </is>
      </c>
      <c r="E258" t="inlineStr">
        <is>
          <t>RAGUNDA</t>
        </is>
      </c>
      <c r="G258" t="n">
        <v>4.7</v>
      </c>
      <c r="H258" t="n">
        <v>0</v>
      </c>
      <c r="I258" t="n">
        <v>0</v>
      </c>
      <c r="J258" t="n">
        <v>0</v>
      </c>
      <c r="K258" t="n">
        <v>0</v>
      </c>
      <c r="L258" t="n">
        <v>0</v>
      </c>
      <c r="M258" t="n">
        <v>0</v>
      </c>
      <c r="N258" t="n">
        <v>0</v>
      </c>
      <c r="O258" t="n">
        <v>0</v>
      </c>
      <c r="P258" t="n">
        <v>0</v>
      </c>
      <c r="Q258" t="n">
        <v>0</v>
      </c>
      <c r="R258" s="2" t="inlineStr"/>
    </row>
    <row r="259" ht="15" customHeight="1">
      <c r="A259" t="inlineStr">
        <is>
          <t>A 15048-2019</t>
        </is>
      </c>
      <c r="B259" s="1" t="n">
        <v>43537</v>
      </c>
      <c r="C259" s="1" t="n">
        <v>45359</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15165-2019</t>
        </is>
      </c>
      <c r="B260" s="1" t="n">
        <v>43538</v>
      </c>
      <c r="C260" s="1" t="n">
        <v>45359</v>
      </c>
      <c r="D260" t="inlineStr">
        <is>
          <t>JÄMTLANDS LÄN</t>
        </is>
      </c>
      <c r="E260" t="inlineStr">
        <is>
          <t>RAGUNDA</t>
        </is>
      </c>
      <c r="G260" t="n">
        <v>7.4</v>
      </c>
      <c r="H260" t="n">
        <v>0</v>
      </c>
      <c r="I260" t="n">
        <v>0</v>
      </c>
      <c r="J260" t="n">
        <v>0</v>
      </c>
      <c r="K260" t="n">
        <v>0</v>
      </c>
      <c r="L260" t="n">
        <v>0</v>
      </c>
      <c r="M260" t="n">
        <v>0</v>
      </c>
      <c r="N260" t="n">
        <v>0</v>
      </c>
      <c r="O260" t="n">
        <v>0</v>
      </c>
      <c r="P260" t="n">
        <v>0</v>
      </c>
      <c r="Q260" t="n">
        <v>0</v>
      </c>
      <c r="R260" s="2" t="inlineStr"/>
    </row>
    <row r="261" ht="15" customHeight="1">
      <c r="A261" t="inlineStr">
        <is>
          <t>A 15677-2019</t>
        </is>
      </c>
      <c r="B261" s="1" t="n">
        <v>43542</v>
      </c>
      <c r="C261" s="1" t="n">
        <v>45359</v>
      </c>
      <c r="D261" t="inlineStr">
        <is>
          <t>JÄMTLANDS LÄN</t>
        </is>
      </c>
      <c r="E261" t="inlineStr">
        <is>
          <t>RAGUNDA</t>
        </is>
      </c>
      <c r="G261" t="n">
        <v>0.3</v>
      </c>
      <c r="H261" t="n">
        <v>0</v>
      </c>
      <c r="I261" t="n">
        <v>0</v>
      </c>
      <c r="J261" t="n">
        <v>0</v>
      </c>
      <c r="K261" t="n">
        <v>0</v>
      </c>
      <c r="L261" t="n">
        <v>0</v>
      </c>
      <c r="M261" t="n">
        <v>0</v>
      </c>
      <c r="N261" t="n">
        <v>0</v>
      </c>
      <c r="O261" t="n">
        <v>0</v>
      </c>
      <c r="P261" t="n">
        <v>0</v>
      </c>
      <c r="Q261" t="n">
        <v>0</v>
      </c>
      <c r="R261" s="2" t="inlineStr"/>
    </row>
    <row r="262" ht="15" customHeight="1">
      <c r="A262" t="inlineStr">
        <is>
          <t>A 15797-2019</t>
        </is>
      </c>
      <c r="B262" s="1" t="n">
        <v>43543</v>
      </c>
      <c r="C262" s="1" t="n">
        <v>45359</v>
      </c>
      <c r="D262" t="inlineStr">
        <is>
          <t>JÄMTLANDS LÄN</t>
        </is>
      </c>
      <c r="E262" t="inlineStr">
        <is>
          <t>RAGUNDA</t>
        </is>
      </c>
      <c r="G262" t="n">
        <v>2.1</v>
      </c>
      <c r="H262" t="n">
        <v>0</v>
      </c>
      <c r="I262" t="n">
        <v>0</v>
      </c>
      <c r="J262" t="n">
        <v>0</v>
      </c>
      <c r="K262" t="n">
        <v>0</v>
      </c>
      <c r="L262" t="n">
        <v>0</v>
      </c>
      <c r="M262" t="n">
        <v>0</v>
      </c>
      <c r="N262" t="n">
        <v>0</v>
      </c>
      <c r="O262" t="n">
        <v>0</v>
      </c>
      <c r="P262" t="n">
        <v>0</v>
      </c>
      <c r="Q262" t="n">
        <v>0</v>
      </c>
      <c r="R262" s="2" t="inlineStr"/>
    </row>
    <row r="263" ht="15" customHeight="1">
      <c r="A263" t="inlineStr">
        <is>
          <t>A 17049-2019</t>
        </is>
      </c>
      <c r="B263" s="1" t="n">
        <v>43551</v>
      </c>
      <c r="C263" s="1" t="n">
        <v>45359</v>
      </c>
      <c r="D263" t="inlineStr">
        <is>
          <t>JÄMTLANDS LÄN</t>
        </is>
      </c>
      <c r="E263" t="inlineStr">
        <is>
          <t>RAGUNDA</t>
        </is>
      </c>
      <c r="G263" t="n">
        <v>1.9</v>
      </c>
      <c r="H263" t="n">
        <v>0</v>
      </c>
      <c r="I263" t="n">
        <v>0</v>
      </c>
      <c r="J263" t="n">
        <v>0</v>
      </c>
      <c r="K263" t="n">
        <v>0</v>
      </c>
      <c r="L263" t="n">
        <v>0</v>
      </c>
      <c r="M263" t="n">
        <v>0</v>
      </c>
      <c r="N263" t="n">
        <v>0</v>
      </c>
      <c r="O263" t="n">
        <v>0</v>
      </c>
      <c r="P263" t="n">
        <v>0</v>
      </c>
      <c r="Q263" t="n">
        <v>0</v>
      </c>
      <c r="R263" s="2" t="inlineStr"/>
    </row>
    <row r="264" ht="15" customHeight="1">
      <c r="A264" t="inlineStr">
        <is>
          <t>A 17057-2019</t>
        </is>
      </c>
      <c r="B264" s="1" t="n">
        <v>43551</v>
      </c>
      <c r="C264" s="1" t="n">
        <v>45359</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17252-2019</t>
        </is>
      </c>
      <c r="B265" s="1" t="n">
        <v>43552</v>
      </c>
      <c r="C265" s="1" t="n">
        <v>45359</v>
      </c>
      <c r="D265" t="inlineStr">
        <is>
          <t>JÄMTLANDS LÄN</t>
        </is>
      </c>
      <c r="E265" t="inlineStr">
        <is>
          <t>RAGUNDA</t>
        </is>
      </c>
      <c r="G265" t="n">
        <v>3.6</v>
      </c>
      <c r="H265" t="n">
        <v>0</v>
      </c>
      <c r="I265" t="n">
        <v>0</v>
      </c>
      <c r="J265" t="n">
        <v>0</v>
      </c>
      <c r="K265" t="n">
        <v>0</v>
      </c>
      <c r="L265" t="n">
        <v>0</v>
      </c>
      <c r="M265" t="n">
        <v>0</v>
      </c>
      <c r="N265" t="n">
        <v>0</v>
      </c>
      <c r="O265" t="n">
        <v>0</v>
      </c>
      <c r="P265" t="n">
        <v>0</v>
      </c>
      <c r="Q265" t="n">
        <v>0</v>
      </c>
      <c r="R265" s="2" t="inlineStr"/>
    </row>
    <row r="266" ht="15" customHeight="1">
      <c r="A266" t="inlineStr">
        <is>
          <t>A 19077-2019</t>
        </is>
      </c>
      <c r="B266" s="1" t="n">
        <v>43563</v>
      </c>
      <c r="C266" s="1" t="n">
        <v>45359</v>
      </c>
      <c r="D266" t="inlineStr">
        <is>
          <t>JÄMTLANDS LÄN</t>
        </is>
      </c>
      <c r="E266" t="inlineStr">
        <is>
          <t>RAGUNDA</t>
        </is>
      </c>
      <c r="G266" t="n">
        <v>11.5</v>
      </c>
      <c r="H266" t="n">
        <v>0</v>
      </c>
      <c r="I266" t="n">
        <v>0</v>
      </c>
      <c r="J266" t="n">
        <v>0</v>
      </c>
      <c r="K266" t="n">
        <v>0</v>
      </c>
      <c r="L266" t="n">
        <v>0</v>
      </c>
      <c r="M266" t="n">
        <v>0</v>
      </c>
      <c r="N266" t="n">
        <v>0</v>
      </c>
      <c r="O266" t="n">
        <v>0</v>
      </c>
      <c r="P266" t="n">
        <v>0</v>
      </c>
      <c r="Q266" t="n">
        <v>0</v>
      </c>
      <c r="R266" s="2" t="inlineStr"/>
    </row>
    <row r="267" ht="15" customHeight="1">
      <c r="A267" t="inlineStr">
        <is>
          <t>A 19543-2019</t>
        </is>
      </c>
      <c r="B267" s="1" t="n">
        <v>43565</v>
      </c>
      <c r="C267" s="1" t="n">
        <v>45359</v>
      </c>
      <c r="D267" t="inlineStr">
        <is>
          <t>JÄMTLANDS LÄN</t>
        </is>
      </c>
      <c r="E267" t="inlineStr">
        <is>
          <t>RAGUNDA</t>
        </is>
      </c>
      <c r="G267" t="n">
        <v>2.3</v>
      </c>
      <c r="H267" t="n">
        <v>0</v>
      </c>
      <c r="I267" t="n">
        <v>0</v>
      </c>
      <c r="J267" t="n">
        <v>0</v>
      </c>
      <c r="K267" t="n">
        <v>0</v>
      </c>
      <c r="L267" t="n">
        <v>0</v>
      </c>
      <c r="M267" t="n">
        <v>0</v>
      </c>
      <c r="N267" t="n">
        <v>0</v>
      </c>
      <c r="O267" t="n">
        <v>0</v>
      </c>
      <c r="P267" t="n">
        <v>0</v>
      </c>
      <c r="Q267" t="n">
        <v>0</v>
      </c>
      <c r="R267" s="2" t="inlineStr"/>
    </row>
    <row r="268" ht="15" customHeight="1">
      <c r="A268" t="inlineStr">
        <is>
          <t>A 21122-2019</t>
        </is>
      </c>
      <c r="B268" s="1" t="n">
        <v>43578</v>
      </c>
      <c r="C268" s="1" t="n">
        <v>45359</v>
      </c>
      <c r="D268" t="inlineStr">
        <is>
          <t>JÄMTLANDS LÄN</t>
        </is>
      </c>
      <c r="E268" t="inlineStr">
        <is>
          <t>RAGUNDA</t>
        </is>
      </c>
      <c r="F268" t="inlineStr">
        <is>
          <t>SCA</t>
        </is>
      </c>
      <c r="G268" t="n">
        <v>72.09999999999999</v>
      </c>
      <c r="H268" t="n">
        <v>0</v>
      </c>
      <c r="I268" t="n">
        <v>0</v>
      </c>
      <c r="J268" t="n">
        <v>0</v>
      </c>
      <c r="K268" t="n">
        <v>0</v>
      </c>
      <c r="L268" t="n">
        <v>0</v>
      </c>
      <c r="M268" t="n">
        <v>0</v>
      </c>
      <c r="N268" t="n">
        <v>0</v>
      </c>
      <c r="O268" t="n">
        <v>0</v>
      </c>
      <c r="P268" t="n">
        <v>0</v>
      </c>
      <c r="Q268" t="n">
        <v>0</v>
      </c>
      <c r="R268" s="2" t="inlineStr"/>
    </row>
    <row r="269" ht="15" customHeight="1">
      <c r="A269" t="inlineStr">
        <is>
          <t>A 21914-2019</t>
        </is>
      </c>
      <c r="B269" s="1" t="n">
        <v>43584</v>
      </c>
      <c r="C269" s="1" t="n">
        <v>45359</v>
      </c>
      <c r="D269" t="inlineStr">
        <is>
          <t>JÄMTLANDS LÄN</t>
        </is>
      </c>
      <c r="E269" t="inlineStr">
        <is>
          <t>RAGUNDA</t>
        </is>
      </c>
      <c r="G269" t="n">
        <v>3.1</v>
      </c>
      <c r="H269" t="n">
        <v>0</v>
      </c>
      <c r="I269" t="n">
        <v>0</v>
      </c>
      <c r="J269" t="n">
        <v>0</v>
      </c>
      <c r="K269" t="n">
        <v>0</v>
      </c>
      <c r="L269" t="n">
        <v>0</v>
      </c>
      <c r="M269" t="n">
        <v>0</v>
      </c>
      <c r="N269" t="n">
        <v>0</v>
      </c>
      <c r="O269" t="n">
        <v>0</v>
      </c>
      <c r="P269" t="n">
        <v>0</v>
      </c>
      <c r="Q269" t="n">
        <v>0</v>
      </c>
      <c r="R269" s="2" t="inlineStr"/>
    </row>
    <row r="270" ht="15" customHeight="1">
      <c r="A270" t="inlineStr">
        <is>
          <t>A 22799-2019</t>
        </is>
      </c>
      <c r="B270" s="1" t="n">
        <v>43589</v>
      </c>
      <c r="C270" s="1" t="n">
        <v>45359</v>
      </c>
      <c r="D270" t="inlineStr">
        <is>
          <t>JÄMTLANDS LÄN</t>
        </is>
      </c>
      <c r="E270" t="inlineStr">
        <is>
          <t>RAGUNDA</t>
        </is>
      </c>
      <c r="G270" t="n">
        <v>0.5</v>
      </c>
      <c r="H270" t="n">
        <v>0</v>
      </c>
      <c r="I270" t="n">
        <v>0</v>
      </c>
      <c r="J270" t="n">
        <v>0</v>
      </c>
      <c r="K270" t="n">
        <v>0</v>
      </c>
      <c r="L270" t="n">
        <v>0</v>
      </c>
      <c r="M270" t="n">
        <v>0</v>
      </c>
      <c r="N270" t="n">
        <v>0</v>
      </c>
      <c r="O270" t="n">
        <v>0</v>
      </c>
      <c r="P270" t="n">
        <v>0</v>
      </c>
      <c r="Q270" t="n">
        <v>0</v>
      </c>
      <c r="R270" s="2" t="inlineStr"/>
    </row>
    <row r="271" ht="15" customHeight="1">
      <c r="A271" t="inlineStr">
        <is>
          <t>A 23740-2019</t>
        </is>
      </c>
      <c r="B271" s="1" t="n">
        <v>43594</v>
      </c>
      <c r="C271" s="1" t="n">
        <v>45359</v>
      </c>
      <c r="D271" t="inlineStr">
        <is>
          <t>JÄMTLANDS LÄN</t>
        </is>
      </c>
      <c r="E271" t="inlineStr">
        <is>
          <t>RAGUNDA</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23821-2019</t>
        </is>
      </c>
      <c r="B272" s="1" t="n">
        <v>43594</v>
      </c>
      <c r="C272" s="1" t="n">
        <v>45359</v>
      </c>
      <c r="D272" t="inlineStr">
        <is>
          <t>JÄMTLANDS LÄN</t>
        </is>
      </c>
      <c r="E272" t="inlineStr">
        <is>
          <t>RAGUNDA</t>
        </is>
      </c>
      <c r="G272" t="n">
        <v>0.9</v>
      </c>
      <c r="H272" t="n">
        <v>0</v>
      </c>
      <c r="I272" t="n">
        <v>0</v>
      </c>
      <c r="J272" t="n">
        <v>0</v>
      </c>
      <c r="K272" t="n">
        <v>0</v>
      </c>
      <c r="L272" t="n">
        <v>0</v>
      </c>
      <c r="M272" t="n">
        <v>0</v>
      </c>
      <c r="N272" t="n">
        <v>0</v>
      </c>
      <c r="O272" t="n">
        <v>0</v>
      </c>
      <c r="P272" t="n">
        <v>0</v>
      </c>
      <c r="Q272" t="n">
        <v>0</v>
      </c>
      <c r="R272" s="2" t="inlineStr"/>
    </row>
    <row r="273" ht="15" customHeight="1">
      <c r="A273" t="inlineStr">
        <is>
          <t>A 28251-2019</t>
        </is>
      </c>
      <c r="B273" s="1" t="n">
        <v>43622</v>
      </c>
      <c r="C273" s="1" t="n">
        <v>45359</v>
      </c>
      <c r="D273" t="inlineStr">
        <is>
          <t>JÄMTLANDS LÄN</t>
        </is>
      </c>
      <c r="E273" t="inlineStr">
        <is>
          <t>RAGUNDA</t>
        </is>
      </c>
      <c r="F273" t="inlineStr">
        <is>
          <t>SCA</t>
        </is>
      </c>
      <c r="G273" t="n">
        <v>25.7</v>
      </c>
      <c r="H273" t="n">
        <v>0</v>
      </c>
      <c r="I273" t="n">
        <v>0</v>
      </c>
      <c r="J273" t="n">
        <v>0</v>
      </c>
      <c r="K273" t="n">
        <v>0</v>
      </c>
      <c r="L273" t="n">
        <v>0</v>
      </c>
      <c r="M273" t="n">
        <v>0</v>
      </c>
      <c r="N273" t="n">
        <v>0</v>
      </c>
      <c r="O273" t="n">
        <v>0</v>
      </c>
      <c r="P273" t="n">
        <v>0</v>
      </c>
      <c r="Q273" t="n">
        <v>0</v>
      </c>
      <c r="R273" s="2" t="inlineStr"/>
    </row>
    <row r="274" ht="15" customHeight="1">
      <c r="A274" t="inlineStr">
        <is>
          <t>A 30030-2019</t>
        </is>
      </c>
      <c r="B274" s="1" t="n">
        <v>43633</v>
      </c>
      <c r="C274" s="1" t="n">
        <v>45359</v>
      </c>
      <c r="D274" t="inlineStr">
        <is>
          <t>JÄMTLANDS LÄN</t>
        </is>
      </c>
      <c r="E274" t="inlineStr">
        <is>
          <t>RAGUNDA</t>
        </is>
      </c>
      <c r="G274" t="n">
        <v>10.6</v>
      </c>
      <c r="H274" t="n">
        <v>0</v>
      </c>
      <c r="I274" t="n">
        <v>0</v>
      </c>
      <c r="J274" t="n">
        <v>0</v>
      </c>
      <c r="K274" t="n">
        <v>0</v>
      </c>
      <c r="L274" t="n">
        <v>0</v>
      </c>
      <c r="M274" t="n">
        <v>0</v>
      </c>
      <c r="N274" t="n">
        <v>0</v>
      </c>
      <c r="O274" t="n">
        <v>0</v>
      </c>
      <c r="P274" t="n">
        <v>0</v>
      </c>
      <c r="Q274" t="n">
        <v>0</v>
      </c>
      <c r="R274" s="2" t="inlineStr"/>
    </row>
    <row r="275" ht="15" customHeight="1">
      <c r="A275" t="inlineStr">
        <is>
          <t>A 30034-2019</t>
        </is>
      </c>
      <c r="B275" s="1" t="n">
        <v>43633</v>
      </c>
      <c r="C275" s="1" t="n">
        <v>45359</v>
      </c>
      <c r="D275" t="inlineStr">
        <is>
          <t>JÄMTLANDS LÄN</t>
        </is>
      </c>
      <c r="E275" t="inlineStr">
        <is>
          <t>RAGUNDA</t>
        </is>
      </c>
      <c r="G275" t="n">
        <v>5.6</v>
      </c>
      <c r="H275" t="n">
        <v>0</v>
      </c>
      <c r="I275" t="n">
        <v>0</v>
      </c>
      <c r="J275" t="n">
        <v>0</v>
      </c>
      <c r="K275" t="n">
        <v>0</v>
      </c>
      <c r="L275" t="n">
        <v>0</v>
      </c>
      <c r="M275" t="n">
        <v>0</v>
      </c>
      <c r="N275" t="n">
        <v>0</v>
      </c>
      <c r="O275" t="n">
        <v>0</v>
      </c>
      <c r="P275" t="n">
        <v>0</v>
      </c>
      <c r="Q275" t="n">
        <v>0</v>
      </c>
      <c r="R275" s="2" t="inlineStr"/>
    </row>
    <row r="276" ht="15" customHeight="1">
      <c r="A276" t="inlineStr">
        <is>
          <t>A 31299-2019</t>
        </is>
      </c>
      <c r="B276" s="1" t="n">
        <v>43640</v>
      </c>
      <c r="C276" s="1" t="n">
        <v>45359</v>
      </c>
      <c r="D276" t="inlineStr">
        <is>
          <t>JÄMTLANDS LÄN</t>
        </is>
      </c>
      <c r="E276" t="inlineStr">
        <is>
          <t>RAGUNDA</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31562-2019</t>
        </is>
      </c>
      <c r="B277" s="1" t="n">
        <v>43641</v>
      </c>
      <c r="C277" s="1" t="n">
        <v>45359</v>
      </c>
      <c r="D277" t="inlineStr">
        <is>
          <t>JÄMTLANDS LÄN</t>
        </is>
      </c>
      <c r="E277" t="inlineStr">
        <is>
          <t>RAGUNDA</t>
        </is>
      </c>
      <c r="F277" t="inlineStr">
        <is>
          <t>SCA</t>
        </is>
      </c>
      <c r="G277" t="n">
        <v>10.1</v>
      </c>
      <c r="H277" t="n">
        <v>0</v>
      </c>
      <c r="I277" t="n">
        <v>0</v>
      </c>
      <c r="J277" t="n">
        <v>0</v>
      </c>
      <c r="K277" t="n">
        <v>0</v>
      </c>
      <c r="L277" t="n">
        <v>0</v>
      </c>
      <c r="M277" t="n">
        <v>0</v>
      </c>
      <c r="N277" t="n">
        <v>0</v>
      </c>
      <c r="O277" t="n">
        <v>0</v>
      </c>
      <c r="P277" t="n">
        <v>0</v>
      </c>
      <c r="Q277" t="n">
        <v>0</v>
      </c>
      <c r="R277" s="2" t="inlineStr"/>
    </row>
    <row r="278" ht="15" customHeight="1">
      <c r="A278" t="inlineStr">
        <is>
          <t>A 31563-2019</t>
        </is>
      </c>
      <c r="B278" s="1" t="n">
        <v>43641</v>
      </c>
      <c r="C278" s="1" t="n">
        <v>45359</v>
      </c>
      <c r="D278" t="inlineStr">
        <is>
          <t>JÄMTLANDS LÄN</t>
        </is>
      </c>
      <c r="E278" t="inlineStr">
        <is>
          <t>RAGUNDA</t>
        </is>
      </c>
      <c r="F278" t="inlineStr">
        <is>
          <t>SCA</t>
        </is>
      </c>
      <c r="G278" t="n">
        <v>4.8</v>
      </c>
      <c r="H278" t="n">
        <v>0</v>
      </c>
      <c r="I278" t="n">
        <v>0</v>
      </c>
      <c r="J278" t="n">
        <v>0</v>
      </c>
      <c r="K278" t="n">
        <v>0</v>
      </c>
      <c r="L278" t="n">
        <v>0</v>
      </c>
      <c r="M278" t="n">
        <v>0</v>
      </c>
      <c r="N278" t="n">
        <v>0</v>
      </c>
      <c r="O278" t="n">
        <v>0</v>
      </c>
      <c r="P278" t="n">
        <v>0</v>
      </c>
      <c r="Q278" t="n">
        <v>0</v>
      </c>
      <c r="R278" s="2" t="inlineStr"/>
    </row>
    <row r="279" ht="15" customHeight="1">
      <c r="A279" t="inlineStr">
        <is>
          <t>A 32211-2019</t>
        </is>
      </c>
      <c r="B279" s="1" t="n">
        <v>43643</v>
      </c>
      <c r="C279" s="1" t="n">
        <v>45359</v>
      </c>
      <c r="D279" t="inlineStr">
        <is>
          <t>JÄMTLANDS LÄN</t>
        </is>
      </c>
      <c r="E279" t="inlineStr">
        <is>
          <t>RAGUNDA</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33341-2019</t>
        </is>
      </c>
      <c r="B280" s="1" t="n">
        <v>43650</v>
      </c>
      <c r="C280" s="1" t="n">
        <v>45359</v>
      </c>
      <c r="D280" t="inlineStr">
        <is>
          <t>JÄMTLANDS LÄN</t>
        </is>
      </c>
      <c r="E280" t="inlineStr">
        <is>
          <t>RAGUNDA</t>
        </is>
      </c>
      <c r="F280" t="inlineStr">
        <is>
          <t>Kommuner</t>
        </is>
      </c>
      <c r="G280" t="n">
        <v>1.3</v>
      </c>
      <c r="H280" t="n">
        <v>0</v>
      </c>
      <c r="I280" t="n">
        <v>0</v>
      </c>
      <c r="J280" t="n">
        <v>0</v>
      </c>
      <c r="K280" t="n">
        <v>0</v>
      </c>
      <c r="L280" t="n">
        <v>0</v>
      </c>
      <c r="M280" t="n">
        <v>0</v>
      </c>
      <c r="N280" t="n">
        <v>0</v>
      </c>
      <c r="O280" t="n">
        <v>0</v>
      </c>
      <c r="P280" t="n">
        <v>0</v>
      </c>
      <c r="Q280" t="n">
        <v>0</v>
      </c>
      <c r="R280" s="2" t="inlineStr"/>
    </row>
    <row r="281" ht="15" customHeight="1">
      <c r="A281" t="inlineStr">
        <is>
          <t>A 35466-2019</t>
        </is>
      </c>
      <c r="B281" s="1" t="n">
        <v>43651</v>
      </c>
      <c r="C281" s="1" t="n">
        <v>45359</v>
      </c>
      <c r="D281" t="inlineStr">
        <is>
          <t>JÄMTLANDS LÄN</t>
        </is>
      </c>
      <c r="E281" t="inlineStr">
        <is>
          <t>RAGUNDA</t>
        </is>
      </c>
      <c r="G281" t="n">
        <v>1.7</v>
      </c>
      <c r="H281" t="n">
        <v>0</v>
      </c>
      <c r="I281" t="n">
        <v>0</v>
      </c>
      <c r="J281" t="n">
        <v>0</v>
      </c>
      <c r="K281" t="n">
        <v>0</v>
      </c>
      <c r="L281" t="n">
        <v>0</v>
      </c>
      <c r="M281" t="n">
        <v>0</v>
      </c>
      <c r="N281" t="n">
        <v>0</v>
      </c>
      <c r="O281" t="n">
        <v>0</v>
      </c>
      <c r="P281" t="n">
        <v>0</v>
      </c>
      <c r="Q281" t="n">
        <v>0</v>
      </c>
      <c r="R281" s="2" t="inlineStr"/>
    </row>
    <row r="282" ht="15" customHeight="1">
      <c r="A282" t="inlineStr">
        <is>
          <t>A 34119-2019</t>
        </is>
      </c>
      <c r="B282" s="1" t="n">
        <v>43654</v>
      </c>
      <c r="C282" s="1" t="n">
        <v>45359</v>
      </c>
      <c r="D282" t="inlineStr">
        <is>
          <t>JÄMTLANDS LÄN</t>
        </is>
      </c>
      <c r="E282" t="inlineStr">
        <is>
          <t>RAGUNDA</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34121-2019</t>
        </is>
      </c>
      <c r="B283" s="1" t="n">
        <v>43654</v>
      </c>
      <c r="C283" s="1" t="n">
        <v>45359</v>
      </c>
      <c r="D283" t="inlineStr">
        <is>
          <t>JÄMTLANDS LÄN</t>
        </is>
      </c>
      <c r="E283" t="inlineStr">
        <is>
          <t>RAGUNDA</t>
        </is>
      </c>
      <c r="F283" t="inlineStr">
        <is>
          <t>SCA</t>
        </is>
      </c>
      <c r="G283" t="n">
        <v>3.6</v>
      </c>
      <c r="H283" t="n">
        <v>0</v>
      </c>
      <c r="I283" t="n">
        <v>0</v>
      </c>
      <c r="J283" t="n">
        <v>0</v>
      </c>
      <c r="K283" t="n">
        <v>0</v>
      </c>
      <c r="L283" t="n">
        <v>0</v>
      </c>
      <c r="M283" t="n">
        <v>0</v>
      </c>
      <c r="N283" t="n">
        <v>0</v>
      </c>
      <c r="O283" t="n">
        <v>0</v>
      </c>
      <c r="P283" t="n">
        <v>0</v>
      </c>
      <c r="Q283" t="n">
        <v>0</v>
      </c>
      <c r="R283" s="2" t="inlineStr"/>
    </row>
    <row r="284" ht="15" customHeight="1">
      <c r="A284" t="inlineStr">
        <is>
          <t>A 34490-2019</t>
        </is>
      </c>
      <c r="B284" s="1" t="n">
        <v>43656</v>
      </c>
      <c r="C284" s="1" t="n">
        <v>45359</v>
      </c>
      <c r="D284" t="inlineStr">
        <is>
          <t>JÄMTLANDS LÄN</t>
        </is>
      </c>
      <c r="E284" t="inlineStr">
        <is>
          <t>RAGUNDA</t>
        </is>
      </c>
      <c r="F284" t="inlineStr">
        <is>
          <t>SCA</t>
        </is>
      </c>
      <c r="G284" t="n">
        <v>2</v>
      </c>
      <c r="H284" t="n">
        <v>0</v>
      </c>
      <c r="I284" t="n">
        <v>0</v>
      </c>
      <c r="J284" t="n">
        <v>0</v>
      </c>
      <c r="K284" t="n">
        <v>0</v>
      </c>
      <c r="L284" t="n">
        <v>0</v>
      </c>
      <c r="M284" t="n">
        <v>0</v>
      </c>
      <c r="N284" t="n">
        <v>0</v>
      </c>
      <c r="O284" t="n">
        <v>0</v>
      </c>
      <c r="P284" t="n">
        <v>0</v>
      </c>
      <c r="Q284" t="n">
        <v>0</v>
      </c>
      <c r="R284" s="2" t="inlineStr"/>
    </row>
    <row r="285" ht="15" customHeight="1">
      <c r="A285" t="inlineStr">
        <is>
          <t>A 36230-2019</t>
        </is>
      </c>
      <c r="B285" s="1" t="n">
        <v>43669</v>
      </c>
      <c r="C285" s="1" t="n">
        <v>45359</v>
      </c>
      <c r="D285" t="inlineStr">
        <is>
          <t>JÄMTLANDS LÄN</t>
        </is>
      </c>
      <c r="E285" t="inlineStr">
        <is>
          <t>RAGUNDA</t>
        </is>
      </c>
      <c r="G285" t="n">
        <v>4.4</v>
      </c>
      <c r="H285" t="n">
        <v>0</v>
      </c>
      <c r="I285" t="n">
        <v>0</v>
      </c>
      <c r="J285" t="n">
        <v>0</v>
      </c>
      <c r="K285" t="n">
        <v>0</v>
      </c>
      <c r="L285" t="n">
        <v>0</v>
      </c>
      <c r="M285" t="n">
        <v>0</v>
      </c>
      <c r="N285" t="n">
        <v>0</v>
      </c>
      <c r="O285" t="n">
        <v>0</v>
      </c>
      <c r="P285" t="n">
        <v>0</v>
      </c>
      <c r="Q285" t="n">
        <v>0</v>
      </c>
      <c r="R285" s="2" t="inlineStr"/>
    </row>
    <row r="286" ht="15" customHeight="1">
      <c r="A286" t="inlineStr">
        <is>
          <t>A 37086-2019</t>
        </is>
      </c>
      <c r="B286" s="1" t="n">
        <v>43676</v>
      </c>
      <c r="C286" s="1" t="n">
        <v>45359</v>
      </c>
      <c r="D286" t="inlineStr">
        <is>
          <t>JÄMTLANDS LÄN</t>
        </is>
      </c>
      <c r="E286" t="inlineStr">
        <is>
          <t>RAGUNDA</t>
        </is>
      </c>
      <c r="G286" t="n">
        <v>2.5</v>
      </c>
      <c r="H286" t="n">
        <v>0</v>
      </c>
      <c r="I286" t="n">
        <v>0</v>
      </c>
      <c r="J286" t="n">
        <v>0</v>
      </c>
      <c r="K286" t="n">
        <v>0</v>
      </c>
      <c r="L286" t="n">
        <v>0</v>
      </c>
      <c r="M286" t="n">
        <v>0</v>
      </c>
      <c r="N286" t="n">
        <v>0</v>
      </c>
      <c r="O286" t="n">
        <v>0</v>
      </c>
      <c r="P286" t="n">
        <v>0</v>
      </c>
      <c r="Q286" t="n">
        <v>0</v>
      </c>
      <c r="R286" s="2" t="inlineStr"/>
    </row>
    <row r="287" ht="15" customHeight="1">
      <c r="A287" t="inlineStr">
        <is>
          <t>A 37441-2019</t>
        </is>
      </c>
      <c r="B287" s="1" t="n">
        <v>43678</v>
      </c>
      <c r="C287" s="1" t="n">
        <v>45359</v>
      </c>
      <c r="D287" t="inlineStr">
        <is>
          <t>JÄMTLANDS LÄN</t>
        </is>
      </c>
      <c r="E287" t="inlineStr">
        <is>
          <t>RAGUNDA</t>
        </is>
      </c>
      <c r="F287" t="inlineStr">
        <is>
          <t>SCA</t>
        </is>
      </c>
      <c r="G287" t="n">
        <v>0.4</v>
      </c>
      <c r="H287" t="n">
        <v>0</v>
      </c>
      <c r="I287" t="n">
        <v>0</v>
      </c>
      <c r="J287" t="n">
        <v>0</v>
      </c>
      <c r="K287" t="n">
        <v>0</v>
      </c>
      <c r="L287" t="n">
        <v>0</v>
      </c>
      <c r="M287" t="n">
        <v>0</v>
      </c>
      <c r="N287" t="n">
        <v>0</v>
      </c>
      <c r="O287" t="n">
        <v>0</v>
      </c>
      <c r="P287" t="n">
        <v>0</v>
      </c>
      <c r="Q287" t="n">
        <v>0</v>
      </c>
      <c r="R287" s="2" t="inlineStr"/>
    </row>
    <row r="288" ht="15" customHeight="1">
      <c r="A288" t="inlineStr">
        <is>
          <t>A 38757-2019</t>
        </is>
      </c>
      <c r="B288" s="1" t="n">
        <v>43686</v>
      </c>
      <c r="C288" s="1" t="n">
        <v>45359</v>
      </c>
      <c r="D288" t="inlineStr">
        <is>
          <t>JÄMTLANDS LÄN</t>
        </is>
      </c>
      <c r="E288" t="inlineStr">
        <is>
          <t>RAGUNDA</t>
        </is>
      </c>
      <c r="G288" t="n">
        <v>10.2</v>
      </c>
      <c r="H288" t="n">
        <v>0</v>
      </c>
      <c r="I288" t="n">
        <v>0</v>
      </c>
      <c r="J288" t="n">
        <v>0</v>
      </c>
      <c r="K288" t="n">
        <v>0</v>
      </c>
      <c r="L288" t="n">
        <v>0</v>
      </c>
      <c r="M288" t="n">
        <v>0</v>
      </c>
      <c r="N288" t="n">
        <v>0</v>
      </c>
      <c r="O288" t="n">
        <v>0</v>
      </c>
      <c r="P288" t="n">
        <v>0</v>
      </c>
      <c r="Q288" t="n">
        <v>0</v>
      </c>
      <c r="R288" s="2" t="inlineStr"/>
    </row>
    <row r="289" ht="15" customHeight="1">
      <c r="A289" t="inlineStr">
        <is>
          <t>A 42786-2019</t>
        </is>
      </c>
      <c r="B289" s="1" t="n">
        <v>43704</v>
      </c>
      <c r="C289" s="1" t="n">
        <v>45359</v>
      </c>
      <c r="D289" t="inlineStr">
        <is>
          <t>JÄMTLANDS LÄN</t>
        </is>
      </c>
      <c r="E289" t="inlineStr">
        <is>
          <t>RAGUNDA</t>
        </is>
      </c>
      <c r="F289" t="inlineStr">
        <is>
          <t>SCA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42788-2019</t>
        </is>
      </c>
      <c r="B290" s="1" t="n">
        <v>43704</v>
      </c>
      <c r="C290" s="1" t="n">
        <v>45359</v>
      </c>
      <c r="D290" t="inlineStr">
        <is>
          <t>JÄMTLANDS LÄN</t>
        </is>
      </c>
      <c r="E290" t="inlineStr">
        <is>
          <t>RAGUNDA</t>
        </is>
      </c>
      <c r="F290" t="inlineStr">
        <is>
          <t>SCA</t>
        </is>
      </c>
      <c r="G290" t="n">
        <v>20.3</v>
      </c>
      <c r="H290" t="n">
        <v>0</v>
      </c>
      <c r="I290" t="n">
        <v>0</v>
      </c>
      <c r="J290" t="n">
        <v>0</v>
      </c>
      <c r="K290" t="n">
        <v>0</v>
      </c>
      <c r="L290" t="n">
        <v>0</v>
      </c>
      <c r="M290" t="n">
        <v>0</v>
      </c>
      <c r="N290" t="n">
        <v>0</v>
      </c>
      <c r="O290" t="n">
        <v>0</v>
      </c>
      <c r="P290" t="n">
        <v>0</v>
      </c>
      <c r="Q290" t="n">
        <v>0</v>
      </c>
      <c r="R290" s="2" t="inlineStr"/>
    </row>
    <row r="291" ht="15" customHeight="1">
      <c r="A291" t="inlineStr">
        <is>
          <t>A 42785-2019</t>
        </is>
      </c>
      <c r="B291" s="1" t="n">
        <v>43704</v>
      </c>
      <c r="C291" s="1" t="n">
        <v>45359</v>
      </c>
      <c r="D291" t="inlineStr">
        <is>
          <t>JÄMTLANDS LÄN</t>
        </is>
      </c>
      <c r="E291" t="inlineStr">
        <is>
          <t>RAGUNDA</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43412-2019</t>
        </is>
      </c>
      <c r="B292" s="1" t="n">
        <v>43706</v>
      </c>
      <c r="C292" s="1" t="n">
        <v>45359</v>
      </c>
      <c r="D292" t="inlineStr">
        <is>
          <t>JÄMTLANDS LÄN</t>
        </is>
      </c>
      <c r="E292" t="inlineStr">
        <is>
          <t>RAGUNDA</t>
        </is>
      </c>
      <c r="G292" t="n">
        <v>1.4</v>
      </c>
      <c r="H292" t="n">
        <v>0</v>
      </c>
      <c r="I292" t="n">
        <v>0</v>
      </c>
      <c r="J292" t="n">
        <v>0</v>
      </c>
      <c r="K292" t="n">
        <v>0</v>
      </c>
      <c r="L292" t="n">
        <v>0</v>
      </c>
      <c r="M292" t="n">
        <v>0</v>
      </c>
      <c r="N292" t="n">
        <v>0</v>
      </c>
      <c r="O292" t="n">
        <v>0</v>
      </c>
      <c r="P292" t="n">
        <v>0</v>
      </c>
      <c r="Q292" t="n">
        <v>0</v>
      </c>
      <c r="R292" s="2" t="inlineStr"/>
    </row>
    <row r="293" ht="15" customHeight="1">
      <c r="A293" t="inlineStr">
        <is>
          <t>A 45075-2019</t>
        </is>
      </c>
      <c r="B293" s="1" t="n">
        <v>43713</v>
      </c>
      <c r="C293" s="1" t="n">
        <v>45359</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45061-2019</t>
        </is>
      </c>
      <c r="B294" s="1" t="n">
        <v>43713</v>
      </c>
      <c r="C294" s="1" t="n">
        <v>45359</v>
      </c>
      <c r="D294" t="inlineStr">
        <is>
          <t>JÄMTLANDS LÄN</t>
        </is>
      </c>
      <c r="E294" t="inlineStr">
        <is>
          <t>RAGUNDA</t>
        </is>
      </c>
      <c r="G294" t="n">
        <v>3.3</v>
      </c>
      <c r="H294" t="n">
        <v>0</v>
      </c>
      <c r="I294" t="n">
        <v>0</v>
      </c>
      <c r="J294" t="n">
        <v>0</v>
      </c>
      <c r="K294" t="n">
        <v>0</v>
      </c>
      <c r="L294" t="n">
        <v>0</v>
      </c>
      <c r="M294" t="n">
        <v>0</v>
      </c>
      <c r="N294" t="n">
        <v>0</v>
      </c>
      <c r="O294" t="n">
        <v>0</v>
      </c>
      <c r="P294" t="n">
        <v>0</v>
      </c>
      <c r="Q294" t="n">
        <v>0</v>
      </c>
      <c r="R294" s="2" t="inlineStr"/>
    </row>
    <row r="295" ht="15" customHeight="1">
      <c r="A295" t="inlineStr">
        <is>
          <t>A 48961-2019</t>
        </is>
      </c>
      <c r="B295" s="1" t="n">
        <v>43728</v>
      </c>
      <c r="C295" s="1" t="n">
        <v>45359</v>
      </c>
      <c r="D295" t="inlineStr">
        <is>
          <t>JÄMTLANDS LÄN</t>
        </is>
      </c>
      <c r="E295" t="inlineStr">
        <is>
          <t>RAGUNDA</t>
        </is>
      </c>
      <c r="F295" t="inlineStr">
        <is>
          <t>SCA</t>
        </is>
      </c>
      <c r="G295" t="n">
        <v>1.5</v>
      </c>
      <c r="H295" t="n">
        <v>0</v>
      </c>
      <c r="I295" t="n">
        <v>0</v>
      </c>
      <c r="J295" t="n">
        <v>0</v>
      </c>
      <c r="K295" t="n">
        <v>0</v>
      </c>
      <c r="L295" t="n">
        <v>0</v>
      </c>
      <c r="M295" t="n">
        <v>0</v>
      </c>
      <c r="N295" t="n">
        <v>0</v>
      </c>
      <c r="O295" t="n">
        <v>0</v>
      </c>
      <c r="P295" t="n">
        <v>0</v>
      </c>
      <c r="Q295" t="n">
        <v>0</v>
      </c>
      <c r="R295" s="2" t="inlineStr"/>
    </row>
    <row r="296" ht="15" customHeight="1">
      <c r="A296" t="inlineStr">
        <is>
          <t>A 49875-2019</t>
        </is>
      </c>
      <c r="B296" s="1" t="n">
        <v>43733</v>
      </c>
      <c r="C296" s="1" t="n">
        <v>45359</v>
      </c>
      <c r="D296" t="inlineStr">
        <is>
          <t>JÄMTLANDS LÄN</t>
        </is>
      </c>
      <c r="E296" t="inlineStr">
        <is>
          <t>RAGUNDA</t>
        </is>
      </c>
      <c r="G296" t="n">
        <v>1.3</v>
      </c>
      <c r="H296" t="n">
        <v>0</v>
      </c>
      <c r="I296" t="n">
        <v>0</v>
      </c>
      <c r="J296" t="n">
        <v>0</v>
      </c>
      <c r="K296" t="n">
        <v>0</v>
      </c>
      <c r="L296" t="n">
        <v>0</v>
      </c>
      <c r="M296" t="n">
        <v>0</v>
      </c>
      <c r="N296" t="n">
        <v>0</v>
      </c>
      <c r="O296" t="n">
        <v>0</v>
      </c>
      <c r="P296" t="n">
        <v>0</v>
      </c>
      <c r="Q296" t="n">
        <v>0</v>
      </c>
      <c r="R296" s="2" t="inlineStr"/>
    </row>
    <row r="297" ht="15" customHeight="1">
      <c r="A297" t="inlineStr">
        <is>
          <t>A 49945-2019</t>
        </is>
      </c>
      <c r="B297" s="1" t="n">
        <v>43733</v>
      </c>
      <c r="C297" s="1" t="n">
        <v>45359</v>
      </c>
      <c r="D297" t="inlineStr">
        <is>
          <t>JÄMTLANDS LÄN</t>
        </is>
      </c>
      <c r="E297" t="inlineStr">
        <is>
          <t>RAGUNDA</t>
        </is>
      </c>
      <c r="G297" t="n">
        <v>1.5</v>
      </c>
      <c r="H297" t="n">
        <v>0</v>
      </c>
      <c r="I297" t="n">
        <v>0</v>
      </c>
      <c r="J297" t="n">
        <v>0</v>
      </c>
      <c r="K297" t="n">
        <v>0</v>
      </c>
      <c r="L297" t="n">
        <v>0</v>
      </c>
      <c r="M297" t="n">
        <v>0</v>
      </c>
      <c r="N297" t="n">
        <v>0</v>
      </c>
      <c r="O297" t="n">
        <v>0</v>
      </c>
      <c r="P297" t="n">
        <v>0</v>
      </c>
      <c r="Q297" t="n">
        <v>0</v>
      </c>
      <c r="R297" s="2" t="inlineStr"/>
    </row>
    <row r="298" ht="15" customHeight="1">
      <c r="A298" t="inlineStr">
        <is>
          <t>A 52098-2019</t>
        </is>
      </c>
      <c r="B298" s="1" t="n">
        <v>43735</v>
      </c>
      <c r="C298" s="1" t="n">
        <v>45359</v>
      </c>
      <c r="D298" t="inlineStr">
        <is>
          <t>JÄMTLANDS LÄN</t>
        </is>
      </c>
      <c r="E298" t="inlineStr">
        <is>
          <t>RAGUNDA</t>
        </is>
      </c>
      <c r="G298" t="n">
        <v>1</v>
      </c>
      <c r="H298" t="n">
        <v>0</v>
      </c>
      <c r="I298" t="n">
        <v>0</v>
      </c>
      <c r="J298" t="n">
        <v>0</v>
      </c>
      <c r="K298" t="n">
        <v>0</v>
      </c>
      <c r="L298" t="n">
        <v>0</v>
      </c>
      <c r="M298" t="n">
        <v>0</v>
      </c>
      <c r="N298" t="n">
        <v>0</v>
      </c>
      <c r="O298" t="n">
        <v>0</v>
      </c>
      <c r="P298" t="n">
        <v>0</v>
      </c>
      <c r="Q298" t="n">
        <v>0</v>
      </c>
      <c r="R298" s="2" t="inlineStr"/>
    </row>
    <row r="299" ht="15" customHeight="1">
      <c r="A299" t="inlineStr">
        <is>
          <t>A 51661-2019</t>
        </is>
      </c>
      <c r="B299" s="1" t="n">
        <v>43740</v>
      </c>
      <c r="C299" s="1" t="n">
        <v>45359</v>
      </c>
      <c r="D299" t="inlineStr">
        <is>
          <t>JÄMTLANDS LÄN</t>
        </is>
      </c>
      <c r="E299" t="inlineStr">
        <is>
          <t>RAGUNDA</t>
        </is>
      </c>
      <c r="G299" t="n">
        <v>1.4</v>
      </c>
      <c r="H299" t="n">
        <v>0</v>
      </c>
      <c r="I299" t="n">
        <v>0</v>
      </c>
      <c r="J299" t="n">
        <v>0</v>
      </c>
      <c r="K299" t="n">
        <v>0</v>
      </c>
      <c r="L299" t="n">
        <v>0</v>
      </c>
      <c r="M299" t="n">
        <v>0</v>
      </c>
      <c r="N299" t="n">
        <v>0</v>
      </c>
      <c r="O299" t="n">
        <v>0</v>
      </c>
      <c r="P299" t="n">
        <v>0</v>
      </c>
      <c r="Q299" t="n">
        <v>0</v>
      </c>
      <c r="R299" s="2" t="inlineStr"/>
    </row>
    <row r="300" ht="15" customHeight="1">
      <c r="A300" t="inlineStr">
        <is>
          <t>A 53849-2019</t>
        </is>
      </c>
      <c r="B300" s="1" t="n">
        <v>43742</v>
      </c>
      <c r="C300" s="1" t="n">
        <v>45359</v>
      </c>
      <c r="D300" t="inlineStr">
        <is>
          <t>JÄMTLANDS LÄN</t>
        </is>
      </c>
      <c r="E300" t="inlineStr">
        <is>
          <t>RAGUNDA</t>
        </is>
      </c>
      <c r="G300" t="n">
        <v>0.3</v>
      </c>
      <c r="H300" t="n">
        <v>0</v>
      </c>
      <c r="I300" t="n">
        <v>0</v>
      </c>
      <c r="J300" t="n">
        <v>0</v>
      </c>
      <c r="K300" t="n">
        <v>0</v>
      </c>
      <c r="L300" t="n">
        <v>0</v>
      </c>
      <c r="M300" t="n">
        <v>0</v>
      </c>
      <c r="N300" t="n">
        <v>0</v>
      </c>
      <c r="O300" t="n">
        <v>0</v>
      </c>
      <c r="P300" t="n">
        <v>0</v>
      </c>
      <c r="Q300" t="n">
        <v>0</v>
      </c>
      <c r="R300" s="2" t="inlineStr"/>
    </row>
    <row r="301" ht="15" customHeight="1">
      <c r="A301" t="inlineStr">
        <is>
          <t>A 52728-2019</t>
        </is>
      </c>
      <c r="B301" s="1" t="n">
        <v>43746</v>
      </c>
      <c r="C301" s="1" t="n">
        <v>45359</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55353-2019</t>
        </is>
      </c>
      <c r="B302" s="1" t="n">
        <v>43756</v>
      </c>
      <c r="C302" s="1" t="n">
        <v>45359</v>
      </c>
      <c r="D302" t="inlineStr">
        <is>
          <t>JÄMTLANDS LÄN</t>
        </is>
      </c>
      <c r="E302" t="inlineStr">
        <is>
          <t>RAGUNDA</t>
        </is>
      </c>
      <c r="G302" t="n">
        <v>2.1</v>
      </c>
      <c r="H302" t="n">
        <v>0</v>
      </c>
      <c r="I302" t="n">
        <v>0</v>
      </c>
      <c r="J302" t="n">
        <v>0</v>
      </c>
      <c r="K302" t="n">
        <v>0</v>
      </c>
      <c r="L302" t="n">
        <v>0</v>
      </c>
      <c r="M302" t="n">
        <v>0</v>
      </c>
      <c r="N302" t="n">
        <v>0</v>
      </c>
      <c r="O302" t="n">
        <v>0</v>
      </c>
      <c r="P302" t="n">
        <v>0</v>
      </c>
      <c r="Q302" t="n">
        <v>0</v>
      </c>
      <c r="R302" s="2" t="inlineStr"/>
    </row>
    <row r="303" ht="15" customHeight="1">
      <c r="A303" t="inlineStr">
        <is>
          <t>A 55875-2019</t>
        </is>
      </c>
      <c r="B303" s="1" t="n">
        <v>43759</v>
      </c>
      <c r="C303" s="1" t="n">
        <v>45359</v>
      </c>
      <c r="D303" t="inlineStr">
        <is>
          <t>JÄMTLANDS LÄN</t>
        </is>
      </c>
      <c r="E303" t="inlineStr">
        <is>
          <t>RAGUNDA</t>
        </is>
      </c>
      <c r="G303" t="n">
        <v>2.8</v>
      </c>
      <c r="H303" t="n">
        <v>0</v>
      </c>
      <c r="I303" t="n">
        <v>0</v>
      </c>
      <c r="J303" t="n">
        <v>0</v>
      </c>
      <c r="K303" t="n">
        <v>0</v>
      </c>
      <c r="L303" t="n">
        <v>0</v>
      </c>
      <c r="M303" t="n">
        <v>0</v>
      </c>
      <c r="N303" t="n">
        <v>0</v>
      </c>
      <c r="O303" t="n">
        <v>0</v>
      </c>
      <c r="P303" t="n">
        <v>0</v>
      </c>
      <c r="Q303" t="n">
        <v>0</v>
      </c>
      <c r="R303" s="2" t="inlineStr"/>
    </row>
    <row r="304" ht="15" customHeight="1">
      <c r="A304" t="inlineStr">
        <is>
          <t>A 55653-2019</t>
        </is>
      </c>
      <c r="B304" s="1" t="n">
        <v>43760</v>
      </c>
      <c r="C304" s="1" t="n">
        <v>45359</v>
      </c>
      <c r="D304" t="inlineStr">
        <is>
          <t>JÄMTLANDS LÄN</t>
        </is>
      </c>
      <c r="E304" t="inlineStr">
        <is>
          <t>RAGUNDA</t>
        </is>
      </c>
      <c r="G304" t="n">
        <v>4.2</v>
      </c>
      <c r="H304" t="n">
        <v>0</v>
      </c>
      <c r="I304" t="n">
        <v>0</v>
      </c>
      <c r="J304" t="n">
        <v>0</v>
      </c>
      <c r="K304" t="n">
        <v>0</v>
      </c>
      <c r="L304" t="n">
        <v>0</v>
      </c>
      <c r="M304" t="n">
        <v>0</v>
      </c>
      <c r="N304" t="n">
        <v>0</v>
      </c>
      <c r="O304" t="n">
        <v>0</v>
      </c>
      <c r="P304" t="n">
        <v>0</v>
      </c>
      <c r="Q304" t="n">
        <v>0</v>
      </c>
      <c r="R304" s="2" t="inlineStr"/>
    </row>
    <row r="305" ht="15" customHeight="1">
      <c r="A305" t="inlineStr">
        <is>
          <t>A 57860-2019</t>
        </is>
      </c>
      <c r="B305" s="1" t="n">
        <v>43768</v>
      </c>
      <c r="C305" s="1" t="n">
        <v>45359</v>
      </c>
      <c r="D305" t="inlineStr">
        <is>
          <t>JÄMTLANDS LÄN</t>
        </is>
      </c>
      <c r="E305" t="inlineStr">
        <is>
          <t>RAGUNDA</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57783-2019</t>
        </is>
      </c>
      <c r="B306" s="1" t="n">
        <v>43768</v>
      </c>
      <c r="C306" s="1" t="n">
        <v>45359</v>
      </c>
      <c r="D306" t="inlineStr">
        <is>
          <t>JÄMTLANDS LÄN</t>
        </is>
      </c>
      <c r="E306" t="inlineStr">
        <is>
          <t>RAGUNDA</t>
        </is>
      </c>
      <c r="G306" t="n">
        <v>2.9</v>
      </c>
      <c r="H306" t="n">
        <v>0</v>
      </c>
      <c r="I306" t="n">
        <v>0</v>
      </c>
      <c r="J306" t="n">
        <v>0</v>
      </c>
      <c r="K306" t="n">
        <v>0</v>
      </c>
      <c r="L306" t="n">
        <v>0</v>
      </c>
      <c r="M306" t="n">
        <v>0</v>
      </c>
      <c r="N306" t="n">
        <v>0</v>
      </c>
      <c r="O306" t="n">
        <v>0</v>
      </c>
      <c r="P306" t="n">
        <v>0</v>
      </c>
      <c r="Q306" t="n">
        <v>0</v>
      </c>
      <c r="R306" s="2" t="inlineStr"/>
    </row>
    <row r="307" ht="15" customHeight="1">
      <c r="A307" t="inlineStr">
        <is>
          <t>A 58348-2019</t>
        </is>
      </c>
      <c r="B307" s="1" t="n">
        <v>43770</v>
      </c>
      <c r="C307" s="1" t="n">
        <v>45359</v>
      </c>
      <c r="D307" t="inlineStr">
        <is>
          <t>JÄMTLANDS LÄN</t>
        </is>
      </c>
      <c r="E307" t="inlineStr">
        <is>
          <t>RAGUNDA</t>
        </is>
      </c>
      <c r="F307" t="inlineStr">
        <is>
          <t>SCA</t>
        </is>
      </c>
      <c r="G307" t="n">
        <v>5.8</v>
      </c>
      <c r="H307" t="n">
        <v>0</v>
      </c>
      <c r="I307" t="n">
        <v>0</v>
      </c>
      <c r="J307" t="n">
        <v>0</v>
      </c>
      <c r="K307" t="n">
        <v>0</v>
      </c>
      <c r="L307" t="n">
        <v>0</v>
      </c>
      <c r="M307" t="n">
        <v>0</v>
      </c>
      <c r="N307" t="n">
        <v>0</v>
      </c>
      <c r="O307" t="n">
        <v>0</v>
      </c>
      <c r="P307" t="n">
        <v>0</v>
      </c>
      <c r="Q307" t="n">
        <v>0</v>
      </c>
      <c r="R307" s="2" t="inlineStr"/>
    </row>
    <row r="308" ht="15" customHeight="1">
      <c r="A308" t="inlineStr">
        <is>
          <t>A 58355-2019</t>
        </is>
      </c>
      <c r="B308" s="1" t="n">
        <v>43770</v>
      </c>
      <c r="C308" s="1" t="n">
        <v>45359</v>
      </c>
      <c r="D308" t="inlineStr">
        <is>
          <t>JÄMTLANDS LÄN</t>
        </is>
      </c>
      <c r="E308" t="inlineStr">
        <is>
          <t>RAGUNDA</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59484-2019</t>
        </is>
      </c>
      <c r="B309" s="1" t="n">
        <v>43773</v>
      </c>
      <c r="C309" s="1" t="n">
        <v>45359</v>
      </c>
      <c r="D309" t="inlineStr">
        <is>
          <t>JÄMTLANDS LÄN</t>
        </is>
      </c>
      <c r="E309" t="inlineStr">
        <is>
          <t>RAGUNDA</t>
        </is>
      </c>
      <c r="G309" t="n">
        <v>0.5</v>
      </c>
      <c r="H309" t="n">
        <v>0</v>
      </c>
      <c r="I309" t="n">
        <v>0</v>
      </c>
      <c r="J309" t="n">
        <v>0</v>
      </c>
      <c r="K309" t="n">
        <v>0</v>
      </c>
      <c r="L309" t="n">
        <v>0</v>
      </c>
      <c r="M309" t="n">
        <v>0</v>
      </c>
      <c r="N309" t="n">
        <v>0</v>
      </c>
      <c r="O309" t="n">
        <v>0</v>
      </c>
      <c r="P309" t="n">
        <v>0</v>
      </c>
      <c r="Q309" t="n">
        <v>0</v>
      </c>
      <c r="R309" s="2" t="inlineStr"/>
    </row>
    <row r="310" ht="15" customHeight="1">
      <c r="A310" t="inlineStr">
        <is>
          <t>A 58795-2019</t>
        </is>
      </c>
      <c r="B310" s="1" t="n">
        <v>43773</v>
      </c>
      <c r="C310" s="1" t="n">
        <v>45359</v>
      </c>
      <c r="D310" t="inlineStr">
        <is>
          <t>JÄMTLANDS LÄN</t>
        </is>
      </c>
      <c r="E310" t="inlineStr">
        <is>
          <t>RAGUNDA</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59501-2019</t>
        </is>
      </c>
      <c r="B311" s="1" t="n">
        <v>43773</v>
      </c>
      <c r="C311" s="1" t="n">
        <v>45359</v>
      </c>
      <c r="D311" t="inlineStr">
        <is>
          <t>JÄMTLANDS LÄN</t>
        </is>
      </c>
      <c r="E311" t="inlineStr">
        <is>
          <t>RAGUNDA</t>
        </is>
      </c>
      <c r="G311" t="n">
        <v>0.5</v>
      </c>
      <c r="H311" t="n">
        <v>0</v>
      </c>
      <c r="I311" t="n">
        <v>0</v>
      </c>
      <c r="J311" t="n">
        <v>0</v>
      </c>
      <c r="K311" t="n">
        <v>0</v>
      </c>
      <c r="L311" t="n">
        <v>0</v>
      </c>
      <c r="M311" t="n">
        <v>0</v>
      </c>
      <c r="N311" t="n">
        <v>0</v>
      </c>
      <c r="O311" t="n">
        <v>0</v>
      </c>
      <c r="P311" t="n">
        <v>0</v>
      </c>
      <c r="Q311" t="n">
        <v>0</v>
      </c>
      <c r="R311" s="2" t="inlineStr"/>
    </row>
    <row r="312" ht="15" customHeight="1">
      <c r="A312" t="inlineStr">
        <is>
          <t>A 59194-2019</t>
        </is>
      </c>
      <c r="B312" s="1" t="n">
        <v>43775</v>
      </c>
      <c r="C312" s="1" t="n">
        <v>45359</v>
      </c>
      <c r="D312" t="inlineStr">
        <is>
          <t>JÄMTLANDS LÄN</t>
        </is>
      </c>
      <c r="E312" t="inlineStr">
        <is>
          <t>RAGUNDA</t>
        </is>
      </c>
      <c r="G312" t="n">
        <v>2.7</v>
      </c>
      <c r="H312" t="n">
        <v>0</v>
      </c>
      <c r="I312" t="n">
        <v>0</v>
      </c>
      <c r="J312" t="n">
        <v>0</v>
      </c>
      <c r="K312" t="n">
        <v>0</v>
      </c>
      <c r="L312" t="n">
        <v>0</v>
      </c>
      <c r="M312" t="n">
        <v>0</v>
      </c>
      <c r="N312" t="n">
        <v>0</v>
      </c>
      <c r="O312" t="n">
        <v>0</v>
      </c>
      <c r="P312" t="n">
        <v>0</v>
      </c>
      <c r="Q312" t="n">
        <v>0</v>
      </c>
      <c r="R312" s="2" t="inlineStr"/>
    </row>
    <row r="313" ht="15" customHeight="1">
      <c r="A313" t="inlineStr">
        <is>
          <t>A 60119-2019</t>
        </is>
      </c>
      <c r="B313" s="1" t="n">
        <v>43777</v>
      </c>
      <c r="C313" s="1" t="n">
        <v>45359</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62340-2019</t>
        </is>
      </c>
      <c r="B314" s="1" t="n">
        <v>43782</v>
      </c>
      <c r="C314" s="1" t="n">
        <v>45359</v>
      </c>
      <c r="D314" t="inlineStr">
        <is>
          <t>JÄMTLANDS LÄN</t>
        </is>
      </c>
      <c r="E314" t="inlineStr">
        <is>
          <t>RAGUNDA</t>
        </is>
      </c>
      <c r="G314" t="n">
        <v>2.5</v>
      </c>
      <c r="H314" t="n">
        <v>0</v>
      </c>
      <c r="I314" t="n">
        <v>0</v>
      </c>
      <c r="J314" t="n">
        <v>0</v>
      </c>
      <c r="K314" t="n">
        <v>0</v>
      </c>
      <c r="L314" t="n">
        <v>0</v>
      </c>
      <c r="M314" t="n">
        <v>0</v>
      </c>
      <c r="N314" t="n">
        <v>0</v>
      </c>
      <c r="O314" t="n">
        <v>0</v>
      </c>
      <c r="P314" t="n">
        <v>0</v>
      </c>
      <c r="Q314" t="n">
        <v>0</v>
      </c>
      <c r="R314" s="2" t="inlineStr"/>
    </row>
    <row r="315" ht="15" customHeight="1">
      <c r="A315" t="inlineStr">
        <is>
          <t>A 61514-2019</t>
        </is>
      </c>
      <c r="B315" s="1" t="n">
        <v>43783</v>
      </c>
      <c r="C315" s="1" t="n">
        <v>45359</v>
      </c>
      <c r="D315" t="inlineStr">
        <is>
          <t>JÄMTLANDS LÄN</t>
        </is>
      </c>
      <c r="E315" t="inlineStr">
        <is>
          <t>RAGUNDA</t>
        </is>
      </c>
      <c r="G315" t="n">
        <v>2.3</v>
      </c>
      <c r="H315" t="n">
        <v>0</v>
      </c>
      <c r="I315" t="n">
        <v>0</v>
      </c>
      <c r="J315" t="n">
        <v>0</v>
      </c>
      <c r="K315" t="n">
        <v>0</v>
      </c>
      <c r="L315" t="n">
        <v>0</v>
      </c>
      <c r="M315" t="n">
        <v>0</v>
      </c>
      <c r="N315" t="n">
        <v>0</v>
      </c>
      <c r="O315" t="n">
        <v>0</v>
      </c>
      <c r="P315" t="n">
        <v>0</v>
      </c>
      <c r="Q315" t="n">
        <v>0</v>
      </c>
      <c r="R315" s="2" t="inlineStr"/>
    </row>
    <row r="316" ht="15" customHeight="1">
      <c r="A316" t="inlineStr">
        <is>
          <t>A 62129-2019</t>
        </is>
      </c>
      <c r="B316" s="1" t="n">
        <v>43787</v>
      </c>
      <c r="C316" s="1" t="n">
        <v>45359</v>
      </c>
      <c r="D316" t="inlineStr">
        <is>
          <t>JÄMTLANDS LÄN</t>
        </is>
      </c>
      <c r="E316" t="inlineStr">
        <is>
          <t>RAGUNDA</t>
        </is>
      </c>
      <c r="G316" t="n">
        <v>1.1</v>
      </c>
      <c r="H316" t="n">
        <v>0</v>
      </c>
      <c r="I316" t="n">
        <v>0</v>
      </c>
      <c r="J316" t="n">
        <v>0</v>
      </c>
      <c r="K316" t="n">
        <v>0</v>
      </c>
      <c r="L316" t="n">
        <v>0</v>
      </c>
      <c r="M316" t="n">
        <v>0</v>
      </c>
      <c r="N316" t="n">
        <v>0</v>
      </c>
      <c r="O316" t="n">
        <v>0</v>
      </c>
      <c r="P316" t="n">
        <v>0</v>
      </c>
      <c r="Q316" t="n">
        <v>0</v>
      </c>
      <c r="R316" s="2" t="inlineStr"/>
    </row>
    <row r="317" ht="15" customHeight="1">
      <c r="A317" t="inlineStr">
        <is>
          <t>A 62484-2019</t>
        </is>
      </c>
      <c r="B317" s="1" t="n">
        <v>43788</v>
      </c>
      <c r="C317" s="1" t="n">
        <v>45359</v>
      </c>
      <c r="D317" t="inlineStr">
        <is>
          <t>JÄMTLANDS LÄN</t>
        </is>
      </c>
      <c r="E317" t="inlineStr">
        <is>
          <t>RAGUNDA</t>
        </is>
      </c>
      <c r="G317" t="n">
        <v>11.9</v>
      </c>
      <c r="H317" t="n">
        <v>0</v>
      </c>
      <c r="I317" t="n">
        <v>0</v>
      </c>
      <c r="J317" t="n">
        <v>0</v>
      </c>
      <c r="K317" t="n">
        <v>0</v>
      </c>
      <c r="L317" t="n">
        <v>0</v>
      </c>
      <c r="M317" t="n">
        <v>0</v>
      </c>
      <c r="N317" t="n">
        <v>0</v>
      </c>
      <c r="O317" t="n">
        <v>0</v>
      </c>
      <c r="P317" t="n">
        <v>0</v>
      </c>
      <c r="Q317" t="n">
        <v>0</v>
      </c>
      <c r="R317" s="2" t="inlineStr"/>
      <c r="U317">
        <f>HYPERLINK("https://klasma.github.io/Logging_2303/knärot/A 62484-2019 karta knärot.png", "A 62484-2019")</f>
        <v/>
      </c>
      <c r="V317">
        <f>HYPERLINK("https://klasma.github.io/Logging_2303/klagomål/A 62484-2019 FSC-klagomål.docx", "A 62484-2019")</f>
        <v/>
      </c>
      <c r="W317">
        <f>HYPERLINK("https://klasma.github.io/Logging_2303/klagomålsmail/A 62484-2019 FSC-klagomål mail.docx", "A 62484-2019")</f>
        <v/>
      </c>
      <c r="X317">
        <f>HYPERLINK("https://klasma.github.io/Logging_2303/tillsyn/A 62484-2019 tillsynsbegäran.docx", "A 62484-2019")</f>
        <v/>
      </c>
      <c r="Y317">
        <f>HYPERLINK("https://klasma.github.io/Logging_2303/tillsynsmail/A 62484-2019 tillsynsbegäran mail.docx", "A 62484-2019")</f>
        <v/>
      </c>
    </row>
    <row r="318" ht="15" customHeight="1">
      <c r="A318" t="inlineStr">
        <is>
          <t>A 64097-2019</t>
        </is>
      </c>
      <c r="B318" s="1" t="n">
        <v>43791</v>
      </c>
      <c r="C318" s="1" t="n">
        <v>45359</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63841-2019</t>
        </is>
      </c>
      <c r="B319" s="1" t="n">
        <v>43795</v>
      </c>
      <c r="C319" s="1" t="n">
        <v>45359</v>
      </c>
      <c r="D319" t="inlineStr">
        <is>
          <t>JÄMTLANDS LÄN</t>
        </is>
      </c>
      <c r="E319" t="inlineStr">
        <is>
          <t>RAGUNDA</t>
        </is>
      </c>
      <c r="F319" t="inlineStr">
        <is>
          <t>SCA</t>
        </is>
      </c>
      <c r="G319" t="n">
        <v>7</v>
      </c>
      <c r="H319" t="n">
        <v>0</v>
      </c>
      <c r="I319" t="n">
        <v>0</v>
      </c>
      <c r="J319" t="n">
        <v>0</v>
      </c>
      <c r="K319" t="n">
        <v>0</v>
      </c>
      <c r="L319" t="n">
        <v>0</v>
      </c>
      <c r="M319" t="n">
        <v>0</v>
      </c>
      <c r="N319" t="n">
        <v>0</v>
      </c>
      <c r="O319" t="n">
        <v>0</v>
      </c>
      <c r="P319" t="n">
        <v>0</v>
      </c>
      <c r="Q319" t="n">
        <v>0</v>
      </c>
      <c r="R319" s="2" t="inlineStr"/>
    </row>
    <row r="320" ht="15" customHeight="1">
      <c r="A320" t="inlineStr">
        <is>
          <t>A 64316-2019</t>
        </is>
      </c>
      <c r="B320" s="1" t="n">
        <v>43797</v>
      </c>
      <c r="C320" s="1" t="n">
        <v>45359</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64432-2019</t>
        </is>
      </c>
      <c r="B321" s="1" t="n">
        <v>43797</v>
      </c>
      <c r="C321" s="1" t="n">
        <v>45359</v>
      </c>
      <c r="D321" t="inlineStr">
        <is>
          <t>JÄMTLANDS LÄN</t>
        </is>
      </c>
      <c r="E321" t="inlineStr">
        <is>
          <t>RAGUNDA</t>
        </is>
      </c>
      <c r="G321" t="n">
        <v>3.1</v>
      </c>
      <c r="H321" t="n">
        <v>0</v>
      </c>
      <c r="I321" t="n">
        <v>0</v>
      </c>
      <c r="J321" t="n">
        <v>0</v>
      </c>
      <c r="K321" t="n">
        <v>0</v>
      </c>
      <c r="L321" t="n">
        <v>0</v>
      </c>
      <c r="M321" t="n">
        <v>0</v>
      </c>
      <c r="N321" t="n">
        <v>0</v>
      </c>
      <c r="O321" t="n">
        <v>0</v>
      </c>
      <c r="P321" t="n">
        <v>0</v>
      </c>
      <c r="Q321" t="n">
        <v>0</v>
      </c>
      <c r="R321" s="2" t="inlineStr"/>
    </row>
    <row r="322" ht="15" customHeight="1">
      <c r="A322" t="inlineStr">
        <is>
          <t>A 66475-2019</t>
        </is>
      </c>
      <c r="B322" s="1" t="n">
        <v>43803</v>
      </c>
      <c r="C322" s="1" t="n">
        <v>45359</v>
      </c>
      <c r="D322" t="inlineStr">
        <is>
          <t>JÄMTLANDS LÄN</t>
        </is>
      </c>
      <c r="E322" t="inlineStr">
        <is>
          <t>RAGUNDA</t>
        </is>
      </c>
      <c r="G322" t="n">
        <v>0.5</v>
      </c>
      <c r="H322" t="n">
        <v>0</v>
      </c>
      <c r="I322" t="n">
        <v>0</v>
      </c>
      <c r="J322" t="n">
        <v>0</v>
      </c>
      <c r="K322" t="n">
        <v>0</v>
      </c>
      <c r="L322" t="n">
        <v>0</v>
      </c>
      <c r="M322" t="n">
        <v>0</v>
      </c>
      <c r="N322" t="n">
        <v>0</v>
      </c>
      <c r="O322" t="n">
        <v>0</v>
      </c>
      <c r="P322" t="n">
        <v>0</v>
      </c>
      <c r="Q322" t="n">
        <v>0</v>
      </c>
      <c r="R322" s="2" t="inlineStr"/>
    </row>
    <row r="323" ht="15" customHeight="1">
      <c r="A323" t="inlineStr">
        <is>
          <t>A 67122-2019</t>
        </is>
      </c>
      <c r="B323" s="1" t="n">
        <v>43805</v>
      </c>
      <c r="C323" s="1" t="n">
        <v>45359</v>
      </c>
      <c r="D323" t="inlineStr">
        <is>
          <t>JÄMTLANDS LÄN</t>
        </is>
      </c>
      <c r="E323" t="inlineStr">
        <is>
          <t>RAGUNDA</t>
        </is>
      </c>
      <c r="G323" t="n">
        <v>0.2</v>
      </c>
      <c r="H323" t="n">
        <v>0</v>
      </c>
      <c r="I323" t="n">
        <v>0</v>
      </c>
      <c r="J323" t="n">
        <v>0</v>
      </c>
      <c r="K323" t="n">
        <v>0</v>
      </c>
      <c r="L323" t="n">
        <v>0</v>
      </c>
      <c r="M323" t="n">
        <v>0</v>
      </c>
      <c r="N323" t="n">
        <v>0</v>
      </c>
      <c r="O323" t="n">
        <v>0</v>
      </c>
      <c r="P323" t="n">
        <v>0</v>
      </c>
      <c r="Q323" t="n">
        <v>0</v>
      </c>
      <c r="R323" s="2" t="inlineStr"/>
    </row>
    <row r="324" ht="15" customHeight="1">
      <c r="A324" t="inlineStr">
        <is>
          <t>A 67285-2019</t>
        </is>
      </c>
      <c r="B324" s="1" t="n">
        <v>43812</v>
      </c>
      <c r="C324" s="1" t="n">
        <v>45359</v>
      </c>
      <c r="D324" t="inlineStr">
        <is>
          <t>JÄMTLANDS LÄN</t>
        </is>
      </c>
      <c r="E324" t="inlineStr">
        <is>
          <t>RAGUNDA</t>
        </is>
      </c>
      <c r="G324" t="n">
        <v>2.5</v>
      </c>
      <c r="H324" t="n">
        <v>0</v>
      </c>
      <c r="I324" t="n">
        <v>0</v>
      </c>
      <c r="J324" t="n">
        <v>0</v>
      </c>
      <c r="K324" t="n">
        <v>0</v>
      </c>
      <c r="L324" t="n">
        <v>0</v>
      </c>
      <c r="M324" t="n">
        <v>0</v>
      </c>
      <c r="N324" t="n">
        <v>0</v>
      </c>
      <c r="O324" t="n">
        <v>0</v>
      </c>
      <c r="P324" t="n">
        <v>0</v>
      </c>
      <c r="Q324" t="n">
        <v>0</v>
      </c>
      <c r="R324" s="2" t="inlineStr"/>
    </row>
    <row r="325" ht="15" customHeight="1">
      <c r="A325" t="inlineStr">
        <is>
          <t>A 68600-2019</t>
        </is>
      </c>
      <c r="B325" s="1" t="n">
        <v>43818</v>
      </c>
      <c r="C325" s="1" t="n">
        <v>45359</v>
      </c>
      <c r="D325" t="inlineStr">
        <is>
          <t>JÄMTLANDS LÄN</t>
        </is>
      </c>
      <c r="E325" t="inlineStr">
        <is>
          <t>RAGUNDA</t>
        </is>
      </c>
      <c r="G325" t="n">
        <v>0.2</v>
      </c>
      <c r="H325" t="n">
        <v>0</v>
      </c>
      <c r="I325" t="n">
        <v>0</v>
      </c>
      <c r="J325" t="n">
        <v>0</v>
      </c>
      <c r="K325" t="n">
        <v>0</v>
      </c>
      <c r="L325" t="n">
        <v>0</v>
      </c>
      <c r="M325" t="n">
        <v>0</v>
      </c>
      <c r="N325" t="n">
        <v>0</v>
      </c>
      <c r="O325" t="n">
        <v>0</v>
      </c>
      <c r="P325" t="n">
        <v>0</v>
      </c>
      <c r="Q325" t="n">
        <v>0</v>
      </c>
      <c r="R325" s="2" t="inlineStr"/>
    </row>
    <row r="326" ht="15" customHeight="1">
      <c r="A326" t="inlineStr">
        <is>
          <t>A 68601-2019</t>
        </is>
      </c>
      <c r="B326" s="1" t="n">
        <v>43818</v>
      </c>
      <c r="C326" s="1" t="n">
        <v>45359</v>
      </c>
      <c r="D326" t="inlineStr">
        <is>
          <t>JÄMTLANDS LÄN</t>
        </is>
      </c>
      <c r="E326" t="inlineStr">
        <is>
          <t>RAGUNDA</t>
        </is>
      </c>
      <c r="G326" t="n">
        <v>1.9</v>
      </c>
      <c r="H326" t="n">
        <v>0</v>
      </c>
      <c r="I326" t="n">
        <v>0</v>
      </c>
      <c r="J326" t="n">
        <v>0</v>
      </c>
      <c r="K326" t="n">
        <v>0</v>
      </c>
      <c r="L326" t="n">
        <v>0</v>
      </c>
      <c r="M326" t="n">
        <v>0</v>
      </c>
      <c r="N326" t="n">
        <v>0</v>
      </c>
      <c r="O326" t="n">
        <v>0</v>
      </c>
      <c r="P326" t="n">
        <v>0</v>
      </c>
      <c r="Q326" t="n">
        <v>0</v>
      </c>
      <c r="R326" s="2" t="inlineStr"/>
    </row>
    <row r="327" ht="15" customHeight="1">
      <c r="A327" t="inlineStr">
        <is>
          <t>A 68840-2019</t>
        </is>
      </c>
      <c r="B327" s="1" t="n">
        <v>43819</v>
      </c>
      <c r="C327" s="1" t="n">
        <v>45359</v>
      </c>
      <c r="D327" t="inlineStr">
        <is>
          <t>JÄMTLANDS LÄN</t>
        </is>
      </c>
      <c r="E327" t="inlineStr">
        <is>
          <t>RAGUNDA</t>
        </is>
      </c>
      <c r="G327" t="n">
        <v>2.2</v>
      </c>
      <c r="H327" t="n">
        <v>0</v>
      </c>
      <c r="I327" t="n">
        <v>0</v>
      </c>
      <c r="J327" t="n">
        <v>0</v>
      </c>
      <c r="K327" t="n">
        <v>0</v>
      </c>
      <c r="L327" t="n">
        <v>0</v>
      </c>
      <c r="M327" t="n">
        <v>0</v>
      </c>
      <c r="N327" t="n">
        <v>0</v>
      </c>
      <c r="O327" t="n">
        <v>0</v>
      </c>
      <c r="P327" t="n">
        <v>0</v>
      </c>
      <c r="Q327" t="n">
        <v>0</v>
      </c>
      <c r="R327" s="2" t="inlineStr"/>
    </row>
    <row r="328" ht="15" customHeight="1">
      <c r="A328" t="inlineStr">
        <is>
          <t>A 1784-2020</t>
        </is>
      </c>
      <c r="B328" s="1" t="n">
        <v>43833</v>
      </c>
      <c r="C328" s="1" t="n">
        <v>45359</v>
      </c>
      <c r="D328" t="inlineStr">
        <is>
          <t>JÄMTLANDS LÄN</t>
        </is>
      </c>
      <c r="E328" t="inlineStr">
        <is>
          <t>RAGUNDA</t>
        </is>
      </c>
      <c r="G328" t="n">
        <v>15.5</v>
      </c>
      <c r="H328" t="n">
        <v>0</v>
      </c>
      <c r="I328" t="n">
        <v>0</v>
      </c>
      <c r="J328" t="n">
        <v>0</v>
      </c>
      <c r="K328" t="n">
        <v>0</v>
      </c>
      <c r="L328" t="n">
        <v>0</v>
      </c>
      <c r="M328" t="n">
        <v>0</v>
      </c>
      <c r="N328" t="n">
        <v>0</v>
      </c>
      <c r="O328" t="n">
        <v>0</v>
      </c>
      <c r="P328" t="n">
        <v>0</v>
      </c>
      <c r="Q328" t="n">
        <v>0</v>
      </c>
      <c r="R328" s="2" t="inlineStr"/>
    </row>
    <row r="329" ht="15" customHeight="1">
      <c r="A329" t="inlineStr">
        <is>
          <t>A 2636-2020</t>
        </is>
      </c>
      <c r="B329" s="1" t="n">
        <v>43847</v>
      </c>
      <c r="C329" s="1" t="n">
        <v>45359</v>
      </c>
      <c r="D329" t="inlineStr">
        <is>
          <t>JÄMTLANDS LÄN</t>
        </is>
      </c>
      <c r="E329" t="inlineStr">
        <is>
          <t>RAGUNDA</t>
        </is>
      </c>
      <c r="G329" t="n">
        <v>2.9</v>
      </c>
      <c r="H329" t="n">
        <v>0</v>
      </c>
      <c r="I329" t="n">
        <v>0</v>
      </c>
      <c r="J329" t="n">
        <v>0</v>
      </c>
      <c r="K329" t="n">
        <v>0</v>
      </c>
      <c r="L329" t="n">
        <v>0</v>
      </c>
      <c r="M329" t="n">
        <v>0</v>
      </c>
      <c r="N329" t="n">
        <v>0</v>
      </c>
      <c r="O329" t="n">
        <v>0</v>
      </c>
      <c r="P329" t="n">
        <v>0</v>
      </c>
      <c r="Q329" t="n">
        <v>0</v>
      </c>
      <c r="R329" s="2" t="inlineStr"/>
    </row>
    <row r="330" ht="15" customHeight="1">
      <c r="A330" t="inlineStr">
        <is>
          <t>A 2791-2020</t>
        </is>
      </c>
      <c r="B330" s="1" t="n">
        <v>43850</v>
      </c>
      <c r="C330" s="1" t="n">
        <v>45359</v>
      </c>
      <c r="D330" t="inlineStr">
        <is>
          <t>JÄMTLANDS LÄN</t>
        </is>
      </c>
      <c r="E330" t="inlineStr">
        <is>
          <t>RAGUNDA</t>
        </is>
      </c>
      <c r="G330" t="n">
        <v>1.1</v>
      </c>
      <c r="H330" t="n">
        <v>0</v>
      </c>
      <c r="I330" t="n">
        <v>0</v>
      </c>
      <c r="J330" t="n">
        <v>0</v>
      </c>
      <c r="K330" t="n">
        <v>0</v>
      </c>
      <c r="L330" t="n">
        <v>0</v>
      </c>
      <c r="M330" t="n">
        <v>0</v>
      </c>
      <c r="N330" t="n">
        <v>0</v>
      </c>
      <c r="O330" t="n">
        <v>0</v>
      </c>
      <c r="P330" t="n">
        <v>0</v>
      </c>
      <c r="Q330" t="n">
        <v>0</v>
      </c>
      <c r="R330" s="2" t="inlineStr"/>
    </row>
    <row r="331" ht="15" customHeight="1">
      <c r="A331" t="inlineStr">
        <is>
          <t>A 6051-2020</t>
        </is>
      </c>
      <c r="B331" s="1" t="n">
        <v>43861</v>
      </c>
      <c r="C331" s="1" t="n">
        <v>45359</v>
      </c>
      <c r="D331" t="inlineStr">
        <is>
          <t>JÄMTLANDS LÄN</t>
        </is>
      </c>
      <c r="E331" t="inlineStr">
        <is>
          <t>RAGUNDA</t>
        </is>
      </c>
      <c r="G331" t="n">
        <v>3.4</v>
      </c>
      <c r="H331" t="n">
        <v>0</v>
      </c>
      <c r="I331" t="n">
        <v>0</v>
      </c>
      <c r="J331" t="n">
        <v>0</v>
      </c>
      <c r="K331" t="n">
        <v>0</v>
      </c>
      <c r="L331" t="n">
        <v>0</v>
      </c>
      <c r="M331" t="n">
        <v>0</v>
      </c>
      <c r="N331" t="n">
        <v>0</v>
      </c>
      <c r="O331" t="n">
        <v>0</v>
      </c>
      <c r="P331" t="n">
        <v>0</v>
      </c>
      <c r="Q331" t="n">
        <v>0</v>
      </c>
      <c r="R331" s="2" t="inlineStr"/>
    </row>
    <row r="332" ht="15" customHeight="1">
      <c r="A332" t="inlineStr">
        <is>
          <t>A 7071-2020</t>
        </is>
      </c>
      <c r="B332" s="1" t="n">
        <v>43868</v>
      </c>
      <c r="C332" s="1" t="n">
        <v>45359</v>
      </c>
      <c r="D332" t="inlineStr">
        <is>
          <t>JÄMTLANDS LÄN</t>
        </is>
      </c>
      <c r="E332" t="inlineStr">
        <is>
          <t>RAGUNDA</t>
        </is>
      </c>
      <c r="G332" t="n">
        <v>2.1</v>
      </c>
      <c r="H332" t="n">
        <v>0</v>
      </c>
      <c r="I332" t="n">
        <v>0</v>
      </c>
      <c r="J332" t="n">
        <v>0</v>
      </c>
      <c r="K332" t="n">
        <v>0</v>
      </c>
      <c r="L332" t="n">
        <v>0</v>
      </c>
      <c r="M332" t="n">
        <v>0</v>
      </c>
      <c r="N332" t="n">
        <v>0</v>
      </c>
      <c r="O332" t="n">
        <v>0</v>
      </c>
      <c r="P332" t="n">
        <v>0</v>
      </c>
      <c r="Q332" t="n">
        <v>0</v>
      </c>
      <c r="R332" s="2" t="inlineStr"/>
    </row>
    <row r="333" ht="15" customHeight="1">
      <c r="A333" t="inlineStr">
        <is>
          <t>A 7720-2020</t>
        </is>
      </c>
      <c r="B333" s="1" t="n">
        <v>43872</v>
      </c>
      <c r="C333" s="1" t="n">
        <v>45359</v>
      </c>
      <c r="D333" t="inlineStr">
        <is>
          <t>JÄMTLANDS LÄN</t>
        </is>
      </c>
      <c r="E333" t="inlineStr">
        <is>
          <t>RAGUNDA</t>
        </is>
      </c>
      <c r="G333" t="n">
        <v>1.5</v>
      </c>
      <c r="H333" t="n">
        <v>0</v>
      </c>
      <c r="I333" t="n">
        <v>0</v>
      </c>
      <c r="J333" t="n">
        <v>0</v>
      </c>
      <c r="K333" t="n">
        <v>0</v>
      </c>
      <c r="L333" t="n">
        <v>0</v>
      </c>
      <c r="M333" t="n">
        <v>0</v>
      </c>
      <c r="N333" t="n">
        <v>0</v>
      </c>
      <c r="O333" t="n">
        <v>0</v>
      </c>
      <c r="P333" t="n">
        <v>0</v>
      </c>
      <c r="Q333" t="n">
        <v>0</v>
      </c>
      <c r="R333" s="2" t="inlineStr"/>
    </row>
    <row r="334" ht="15" customHeight="1">
      <c r="A334" t="inlineStr">
        <is>
          <t>A 8040-2020</t>
        </is>
      </c>
      <c r="B334" s="1" t="n">
        <v>43873</v>
      </c>
      <c r="C334" s="1" t="n">
        <v>45359</v>
      </c>
      <c r="D334" t="inlineStr">
        <is>
          <t>JÄMTLANDS LÄN</t>
        </is>
      </c>
      <c r="E334" t="inlineStr">
        <is>
          <t>RAGUNDA</t>
        </is>
      </c>
      <c r="G334" t="n">
        <v>14</v>
      </c>
      <c r="H334" t="n">
        <v>0</v>
      </c>
      <c r="I334" t="n">
        <v>0</v>
      </c>
      <c r="J334" t="n">
        <v>0</v>
      </c>
      <c r="K334" t="n">
        <v>0</v>
      </c>
      <c r="L334" t="n">
        <v>0</v>
      </c>
      <c r="M334" t="n">
        <v>0</v>
      </c>
      <c r="N334" t="n">
        <v>0</v>
      </c>
      <c r="O334" t="n">
        <v>0</v>
      </c>
      <c r="P334" t="n">
        <v>0</v>
      </c>
      <c r="Q334" t="n">
        <v>0</v>
      </c>
      <c r="R334" s="2" t="inlineStr"/>
    </row>
    <row r="335" ht="15" customHeight="1">
      <c r="A335" t="inlineStr">
        <is>
          <t>A 9527-2020</t>
        </is>
      </c>
      <c r="B335" s="1" t="n">
        <v>43880</v>
      </c>
      <c r="C335" s="1" t="n">
        <v>45359</v>
      </c>
      <c r="D335" t="inlineStr">
        <is>
          <t>JÄMTLANDS LÄN</t>
        </is>
      </c>
      <c r="E335" t="inlineStr">
        <is>
          <t>RAGUNDA</t>
        </is>
      </c>
      <c r="G335" t="n">
        <v>4.7</v>
      </c>
      <c r="H335" t="n">
        <v>0</v>
      </c>
      <c r="I335" t="n">
        <v>0</v>
      </c>
      <c r="J335" t="n">
        <v>0</v>
      </c>
      <c r="K335" t="n">
        <v>0</v>
      </c>
      <c r="L335" t="n">
        <v>0</v>
      </c>
      <c r="M335" t="n">
        <v>0</v>
      </c>
      <c r="N335" t="n">
        <v>0</v>
      </c>
      <c r="O335" t="n">
        <v>0</v>
      </c>
      <c r="P335" t="n">
        <v>0</v>
      </c>
      <c r="Q335" t="n">
        <v>0</v>
      </c>
      <c r="R335" s="2" t="inlineStr"/>
    </row>
    <row r="336" ht="15" customHeight="1">
      <c r="A336" t="inlineStr">
        <is>
          <t>A 9823-2020</t>
        </is>
      </c>
      <c r="B336" s="1" t="n">
        <v>43881</v>
      </c>
      <c r="C336" s="1" t="n">
        <v>45359</v>
      </c>
      <c r="D336" t="inlineStr">
        <is>
          <t>JÄMTLANDS LÄN</t>
        </is>
      </c>
      <c r="E336" t="inlineStr">
        <is>
          <t>RAGUNDA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9962-2020</t>
        </is>
      </c>
      <c r="B337" s="1" t="n">
        <v>43882</v>
      </c>
      <c r="C337" s="1" t="n">
        <v>45359</v>
      </c>
      <c r="D337" t="inlineStr">
        <is>
          <t>JÄMTLANDS LÄN</t>
        </is>
      </c>
      <c r="E337" t="inlineStr">
        <is>
          <t>RAGUNDA</t>
        </is>
      </c>
      <c r="G337" t="n">
        <v>1.2</v>
      </c>
      <c r="H337" t="n">
        <v>0</v>
      </c>
      <c r="I337" t="n">
        <v>0</v>
      </c>
      <c r="J337" t="n">
        <v>0</v>
      </c>
      <c r="K337" t="n">
        <v>0</v>
      </c>
      <c r="L337" t="n">
        <v>0</v>
      </c>
      <c r="M337" t="n">
        <v>0</v>
      </c>
      <c r="N337" t="n">
        <v>0</v>
      </c>
      <c r="O337" t="n">
        <v>0</v>
      </c>
      <c r="P337" t="n">
        <v>0</v>
      </c>
      <c r="Q337" t="n">
        <v>0</v>
      </c>
      <c r="R337" s="2" t="inlineStr"/>
    </row>
    <row r="338" ht="15" customHeight="1">
      <c r="A338" t="inlineStr">
        <is>
          <t>A 10642-2020</t>
        </is>
      </c>
      <c r="B338" s="1" t="n">
        <v>43887</v>
      </c>
      <c r="C338" s="1" t="n">
        <v>45359</v>
      </c>
      <c r="D338" t="inlineStr">
        <is>
          <t>JÄMTLANDS LÄN</t>
        </is>
      </c>
      <c r="E338" t="inlineStr">
        <is>
          <t>RAGUNDA</t>
        </is>
      </c>
      <c r="G338" t="n">
        <v>4.6</v>
      </c>
      <c r="H338" t="n">
        <v>0</v>
      </c>
      <c r="I338" t="n">
        <v>0</v>
      </c>
      <c r="J338" t="n">
        <v>0</v>
      </c>
      <c r="K338" t="n">
        <v>0</v>
      </c>
      <c r="L338" t="n">
        <v>0</v>
      </c>
      <c r="M338" t="n">
        <v>0</v>
      </c>
      <c r="N338" t="n">
        <v>0</v>
      </c>
      <c r="O338" t="n">
        <v>0</v>
      </c>
      <c r="P338" t="n">
        <v>0</v>
      </c>
      <c r="Q338" t="n">
        <v>0</v>
      </c>
      <c r="R338" s="2" t="inlineStr"/>
    </row>
    <row r="339" ht="15" customHeight="1">
      <c r="A339" t="inlineStr">
        <is>
          <t>A 12519-2020</t>
        </is>
      </c>
      <c r="B339" s="1" t="n">
        <v>43896</v>
      </c>
      <c r="C339" s="1" t="n">
        <v>45359</v>
      </c>
      <c r="D339" t="inlineStr">
        <is>
          <t>JÄMTLANDS LÄN</t>
        </is>
      </c>
      <c r="E339" t="inlineStr">
        <is>
          <t>RAGUNDA</t>
        </is>
      </c>
      <c r="F339" t="inlineStr">
        <is>
          <t>SCA</t>
        </is>
      </c>
      <c r="G339" t="n">
        <v>3.1</v>
      </c>
      <c r="H339" t="n">
        <v>0</v>
      </c>
      <c r="I339" t="n">
        <v>0</v>
      </c>
      <c r="J339" t="n">
        <v>0</v>
      </c>
      <c r="K339" t="n">
        <v>0</v>
      </c>
      <c r="L339" t="n">
        <v>0</v>
      </c>
      <c r="M339" t="n">
        <v>0</v>
      </c>
      <c r="N339" t="n">
        <v>0</v>
      </c>
      <c r="O339" t="n">
        <v>0</v>
      </c>
      <c r="P339" t="n">
        <v>0</v>
      </c>
      <c r="Q339" t="n">
        <v>0</v>
      </c>
      <c r="R339" s="2" t="inlineStr"/>
      <c r="U339">
        <f>HYPERLINK("https://klasma.github.io/Logging_2303/knärot/A 12519-2020 karta knärot.png", "A 12519-2020")</f>
        <v/>
      </c>
      <c r="V339">
        <f>HYPERLINK("https://klasma.github.io/Logging_2303/klagomål/A 12519-2020 FSC-klagomål.docx", "A 12519-2020")</f>
        <v/>
      </c>
      <c r="W339">
        <f>HYPERLINK("https://klasma.github.io/Logging_2303/klagomålsmail/A 12519-2020 FSC-klagomål mail.docx", "A 12519-2020")</f>
        <v/>
      </c>
      <c r="X339">
        <f>HYPERLINK("https://klasma.github.io/Logging_2303/tillsyn/A 12519-2020 tillsynsbegäran.docx", "A 12519-2020")</f>
        <v/>
      </c>
      <c r="Y339">
        <f>HYPERLINK("https://klasma.github.io/Logging_2303/tillsynsmail/A 12519-2020 tillsynsbegäran mail.docx", "A 12519-2020")</f>
        <v/>
      </c>
    </row>
    <row r="340" ht="15" customHeight="1">
      <c r="A340" t="inlineStr">
        <is>
          <t>A 13057-2020</t>
        </is>
      </c>
      <c r="B340" s="1" t="n">
        <v>43900</v>
      </c>
      <c r="C340" s="1" t="n">
        <v>45359</v>
      </c>
      <c r="D340" t="inlineStr">
        <is>
          <t>JÄMTLANDS LÄN</t>
        </is>
      </c>
      <c r="E340" t="inlineStr">
        <is>
          <t>RAGUNDA</t>
        </is>
      </c>
      <c r="G340" t="n">
        <v>10.8</v>
      </c>
      <c r="H340" t="n">
        <v>0</v>
      </c>
      <c r="I340" t="n">
        <v>0</v>
      </c>
      <c r="J340" t="n">
        <v>0</v>
      </c>
      <c r="K340" t="n">
        <v>0</v>
      </c>
      <c r="L340" t="n">
        <v>0</v>
      </c>
      <c r="M340" t="n">
        <v>0</v>
      </c>
      <c r="N340" t="n">
        <v>0</v>
      </c>
      <c r="O340" t="n">
        <v>0</v>
      </c>
      <c r="P340" t="n">
        <v>0</v>
      </c>
      <c r="Q340" t="n">
        <v>0</v>
      </c>
      <c r="R340" s="2" t="inlineStr"/>
    </row>
    <row r="341" ht="15" customHeight="1">
      <c r="A341" t="inlineStr">
        <is>
          <t>A 13202-2020</t>
        </is>
      </c>
      <c r="B341" s="1" t="n">
        <v>43901</v>
      </c>
      <c r="C341" s="1" t="n">
        <v>45359</v>
      </c>
      <c r="D341" t="inlineStr">
        <is>
          <t>JÄMTLANDS LÄN</t>
        </is>
      </c>
      <c r="E341" t="inlineStr">
        <is>
          <t>RAGUNDA</t>
        </is>
      </c>
      <c r="G341" t="n">
        <v>6.9</v>
      </c>
      <c r="H341" t="n">
        <v>0</v>
      </c>
      <c r="I341" t="n">
        <v>0</v>
      </c>
      <c r="J341" t="n">
        <v>0</v>
      </c>
      <c r="K341" t="n">
        <v>0</v>
      </c>
      <c r="L341" t="n">
        <v>0</v>
      </c>
      <c r="M341" t="n">
        <v>0</v>
      </c>
      <c r="N341" t="n">
        <v>0</v>
      </c>
      <c r="O341" t="n">
        <v>0</v>
      </c>
      <c r="P341" t="n">
        <v>0</v>
      </c>
      <c r="Q341" t="n">
        <v>0</v>
      </c>
      <c r="R341" s="2" t="inlineStr"/>
    </row>
    <row r="342" ht="15" customHeight="1">
      <c r="A342" t="inlineStr">
        <is>
          <t>A 13563-2020</t>
        </is>
      </c>
      <c r="B342" s="1" t="n">
        <v>43902</v>
      </c>
      <c r="C342" s="1" t="n">
        <v>45359</v>
      </c>
      <c r="D342" t="inlineStr">
        <is>
          <t>JÄMTLANDS LÄN</t>
        </is>
      </c>
      <c r="E342" t="inlineStr">
        <is>
          <t>RAGUNDA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14293-2020</t>
        </is>
      </c>
      <c r="B343" s="1" t="n">
        <v>43907</v>
      </c>
      <c r="C343" s="1" t="n">
        <v>45359</v>
      </c>
      <c r="D343" t="inlineStr">
        <is>
          <t>JÄMTLANDS LÄN</t>
        </is>
      </c>
      <c r="E343" t="inlineStr">
        <is>
          <t>RAGUNDA</t>
        </is>
      </c>
      <c r="G343" t="n">
        <v>2.7</v>
      </c>
      <c r="H343" t="n">
        <v>0</v>
      </c>
      <c r="I343" t="n">
        <v>0</v>
      </c>
      <c r="J343" t="n">
        <v>0</v>
      </c>
      <c r="K343" t="n">
        <v>0</v>
      </c>
      <c r="L343" t="n">
        <v>0</v>
      </c>
      <c r="M343" t="n">
        <v>0</v>
      </c>
      <c r="N343" t="n">
        <v>0</v>
      </c>
      <c r="O343" t="n">
        <v>0</v>
      </c>
      <c r="P343" t="n">
        <v>0</v>
      </c>
      <c r="Q343" t="n">
        <v>0</v>
      </c>
      <c r="R343" s="2" t="inlineStr"/>
    </row>
    <row r="344" ht="15" customHeight="1">
      <c r="A344" t="inlineStr">
        <is>
          <t>A 15117-2020</t>
        </is>
      </c>
      <c r="B344" s="1" t="n">
        <v>43910</v>
      </c>
      <c r="C344" s="1" t="n">
        <v>45359</v>
      </c>
      <c r="D344" t="inlineStr">
        <is>
          <t>JÄMTLANDS LÄN</t>
        </is>
      </c>
      <c r="E344" t="inlineStr">
        <is>
          <t>RAGUNDA</t>
        </is>
      </c>
      <c r="G344" t="n">
        <v>0.6</v>
      </c>
      <c r="H344" t="n">
        <v>0</v>
      </c>
      <c r="I344" t="n">
        <v>0</v>
      </c>
      <c r="J344" t="n">
        <v>0</v>
      </c>
      <c r="K344" t="n">
        <v>0</v>
      </c>
      <c r="L344" t="n">
        <v>0</v>
      </c>
      <c r="M344" t="n">
        <v>0</v>
      </c>
      <c r="N344" t="n">
        <v>0</v>
      </c>
      <c r="O344" t="n">
        <v>0</v>
      </c>
      <c r="P344" t="n">
        <v>0</v>
      </c>
      <c r="Q344" t="n">
        <v>0</v>
      </c>
      <c r="R344" s="2" t="inlineStr"/>
    </row>
    <row r="345" ht="15" customHeight="1">
      <c r="A345" t="inlineStr">
        <is>
          <t>A 15118-2020</t>
        </is>
      </c>
      <c r="B345" s="1" t="n">
        <v>43910</v>
      </c>
      <c r="C345" s="1" t="n">
        <v>45359</v>
      </c>
      <c r="D345" t="inlineStr">
        <is>
          <t>JÄMTLANDS LÄN</t>
        </is>
      </c>
      <c r="E345" t="inlineStr">
        <is>
          <t>RAGUNDA</t>
        </is>
      </c>
      <c r="G345" t="n">
        <v>2.7</v>
      </c>
      <c r="H345" t="n">
        <v>0</v>
      </c>
      <c r="I345" t="n">
        <v>0</v>
      </c>
      <c r="J345" t="n">
        <v>0</v>
      </c>
      <c r="K345" t="n">
        <v>0</v>
      </c>
      <c r="L345" t="n">
        <v>0</v>
      </c>
      <c r="M345" t="n">
        <v>0</v>
      </c>
      <c r="N345" t="n">
        <v>0</v>
      </c>
      <c r="O345" t="n">
        <v>0</v>
      </c>
      <c r="P345" t="n">
        <v>0</v>
      </c>
      <c r="Q345" t="n">
        <v>0</v>
      </c>
      <c r="R345" s="2" t="inlineStr"/>
    </row>
    <row r="346" ht="15" customHeight="1">
      <c r="A346" t="inlineStr">
        <is>
          <t>A 15345-2020</t>
        </is>
      </c>
      <c r="B346" s="1" t="n">
        <v>43913</v>
      </c>
      <c r="C346" s="1" t="n">
        <v>45359</v>
      </c>
      <c r="D346" t="inlineStr">
        <is>
          <t>JÄMTLANDS LÄN</t>
        </is>
      </c>
      <c r="E346" t="inlineStr">
        <is>
          <t>RAGUNDA</t>
        </is>
      </c>
      <c r="G346" t="n">
        <v>1.9</v>
      </c>
      <c r="H346" t="n">
        <v>0</v>
      </c>
      <c r="I346" t="n">
        <v>0</v>
      </c>
      <c r="J346" t="n">
        <v>0</v>
      </c>
      <c r="K346" t="n">
        <v>0</v>
      </c>
      <c r="L346" t="n">
        <v>0</v>
      </c>
      <c r="M346" t="n">
        <v>0</v>
      </c>
      <c r="N346" t="n">
        <v>0</v>
      </c>
      <c r="O346" t="n">
        <v>0</v>
      </c>
      <c r="P346" t="n">
        <v>0</v>
      </c>
      <c r="Q346" t="n">
        <v>0</v>
      </c>
      <c r="R346" s="2" t="inlineStr"/>
    </row>
    <row r="347" ht="15" customHeight="1">
      <c r="A347" t="inlineStr">
        <is>
          <t>A 16044-2020</t>
        </is>
      </c>
      <c r="B347" s="1" t="n">
        <v>43916</v>
      </c>
      <c r="C347" s="1" t="n">
        <v>45359</v>
      </c>
      <c r="D347" t="inlineStr">
        <is>
          <t>JÄMTLANDS LÄN</t>
        </is>
      </c>
      <c r="E347" t="inlineStr">
        <is>
          <t>RAGUNDA</t>
        </is>
      </c>
      <c r="G347" t="n">
        <v>7.6</v>
      </c>
      <c r="H347" t="n">
        <v>0</v>
      </c>
      <c r="I347" t="n">
        <v>0</v>
      </c>
      <c r="J347" t="n">
        <v>0</v>
      </c>
      <c r="K347" t="n">
        <v>0</v>
      </c>
      <c r="L347" t="n">
        <v>0</v>
      </c>
      <c r="M347" t="n">
        <v>0</v>
      </c>
      <c r="N347" t="n">
        <v>0</v>
      </c>
      <c r="O347" t="n">
        <v>0</v>
      </c>
      <c r="P347" t="n">
        <v>0</v>
      </c>
      <c r="Q347" t="n">
        <v>0</v>
      </c>
      <c r="R347" s="2" t="inlineStr"/>
    </row>
    <row r="348" ht="15" customHeight="1">
      <c r="A348" t="inlineStr">
        <is>
          <t>A 17845-2020</t>
        </is>
      </c>
      <c r="B348" s="1" t="n">
        <v>43923</v>
      </c>
      <c r="C348" s="1" t="n">
        <v>45359</v>
      </c>
      <c r="D348" t="inlineStr">
        <is>
          <t>JÄMTLANDS LÄN</t>
        </is>
      </c>
      <c r="E348" t="inlineStr">
        <is>
          <t>RAGUNDA</t>
        </is>
      </c>
      <c r="G348" t="n">
        <v>12.1</v>
      </c>
      <c r="H348" t="n">
        <v>0</v>
      </c>
      <c r="I348" t="n">
        <v>0</v>
      </c>
      <c r="J348" t="n">
        <v>0</v>
      </c>
      <c r="K348" t="n">
        <v>0</v>
      </c>
      <c r="L348" t="n">
        <v>0</v>
      </c>
      <c r="M348" t="n">
        <v>0</v>
      </c>
      <c r="N348" t="n">
        <v>0</v>
      </c>
      <c r="O348" t="n">
        <v>0</v>
      </c>
      <c r="P348" t="n">
        <v>0</v>
      </c>
      <c r="Q348" t="n">
        <v>0</v>
      </c>
      <c r="R348" s="2" t="inlineStr"/>
    </row>
    <row r="349" ht="15" customHeight="1">
      <c r="A349" t="inlineStr">
        <is>
          <t>A 19918-2020</t>
        </is>
      </c>
      <c r="B349" s="1" t="n">
        <v>43943</v>
      </c>
      <c r="C349" s="1" t="n">
        <v>45359</v>
      </c>
      <c r="D349" t="inlineStr">
        <is>
          <t>JÄMTLANDS LÄN</t>
        </is>
      </c>
      <c r="E349" t="inlineStr">
        <is>
          <t>RAGUNDA</t>
        </is>
      </c>
      <c r="G349" t="n">
        <v>6.2</v>
      </c>
      <c r="H349" t="n">
        <v>0</v>
      </c>
      <c r="I349" t="n">
        <v>0</v>
      </c>
      <c r="J349" t="n">
        <v>0</v>
      </c>
      <c r="K349" t="n">
        <v>0</v>
      </c>
      <c r="L349" t="n">
        <v>0</v>
      </c>
      <c r="M349" t="n">
        <v>0</v>
      </c>
      <c r="N349" t="n">
        <v>0</v>
      </c>
      <c r="O349" t="n">
        <v>0</v>
      </c>
      <c r="P349" t="n">
        <v>0</v>
      </c>
      <c r="Q349" t="n">
        <v>0</v>
      </c>
      <c r="R349" s="2" t="inlineStr"/>
    </row>
    <row r="350" ht="15" customHeight="1">
      <c r="A350" t="inlineStr">
        <is>
          <t>A 20616-2020</t>
        </is>
      </c>
      <c r="B350" s="1" t="n">
        <v>43948</v>
      </c>
      <c r="C350" s="1" t="n">
        <v>45359</v>
      </c>
      <c r="D350" t="inlineStr">
        <is>
          <t>JÄMTLANDS LÄN</t>
        </is>
      </c>
      <c r="E350" t="inlineStr">
        <is>
          <t>RAGUNDA</t>
        </is>
      </c>
      <c r="G350" t="n">
        <v>4.1</v>
      </c>
      <c r="H350" t="n">
        <v>0</v>
      </c>
      <c r="I350" t="n">
        <v>0</v>
      </c>
      <c r="J350" t="n">
        <v>0</v>
      </c>
      <c r="K350" t="n">
        <v>0</v>
      </c>
      <c r="L350" t="n">
        <v>0</v>
      </c>
      <c r="M350" t="n">
        <v>0</v>
      </c>
      <c r="N350" t="n">
        <v>0</v>
      </c>
      <c r="O350" t="n">
        <v>0</v>
      </c>
      <c r="P350" t="n">
        <v>0</v>
      </c>
      <c r="Q350" t="n">
        <v>0</v>
      </c>
      <c r="R350" s="2" t="inlineStr"/>
    </row>
    <row r="351" ht="15" customHeight="1">
      <c r="A351" t="inlineStr">
        <is>
          <t>A 20815-2020</t>
        </is>
      </c>
      <c r="B351" s="1" t="n">
        <v>43949</v>
      </c>
      <c r="C351" s="1" t="n">
        <v>45359</v>
      </c>
      <c r="D351" t="inlineStr">
        <is>
          <t>JÄMTLANDS LÄN</t>
        </is>
      </c>
      <c r="E351" t="inlineStr">
        <is>
          <t>RAGUNDA</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21172-2020</t>
        </is>
      </c>
      <c r="B352" s="1" t="n">
        <v>43951</v>
      </c>
      <c r="C352" s="1" t="n">
        <v>45359</v>
      </c>
      <c r="D352" t="inlineStr">
        <is>
          <t>JÄMTLANDS LÄN</t>
        </is>
      </c>
      <c r="E352" t="inlineStr">
        <is>
          <t>RAGUNDA</t>
        </is>
      </c>
      <c r="G352" t="n">
        <v>3.6</v>
      </c>
      <c r="H352" t="n">
        <v>0</v>
      </c>
      <c r="I352" t="n">
        <v>0</v>
      </c>
      <c r="J352" t="n">
        <v>0</v>
      </c>
      <c r="K352" t="n">
        <v>0</v>
      </c>
      <c r="L352" t="n">
        <v>0</v>
      </c>
      <c r="M352" t="n">
        <v>0</v>
      </c>
      <c r="N352" t="n">
        <v>0</v>
      </c>
      <c r="O352" t="n">
        <v>0</v>
      </c>
      <c r="P352" t="n">
        <v>0</v>
      </c>
      <c r="Q352" t="n">
        <v>0</v>
      </c>
      <c r="R352" s="2" t="inlineStr"/>
    </row>
    <row r="353" ht="15" customHeight="1">
      <c r="A353" t="inlineStr">
        <is>
          <t>A 21419-2020</t>
        </is>
      </c>
      <c r="B353" s="1" t="n">
        <v>43955</v>
      </c>
      <c r="C353" s="1" t="n">
        <v>45359</v>
      </c>
      <c r="D353" t="inlineStr">
        <is>
          <t>JÄMTLANDS LÄN</t>
        </is>
      </c>
      <c r="E353" t="inlineStr">
        <is>
          <t>RAGUNDA</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21418-2020</t>
        </is>
      </c>
      <c r="B354" s="1" t="n">
        <v>43955</v>
      </c>
      <c r="C354" s="1" t="n">
        <v>45359</v>
      </c>
      <c r="D354" t="inlineStr">
        <is>
          <t>JÄMTLANDS LÄN</t>
        </is>
      </c>
      <c r="E354" t="inlineStr">
        <is>
          <t>RAGUNDA</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21420-2020</t>
        </is>
      </c>
      <c r="B355" s="1" t="n">
        <v>43955</v>
      </c>
      <c r="C355" s="1" t="n">
        <v>45359</v>
      </c>
      <c r="D355" t="inlineStr">
        <is>
          <t>JÄMTLANDS LÄN</t>
        </is>
      </c>
      <c r="E355" t="inlineStr">
        <is>
          <t>RAGUNDA</t>
        </is>
      </c>
      <c r="F355" t="inlineStr">
        <is>
          <t>SCA</t>
        </is>
      </c>
      <c r="G355" t="n">
        <v>3.3</v>
      </c>
      <c r="H355" t="n">
        <v>0</v>
      </c>
      <c r="I355" t="n">
        <v>0</v>
      </c>
      <c r="J355" t="n">
        <v>0</v>
      </c>
      <c r="K355" t="n">
        <v>0</v>
      </c>
      <c r="L355" t="n">
        <v>0</v>
      </c>
      <c r="M355" t="n">
        <v>0</v>
      </c>
      <c r="N355" t="n">
        <v>0</v>
      </c>
      <c r="O355" t="n">
        <v>0</v>
      </c>
      <c r="P355" t="n">
        <v>0</v>
      </c>
      <c r="Q355" t="n">
        <v>0</v>
      </c>
      <c r="R355" s="2" t="inlineStr"/>
    </row>
    <row r="356" ht="15" customHeight="1">
      <c r="A356" t="inlineStr">
        <is>
          <t>A 21416-2020</t>
        </is>
      </c>
      <c r="B356" s="1" t="n">
        <v>43955</v>
      </c>
      <c r="C356" s="1" t="n">
        <v>45359</v>
      </c>
      <c r="D356" t="inlineStr">
        <is>
          <t>JÄMTLANDS LÄN</t>
        </is>
      </c>
      <c r="E356" t="inlineStr">
        <is>
          <t>RAGUNDA</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21593-2020</t>
        </is>
      </c>
      <c r="B357" s="1" t="n">
        <v>43956</v>
      </c>
      <c r="C357" s="1" t="n">
        <v>45359</v>
      </c>
      <c r="D357" t="inlineStr">
        <is>
          <t>JÄMTLANDS LÄN</t>
        </is>
      </c>
      <c r="E357" t="inlineStr">
        <is>
          <t>RAGUNDA</t>
        </is>
      </c>
      <c r="F357" t="inlineStr">
        <is>
          <t>SCA</t>
        </is>
      </c>
      <c r="G357" t="n">
        <v>5.9</v>
      </c>
      <c r="H357" t="n">
        <v>0</v>
      </c>
      <c r="I357" t="n">
        <v>0</v>
      </c>
      <c r="J357" t="n">
        <v>0</v>
      </c>
      <c r="K357" t="n">
        <v>0</v>
      </c>
      <c r="L357" t="n">
        <v>0</v>
      </c>
      <c r="M357" t="n">
        <v>0</v>
      </c>
      <c r="N357" t="n">
        <v>0</v>
      </c>
      <c r="O357" t="n">
        <v>0</v>
      </c>
      <c r="P357" t="n">
        <v>0</v>
      </c>
      <c r="Q357" t="n">
        <v>0</v>
      </c>
      <c r="R357" s="2" t="inlineStr"/>
    </row>
    <row r="358" ht="15" customHeight="1">
      <c r="A358" t="inlineStr">
        <is>
          <t>A 21681-2020</t>
        </is>
      </c>
      <c r="B358" s="1" t="n">
        <v>43957</v>
      </c>
      <c r="C358" s="1" t="n">
        <v>45359</v>
      </c>
      <c r="D358" t="inlineStr">
        <is>
          <t>JÄMTLANDS LÄN</t>
        </is>
      </c>
      <c r="E358" t="inlineStr">
        <is>
          <t>RAGUNDA</t>
        </is>
      </c>
      <c r="G358" t="n">
        <v>0.8</v>
      </c>
      <c r="H358" t="n">
        <v>0</v>
      </c>
      <c r="I358" t="n">
        <v>0</v>
      </c>
      <c r="J358" t="n">
        <v>0</v>
      </c>
      <c r="K358" t="n">
        <v>0</v>
      </c>
      <c r="L358" t="n">
        <v>0</v>
      </c>
      <c r="M358" t="n">
        <v>0</v>
      </c>
      <c r="N358" t="n">
        <v>0</v>
      </c>
      <c r="O358" t="n">
        <v>0</v>
      </c>
      <c r="P358" t="n">
        <v>0</v>
      </c>
      <c r="Q358" t="n">
        <v>0</v>
      </c>
      <c r="R358" s="2" t="inlineStr"/>
    </row>
    <row r="359" ht="15" customHeight="1">
      <c r="A359" t="inlineStr">
        <is>
          <t>A 22108-2020</t>
        </is>
      </c>
      <c r="B359" s="1" t="n">
        <v>43960</v>
      </c>
      <c r="C359" s="1" t="n">
        <v>45359</v>
      </c>
      <c r="D359" t="inlineStr">
        <is>
          <t>JÄMTLANDS LÄN</t>
        </is>
      </c>
      <c r="E359" t="inlineStr">
        <is>
          <t>RAGUNDA</t>
        </is>
      </c>
      <c r="F359" t="inlineStr">
        <is>
          <t>SCA</t>
        </is>
      </c>
      <c r="G359" t="n">
        <v>6.2</v>
      </c>
      <c r="H359" t="n">
        <v>0</v>
      </c>
      <c r="I359" t="n">
        <v>0</v>
      </c>
      <c r="J359" t="n">
        <v>0</v>
      </c>
      <c r="K359" t="n">
        <v>0</v>
      </c>
      <c r="L359" t="n">
        <v>0</v>
      </c>
      <c r="M359" t="n">
        <v>0</v>
      </c>
      <c r="N359" t="n">
        <v>0</v>
      </c>
      <c r="O359" t="n">
        <v>0</v>
      </c>
      <c r="P359" t="n">
        <v>0</v>
      </c>
      <c r="Q359" t="n">
        <v>0</v>
      </c>
      <c r="R359" s="2" t="inlineStr"/>
    </row>
    <row r="360" ht="15" customHeight="1">
      <c r="A360" t="inlineStr">
        <is>
          <t>A 22115-2020</t>
        </is>
      </c>
      <c r="B360" s="1" t="n">
        <v>43960</v>
      </c>
      <c r="C360" s="1" t="n">
        <v>45359</v>
      </c>
      <c r="D360" t="inlineStr">
        <is>
          <t>JÄMTLANDS LÄN</t>
        </is>
      </c>
      <c r="E360" t="inlineStr">
        <is>
          <t>RAGUNDA</t>
        </is>
      </c>
      <c r="F360" t="inlineStr">
        <is>
          <t>SCA</t>
        </is>
      </c>
      <c r="G360" t="n">
        <v>8.6</v>
      </c>
      <c r="H360" t="n">
        <v>0</v>
      </c>
      <c r="I360" t="n">
        <v>0</v>
      </c>
      <c r="J360" t="n">
        <v>0</v>
      </c>
      <c r="K360" t="n">
        <v>0</v>
      </c>
      <c r="L360" t="n">
        <v>0</v>
      </c>
      <c r="M360" t="n">
        <v>0</v>
      </c>
      <c r="N360" t="n">
        <v>0</v>
      </c>
      <c r="O360" t="n">
        <v>0</v>
      </c>
      <c r="P360" t="n">
        <v>0</v>
      </c>
      <c r="Q360" t="n">
        <v>0</v>
      </c>
      <c r="R360" s="2" t="inlineStr"/>
    </row>
    <row r="361" ht="15" customHeight="1">
      <c r="A361" t="inlineStr">
        <is>
          <t>A 22948-2020</t>
        </is>
      </c>
      <c r="B361" s="1" t="n">
        <v>43965</v>
      </c>
      <c r="C361" s="1" t="n">
        <v>45359</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23633-2020</t>
        </is>
      </c>
      <c r="B362" s="1" t="n">
        <v>43969</v>
      </c>
      <c r="C362" s="1" t="n">
        <v>45359</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24033-2020</t>
        </is>
      </c>
      <c r="B363" s="1" t="n">
        <v>43971</v>
      </c>
      <c r="C363" s="1" t="n">
        <v>45359</v>
      </c>
      <c r="D363" t="inlineStr">
        <is>
          <t>JÄMTLANDS LÄN</t>
        </is>
      </c>
      <c r="E363" t="inlineStr">
        <is>
          <t>RAGUNDA</t>
        </is>
      </c>
      <c r="G363" t="n">
        <v>3.9</v>
      </c>
      <c r="H363" t="n">
        <v>0</v>
      </c>
      <c r="I363" t="n">
        <v>0</v>
      </c>
      <c r="J363" t="n">
        <v>0</v>
      </c>
      <c r="K363" t="n">
        <v>0</v>
      </c>
      <c r="L363" t="n">
        <v>0</v>
      </c>
      <c r="M363" t="n">
        <v>0</v>
      </c>
      <c r="N363" t="n">
        <v>0</v>
      </c>
      <c r="O363" t="n">
        <v>0</v>
      </c>
      <c r="P363" t="n">
        <v>0</v>
      </c>
      <c r="Q363" t="n">
        <v>0</v>
      </c>
      <c r="R363" s="2" t="inlineStr"/>
    </row>
    <row r="364" ht="15" customHeight="1">
      <c r="A364" t="inlineStr">
        <is>
          <t>A 24032-2020</t>
        </is>
      </c>
      <c r="B364" s="1" t="n">
        <v>43971</v>
      </c>
      <c r="C364" s="1" t="n">
        <v>45359</v>
      </c>
      <c r="D364" t="inlineStr">
        <is>
          <t>JÄMTLANDS LÄN</t>
        </is>
      </c>
      <c r="E364" t="inlineStr">
        <is>
          <t>RAGUNDA</t>
        </is>
      </c>
      <c r="G364" t="n">
        <v>6.9</v>
      </c>
      <c r="H364" t="n">
        <v>0</v>
      </c>
      <c r="I364" t="n">
        <v>0</v>
      </c>
      <c r="J364" t="n">
        <v>0</v>
      </c>
      <c r="K364" t="n">
        <v>0</v>
      </c>
      <c r="L364" t="n">
        <v>0</v>
      </c>
      <c r="M364" t="n">
        <v>0</v>
      </c>
      <c r="N364" t="n">
        <v>0</v>
      </c>
      <c r="O364" t="n">
        <v>0</v>
      </c>
      <c r="P364" t="n">
        <v>0</v>
      </c>
      <c r="Q364" t="n">
        <v>0</v>
      </c>
      <c r="R364" s="2" t="inlineStr"/>
    </row>
    <row r="365" ht="15" customHeight="1">
      <c r="A365" t="inlineStr">
        <is>
          <t>A 24640-2020</t>
        </is>
      </c>
      <c r="B365" s="1" t="n">
        <v>43977</v>
      </c>
      <c r="C365" s="1" t="n">
        <v>45359</v>
      </c>
      <c r="D365" t="inlineStr">
        <is>
          <t>JÄMTLANDS LÄN</t>
        </is>
      </c>
      <c r="E365" t="inlineStr">
        <is>
          <t>RAGUNDA</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25115-2020</t>
        </is>
      </c>
      <c r="B366" s="1" t="n">
        <v>43979</v>
      </c>
      <c r="C366" s="1" t="n">
        <v>45359</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25927-2020</t>
        </is>
      </c>
      <c r="B367" s="1" t="n">
        <v>43984</v>
      </c>
      <c r="C367" s="1" t="n">
        <v>45359</v>
      </c>
      <c r="D367" t="inlineStr">
        <is>
          <t>JÄMTLANDS LÄN</t>
        </is>
      </c>
      <c r="E367" t="inlineStr">
        <is>
          <t>RAGUNDA</t>
        </is>
      </c>
      <c r="F367" t="inlineStr">
        <is>
          <t>SCA</t>
        </is>
      </c>
      <c r="G367" t="n">
        <v>0.3</v>
      </c>
      <c r="H367" t="n">
        <v>0</v>
      </c>
      <c r="I367" t="n">
        <v>0</v>
      </c>
      <c r="J367" t="n">
        <v>0</v>
      </c>
      <c r="K367" t="n">
        <v>0</v>
      </c>
      <c r="L367" t="n">
        <v>0</v>
      </c>
      <c r="M367" t="n">
        <v>0</v>
      </c>
      <c r="N367" t="n">
        <v>0</v>
      </c>
      <c r="O367" t="n">
        <v>0</v>
      </c>
      <c r="P367" t="n">
        <v>0</v>
      </c>
      <c r="Q367" t="n">
        <v>0</v>
      </c>
      <c r="R367" s="2" t="inlineStr"/>
    </row>
    <row r="368" ht="15" customHeight="1">
      <c r="A368" t="inlineStr">
        <is>
          <t>A 25934-2020</t>
        </is>
      </c>
      <c r="B368" s="1" t="n">
        <v>43984</v>
      </c>
      <c r="C368" s="1" t="n">
        <v>45359</v>
      </c>
      <c r="D368" t="inlineStr">
        <is>
          <t>JÄMTLANDS LÄN</t>
        </is>
      </c>
      <c r="E368" t="inlineStr">
        <is>
          <t>RAGUNDA</t>
        </is>
      </c>
      <c r="F368" t="inlineStr">
        <is>
          <t>SCA</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26264-2020</t>
        </is>
      </c>
      <c r="B369" s="1" t="n">
        <v>43986</v>
      </c>
      <c r="C369" s="1" t="n">
        <v>45359</v>
      </c>
      <c r="D369" t="inlineStr">
        <is>
          <t>JÄMTLANDS LÄN</t>
        </is>
      </c>
      <c r="E369" t="inlineStr">
        <is>
          <t>RAGUNDA</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26262-2020</t>
        </is>
      </c>
      <c r="B370" s="1" t="n">
        <v>43986</v>
      </c>
      <c r="C370" s="1" t="n">
        <v>45359</v>
      </c>
      <c r="D370" t="inlineStr">
        <is>
          <t>JÄMTLANDS LÄN</t>
        </is>
      </c>
      <c r="E370" t="inlineStr">
        <is>
          <t>RAGUNDA</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26966-2020</t>
        </is>
      </c>
      <c r="B371" s="1" t="n">
        <v>43990</v>
      </c>
      <c r="C371" s="1" t="n">
        <v>45359</v>
      </c>
      <c r="D371" t="inlineStr">
        <is>
          <t>JÄMTLANDS LÄN</t>
        </is>
      </c>
      <c r="E371" t="inlineStr">
        <is>
          <t>RAGUNDA</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27366-2020</t>
        </is>
      </c>
      <c r="B372" s="1" t="n">
        <v>43992</v>
      </c>
      <c r="C372" s="1" t="n">
        <v>45359</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28776-2020</t>
        </is>
      </c>
      <c r="B373" s="1" t="n">
        <v>43999</v>
      </c>
      <c r="C373" s="1" t="n">
        <v>45359</v>
      </c>
      <c r="D373" t="inlineStr">
        <is>
          <t>JÄMTLANDS LÄN</t>
        </is>
      </c>
      <c r="E373" t="inlineStr">
        <is>
          <t>RAGUNDA</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29382-2020</t>
        </is>
      </c>
      <c r="B374" s="1" t="n">
        <v>44000</v>
      </c>
      <c r="C374" s="1" t="n">
        <v>45359</v>
      </c>
      <c r="D374" t="inlineStr">
        <is>
          <t>JÄMTLANDS LÄN</t>
        </is>
      </c>
      <c r="E374" t="inlineStr">
        <is>
          <t>RAGUNDA</t>
        </is>
      </c>
      <c r="G374" t="n">
        <v>46.1</v>
      </c>
      <c r="H374" t="n">
        <v>0</v>
      </c>
      <c r="I374" t="n">
        <v>0</v>
      </c>
      <c r="J374" t="n">
        <v>0</v>
      </c>
      <c r="K374" t="n">
        <v>0</v>
      </c>
      <c r="L374" t="n">
        <v>0</v>
      </c>
      <c r="M374" t="n">
        <v>0</v>
      </c>
      <c r="N374" t="n">
        <v>0</v>
      </c>
      <c r="O374" t="n">
        <v>0</v>
      </c>
      <c r="P374" t="n">
        <v>0</v>
      </c>
      <c r="Q374" t="n">
        <v>0</v>
      </c>
      <c r="R374" s="2" t="inlineStr"/>
    </row>
    <row r="375" ht="15" customHeight="1">
      <c r="A375" t="inlineStr">
        <is>
          <t>A 29499-2020</t>
        </is>
      </c>
      <c r="B375" s="1" t="n">
        <v>44004</v>
      </c>
      <c r="C375" s="1" t="n">
        <v>45359</v>
      </c>
      <c r="D375" t="inlineStr">
        <is>
          <t>JÄMTLANDS LÄN</t>
        </is>
      </c>
      <c r="E375" t="inlineStr">
        <is>
          <t>RAGUNDA</t>
        </is>
      </c>
      <c r="F375" t="inlineStr">
        <is>
          <t>SCA</t>
        </is>
      </c>
      <c r="G375" t="n">
        <v>0.3</v>
      </c>
      <c r="H375" t="n">
        <v>0</v>
      </c>
      <c r="I375" t="n">
        <v>0</v>
      </c>
      <c r="J375" t="n">
        <v>0</v>
      </c>
      <c r="K375" t="n">
        <v>0</v>
      </c>
      <c r="L375" t="n">
        <v>0</v>
      </c>
      <c r="M375" t="n">
        <v>0</v>
      </c>
      <c r="N375" t="n">
        <v>0</v>
      </c>
      <c r="O375" t="n">
        <v>0</v>
      </c>
      <c r="P375" t="n">
        <v>0</v>
      </c>
      <c r="Q375" t="n">
        <v>0</v>
      </c>
      <c r="R375" s="2" t="inlineStr"/>
    </row>
    <row r="376" ht="15" customHeight="1">
      <c r="A376" t="inlineStr">
        <is>
          <t>A 30110-2020</t>
        </is>
      </c>
      <c r="B376" s="1" t="n">
        <v>44006</v>
      </c>
      <c r="C376" s="1" t="n">
        <v>45359</v>
      </c>
      <c r="D376" t="inlineStr">
        <is>
          <t>JÄMTLANDS LÄN</t>
        </is>
      </c>
      <c r="E376" t="inlineStr">
        <is>
          <t>RAGUNDA</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31043-2020</t>
        </is>
      </c>
      <c r="B377" s="1" t="n">
        <v>44011</v>
      </c>
      <c r="C377" s="1" t="n">
        <v>45359</v>
      </c>
      <c r="D377" t="inlineStr">
        <is>
          <t>JÄMTLANDS LÄN</t>
        </is>
      </c>
      <c r="E377" t="inlineStr">
        <is>
          <t>RAGUNDA</t>
        </is>
      </c>
      <c r="F377" t="inlineStr">
        <is>
          <t>SCA</t>
        </is>
      </c>
      <c r="G377" t="n">
        <v>6.9</v>
      </c>
      <c r="H377" t="n">
        <v>0</v>
      </c>
      <c r="I377" t="n">
        <v>0</v>
      </c>
      <c r="J377" t="n">
        <v>0</v>
      </c>
      <c r="K377" t="n">
        <v>0</v>
      </c>
      <c r="L377" t="n">
        <v>0</v>
      </c>
      <c r="M377" t="n">
        <v>0</v>
      </c>
      <c r="N377" t="n">
        <v>0</v>
      </c>
      <c r="O377" t="n">
        <v>0</v>
      </c>
      <c r="P377" t="n">
        <v>0</v>
      </c>
      <c r="Q377" t="n">
        <v>0</v>
      </c>
      <c r="R377" s="2" t="inlineStr"/>
    </row>
    <row r="378" ht="15" customHeight="1">
      <c r="A378" t="inlineStr">
        <is>
          <t>A 31649-2020</t>
        </is>
      </c>
      <c r="B378" s="1" t="n">
        <v>44013</v>
      </c>
      <c r="C378" s="1" t="n">
        <v>45359</v>
      </c>
      <c r="D378" t="inlineStr">
        <is>
          <t>JÄMTLANDS LÄN</t>
        </is>
      </c>
      <c r="E378" t="inlineStr">
        <is>
          <t>RAGUNDA</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31651-2020</t>
        </is>
      </c>
      <c r="B379" s="1" t="n">
        <v>44013</v>
      </c>
      <c r="C379" s="1" t="n">
        <v>45359</v>
      </c>
      <c r="D379" t="inlineStr">
        <is>
          <t>JÄMTLANDS LÄN</t>
        </is>
      </c>
      <c r="E379" t="inlineStr">
        <is>
          <t>RAGUNDA</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31652-2020</t>
        </is>
      </c>
      <c r="B380" s="1" t="n">
        <v>44013</v>
      </c>
      <c r="C380" s="1" t="n">
        <v>45359</v>
      </c>
      <c r="D380" t="inlineStr">
        <is>
          <t>JÄMTLANDS LÄN</t>
        </is>
      </c>
      <c r="E380" t="inlineStr">
        <is>
          <t>RAGUNDA</t>
        </is>
      </c>
      <c r="F380" t="inlineStr">
        <is>
          <t>SCA</t>
        </is>
      </c>
      <c r="G380" t="n">
        <v>22.1</v>
      </c>
      <c r="H380" t="n">
        <v>0</v>
      </c>
      <c r="I380" t="n">
        <v>0</v>
      </c>
      <c r="J380" t="n">
        <v>0</v>
      </c>
      <c r="K380" t="n">
        <v>0</v>
      </c>
      <c r="L380" t="n">
        <v>0</v>
      </c>
      <c r="M380" t="n">
        <v>0</v>
      </c>
      <c r="N380" t="n">
        <v>0</v>
      </c>
      <c r="O380" t="n">
        <v>0</v>
      </c>
      <c r="P380" t="n">
        <v>0</v>
      </c>
      <c r="Q380" t="n">
        <v>0</v>
      </c>
      <c r="R380" s="2" t="inlineStr"/>
    </row>
    <row r="381" ht="15" customHeight="1">
      <c r="A381" t="inlineStr">
        <is>
          <t>A 32780-2020</t>
        </is>
      </c>
      <c r="B381" s="1" t="n">
        <v>44019</v>
      </c>
      <c r="C381" s="1" t="n">
        <v>45359</v>
      </c>
      <c r="D381" t="inlineStr">
        <is>
          <t>JÄMTLANDS LÄN</t>
        </is>
      </c>
      <c r="E381" t="inlineStr">
        <is>
          <t>RAGUNDA</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33644-2020</t>
        </is>
      </c>
      <c r="B382" s="1" t="n">
        <v>44026</v>
      </c>
      <c r="C382" s="1" t="n">
        <v>45359</v>
      </c>
      <c r="D382" t="inlineStr">
        <is>
          <t>JÄMTLANDS LÄN</t>
        </is>
      </c>
      <c r="E382" t="inlineStr">
        <is>
          <t>RAGUNDA</t>
        </is>
      </c>
      <c r="G382" t="n">
        <v>4.8</v>
      </c>
      <c r="H382" t="n">
        <v>0</v>
      </c>
      <c r="I382" t="n">
        <v>0</v>
      </c>
      <c r="J382" t="n">
        <v>0</v>
      </c>
      <c r="K382" t="n">
        <v>0</v>
      </c>
      <c r="L382" t="n">
        <v>0</v>
      </c>
      <c r="M382" t="n">
        <v>0</v>
      </c>
      <c r="N382" t="n">
        <v>0</v>
      </c>
      <c r="O382" t="n">
        <v>0</v>
      </c>
      <c r="P382" t="n">
        <v>0</v>
      </c>
      <c r="Q382" t="n">
        <v>0</v>
      </c>
      <c r="R382" s="2" t="inlineStr"/>
    </row>
    <row r="383" ht="15" customHeight="1">
      <c r="A383" t="inlineStr">
        <is>
          <t>A 33932-2020</t>
        </is>
      </c>
      <c r="B383" s="1" t="n">
        <v>44027</v>
      </c>
      <c r="C383" s="1" t="n">
        <v>45359</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34204-2020</t>
        </is>
      </c>
      <c r="B384" s="1" t="n">
        <v>44029</v>
      </c>
      <c r="C384" s="1" t="n">
        <v>45359</v>
      </c>
      <c r="D384" t="inlineStr">
        <is>
          <t>JÄMTLANDS LÄN</t>
        </is>
      </c>
      <c r="E384" t="inlineStr">
        <is>
          <t>RAGUNDA</t>
        </is>
      </c>
      <c r="G384" t="n">
        <v>22.5</v>
      </c>
      <c r="H384" t="n">
        <v>0</v>
      </c>
      <c r="I384" t="n">
        <v>0</v>
      </c>
      <c r="J384" t="n">
        <v>0</v>
      </c>
      <c r="K384" t="n">
        <v>0</v>
      </c>
      <c r="L384" t="n">
        <v>0</v>
      </c>
      <c r="M384" t="n">
        <v>0</v>
      </c>
      <c r="N384" t="n">
        <v>0</v>
      </c>
      <c r="O384" t="n">
        <v>0</v>
      </c>
      <c r="P384" t="n">
        <v>0</v>
      </c>
      <c r="Q384" t="n">
        <v>0</v>
      </c>
      <c r="R384" s="2" t="inlineStr"/>
    </row>
    <row r="385" ht="15" customHeight="1">
      <c r="A385" t="inlineStr">
        <is>
          <t>A 34251-2020</t>
        </is>
      </c>
      <c r="B385" s="1" t="n">
        <v>44029</v>
      </c>
      <c r="C385" s="1" t="n">
        <v>45359</v>
      </c>
      <c r="D385" t="inlineStr">
        <is>
          <t>JÄMTLANDS LÄN</t>
        </is>
      </c>
      <c r="E385" t="inlineStr">
        <is>
          <t>RAGUNDA</t>
        </is>
      </c>
      <c r="F385" t="inlineStr">
        <is>
          <t>SCA</t>
        </is>
      </c>
      <c r="G385" t="n">
        <v>4.1</v>
      </c>
      <c r="H385" t="n">
        <v>0</v>
      </c>
      <c r="I385" t="n">
        <v>0</v>
      </c>
      <c r="J385" t="n">
        <v>0</v>
      </c>
      <c r="K385" t="n">
        <v>0</v>
      </c>
      <c r="L385" t="n">
        <v>0</v>
      </c>
      <c r="M385" t="n">
        <v>0</v>
      </c>
      <c r="N385" t="n">
        <v>0</v>
      </c>
      <c r="O385" t="n">
        <v>0</v>
      </c>
      <c r="P385" t="n">
        <v>0</v>
      </c>
      <c r="Q385" t="n">
        <v>0</v>
      </c>
      <c r="R385" s="2" t="inlineStr"/>
    </row>
    <row r="386" ht="15" customHeight="1">
      <c r="A386" t="inlineStr">
        <is>
          <t>A 35193-2020</t>
        </is>
      </c>
      <c r="B386" s="1" t="n">
        <v>44040</v>
      </c>
      <c r="C386" s="1" t="n">
        <v>45359</v>
      </c>
      <c r="D386" t="inlineStr">
        <is>
          <t>JÄMTLANDS LÄN</t>
        </is>
      </c>
      <c r="E386" t="inlineStr">
        <is>
          <t>RAGUNDA</t>
        </is>
      </c>
      <c r="G386" t="n">
        <v>1.1</v>
      </c>
      <c r="H386" t="n">
        <v>0</v>
      </c>
      <c r="I386" t="n">
        <v>0</v>
      </c>
      <c r="J386" t="n">
        <v>0</v>
      </c>
      <c r="K386" t="n">
        <v>0</v>
      </c>
      <c r="L386" t="n">
        <v>0</v>
      </c>
      <c r="M386" t="n">
        <v>0</v>
      </c>
      <c r="N386" t="n">
        <v>0</v>
      </c>
      <c r="O386" t="n">
        <v>0</v>
      </c>
      <c r="P386" t="n">
        <v>0</v>
      </c>
      <c r="Q386" t="n">
        <v>0</v>
      </c>
      <c r="R386" s="2" t="inlineStr"/>
    </row>
    <row r="387" ht="15" customHeight="1">
      <c r="A387" t="inlineStr">
        <is>
          <t>A 35365-2020</t>
        </is>
      </c>
      <c r="B387" s="1" t="n">
        <v>44041</v>
      </c>
      <c r="C387" s="1" t="n">
        <v>45359</v>
      </c>
      <c r="D387" t="inlineStr">
        <is>
          <t>JÄMTLANDS LÄN</t>
        </is>
      </c>
      <c r="E387" t="inlineStr">
        <is>
          <t>RAGUNDA</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36674-2020</t>
        </is>
      </c>
      <c r="B388" s="1" t="n">
        <v>44051</v>
      </c>
      <c r="C388" s="1" t="n">
        <v>45359</v>
      </c>
      <c r="D388" t="inlineStr">
        <is>
          <t>JÄMTLANDS LÄN</t>
        </is>
      </c>
      <c r="E388" t="inlineStr">
        <is>
          <t>RAGUNDA</t>
        </is>
      </c>
      <c r="G388" t="n">
        <v>0.9</v>
      </c>
      <c r="H388" t="n">
        <v>0</v>
      </c>
      <c r="I388" t="n">
        <v>0</v>
      </c>
      <c r="J388" t="n">
        <v>0</v>
      </c>
      <c r="K388" t="n">
        <v>0</v>
      </c>
      <c r="L388" t="n">
        <v>0</v>
      </c>
      <c r="M388" t="n">
        <v>0</v>
      </c>
      <c r="N388" t="n">
        <v>0</v>
      </c>
      <c r="O388" t="n">
        <v>0</v>
      </c>
      <c r="P388" t="n">
        <v>0</v>
      </c>
      <c r="Q388" t="n">
        <v>0</v>
      </c>
      <c r="R388" s="2" t="inlineStr"/>
    </row>
    <row r="389" ht="15" customHeight="1">
      <c r="A389" t="inlineStr">
        <is>
          <t>A 36676-2020</t>
        </is>
      </c>
      <c r="B389" s="1" t="n">
        <v>44051</v>
      </c>
      <c r="C389" s="1" t="n">
        <v>45359</v>
      </c>
      <c r="D389" t="inlineStr">
        <is>
          <t>JÄMTLANDS LÄN</t>
        </is>
      </c>
      <c r="E389" t="inlineStr">
        <is>
          <t>RAGUNDA</t>
        </is>
      </c>
      <c r="G389" t="n">
        <v>0.8</v>
      </c>
      <c r="H389" t="n">
        <v>0</v>
      </c>
      <c r="I389" t="n">
        <v>0</v>
      </c>
      <c r="J389" t="n">
        <v>0</v>
      </c>
      <c r="K389" t="n">
        <v>0</v>
      </c>
      <c r="L389" t="n">
        <v>0</v>
      </c>
      <c r="M389" t="n">
        <v>0</v>
      </c>
      <c r="N389" t="n">
        <v>0</v>
      </c>
      <c r="O389" t="n">
        <v>0</v>
      </c>
      <c r="P389" t="n">
        <v>0</v>
      </c>
      <c r="Q389" t="n">
        <v>0</v>
      </c>
      <c r="R389" s="2" t="inlineStr"/>
    </row>
    <row r="390" ht="15" customHeight="1">
      <c r="A390" t="inlineStr">
        <is>
          <t>A 37498-2020</t>
        </is>
      </c>
      <c r="B390" s="1" t="n">
        <v>44055</v>
      </c>
      <c r="C390" s="1" t="n">
        <v>45359</v>
      </c>
      <c r="D390" t="inlineStr">
        <is>
          <t>JÄMTLANDS LÄN</t>
        </is>
      </c>
      <c r="E390" t="inlineStr">
        <is>
          <t>RAGUNDA</t>
        </is>
      </c>
      <c r="G390" t="n">
        <v>2.4</v>
      </c>
      <c r="H390" t="n">
        <v>0</v>
      </c>
      <c r="I390" t="n">
        <v>0</v>
      </c>
      <c r="J390" t="n">
        <v>0</v>
      </c>
      <c r="K390" t="n">
        <v>0</v>
      </c>
      <c r="L390" t="n">
        <v>0</v>
      </c>
      <c r="M390" t="n">
        <v>0</v>
      </c>
      <c r="N390" t="n">
        <v>0</v>
      </c>
      <c r="O390" t="n">
        <v>0</v>
      </c>
      <c r="P390" t="n">
        <v>0</v>
      </c>
      <c r="Q390" t="n">
        <v>0</v>
      </c>
      <c r="R390" s="2" t="inlineStr"/>
    </row>
    <row r="391" ht="15" customHeight="1">
      <c r="A391" t="inlineStr">
        <is>
          <t>A 39474-2020</t>
        </is>
      </c>
      <c r="B391" s="1" t="n">
        <v>44056</v>
      </c>
      <c r="C391" s="1" t="n">
        <v>45359</v>
      </c>
      <c r="D391" t="inlineStr">
        <is>
          <t>JÄMTLANDS LÄN</t>
        </is>
      </c>
      <c r="E391" t="inlineStr">
        <is>
          <t>RAGUNDA</t>
        </is>
      </c>
      <c r="G391" t="n">
        <v>1.2</v>
      </c>
      <c r="H391" t="n">
        <v>0</v>
      </c>
      <c r="I391" t="n">
        <v>0</v>
      </c>
      <c r="J391" t="n">
        <v>0</v>
      </c>
      <c r="K391" t="n">
        <v>0</v>
      </c>
      <c r="L391" t="n">
        <v>0</v>
      </c>
      <c r="M391" t="n">
        <v>0</v>
      </c>
      <c r="N391" t="n">
        <v>0</v>
      </c>
      <c r="O391" t="n">
        <v>0</v>
      </c>
      <c r="P391" t="n">
        <v>0</v>
      </c>
      <c r="Q391" t="n">
        <v>0</v>
      </c>
      <c r="R391" s="2" t="inlineStr"/>
    </row>
    <row r="392" ht="15" customHeight="1">
      <c r="A392" t="inlineStr">
        <is>
          <t>A 38106-2020</t>
        </is>
      </c>
      <c r="B392" s="1" t="n">
        <v>44057</v>
      </c>
      <c r="C392" s="1" t="n">
        <v>45359</v>
      </c>
      <c r="D392" t="inlineStr">
        <is>
          <t>JÄMTLANDS LÄN</t>
        </is>
      </c>
      <c r="E392" t="inlineStr">
        <is>
          <t>RAGUNDA</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38098-2020</t>
        </is>
      </c>
      <c r="B393" s="1" t="n">
        <v>44057</v>
      </c>
      <c r="C393" s="1" t="n">
        <v>45359</v>
      </c>
      <c r="D393" t="inlineStr">
        <is>
          <t>JÄMTLANDS LÄN</t>
        </is>
      </c>
      <c r="E393" t="inlineStr">
        <is>
          <t>RAGUNDA</t>
        </is>
      </c>
      <c r="G393" t="n">
        <v>1.2</v>
      </c>
      <c r="H393" t="n">
        <v>0</v>
      </c>
      <c r="I393" t="n">
        <v>0</v>
      </c>
      <c r="J393" t="n">
        <v>0</v>
      </c>
      <c r="K393" t="n">
        <v>0</v>
      </c>
      <c r="L393" t="n">
        <v>0</v>
      </c>
      <c r="M393" t="n">
        <v>0</v>
      </c>
      <c r="N393" t="n">
        <v>0</v>
      </c>
      <c r="O393" t="n">
        <v>0</v>
      </c>
      <c r="P393" t="n">
        <v>0</v>
      </c>
      <c r="Q393" t="n">
        <v>0</v>
      </c>
      <c r="R393" s="2" t="inlineStr"/>
    </row>
    <row r="394" ht="15" customHeight="1">
      <c r="A394" t="inlineStr">
        <is>
          <t>A 39040-2020</t>
        </is>
      </c>
      <c r="B394" s="1" t="n">
        <v>44062</v>
      </c>
      <c r="C394" s="1" t="n">
        <v>45359</v>
      </c>
      <c r="D394" t="inlineStr">
        <is>
          <t>JÄMTLANDS LÄN</t>
        </is>
      </c>
      <c r="E394" t="inlineStr">
        <is>
          <t>RAGUNDA</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39340-2020</t>
        </is>
      </c>
      <c r="B395" s="1" t="n">
        <v>44063</v>
      </c>
      <c r="C395" s="1" t="n">
        <v>45359</v>
      </c>
      <c r="D395" t="inlineStr">
        <is>
          <t>JÄMTLANDS LÄN</t>
        </is>
      </c>
      <c r="E395" t="inlineStr">
        <is>
          <t>RAGUNDA</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40051-2020</t>
        </is>
      </c>
      <c r="B396" s="1" t="n">
        <v>44067</v>
      </c>
      <c r="C396" s="1" t="n">
        <v>45359</v>
      </c>
      <c r="D396" t="inlineStr">
        <is>
          <t>JÄMTLANDS LÄN</t>
        </is>
      </c>
      <c r="E396" t="inlineStr">
        <is>
          <t>RAGUNDA</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40316-2020</t>
        </is>
      </c>
      <c r="B397" s="1" t="n">
        <v>44068</v>
      </c>
      <c r="C397" s="1" t="n">
        <v>45359</v>
      </c>
      <c r="D397" t="inlineStr">
        <is>
          <t>JÄMTLANDS LÄN</t>
        </is>
      </c>
      <c r="E397" t="inlineStr">
        <is>
          <t>RAGUNDA</t>
        </is>
      </c>
      <c r="G397" t="n">
        <v>2.4</v>
      </c>
      <c r="H397" t="n">
        <v>0</v>
      </c>
      <c r="I397" t="n">
        <v>0</v>
      </c>
      <c r="J397" t="n">
        <v>0</v>
      </c>
      <c r="K397" t="n">
        <v>0</v>
      </c>
      <c r="L397" t="n">
        <v>0</v>
      </c>
      <c r="M397" t="n">
        <v>0</v>
      </c>
      <c r="N397" t="n">
        <v>0</v>
      </c>
      <c r="O397" t="n">
        <v>0</v>
      </c>
      <c r="P397" t="n">
        <v>0</v>
      </c>
      <c r="Q397" t="n">
        <v>0</v>
      </c>
      <c r="R397" s="2" t="inlineStr"/>
    </row>
    <row r="398" ht="15" customHeight="1">
      <c r="A398" t="inlineStr">
        <is>
          <t>A 40742-2020</t>
        </is>
      </c>
      <c r="B398" s="1" t="n">
        <v>44069</v>
      </c>
      <c r="C398" s="1" t="n">
        <v>45359</v>
      </c>
      <c r="D398" t="inlineStr">
        <is>
          <t>JÄMTLANDS LÄN</t>
        </is>
      </c>
      <c r="E398" t="inlineStr">
        <is>
          <t>RAGUNDA</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41346-2020</t>
        </is>
      </c>
      <c r="B399" s="1" t="n">
        <v>44071</v>
      </c>
      <c r="C399" s="1" t="n">
        <v>45359</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41889-2020</t>
        </is>
      </c>
      <c r="B400" s="1" t="n">
        <v>44075</v>
      </c>
      <c r="C400" s="1" t="n">
        <v>45359</v>
      </c>
      <c r="D400" t="inlineStr">
        <is>
          <t>JÄMTLANDS LÄN</t>
        </is>
      </c>
      <c r="E400" t="inlineStr">
        <is>
          <t>RAGUNDA</t>
        </is>
      </c>
      <c r="F400" t="inlineStr">
        <is>
          <t>SCA</t>
        </is>
      </c>
      <c r="G400" t="n">
        <v>11.4</v>
      </c>
      <c r="H400" t="n">
        <v>0</v>
      </c>
      <c r="I400" t="n">
        <v>0</v>
      </c>
      <c r="J400" t="n">
        <v>0</v>
      </c>
      <c r="K400" t="n">
        <v>0</v>
      </c>
      <c r="L400" t="n">
        <v>0</v>
      </c>
      <c r="M400" t="n">
        <v>0</v>
      </c>
      <c r="N400" t="n">
        <v>0</v>
      </c>
      <c r="O400" t="n">
        <v>0</v>
      </c>
      <c r="P400" t="n">
        <v>0</v>
      </c>
      <c r="Q400" t="n">
        <v>0</v>
      </c>
      <c r="R400" s="2" t="inlineStr"/>
    </row>
    <row r="401" ht="15" customHeight="1">
      <c r="A401" t="inlineStr">
        <is>
          <t>A 41875-2020</t>
        </is>
      </c>
      <c r="B401" s="1" t="n">
        <v>44074</v>
      </c>
      <c r="C401" s="1" t="n">
        <v>45359</v>
      </c>
      <c r="D401" t="inlineStr">
        <is>
          <t>JÄMTLANDS LÄN</t>
        </is>
      </c>
      <c r="E401" t="inlineStr">
        <is>
          <t>RAGUNDA</t>
        </is>
      </c>
      <c r="F401" t="inlineStr">
        <is>
          <t>Naturvårdsverket</t>
        </is>
      </c>
      <c r="G401" t="n">
        <v>3.3</v>
      </c>
      <c r="H401" t="n">
        <v>0</v>
      </c>
      <c r="I401" t="n">
        <v>0</v>
      </c>
      <c r="J401" t="n">
        <v>0</v>
      </c>
      <c r="K401" t="n">
        <v>0</v>
      </c>
      <c r="L401" t="n">
        <v>0</v>
      </c>
      <c r="M401" t="n">
        <v>0</v>
      </c>
      <c r="N401" t="n">
        <v>0</v>
      </c>
      <c r="O401" t="n">
        <v>0</v>
      </c>
      <c r="P401" t="n">
        <v>0</v>
      </c>
      <c r="Q401" t="n">
        <v>0</v>
      </c>
      <c r="R401" s="2" t="inlineStr"/>
    </row>
    <row r="402" ht="15" customHeight="1">
      <c r="A402" t="inlineStr">
        <is>
          <t>A 41887-2020</t>
        </is>
      </c>
      <c r="B402" s="1" t="n">
        <v>44074</v>
      </c>
      <c r="C402" s="1" t="n">
        <v>45359</v>
      </c>
      <c r="D402" t="inlineStr">
        <is>
          <t>JÄMTLANDS LÄN</t>
        </is>
      </c>
      <c r="E402" t="inlineStr">
        <is>
          <t>RAGUNDA</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41885-2020</t>
        </is>
      </c>
      <c r="B403" s="1" t="n">
        <v>44074</v>
      </c>
      <c r="C403" s="1" t="n">
        <v>45359</v>
      </c>
      <c r="D403" t="inlineStr">
        <is>
          <t>JÄMTLANDS LÄN</t>
        </is>
      </c>
      <c r="E403" t="inlineStr">
        <is>
          <t>RAGUNDA</t>
        </is>
      </c>
      <c r="F403" t="inlineStr">
        <is>
          <t>SCA</t>
        </is>
      </c>
      <c r="G403" t="n">
        <v>0.4</v>
      </c>
      <c r="H403" t="n">
        <v>0</v>
      </c>
      <c r="I403" t="n">
        <v>0</v>
      </c>
      <c r="J403" t="n">
        <v>0</v>
      </c>
      <c r="K403" t="n">
        <v>0</v>
      </c>
      <c r="L403" t="n">
        <v>0</v>
      </c>
      <c r="M403" t="n">
        <v>0</v>
      </c>
      <c r="N403" t="n">
        <v>0</v>
      </c>
      <c r="O403" t="n">
        <v>0</v>
      </c>
      <c r="P403" t="n">
        <v>0</v>
      </c>
      <c r="Q403" t="n">
        <v>0</v>
      </c>
      <c r="R403" s="2" t="inlineStr"/>
    </row>
    <row r="404" ht="15" customHeight="1">
      <c r="A404" t="inlineStr">
        <is>
          <t>A 42208-2020</t>
        </is>
      </c>
      <c r="B404" s="1" t="n">
        <v>44075</v>
      </c>
      <c r="C404" s="1" t="n">
        <v>45359</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42899-2020</t>
        </is>
      </c>
      <c r="B405" s="1" t="n">
        <v>44078</v>
      </c>
      <c r="C405" s="1" t="n">
        <v>45359</v>
      </c>
      <c r="D405" t="inlineStr">
        <is>
          <t>JÄMTLANDS LÄN</t>
        </is>
      </c>
      <c r="E405" t="inlineStr">
        <is>
          <t>RAGUNDA</t>
        </is>
      </c>
      <c r="G405" t="n">
        <v>0.6</v>
      </c>
      <c r="H405" t="n">
        <v>0</v>
      </c>
      <c r="I405" t="n">
        <v>0</v>
      </c>
      <c r="J405" t="n">
        <v>0</v>
      </c>
      <c r="K405" t="n">
        <v>0</v>
      </c>
      <c r="L405" t="n">
        <v>0</v>
      </c>
      <c r="M405" t="n">
        <v>0</v>
      </c>
      <c r="N405" t="n">
        <v>0</v>
      </c>
      <c r="O405" t="n">
        <v>0</v>
      </c>
      <c r="P405" t="n">
        <v>0</v>
      </c>
      <c r="Q405" t="n">
        <v>0</v>
      </c>
      <c r="R405" s="2" t="inlineStr"/>
    </row>
    <row r="406" ht="15" customHeight="1">
      <c r="A406" t="inlineStr">
        <is>
          <t>A 43828-2020</t>
        </is>
      </c>
      <c r="B406" s="1" t="n">
        <v>44082</v>
      </c>
      <c r="C406" s="1" t="n">
        <v>45359</v>
      </c>
      <c r="D406" t="inlineStr">
        <is>
          <t>JÄMTLANDS LÄN</t>
        </is>
      </c>
      <c r="E406" t="inlineStr">
        <is>
          <t>RAGUNDA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44511-2020</t>
        </is>
      </c>
      <c r="B407" s="1" t="n">
        <v>44084</v>
      </c>
      <c r="C407" s="1" t="n">
        <v>45359</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44498-2020</t>
        </is>
      </c>
      <c r="B408" s="1" t="n">
        <v>44084</v>
      </c>
      <c r="C408" s="1" t="n">
        <v>45359</v>
      </c>
      <c r="D408" t="inlineStr">
        <is>
          <t>JÄMTLANDS LÄN</t>
        </is>
      </c>
      <c r="E408" t="inlineStr">
        <is>
          <t>RAGUNDA</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45272-2020</t>
        </is>
      </c>
      <c r="B409" s="1" t="n">
        <v>44084</v>
      </c>
      <c r="C409" s="1" t="n">
        <v>45359</v>
      </c>
      <c r="D409" t="inlineStr">
        <is>
          <t>JÄMTLANDS LÄN</t>
        </is>
      </c>
      <c r="E409" t="inlineStr">
        <is>
          <t>RAGUNDA</t>
        </is>
      </c>
      <c r="G409" t="n">
        <v>4.7</v>
      </c>
      <c r="H409" t="n">
        <v>0</v>
      </c>
      <c r="I409" t="n">
        <v>0</v>
      </c>
      <c r="J409" t="n">
        <v>0</v>
      </c>
      <c r="K409" t="n">
        <v>0</v>
      </c>
      <c r="L409" t="n">
        <v>0</v>
      </c>
      <c r="M409" t="n">
        <v>0</v>
      </c>
      <c r="N409" t="n">
        <v>0</v>
      </c>
      <c r="O409" t="n">
        <v>0</v>
      </c>
      <c r="P409" t="n">
        <v>0</v>
      </c>
      <c r="Q409" t="n">
        <v>0</v>
      </c>
      <c r="R409" s="2" t="inlineStr"/>
    </row>
    <row r="410" ht="15" customHeight="1">
      <c r="A410" t="inlineStr">
        <is>
          <t>A 46920-2020</t>
        </is>
      </c>
      <c r="B410" s="1" t="n">
        <v>44090</v>
      </c>
      <c r="C410" s="1" t="n">
        <v>45359</v>
      </c>
      <c r="D410" t="inlineStr">
        <is>
          <t>JÄMTLANDS LÄN</t>
        </is>
      </c>
      <c r="E410" t="inlineStr">
        <is>
          <t>RAGUNDA</t>
        </is>
      </c>
      <c r="G410" t="n">
        <v>4</v>
      </c>
      <c r="H410" t="n">
        <v>0</v>
      </c>
      <c r="I410" t="n">
        <v>0</v>
      </c>
      <c r="J410" t="n">
        <v>0</v>
      </c>
      <c r="K410" t="n">
        <v>0</v>
      </c>
      <c r="L410" t="n">
        <v>0</v>
      </c>
      <c r="M410" t="n">
        <v>0</v>
      </c>
      <c r="N410" t="n">
        <v>0</v>
      </c>
      <c r="O410" t="n">
        <v>0</v>
      </c>
      <c r="P410" t="n">
        <v>0</v>
      </c>
      <c r="Q410" t="n">
        <v>0</v>
      </c>
      <c r="R410" s="2" t="inlineStr"/>
    </row>
    <row r="411" ht="15" customHeight="1">
      <c r="A411" t="inlineStr">
        <is>
          <t>A 46496-2020</t>
        </is>
      </c>
      <c r="B411" s="1" t="n">
        <v>44095</v>
      </c>
      <c r="C411" s="1" t="n">
        <v>45359</v>
      </c>
      <c r="D411" t="inlineStr">
        <is>
          <t>JÄMTLANDS LÄN</t>
        </is>
      </c>
      <c r="E411" t="inlineStr">
        <is>
          <t>RAGUNDA</t>
        </is>
      </c>
      <c r="G411" t="n">
        <v>2</v>
      </c>
      <c r="H411" t="n">
        <v>0</v>
      </c>
      <c r="I411" t="n">
        <v>0</v>
      </c>
      <c r="J411" t="n">
        <v>0</v>
      </c>
      <c r="K411" t="n">
        <v>0</v>
      </c>
      <c r="L411" t="n">
        <v>0</v>
      </c>
      <c r="M411" t="n">
        <v>0</v>
      </c>
      <c r="N411" t="n">
        <v>0</v>
      </c>
      <c r="O411" t="n">
        <v>0</v>
      </c>
      <c r="P411" t="n">
        <v>0</v>
      </c>
      <c r="Q411" t="n">
        <v>0</v>
      </c>
      <c r="R411" s="2" t="inlineStr"/>
    </row>
    <row r="412" ht="15" customHeight="1">
      <c r="A412" t="inlineStr">
        <is>
          <t>A 47122-2020</t>
        </is>
      </c>
      <c r="B412" s="1" t="n">
        <v>44096</v>
      </c>
      <c r="C412" s="1" t="n">
        <v>45359</v>
      </c>
      <c r="D412" t="inlineStr">
        <is>
          <t>JÄMTLANDS LÄN</t>
        </is>
      </c>
      <c r="E412" t="inlineStr">
        <is>
          <t>RAGUNDA</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47131-2020</t>
        </is>
      </c>
      <c r="B413" s="1" t="n">
        <v>44096</v>
      </c>
      <c r="C413" s="1" t="n">
        <v>45359</v>
      </c>
      <c r="D413" t="inlineStr">
        <is>
          <t>JÄMTLANDS LÄN</t>
        </is>
      </c>
      <c r="E413" t="inlineStr">
        <is>
          <t>RAGUNDA</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47825-2020</t>
        </is>
      </c>
      <c r="B414" s="1" t="n">
        <v>44098</v>
      </c>
      <c r="C414" s="1" t="n">
        <v>45359</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48056-2020</t>
        </is>
      </c>
      <c r="B415" s="1" t="n">
        <v>44099</v>
      </c>
      <c r="C415" s="1" t="n">
        <v>45359</v>
      </c>
      <c r="D415" t="inlineStr">
        <is>
          <t>JÄMTLANDS LÄN</t>
        </is>
      </c>
      <c r="E415" t="inlineStr">
        <is>
          <t>RAGUNDA</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48806-2020</t>
        </is>
      </c>
      <c r="B416" s="1" t="n">
        <v>44103</v>
      </c>
      <c r="C416" s="1" t="n">
        <v>45359</v>
      </c>
      <c r="D416" t="inlineStr">
        <is>
          <t>JÄMTLANDS LÄN</t>
        </is>
      </c>
      <c r="E416" t="inlineStr">
        <is>
          <t>RAGUNDA</t>
        </is>
      </c>
      <c r="F416" t="inlineStr">
        <is>
          <t>Naturvårdsverket</t>
        </is>
      </c>
      <c r="G416" t="n">
        <v>3</v>
      </c>
      <c r="H416" t="n">
        <v>0</v>
      </c>
      <c r="I416" t="n">
        <v>0</v>
      </c>
      <c r="J416" t="n">
        <v>0</v>
      </c>
      <c r="K416" t="n">
        <v>0</v>
      </c>
      <c r="L416" t="n">
        <v>0</v>
      </c>
      <c r="M416" t="n">
        <v>0</v>
      </c>
      <c r="N416" t="n">
        <v>0</v>
      </c>
      <c r="O416" t="n">
        <v>0</v>
      </c>
      <c r="P416" t="n">
        <v>0</v>
      </c>
      <c r="Q416" t="n">
        <v>0</v>
      </c>
      <c r="R416" s="2" t="inlineStr"/>
    </row>
    <row r="417" ht="15" customHeight="1">
      <c r="A417" t="inlineStr">
        <is>
          <t>A 51481-2020</t>
        </is>
      </c>
      <c r="B417" s="1" t="n">
        <v>44106</v>
      </c>
      <c r="C417" s="1" t="n">
        <v>45359</v>
      </c>
      <c r="D417" t="inlineStr">
        <is>
          <t>JÄMTLANDS LÄN</t>
        </is>
      </c>
      <c r="E417" t="inlineStr">
        <is>
          <t>RAGUNDA</t>
        </is>
      </c>
      <c r="G417" t="n">
        <v>4</v>
      </c>
      <c r="H417" t="n">
        <v>0</v>
      </c>
      <c r="I417" t="n">
        <v>0</v>
      </c>
      <c r="J417" t="n">
        <v>0</v>
      </c>
      <c r="K417" t="n">
        <v>0</v>
      </c>
      <c r="L417" t="n">
        <v>0</v>
      </c>
      <c r="M417" t="n">
        <v>0</v>
      </c>
      <c r="N417" t="n">
        <v>0</v>
      </c>
      <c r="O417" t="n">
        <v>0</v>
      </c>
      <c r="P417" t="n">
        <v>0</v>
      </c>
      <c r="Q417" t="n">
        <v>0</v>
      </c>
      <c r="R417" s="2" t="inlineStr"/>
    </row>
    <row r="418" ht="15" customHeight="1">
      <c r="A418" t="inlineStr">
        <is>
          <t>A 50988-2020</t>
        </is>
      </c>
      <c r="B418" s="1" t="n">
        <v>44111</v>
      </c>
      <c r="C418" s="1" t="n">
        <v>45359</v>
      </c>
      <c r="D418" t="inlineStr">
        <is>
          <t>JÄMTLANDS LÄN</t>
        </is>
      </c>
      <c r="E418" t="inlineStr">
        <is>
          <t>RAGUNDA</t>
        </is>
      </c>
      <c r="G418" t="n">
        <v>2.6</v>
      </c>
      <c r="H418" t="n">
        <v>0</v>
      </c>
      <c r="I418" t="n">
        <v>0</v>
      </c>
      <c r="J418" t="n">
        <v>0</v>
      </c>
      <c r="K418" t="n">
        <v>0</v>
      </c>
      <c r="L418" t="n">
        <v>0</v>
      </c>
      <c r="M418" t="n">
        <v>0</v>
      </c>
      <c r="N418" t="n">
        <v>0</v>
      </c>
      <c r="O418" t="n">
        <v>0</v>
      </c>
      <c r="P418" t="n">
        <v>0</v>
      </c>
      <c r="Q418" t="n">
        <v>0</v>
      </c>
      <c r="R418" s="2" t="inlineStr"/>
    </row>
    <row r="419" ht="15" customHeight="1">
      <c r="A419" t="inlineStr">
        <is>
          <t>A 51016-2020</t>
        </is>
      </c>
      <c r="B419" s="1" t="n">
        <v>44111</v>
      </c>
      <c r="C419" s="1" t="n">
        <v>45359</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51004-2020</t>
        </is>
      </c>
      <c r="B420" s="1" t="n">
        <v>44111</v>
      </c>
      <c r="C420" s="1" t="n">
        <v>45359</v>
      </c>
      <c r="D420" t="inlineStr">
        <is>
          <t>JÄMTLANDS LÄN</t>
        </is>
      </c>
      <c r="E420" t="inlineStr">
        <is>
          <t>RAGUNDA</t>
        </is>
      </c>
      <c r="G420" t="n">
        <v>2.8</v>
      </c>
      <c r="H420" t="n">
        <v>0</v>
      </c>
      <c r="I420" t="n">
        <v>0</v>
      </c>
      <c r="J420" t="n">
        <v>0</v>
      </c>
      <c r="K420" t="n">
        <v>0</v>
      </c>
      <c r="L420" t="n">
        <v>0</v>
      </c>
      <c r="M420" t="n">
        <v>0</v>
      </c>
      <c r="N420" t="n">
        <v>0</v>
      </c>
      <c r="O420" t="n">
        <v>0</v>
      </c>
      <c r="P420" t="n">
        <v>0</v>
      </c>
      <c r="Q420" t="n">
        <v>0</v>
      </c>
      <c r="R420" s="2" t="inlineStr"/>
    </row>
    <row r="421" ht="15" customHeight="1">
      <c r="A421" t="inlineStr">
        <is>
          <t>A 51685-2020</t>
        </is>
      </c>
      <c r="B421" s="1" t="n">
        <v>44113</v>
      </c>
      <c r="C421" s="1" t="n">
        <v>45359</v>
      </c>
      <c r="D421" t="inlineStr">
        <is>
          <t>JÄMTLANDS LÄN</t>
        </is>
      </c>
      <c r="E421" t="inlineStr">
        <is>
          <t>RAGUNDA</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53522-2020</t>
        </is>
      </c>
      <c r="B422" s="1" t="n">
        <v>44124</v>
      </c>
      <c r="C422" s="1" t="n">
        <v>45359</v>
      </c>
      <c r="D422" t="inlineStr">
        <is>
          <t>JÄMTLANDS LÄN</t>
        </is>
      </c>
      <c r="E422" t="inlineStr">
        <is>
          <t>RAGUNDA</t>
        </is>
      </c>
      <c r="G422" t="n">
        <v>1.3</v>
      </c>
      <c r="H422" t="n">
        <v>0</v>
      </c>
      <c r="I422" t="n">
        <v>0</v>
      </c>
      <c r="J422" t="n">
        <v>0</v>
      </c>
      <c r="K422" t="n">
        <v>0</v>
      </c>
      <c r="L422" t="n">
        <v>0</v>
      </c>
      <c r="M422" t="n">
        <v>0</v>
      </c>
      <c r="N422" t="n">
        <v>0</v>
      </c>
      <c r="O422" t="n">
        <v>0</v>
      </c>
      <c r="P422" t="n">
        <v>0</v>
      </c>
      <c r="Q422" t="n">
        <v>0</v>
      </c>
      <c r="R422" s="2" t="inlineStr"/>
    </row>
    <row r="423" ht="15" customHeight="1">
      <c r="A423" t="inlineStr">
        <is>
          <t>A 54199-2020</t>
        </is>
      </c>
      <c r="B423" s="1" t="n">
        <v>44126</v>
      </c>
      <c r="C423" s="1" t="n">
        <v>45359</v>
      </c>
      <c r="D423" t="inlineStr">
        <is>
          <t>JÄMTLANDS LÄN</t>
        </is>
      </c>
      <c r="E423" t="inlineStr">
        <is>
          <t>RAGUNDA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54580-2020</t>
        </is>
      </c>
      <c r="B424" s="1" t="n">
        <v>44126</v>
      </c>
      <c r="C424" s="1" t="n">
        <v>45359</v>
      </c>
      <c r="D424" t="inlineStr">
        <is>
          <t>JÄMTLANDS LÄN</t>
        </is>
      </c>
      <c r="E424" t="inlineStr">
        <is>
          <t>RAGUNDA</t>
        </is>
      </c>
      <c r="G424" t="n">
        <v>2.8</v>
      </c>
      <c r="H424" t="n">
        <v>0</v>
      </c>
      <c r="I424" t="n">
        <v>0</v>
      </c>
      <c r="J424" t="n">
        <v>0</v>
      </c>
      <c r="K424" t="n">
        <v>0</v>
      </c>
      <c r="L424" t="n">
        <v>0</v>
      </c>
      <c r="M424" t="n">
        <v>0</v>
      </c>
      <c r="N424" t="n">
        <v>0</v>
      </c>
      <c r="O424" t="n">
        <v>0</v>
      </c>
      <c r="P424" t="n">
        <v>0</v>
      </c>
      <c r="Q424" t="n">
        <v>0</v>
      </c>
      <c r="R424" s="2" t="inlineStr"/>
    </row>
    <row r="425" ht="15" customHeight="1">
      <c r="A425" t="inlineStr">
        <is>
          <t>A 55309-2020</t>
        </is>
      </c>
      <c r="B425" s="1" t="n">
        <v>44130</v>
      </c>
      <c r="C425" s="1" t="n">
        <v>45359</v>
      </c>
      <c r="D425" t="inlineStr">
        <is>
          <t>JÄMTLANDS LÄN</t>
        </is>
      </c>
      <c r="E425" t="inlineStr">
        <is>
          <t>RAGUNDA</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55926-2020</t>
        </is>
      </c>
      <c r="B426" s="1" t="n">
        <v>44132</v>
      </c>
      <c r="C426" s="1" t="n">
        <v>45359</v>
      </c>
      <c r="D426" t="inlineStr">
        <is>
          <t>JÄMTLANDS LÄN</t>
        </is>
      </c>
      <c r="E426" t="inlineStr">
        <is>
          <t>RAGUNDA</t>
        </is>
      </c>
      <c r="F426" t="inlineStr">
        <is>
          <t>SCA</t>
        </is>
      </c>
      <c r="G426" t="n">
        <v>11.5</v>
      </c>
      <c r="H426" t="n">
        <v>0</v>
      </c>
      <c r="I426" t="n">
        <v>0</v>
      </c>
      <c r="J426" t="n">
        <v>0</v>
      </c>
      <c r="K426" t="n">
        <v>0</v>
      </c>
      <c r="L426" t="n">
        <v>0</v>
      </c>
      <c r="M426" t="n">
        <v>0</v>
      </c>
      <c r="N426" t="n">
        <v>0</v>
      </c>
      <c r="O426" t="n">
        <v>0</v>
      </c>
      <c r="P426" t="n">
        <v>0</v>
      </c>
      <c r="Q426" t="n">
        <v>0</v>
      </c>
      <c r="R426" s="2" t="inlineStr"/>
    </row>
    <row r="427" ht="15" customHeight="1">
      <c r="A427" t="inlineStr">
        <is>
          <t>A 56339-2020</t>
        </is>
      </c>
      <c r="B427" s="1" t="n">
        <v>44134</v>
      </c>
      <c r="C427" s="1" t="n">
        <v>45359</v>
      </c>
      <c r="D427" t="inlineStr">
        <is>
          <t>JÄMTLANDS LÄN</t>
        </is>
      </c>
      <c r="E427" t="inlineStr">
        <is>
          <t>RAGUNDA</t>
        </is>
      </c>
      <c r="G427" t="n">
        <v>2.9</v>
      </c>
      <c r="H427" t="n">
        <v>0</v>
      </c>
      <c r="I427" t="n">
        <v>0</v>
      </c>
      <c r="J427" t="n">
        <v>0</v>
      </c>
      <c r="K427" t="n">
        <v>0</v>
      </c>
      <c r="L427" t="n">
        <v>0</v>
      </c>
      <c r="M427" t="n">
        <v>0</v>
      </c>
      <c r="N427" t="n">
        <v>0</v>
      </c>
      <c r="O427" t="n">
        <v>0</v>
      </c>
      <c r="P427" t="n">
        <v>0</v>
      </c>
      <c r="Q427" t="n">
        <v>0</v>
      </c>
      <c r="R427" s="2" t="inlineStr"/>
    </row>
    <row r="428" ht="15" customHeight="1">
      <c r="A428" t="inlineStr">
        <is>
          <t>A 56760-2020</t>
        </is>
      </c>
      <c r="B428" s="1" t="n">
        <v>44137</v>
      </c>
      <c r="C428" s="1" t="n">
        <v>45359</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57246-2020</t>
        </is>
      </c>
      <c r="B429" s="1" t="n">
        <v>44138</v>
      </c>
      <c r="C429" s="1" t="n">
        <v>45359</v>
      </c>
      <c r="D429" t="inlineStr">
        <is>
          <t>JÄMTLANDS LÄN</t>
        </is>
      </c>
      <c r="E429" t="inlineStr">
        <is>
          <t>RAGUNDA</t>
        </is>
      </c>
      <c r="G429" t="n">
        <v>3.1</v>
      </c>
      <c r="H429" t="n">
        <v>0</v>
      </c>
      <c r="I429" t="n">
        <v>0</v>
      </c>
      <c r="J429" t="n">
        <v>0</v>
      </c>
      <c r="K429" t="n">
        <v>0</v>
      </c>
      <c r="L429" t="n">
        <v>0</v>
      </c>
      <c r="M429" t="n">
        <v>0</v>
      </c>
      <c r="N429" t="n">
        <v>0</v>
      </c>
      <c r="O429" t="n">
        <v>0</v>
      </c>
      <c r="P429" t="n">
        <v>0</v>
      </c>
      <c r="Q429" t="n">
        <v>0</v>
      </c>
      <c r="R429" s="2" t="inlineStr"/>
    </row>
    <row r="430" ht="15" customHeight="1">
      <c r="A430" t="inlineStr">
        <is>
          <t>A 57731-2020</t>
        </is>
      </c>
      <c r="B430" s="1" t="n">
        <v>44140</v>
      </c>
      <c r="C430" s="1" t="n">
        <v>45359</v>
      </c>
      <c r="D430" t="inlineStr">
        <is>
          <t>JÄMTLANDS LÄN</t>
        </is>
      </c>
      <c r="E430" t="inlineStr">
        <is>
          <t>RAGUNDA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57717-2020</t>
        </is>
      </c>
      <c r="B431" s="1" t="n">
        <v>44140</v>
      </c>
      <c r="C431" s="1" t="n">
        <v>45359</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57730-2020</t>
        </is>
      </c>
      <c r="B432" s="1" t="n">
        <v>44140</v>
      </c>
      <c r="C432" s="1" t="n">
        <v>45359</v>
      </c>
      <c r="D432" t="inlineStr">
        <is>
          <t>JÄMTLANDS LÄN</t>
        </is>
      </c>
      <c r="E432" t="inlineStr">
        <is>
          <t>RAGUNDA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57713-2020</t>
        </is>
      </c>
      <c r="B433" s="1" t="n">
        <v>44140</v>
      </c>
      <c r="C433" s="1" t="n">
        <v>45359</v>
      </c>
      <c r="D433" t="inlineStr">
        <is>
          <t>JÄMTLANDS LÄN</t>
        </is>
      </c>
      <c r="E433" t="inlineStr">
        <is>
          <t>RAGUNDA</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57941-2020</t>
        </is>
      </c>
      <c r="B434" s="1" t="n">
        <v>44141</v>
      </c>
      <c r="C434" s="1" t="n">
        <v>45359</v>
      </c>
      <c r="D434" t="inlineStr">
        <is>
          <t>JÄMTLANDS LÄN</t>
        </is>
      </c>
      <c r="E434" t="inlineStr">
        <is>
          <t>RAGUNDA</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60744-2020</t>
        </is>
      </c>
      <c r="B435" s="1" t="n">
        <v>44153</v>
      </c>
      <c r="C435" s="1" t="n">
        <v>45359</v>
      </c>
      <c r="D435" t="inlineStr">
        <is>
          <t>JÄMTLANDS LÄN</t>
        </is>
      </c>
      <c r="E435" t="inlineStr">
        <is>
          <t>RAGUNDA</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61088-2020</t>
        </is>
      </c>
      <c r="B436" s="1" t="n">
        <v>44153</v>
      </c>
      <c r="C436" s="1" t="n">
        <v>45359</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61395-2020</t>
        </is>
      </c>
      <c r="B437" s="1" t="n">
        <v>44155</v>
      </c>
      <c r="C437" s="1" t="n">
        <v>45359</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61441-2020</t>
        </is>
      </c>
      <c r="B438" s="1" t="n">
        <v>44157</v>
      </c>
      <c r="C438" s="1" t="n">
        <v>45359</v>
      </c>
      <c r="D438" t="inlineStr">
        <is>
          <t>JÄMTLANDS LÄN</t>
        </is>
      </c>
      <c r="E438" t="inlineStr">
        <is>
          <t>RAGUNDA</t>
        </is>
      </c>
      <c r="G438" t="n">
        <v>0.4</v>
      </c>
      <c r="H438" t="n">
        <v>0</v>
      </c>
      <c r="I438" t="n">
        <v>0</v>
      </c>
      <c r="J438" t="n">
        <v>0</v>
      </c>
      <c r="K438" t="n">
        <v>0</v>
      </c>
      <c r="L438" t="n">
        <v>0</v>
      </c>
      <c r="M438" t="n">
        <v>0</v>
      </c>
      <c r="N438" t="n">
        <v>0</v>
      </c>
      <c r="O438" t="n">
        <v>0</v>
      </c>
      <c r="P438" t="n">
        <v>0</v>
      </c>
      <c r="Q438" t="n">
        <v>0</v>
      </c>
      <c r="R438" s="2" t="inlineStr"/>
    </row>
    <row r="439" ht="15" customHeight="1">
      <c r="A439" t="inlineStr">
        <is>
          <t>A 62228-2020</t>
        </is>
      </c>
      <c r="B439" s="1" t="n">
        <v>44159</v>
      </c>
      <c r="C439" s="1" t="n">
        <v>45359</v>
      </c>
      <c r="D439" t="inlineStr">
        <is>
          <t>JÄMTLANDS LÄN</t>
        </is>
      </c>
      <c r="E439" t="inlineStr">
        <is>
          <t>RAGUNDA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63606-2020</t>
        </is>
      </c>
      <c r="B440" s="1" t="n">
        <v>44165</v>
      </c>
      <c r="C440" s="1" t="n">
        <v>45359</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63597-2020</t>
        </is>
      </c>
      <c r="B441" s="1" t="n">
        <v>44165</v>
      </c>
      <c r="C441" s="1" t="n">
        <v>45359</v>
      </c>
      <c r="D441" t="inlineStr">
        <is>
          <t>JÄMTLANDS LÄN</t>
        </is>
      </c>
      <c r="E441" t="inlineStr">
        <is>
          <t>RAGUNDA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64187-2020</t>
        </is>
      </c>
      <c r="B442" s="1" t="n">
        <v>44167</v>
      </c>
      <c r="C442" s="1" t="n">
        <v>45359</v>
      </c>
      <c r="D442" t="inlineStr">
        <is>
          <t>JÄMTLANDS LÄN</t>
        </is>
      </c>
      <c r="E442" t="inlineStr">
        <is>
          <t>RAGUNDA</t>
        </is>
      </c>
      <c r="F442" t="inlineStr">
        <is>
          <t>SCA</t>
        </is>
      </c>
      <c r="G442" t="n">
        <v>7.8</v>
      </c>
      <c r="H442" t="n">
        <v>0</v>
      </c>
      <c r="I442" t="n">
        <v>0</v>
      </c>
      <c r="J442" t="n">
        <v>0</v>
      </c>
      <c r="K442" t="n">
        <v>0</v>
      </c>
      <c r="L442" t="n">
        <v>0</v>
      </c>
      <c r="M442" t="n">
        <v>0</v>
      </c>
      <c r="N442" t="n">
        <v>0</v>
      </c>
      <c r="O442" t="n">
        <v>0</v>
      </c>
      <c r="P442" t="n">
        <v>0</v>
      </c>
      <c r="Q442" t="n">
        <v>0</v>
      </c>
      <c r="R442" s="2" t="inlineStr"/>
    </row>
    <row r="443" ht="15" customHeight="1">
      <c r="A443" t="inlineStr">
        <is>
          <t>A 64386-2020</t>
        </is>
      </c>
      <c r="B443" s="1" t="n">
        <v>44168</v>
      </c>
      <c r="C443" s="1" t="n">
        <v>45359</v>
      </c>
      <c r="D443" t="inlineStr">
        <is>
          <t>JÄMTLANDS LÄN</t>
        </is>
      </c>
      <c r="E443" t="inlineStr">
        <is>
          <t>RAGUNDA</t>
        </is>
      </c>
      <c r="G443" t="n">
        <v>2.5</v>
      </c>
      <c r="H443" t="n">
        <v>0</v>
      </c>
      <c r="I443" t="n">
        <v>0</v>
      </c>
      <c r="J443" t="n">
        <v>0</v>
      </c>
      <c r="K443" t="n">
        <v>0</v>
      </c>
      <c r="L443" t="n">
        <v>0</v>
      </c>
      <c r="M443" t="n">
        <v>0</v>
      </c>
      <c r="N443" t="n">
        <v>0</v>
      </c>
      <c r="O443" t="n">
        <v>0</v>
      </c>
      <c r="P443" t="n">
        <v>0</v>
      </c>
      <c r="Q443" t="n">
        <v>0</v>
      </c>
      <c r="R443" s="2" t="inlineStr"/>
    </row>
    <row r="444" ht="15" customHeight="1">
      <c r="A444" t="inlineStr">
        <is>
          <t>A 65260-2020</t>
        </is>
      </c>
      <c r="B444" s="1" t="n">
        <v>44172</v>
      </c>
      <c r="C444" s="1" t="n">
        <v>45359</v>
      </c>
      <c r="D444" t="inlineStr">
        <is>
          <t>JÄMTLANDS LÄN</t>
        </is>
      </c>
      <c r="E444" t="inlineStr">
        <is>
          <t>RAGUNDA</t>
        </is>
      </c>
      <c r="F444" t="inlineStr">
        <is>
          <t>SCA</t>
        </is>
      </c>
      <c r="G444" t="n">
        <v>7.8</v>
      </c>
      <c r="H444" t="n">
        <v>0</v>
      </c>
      <c r="I444" t="n">
        <v>0</v>
      </c>
      <c r="J444" t="n">
        <v>0</v>
      </c>
      <c r="K444" t="n">
        <v>0</v>
      </c>
      <c r="L444" t="n">
        <v>0</v>
      </c>
      <c r="M444" t="n">
        <v>0</v>
      </c>
      <c r="N444" t="n">
        <v>0</v>
      </c>
      <c r="O444" t="n">
        <v>0</v>
      </c>
      <c r="P444" t="n">
        <v>0</v>
      </c>
      <c r="Q444" t="n">
        <v>0</v>
      </c>
      <c r="R444" s="2" t="inlineStr"/>
    </row>
    <row r="445" ht="15" customHeight="1">
      <c r="A445" t="inlineStr">
        <is>
          <t>A 65341-2020</t>
        </is>
      </c>
      <c r="B445" s="1" t="n">
        <v>44173</v>
      </c>
      <c r="C445" s="1" t="n">
        <v>45359</v>
      </c>
      <c r="D445" t="inlineStr">
        <is>
          <t>JÄMTLANDS LÄN</t>
        </is>
      </c>
      <c r="E445" t="inlineStr">
        <is>
          <t>RAGUNDA</t>
        </is>
      </c>
      <c r="G445" t="n">
        <v>2.6</v>
      </c>
      <c r="H445" t="n">
        <v>0</v>
      </c>
      <c r="I445" t="n">
        <v>0</v>
      </c>
      <c r="J445" t="n">
        <v>0</v>
      </c>
      <c r="K445" t="n">
        <v>0</v>
      </c>
      <c r="L445" t="n">
        <v>0</v>
      </c>
      <c r="M445" t="n">
        <v>0</v>
      </c>
      <c r="N445" t="n">
        <v>0</v>
      </c>
      <c r="O445" t="n">
        <v>0</v>
      </c>
      <c r="P445" t="n">
        <v>0</v>
      </c>
      <c r="Q445" t="n">
        <v>0</v>
      </c>
      <c r="R445" s="2" t="inlineStr"/>
    </row>
    <row r="446" ht="15" customHeight="1">
      <c r="A446" t="inlineStr">
        <is>
          <t>A 65898-2020</t>
        </is>
      </c>
      <c r="B446" s="1" t="n">
        <v>44174</v>
      </c>
      <c r="C446" s="1" t="n">
        <v>45359</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66248-2020</t>
        </is>
      </c>
      <c r="B447" s="1" t="n">
        <v>44175</v>
      </c>
      <c r="C447" s="1" t="n">
        <v>45359</v>
      </c>
      <c r="D447" t="inlineStr">
        <is>
          <t>JÄMTLANDS LÄN</t>
        </is>
      </c>
      <c r="E447" t="inlineStr">
        <is>
          <t>RAGUNDA</t>
        </is>
      </c>
      <c r="F447" t="inlineStr">
        <is>
          <t>SCA</t>
        </is>
      </c>
      <c r="G447" t="n">
        <v>5.6</v>
      </c>
      <c r="H447" t="n">
        <v>0</v>
      </c>
      <c r="I447" t="n">
        <v>0</v>
      </c>
      <c r="J447" t="n">
        <v>0</v>
      </c>
      <c r="K447" t="n">
        <v>0</v>
      </c>
      <c r="L447" t="n">
        <v>0</v>
      </c>
      <c r="M447" t="n">
        <v>0</v>
      </c>
      <c r="N447" t="n">
        <v>0</v>
      </c>
      <c r="O447" t="n">
        <v>0</v>
      </c>
      <c r="P447" t="n">
        <v>0</v>
      </c>
      <c r="Q447" t="n">
        <v>0</v>
      </c>
      <c r="R447" s="2" t="inlineStr"/>
    </row>
    <row r="448" ht="15" customHeight="1">
      <c r="A448" t="inlineStr">
        <is>
          <t>A 69174-2020</t>
        </is>
      </c>
      <c r="B448" s="1" t="n">
        <v>44188</v>
      </c>
      <c r="C448" s="1" t="n">
        <v>45359</v>
      </c>
      <c r="D448" t="inlineStr">
        <is>
          <t>JÄMTLANDS LÄN</t>
        </is>
      </c>
      <c r="E448" t="inlineStr">
        <is>
          <t>RAGUNDA</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69481-2020</t>
        </is>
      </c>
      <c r="B449" s="1" t="n">
        <v>44194</v>
      </c>
      <c r="C449" s="1" t="n">
        <v>45359</v>
      </c>
      <c r="D449" t="inlineStr">
        <is>
          <t>JÄMTLANDS LÄN</t>
        </is>
      </c>
      <c r="E449" t="inlineStr">
        <is>
          <t>RAGUNDA</t>
        </is>
      </c>
      <c r="G449" t="n">
        <v>1</v>
      </c>
      <c r="H449" t="n">
        <v>0</v>
      </c>
      <c r="I449" t="n">
        <v>0</v>
      </c>
      <c r="J449" t="n">
        <v>0</v>
      </c>
      <c r="K449" t="n">
        <v>0</v>
      </c>
      <c r="L449" t="n">
        <v>0</v>
      </c>
      <c r="M449" t="n">
        <v>0</v>
      </c>
      <c r="N449" t="n">
        <v>0</v>
      </c>
      <c r="O449" t="n">
        <v>0</v>
      </c>
      <c r="P449" t="n">
        <v>0</v>
      </c>
      <c r="Q449" t="n">
        <v>0</v>
      </c>
      <c r="R449" s="2" t="inlineStr"/>
    </row>
    <row r="450" ht="15" customHeight="1">
      <c r="A450" t="inlineStr">
        <is>
          <t>A 69618-2020</t>
        </is>
      </c>
      <c r="B450" s="1" t="n">
        <v>44195</v>
      </c>
      <c r="C450" s="1" t="n">
        <v>45359</v>
      </c>
      <c r="D450" t="inlineStr">
        <is>
          <t>JÄMTLANDS LÄN</t>
        </is>
      </c>
      <c r="E450" t="inlineStr">
        <is>
          <t>RAGUNDA</t>
        </is>
      </c>
      <c r="G450" t="n">
        <v>2.4</v>
      </c>
      <c r="H450" t="n">
        <v>0</v>
      </c>
      <c r="I450" t="n">
        <v>0</v>
      </c>
      <c r="J450" t="n">
        <v>0</v>
      </c>
      <c r="K450" t="n">
        <v>0</v>
      </c>
      <c r="L450" t="n">
        <v>0</v>
      </c>
      <c r="M450" t="n">
        <v>0</v>
      </c>
      <c r="N450" t="n">
        <v>0</v>
      </c>
      <c r="O450" t="n">
        <v>0</v>
      </c>
      <c r="P450" t="n">
        <v>0</v>
      </c>
      <c r="Q450" t="n">
        <v>0</v>
      </c>
      <c r="R450" s="2" t="inlineStr"/>
    </row>
    <row r="451" ht="15" customHeight="1">
      <c r="A451" t="inlineStr">
        <is>
          <t>A 1990-2021</t>
        </is>
      </c>
      <c r="B451" s="1" t="n">
        <v>44210</v>
      </c>
      <c r="C451" s="1" t="n">
        <v>45359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2469-2021</t>
        </is>
      </c>
      <c r="B452" s="1" t="n">
        <v>44214</v>
      </c>
      <c r="C452" s="1" t="n">
        <v>45359</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3571-2021</t>
        </is>
      </c>
      <c r="B453" s="1" t="n">
        <v>44218</v>
      </c>
      <c r="C453" s="1" t="n">
        <v>45359</v>
      </c>
      <c r="D453" t="inlineStr">
        <is>
          <t>JÄMTLANDS LÄN</t>
        </is>
      </c>
      <c r="E453" t="inlineStr">
        <is>
          <t>RAGUNDA</t>
        </is>
      </c>
      <c r="G453" t="n">
        <v>2.6</v>
      </c>
      <c r="H453" t="n">
        <v>0</v>
      </c>
      <c r="I453" t="n">
        <v>0</v>
      </c>
      <c r="J453" t="n">
        <v>0</v>
      </c>
      <c r="K453" t="n">
        <v>0</v>
      </c>
      <c r="L453" t="n">
        <v>0</v>
      </c>
      <c r="M453" t="n">
        <v>0</v>
      </c>
      <c r="N453" t="n">
        <v>0</v>
      </c>
      <c r="O453" t="n">
        <v>0</v>
      </c>
      <c r="P453" t="n">
        <v>0</v>
      </c>
      <c r="Q453" t="n">
        <v>0</v>
      </c>
      <c r="R453" s="2" t="inlineStr"/>
    </row>
    <row r="454" ht="15" customHeight="1">
      <c r="A454" t="inlineStr">
        <is>
          <t>A 4826-2021</t>
        </is>
      </c>
      <c r="B454" s="1" t="n">
        <v>44225</v>
      </c>
      <c r="C454" s="1" t="n">
        <v>45359</v>
      </c>
      <c r="D454" t="inlineStr">
        <is>
          <t>JÄMTLANDS LÄN</t>
        </is>
      </c>
      <c r="E454" t="inlineStr">
        <is>
          <t>RAGUNDA</t>
        </is>
      </c>
      <c r="G454" t="n">
        <v>2.2</v>
      </c>
      <c r="H454" t="n">
        <v>0</v>
      </c>
      <c r="I454" t="n">
        <v>0</v>
      </c>
      <c r="J454" t="n">
        <v>0</v>
      </c>
      <c r="K454" t="n">
        <v>0</v>
      </c>
      <c r="L454" t="n">
        <v>0</v>
      </c>
      <c r="M454" t="n">
        <v>0</v>
      </c>
      <c r="N454" t="n">
        <v>0</v>
      </c>
      <c r="O454" t="n">
        <v>0</v>
      </c>
      <c r="P454" t="n">
        <v>0</v>
      </c>
      <c r="Q454" t="n">
        <v>0</v>
      </c>
      <c r="R454" s="2" t="inlineStr"/>
    </row>
    <row r="455" ht="15" customHeight="1">
      <c r="A455" t="inlineStr">
        <is>
          <t>A 5130-2021</t>
        </is>
      </c>
      <c r="B455" s="1" t="n">
        <v>44228</v>
      </c>
      <c r="C455" s="1" t="n">
        <v>45359</v>
      </c>
      <c r="D455" t="inlineStr">
        <is>
          <t>JÄMTLANDS LÄN</t>
        </is>
      </c>
      <c r="E455" t="inlineStr">
        <is>
          <t>RAGUNDA</t>
        </is>
      </c>
      <c r="G455" t="n">
        <v>1.6</v>
      </c>
      <c r="H455" t="n">
        <v>0</v>
      </c>
      <c r="I455" t="n">
        <v>0</v>
      </c>
      <c r="J455" t="n">
        <v>0</v>
      </c>
      <c r="K455" t="n">
        <v>0</v>
      </c>
      <c r="L455" t="n">
        <v>0</v>
      </c>
      <c r="M455" t="n">
        <v>0</v>
      </c>
      <c r="N455" t="n">
        <v>0</v>
      </c>
      <c r="O455" t="n">
        <v>0</v>
      </c>
      <c r="P455" t="n">
        <v>0</v>
      </c>
      <c r="Q455" t="n">
        <v>0</v>
      </c>
      <c r="R455" s="2" t="inlineStr"/>
    </row>
    <row r="456" ht="15" customHeight="1">
      <c r="A456" t="inlineStr">
        <is>
          <t>A 5462-2021</t>
        </is>
      </c>
      <c r="B456" s="1" t="n">
        <v>44229</v>
      </c>
      <c r="C456" s="1" t="n">
        <v>45359</v>
      </c>
      <c r="D456" t="inlineStr">
        <is>
          <t>JÄMTLANDS LÄN</t>
        </is>
      </c>
      <c r="E456" t="inlineStr">
        <is>
          <t>RAGUNDA</t>
        </is>
      </c>
      <c r="G456" t="n">
        <v>1.8</v>
      </c>
      <c r="H456" t="n">
        <v>0</v>
      </c>
      <c r="I456" t="n">
        <v>0</v>
      </c>
      <c r="J456" t="n">
        <v>0</v>
      </c>
      <c r="K456" t="n">
        <v>0</v>
      </c>
      <c r="L456" t="n">
        <v>0</v>
      </c>
      <c r="M456" t="n">
        <v>0</v>
      </c>
      <c r="N456" t="n">
        <v>0</v>
      </c>
      <c r="O456" t="n">
        <v>0</v>
      </c>
      <c r="P456" t="n">
        <v>0</v>
      </c>
      <c r="Q456" t="n">
        <v>0</v>
      </c>
      <c r="R456" s="2" t="inlineStr"/>
    </row>
    <row r="457" ht="15" customHeight="1">
      <c r="A457" t="inlineStr">
        <is>
          <t>A 5803-2021</t>
        </is>
      </c>
      <c r="B457" s="1" t="n">
        <v>44230</v>
      </c>
      <c r="C457" s="1" t="n">
        <v>45359</v>
      </c>
      <c r="D457" t="inlineStr">
        <is>
          <t>JÄMTLANDS LÄN</t>
        </is>
      </c>
      <c r="E457" t="inlineStr">
        <is>
          <t>RAGUNDA</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5967-2021</t>
        </is>
      </c>
      <c r="B458" s="1" t="n">
        <v>44231</v>
      </c>
      <c r="C458" s="1" t="n">
        <v>45359</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5958-2021</t>
        </is>
      </c>
      <c r="B459" s="1" t="n">
        <v>44231</v>
      </c>
      <c r="C459" s="1" t="n">
        <v>45359</v>
      </c>
      <c r="D459" t="inlineStr">
        <is>
          <t>JÄMTLANDS LÄN</t>
        </is>
      </c>
      <c r="E459" t="inlineStr">
        <is>
          <t>RAGUNDA</t>
        </is>
      </c>
      <c r="G459" t="n">
        <v>3.1</v>
      </c>
      <c r="H459" t="n">
        <v>0</v>
      </c>
      <c r="I459" t="n">
        <v>0</v>
      </c>
      <c r="J459" t="n">
        <v>0</v>
      </c>
      <c r="K459" t="n">
        <v>0</v>
      </c>
      <c r="L459" t="n">
        <v>0</v>
      </c>
      <c r="M459" t="n">
        <v>0</v>
      </c>
      <c r="N459" t="n">
        <v>0</v>
      </c>
      <c r="O459" t="n">
        <v>0</v>
      </c>
      <c r="P459" t="n">
        <v>0</v>
      </c>
      <c r="Q459" t="n">
        <v>0</v>
      </c>
      <c r="R459" s="2" t="inlineStr"/>
    </row>
    <row r="460" ht="15" customHeight="1">
      <c r="A460" t="inlineStr">
        <is>
          <t>A 6802-2021</t>
        </is>
      </c>
      <c r="B460" s="1" t="n">
        <v>44236</v>
      </c>
      <c r="C460" s="1" t="n">
        <v>45359</v>
      </c>
      <c r="D460" t="inlineStr">
        <is>
          <t>JÄMTLANDS LÄN</t>
        </is>
      </c>
      <c r="E460" t="inlineStr">
        <is>
          <t>RAGUNDA</t>
        </is>
      </c>
      <c r="G460" t="n">
        <v>11.2</v>
      </c>
      <c r="H460" t="n">
        <v>0</v>
      </c>
      <c r="I460" t="n">
        <v>0</v>
      </c>
      <c r="J460" t="n">
        <v>0</v>
      </c>
      <c r="K460" t="n">
        <v>0</v>
      </c>
      <c r="L460" t="n">
        <v>0</v>
      </c>
      <c r="M460" t="n">
        <v>0</v>
      </c>
      <c r="N460" t="n">
        <v>0</v>
      </c>
      <c r="O460" t="n">
        <v>0</v>
      </c>
      <c r="P460" t="n">
        <v>0</v>
      </c>
      <c r="Q460" t="n">
        <v>0</v>
      </c>
      <c r="R460" s="2" t="inlineStr"/>
    </row>
    <row r="461" ht="15" customHeight="1">
      <c r="A461" t="inlineStr">
        <is>
          <t>A 7575-2021</t>
        </is>
      </c>
      <c r="B461" s="1" t="n">
        <v>44239</v>
      </c>
      <c r="C461" s="1" t="n">
        <v>45359</v>
      </c>
      <c r="D461" t="inlineStr">
        <is>
          <t>JÄMTLANDS LÄN</t>
        </is>
      </c>
      <c r="E461" t="inlineStr">
        <is>
          <t>RAGUNDA</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7886-2021</t>
        </is>
      </c>
      <c r="B462" s="1" t="n">
        <v>44242</v>
      </c>
      <c r="C462" s="1" t="n">
        <v>45359</v>
      </c>
      <c r="D462" t="inlineStr">
        <is>
          <t>JÄMTLANDS LÄN</t>
        </is>
      </c>
      <c r="E462" t="inlineStr">
        <is>
          <t>RAGUNDA</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8033-2021</t>
        </is>
      </c>
      <c r="B463" s="1" t="n">
        <v>44243</v>
      </c>
      <c r="C463" s="1" t="n">
        <v>45359</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8626-2021</t>
        </is>
      </c>
      <c r="B464" s="1" t="n">
        <v>44245</v>
      </c>
      <c r="C464" s="1" t="n">
        <v>45359</v>
      </c>
      <c r="D464" t="inlineStr">
        <is>
          <t>JÄMTLANDS LÄN</t>
        </is>
      </c>
      <c r="E464" t="inlineStr">
        <is>
          <t>RAGUNDA</t>
        </is>
      </c>
      <c r="G464" t="n">
        <v>3.3</v>
      </c>
      <c r="H464" t="n">
        <v>0</v>
      </c>
      <c r="I464" t="n">
        <v>0</v>
      </c>
      <c r="J464" t="n">
        <v>0</v>
      </c>
      <c r="K464" t="n">
        <v>0</v>
      </c>
      <c r="L464" t="n">
        <v>0</v>
      </c>
      <c r="M464" t="n">
        <v>0</v>
      </c>
      <c r="N464" t="n">
        <v>0</v>
      </c>
      <c r="O464" t="n">
        <v>0</v>
      </c>
      <c r="P464" t="n">
        <v>0</v>
      </c>
      <c r="Q464" t="n">
        <v>0</v>
      </c>
      <c r="R464" s="2" t="inlineStr"/>
    </row>
    <row r="465" ht="15" customHeight="1">
      <c r="A465" t="inlineStr">
        <is>
          <t>A 10938-2021</t>
        </is>
      </c>
      <c r="B465" s="1" t="n">
        <v>44259</v>
      </c>
      <c r="C465" s="1" t="n">
        <v>45359</v>
      </c>
      <c r="D465" t="inlineStr">
        <is>
          <t>JÄMTLANDS LÄN</t>
        </is>
      </c>
      <c r="E465" t="inlineStr">
        <is>
          <t>RAGUNDA</t>
        </is>
      </c>
      <c r="G465" t="n">
        <v>10.4</v>
      </c>
      <c r="H465" t="n">
        <v>0</v>
      </c>
      <c r="I465" t="n">
        <v>0</v>
      </c>
      <c r="J465" t="n">
        <v>0</v>
      </c>
      <c r="K465" t="n">
        <v>0</v>
      </c>
      <c r="L465" t="n">
        <v>0</v>
      </c>
      <c r="M465" t="n">
        <v>0</v>
      </c>
      <c r="N465" t="n">
        <v>0</v>
      </c>
      <c r="O465" t="n">
        <v>0</v>
      </c>
      <c r="P465" t="n">
        <v>0</v>
      </c>
      <c r="Q465" t="n">
        <v>0</v>
      </c>
      <c r="R465" s="2" t="inlineStr"/>
    </row>
    <row r="466" ht="15" customHeight="1">
      <c r="A466" t="inlineStr">
        <is>
          <t>A 10937-2021</t>
        </is>
      </c>
      <c r="B466" s="1" t="n">
        <v>44259</v>
      </c>
      <c r="C466" s="1" t="n">
        <v>45359</v>
      </c>
      <c r="D466" t="inlineStr">
        <is>
          <t>JÄMTLANDS LÄN</t>
        </is>
      </c>
      <c r="E466" t="inlineStr">
        <is>
          <t>RAGUNDA</t>
        </is>
      </c>
      <c r="G466" t="n">
        <v>10.8</v>
      </c>
      <c r="H466" t="n">
        <v>0</v>
      </c>
      <c r="I466" t="n">
        <v>0</v>
      </c>
      <c r="J466" t="n">
        <v>0</v>
      </c>
      <c r="K466" t="n">
        <v>0</v>
      </c>
      <c r="L466" t="n">
        <v>0</v>
      </c>
      <c r="M466" t="n">
        <v>0</v>
      </c>
      <c r="N466" t="n">
        <v>0</v>
      </c>
      <c r="O466" t="n">
        <v>0</v>
      </c>
      <c r="P466" t="n">
        <v>0</v>
      </c>
      <c r="Q466" t="n">
        <v>0</v>
      </c>
      <c r="R466" s="2" t="inlineStr"/>
    </row>
    <row r="467" ht="15" customHeight="1">
      <c r="A467" t="inlineStr">
        <is>
          <t>A 13571-2021</t>
        </is>
      </c>
      <c r="B467" s="1" t="n">
        <v>44273</v>
      </c>
      <c r="C467" s="1" t="n">
        <v>45359</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13570-2021</t>
        </is>
      </c>
      <c r="B468" s="1" t="n">
        <v>44273</v>
      </c>
      <c r="C468" s="1" t="n">
        <v>45359</v>
      </c>
      <c r="D468" t="inlineStr">
        <is>
          <t>JÄMTLANDS LÄN</t>
        </is>
      </c>
      <c r="E468" t="inlineStr">
        <is>
          <t>RAGUNDA</t>
        </is>
      </c>
      <c r="G468" t="n">
        <v>1.6</v>
      </c>
      <c r="H468" t="n">
        <v>0</v>
      </c>
      <c r="I468" t="n">
        <v>0</v>
      </c>
      <c r="J468" t="n">
        <v>0</v>
      </c>
      <c r="K468" t="n">
        <v>0</v>
      </c>
      <c r="L468" t="n">
        <v>0</v>
      </c>
      <c r="M468" t="n">
        <v>0</v>
      </c>
      <c r="N468" t="n">
        <v>0</v>
      </c>
      <c r="O468" t="n">
        <v>0</v>
      </c>
      <c r="P468" t="n">
        <v>0</v>
      </c>
      <c r="Q468" t="n">
        <v>0</v>
      </c>
      <c r="R468" s="2" t="inlineStr"/>
    </row>
    <row r="469" ht="15" customHeight="1">
      <c r="A469" t="inlineStr">
        <is>
          <t>A 13569-2021</t>
        </is>
      </c>
      <c r="B469" s="1" t="n">
        <v>44273</v>
      </c>
      <c r="C469" s="1" t="n">
        <v>45359</v>
      </c>
      <c r="D469" t="inlineStr">
        <is>
          <t>JÄMTLANDS LÄN</t>
        </is>
      </c>
      <c r="E469" t="inlineStr">
        <is>
          <t>RAGUNDA</t>
        </is>
      </c>
      <c r="G469" t="n">
        <v>2.6</v>
      </c>
      <c r="H469" t="n">
        <v>0</v>
      </c>
      <c r="I469" t="n">
        <v>0</v>
      </c>
      <c r="J469" t="n">
        <v>0</v>
      </c>
      <c r="K469" t="n">
        <v>0</v>
      </c>
      <c r="L469" t="n">
        <v>0</v>
      </c>
      <c r="M469" t="n">
        <v>0</v>
      </c>
      <c r="N469" t="n">
        <v>0</v>
      </c>
      <c r="O469" t="n">
        <v>0</v>
      </c>
      <c r="P469" t="n">
        <v>0</v>
      </c>
      <c r="Q469" t="n">
        <v>0</v>
      </c>
      <c r="R469" s="2" t="inlineStr"/>
    </row>
    <row r="470" ht="15" customHeight="1">
      <c r="A470" t="inlineStr">
        <is>
          <t>A 14790-2021</t>
        </is>
      </c>
      <c r="B470" s="1" t="n">
        <v>44280</v>
      </c>
      <c r="C470" s="1" t="n">
        <v>45359</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14776-2021</t>
        </is>
      </c>
      <c r="B471" s="1" t="n">
        <v>44280</v>
      </c>
      <c r="C471" s="1" t="n">
        <v>45359</v>
      </c>
      <c r="D471" t="inlineStr">
        <is>
          <t>JÄMTLANDS LÄN</t>
        </is>
      </c>
      <c r="E471" t="inlineStr">
        <is>
          <t>RAGUNDA</t>
        </is>
      </c>
      <c r="G471" t="n">
        <v>0.8</v>
      </c>
      <c r="H471" t="n">
        <v>0</v>
      </c>
      <c r="I471" t="n">
        <v>0</v>
      </c>
      <c r="J471" t="n">
        <v>0</v>
      </c>
      <c r="K471" t="n">
        <v>0</v>
      </c>
      <c r="L471" t="n">
        <v>0</v>
      </c>
      <c r="M471" t="n">
        <v>0</v>
      </c>
      <c r="N471" t="n">
        <v>0</v>
      </c>
      <c r="O471" t="n">
        <v>0</v>
      </c>
      <c r="P471" t="n">
        <v>0</v>
      </c>
      <c r="Q471" t="n">
        <v>0</v>
      </c>
      <c r="R471" s="2" t="inlineStr"/>
    </row>
    <row r="472" ht="15" customHeight="1">
      <c r="A472" t="inlineStr">
        <is>
          <t>A 15102-2021</t>
        </is>
      </c>
      <c r="B472" s="1" t="n">
        <v>44281</v>
      </c>
      <c r="C472" s="1" t="n">
        <v>45359</v>
      </c>
      <c r="D472" t="inlineStr">
        <is>
          <t>JÄMTLANDS LÄN</t>
        </is>
      </c>
      <c r="E472" t="inlineStr">
        <is>
          <t>RAGUNDA</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15720-2021</t>
        </is>
      </c>
      <c r="B473" s="1" t="n">
        <v>44286</v>
      </c>
      <c r="C473" s="1" t="n">
        <v>45359</v>
      </c>
      <c r="D473" t="inlineStr">
        <is>
          <t>JÄMTLANDS LÄN</t>
        </is>
      </c>
      <c r="E473" t="inlineStr">
        <is>
          <t>RAGUNDA</t>
        </is>
      </c>
      <c r="G473" t="n">
        <v>0.5</v>
      </c>
      <c r="H473" t="n">
        <v>0</v>
      </c>
      <c r="I473" t="n">
        <v>0</v>
      </c>
      <c r="J473" t="n">
        <v>0</v>
      </c>
      <c r="K473" t="n">
        <v>0</v>
      </c>
      <c r="L473" t="n">
        <v>0</v>
      </c>
      <c r="M473" t="n">
        <v>0</v>
      </c>
      <c r="N473" t="n">
        <v>0</v>
      </c>
      <c r="O473" t="n">
        <v>0</v>
      </c>
      <c r="P473" t="n">
        <v>0</v>
      </c>
      <c r="Q473" t="n">
        <v>0</v>
      </c>
      <c r="R473" s="2" t="inlineStr"/>
    </row>
    <row r="474" ht="15" customHeight="1">
      <c r="A474" t="inlineStr">
        <is>
          <t>A 15672-2021</t>
        </is>
      </c>
      <c r="B474" s="1" t="n">
        <v>44286</v>
      </c>
      <c r="C474" s="1" t="n">
        <v>45359</v>
      </c>
      <c r="D474" t="inlineStr">
        <is>
          <t>JÄMTLANDS LÄN</t>
        </is>
      </c>
      <c r="E474" t="inlineStr">
        <is>
          <t>RAGUNDA</t>
        </is>
      </c>
      <c r="G474" t="n">
        <v>1.7</v>
      </c>
      <c r="H474" t="n">
        <v>0</v>
      </c>
      <c r="I474" t="n">
        <v>0</v>
      </c>
      <c r="J474" t="n">
        <v>0</v>
      </c>
      <c r="K474" t="n">
        <v>0</v>
      </c>
      <c r="L474" t="n">
        <v>0</v>
      </c>
      <c r="M474" t="n">
        <v>0</v>
      </c>
      <c r="N474" t="n">
        <v>0</v>
      </c>
      <c r="O474" t="n">
        <v>0</v>
      </c>
      <c r="P474" t="n">
        <v>0</v>
      </c>
      <c r="Q474" t="n">
        <v>0</v>
      </c>
      <c r="R474" s="2" t="inlineStr"/>
    </row>
    <row r="475" ht="15" customHeight="1">
      <c r="A475" t="inlineStr">
        <is>
          <t>A 16002-2021</t>
        </is>
      </c>
      <c r="B475" s="1" t="n">
        <v>44287</v>
      </c>
      <c r="C475" s="1" t="n">
        <v>45359</v>
      </c>
      <c r="D475" t="inlineStr">
        <is>
          <t>JÄMTLANDS LÄN</t>
        </is>
      </c>
      <c r="E475" t="inlineStr">
        <is>
          <t>RAGUNDA</t>
        </is>
      </c>
      <c r="G475" t="n">
        <v>3.6</v>
      </c>
      <c r="H475" t="n">
        <v>0</v>
      </c>
      <c r="I475" t="n">
        <v>0</v>
      </c>
      <c r="J475" t="n">
        <v>0</v>
      </c>
      <c r="K475" t="n">
        <v>0</v>
      </c>
      <c r="L475" t="n">
        <v>0</v>
      </c>
      <c r="M475" t="n">
        <v>0</v>
      </c>
      <c r="N475" t="n">
        <v>0</v>
      </c>
      <c r="O475" t="n">
        <v>0</v>
      </c>
      <c r="P475" t="n">
        <v>0</v>
      </c>
      <c r="Q475" t="n">
        <v>0</v>
      </c>
      <c r="R475" s="2" t="inlineStr"/>
    </row>
    <row r="476" ht="15" customHeight="1">
      <c r="A476" t="inlineStr">
        <is>
          <t>A 16379-2021</t>
        </is>
      </c>
      <c r="B476" s="1" t="n">
        <v>44292</v>
      </c>
      <c r="C476" s="1" t="n">
        <v>45359</v>
      </c>
      <c r="D476" t="inlineStr">
        <is>
          <t>JÄMTLANDS LÄN</t>
        </is>
      </c>
      <c r="E476" t="inlineStr">
        <is>
          <t>RAGUNDA</t>
        </is>
      </c>
      <c r="G476" t="n">
        <v>2</v>
      </c>
      <c r="H476" t="n">
        <v>0</v>
      </c>
      <c r="I476" t="n">
        <v>0</v>
      </c>
      <c r="J476" t="n">
        <v>0</v>
      </c>
      <c r="K476" t="n">
        <v>0</v>
      </c>
      <c r="L476" t="n">
        <v>0</v>
      </c>
      <c r="M476" t="n">
        <v>0</v>
      </c>
      <c r="N476" t="n">
        <v>0</v>
      </c>
      <c r="O476" t="n">
        <v>0</v>
      </c>
      <c r="P476" t="n">
        <v>0</v>
      </c>
      <c r="Q476" t="n">
        <v>0</v>
      </c>
      <c r="R476" s="2" t="inlineStr"/>
    </row>
    <row r="477" ht="15" customHeight="1">
      <c r="A477" t="inlineStr">
        <is>
          <t>A 17315-2021</t>
        </is>
      </c>
      <c r="B477" s="1" t="n">
        <v>44298</v>
      </c>
      <c r="C477" s="1" t="n">
        <v>45359</v>
      </c>
      <c r="D477" t="inlineStr">
        <is>
          <t>JÄMTLANDS LÄN</t>
        </is>
      </c>
      <c r="E477" t="inlineStr">
        <is>
          <t>RAGUNDA</t>
        </is>
      </c>
      <c r="G477" t="n">
        <v>0.6</v>
      </c>
      <c r="H477" t="n">
        <v>0</v>
      </c>
      <c r="I477" t="n">
        <v>0</v>
      </c>
      <c r="J477" t="n">
        <v>0</v>
      </c>
      <c r="K477" t="n">
        <v>0</v>
      </c>
      <c r="L477" t="n">
        <v>0</v>
      </c>
      <c r="M477" t="n">
        <v>0</v>
      </c>
      <c r="N477" t="n">
        <v>0</v>
      </c>
      <c r="O477" t="n">
        <v>0</v>
      </c>
      <c r="P477" t="n">
        <v>0</v>
      </c>
      <c r="Q477" t="n">
        <v>0</v>
      </c>
      <c r="R477" s="2" t="inlineStr"/>
    </row>
    <row r="478" ht="15" customHeight="1">
      <c r="A478" t="inlineStr">
        <is>
          <t>A 17598-2021</t>
        </is>
      </c>
      <c r="B478" s="1" t="n">
        <v>44299</v>
      </c>
      <c r="C478" s="1" t="n">
        <v>45359</v>
      </c>
      <c r="D478" t="inlineStr">
        <is>
          <t>JÄMTLANDS LÄN</t>
        </is>
      </c>
      <c r="E478" t="inlineStr">
        <is>
          <t>RAGUNDA</t>
        </is>
      </c>
      <c r="G478" t="n">
        <v>4.6</v>
      </c>
      <c r="H478" t="n">
        <v>0</v>
      </c>
      <c r="I478" t="n">
        <v>0</v>
      </c>
      <c r="J478" t="n">
        <v>0</v>
      </c>
      <c r="K478" t="n">
        <v>0</v>
      </c>
      <c r="L478" t="n">
        <v>0</v>
      </c>
      <c r="M478" t="n">
        <v>0</v>
      </c>
      <c r="N478" t="n">
        <v>0</v>
      </c>
      <c r="O478" t="n">
        <v>0</v>
      </c>
      <c r="P478" t="n">
        <v>0</v>
      </c>
      <c r="Q478" t="n">
        <v>0</v>
      </c>
      <c r="R478" s="2" t="inlineStr"/>
    </row>
    <row r="479" ht="15" customHeight="1">
      <c r="A479" t="inlineStr">
        <is>
          <t>A 18454-2021</t>
        </is>
      </c>
      <c r="B479" s="1" t="n">
        <v>44306</v>
      </c>
      <c r="C479" s="1" t="n">
        <v>45359</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19615-2021</t>
        </is>
      </c>
      <c r="B480" s="1" t="n">
        <v>44308</v>
      </c>
      <c r="C480" s="1" t="n">
        <v>45359</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19612-2021</t>
        </is>
      </c>
      <c r="B481" s="1" t="n">
        <v>44308</v>
      </c>
      <c r="C481" s="1" t="n">
        <v>45359</v>
      </c>
      <c r="D481" t="inlineStr">
        <is>
          <t>JÄMTLANDS LÄN</t>
        </is>
      </c>
      <c r="E481" t="inlineStr">
        <is>
          <t>RAGUNDA</t>
        </is>
      </c>
      <c r="G481" t="n">
        <v>1</v>
      </c>
      <c r="H481" t="n">
        <v>0</v>
      </c>
      <c r="I481" t="n">
        <v>0</v>
      </c>
      <c r="J481" t="n">
        <v>0</v>
      </c>
      <c r="K481" t="n">
        <v>0</v>
      </c>
      <c r="L481" t="n">
        <v>0</v>
      </c>
      <c r="M481" t="n">
        <v>0</v>
      </c>
      <c r="N481" t="n">
        <v>0</v>
      </c>
      <c r="O481" t="n">
        <v>0</v>
      </c>
      <c r="P481" t="n">
        <v>0</v>
      </c>
      <c r="Q481" t="n">
        <v>0</v>
      </c>
      <c r="R481" s="2" t="inlineStr"/>
    </row>
    <row r="482" ht="15" customHeight="1">
      <c r="A482" t="inlineStr">
        <is>
          <t>A 19600-2021</t>
        </is>
      </c>
      <c r="B482" s="1" t="n">
        <v>44308</v>
      </c>
      <c r="C482" s="1" t="n">
        <v>45359</v>
      </c>
      <c r="D482" t="inlineStr">
        <is>
          <t>JÄMTLANDS LÄN</t>
        </is>
      </c>
      <c r="E482" t="inlineStr">
        <is>
          <t>RAGUNDA</t>
        </is>
      </c>
      <c r="G482" t="n">
        <v>4.3</v>
      </c>
      <c r="H482" t="n">
        <v>0</v>
      </c>
      <c r="I482" t="n">
        <v>0</v>
      </c>
      <c r="J482" t="n">
        <v>0</v>
      </c>
      <c r="K482" t="n">
        <v>0</v>
      </c>
      <c r="L482" t="n">
        <v>0</v>
      </c>
      <c r="M482" t="n">
        <v>0</v>
      </c>
      <c r="N482" t="n">
        <v>0</v>
      </c>
      <c r="O482" t="n">
        <v>0</v>
      </c>
      <c r="P482" t="n">
        <v>0</v>
      </c>
      <c r="Q482" t="n">
        <v>0</v>
      </c>
      <c r="R482" s="2" t="inlineStr"/>
    </row>
    <row r="483" ht="15" customHeight="1">
      <c r="A483" t="inlineStr">
        <is>
          <t>A 19595-2021</t>
        </is>
      </c>
      <c r="B483" s="1" t="n">
        <v>44308</v>
      </c>
      <c r="C483" s="1" t="n">
        <v>45359</v>
      </c>
      <c r="D483" t="inlineStr">
        <is>
          <t>JÄMTLANDS LÄN</t>
        </is>
      </c>
      <c r="E483" t="inlineStr">
        <is>
          <t>RAGUNDA</t>
        </is>
      </c>
      <c r="G483" t="n">
        <v>5.4</v>
      </c>
      <c r="H483" t="n">
        <v>0</v>
      </c>
      <c r="I483" t="n">
        <v>0</v>
      </c>
      <c r="J483" t="n">
        <v>0</v>
      </c>
      <c r="K483" t="n">
        <v>0</v>
      </c>
      <c r="L483" t="n">
        <v>0</v>
      </c>
      <c r="M483" t="n">
        <v>0</v>
      </c>
      <c r="N483" t="n">
        <v>0</v>
      </c>
      <c r="O483" t="n">
        <v>0</v>
      </c>
      <c r="P483" t="n">
        <v>0</v>
      </c>
      <c r="Q483" t="n">
        <v>0</v>
      </c>
      <c r="R483" s="2" t="inlineStr"/>
    </row>
    <row r="484" ht="15" customHeight="1">
      <c r="A484" t="inlineStr">
        <is>
          <t>A 20548-2021</t>
        </is>
      </c>
      <c r="B484" s="1" t="n">
        <v>44315</v>
      </c>
      <c r="C484" s="1" t="n">
        <v>45359</v>
      </c>
      <c r="D484" t="inlineStr">
        <is>
          <t>JÄMTLANDS LÄN</t>
        </is>
      </c>
      <c r="E484" t="inlineStr">
        <is>
          <t>RAGUNDA</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22655-2021</t>
        </is>
      </c>
      <c r="B485" s="1" t="n">
        <v>44322</v>
      </c>
      <c r="C485" s="1" t="n">
        <v>45359</v>
      </c>
      <c r="D485" t="inlineStr">
        <is>
          <t>JÄMTLANDS LÄN</t>
        </is>
      </c>
      <c r="E485" t="inlineStr">
        <is>
          <t>RAGUNDA</t>
        </is>
      </c>
      <c r="G485" t="n">
        <v>5.8</v>
      </c>
      <c r="H485" t="n">
        <v>0</v>
      </c>
      <c r="I485" t="n">
        <v>0</v>
      </c>
      <c r="J485" t="n">
        <v>0</v>
      </c>
      <c r="K485" t="n">
        <v>0</v>
      </c>
      <c r="L485" t="n">
        <v>0</v>
      </c>
      <c r="M485" t="n">
        <v>0</v>
      </c>
      <c r="N485" t="n">
        <v>0</v>
      </c>
      <c r="O485" t="n">
        <v>0</v>
      </c>
      <c r="P485" t="n">
        <v>0</v>
      </c>
      <c r="Q485" t="n">
        <v>0</v>
      </c>
      <c r="R485" s="2" t="inlineStr"/>
    </row>
    <row r="486" ht="15" customHeight="1">
      <c r="A486" t="inlineStr">
        <is>
          <t>A 22131-2021</t>
        </is>
      </c>
      <c r="B486" s="1" t="n">
        <v>44323</v>
      </c>
      <c r="C486" s="1" t="n">
        <v>45359</v>
      </c>
      <c r="D486" t="inlineStr">
        <is>
          <t>JÄMTLANDS LÄN</t>
        </is>
      </c>
      <c r="E486" t="inlineStr">
        <is>
          <t>RAGUNDA</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23169-2021</t>
        </is>
      </c>
      <c r="B487" s="1" t="n">
        <v>44332</v>
      </c>
      <c r="C487" s="1" t="n">
        <v>45359</v>
      </c>
      <c r="D487" t="inlineStr">
        <is>
          <t>JÄMTLANDS LÄN</t>
        </is>
      </c>
      <c r="E487" t="inlineStr">
        <is>
          <t>RAGUNDA</t>
        </is>
      </c>
      <c r="F487" t="inlineStr">
        <is>
          <t>SCA</t>
        </is>
      </c>
      <c r="G487" t="n">
        <v>59.9</v>
      </c>
      <c r="H487" t="n">
        <v>0</v>
      </c>
      <c r="I487" t="n">
        <v>0</v>
      </c>
      <c r="J487" t="n">
        <v>0</v>
      </c>
      <c r="K487" t="n">
        <v>0</v>
      </c>
      <c r="L487" t="n">
        <v>0</v>
      </c>
      <c r="M487" t="n">
        <v>0</v>
      </c>
      <c r="N487" t="n">
        <v>0</v>
      </c>
      <c r="O487" t="n">
        <v>0</v>
      </c>
      <c r="P487" t="n">
        <v>0</v>
      </c>
      <c r="Q487" t="n">
        <v>0</v>
      </c>
      <c r="R487" s="2" t="inlineStr"/>
    </row>
    <row r="488" ht="15" customHeight="1">
      <c r="A488" t="inlineStr">
        <is>
          <t>A 24171-2021</t>
        </is>
      </c>
      <c r="B488" s="1" t="n">
        <v>44336</v>
      </c>
      <c r="C488" s="1" t="n">
        <v>45359</v>
      </c>
      <c r="D488" t="inlineStr">
        <is>
          <t>JÄMTLANDS LÄN</t>
        </is>
      </c>
      <c r="E488" t="inlineStr">
        <is>
          <t>RAGUNDA</t>
        </is>
      </c>
      <c r="G488" t="n">
        <v>3.6</v>
      </c>
      <c r="H488" t="n">
        <v>0</v>
      </c>
      <c r="I488" t="n">
        <v>0</v>
      </c>
      <c r="J488" t="n">
        <v>0</v>
      </c>
      <c r="K488" t="n">
        <v>0</v>
      </c>
      <c r="L488" t="n">
        <v>0</v>
      </c>
      <c r="M488" t="n">
        <v>0</v>
      </c>
      <c r="N488" t="n">
        <v>0</v>
      </c>
      <c r="O488" t="n">
        <v>0</v>
      </c>
      <c r="P488" t="n">
        <v>0</v>
      </c>
      <c r="Q488" t="n">
        <v>0</v>
      </c>
      <c r="R488" s="2" t="inlineStr"/>
    </row>
    <row r="489" ht="15" customHeight="1">
      <c r="A489" t="inlineStr">
        <is>
          <t>A 24280-2021</t>
        </is>
      </c>
      <c r="B489" s="1" t="n">
        <v>44336</v>
      </c>
      <c r="C489" s="1" t="n">
        <v>45359</v>
      </c>
      <c r="D489" t="inlineStr">
        <is>
          <t>JÄMTLANDS LÄN</t>
        </is>
      </c>
      <c r="E489" t="inlineStr">
        <is>
          <t>RAGUNDA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25811-2021</t>
        </is>
      </c>
      <c r="B490" s="1" t="n">
        <v>44344</v>
      </c>
      <c r="C490" s="1" t="n">
        <v>45359</v>
      </c>
      <c r="D490" t="inlineStr">
        <is>
          <t>JÄMTLANDS LÄN</t>
        </is>
      </c>
      <c r="E490" t="inlineStr">
        <is>
          <t>RAGUNDA</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26942-2021</t>
        </is>
      </c>
      <c r="B491" s="1" t="n">
        <v>44350</v>
      </c>
      <c r="C491" s="1" t="n">
        <v>45359</v>
      </c>
      <c r="D491" t="inlineStr">
        <is>
          <t>JÄMTLANDS LÄN</t>
        </is>
      </c>
      <c r="E491" t="inlineStr">
        <is>
          <t>RAGUNDA</t>
        </is>
      </c>
      <c r="G491" t="n">
        <v>6.2</v>
      </c>
      <c r="H491" t="n">
        <v>0</v>
      </c>
      <c r="I491" t="n">
        <v>0</v>
      </c>
      <c r="J491" t="n">
        <v>0</v>
      </c>
      <c r="K491" t="n">
        <v>0</v>
      </c>
      <c r="L491" t="n">
        <v>0</v>
      </c>
      <c r="M491" t="n">
        <v>0</v>
      </c>
      <c r="N491" t="n">
        <v>0</v>
      </c>
      <c r="O491" t="n">
        <v>0</v>
      </c>
      <c r="P491" t="n">
        <v>0</v>
      </c>
      <c r="Q491" t="n">
        <v>0</v>
      </c>
      <c r="R491" s="2" t="inlineStr"/>
    </row>
    <row r="492" ht="15" customHeight="1">
      <c r="A492" t="inlineStr">
        <is>
          <t>A 26948-2021</t>
        </is>
      </c>
      <c r="B492" s="1" t="n">
        <v>44350</v>
      </c>
      <c r="C492" s="1" t="n">
        <v>45359</v>
      </c>
      <c r="D492" t="inlineStr">
        <is>
          <t>JÄMTLANDS LÄN</t>
        </is>
      </c>
      <c r="E492" t="inlineStr">
        <is>
          <t>RAGUNDA</t>
        </is>
      </c>
      <c r="G492" t="n">
        <v>2.5</v>
      </c>
      <c r="H492" t="n">
        <v>0</v>
      </c>
      <c r="I492" t="n">
        <v>0</v>
      </c>
      <c r="J492" t="n">
        <v>0</v>
      </c>
      <c r="K492" t="n">
        <v>0</v>
      </c>
      <c r="L492" t="n">
        <v>0</v>
      </c>
      <c r="M492" t="n">
        <v>0</v>
      </c>
      <c r="N492" t="n">
        <v>0</v>
      </c>
      <c r="O492" t="n">
        <v>0</v>
      </c>
      <c r="P492" t="n">
        <v>0</v>
      </c>
      <c r="Q492" t="n">
        <v>0</v>
      </c>
      <c r="R492" s="2" t="inlineStr"/>
    </row>
    <row r="493" ht="15" customHeight="1">
      <c r="A493" t="inlineStr">
        <is>
          <t>A 26945-2021</t>
        </is>
      </c>
      <c r="B493" s="1" t="n">
        <v>44350</v>
      </c>
      <c r="C493" s="1" t="n">
        <v>45359</v>
      </c>
      <c r="D493" t="inlineStr">
        <is>
          <t>JÄMTLANDS LÄN</t>
        </is>
      </c>
      <c r="E493" t="inlineStr">
        <is>
          <t>RAGUNDA</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26946-2021</t>
        </is>
      </c>
      <c r="B494" s="1" t="n">
        <v>44349</v>
      </c>
      <c r="C494" s="1" t="n">
        <v>45359</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27399-2021</t>
        </is>
      </c>
      <c r="B495" s="1" t="n">
        <v>44351</v>
      </c>
      <c r="C495" s="1" t="n">
        <v>45359</v>
      </c>
      <c r="D495" t="inlineStr">
        <is>
          <t>JÄMTLANDS LÄN</t>
        </is>
      </c>
      <c r="E495" t="inlineStr">
        <is>
          <t>RAGUNDA</t>
        </is>
      </c>
      <c r="F495" t="inlineStr">
        <is>
          <t>Kommuner</t>
        </is>
      </c>
      <c r="G495" t="n">
        <v>3.1</v>
      </c>
      <c r="H495" t="n">
        <v>0</v>
      </c>
      <c r="I495" t="n">
        <v>0</v>
      </c>
      <c r="J495" t="n">
        <v>0</v>
      </c>
      <c r="K495" t="n">
        <v>0</v>
      </c>
      <c r="L495" t="n">
        <v>0</v>
      </c>
      <c r="M495" t="n">
        <v>0</v>
      </c>
      <c r="N495" t="n">
        <v>0</v>
      </c>
      <c r="O495" t="n">
        <v>0</v>
      </c>
      <c r="P495" t="n">
        <v>0</v>
      </c>
      <c r="Q495" t="n">
        <v>0</v>
      </c>
      <c r="R495" s="2" t="inlineStr"/>
    </row>
    <row r="496" ht="15" customHeight="1">
      <c r="A496" t="inlineStr">
        <is>
          <t>A 27371-2021</t>
        </is>
      </c>
      <c r="B496" s="1" t="n">
        <v>44351</v>
      </c>
      <c r="C496" s="1" t="n">
        <v>45359</v>
      </c>
      <c r="D496" t="inlineStr">
        <is>
          <t>JÄMTLANDS LÄN</t>
        </is>
      </c>
      <c r="E496" t="inlineStr">
        <is>
          <t>RAGUNDA</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28596-2021</t>
        </is>
      </c>
      <c r="B497" s="1" t="n">
        <v>44356</v>
      </c>
      <c r="C497" s="1" t="n">
        <v>45359</v>
      </c>
      <c r="D497" t="inlineStr">
        <is>
          <t>JÄMTLANDS LÄN</t>
        </is>
      </c>
      <c r="E497" t="inlineStr">
        <is>
          <t>RAGUNDA</t>
        </is>
      </c>
      <c r="G497" t="n">
        <v>5.4</v>
      </c>
      <c r="H497" t="n">
        <v>0</v>
      </c>
      <c r="I497" t="n">
        <v>0</v>
      </c>
      <c r="J497" t="n">
        <v>0</v>
      </c>
      <c r="K497" t="n">
        <v>0</v>
      </c>
      <c r="L497" t="n">
        <v>0</v>
      </c>
      <c r="M497" t="n">
        <v>0</v>
      </c>
      <c r="N497" t="n">
        <v>0</v>
      </c>
      <c r="O497" t="n">
        <v>0</v>
      </c>
      <c r="P497" t="n">
        <v>0</v>
      </c>
      <c r="Q497" t="n">
        <v>0</v>
      </c>
      <c r="R497" s="2" t="inlineStr"/>
    </row>
    <row r="498" ht="15" customHeight="1">
      <c r="A498" t="inlineStr">
        <is>
          <t>A 28597-2021</t>
        </is>
      </c>
      <c r="B498" s="1" t="n">
        <v>44357</v>
      </c>
      <c r="C498" s="1" t="n">
        <v>45359</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28887-2021</t>
        </is>
      </c>
      <c r="B499" s="1" t="n">
        <v>44357</v>
      </c>
      <c r="C499" s="1" t="n">
        <v>45359</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29409-2021</t>
        </is>
      </c>
      <c r="B500" s="1" t="n">
        <v>44361</v>
      </c>
      <c r="C500" s="1" t="n">
        <v>45359</v>
      </c>
      <c r="D500" t="inlineStr">
        <is>
          <t>JÄMTLANDS LÄN</t>
        </is>
      </c>
      <c r="E500" t="inlineStr">
        <is>
          <t>RAGUNDA</t>
        </is>
      </c>
      <c r="G500" t="n">
        <v>0.3</v>
      </c>
      <c r="H500" t="n">
        <v>0</v>
      </c>
      <c r="I500" t="n">
        <v>0</v>
      </c>
      <c r="J500" t="n">
        <v>0</v>
      </c>
      <c r="K500" t="n">
        <v>0</v>
      </c>
      <c r="L500" t="n">
        <v>0</v>
      </c>
      <c r="M500" t="n">
        <v>0</v>
      </c>
      <c r="N500" t="n">
        <v>0</v>
      </c>
      <c r="O500" t="n">
        <v>0</v>
      </c>
      <c r="P500" t="n">
        <v>0</v>
      </c>
      <c r="Q500" t="n">
        <v>0</v>
      </c>
      <c r="R500" s="2" t="inlineStr"/>
    </row>
    <row r="501" ht="15" customHeight="1">
      <c r="A501" t="inlineStr">
        <is>
          <t>A 30438-2021</t>
        </is>
      </c>
      <c r="B501" s="1" t="n">
        <v>44362</v>
      </c>
      <c r="C501" s="1" t="n">
        <v>45359</v>
      </c>
      <c r="D501" t="inlineStr">
        <is>
          <t>JÄMTLANDS LÄN</t>
        </is>
      </c>
      <c r="E501" t="inlineStr">
        <is>
          <t>RAGUNDA</t>
        </is>
      </c>
      <c r="G501" t="n">
        <v>5</v>
      </c>
      <c r="H501" t="n">
        <v>0</v>
      </c>
      <c r="I501" t="n">
        <v>0</v>
      </c>
      <c r="J501" t="n">
        <v>0</v>
      </c>
      <c r="K501" t="n">
        <v>0</v>
      </c>
      <c r="L501" t="n">
        <v>0</v>
      </c>
      <c r="M501" t="n">
        <v>0</v>
      </c>
      <c r="N501" t="n">
        <v>0</v>
      </c>
      <c r="O501" t="n">
        <v>0</v>
      </c>
      <c r="P501" t="n">
        <v>0</v>
      </c>
      <c r="Q501" t="n">
        <v>0</v>
      </c>
      <c r="R501" s="2" t="inlineStr"/>
    </row>
    <row r="502" ht="15" customHeight="1">
      <c r="A502" t="inlineStr">
        <is>
          <t>A 30459-2021</t>
        </is>
      </c>
      <c r="B502" s="1" t="n">
        <v>44362</v>
      </c>
      <c r="C502" s="1" t="n">
        <v>45359</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30581-2021</t>
        </is>
      </c>
      <c r="B503" s="1" t="n">
        <v>44365</v>
      </c>
      <c r="C503" s="1" t="n">
        <v>45359</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31158-2021</t>
        </is>
      </c>
      <c r="B504" s="1" t="n">
        <v>44368</v>
      </c>
      <c r="C504" s="1" t="n">
        <v>45359</v>
      </c>
      <c r="D504" t="inlineStr">
        <is>
          <t>JÄMTLANDS LÄN</t>
        </is>
      </c>
      <c r="E504" t="inlineStr">
        <is>
          <t>RAGUNDA</t>
        </is>
      </c>
      <c r="G504" t="n">
        <v>0.5</v>
      </c>
      <c r="H504" t="n">
        <v>0</v>
      </c>
      <c r="I504" t="n">
        <v>0</v>
      </c>
      <c r="J504" t="n">
        <v>0</v>
      </c>
      <c r="K504" t="n">
        <v>0</v>
      </c>
      <c r="L504" t="n">
        <v>0</v>
      </c>
      <c r="M504" t="n">
        <v>0</v>
      </c>
      <c r="N504" t="n">
        <v>0</v>
      </c>
      <c r="O504" t="n">
        <v>0</v>
      </c>
      <c r="P504" t="n">
        <v>0</v>
      </c>
      <c r="Q504" t="n">
        <v>0</v>
      </c>
      <c r="R504" s="2" t="inlineStr"/>
    </row>
    <row r="505" ht="15" customHeight="1">
      <c r="A505" t="inlineStr">
        <is>
          <t>A 31727-2021</t>
        </is>
      </c>
      <c r="B505" s="1" t="n">
        <v>44370</v>
      </c>
      <c r="C505" s="1" t="n">
        <v>45359</v>
      </c>
      <c r="D505" t="inlineStr">
        <is>
          <t>JÄMTLANDS LÄN</t>
        </is>
      </c>
      <c r="E505" t="inlineStr">
        <is>
          <t>RAGUNDA</t>
        </is>
      </c>
      <c r="G505" t="n">
        <v>1</v>
      </c>
      <c r="H505" t="n">
        <v>0</v>
      </c>
      <c r="I505" t="n">
        <v>0</v>
      </c>
      <c r="J505" t="n">
        <v>0</v>
      </c>
      <c r="K505" t="n">
        <v>0</v>
      </c>
      <c r="L505" t="n">
        <v>0</v>
      </c>
      <c r="M505" t="n">
        <v>0</v>
      </c>
      <c r="N505" t="n">
        <v>0</v>
      </c>
      <c r="O505" t="n">
        <v>0</v>
      </c>
      <c r="P505" t="n">
        <v>0</v>
      </c>
      <c r="Q505" t="n">
        <v>0</v>
      </c>
      <c r="R505" s="2" t="inlineStr"/>
    </row>
    <row r="506" ht="15" customHeight="1">
      <c r="A506" t="inlineStr">
        <is>
          <t>A 32832-2021</t>
        </is>
      </c>
      <c r="B506" s="1" t="n">
        <v>44375</v>
      </c>
      <c r="C506" s="1" t="n">
        <v>45359</v>
      </c>
      <c r="D506" t="inlineStr">
        <is>
          <t>JÄMTLANDS LÄN</t>
        </is>
      </c>
      <c r="E506" t="inlineStr">
        <is>
          <t>RAGUNDA</t>
        </is>
      </c>
      <c r="G506" t="n">
        <v>3</v>
      </c>
      <c r="H506" t="n">
        <v>0</v>
      </c>
      <c r="I506" t="n">
        <v>0</v>
      </c>
      <c r="J506" t="n">
        <v>0</v>
      </c>
      <c r="K506" t="n">
        <v>0</v>
      </c>
      <c r="L506" t="n">
        <v>0</v>
      </c>
      <c r="M506" t="n">
        <v>0</v>
      </c>
      <c r="N506" t="n">
        <v>0</v>
      </c>
      <c r="O506" t="n">
        <v>0</v>
      </c>
      <c r="P506" t="n">
        <v>0</v>
      </c>
      <c r="Q506" t="n">
        <v>0</v>
      </c>
      <c r="R506" s="2" t="inlineStr"/>
    </row>
    <row r="507" ht="15" customHeight="1">
      <c r="A507" t="inlineStr">
        <is>
          <t>A 34348-2021</t>
        </is>
      </c>
      <c r="B507" s="1" t="n">
        <v>44379</v>
      </c>
      <c r="C507" s="1" t="n">
        <v>45359</v>
      </c>
      <c r="D507" t="inlineStr">
        <is>
          <t>JÄMTLANDS LÄN</t>
        </is>
      </c>
      <c r="E507" t="inlineStr">
        <is>
          <t>RAGUNDA</t>
        </is>
      </c>
      <c r="G507" t="n">
        <v>8.1</v>
      </c>
      <c r="H507" t="n">
        <v>0</v>
      </c>
      <c r="I507" t="n">
        <v>0</v>
      </c>
      <c r="J507" t="n">
        <v>0</v>
      </c>
      <c r="K507" t="n">
        <v>0</v>
      </c>
      <c r="L507" t="n">
        <v>0</v>
      </c>
      <c r="M507" t="n">
        <v>0</v>
      </c>
      <c r="N507" t="n">
        <v>0</v>
      </c>
      <c r="O507" t="n">
        <v>0</v>
      </c>
      <c r="P507" t="n">
        <v>0</v>
      </c>
      <c r="Q507" t="n">
        <v>0</v>
      </c>
      <c r="R507" s="2" t="inlineStr"/>
    </row>
    <row r="508" ht="15" customHeight="1">
      <c r="A508" t="inlineStr">
        <is>
          <t>A 35537-2021</t>
        </is>
      </c>
      <c r="B508" s="1" t="n">
        <v>44384</v>
      </c>
      <c r="C508" s="1" t="n">
        <v>45359</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35386-2021</t>
        </is>
      </c>
      <c r="B509" s="1" t="n">
        <v>44385</v>
      </c>
      <c r="C509" s="1" t="n">
        <v>45359</v>
      </c>
      <c r="D509" t="inlineStr">
        <is>
          <t>JÄMTLANDS LÄN</t>
        </is>
      </c>
      <c r="E509" t="inlineStr">
        <is>
          <t>RAGUNDA</t>
        </is>
      </c>
      <c r="G509" t="n">
        <v>1.7</v>
      </c>
      <c r="H509" t="n">
        <v>0</v>
      </c>
      <c r="I509" t="n">
        <v>0</v>
      </c>
      <c r="J509" t="n">
        <v>0</v>
      </c>
      <c r="K509" t="n">
        <v>0</v>
      </c>
      <c r="L509" t="n">
        <v>0</v>
      </c>
      <c r="M509" t="n">
        <v>0</v>
      </c>
      <c r="N509" t="n">
        <v>0</v>
      </c>
      <c r="O509" t="n">
        <v>0</v>
      </c>
      <c r="P509" t="n">
        <v>0</v>
      </c>
      <c r="Q509" t="n">
        <v>0</v>
      </c>
      <c r="R509" s="2" t="inlineStr"/>
    </row>
    <row r="510" ht="15" customHeight="1">
      <c r="A510" t="inlineStr">
        <is>
          <t>A 35988-2021</t>
        </is>
      </c>
      <c r="B510" s="1" t="n">
        <v>44385</v>
      </c>
      <c r="C510" s="1" t="n">
        <v>45359</v>
      </c>
      <c r="D510" t="inlineStr">
        <is>
          <t>JÄMTLANDS LÄN</t>
        </is>
      </c>
      <c r="E510" t="inlineStr">
        <is>
          <t>RAGUNDA</t>
        </is>
      </c>
      <c r="G510" t="n">
        <v>4.1</v>
      </c>
      <c r="H510" t="n">
        <v>0</v>
      </c>
      <c r="I510" t="n">
        <v>0</v>
      </c>
      <c r="J510" t="n">
        <v>0</v>
      </c>
      <c r="K510" t="n">
        <v>0</v>
      </c>
      <c r="L510" t="n">
        <v>0</v>
      </c>
      <c r="M510" t="n">
        <v>0</v>
      </c>
      <c r="N510" t="n">
        <v>0</v>
      </c>
      <c r="O510" t="n">
        <v>0</v>
      </c>
      <c r="P510" t="n">
        <v>0</v>
      </c>
      <c r="Q510" t="n">
        <v>0</v>
      </c>
      <c r="R510" s="2" t="inlineStr"/>
    </row>
    <row r="511" ht="15" customHeight="1">
      <c r="A511" t="inlineStr">
        <is>
          <t>A 36227-2021</t>
        </is>
      </c>
      <c r="B511" s="1" t="n">
        <v>44390</v>
      </c>
      <c r="C511" s="1" t="n">
        <v>45359</v>
      </c>
      <c r="D511" t="inlineStr">
        <is>
          <t>JÄMTLANDS LÄN</t>
        </is>
      </c>
      <c r="E511" t="inlineStr">
        <is>
          <t>RAGUNDA</t>
        </is>
      </c>
      <c r="G511" t="n">
        <v>0.7</v>
      </c>
      <c r="H511" t="n">
        <v>0</v>
      </c>
      <c r="I511" t="n">
        <v>0</v>
      </c>
      <c r="J511" t="n">
        <v>0</v>
      </c>
      <c r="K511" t="n">
        <v>0</v>
      </c>
      <c r="L511" t="n">
        <v>0</v>
      </c>
      <c r="M511" t="n">
        <v>0</v>
      </c>
      <c r="N511" t="n">
        <v>0</v>
      </c>
      <c r="O511" t="n">
        <v>0</v>
      </c>
      <c r="P511" t="n">
        <v>0</v>
      </c>
      <c r="Q511" t="n">
        <v>0</v>
      </c>
      <c r="R511" s="2" t="inlineStr"/>
    </row>
    <row r="512" ht="15" customHeight="1">
      <c r="A512" t="inlineStr">
        <is>
          <t>A 36228-2021</t>
        </is>
      </c>
      <c r="B512" s="1" t="n">
        <v>44390</v>
      </c>
      <c r="C512" s="1" t="n">
        <v>45359</v>
      </c>
      <c r="D512" t="inlineStr">
        <is>
          <t>JÄMTLANDS LÄN</t>
        </is>
      </c>
      <c r="E512" t="inlineStr">
        <is>
          <t>RAGUNDA</t>
        </is>
      </c>
      <c r="G512" t="n">
        <v>1.7</v>
      </c>
      <c r="H512" t="n">
        <v>0</v>
      </c>
      <c r="I512" t="n">
        <v>0</v>
      </c>
      <c r="J512" t="n">
        <v>0</v>
      </c>
      <c r="K512" t="n">
        <v>0</v>
      </c>
      <c r="L512" t="n">
        <v>0</v>
      </c>
      <c r="M512" t="n">
        <v>0</v>
      </c>
      <c r="N512" t="n">
        <v>0</v>
      </c>
      <c r="O512" t="n">
        <v>0</v>
      </c>
      <c r="P512" t="n">
        <v>0</v>
      </c>
      <c r="Q512" t="n">
        <v>0</v>
      </c>
      <c r="R512" s="2" t="inlineStr"/>
    </row>
    <row r="513" ht="15" customHeight="1">
      <c r="A513" t="inlineStr">
        <is>
          <t>A 36230-2021</t>
        </is>
      </c>
      <c r="B513" s="1" t="n">
        <v>44390</v>
      </c>
      <c r="C513" s="1" t="n">
        <v>45359</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37227-2021</t>
        </is>
      </c>
      <c r="B514" s="1" t="n">
        <v>44396</v>
      </c>
      <c r="C514" s="1" t="n">
        <v>45359</v>
      </c>
      <c r="D514" t="inlineStr">
        <is>
          <t>JÄMTLANDS LÄN</t>
        </is>
      </c>
      <c r="E514" t="inlineStr">
        <is>
          <t>RAGUNDA</t>
        </is>
      </c>
      <c r="G514" t="n">
        <v>10.1</v>
      </c>
      <c r="H514" t="n">
        <v>0</v>
      </c>
      <c r="I514" t="n">
        <v>0</v>
      </c>
      <c r="J514" t="n">
        <v>0</v>
      </c>
      <c r="K514" t="n">
        <v>0</v>
      </c>
      <c r="L514" t="n">
        <v>0</v>
      </c>
      <c r="M514" t="n">
        <v>0</v>
      </c>
      <c r="N514" t="n">
        <v>0</v>
      </c>
      <c r="O514" t="n">
        <v>0</v>
      </c>
      <c r="P514" t="n">
        <v>0</v>
      </c>
      <c r="Q514" t="n">
        <v>0</v>
      </c>
      <c r="R514" s="2" t="inlineStr"/>
    </row>
    <row r="515" ht="15" customHeight="1">
      <c r="A515" t="inlineStr">
        <is>
          <t>A 37806-2021</t>
        </is>
      </c>
      <c r="B515" s="1" t="n">
        <v>44402</v>
      </c>
      <c r="C515" s="1" t="n">
        <v>45359</v>
      </c>
      <c r="D515" t="inlineStr">
        <is>
          <t>JÄMTLANDS LÄN</t>
        </is>
      </c>
      <c r="E515" t="inlineStr">
        <is>
          <t>RAGUNDA</t>
        </is>
      </c>
      <c r="G515" t="n">
        <v>0.3</v>
      </c>
      <c r="H515" t="n">
        <v>0</v>
      </c>
      <c r="I515" t="n">
        <v>0</v>
      </c>
      <c r="J515" t="n">
        <v>0</v>
      </c>
      <c r="K515" t="n">
        <v>0</v>
      </c>
      <c r="L515" t="n">
        <v>0</v>
      </c>
      <c r="M515" t="n">
        <v>0</v>
      </c>
      <c r="N515" t="n">
        <v>0</v>
      </c>
      <c r="O515" t="n">
        <v>0</v>
      </c>
      <c r="P515" t="n">
        <v>0</v>
      </c>
      <c r="Q515" t="n">
        <v>0</v>
      </c>
      <c r="R515" s="2" t="inlineStr"/>
    </row>
    <row r="516" ht="15" customHeight="1">
      <c r="A516" t="inlineStr">
        <is>
          <t>A 38212-2021</t>
        </is>
      </c>
      <c r="B516" s="1" t="n">
        <v>44405</v>
      </c>
      <c r="C516" s="1" t="n">
        <v>45359</v>
      </c>
      <c r="D516" t="inlineStr">
        <is>
          <t>JÄMTLANDS LÄN</t>
        </is>
      </c>
      <c r="E516" t="inlineStr">
        <is>
          <t>RAGUNDA</t>
        </is>
      </c>
      <c r="G516" t="n">
        <v>5.5</v>
      </c>
      <c r="H516" t="n">
        <v>0</v>
      </c>
      <c r="I516" t="n">
        <v>0</v>
      </c>
      <c r="J516" t="n">
        <v>0</v>
      </c>
      <c r="K516" t="n">
        <v>0</v>
      </c>
      <c r="L516" t="n">
        <v>0</v>
      </c>
      <c r="M516" t="n">
        <v>0</v>
      </c>
      <c r="N516" t="n">
        <v>0</v>
      </c>
      <c r="O516" t="n">
        <v>0</v>
      </c>
      <c r="P516" t="n">
        <v>0</v>
      </c>
      <c r="Q516" t="n">
        <v>0</v>
      </c>
      <c r="R516" s="2" t="inlineStr"/>
    </row>
    <row r="517" ht="15" customHeight="1">
      <c r="A517" t="inlineStr">
        <is>
          <t>A 38270-2021</t>
        </is>
      </c>
      <c r="B517" s="1" t="n">
        <v>44406</v>
      </c>
      <c r="C517" s="1" t="n">
        <v>45359</v>
      </c>
      <c r="D517" t="inlineStr">
        <is>
          <t>JÄMTLANDS LÄN</t>
        </is>
      </c>
      <c r="E517" t="inlineStr">
        <is>
          <t>RAGUNDA</t>
        </is>
      </c>
      <c r="G517" t="n">
        <v>1.3</v>
      </c>
      <c r="H517" t="n">
        <v>0</v>
      </c>
      <c r="I517" t="n">
        <v>0</v>
      </c>
      <c r="J517" t="n">
        <v>0</v>
      </c>
      <c r="K517" t="n">
        <v>0</v>
      </c>
      <c r="L517" t="n">
        <v>0</v>
      </c>
      <c r="M517" t="n">
        <v>0</v>
      </c>
      <c r="N517" t="n">
        <v>0</v>
      </c>
      <c r="O517" t="n">
        <v>0</v>
      </c>
      <c r="P517" t="n">
        <v>0</v>
      </c>
      <c r="Q517" t="n">
        <v>0</v>
      </c>
      <c r="R517" s="2" t="inlineStr"/>
    </row>
    <row r="518" ht="15" customHeight="1">
      <c r="A518" t="inlineStr">
        <is>
          <t>A 38269-2021</t>
        </is>
      </c>
      <c r="B518" s="1" t="n">
        <v>44406</v>
      </c>
      <c r="C518" s="1" t="n">
        <v>45359</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38782-2021</t>
        </is>
      </c>
      <c r="B519" s="1" t="n">
        <v>44410</v>
      </c>
      <c r="C519" s="1" t="n">
        <v>45359</v>
      </c>
      <c r="D519" t="inlineStr">
        <is>
          <t>JÄMTLANDS LÄN</t>
        </is>
      </c>
      <c r="E519" t="inlineStr">
        <is>
          <t>RAGUNDA</t>
        </is>
      </c>
      <c r="G519" t="n">
        <v>3.2</v>
      </c>
      <c r="H519" t="n">
        <v>0</v>
      </c>
      <c r="I519" t="n">
        <v>0</v>
      </c>
      <c r="J519" t="n">
        <v>0</v>
      </c>
      <c r="K519" t="n">
        <v>0</v>
      </c>
      <c r="L519" t="n">
        <v>0</v>
      </c>
      <c r="M519" t="n">
        <v>0</v>
      </c>
      <c r="N519" t="n">
        <v>0</v>
      </c>
      <c r="O519" t="n">
        <v>0</v>
      </c>
      <c r="P519" t="n">
        <v>0</v>
      </c>
      <c r="Q519" t="n">
        <v>0</v>
      </c>
      <c r="R519" s="2" t="inlineStr"/>
    </row>
    <row r="520" ht="15" customHeight="1">
      <c r="A520" t="inlineStr">
        <is>
          <t>A 39258-2021</t>
        </is>
      </c>
      <c r="B520" s="1" t="n">
        <v>44413</v>
      </c>
      <c r="C520" s="1" t="n">
        <v>45359</v>
      </c>
      <c r="D520" t="inlineStr">
        <is>
          <t>JÄMTLANDS LÄN</t>
        </is>
      </c>
      <c r="E520" t="inlineStr">
        <is>
          <t>RAGUNDA</t>
        </is>
      </c>
      <c r="G520" t="n">
        <v>4.2</v>
      </c>
      <c r="H520" t="n">
        <v>0</v>
      </c>
      <c r="I520" t="n">
        <v>0</v>
      </c>
      <c r="J520" t="n">
        <v>0</v>
      </c>
      <c r="K520" t="n">
        <v>0</v>
      </c>
      <c r="L520" t="n">
        <v>0</v>
      </c>
      <c r="M520" t="n">
        <v>0</v>
      </c>
      <c r="N520" t="n">
        <v>0</v>
      </c>
      <c r="O520" t="n">
        <v>0</v>
      </c>
      <c r="P520" t="n">
        <v>0</v>
      </c>
      <c r="Q520" t="n">
        <v>0</v>
      </c>
      <c r="R520" s="2" t="inlineStr"/>
    </row>
    <row r="521" ht="15" customHeight="1">
      <c r="A521" t="inlineStr">
        <is>
          <t>A 40213-2021</t>
        </is>
      </c>
      <c r="B521" s="1" t="n">
        <v>44419</v>
      </c>
      <c r="C521" s="1" t="n">
        <v>45359</v>
      </c>
      <c r="D521" t="inlineStr">
        <is>
          <t>JÄMTLANDS LÄN</t>
        </is>
      </c>
      <c r="E521" t="inlineStr">
        <is>
          <t>RAGUNDA</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40770-2021</t>
        </is>
      </c>
      <c r="B522" s="1" t="n">
        <v>44421</v>
      </c>
      <c r="C522" s="1" t="n">
        <v>45359</v>
      </c>
      <c r="D522" t="inlineStr">
        <is>
          <t>JÄMTLANDS LÄN</t>
        </is>
      </c>
      <c r="E522" t="inlineStr">
        <is>
          <t>RAGUNDA</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41062-2021</t>
        </is>
      </c>
      <c r="B523" s="1" t="n">
        <v>44422</v>
      </c>
      <c r="C523" s="1" t="n">
        <v>45359</v>
      </c>
      <c r="D523" t="inlineStr">
        <is>
          <t>JÄMTLANDS LÄN</t>
        </is>
      </c>
      <c r="E523" t="inlineStr">
        <is>
          <t>RAGUNDA</t>
        </is>
      </c>
      <c r="F523" t="inlineStr">
        <is>
          <t>SCA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41262-2021</t>
        </is>
      </c>
      <c r="B524" s="1" t="n">
        <v>44424</v>
      </c>
      <c r="C524" s="1" t="n">
        <v>45359</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41613-2021</t>
        </is>
      </c>
      <c r="B525" s="1" t="n">
        <v>44425</v>
      </c>
      <c r="C525" s="1" t="n">
        <v>45359</v>
      </c>
      <c r="D525" t="inlineStr">
        <is>
          <t>JÄMTLANDS LÄN</t>
        </is>
      </c>
      <c r="E525" t="inlineStr">
        <is>
          <t>RAGUNDA</t>
        </is>
      </c>
      <c r="F525" t="inlineStr">
        <is>
          <t>Kommuner</t>
        </is>
      </c>
      <c r="G525" t="n">
        <v>1.5</v>
      </c>
      <c r="H525" t="n">
        <v>0</v>
      </c>
      <c r="I525" t="n">
        <v>0</v>
      </c>
      <c r="J525" t="n">
        <v>0</v>
      </c>
      <c r="K525" t="n">
        <v>0</v>
      </c>
      <c r="L525" t="n">
        <v>0</v>
      </c>
      <c r="M525" t="n">
        <v>0</v>
      </c>
      <c r="N525" t="n">
        <v>0</v>
      </c>
      <c r="O525" t="n">
        <v>0</v>
      </c>
      <c r="P525" t="n">
        <v>0</v>
      </c>
      <c r="Q525" t="n">
        <v>0</v>
      </c>
      <c r="R525" s="2" t="inlineStr"/>
    </row>
    <row r="526" ht="15" customHeight="1">
      <c r="A526" t="inlineStr">
        <is>
          <t>A 41609-2021</t>
        </is>
      </c>
      <c r="B526" s="1" t="n">
        <v>44425</v>
      </c>
      <c r="C526" s="1" t="n">
        <v>45359</v>
      </c>
      <c r="D526" t="inlineStr">
        <is>
          <t>JÄMTLANDS LÄN</t>
        </is>
      </c>
      <c r="E526" t="inlineStr">
        <is>
          <t>RAGUNDA</t>
        </is>
      </c>
      <c r="F526" t="inlineStr">
        <is>
          <t>Kommuner</t>
        </is>
      </c>
      <c r="G526" t="n">
        <v>2.8</v>
      </c>
      <c r="H526" t="n">
        <v>0</v>
      </c>
      <c r="I526" t="n">
        <v>0</v>
      </c>
      <c r="J526" t="n">
        <v>0</v>
      </c>
      <c r="K526" t="n">
        <v>0</v>
      </c>
      <c r="L526" t="n">
        <v>0</v>
      </c>
      <c r="M526" t="n">
        <v>0</v>
      </c>
      <c r="N526" t="n">
        <v>0</v>
      </c>
      <c r="O526" t="n">
        <v>0</v>
      </c>
      <c r="P526" t="n">
        <v>0</v>
      </c>
      <c r="Q526" t="n">
        <v>0</v>
      </c>
      <c r="R526" s="2" t="inlineStr"/>
    </row>
    <row r="527" ht="15" customHeight="1">
      <c r="A527" t="inlineStr">
        <is>
          <t>A 41606-2021</t>
        </is>
      </c>
      <c r="B527" s="1" t="n">
        <v>44425</v>
      </c>
      <c r="C527" s="1" t="n">
        <v>45359</v>
      </c>
      <c r="D527" t="inlineStr">
        <is>
          <t>JÄMTLANDS LÄN</t>
        </is>
      </c>
      <c r="E527" t="inlineStr">
        <is>
          <t>RAGUNDA</t>
        </is>
      </c>
      <c r="F527" t="inlineStr">
        <is>
          <t>Kommuner</t>
        </is>
      </c>
      <c r="G527" t="n">
        <v>3.5</v>
      </c>
      <c r="H527" t="n">
        <v>0</v>
      </c>
      <c r="I527" t="n">
        <v>0</v>
      </c>
      <c r="J527" t="n">
        <v>0</v>
      </c>
      <c r="K527" t="n">
        <v>0</v>
      </c>
      <c r="L527" t="n">
        <v>0</v>
      </c>
      <c r="M527" t="n">
        <v>0</v>
      </c>
      <c r="N527" t="n">
        <v>0</v>
      </c>
      <c r="O527" t="n">
        <v>0</v>
      </c>
      <c r="P527" t="n">
        <v>0</v>
      </c>
      <c r="Q527" t="n">
        <v>0</v>
      </c>
      <c r="R527" s="2" t="inlineStr"/>
    </row>
    <row r="528" ht="15" customHeight="1">
      <c r="A528" t="inlineStr">
        <is>
          <t>A 42260-2021</t>
        </is>
      </c>
      <c r="B528" s="1" t="n">
        <v>44427</v>
      </c>
      <c r="C528" s="1" t="n">
        <v>45359</v>
      </c>
      <c r="D528" t="inlineStr">
        <is>
          <t>JÄMTLANDS LÄN</t>
        </is>
      </c>
      <c r="E528" t="inlineStr">
        <is>
          <t>RAGUNDA</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42537-2021</t>
        </is>
      </c>
      <c r="B529" s="1" t="n">
        <v>44428</v>
      </c>
      <c r="C529" s="1" t="n">
        <v>45359</v>
      </c>
      <c r="D529" t="inlineStr">
        <is>
          <t>JÄMTLANDS LÄN</t>
        </is>
      </c>
      <c r="E529" t="inlineStr">
        <is>
          <t>RAGUNDA</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43040-2021</t>
        </is>
      </c>
      <c r="B530" s="1" t="n">
        <v>44431</v>
      </c>
      <c r="C530" s="1" t="n">
        <v>45359</v>
      </c>
      <c r="D530" t="inlineStr">
        <is>
          <t>JÄMTLANDS LÄN</t>
        </is>
      </c>
      <c r="E530" t="inlineStr">
        <is>
          <t>RAGUNDA</t>
        </is>
      </c>
      <c r="G530" t="n">
        <v>4.9</v>
      </c>
      <c r="H530" t="n">
        <v>0</v>
      </c>
      <c r="I530" t="n">
        <v>0</v>
      </c>
      <c r="J530" t="n">
        <v>0</v>
      </c>
      <c r="K530" t="n">
        <v>0</v>
      </c>
      <c r="L530" t="n">
        <v>0</v>
      </c>
      <c r="M530" t="n">
        <v>0</v>
      </c>
      <c r="N530" t="n">
        <v>0</v>
      </c>
      <c r="O530" t="n">
        <v>0</v>
      </c>
      <c r="P530" t="n">
        <v>0</v>
      </c>
      <c r="Q530" t="n">
        <v>0</v>
      </c>
      <c r="R530" s="2" t="inlineStr"/>
    </row>
    <row r="531" ht="15" customHeight="1">
      <c r="A531" t="inlineStr">
        <is>
          <t>A 44163-2021</t>
        </is>
      </c>
      <c r="B531" s="1" t="n">
        <v>44434</v>
      </c>
      <c r="C531" s="1" t="n">
        <v>45359</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44241-2021</t>
        </is>
      </c>
      <c r="B532" s="1" t="n">
        <v>44435</v>
      </c>
      <c r="C532" s="1" t="n">
        <v>45359</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44247-2021</t>
        </is>
      </c>
      <c r="B533" s="1" t="n">
        <v>44435</v>
      </c>
      <c r="C533" s="1" t="n">
        <v>45359</v>
      </c>
      <c r="D533" t="inlineStr">
        <is>
          <t>JÄMTLANDS LÄN</t>
        </is>
      </c>
      <c r="E533" t="inlineStr">
        <is>
          <t>RAGUNDA</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46228-2021</t>
        </is>
      </c>
      <c r="B534" s="1" t="n">
        <v>44441</v>
      </c>
      <c r="C534" s="1" t="n">
        <v>45359</v>
      </c>
      <c r="D534" t="inlineStr">
        <is>
          <t>JÄMTLANDS LÄN</t>
        </is>
      </c>
      <c r="E534" t="inlineStr">
        <is>
          <t>RAGUNDA</t>
        </is>
      </c>
      <c r="G534" t="n">
        <v>0.8</v>
      </c>
      <c r="H534" t="n">
        <v>0</v>
      </c>
      <c r="I534" t="n">
        <v>0</v>
      </c>
      <c r="J534" t="n">
        <v>0</v>
      </c>
      <c r="K534" t="n">
        <v>0</v>
      </c>
      <c r="L534" t="n">
        <v>0</v>
      </c>
      <c r="M534" t="n">
        <v>0</v>
      </c>
      <c r="N534" t="n">
        <v>0</v>
      </c>
      <c r="O534" t="n">
        <v>0</v>
      </c>
      <c r="P534" t="n">
        <v>0</v>
      </c>
      <c r="Q534" t="n">
        <v>0</v>
      </c>
      <c r="R534" s="2" t="inlineStr"/>
    </row>
    <row r="535" ht="15" customHeight="1">
      <c r="A535" t="inlineStr">
        <is>
          <t>A 46368-2021</t>
        </is>
      </c>
      <c r="B535" s="1" t="n">
        <v>44443</v>
      </c>
      <c r="C535" s="1" t="n">
        <v>45359</v>
      </c>
      <c r="D535" t="inlineStr">
        <is>
          <t>JÄMTLANDS LÄN</t>
        </is>
      </c>
      <c r="E535" t="inlineStr">
        <is>
          <t>RAGUNDA</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46401-2021</t>
        </is>
      </c>
      <c r="B536" s="1" t="n">
        <v>44443</v>
      </c>
      <c r="C536" s="1" t="n">
        <v>45359</v>
      </c>
      <c r="D536" t="inlineStr">
        <is>
          <t>JÄMTLANDS LÄN</t>
        </is>
      </c>
      <c r="E536" t="inlineStr">
        <is>
          <t>RAGUNDA</t>
        </is>
      </c>
      <c r="G536" t="n">
        <v>7</v>
      </c>
      <c r="H536" t="n">
        <v>0</v>
      </c>
      <c r="I536" t="n">
        <v>0</v>
      </c>
      <c r="J536" t="n">
        <v>0</v>
      </c>
      <c r="K536" t="n">
        <v>0</v>
      </c>
      <c r="L536" t="n">
        <v>0</v>
      </c>
      <c r="M536" t="n">
        <v>0</v>
      </c>
      <c r="N536" t="n">
        <v>0</v>
      </c>
      <c r="O536" t="n">
        <v>0</v>
      </c>
      <c r="P536" t="n">
        <v>0</v>
      </c>
      <c r="Q536" t="n">
        <v>0</v>
      </c>
      <c r="R536" s="2" t="inlineStr"/>
    </row>
    <row r="537" ht="15" customHeight="1">
      <c r="A537" t="inlineStr">
        <is>
          <t>A 47548-2021</t>
        </is>
      </c>
      <c r="B537" s="1" t="n">
        <v>44448</v>
      </c>
      <c r="C537" s="1" t="n">
        <v>45359</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47546-2021</t>
        </is>
      </c>
      <c r="B538" s="1" t="n">
        <v>44448</v>
      </c>
      <c r="C538" s="1" t="n">
        <v>45359</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47996-2021</t>
        </is>
      </c>
      <c r="B539" s="1" t="n">
        <v>44448</v>
      </c>
      <c r="C539" s="1" t="n">
        <v>45359</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48832-2021</t>
        </is>
      </c>
      <c r="B540" s="1" t="n">
        <v>44452</v>
      </c>
      <c r="C540" s="1" t="n">
        <v>45359</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49202-2021</t>
        </is>
      </c>
      <c r="B541" s="1" t="n">
        <v>44453</v>
      </c>
      <c r="C541" s="1" t="n">
        <v>45359</v>
      </c>
      <c r="D541" t="inlineStr">
        <is>
          <t>JÄMTLANDS LÄN</t>
        </is>
      </c>
      <c r="E541" t="inlineStr">
        <is>
          <t>RAGUNDA</t>
        </is>
      </c>
      <c r="G541" t="n">
        <v>23.4</v>
      </c>
      <c r="H541" t="n">
        <v>0</v>
      </c>
      <c r="I541" t="n">
        <v>0</v>
      </c>
      <c r="J541" t="n">
        <v>0</v>
      </c>
      <c r="K541" t="n">
        <v>0</v>
      </c>
      <c r="L541" t="n">
        <v>0</v>
      </c>
      <c r="M541" t="n">
        <v>0</v>
      </c>
      <c r="N541" t="n">
        <v>0</v>
      </c>
      <c r="O541" t="n">
        <v>0</v>
      </c>
      <c r="P541" t="n">
        <v>0</v>
      </c>
      <c r="Q541" t="n">
        <v>0</v>
      </c>
      <c r="R541" s="2" t="inlineStr"/>
    </row>
    <row r="542" ht="15" customHeight="1">
      <c r="A542" t="inlineStr">
        <is>
          <t>A 50168-2021</t>
        </is>
      </c>
      <c r="B542" s="1" t="n">
        <v>44457</v>
      </c>
      <c r="C542" s="1" t="n">
        <v>45359</v>
      </c>
      <c r="D542" t="inlineStr">
        <is>
          <t>JÄMTLANDS LÄN</t>
        </is>
      </c>
      <c r="E542" t="inlineStr">
        <is>
          <t>RAGUNDA</t>
        </is>
      </c>
      <c r="G542" t="n">
        <v>0.7</v>
      </c>
      <c r="H542" t="n">
        <v>0</v>
      </c>
      <c r="I542" t="n">
        <v>0</v>
      </c>
      <c r="J542" t="n">
        <v>0</v>
      </c>
      <c r="K542" t="n">
        <v>0</v>
      </c>
      <c r="L542" t="n">
        <v>0</v>
      </c>
      <c r="M542" t="n">
        <v>0</v>
      </c>
      <c r="N542" t="n">
        <v>0</v>
      </c>
      <c r="O542" t="n">
        <v>0</v>
      </c>
      <c r="P542" t="n">
        <v>0</v>
      </c>
      <c r="Q542" t="n">
        <v>0</v>
      </c>
      <c r="R542" s="2" t="inlineStr"/>
    </row>
    <row r="543" ht="15" customHeight="1">
      <c r="A543" t="inlineStr">
        <is>
          <t>A 52334-2021</t>
        </is>
      </c>
      <c r="B543" s="1" t="n">
        <v>44464</v>
      </c>
      <c r="C543" s="1" t="n">
        <v>45359</v>
      </c>
      <c r="D543" t="inlineStr">
        <is>
          <t>JÄMTLANDS LÄN</t>
        </is>
      </c>
      <c r="E543" t="inlineStr">
        <is>
          <t>RAGUNDA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52333-2021</t>
        </is>
      </c>
      <c r="B544" s="1" t="n">
        <v>44464</v>
      </c>
      <c r="C544" s="1" t="n">
        <v>45359</v>
      </c>
      <c r="D544" t="inlineStr">
        <is>
          <t>JÄMTLANDS LÄN</t>
        </is>
      </c>
      <c r="E544" t="inlineStr">
        <is>
          <t>RAGUNDA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55701-2021</t>
        </is>
      </c>
      <c r="B545" s="1" t="n">
        <v>44475</v>
      </c>
      <c r="C545" s="1" t="n">
        <v>45359</v>
      </c>
      <c r="D545" t="inlineStr">
        <is>
          <t>JÄMTLANDS LÄN</t>
        </is>
      </c>
      <c r="E545" t="inlineStr">
        <is>
          <t>RAGUNDA</t>
        </is>
      </c>
      <c r="G545" t="n">
        <v>5.6</v>
      </c>
      <c r="H545" t="n">
        <v>0</v>
      </c>
      <c r="I545" t="n">
        <v>0</v>
      </c>
      <c r="J545" t="n">
        <v>0</v>
      </c>
      <c r="K545" t="n">
        <v>0</v>
      </c>
      <c r="L545" t="n">
        <v>0</v>
      </c>
      <c r="M545" t="n">
        <v>0</v>
      </c>
      <c r="N545" t="n">
        <v>0</v>
      </c>
      <c r="O545" t="n">
        <v>0</v>
      </c>
      <c r="P545" t="n">
        <v>0</v>
      </c>
      <c r="Q545" t="n">
        <v>0</v>
      </c>
      <c r="R545" s="2" t="inlineStr"/>
    </row>
    <row r="546" ht="15" customHeight="1">
      <c r="A546" t="inlineStr">
        <is>
          <t>A 55932-2021</t>
        </is>
      </c>
      <c r="B546" s="1" t="n">
        <v>44476</v>
      </c>
      <c r="C546" s="1" t="n">
        <v>45359</v>
      </c>
      <c r="D546" t="inlineStr">
        <is>
          <t>JÄMTLANDS LÄN</t>
        </is>
      </c>
      <c r="E546" t="inlineStr">
        <is>
          <t>RAGUNDA</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56055-2021</t>
        </is>
      </c>
      <c r="B547" s="1" t="n">
        <v>44477</v>
      </c>
      <c r="C547" s="1" t="n">
        <v>45359</v>
      </c>
      <c r="D547" t="inlineStr">
        <is>
          <t>JÄMTLANDS LÄN</t>
        </is>
      </c>
      <c r="E547" t="inlineStr">
        <is>
          <t>RAGUNDA</t>
        </is>
      </c>
      <c r="G547" t="n">
        <v>3.9</v>
      </c>
      <c r="H547" t="n">
        <v>0</v>
      </c>
      <c r="I547" t="n">
        <v>0</v>
      </c>
      <c r="J547" t="n">
        <v>0</v>
      </c>
      <c r="K547" t="n">
        <v>0</v>
      </c>
      <c r="L547" t="n">
        <v>0</v>
      </c>
      <c r="M547" t="n">
        <v>0</v>
      </c>
      <c r="N547" t="n">
        <v>0</v>
      </c>
      <c r="O547" t="n">
        <v>0</v>
      </c>
      <c r="P547" t="n">
        <v>0</v>
      </c>
      <c r="Q547" t="n">
        <v>0</v>
      </c>
      <c r="R547" s="2" t="inlineStr"/>
    </row>
    <row r="548" ht="15" customHeight="1">
      <c r="A548" t="inlineStr">
        <is>
          <t>A 56594-2021</t>
        </is>
      </c>
      <c r="B548" s="1" t="n">
        <v>44480</v>
      </c>
      <c r="C548" s="1" t="n">
        <v>45359</v>
      </c>
      <c r="D548" t="inlineStr">
        <is>
          <t>JÄMTLANDS LÄN</t>
        </is>
      </c>
      <c r="E548" t="inlineStr">
        <is>
          <t>RAGUNDA</t>
        </is>
      </c>
      <c r="G548" t="n">
        <v>5.4</v>
      </c>
      <c r="H548" t="n">
        <v>0</v>
      </c>
      <c r="I548" t="n">
        <v>0</v>
      </c>
      <c r="J548" t="n">
        <v>0</v>
      </c>
      <c r="K548" t="n">
        <v>0</v>
      </c>
      <c r="L548" t="n">
        <v>0</v>
      </c>
      <c r="M548" t="n">
        <v>0</v>
      </c>
      <c r="N548" t="n">
        <v>0</v>
      </c>
      <c r="O548" t="n">
        <v>0</v>
      </c>
      <c r="P548" t="n">
        <v>0</v>
      </c>
      <c r="Q548" t="n">
        <v>0</v>
      </c>
      <c r="R548" s="2" t="inlineStr"/>
    </row>
    <row r="549" ht="15" customHeight="1">
      <c r="A549" t="inlineStr">
        <is>
          <t>A 57194-2021</t>
        </is>
      </c>
      <c r="B549" s="1" t="n">
        <v>44483</v>
      </c>
      <c r="C549" s="1" t="n">
        <v>45359</v>
      </c>
      <c r="D549" t="inlineStr">
        <is>
          <t>JÄMTLANDS LÄN</t>
        </is>
      </c>
      <c r="E549" t="inlineStr">
        <is>
          <t>RAGUNDA</t>
        </is>
      </c>
      <c r="G549" t="n">
        <v>7.3</v>
      </c>
      <c r="H549" t="n">
        <v>0</v>
      </c>
      <c r="I549" t="n">
        <v>0</v>
      </c>
      <c r="J549" t="n">
        <v>0</v>
      </c>
      <c r="K549" t="n">
        <v>0</v>
      </c>
      <c r="L549" t="n">
        <v>0</v>
      </c>
      <c r="M549" t="n">
        <v>0</v>
      </c>
      <c r="N549" t="n">
        <v>0</v>
      </c>
      <c r="O549" t="n">
        <v>0</v>
      </c>
      <c r="P549" t="n">
        <v>0</v>
      </c>
      <c r="Q549" t="n">
        <v>0</v>
      </c>
      <c r="R549" s="2" t="inlineStr"/>
    </row>
    <row r="550" ht="15" customHeight="1">
      <c r="A550" t="inlineStr">
        <is>
          <t>A 58960-2021</t>
        </is>
      </c>
      <c r="B550" s="1" t="n">
        <v>44490</v>
      </c>
      <c r="C550" s="1" t="n">
        <v>45359</v>
      </c>
      <c r="D550" t="inlineStr">
        <is>
          <t>JÄMTLANDS LÄN</t>
        </is>
      </c>
      <c r="E550" t="inlineStr">
        <is>
          <t>RAGUNDA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58984-2021</t>
        </is>
      </c>
      <c r="B551" s="1" t="n">
        <v>44490</v>
      </c>
      <c r="C551" s="1" t="n">
        <v>45359</v>
      </c>
      <c r="D551" t="inlineStr">
        <is>
          <t>JÄMTLANDS LÄN</t>
        </is>
      </c>
      <c r="E551" t="inlineStr">
        <is>
          <t>RAGUNDA</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59321-2021</t>
        </is>
      </c>
      <c r="B552" s="1" t="n">
        <v>44491</v>
      </c>
      <c r="C552" s="1" t="n">
        <v>45359</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59996-2021</t>
        </is>
      </c>
      <c r="B553" s="1" t="n">
        <v>44495</v>
      </c>
      <c r="C553" s="1" t="n">
        <v>45359</v>
      </c>
      <c r="D553" t="inlineStr">
        <is>
          <t>JÄMTLANDS LÄN</t>
        </is>
      </c>
      <c r="E553" t="inlineStr">
        <is>
          <t>RAGUNDA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60313-2021</t>
        </is>
      </c>
      <c r="B554" s="1" t="n">
        <v>44495</v>
      </c>
      <c r="C554" s="1" t="n">
        <v>45359</v>
      </c>
      <c r="D554" t="inlineStr">
        <is>
          <t>JÄMTLANDS LÄN</t>
        </is>
      </c>
      <c r="E554" t="inlineStr">
        <is>
          <t>RAGUNDA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60312-2021</t>
        </is>
      </c>
      <c r="B555" s="1" t="n">
        <v>44496</v>
      </c>
      <c r="C555" s="1" t="n">
        <v>45359</v>
      </c>
      <c r="D555" t="inlineStr">
        <is>
          <t>JÄMTLANDS LÄN</t>
        </is>
      </c>
      <c r="E555" t="inlineStr">
        <is>
          <t>RAGUNDA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60957-2021</t>
        </is>
      </c>
      <c r="B556" s="1" t="n">
        <v>44496</v>
      </c>
      <c r="C556" s="1" t="n">
        <v>45359</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61442-2021</t>
        </is>
      </c>
      <c r="B557" s="1" t="n">
        <v>44500</v>
      </c>
      <c r="C557" s="1" t="n">
        <v>45359</v>
      </c>
      <c r="D557" t="inlineStr">
        <is>
          <t>JÄMTLANDS LÄN</t>
        </is>
      </c>
      <c r="E557" t="inlineStr">
        <is>
          <t>RAGUNDA</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62956-2021</t>
        </is>
      </c>
      <c r="B558" s="1" t="n">
        <v>44504</v>
      </c>
      <c r="C558" s="1" t="n">
        <v>45359</v>
      </c>
      <c r="D558" t="inlineStr">
        <is>
          <t>JÄMTLANDS LÄN</t>
        </is>
      </c>
      <c r="E558" t="inlineStr">
        <is>
          <t>RAGUNDA</t>
        </is>
      </c>
      <c r="F558" t="inlineStr">
        <is>
          <t>SCA</t>
        </is>
      </c>
      <c r="G558" t="n">
        <v>5.3</v>
      </c>
      <c r="H558" t="n">
        <v>0</v>
      </c>
      <c r="I558" t="n">
        <v>0</v>
      </c>
      <c r="J558" t="n">
        <v>0</v>
      </c>
      <c r="K558" t="n">
        <v>0</v>
      </c>
      <c r="L558" t="n">
        <v>0</v>
      </c>
      <c r="M558" t="n">
        <v>0</v>
      </c>
      <c r="N558" t="n">
        <v>0</v>
      </c>
      <c r="O558" t="n">
        <v>0</v>
      </c>
      <c r="P558" t="n">
        <v>0</v>
      </c>
      <c r="Q558" t="n">
        <v>0</v>
      </c>
      <c r="R558" s="2" t="inlineStr"/>
    </row>
    <row r="559" ht="15" customHeight="1">
      <c r="A559" t="inlineStr">
        <is>
          <t>A 63169-2021</t>
        </is>
      </c>
      <c r="B559" s="1" t="n">
        <v>44505</v>
      </c>
      <c r="C559" s="1" t="n">
        <v>45359</v>
      </c>
      <c r="D559" t="inlineStr">
        <is>
          <t>JÄMTLANDS LÄN</t>
        </is>
      </c>
      <c r="E559" t="inlineStr">
        <is>
          <t>RAGUNDA</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63168-2021</t>
        </is>
      </c>
      <c r="B560" s="1" t="n">
        <v>44505</v>
      </c>
      <c r="C560" s="1" t="n">
        <v>45359</v>
      </c>
      <c r="D560" t="inlineStr">
        <is>
          <t>JÄMTLANDS LÄN</t>
        </is>
      </c>
      <c r="E560" t="inlineStr">
        <is>
          <t>RAGUNDA</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64511-2021</t>
        </is>
      </c>
      <c r="B561" s="1" t="n">
        <v>44511</v>
      </c>
      <c r="C561" s="1" t="n">
        <v>45359</v>
      </c>
      <c r="D561" t="inlineStr">
        <is>
          <t>JÄMTLANDS LÄN</t>
        </is>
      </c>
      <c r="E561" t="inlineStr">
        <is>
          <t>RAGUNDA</t>
        </is>
      </c>
      <c r="G561" t="n">
        <v>19.4</v>
      </c>
      <c r="H561" t="n">
        <v>0</v>
      </c>
      <c r="I561" t="n">
        <v>0</v>
      </c>
      <c r="J561" t="n">
        <v>0</v>
      </c>
      <c r="K561" t="n">
        <v>0</v>
      </c>
      <c r="L561" t="n">
        <v>0</v>
      </c>
      <c r="M561" t="n">
        <v>0</v>
      </c>
      <c r="N561" t="n">
        <v>0</v>
      </c>
      <c r="O561" t="n">
        <v>0</v>
      </c>
      <c r="P561" t="n">
        <v>0</v>
      </c>
      <c r="Q561" t="n">
        <v>0</v>
      </c>
      <c r="R561" s="2" t="inlineStr"/>
    </row>
    <row r="562" ht="15" customHeight="1">
      <c r="A562" t="inlineStr">
        <is>
          <t>A 64629-2021</t>
        </is>
      </c>
      <c r="B562" s="1" t="n">
        <v>44511</v>
      </c>
      <c r="C562" s="1" t="n">
        <v>45359</v>
      </c>
      <c r="D562" t="inlineStr">
        <is>
          <t>JÄMTLANDS LÄN</t>
        </is>
      </c>
      <c r="E562" t="inlineStr">
        <is>
          <t>RAGUNDA</t>
        </is>
      </c>
      <c r="G562" t="n">
        <v>1.6</v>
      </c>
      <c r="H562" t="n">
        <v>0</v>
      </c>
      <c r="I562" t="n">
        <v>0</v>
      </c>
      <c r="J562" t="n">
        <v>0</v>
      </c>
      <c r="K562" t="n">
        <v>0</v>
      </c>
      <c r="L562" t="n">
        <v>0</v>
      </c>
      <c r="M562" t="n">
        <v>0</v>
      </c>
      <c r="N562" t="n">
        <v>0</v>
      </c>
      <c r="O562" t="n">
        <v>0</v>
      </c>
      <c r="P562" t="n">
        <v>0</v>
      </c>
      <c r="Q562" t="n">
        <v>0</v>
      </c>
      <c r="R562" s="2" t="inlineStr"/>
    </row>
    <row r="563" ht="15" customHeight="1">
      <c r="A563" t="inlineStr">
        <is>
          <t>A 64959-2021</t>
        </is>
      </c>
      <c r="B563" s="1" t="n">
        <v>44512</v>
      </c>
      <c r="C563" s="1" t="n">
        <v>45359</v>
      </c>
      <c r="D563" t="inlineStr">
        <is>
          <t>JÄMTLANDS LÄN</t>
        </is>
      </c>
      <c r="E563" t="inlineStr">
        <is>
          <t>RAGUNDA</t>
        </is>
      </c>
      <c r="F563" t="inlineStr">
        <is>
          <t>SCA</t>
        </is>
      </c>
      <c r="G563" t="n">
        <v>6.2</v>
      </c>
      <c r="H563" t="n">
        <v>0</v>
      </c>
      <c r="I563" t="n">
        <v>0</v>
      </c>
      <c r="J563" t="n">
        <v>0</v>
      </c>
      <c r="K563" t="n">
        <v>0</v>
      </c>
      <c r="L563" t="n">
        <v>0</v>
      </c>
      <c r="M563" t="n">
        <v>0</v>
      </c>
      <c r="N563" t="n">
        <v>0</v>
      </c>
      <c r="O563" t="n">
        <v>0</v>
      </c>
      <c r="P563" t="n">
        <v>0</v>
      </c>
      <c r="Q563" t="n">
        <v>0</v>
      </c>
      <c r="R563" s="2" t="inlineStr"/>
    </row>
    <row r="564" ht="15" customHeight="1">
      <c r="A564" t="inlineStr">
        <is>
          <t>A 65017-2021</t>
        </is>
      </c>
      <c r="B564" s="1" t="n">
        <v>44512</v>
      </c>
      <c r="C564" s="1" t="n">
        <v>45359</v>
      </c>
      <c r="D564" t="inlineStr">
        <is>
          <t>JÄMTLANDS LÄN</t>
        </is>
      </c>
      <c r="E564" t="inlineStr">
        <is>
          <t>RAGUNDA</t>
        </is>
      </c>
      <c r="G564" t="n">
        <v>2.3</v>
      </c>
      <c r="H564" t="n">
        <v>0</v>
      </c>
      <c r="I564" t="n">
        <v>0</v>
      </c>
      <c r="J564" t="n">
        <v>0</v>
      </c>
      <c r="K564" t="n">
        <v>0</v>
      </c>
      <c r="L564" t="n">
        <v>0</v>
      </c>
      <c r="M564" t="n">
        <v>0</v>
      </c>
      <c r="N564" t="n">
        <v>0</v>
      </c>
      <c r="O564" t="n">
        <v>0</v>
      </c>
      <c r="P564" t="n">
        <v>0</v>
      </c>
      <c r="Q564" t="n">
        <v>0</v>
      </c>
      <c r="R564" s="2" t="inlineStr"/>
    </row>
    <row r="565" ht="15" customHeight="1">
      <c r="A565" t="inlineStr">
        <is>
          <t>A 65424-2021</t>
        </is>
      </c>
      <c r="B565" s="1" t="n">
        <v>44515</v>
      </c>
      <c r="C565" s="1" t="n">
        <v>45359</v>
      </c>
      <c r="D565" t="inlineStr">
        <is>
          <t>JÄMTLANDS LÄN</t>
        </is>
      </c>
      <c r="E565" t="inlineStr">
        <is>
          <t>RAGUNDA</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66147-2021</t>
        </is>
      </c>
      <c r="B566" s="1" t="n">
        <v>44517</v>
      </c>
      <c r="C566" s="1" t="n">
        <v>45359</v>
      </c>
      <c r="D566" t="inlineStr">
        <is>
          <t>JÄMTLANDS LÄN</t>
        </is>
      </c>
      <c r="E566" t="inlineStr">
        <is>
          <t>RAGUNDA</t>
        </is>
      </c>
      <c r="G566" t="n">
        <v>1.2</v>
      </c>
      <c r="H566" t="n">
        <v>0</v>
      </c>
      <c r="I566" t="n">
        <v>0</v>
      </c>
      <c r="J566" t="n">
        <v>0</v>
      </c>
      <c r="K566" t="n">
        <v>0</v>
      </c>
      <c r="L566" t="n">
        <v>0</v>
      </c>
      <c r="M566" t="n">
        <v>0</v>
      </c>
      <c r="N566" t="n">
        <v>0</v>
      </c>
      <c r="O566" t="n">
        <v>0</v>
      </c>
      <c r="P566" t="n">
        <v>0</v>
      </c>
      <c r="Q566" t="n">
        <v>0</v>
      </c>
      <c r="R566" s="2" t="inlineStr"/>
    </row>
    <row r="567" ht="15" customHeight="1">
      <c r="A567" t="inlineStr">
        <is>
          <t>A 66059-2021</t>
        </is>
      </c>
      <c r="B567" s="1" t="n">
        <v>44517</v>
      </c>
      <c r="C567" s="1" t="n">
        <v>45359</v>
      </c>
      <c r="D567" t="inlineStr">
        <is>
          <t>JÄMTLANDS LÄN</t>
        </is>
      </c>
      <c r="E567" t="inlineStr">
        <is>
          <t>RAGUNDA</t>
        </is>
      </c>
      <c r="G567" t="n">
        <v>0.6</v>
      </c>
      <c r="H567" t="n">
        <v>0</v>
      </c>
      <c r="I567" t="n">
        <v>0</v>
      </c>
      <c r="J567" t="n">
        <v>0</v>
      </c>
      <c r="K567" t="n">
        <v>0</v>
      </c>
      <c r="L567" t="n">
        <v>0</v>
      </c>
      <c r="M567" t="n">
        <v>0</v>
      </c>
      <c r="N567" t="n">
        <v>0</v>
      </c>
      <c r="O567" t="n">
        <v>0</v>
      </c>
      <c r="P567" t="n">
        <v>0</v>
      </c>
      <c r="Q567" t="n">
        <v>0</v>
      </c>
      <c r="R567" s="2" t="inlineStr"/>
    </row>
    <row r="568" ht="15" customHeight="1">
      <c r="A568" t="inlineStr">
        <is>
          <t>A 66472-2021</t>
        </is>
      </c>
      <c r="B568" s="1" t="n">
        <v>44518</v>
      </c>
      <c r="C568" s="1" t="n">
        <v>45359</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66471-2021</t>
        </is>
      </c>
      <c r="B569" s="1" t="n">
        <v>44518</v>
      </c>
      <c r="C569" s="1" t="n">
        <v>45359</v>
      </c>
      <c r="D569" t="inlineStr">
        <is>
          <t>JÄMTLANDS LÄN</t>
        </is>
      </c>
      <c r="E569" t="inlineStr">
        <is>
          <t>RAGUNDA</t>
        </is>
      </c>
      <c r="G569" t="n">
        <v>13.4</v>
      </c>
      <c r="H569" t="n">
        <v>0</v>
      </c>
      <c r="I569" t="n">
        <v>0</v>
      </c>
      <c r="J569" t="n">
        <v>0</v>
      </c>
      <c r="K569" t="n">
        <v>0</v>
      </c>
      <c r="L569" t="n">
        <v>0</v>
      </c>
      <c r="M569" t="n">
        <v>0</v>
      </c>
      <c r="N569" t="n">
        <v>0</v>
      </c>
      <c r="O569" t="n">
        <v>0</v>
      </c>
      <c r="P569" t="n">
        <v>0</v>
      </c>
      <c r="Q569" t="n">
        <v>0</v>
      </c>
      <c r="R569" s="2" t="inlineStr"/>
    </row>
    <row r="570" ht="15" customHeight="1">
      <c r="A570" t="inlineStr">
        <is>
          <t>A 66489-2021</t>
        </is>
      </c>
      <c r="B570" s="1" t="n">
        <v>44518</v>
      </c>
      <c r="C570" s="1" t="n">
        <v>45359</v>
      </c>
      <c r="D570" t="inlineStr">
        <is>
          <t>JÄMTLANDS LÄN</t>
        </is>
      </c>
      <c r="E570" t="inlineStr">
        <is>
          <t>RAGUNDA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66707-2021</t>
        </is>
      </c>
      <c r="B571" s="1" t="n">
        <v>44519</v>
      </c>
      <c r="C571" s="1" t="n">
        <v>45359</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66706-2021</t>
        </is>
      </c>
      <c r="B572" s="1" t="n">
        <v>44519</v>
      </c>
      <c r="C572" s="1" t="n">
        <v>45359</v>
      </c>
      <c r="D572" t="inlineStr">
        <is>
          <t>JÄMTLANDS LÄN</t>
        </is>
      </c>
      <c r="E572" t="inlineStr">
        <is>
          <t>RAGUNDA</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66715-2021</t>
        </is>
      </c>
      <c r="B573" s="1" t="n">
        <v>44519</v>
      </c>
      <c r="C573" s="1" t="n">
        <v>45359</v>
      </c>
      <c r="D573" t="inlineStr">
        <is>
          <t>JÄMTLANDS LÄN</t>
        </is>
      </c>
      <c r="E573" t="inlineStr">
        <is>
          <t>RAGUNDA</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69164-2021</t>
        </is>
      </c>
      <c r="B574" s="1" t="n">
        <v>44530</v>
      </c>
      <c r="C574" s="1" t="n">
        <v>45359</v>
      </c>
      <c r="D574" t="inlineStr">
        <is>
          <t>JÄMTLANDS LÄN</t>
        </is>
      </c>
      <c r="E574" t="inlineStr">
        <is>
          <t>RAGUNDA</t>
        </is>
      </c>
      <c r="F574" t="inlineStr">
        <is>
          <t>SCA</t>
        </is>
      </c>
      <c r="G574" t="n">
        <v>5.8</v>
      </c>
      <c r="H574" t="n">
        <v>0</v>
      </c>
      <c r="I574" t="n">
        <v>0</v>
      </c>
      <c r="J574" t="n">
        <v>0</v>
      </c>
      <c r="K574" t="n">
        <v>0</v>
      </c>
      <c r="L574" t="n">
        <v>0</v>
      </c>
      <c r="M574" t="n">
        <v>0</v>
      </c>
      <c r="N574" t="n">
        <v>0</v>
      </c>
      <c r="O574" t="n">
        <v>0</v>
      </c>
      <c r="P574" t="n">
        <v>0</v>
      </c>
      <c r="Q574" t="n">
        <v>0</v>
      </c>
      <c r="R574" s="2" t="inlineStr"/>
    </row>
    <row r="575" ht="15" customHeight="1">
      <c r="A575" t="inlineStr">
        <is>
          <t>A 69316-2021</t>
        </is>
      </c>
      <c r="B575" s="1" t="n">
        <v>44530</v>
      </c>
      <c r="C575" s="1" t="n">
        <v>45359</v>
      </c>
      <c r="D575" t="inlineStr">
        <is>
          <t>JÄMTLANDS LÄN</t>
        </is>
      </c>
      <c r="E575" t="inlineStr">
        <is>
          <t>RAGUNDA</t>
        </is>
      </c>
      <c r="G575" t="n">
        <v>2.3</v>
      </c>
      <c r="H575" t="n">
        <v>0</v>
      </c>
      <c r="I575" t="n">
        <v>0</v>
      </c>
      <c r="J575" t="n">
        <v>0</v>
      </c>
      <c r="K575" t="n">
        <v>0</v>
      </c>
      <c r="L575" t="n">
        <v>0</v>
      </c>
      <c r="M575" t="n">
        <v>0</v>
      </c>
      <c r="N575" t="n">
        <v>0</v>
      </c>
      <c r="O575" t="n">
        <v>0</v>
      </c>
      <c r="P575" t="n">
        <v>0</v>
      </c>
      <c r="Q575" t="n">
        <v>0</v>
      </c>
      <c r="R575" s="2" t="inlineStr"/>
    </row>
    <row r="576" ht="15" customHeight="1">
      <c r="A576" t="inlineStr">
        <is>
          <t>A 69153-2021</t>
        </is>
      </c>
      <c r="B576" s="1" t="n">
        <v>44530</v>
      </c>
      <c r="C576" s="1" t="n">
        <v>45359</v>
      </c>
      <c r="D576" t="inlineStr">
        <is>
          <t>JÄMTLANDS LÄN</t>
        </is>
      </c>
      <c r="E576" t="inlineStr">
        <is>
          <t>RAGUNDA</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70609-2021</t>
        </is>
      </c>
      <c r="B577" s="1" t="n">
        <v>44537</v>
      </c>
      <c r="C577" s="1" t="n">
        <v>45359</v>
      </c>
      <c r="D577" t="inlineStr">
        <is>
          <t>JÄMTLANDS LÄN</t>
        </is>
      </c>
      <c r="E577" t="inlineStr">
        <is>
          <t>RAGUNDA</t>
        </is>
      </c>
      <c r="G577" t="n">
        <v>4.5</v>
      </c>
      <c r="H577" t="n">
        <v>0</v>
      </c>
      <c r="I577" t="n">
        <v>0</v>
      </c>
      <c r="J577" t="n">
        <v>0</v>
      </c>
      <c r="K577" t="n">
        <v>0</v>
      </c>
      <c r="L577" t="n">
        <v>0</v>
      </c>
      <c r="M577" t="n">
        <v>0</v>
      </c>
      <c r="N577" t="n">
        <v>0</v>
      </c>
      <c r="O577" t="n">
        <v>0</v>
      </c>
      <c r="P577" t="n">
        <v>0</v>
      </c>
      <c r="Q577" t="n">
        <v>0</v>
      </c>
      <c r="R577" s="2" t="inlineStr"/>
    </row>
    <row r="578" ht="15" customHeight="1">
      <c r="A578" t="inlineStr">
        <is>
          <t>A 71209-2021</t>
        </is>
      </c>
      <c r="B578" s="1" t="n">
        <v>44538</v>
      </c>
      <c r="C578" s="1" t="n">
        <v>45359</v>
      </c>
      <c r="D578" t="inlineStr">
        <is>
          <t>JÄMTLANDS LÄN</t>
        </is>
      </c>
      <c r="E578" t="inlineStr">
        <is>
          <t>RAGUNDA</t>
        </is>
      </c>
      <c r="G578" t="n">
        <v>8</v>
      </c>
      <c r="H578" t="n">
        <v>0</v>
      </c>
      <c r="I578" t="n">
        <v>0</v>
      </c>
      <c r="J578" t="n">
        <v>0</v>
      </c>
      <c r="K578" t="n">
        <v>0</v>
      </c>
      <c r="L578" t="n">
        <v>0</v>
      </c>
      <c r="M578" t="n">
        <v>0</v>
      </c>
      <c r="N578" t="n">
        <v>0</v>
      </c>
      <c r="O578" t="n">
        <v>0</v>
      </c>
      <c r="P578" t="n">
        <v>0</v>
      </c>
      <c r="Q578" t="n">
        <v>0</v>
      </c>
      <c r="R578" s="2" t="inlineStr"/>
    </row>
    <row r="579" ht="15" customHeight="1">
      <c r="A579" t="inlineStr">
        <is>
          <t>A 73278-2021</t>
        </is>
      </c>
      <c r="B579" s="1" t="n">
        <v>44550</v>
      </c>
      <c r="C579" s="1" t="n">
        <v>45359</v>
      </c>
      <c r="D579" t="inlineStr">
        <is>
          <t>JÄMTLANDS LÄN</t>
        </is>
      </c>
      <c r="E579" t="inlineStr">
        <is>
          <t>RAGUNDA</t>
        </is>
      </c>
      <c r="G579" t="n">
        <v>4.4</v>
      </c>
      <c r="H579" t="n">
        <v>0</v>
      </c>
      <c r="I579" t="n">
        <v>0</v>
      </c>
      <c r="J579" t="n">
        <v>0</v>
      </c>
      <c r="K579" t="n">
        <v>0</v>
      </c>
      <c r="L579" t="n">
        <v>0</v>
      </c>
      <c r="M579" t="n">
        <v>0</v>
      </c>
      <c r="N579" t="n">
        <v>0</v>
      </c>
      <c r="O579" t="n">
        <v>0</v>
      </c>
      <c r="P579" t="n">
        <v>0</v>
      </c>
      <c r="Q579" t="n">
        <v>0</v>
      </c>
      <c r="R579" s="2" t="inlineStr"/>
    </row>
    <row r="580" ht="15" customHeight="1">
      <c r="A580" t="inlineStr">
        <is>
          <t>A 891-2022</t>
        </is>
      </c>
      <c r="B580" s="1" t="n">
        <v>44571</v>
      </c>
      <c r="C580" s="1" t="n">
        <v>45359</v>
      </c>
      <c r="D580" t="inlineStr">
        <is>
          <t>JÄMTLANDS LÄN</t>
        </is>
      </c>
      <c r="E580" t="inlineStr">
        <is>
          <t>RAGUNDA</t>
        </is>
      </c>
      <c r="G580" t="n">
        <v>1.7</v>
      </c>
      <c r="H580" t="n">
        <v>0</v>
      </c>
      <c r="I580" t="n">
        <v>0</v>
      </c>
      <c r="J580" t="n">
        <v>0</v>
      </c>
      <c r="K580" t="n">
        <v>0</v>
      </c>
      <c r="L580" t="n">
        <v>0</v>
      </c>
      <c r="M580" t="n">
        <v>0</v>
      </c>
      <c r="N580" t="n">
        <v>0</v>
      </c>
      <c r="O580" t="n">
        <v>0</v>
      </c>
      <c r="P580" t="n">
        <v>0</v>
      </c>
      <c r="Q580" t="n">
        <v>0</v>
      </c>
      <c r="R580" s="2" t="inlineStr"/>
    </row>
    <row r="581" ht="15" customHeight="1">
      <c r="A581" t="inlineStr">
        <is>
          <t>A 1540-2022</t>
        </is>
      </c>
      <c r="B581" s="1" t="n">
        <v>44573</v>
      </c>
      <c r="C581" s="1" t="n">
        <v>45359</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1782-2022</t>
        </is>
      </c>
      <c r="B582" s="1" t="n">
        <v>44574</v>
      </c>
      <c r="C582" s="1" t="n">
        <v>45359</v>
      </c>
      <c r="D582" t="inlineStr">
        <is>
          <t>JÄMTLANDS LÄN</t>
        </is>
      </c>
      <c r="E582" t="inlineStr">
        <is>
          <t>RAGUNDA</t>
        </is>
      </c>
      <c r="G582" t="n">
        <v>3.7</v>
      </c>
      <c r="H582" t="n">
        <v>0</v>
      </c>
      <c r="I582" t="n">
        <v>0</v>
      </c>
      <c r="J582" t="n">
        <v>0</v>
      </c>
      <c r="K582" t="n">
        <v>0</v>
      </c>
      <c r="L582" t="n">
        <v>0</v>
      </c>
      <c r="M582" t="n">
        <v>0</v>
      </c>
      <c r="N582" t="n">
        <v>0</v>
      </c>
      <c r="O582" t="n">
        <v>0</v>
      </c>
      <c r="P582" t="n">
        <v>0</v>
      </c>
      <c r="Q582" t="n">
        <v>0</v>
      </c>
      <c r="R582" s="2" t="inlineStr"/>
    </row>
    <row r="583" ht="15" customHeight="1">
      <c r="A583" t="inlineStr">
        <is>
          <t>A 1858-2022</t>
        </is>
      </c>
      <c r="B583" s="1" t="n">
        <v>44574</v>
      </c>
      <c r="C583" s="1" t="n">
        <v>45359</v>
      </c>
      <c r="D583" t="inlineStr">
        <is>
          <t>JÄMTLANDS LÄN</t>
        </is>
      </c>
      <c r="E583" t="inlineStr">
        <is>
          <t>RAGUNDA</t>
        </is>
      </c>
      <c r="G583" t="n">
        <v>5.7</v>
      </c>
      <c r="H583" t="n">
        <v>0</v>
      </c>
      <c r="I583" t="n">
        <v>0</v>
      </c>
      <c r="J583" t="n">
        <v>0</v>
      </c>
      <c r="K583" t="n">
        <v>0</v>
      </c>
      <c r="L583" t="n">
        <v>0</v>
      </c>
      <c r="M583" t="n">
        <v>0</v>
      </c>
      <c r="N583" t="n">
        <v>0</v>
      </c>
      <c r="O583" t="n">
        <v>0</v>
      </c>
      <c r="P583" t="n">
        <v>0</v>
      </c>
      <c r="Q583" t="n">
        <v>0</v>
      </c>
      <c r="R583" s="2" t="inlineStr"/>
    </row>
    <row r="584" ht="15" customHeight="1">
      <c r="A584" t="inlineStr">
        <is>
          <t>A 2336-2022</t>
        </is>
      </c>
      <c r="B584" s="1" t="n">
        <v>44578</v>
      </c>
      <c r="C584" s="1" t="n">
        <v>45359</v>
      </c>
      <c r="D584" t="inlineStr">
        <is>
          <t>JÄMTLANDS LÄN</t>
        </is>
      </c>
      <c r="E584" t="inlineStr">
        <is>
          <t>RAGUNDA</t>
        </is>
      </c>
      <c r="G584" t="n">
        <v>0.5</v>
      </c>
      <c r="H584" t="n">
        <v>0</v>
      </c>
      <c r="I584" t="n">
        <v>0</v>
      </c>
      <c r="J584" t="n">
        <v>0</v>
      </c>
      <c r="K584" t="n">
        <v>0</v>
      </c>
      <c r="L584" t="n">
        <v>0</v>
      </c>
      <c r="M584" t="n">
        <v>0</v>
      </c>
      <c r="N584" t="n">
        <v>0</v>
      </c>
      <c r="O584" t="n">
        <v>0</v>
      </c>
      <c r="P584" t="n">
        <v>0</v>
      </c>
      <c r="Q584" t="n">
        <v>0</v>
      </c>
      <c r="R584" s="2" t="inlineStr"/>
    </row>
    <row r="585" ht="15" customHeight="1">
      <c r="A585" t="inlineStr">
        <is>
          <t>A 2337-2022</t>
        </is>
      </c>
      <c r="B585" s="1" t="n">
        <v>44578</v>
      </c>
      <c r="C585" s="1" t="n">
        <v>45359</v>
      </c>
      <c r="D585" t="inlineStr">
        <is>
          <t>JÄMTLANDS LÄN</t>
        </is>
      </c>
      <c r="E585" t="inlineStr">
        <is>
          <t>RAGUNDA</t>
        </is>
      </c>
      <c r="G585" t="n">
        <v>2.6</v>
      </c>
      <c r="H585" t="n">
        <v>0</v>
      </c>
      <c r="I585" t="n">
        <v>0</v>
      </c>
      <c r="J585" t="n">
        <v>0</v>
      </c>
      <c r="K585" t="n">
        <v>0</v>
      </c>
      <c r="L585" t="n">
        <v>0</v>
      </c>
      <c r="M585" t="n">
        <v>0</v>
      </c>
      <c r="N585" t="n">
        <v>0</v>
      </c>
      <c r="O585" t="n">
        <v>0</v>
      </c>
      <c r="P585" t="n">
        <v>0</v>
      </c>
      <c r="Q585" t="n">
        <v>0</v>
      </c>
      <c r="R585" s="2" t="inlineStr"/>
    </row>
    <row r="586" ht="15" customHeight="1">
      <c r="A586" t="inlineStr">
        <is>
          <t>A 2338-2022</t>
        </is>
      </c>
      <c r="B586" s="1" t="n">
        <v>44578</v>
      </c>
      <c r="C586" s="1" t="n">
        <v>45359</v>
      </c>
      <c r="D586" t="inlineStr">
        <is>
          <t>JÄMTLANDS LÄN</t>
        </is>
      </c>
      <c r="E586" t="inlineStr">
        <is>
          <t>RAGUNDA</t>
        </is>
      </c>
      <c r="G586" t="n">
        <v>1.7</v>
      </c>
      <c r="H586" t="n">
        <v>0</v>
      </c>
      <c r="I586" t="n">
        <v>0</v>
      </c>
      <c r="J586" t="n">
        <v>0</v>
      </c>
      <c r="K586" t="n">
        <v>0</v>
      </c>
      <c r="L586" t="n">
        <v>0</v>
      </c>
      <c r="M586" t="n">
        <v>0</v>
      </c>
      <c r="N586" t="n">
        <v>0</v>
      </c>
      <c r="O586" t="n">
        <v>0</v>
      </c>
      <c r="P586" t="n">
        <v>0</v>
      </c>
      <c r="Q586" t="n">
        <v>0</v>
      </c>
      <c r="R586" s="2" t="inlineStr"/>
    </row>
    <row r="587" ht="15" customHeight="1">
      <c r="A587" t="inlineStr">
        <is>
          <t>A 2494-2022</t>
        </is>
      </c>
      <c r="B587" s="1" t="n">
        <v>44579</v>
      </c>
      <c r="C587" s="1" t="n">
        <v>45359</v>
      </c>
      <c r="D587" t="inlineStr">
        <is>
          <t>JÄMTLANDS LÄN</t>
        </is>
      </c>
      <c r="E587" t="inlineStr">
        <is>
          <t>RAGUNDA</t>
        </is>
      </c>
      <c r="G587" t="n">
        <v>0.6</v>
      </c>
      <c r="H587" t="n">
        <v>0</v>
      </c>
      <c r="I587" t="n">
        <v>0</v>
      </c>
      <c r="J587" t="n">
        <v>0</v>
      </c>
      <c r="K587" t="n">
        <v>0</v>
      </c>
      <c r="L587" t="n">
        <v>0</v>
      </c>
      <c r="M587" t="n">
        <v>0</v>
      </c>
      <c r="N587" t="n">
        <v>0</v>
      </c>
      <c r="O587" t="n">
        <v>0</v>
      </c>
      <c r="P587" t="n">
        <v>0</v>
      </c>
      <c r="Q587" t="n">
        <v>0</v>
      </c>
      <c r="R587" s="2" t="inlineStr"/>
    </row>
    <row r="588" ht="15" customHeight="1">
      <c r="A588" t="inlineStr">
        <is>
          <t>A 3796-2022</t>
        </is>
      </c>
      <c r="B588" s="1" t="n">
        <v>44586</v>
      </c>
      <c r="C588" s="1" t="n">
        <v>45359</v>
      </c>
      <c r="D588" t="inlineStr">
        <is>
          <t>JÄMTLANDS LÄN</t>
        </is>
      </c>
      <c r="E588" t="inlineStr">
        <is>
          <t>RAGUNDA</t>
        </is>
      </c>
      <c r="G588" t="n">
        <v>1.2</v>
      </c>
      <c r="H588" t="n">
        <v>0</v>
      </c>
      <c r="I588" t="n">
        <v>0</v>
      </c>
      <c r="J588" t="n">
        <v>0</v>
      </c>
      <c r="K588" t="n">
        <v>0</v>
      </c>
      <c r="L588" t="n">
        <v>0</v>
      </c>
      <c r="M588" t="n">
        <v>0</v>
      </c>
      <c r="N588" t="n">
        <v>0</v>
      </c>
      <c r="O588" t="n">
        <v>0</v>
      </c>
      <c r="P588" t="n">
        <v>0</v>
      </c>
      <c r="Q588" t="n">
        <v>0</v>
      </c>
      <c r="R588" s="2" t="inlineStr"/>
    </row>
    <row r="589" ht="15" customHeight="1">
      <c r="A589" t="inlineStr">
        <is>
          <t>A 4014-2022</t>
        </is>
      </c>
      <c r="B589" s="1" t="n">
        <v>44587</v>
      </c>
      <c r="C589" s="1" t="n">
        <v>45359</v>
      </c>
      <c r="D589" t="inlineStr">
        <is>
          <t>JÄMTLANDS LÄN</t>
        </is>
      </c>
      <c r="E589" t="inlineStr">
        <is>
          <t>RAGUNDA</t>
        </is>
      </c>
      <c r="G589" t="n">
        <v>3.6</v>
      </c>
      <c r="H589" t="n">
        <v>0</v>
      </c>
      <c r="I589" t="n">
        <v>0</v>
      </c>
      <c r="J589" t="n">
        <v>0</v>
      </c>
      <c r="K589" t="n">
        <v>0</v>
      </c>
      <c r="L589" t="n">
        <v>0</v>
      </c>
      <c r="M589" t="n">
        <v>0</v>
      </c>
      <c r="N589" t="n">
        <v>0</v>
      </c>
      <c r="O589" t="n">
        <v>0</v>
      </c>
      <c r="P589" t="n">
        <v>0</v>
      </c>
      <c r="Q589" t="n">
        <v>0</v>
      </c>
      <c r="R589" s="2" t="inlineStr"/>
    </row>
    <row r="590" ht="15" customHeight="1">
      <c r="A590" t="inlineStr">
        <is>
          <t>A 4015-2022</t>
        </is>
      </c>
      <c r="B590" s="1" t="n">
        <v>44587</v>
      </c>
      <c r="C590" s="1" t="n">
        <v>45359</v>
      </c>
      <c r="D590" t="inlineStr">
        <is>
          <t>JÄMTLANDS LÄN</t>
        </is>
      </c>
      <c r="E590" t="inlineStr">
        <is>
          <t>RAGUNDA</t>
        </is>
      </c>
      <c r="G590" t="n">
        <v>3.9</v>
      </c>
      <c r="H590" t="n">
        <v>0</v>
      </c>
      <c r="I590" t="n">
        <v>0</v>
      </c>
      <c r="J590" t="n">
        <v>0</v>
      </c>
      <c r="K590" t="n">
        <v>0</v>
      </c>
      <c r="L590" t="n">
        <v>0</v>
      </c>
      <c r="M590" t="n">
        <v>0</v>
      </c>
      <c r="N590" t="n">
        <v>0</v>
      </c>
      <c r="O590" t="n">
        <v>0</v>
      </c>
      <c r="P590" t="n">
        <v>0</v>
      </c>
      <c r="Q590" t="n">
        <v>0</v>
      </c>
      <c r="R590" s="2" t="inlineStr"/>
    </row>
    <row r="591" ht="15" customHeight="1">
      <c r="A591" t="inlineStr">
        <is>
          <t>A 4878-2022</t>
        </is>
      </c>
      <c r="B591" s="1" t="n">
        <v>44593</v>
      </c>
      <c r="C591" s="1" t="n">
        <v>45359</v>
      </c>
      <c r="D591" t="inlineStr">
        <is>
          <t>JÄMTLANDS LÄN</t>
        </is>
      </c>
      <c r="E591" t="inlineStr">
        <is>
          <t>RAGUNDA</t>
        </is>
      </c>
      <c r="G591" t="n">
        <v>21.7</v>
      </c>
      <c r="H591" t="n">
        <v>0</v>
      </c>
      <c r="I591" t="n">
        <v>0</v>
      </c>
      <c r="J591" t="n">
        <v>0</v>
      </c>
      <c r="K591" t="n">
        <v>0</v>
      </c>
      <c r="L591" t="n">
        <v>0</v>
      </c>
      <c r="M591" t="n">
        <v>0</v>
      </c>
      <c r="N591" t="n">
        <v>0</v>
      </c>
      <c r="O591" t="n">
        <v>0</v>
      </c>
      <c r="P591" t="n">
        <v>0</v>
      </c>
      <c r="Q591" t="n">
        <v>0</v>
      </c>
      <c r="R591" s="2" t="inlineStr"/>
    </row>
    <row r="592" ht="15" customHeight="1">
      <c r="A592" t="inlineStr">
        <is>
          <t>A 5515-2022</t>
        </is>
      </c>
      <c r="B592" s="1" t="n">
        <v>44595</v>
      </c>
      <c r="C592" s="1" t="n">
        <v>45359</v>
      </c>
      <c r="D592" t="inlineStr">
        <is>
          <t>JÄMTLANDS LÄN</t>
        </is>
      </c>
      <c r="E592" t="inlineStr">
        <is>
          <t>RAGUNDA</t>
        </is>
      </c>
      <c r="G592" t="n">
        <v>1</v>
      </c>
      <c r="H592" t="n">
        <v>0</v>
      </c>
      <c r="I592" t="n">
        <v>0</v>
      </c>
      <c r="J592" t="n">
        <v>0</v>
      </c>
      <c r="K592" t="n">
        <v>0</v>
      </c>
      <c r="L592" t="n">
        <v>0</v>
      </c>
      <c r="M592" t="n">
        <v>0</v>
      </c>
      <c r="N592" t="n">
        <v>0</v>
      </c>
      <c r="O592" t="n">
        <v>0</v>
      </c>
      <c r="P592" t="n">
        <v>0</v>
      </c>
      <c r="Q592" t="n">
        <v>0</v>
      </c>
      <c r="R592" s="2" t="inlineStr"/>
    </row>
    <row r="593" ht="15" customHeight="1">
      <c r="A593" t="inlineStr">
        <is>
          <t>A 5644-2022</t>
        </is>
      </c>
      <c r="B593" s="1" t="n">
        <v>44595</v>
      </c>
      <c r="C593" s="1" t="n">
        <v>45359</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5652-2022</t>
        </is>
      </c>
      <c r="B594" s="1" t="n">
        <v>44595</v>
      </c>
      <c r="C594" s="1" t="n">
        <v>45359</v>
      </c>
      <c r="D594" t="inlineStr">
        <is>
          <t>JÄMTLANDS LÄN</t>
        </is>
      </c>
      <c r="E594" t="inlineStr">
        <is>
          <t>RAGUNDA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6177-2022</t>
        </is>
      </c>
      <c r="B595" s="1" t="n">
        <v>44600</v>
      </c>
      <c r="C595" s="1" t="n">
        <v>45359</v>
      </c>
      <c r="D595" t="inlineStr">
        <is>
          <t>JÄMTLANDS LÄN</t>
        </is>
      </c>
      <c r="E595" t="inlineStr">
        <is>
          <t>RAGUNDA</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6492-2022</t>
        </is>
      </c>
      <c r="B596" s="1" t="n">
        <v>44601</v>
      </c>
      <c r="C596" s="1" t="n">
        <v>45359</v>
      </c>
      <c r="D596" t="inlineStr">
        <is>
          <t>JÄMTLANDS LÄN</t>
        </is>
      </c>
      <c r="E596" t="inlineStr">
        <is>
          <t>RAGUNDA</t>
        </is>
      </c>
      <c r="G596" t="n">
        <v>0.8</v>
      </c>
      <c r="H596" t="n">
        <v>0</v>
      </c>
      <c r="I596" t="n">
        <v>0</v>
      </c>
      <c r="J596" t="n">
        <v>0</v>
      </c>
      <c r="K596" t="n">
        <v>0</v>
      </c>
      <c r="L596" t="n">
        <v>0</v>
      </c>
      <c r="M596" t="n">
        <v>0</v>
      </c>
      <c r="N596" t="n">
        <v>0</v>
      </c>
      <c r="O596" t="n">
        <v>0</v>
      </c>
      <c r="P596" t="n">
        <v>0</v>
      </c>
      <c r="Q596" t="n">
        <v>0</v>
      </c>
      <c r="R596" s="2" t="inlineStr"/>
    </row>
    <row r="597" ht="15" customHeight="1">
      <c r="A597" t="inlineStr">
        <is>
          <t>A 6490-2022</t>
        </is>
      </c>
      <c r="B597" s="1" t="n">
        <v>44601</v>
      </c>
      <c r="C597" s="1" t="n">
        <v>45359</v>
      </c>
      <c r="D597" t="inlineStr">
        <is>
          <t>JÄMTLANDS LÄN</t>
        </is>
      </c>
      <c r="E597" t="inlineStr">
        <is>
          <t>RAGUNDA</t>
        </is>
      </c>
      <c r="G597" t="n">
        <v>3.8</v>
      </c>
      <c r="H597" t="n">
        <v>0</v>
      </c>
      <c r="I597" t="n">
        <v>0</v>
      </c>
      <c r="J597" t="n">
        <v>0</v>
      </c>
      <c r="K597" t="n">
        <v>0</v>
      </c>
      <c r="L597" t="n">
        <v>0</v>
      </c>
      <c r="M597" t="n">
        <v>0</v>
      </c>
      <c r="N597" t="n">
        <v>0</v>
      </c>
      <c r="O597" t="n">
        <v>0</v>
      </c>
      <c r="P597" t="n">
        <v>0</v>
      </c>
      <c r="Q597" t="n">
        <v>0</v>
      </c>
      <c r="R597" s="2" t="inlineStr"/>
    </row>
    <row r="598" ht="15" customHeight="1">
      <c r="A598" t="inlineStr">
        <is>
          <t>A 7448-2022</t>
        </is>
      </c>
      <c r="B598" s="1" t="n">
        <v>44606</v>
      </c>
      <c r="C598" s="1" t="n">
        <v>45359</v>
      </c>
      <c r="D598" t="inlineStr">
        <is>
          <t>JÄMTLANDS LÄN</t>
        </is>
      </c>
      <c r="E598" t="inlineStr">
        <is>
          <t>RAGUNDA</t>
        </is>
      </c>
      <c r="G598" t="n">
        <v>2.6</v>
      </c>
      <c r="H598" t="n">
        <v>0</v>
      </c>
      <c r="I598" t="n">
        <v>0</v>
      </c>
      <c r="J598" t="n">
        <v>0</v>
      </c>
      <c r="K598" t="n">
        <v>0</v>
      </c>
      <c r="L598" t="n">
        <v>0</v>
      </c>
      <c r="M598" t="n">
        <v>0</v>
      </c>
      <c r="N598" t="n">
        <v>0</v>
      </c>
      <c r="O598" t="n">
        <v>0</v>
      </c>
      <c r="P598" t="n">
        <v>0</v>
      </c>
      <c r="Q598" t="n">
        <v>0</v>
      </c>
      <c r="R598" s="2" t="inlineStr"/>
    </row>
    <row r="599" ht="15" customHeight="1">
      <c r="A599" t="inlineStr">
        <is>
          <t>A 7668-2022</t>
        </is>
      </c>
      <c r="B599" s="1" t="n">
        <v>44607</v>
      </c>
      <c r="C599" s="1" t="n">
        <v>45359</v>
      </c>
      <c r="D599" t="inlineStr">
        <is>
          <t>JÄMTLANDS LÄN</t>
        </is>
      </c>
      <c r="E599" t="inlineStr">
        <is>
          <t>RAGUNDA</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7695-2022</t>
        </is>
      </c>
      <c r="B600" s="1" t="n">
        <v>44607</v>
      </c>
      <c r="C600" s="1" t="n">
        <v>45359</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8231-2022</t>
        </is>
      </c>
      <c r="B601" s="1" t="n">
        <v>44609</v>
      </c>
      <c r="C601" s="1" t="n">
        <v>45359</v>
      </c>
      <c r="D601" t="inlineStr">
        <is>
          <t>JÄMTLANDS LÄN</t>
        </is>
      </c>
      <c r="E601" t="inlineStr">
        <is>
          <t>RAGUNDA</t>
        </is>
      </c>
      <c r="F601" t="inlineStr">
        <is>
          <t>SCA</t>
        </is>
      </c>
      <c r="G601" t="n">
        <v>24.1</v>
      </c>
      <c r="H601" t="n">
        <v>0</v>
      </c>
      <c r="I601" t="n">
        <v>0</v>
      </c>
      <c r="J601" t="n">
        <v>0</v>
      </c>
      <c r="K601" t="n">
        <v>0</v>
      </c>
      <c r="L601" t="n">
        <v>0</v>
      </c>
      <c r="M601" t="n">
        <v>0</v>
      </c>
      <c r="N601" t="n">
        <v>0</v>
      </c>
      <c r="O601" t="n">
        <v>0</v>
      </c>
      <c r="P601" t="n">
        <v>0</v>
      </c>
      <c r="Q601" t="n">
        <v>0</v>
      </c>
      <c r="R601" s="2" t="inlineStr"/>
    </row>
    <row r="602" ht="15" customHeight="1">
      <c r="A602" t="inlineStr">
        <is>
          <t>A 8237-2022</t>
        </is>
      </c>
      <c r="B602" s="1" t="n">
        <v>44609</v>
      </c>
      <c r="C602" s="1" t="n">
        <v>45359</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8795-2022</t>
        </is>
      </c>
      <c r="B603" s="1" t="n">
        <v>44614</v>
      </c>
      <c r="C603" s="1" t="n">
        <v>45359</v>
      </c>
      <c r="D603" t="inlineStr">
        <is>
          <t>JÄMTLANDS LÄN</t>
        </is>
      </c>
      <c r="E603" t="inlineStr">
        <is>
          <t>RAGUNDA</t>
        </is>
      </c>
      <c r="G603" t="n">
        <v>3.9</v>
      </c>
      <c r="H603" t="n">
        <v>0</v>
      </c>
      <c r="I603" t="n">
        <v>0</v>
      </c>
      <c r="J603" t="n">
        <v>0</v>
      </c>
      <c r="K603" t="n">
        <v>0</v>
      </c>
      <c r="L603" t="n">
        <v>0</v>
      </c>
      <c r="M603" t="n">
        <v>0</v>
      </c>
      <c r="N603" t="n">
        <v>0</v>
      </c>
      <c r="O603" t="n">
        <v>0</v>
      </c>
      <c r="P603" t="n">
        <v>0</v>
      </c>
      <c r="Q603" t="n">
        <v>0</v>
      </c>
      <c r="R603" s="2" t="inlineStr"/>
    </row>
    <row r="604" ht="15" customHeight="1">
      <c r="A604" t="inlineStr">
        <is>
          <t>A 8808-2022</t>
        </is>
      </c>
      <c r="B604" s="1" t="n">
        <v>44614</v>
      </c>
      <c r="C604" s="1" t="n">
        <v>45359</v>
      </c>
      <c r="D604" t="inlineStr">
        <is>
          <t>JÄMTLANDS LÄN</t>
        </is>
      </c>
      <c r="E604" t="inlineStr">
        <is>
          <t>RAGUNDA</t>
        </is>
      </c>
      <c r="G604" t="n">
        <v>3.3</v>
      </c>
      <c r="H604" t="n">
        <v>0</v>
      </c>
      <c r="I604" t="n">
        <v>0</v>
      </c>
      <c r="J604" t="n">
        <v>0</v>
      </c>
      <c r="K604" t="n">
        <v>0</v>
      </c>
      <c r="L604" t="n">
        <v>0</v>
      </c>
      <c r="M604" t="n">
        <v>0</v>
      </c>
      <c r="N604" t="n">
        <v>0</v>
      </c>
      <c r="O604" t="n">
        <v>0</v>
      </c>
      <c r="P604" t="n">
        <v>0</v>
      </c>
      <c r="Q604" t="n">
        <v>0</v>
      </c>
      <c r="R604" s="2" t="inlineStr"/>
    </row>
    <row r="605" ht="15" customHeight="1">
      <c r="A605" t="inlineStr">
        <is>
          <t>A 8802-2022</t>
        </is>
      </c>
      <c r="B605" s="1" t="n">
        <v>44614</v>
      </c>
      <c r="C605" s="1" t="n">
        <v>45359</v>
      </c>
      <c r="D605" t="inlineStr">
        <is>
          <t>JÄMTLANDS LÄN</t>
        </is>
      </c>
      <c r="E605" t="inlineStr">
        <is>
          <t>RAGUNDA</t>
        </is>
      </c>
      <c r="G605" t="n">
        <v>2.8</v>
      </c>
      <c r="H605" t="n">
        <v>0</v>
      </c>
      <c r="I605" t="n">
        <v>0</v>
      </c>
      <c r="J605" t="n">
        <v>0</v>
      </c>
      <c r="K605" t="n">
        <v>0</v>
      </c>
      <c r="L605" t="n">
        <v>0</v>
      </c>
      <c r="M605" t="n">
        <v>0</v>
      </c>
      <c r="N605" t="n">
        <v>0</v>
      </c>
      <c r="O605" t="n">
        <v>0</v>
      </c>
      <c r="P605" t="n">
        <v>0</v>
      </c>
      <c r="Q605" t="n">
        <v>0</v>
      </c>
      <c r="R605" s="2" t="inlineStr"/>
    </row>
    <row r="606" ht="15" customHeight="1">
      <c r="A606" t="inlineStr">
        <is>
          <t>A 8811-2022</t>
        </is>
      </c>
      <c r="B606" s="1" t="n">
        <v>44614</v>
      </c>
      <c r="C606" s="1" t="n">
        <v>45359</v>
      </c>
      <c r="D606" t="inlineStr">
        <is>
          <t>JÄMTLANDS LÄN</t>
        </is>
      </c>
      <c r="E606" t="inlineStr">
        <is>
          <t>RAGUNDA</t>
        </is>
      </c>
      <c r="G606" t="n">
        <v>1.4</v>
      </c>
      <c r="H606" t="n">
        <v>0</v>
      </c>
      <c r="I606" t="n">
        <v>0</v>
      </c>
      <c r="J606" t="n">
        <v>0</v>
      </c>
      <c r="K606" t="n">
        <v>0</v>
      </c>
      <c r="L606" t="n">
        <v>0</v>
      </c>
      <c r="M606" t="n">
        <v>0</v>
      </c>
      <c r="N606" t="n">
        <v>0</v>
      </c>
      <c r="O606" t="n">
        <v>0</v>
      </c>
      <c r="P606" t="n">
        <v>0</v>
      </c>
      <c r="Q606" t="n">
        <v>0</v>
      </c>
      <c r="R606" s="2" t="inlineStr"/>
    </row>
    <row r="607" ht="15" customHeight="1">
      <c r="A607" t="inlineStr">
        <is>
          <t>A 8787-2022</t>
        </is>
      </c>
      <c r="B607" s="1" t="n">
        <v>44614</v>
      </c>
      <c r="C607" s="1" t="n">
        <v>45359</v>
      </c>
      <c r="D607" t="inlineStr">
        <is>
          <t>JÄMTLANDS LÄN</t>
        </is>
      </c>
      <c r="E607" t="inlineStr">
        <is>
          <t>RAGUNDA</t>
        </is>
      </c>
      <c r="G607" t="n">
        <v>6.4</v>
      </c>
      <c r="H607" t="n">
        <v>0</v>
      </c>
      <c r="I607" t="n">
        <v>0</v>
      </c>
      <c r="J607" t="n">
        <v>0</v>
      </c>
      <c r="K607" t="n">
        <v>0</v>
      </c>
      <c r="L607" t="n">
        <v>0</v>
      </c>
      <c r="M607" t="n">
        <v>0</v>
      </c>
      <c r="N607" t="n">
        <v>0</v>
      </c>
      <c r="O607" t="n">
        <v>0</v>
      </c>
      <c r="P607" t="n">
        <v>0</v>
      </c>
      <c r="Q607" t="n">
        <v>0</v>
      </c>
      <c r="R607" s="2" t="inlineStr"/>
    </row>
    <row r="608" ht="15" customHeight="1">
      <c r="A608" t="inlineStr">
        <is>
          <t>A 9187-2022</t>
        </is>
      </c>
      <c r="B608" s="1" t="n">
        <v>44615</v>
      </c>
      <c r="C608" s="1" t="n">
        <v>45359</v>
      </c>
      <c r="D608" t="inlineStr">
        <is>
          <t>JÄMTLANDS LÄN</t>
        </is>
      </c>
      <c r="E608" t="inlineStr">
        <is>
          <t>RAGUNDA</t>
        </is>
      </c>
      <c r="G608" t="n">
        <v>2</v>
      </c>
      <c r="H608" t="n">
        <v>0</v>
      </c>
      <c r="I608" t="n">
        <v>0</v>
      </c>
      <c r="J608" t="n">
        <v>0</v>
      </c>
      <c r="K608" t="n">
        <v>0</v>
      </c>
      <c r="L608" t="n">
        <v>0</v>
      </c>
      <c r="M608" t="n">
        <v>0</v>
      </c>
      <c r="N608" t="n">
        <v>0</v>
      </c>
      <c r="O608" t="n">
        <v>0</v>
      </c>
      <c r="P608" t="n">
        <v>0</v>
      </c>
      <c r="Q608" t="n">
        <v>0</v>
      </c>
      <c r="R608" s="2" t="inlineStr"/>
    </row>
    <row r="609" ht="15" customHeight="1">
      <c r="A609" t="inlineStr">
        <is>
          <t>A 9199-2022</t>
        </is>
      </c>
      <c r="B609" s="1" t="n">
        <v>44615</v>
      </c>
      <c r="C609" s="1" t="n">
        <v>45359</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9185-2022</t>
        </is>
      </c>
      <c r="B610" s="1" t="n">
        <v>44615</v>
      </c>
      <c r="C610" s="1" t="n">
        <v>45359</v>
      </c>
      <c r="D610" t="inlineStr">
        <is>
          <t>JÄMTLANDS LÄN</t>
        </is>
      </c>
      <c r="E610" t="inlineStr">
        <is>
          <t>RAGUNDA</t>
        </is>
      </c>
      <c r="G610" t="n">
        <v>1.1</v>
      </c>
      <c r="H610" t="n">
        <v>0</v>
      </c>
      <c r="I610" t="n">
        <v>0</v>
      </c>
      <c r="J610" t="n">
        <v>0</v>
      </c>
      <c r="K610" t="n">
        <v>0</v>
      </c>
      <c r="L610" t="n">
        <v>0</v>
      </c>
      <c r="M610" t="n">
        <v>0</v>
      </c>
      <c r="N610" t="n">
        <v>0</v>
      </c>
      <c r="O610" t="n">
        <v>0</v>
      </c>
      <c r="P610" t="n">
        <v>0</v>
      </c>
      <c r="Q610" t="n">
        <v>0</v>
      </c>
      <c r="R610" s="2" t="inlineStr"/>
    </row>
    <row r="611" ht="15" customHeight="1">
      <c r="A611" t="inlineStr">
        <is>
          <t>A 10120-2022</t>
        </is>
      </c>
      <c r="B611" s="1" t="n">
        <v>44621</v>
      </c>
      <c r="C611" s="1" t="n">
        <v>45359</v>
      </c>
      <c r="D611" t="inlineStr">
        <is>
          <t>JÄMTLANDS LÄN</t>
        </is>
      </c>
      <c r="E611" t="inlineStr">
        <is>
          <t>RAGUNDA</t>
        </is>
      </c>
      <c r="G611" t="n">
        <v>0.4</v>
      </c>
      <c r="H611" t="n">
        <v>0</v>
      </c>
      <c r="I611" t="n">
        <v>0</v>
      </c>
      <c r="J611" t="n">
        <v>0</v>
      </c>
      <c r="K611" t="n">
        <v>0</v>
      </c>
      <c r="L611" t="n">
        <v>0</v>
      </c>
      <c r="M611" t="n">
        <v>0</v>
      </c>
      <c r="N611" t="n">
        <v>0</v>
      </c>
      <c r="O611" t="n">
        <v>0</v>
      </c>
      <c r="P611" t="n">
        <v>0</v>
      </c>
      <c r="Q611" t="n">
        <v>0</v>
      </c>
      <c r="R611" s="2" t="inlineStr"/>
    </row>
    <row r="612" ht="15" customHeight="1">
      <c r="A612" t="inlineStr">
        <is>
          <t>A 10905-2022</t>
        </is>
      </c>
      <c r="B612" s="1" t="n">
        <v>44627</v>
      </c>
      <c r="C612" s="1" t="n">
        <v>45359</v>
      </c>
      <c r="D612" t="inlineStr">
        <is>
          <t>JÄMTLANDS LÄN</t>
        </is>
      </c>
      <c r="E612" t="inlineStr">
        <is>
          <t>RAGUNDA</t>
        </is>
      </c>
      <c r="G612" t="n">
        <v>3.9</v>
      </c>
      <c r="H612" t="n">
        <v>0</v>
      </c>
      <c r="I612" t="n">
        <v>0</v>
      </c>
      <c r="J612" t="n">
        <v>0</v>
      </c>
      <c r="K612" t="n">
        <v>0</v>
      </c>
      <c r="L612" t="n">
        <v>0</v>
      </c>
      <c r="M612" t="n">
        <v>0</v>
      </c>
      <c r="N612" t="n">
        <v>0</v>
      </c>
      <c r="O612" t="n">
        <v>0</v>
      </c>
      <c r="P612" t="n">
        <v>0</v>
      </c>
      <c r="Q612" t="n">
        <v>0</v>
      </c>
      <c r="R612" s="2" t="inlineStr"/>
    </row>
    <row r="613" ht="15" customHeight="1">
      <c r="A613" t="inlineStr">
        <is>
          <t>A 10972-2022</t>
        </is>
      </c>
      <c r="B613" s="1" t="n">
        <v>44628</v>
      </c>
      <c r="C613" s="1" t="n">
        <v>45359</v>
      </c>
      <c r="D613" t="inlineStr">
        <is>
          <t>JÄMTLANDS LÄN</t>
        </is>
      </c>
      <c r="E613" t="inlineStr">
        <is>
          <t>RAGUNDA</t>
        </is>
      </c>
      <c r="G613" t="n">
        <v>9.5</v>
      </c>
      <c r="H613" t="n">
        <v>0</v>
      </c>
      <c r="I613" t="n">
        <v>0</v>
      </c>
      <c r="J613" t="n">
        <v>0</v>
      </c>
      <c r="K613" t="n">
        <v>0</v>
      </c>
      <c r="L613" t="n">
        <v>0</v>
      </c>
      <c r="M613" t="n">
        <v>0</v>
      </c>
      <c r="N613" t="n">
        <v>0</v>
      </c>
      <c r="O613" t="n">
        <v>0</v>
      </c>
      <c r="P613" t="n">
        <v>0</v>
      </c>
      <c r="Q613" t="n">
        <v>0</v>
      </c>
      <c r="R613" s="2" t="inlineStr"/>
    </row>
    <row r="614" ht="15" customHeight="1">
      <c r="A614" t="inlineStr">
        <is>
          <t>A 11217-2022</t>
        </is>
      </c>
      <c r="B614" s="1" t="n">
        <v>44629</v>
      </c>
      <c r="C614" s="1" t="n">
        <v>45359</v>
      </c>
      <c r="D614" t="inlineStr">
        <is>
          <t>JÄMTLANDS LÄN</t>
        </is>
      </c>
      <c r="E614" t="inlineStr">
        <is>
          <t>RAGUNDA</t>
        </is>
      </c>
      <c r="G614" t="n">
        <v>10.2</v>
      </c>
      <c r="H614" t="n">
        <v>0</v>
      </c>
      <c r="I614" t="n">
        <v>0</v>
      </c>
      <c r="J614" t="n">
        <v>0</v>
      </c>
      <c r="K614" t="n">
        <v>0</v>
      </c>
      <c r="L614" t="n">
        <v>0</v>
      </c>
      <c r="M614" t="n">
        <v>0</v>
      </c>
      <c r="N614" t="n">
        <v>0</v>
      </c>
      <c r="O614" t="n">
        <v>0</v>
      </c>
      <c r="P614" t="n">
        <v>0</v>
      </c>
      <c r="Q614" t="n">
        <v>0</v>
      </c>
      <c r="R614" s="2" t="inlineStr"/>
    </row>
    <row r="615" ht="15" customHeight="1">
      <c r="A615" t="inlineStr">
        <is>
          <t>A 11288-2022</t>
        </is>
      </c>
      <c r="B615" s="1" t="n">
        <v>44629</v>
      </c>
      <c r="C615" s="1" t="n">
        <v>45359</v>
      </c>
      <c r="D615" t="inlineStr">
        <is>
          <t>JÄMTLANDS LÄN</t>
        </is>
      </c>
      <c r="E615" t="inlineStr">
        <is>
          <t>RAGUNDA</t>
        </is>
      </c>
      <c r="G615" t="n">
        <v>4.9</v>
      </c>
      <c r="H615" t="n">
        <v>0</v>
      </c>
      <c r="I615" t="n">
        <v>0</v>
      </c>
      <c r="J615" t="n">
        <v>0</v>
      </c>
      <c r="K615" t="n">
        <v>0</v>
      </c>
      <c r="L615" t="n">
        <v>0</v>
      </c>
      <c r="M615" t="n">
        <v>0</v>
      </c>
      <c r="N615" t="n">
        <v>0</v>
      </c>
      <c r="O615" t="n">
        <v>0</v>
      </c>
      <c r="P615" t="n">
        <v>0</v>
      </c>
      <c r="Q615" t="n">
        <v>0</v>
      </c>
      <c r="R615" s="2" t="inlineStr"/>
    </row>
    <row r="616" ht="15" customHeight="1">
      <c r="A616" t="inlineStr">
        <is>
          <t>A 11487-2022</t>
        </is>
      </c>
      <c r="B616" s="1" t="n">
        <v>44630</v>
      </c>
      <c r="C616" s="1" t="n">
        <v>45359</v>
      </c>
      <c r="D616" t="inlineStr">
        <is>
          <t>JÄMTLANDS LÄN</t>
        </is>
      </c>
      <c r="E616" t="inlineStr">
        <is>
          <t>RAGUNDA</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12024-2022</t>
        </is>
      </c>
      <c r="B617" s="1" t="n">
        <v>44635</v>
      </c>
      <c r="C617" s="1" t="n">
        <v>45359</v>
      </c>
      <c r="D617" t="inlineStr">
        <is>
          <t>JÄMTLANDS LÄN</t>
        </is>
      </c>
      <c r="E617" t="inlineStr">
        <is>
          <t>RAGUNDA</t>
        </is>
      </c>
      <c r="F617" t="inlineStr">
        <is>
          <t>SCA</t>
        </is>
      </c>
      <c r="G617" t="n">
        <v>4.9</v>
      </c>
      <c r="H617" t="n">
        <v>0</v>
      </c>
      <c r="I617" t="n">
        <v>0</v>
      </c>
      <c r="J617" t="n">
        <v>0</v>
      </c>
      <c r="K617" t="n">
        <v>0</v>
      </c>
      <c r="L617" t="n">
        <v>0</v>
      </c>
      <c r="M617" t="n">
        <v>0</v>
      </c>
      <c r="N617" t="n">
        <v>0</v>
      </c>
      <c r="O617" t="n">
        <v>0</v>
      </c>
      <c r="P617" t="n">
        <v>0</v>
      </c>
      <c r="Q617" t="n">
        <v>0</v>
      </c>
      <c r="R617" s="2" t="inlineStr"/>
    </row>
    <row r="618" ht="15" customHeight="1">
      <c r="A618" t="inlineStr">
        <is>
          <t>A 12559-2022</t>
        </is>
      </c>
      <c r="B618" s="1" t="n">
        <v>44638</v>
      </c>
      <c r="C618" s="1" t="n">
        <v>45359</v>
      </c>
      <c r="D618" t="inlineStr">
        <is>
          <t>JÄMTLANDS LÄN</t>
        </is>
      </c>
      <c r="E618" t="inlineStr">
        <is>
          <t>RAGUNDA</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12773-2022</t>
        </is>
      </c>
      <c r="B619" s="1" t="n">
        <v>44641</v>
      </c>
      <c r="C619" s="1" t="n">
        <v>45359</v>
      </c>
      <c r="D619" t="inlineStr">
        <is>
          <t>JÄMTLANDS LÄN</t>
        </is>
      </c>
      <c r="E619" t="inlineStr">
        <is>
          <t>RAGUNDA</t>
        </is>
      </c>
      <c r="F619" t="inlineStr">
        <is>
          <t>SCA</t>
        </is>
      </c>
      <c r="G619" t="n">
        <v>14.7</v>
      </c>
      <c r="H619" t="n">
        <v>0</v>
      </c>
      <c r="I619" t="n">
        <v>0</v>
      </c>
      <c r="J619" t="n">
        <v>0</v>
      </c>
      <c r="K619" t="n">
        <v>0</v>
      </c>
      <c r="L619" t="n">
        <v>0</v>
      </c>
      <c r="M619" t="n">
        <v>0</v>
      </c>
      <c r="N619" t="n">
        <v>0</v>
      </c>
      <c r="O619" t="n">
        <v>0</v>
      </c>
      <c r="P619" t="n">
        <v>0</v>
      </c>
      <c r="Q619" t="n">
        <v>0</v>
      </c>
      <c r="R619" s="2" t="inlineStr"/>
    </row>
    <row r="620" ht="15" customHeight="1">
      <c r="A620" t="inlineStr">
        <is>
          <t>A 12768-2022</t>
        </is>
      </c>
      <c r="B620" s="1" t="n">
        <v>44641</v>
      </c>
      <c r="C620" s="1" t="n">
        <v>45359</v>
      </c>
      <c r="D620" t="inlineStr">
        <is>
          <t>JÄMTLANDS LÄN</t>
        </is>
      </c>
      <c r="E620" t="inlineStr">
        <is>
          <t>RAGUNDA</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13302-2022</t>
        </is>
      </c>
      <c r="B621" s="1" t="n">
        <v>44644</v>
      </c>
      <c r="C621" s="1" t="n">
        <v>45359</v>
      </c>
      <c r="D621" t="inlineStr">
        <is>
          <t>JÄMTLANDS LÄN</t>
        </is>
      </c>
      <c r="E621" t="inlineStr">
        <is>
          <t>RAGUNDA</t>
        </is>
      </c>
      <c r="F621" t="inlineStr">
        <is>
          <t>SCA</t>
        </is>
      </c>
      <c r="G621" t="n">
        <v>35.6</v>
      </c>
      <c r="H621" t="n">
        <v>0</v>
      </c>
      <c r="I621" t="n">
        <v>0</v>
      </c>
      <c r="J621" t="n">
        <v>0</v>
      </c>
      <c r="K621" t="n">
        <v>0</v>
      </c>
      <c r="L621" t="n">
        <v>0</v>
      </c>
      <c r="M621" t="n">
        <v>0</v>
      </c>
      <c r="N621" t="n">
        <v>0</v>
      </c>
      <c r="O621" t="n">
        <v>0</v>
      </c>
      <c r="P621" t="n">
        <v>0</v>
      </c>
      <c r="Q621" t="n">
        <v>0</v>
      </c>
      <c r="R621" s="2" t="inlineStr"/>
    </row>
    <row r="622" ht="15" customHeight="1">
      <c r="A622" t="inlineStr">
        <is>
          <t>A 13303-2022</t>
        </is>
      </c>
      <c r="B622" s="1" t="n">
        <v>44644</v>
      </c>
      <c r="C622" s="1" t="n">
        <v>45359</v>
      </c>
      <c r="D622" t="inlineStr">
        <is>
          <t>JÄMTLANDS LÄN</t>
        </is>
      </c>
      <c r="E622" t="inlineStr">
        <is>
          <t>RAGUNDA</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13769-2022</t>
        </is>
      </c>
      <c r="B623" s="1" t="n">
        <v>44649</v>
      </c>
      <c r="C623" s="1" t="n">
        <v>45359</v>
      </c>
      <c r="D623" t="inlineStr">
        <is>
          <t>JÄMTLANDS LÄN</t>
        </is>
      </c>
      <c r="E623" t="inlineStr">
        <is>
          <t>RAGUNDA</t>
        </is>
      </c>
      <c r="F623" t="inlineStr">
        <is>
          <t>Kommuner</t>
        </is>
      </c>
      <c r="G623" t="n">
        <v>2.5</v>
      </c>
      <c r="H623" t="n">
        <v>0</v>
      </c>
      <c r="I623" t="n">
        <v>0</v>
      </c>
      <c r="J623" t="n">
        <v>0</v>
      </c>
      <c r="K623" t="n">
        <v>0</v>
      </c>
      <c r="L623" t="n">
        <v>0</v>
      </c>
      <c r="M623" t="n">
        <v>0</v>
      </c>
      <c r="N623" t="n">
        <v>0</v>
      </c>
      <c r="O623" t="n">
        <v>0</v>
      </c>
      <c r="P623" t="n">
        <v>0</v>
      </c>
      <c r="Q623" t="n">
        <v>0</v>
      </c>
      <c r="R623" s="2" t="inlineStr"/>
    </row>
    <row r="624" ht="15" customHeight="1">
      <c r="A624" t="inlineStr">
        <is>
          <t>A 13767-2022</t>
        </is>
      </c>
      <c r="B624" s="1" t="n">
        <v>44649</v>
      </c>
      <c r="C624" s="1" t="n">
        <v>45359</v>
      </c>
      <c r="D624" t="inlineStr">
        <is>
          <t>JÄMTLANDS LÄN</t>
        </is>
      </c>
      <c r="E624" t="inlineStr">
        <is>
          <t>RAGUNDA</t>
        </is>
      </c>
      <c r="F624" t="inlineStr">
        <is>
          <t>Kommuner</t>
        </is>
      </c>
      <c r="G624" t="n">
        <v>3.1</v>
      </c>
      <c r="H624" t="n">
        <v>0</v>
      </c>
      <c r="I624" t="n">
        <v>0</v>
      </c>
      <c r="J624" t="n">
        <v>0</v>
      </c>
      <c r="K624" t="n">
        <v>0</v>
      </c>
      <c r="L624" t="n">
        <v>0</v>
      </c>
      <c r="M624" t="n">
        <v>0</v>
      </c>
      <c r="N624" t="n">
        <v>0</v>
      </c>
      <c r="O624" t="n">
        <v>0</v>
      </c>
      <c r="P624" t="n">
        <v>0</v>
      </c>
      <c r="Q624" t="n">
        <v>0</v>
      </c>
      <c r="R624" s="2" t="inlineStr"/>
    </row>
    <row r="625" ht="15" customHeight="1">
      <c r="A625" t="inlineStr">
        <is>
          <t>A 13768-2022</t>
        </is>
      </c>
      <c r="B625" s="1" t="n">
        <v>44649</v>
      </c>
      <c r="C625" s="1" t="n">
        <v>45359</v>
      </c>
      <c r="D625" t="inlineStr">
        <is>
          <t>JÄMTLANDS LÄN</t>
        </is>
      </c>
      <c r="E625" t="inlineStr">
        <is>
          <t>RAGUNDA</t>
        </is>
      </c>
      <c r="F625" t="inlineStr">
        <is>
          <t>Kommuner</t>
        </is>
      </c>
      <c r="G625" t="n">
        <v>2.6</v>
      </c>
      <c r="H625" t="n">
        <v>0</v>
      </c>
      <c r="I625" t="n">
        <v>0</v>
      </c>
      <c r="J625" t="n">
        <v>0</v>
      </c>
      <c r="K625" t="n">
        <v>0</v>
      </c>
      <c r="L625" t="n">
        <v>0</v>
      </c>
      <c r="M625" t="n">
        <v>0</v>
      </c>
      <c r="N625" t="n">
        <v>0</v>
      </c>
      <c r="O625" t="n">
        <v>0</v>
      </c>
      <c r="P625" t="n">
        <v>0</v>
      </c>
      <c r="Q625" t="n">
        <v>0</v>
      </c>
      <c r="R625" s="2" t="inlineStr"/>
    </row>
    <row r="626" ht="15" customHeight="1">
      <c r="A626" t="inlineStr">
        <is>
          <t>A 13964-2022</t>
        </is>
      </c>
      <c r="B626" s="1" t="n">
        <v>44650</v>
      </c>
      <c r="C626" s="1" t="n">
        <v>45359</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13911-2022</t>
        </is>
      </c>
      <c r="B627" s="1" t="n">
        <v>44650</v>
      </c>
      <c r="C627" s="1" t="n">
        <v>45359</v>
      </c>
      <c r="D627" t="inlineStr">
        <is>
          <t>JÄMTLANDS LÄN</t>
        </is>
      </c>
      <c r="E627" t="inlineStr">
        <is>
          <t>RAGUNDA</t>
        </is>
      </c>
      <c r="G627" t="n">
        <v>0.6</v>
      </c>
      <c r="H627" t="n">
        <v>0</v>
      </c>
      <c r="I627" t="n">
        <v>0</v>
      </c>
      <c r="J627" t="n">
        <v>0</v>
      </c>
      <c r="K627" t="n">
        <v>0</v>
      </c>
      <c r="L627" t="n">
        <v>0</v>
      </c>
      <c r="M627" t="n">
        <v>0</v>
      </c>
      <c r="N627" t="n">
        <v>0</v>
      </c>
      <c r="O627" t="n">
        <v>0</v>
      </c>
      <c r="P627" t="n">
        <v>0</v>
      </c>
      <c r="Q627" t="n">
        <v>0</v>
      </c>
      <c r="R627" s="2" t="inlineStr"/>
    </row>
    <row r="628" ht="15" customHeight="1">
      <c r="A628" t="inlineStr">
        <is>
          <t>A 14435-2022</t>
        </is>
      </c>
      <c r="B628" s="1" t="n">
        <v>44652</v>
      </c>
      <c r="C628" s="1" t="n">
        <v>45359</v>
      </c>
      <c r="D628" t="inlineStr">
        <is>
          <t>JÄMTLANDS LÄN</t>
        </is>
      </c>
      <c r="E628" t="inlineStr">
        <is>
          <t>RAGUNDA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14696-2022</t>
        </is>
      </c>
      <c r="B629" s="1" t="n">
        <v>44655</v>
      </c>
      <c r="C629" s="1" t="n">
        <v>45359</v>
      </c>
      <c r="D629" t="inlineStr">
        <is>
          <t>JÄMTLANDS LÄN</t>
        </is>
      </c>
      <c r="E629" t="inlineStr">
        <is>
          <t>RAGUNDA</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14697-2022</t>
        </is>
      </c>
      <c r="B630" s="1" t="n">
        <v>44655</v>
      </c>
      <c r="C630" s="1" t="n">
        <v>45359</v>
      </c>
      <c r="D630" t="inlineStr">
        <is>
          <t>JÄMTLANDS LÄN</t>
        </is>
      </c>
      <c r="E630" t="inlineStr">
        <is>
          <t>RAGUNDA</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14898-2022</t>
        </is>
      </c>
      <c r="B631" s="1" t="n">
        <v>44656</v>
      </c>
      <c r="C631" s="1" t="n">
        <v>45359</v>
      </c>
      <c r="D631" t="inlineStr">
        <is>
          <t>JÄMTLANDS LÄN</t>
        </is>
      </c>
      <c r="E631" t="inlineStr">
        <is>
          <t>RAGUNDA</t>
        </is>
      </c>
      <c r="F631" t="inlineStr">
        <is>
          <t>SCA</t>
        </is>
      </c>
      <c r="G631" t="n">
        <v>7</v>
      </c>
      <c r="H631" t="n">
        <v>0</v>
      </c>
      <c r="I631" t="n">
        <v>0</v>
      </c>
      <c r="J631" t="n">
        <v>0</v>
      </c>
      <c r="K631" t="n">
        <v>0</v>
      </c>
      <c r="L631" t="n">
        <v>0</v>
      </c>
      <c r="M631" t="n">
        <v>0</v>
      </c>
      <c r="N631" t="n">
        <v>0</v>
      </c>
      <c r="O631" t="n">
        <v>0</v>
      </c>
      <c r="P631" t="n">
        <v>0</v>
      </c>
      <c r="Q631" t="n">
        <v>0</v>
      </c>
      <c r="R631" s="2" t="inlineStr"/>
    </row>
    <row r="632" ht="15" customHeight="1">
      <c r="A632" t="inlineStr">
        <is>
          <t>A 14907-2022</t>
        </is>
      </c>
      <c r="B632" s="1" t="n">
        <v>44657</v>
      </c>
      <c r="C632" s="1" t="n">
        <v>45359</v>
      </c>
      <c r="D632" t="inlineStr">
        <is>
          <t>JÄMTLANDS LÄN</t>
        </is>
      </c>
      <c r="E632" t="inlineStr">
        <is>
          <t>RAGUNDA</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14896-2022</t>
        </is>
      </c>
      <c r="B633" s="1" t="n">
        <v>44656</v>
      </c>
      <c r="C633" s="1" t="n">
        <v>45359</v>
      </c>
      <c r="D633" t="inlineStr">
        <is>
          <t>JÄMTLANDS LÄN</t>
        </is>
      </c>
      <c r="E633" t="inlineStr">
        <is>
          <t>RAGUNDA</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14906-2022</t>
        </is>
      </c>
      <c r="B634" s="1" t="n">
        <v>44657</v>
      </c>
      <c r="C634" s="1" t="n">
        <v>45359</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14905-2022</t>
        </is>
      </c>
      <c r="B635" s="1" t="n">
        <v>44657</v>
      </c>
      <c r="C635" s="1" t="n">
        <v>45359</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15024-2022</t>
        </is>
      </c>
      <c r="B636" s="1" t="n">
        <v>44657</v>
      </c>
      <c r="C636" s="1" t="n">
        <v>45359</v>
      </c>
      <c r="D636" t="inlineStr">
        <is>
          <t>JÄMTLANDS LÄN</t>
        </is>
      </c>
      <c r="E636" t="inlineStr">
        <is>
          <t>RAGUNDA</t>
        </is>
      </c>
      <c r="G636" t="n">
        <v>1.8</v>
      </c>
      <c r="H636" t="n">
        <v>0</v>
      </c>
      <c r="I636" t="n">
        <v>0</v>
      </c>
      <c r="J636" t="n">
        <v>0</v>
      </c>
      <c r="K636" t="n">
        <v>0</v>
      </c>
      <c r="L636" t="n">
        <v>0</v>
      </c>
      <c r="M636" t="n">
        <v>0</v>
      </c>
      <c r="N636" t="n">
        <v>0</v>
      </c>
      <c r="O636" t="n">
        <v>0</v>
      </c>
      <c r="P636" t="n">
        <v>0</v>
      </c>
      <c r="Q636" t="n">
        <v>0</v>
      </c>
      <c r="R636" s="2" t="inlineStr"/>
    </row>
    <row r="637" ht="15" customHeight="1">
      <c r="A637" t="inlineStr">
        <is>
          <t>A 15664-2022</t>
        </is>
      </c>
      <c r="B637" s="1" t="n">
        <v>44662</v>
      </c>
      <c r="C637" s="1" t="n">
        <v>45359</v>
      </c>
      <c r="D637" t="inlineStr">
        <is>
          <t>JÄMTLANDS LÄN</t>
        </is>
      </c>
      <c r="E637" t="inlineStr">
        <is>
          <t>RAGUNDA</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15808-2022</t>
        </is>
      </c>
      <c r="B638" s="1" t="n">
        <v>44663</v>
      </c>
      <c r="C638" s="1" t="n">
        <v>45359</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15969-2022</t>
        </is>
      </c>
      <c r="B639" s="1" t="n">
        <v>44665</v>
      </c>
      <c r="C639" s="1" t="n">
        <v>45359</v>
      </c>
      <c r="D639" t="inlineStr">
        <is>
          <t>JÄMTLANDS LÄN</t>
        </is>
      </c>
      <c r="E639" t="inlineStr">
        <is>
          <t>RAGUNDA</t>
        </is>
      </c>
      <c r="F639" t="inlineStr">
        <is>
          <t>SCA</t>
        </is>
      </c>
      <c r="G639" t="n">
        <v>5.2</v>
      </c>
      <c r="H639" t="n">
        <v>0</v>
      </c>
      <c r="I639" t="n">
        <v>0</v>
      </c>
      <c r="J639" t="n">
        <v>0</v>
      </c>
      <c r="K639" t="n">
        <v>0</v>
      </c>
      <c r="L639" t="n">
        <v>0</v>
      </c>
      <c r="M639" t="n">
        <v>0</v>
      </c>
      <c r="N639" t="n">
        <v>0</v>
      </c>
      <c r="O639" t="n">
        <v>0</v>
      </c>
      <c r="P639" t="n">
        <v>0</v>
      </c>
      <c r="Q639" t="n">
        <v>0</v>
      </c>
      <c r="R639" s="2" t="inlineStr"/>
    </row>
    <row r="640" ht="15" customHeight="1">
      <c r="A640" t="inlineStr">
        <is>
          <t>A 16246-2022</t>
        </is>
      </c>
      <c r="B640" s="1" t="n">
        <v>44670</v>
      </c>
      <c r="C640" s="1" t="n">
        <v>45359</v>
      </c>
      <c r="D640" t="inlineStr">
        <is>
          <t>JÄMTLANDS LÄN</t>
        </is>
      </c>
      <c r="E640" t="inlineStr">
        <is>
          <t>RAGUNDA</t>
        </is>
      </c>
      <c r="G640" t="n">
        <v>4.1</v>
      </c>
      <c r="H640" t="n">
        <v>0</v>
      </c>
      <c r="I640" t="n">
        <v>0</v>
      </c>
      <c r="J640" t="n">
        <v>0</v>
      </c>
      <c r="K640" t="n">
        <v>0</v>
      </c>
      <c r="L640" t="n">
        <v>0</v>
      </c>
      <c r="M640" t="n">
        <v>0</v>
      </c>
      <c r="N640" t="n">
        <v>0</v>
      </c>
      <c r="O640" t="n">
        <v>0</v>
      </c>
      <c r="P640" t="n">
        <v>0</v>
      </c>
      <c r="Q640" t="n">
        <v>0</v>
      </c>
      <c r="R640" s="2" t="inlineStr"/>
    </row>
    <row r="641" ht="15" customHeight="1">
      <c r="A641" t="inlineStr">
        <is>
          <t>A 16250-2022</t>
        </is>
      </c>
      <c r="B641" s="1" t="n">
        <v>44670</v>
      </c>
      <c r="C641" s="1" t="n">
        <v>45359</v>
      </c>
      <c r="D641" t="inlineStr">
        <is>
          <t>JÄMTLANDS LÄN</t>
        </is>
      </c>
      <c r="E641" t="inlineStr">
        <is>
          <t>RAGUNDA</t>
        </is>
      </c>
      <c r="G641" t="n">
        <v>1</v>
      </c>
      <c r="H641" t="n">
        <v>0</v>
      </c>
      <c r="I641" t="n">
        <v>0</v>
      </c>
      <c r="J641" t="n">
        <v>0</v>
      </c>
      <c r="K641" t="n">
        <v>0</v>
      </c>
      <c r="L641" t="n">
        <v>0</v>
      </c>
      <c r="M641" t="n">
        <v>0</v>
      </c>
      <c r="N641" t="n">
        <v>0</v>
      </c>
      <c r="O641" t="n">
        <v>0</v>
      </c>
      <c r="P641" t="n">
        <v>0</v>
      </c>
      <c r="Q641" t="n">
        <v>0</v>
      </c>
      <c r="R641" s="2" t="inlineStr"/>
    </row>
    <row r="642" ht="15" customHeight="1">
      <c r="A642" t="inlineStr">
        <is>
          <t>A 16361-2022</t>
        </is>
      </c>
      <c r="B642" s="1" t="n">
        <v>44670</v>
      </c>
      <c r="C642" s="1" t="n">
        <v>45359</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16460-2022</t>
        </is>
      </c>
      <c r="B643" s="1" t="n">
        <v>44671</v>
      </c>
      <c r="C643" s="1" t="n">
        <v>45359</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16529-2022</t>
        </is>
      </c>
      <c r="B644" s="1" t="n">
        <v>44671</v>
      </c>
      <c r="C644" s="1" t="n">
        <v>45359</v>
      </c>
      <c r="D644" t="inlineStr">
        <is>
          <t>JÄMTLANDS LÄN</t>
        </is>
      </c>
      <c r="E644" t="inlineStr">
        <is>
          <t>RAGUNDA</t>
        </is>
      </c>
      <c r="G644" t="n">
        <v>1.5</v>
      </c>
      <c r="H644" t="n">
        <v>0</v>
      </c>
      <c r="I644" t="n">
        <v>0</v>
      </c>
      <c r="J644" t="n">
        <v>0</v>
      </c>
      <c r="K644" t="n">
        <v>0</v>
      </c>
      <c r="L644" t="n">
        <v>0</v>
      </c>
      <c r="M644" t="n">
        <v>0</v>
      </c>
      <c r="N644" t="n">
        <v>0</v>
      </c>
      <c r="O644" t="n">
        <v>0</v>
      </c>
      <c r="P644" t="n">
        <v>0</v>
      </c>
      <c r="Q644" t="n">
        <v>0</v>
      </c>
      <c r="R644" s="2" t="inlineStr"/>
    </row>
    <row r="645" ht="15" customHeight="1">
      <c r="A645" t="inlineStr">
        <is>
          <t>A 16676-2022</t>
        </is>
      </c>
      <c r="B645" s="1" t="n">
        <v>44673</v>
      </c>
      <c r="C645" s="1" t="n">
        <v>45359</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17058-2022</t>
        </is>
      </c>
      <c r="B646" s="1" t="n">
        <v>44677</v>
      </c>
      <c r="C646" s="1" t="n">
        <v>45359</v>
      </c>
      <c r="D646" t="inlineStr">
        <is>
          <t>JÄMTLANDS LÄN</t>
        </is>
      </c>
      <c r="E646" t="inlineStr">
        <is>
          <t>RAGUNDA</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17573-2022</t>
        </is>
      </c>
      <c r="B647" s="1" t="n">
        <v>44679</v>
      </c>
      <c r="C647" s="1" t="n">
        <v>45359</v>
      </c>
      <c r="D647" t="inlineStr">
        <is>
          <t>JÄMTLANDS LÄN</t>
        </is>
      </c>
      <c r="E647" t="inlineStr">
        <is>
          <t>RAGUNDA</t>
        </is>
      </c>
      <c r="G647" t="n">
        <v>6.9</v>
      </c>
      <c r="H647" t="n">
        <v>0</v>
      </c>
      <c r="I647" t="n">
        <v>0</v>
      </c>
      <c r="J647" t="n">
        <v>0</v>
      </c>
      <c r="K647" t="n">
        <v>0</v>
      </c>
      <c r="L647" t="n">
        <v>0</v>
      </c>
      <c r="M647" t="n">
        <v>0</v>
      </c>
      <c r="N647" t="n">
        <v>0</v>
      </c>
      <c r="O647" t="n">
        <v>0</v>
      </c>
      <c r="P647" t="n">
        <v>0</v>
      </c>
      <c r="Q647" t="n">
        <v>0</v>
      </c>
      <c r="R647" s="2" t="inlineStr"/>
    </row>
    <row r="648" ht="15" customHeight="1">
      <c r="A648" t="inlineStr">
        <is>
          <t>A 17730-2022</t>
        </is>
      </c>
      <c r="B648" s="1" t="n">
        <v>44680</v>
      </c>
      <c r="C648" s="1" t="n">
        <v>45359</v>
      </c>
      <c r="D648" t="inlineStr">
        <is>
          <t>JÄMTLANDS LÄN</t>
        </is>
      </c>
      <c r="E648" t="inlineStr">
        <is>
          <t>RAGUNDA</t>
        </is>
      </c>
      <c r="G648" t="n">
        <v>3.4</v>
      </c>
      <c r="H648" t="n">
        <v>0</v>
      </c>
      <c r="I648" t="n">
        <v>0</v>
      </c>
      <c r="J648" t="n">
        <v>0</v>
      </c>
      <c r="K648" t="n">
        <v>0</v>
      </c>
      <c r="L648" t="n">
        <v>0</v>
      </c>
      <c r="M648" t="n">
        <v>0</v>
      </c>
      <c r="N648" t="n">
        <v>0</v>
      </c>
      <c r="O648" t="n">
        <v>0</v>
      </c>
      <c r="P648" t="n">
        <v>0</v>
      </c>
      <c r="Q648" t="n">
        <v>0</v>
      </c>
      <c r="R648" s="2" t="inlineStr"/>
    </row>
    <row r="649" ht="15" customHeight="1">
      <c r="A649" t="inlineStr">
        <is>
          <t>A 17742-2022</t>
        </is>
      </c>
      <c r="B649" s="1" t="n">
        <v>44681</v>
      </c>
      <c r="C649" s="1" t="n">
        <v>45359</v>
      </c>
      <c r="D649" t="inlineStr">
        <is>
          <t>JÄMTLANDS LÄN</t>
        </is>
      </c>
      <c r="E649" t="inlineStr">
        <is>
          <t>RAGUNDA</t>
        </is>
      </c>
      <c r="F649" t="inlineStr">
        <is>
          <t>SCA</t>
        </is>
      </c>
      <c r="G649" t="n">
        <v>7.2</v>
      </c>
      <c r="H649" t="n">
        <v>0</v>
      </c>
      <c r="I649" t="n">
        <v>0</v>
      </c>
      <c r="J649" t="n">
        <v>0</v>
      </c>
      <c r="K649" t="n">
        <v>0</v>
      </c>
      <c r="L649" t="n">
        <v>0</v>
      </c>
      <c r="M649" t="n">
        <v>0</v>
      </c>
      <c r="N649" t="n">
        <v>0</v>
      </c>
      <c r="O649" t="n">
        <v>0</v>
      </c>
      <c r="P649" t="n">
        <v>0</v>
      </c>
      <c r="Q649" t="n">
        <v>0</v>
      </c>
      <c r="R649" s="2" t="inlineStr"/>
    </row>
    <row r="650" ht="15" customHeight="1">
      <c r="A650" t="inlineStr">
        <is>
          <t>A 18008-2022</t>
        </is>
      </c>
      <c r="B650" s="1" t="n">
        <v>44684</v>
      </c>
      <c r="C650" s="1" t="n">
        <v>45359</v>
      </c>
      <c r="D650" t="inlineStr">
        <is>
          <t>JÄMTLANDS LÄN</t>
        </is>
      </c>
      <c r="E650" t="inlineStr">
        <is>
          <t>RAGUNDA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18193-2022</t>
        </is>
      </c>
      <c r="B651" s="1" t="n">
        <v>44685</v>
      </c>
      <c r="C651" s="1" t="n">
        <v>45359</v>
      </c>
      <c r="D651" t="inlineStr">
        <is>
          <t>JÄMTLANDS LÄN</t>
        </is>
      </c>
      <c r="E651" t="inlineStr">
        <is>
          <t>RAGUNDA</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18290-2022</t>
        </is>
      </c>
      <c r="B652" s="1" t="n">
        <v>44685</v>
      </c>
      <c r="C652" s="1" t="n">
        <v>45359</v>
      </c>
      <c r="D652" t="inlineStr">
        <is>
          <t>JÄMTLANDS LÄN</t>
        </is>
      </c>
      <c r="E652" t="inlineStr">
        <is>
          <t>RAGUNDA</t>
        </is>
      </c>
      <c r="G652" t="n">
        <v>7.7</v>
      </c>
      <c r="H652" t="n">
        <v>0</v>
      </c>
      <c r="I652" t="n">
        <v>0</v>
      </c>
      <c r="J652" t="n">
        <v>0</v>
      </c>
      <c r="K652" t="n">
        <v>0</v>
      </c>
      <c r="L652" t="n">
        <v>0</v>
      </c>
      <c r="M652" t="n">
        <v>0</v>
      </c>
      <c r="N652" t="n">
        <v>0</v>
      </c>
      <c r="O652" t="n">
        <v>0</v>
      </c>
      <c r="P652" t="n">
        <v>0</v>
      </c>
      <c r="Q652" t="n">
        <v>0</v>
      </c>
      <c r="R652" s="2" t="inlineStr"/>
    </row>
    <row r="653" ht="15" customHeight="1">
      <c r="A653" t="inlineStr">
        <is>
          <t>A 18341-2022</t>
        </is>
      </c>
      <c r="B653" s="1" t="n">
        <v>44685</v>
      </c>
      <c r="C653" s="1" t="n">
        <v>45359</v>
      </c>
      <c r="D653" t="inlineStr">
        <is>
          <t>JÄMTLANDS LÄN</t>
        </is>
      </c>
      <c r="E653" t="inlineStr">
        <is>
          <t>RAGUNDA</t>
        </is>
      </c>
      <c r="G653" t="n">
        <v>0.2</v>
      </c>
      <c r="H653" t="n">
        <v>0</v>
      </c>
      <c r="I653" t="n">
        <v>0</v>
      </c>
      <c r="J653" t="n">
        <v>0</v>
      </c>
      <c r="K653" t="n">
        <v>0</v>
      </c>
      <c r="L653" t="n">
        <v>0</v>
      </c>
      <c r="M653" t="n">
        <v>0</v>
      </c>
      <c r="N653" t="n">
        <v>0</v>
      </c>
      <c r="O653" t="n">
        <v>0</v>
      </c>
      <c r="P653" t="n">
        <v>0</v>
      </c>
      <c r="Q653" t="n">
        <v>0</v>
      </c>
      <c r="R653" s="2" t="inlineStr"/>
    </row>
    <row r="654" ht="15" customHeight="1">
      <c r="A654" t="inlineStr">
        <is>
          <t>A 18375-2022</t>
        </is>
      </c>
      <c r="B654" s="1" t="n">
        <v>44685</v>
      </c>
      <c r="C654" s="1" t="n">
        <v>45359</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18548-2022</t>
        </is>
      </c>
      <c r="B655" s="1" t="n">
        <v>44687</v>
      </c>
      <c r="C655" s="1" t="n">
        <v>45359</v>
      </c>
      <c r="D655" t="inlineStr">
        <is>
          <t>JÄMTLANDS LÄN</t>
        </is>
      </c>
      <c r="E655" t="inlineStr">
        <is>
          <t>RAGUNDA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18974-2022</t>
        </is>
      </c>
      <c r="B656" s="1" t="n">
        <v>44690</v>
      </c>
      <c r="C656" s="1" t="n">
        <v>45359</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18980-2022</t>
        </is>
      </c>
      <c r="B657" s="1" t="n">
        <v>44690</v>
      </c>
      <c r="C657" s="1" t="n">
        <v>45359</v>
      </c>
      <c r="D657" t="inlineStr">
        <is>
          <t>JÄMTLANDS LÄN</t>
        </is>
      </c>
      <c r="E657" t="inlineStr">
        <is>
          <t>RAGUNDA</t>
        </is>
      </c>
      <c r="G657" t="n">
        <v>3.9</v>
      </c>
      <c r="H657" t="n">
        <v>0</v>
      </c>
      <c r="I657" t="n">
        <v>0</v>
      </c>
      <c r="J657" t="n">
        <v>0</v>
      </c>
      <c r="K657" t="n">
        <v>0</v>
      </c>
      <c r="L657" t="n">
        <v>0</v>
      </c>
      <c r="M657" t="n">
        <v>0</v>
      </c>
      <c r="N657" t="n">
        <v>0</v>
      </c>
      <c r="O657" t="n">
        <v>0</v>
      </c>
      <c r="P657" t="n">
        <v>0</v>
      </c>
      <c r="Q657" t="n">
        <v>0</v>
      </c>
      <c r="R657" s="2" t="inlineStr"/>
    </row>
    <row r="658" ht="15" customHeight="1">
      <c r="A658" t="inlineStr">
        <is>
          <t>A 19005-2022</t>
        </is>
      </c>
      <c r="B658" s="1" t="n">
        <v>44690</v>
      </c>
      <c r="C658" s="1" t="n">
        <v>45359</v>
      </c>
      <c r="D658" t="inlineStr">
        <is>
          <t>JÄMTLANDS LÄN</t>
        </is>
      </c>
      <c r="E658" t="inlineStr">
        <is>
          <t>RAGUNDA</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19011-2022</t>
        </is>
      </c>
      <c r="B659" s="1" t="n">
        <v>44690</v>
      </c>
      <c r="C659" s="1" t="n">
        <v>45359</v>
      </c>
      <c r="D659" t="inlineStr">
        <is>
          <t>JÄMTLANDS LÄN</t>
        </is>
      </c>
      <c r="E659" t="inlineStr">
        <is>
          <t>RAGUNDA</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19010-2022</t>
        </is>
      </c>
      <c r="B660" s="1" t="n">
        <v>44690</v>
      </c>
      <c r="C660" s="1" t="n">
        <v>45359</v>
      </c>
      <c r="D660" t="inlineStr">
        <is>
          <t>JÄMTLANDS LÄN</t>
        </is>
      </c>
      <c r="E660" t="inlineStr">
        <is>
          <t>RAGUNDA</t>
        </is>
      </c>
      <c r="F660" t="inlineStr">
        <is>
          <t>SCA</t>
        </is>
      </c>
      <c r="G660" t="n">
        <v>19.6</v>
      </c>
      <c r="H660" t="n">
        <v>0</v>
      </c>
      <c r="I660" t="n">
        <v>0</v>
      </c>
      <c r="J660" t="n">
        <v>0</v>
      </c>
      <c r="K660" t="n">
        <v>0</v>
      </c>
      <c r="L660" t="n">
        <v>0</v>
      </c>
      <c r="M660" t="n">
        <v>0</v>
      </c>
      <c r="N660" t="n">
        <v>0</v>
      </c>
      <c r="O660" t="n">
        <v>0</v>
      </c>
      <c r="P660" t="n">
        <v>0</v>
      </c>
      <c r="Q660" t="n">
        <v>0</v>
      </c>
      <c r="R660" s="2" t="inlineStr"/>
    </row>
    <row r="661" ht="15" customHeight="1">
      <c r="A661" t="inlineStr">
        <is>
          <t>A 19006-2022</t>
        </is>
      </c>
      <c r="B661" s="1" t="n">
        <v>44690</v>
      </c>
      <c r="C661" s="1" t="n">
        <v>45359</v>
      </c>
      <c r="D661" t="inlineStr">
        <is>
          <t>JÄMTLANDS LÄN</t>
        </is>
      </c>
      <c r="E661" t="inlineStr">
        <is>
          <t>RAGUNDA</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19596-2022</t>
        </is>
      </c>
      <c r="B662" s="1" t="n">
        <v>44694</v>
      </c>
      <c r="C662" s="1" t="n">
        <v>45359</v>
      </c>
      <c r="D662" t="inlineStr">
        <is>
          <t>JÄMTLANDS LÄN</t>
        </is>
      </c>
      <c r="E662" t="inlineStr">
        <is>
          <t>RAGUNDA</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19801-2022</t>
        </is>
      </c>
      <c r="B663" s="1" t="n">
        <v>44695</v>
      </c>
      <c r="C663" s="1" t="n">
        <v>45359</v>
      </c>
      <c r="D663" t="inlineStr">
        <is>
          <t>JÄMTLANDS LÄN</t>
        </is>
      </c>
      <c r="E663" t="inlineStr">
        <is>
          <t>RAGUNDA</t>
        </is>
      </c>
      <c r="F663" t="inlineStr">
        <is>
          <t>SCA</t>
        </is>
      </c>
      <c r="G663" t="n">
        <v>0.5</v>
      </c>
      <c r="H663" t="n">
        <v>0</v>
      </c>
      <c r="I663" t="n">
        <v>0</v>
      </c>
      <c r="J663" t="n">
        <v>0</v>
      </c>
      <c r="K663" t="n">
        <v>0</v>
      </c>
      <c r="L663" t="n">
        <v>0</v>
      </c>
      <c r="M663" t="n">
        <v>0</v>
      </c>
      <c r="N663" t="n">
        <v>0</v>
      </c>
      <c r="O663" t="n">
        <v>0</v>
      </c>
      <c r="P663" t="n">
        <v>0</v>
      </c>
      <c r="Q663" t="n">
        <v>0</v>
      </c>
      <c r="R663" s="2" t="inlineStr"/>
    </row>
    <row r="664" ht="15" customHeight="1">
      <c r="A664" t="inlineStr">
        <is>
          <t>A 19850-2022</t>
        </is>
      </c>
      <c r="B664" s="1" t="n">
        <v>44697</v>
      </c>
      <c r="C664" s="1" t="n">
        <v>45359</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20967-2022</t>
        </is>
      </c>
      <c r="B665" s="1" t="n">
        <v>44702</v>
      </c>
      <c r="C665" s="1" t="n">
        <v>45359</v>
      </c>
      <c r="D665" t="inlineStr">
        <is>
          <t>JÄMTLANDS LÄN</t>
        </is>
      </c>
      <c r="E665" t="inlineStr">
        <is>
          <t>RAGUNDA</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20961-2022</t>
        </is>
      </c>
      <c r="B666" s="1" t="n">
        <v>44702</v>
      </c>
      <c r="C666" s="1" t="n">
        <v>45359</v>
      </c>
      <c r="D666" t="inlineStr">
        <is>
          <t>JÄMTLANDS LÄN</t>
        </is>
      </c>
      <c r="E666" t="inlineStr">
        <is>
          <t>RAGUNDA</t>
        </is>
      </c>
      <c r="F666" t="inlineStr">
        <is>
          <t>SCA</t>
        </is>
      </c>
      <c r="G666" t="n">
        <v>9.4</v>
      </c>
      <c r="H666" t="n">
        <v>0</v>
      </c>
      <c r="I666" t="n">
        <v>0</v>
      </c>
      <c r="J666" t="n">
        <v>0</v>
      </c>
      <c r="K666" t="n">
        <v>0</v>
      </c>
      <c r="L666" t="n">
        <v>0</v>
      </c>
      <c r="M666" t="n">
        <v>0</v>
      </c>
      <c r="N666" t="n">
        <v>0</v>
      </c>
      <c r="O666" t="n">
        <v>0</v>
      </c>
      <c r="P666" t="n">
        <v>0</v>
      </c>
      <c r="Q666" t="n">
        <v>0</v>
      </c>
      <c r="R666" s="2" t="inlineStr"/>
    </row>
    <row r="667" ht="15" customHeight="1">
      <c r="A667" t="inlineStr">
        <is>
          <t>A 21194-2022</t>
        </is>
      </c>
      <c r="B667" s="1" t="n">
        <v>44705</v>
      </c>
      <c r="C667" s="1" t="n">
        <v>45359</v>
      </c>
      <c r="D667" t="inlineStr">
        <is>
          <t>JÄMTLANDS LÄN</t>
        </is>
      </c>
      <c r="E667" t="inlineStr">
        <is>
          <t>RAGUNDA</t>
        </is>
      </c>
      <c r="F667" t="inlineStr">
        <is>
          <t>SCA</t>
        </is>
      </c>
      <c r="G667" t="n">
        <v>10.6</v>
      </c>
      <c r="H667" t="n">
        <v>0</v>
      </c>
      <c r="I667" t="n">
        <v>0</v>
      </c>
      <c r="J667" t="n">
        <v>0</v>
      </c>
      <c r="K667" t="n">
        <v>0</v>
      </c>
      <c r="L667" t="n">
        <v>0</v>
      </c>
      <c r="M667" t="n">
        <v>0</v>
      </c>
      <c r="N667" t="n">
        <v>0</v>
      </c>
      <c r="O667" t="n">
        <v>0</v>
      </c>
      <c r="P667" t="n">
        <v>0</v>
      </c>
      <c r="Q667" t="n">
        <v>0</v>
      </c>
      <c r="R667" s="2" t="inlineStr"/>
    </row>
    <row r="668" ht="15" customHeight="1">
      <c r="A668" t="inlineStr">
        <is>
          <t>A 21196-2022</t>
        </is>
      </c>
      <c r="B668" s="1" t="n">
        <v>44705</v>
      </c>
      <c r="C668" s="1" t="n">
        <v>45359</v>
      </c>
      <c r="D668" t="inlineStr">
        <is>
          <t>JÄMTLANDS LÄN</t>
        </is>
      </c>
      <c r="E668" t="inlineStr">
        <is>
          <t>RAGUNDA</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21195-2022</t>
        </is>
      </c>
      <c r="B669" s="1" t="n">
        <v>44705</v>
      </c>
      <c r="C669" s="1" t="n">
        <v>45359</v>
      </c>
      <c r="D669" t="inlineStr">
        <is>
          <t>JÄMTLANDS LÄN</t>
        </is>
      </c>
      <c r="E669" t="inlineStr">
        <is>
          <t>RAGUNDA</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21193-2022</t>
        </is>
      </c>
      <c r="B670" s="1" t="n">
        <v>44705</v>
      </c>
      <c r="C670" s="1" t="n">
        <v>45359</v>
      </c>
      <c r="D670" t="inlineStr">
        <is>
          <t>JÄMTLANDS LÄN</t>
        </is>
      </c>
      <c r="E670" t="inlineStr">
        <is>
          <t>RAGUNDA</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21984-2022</t>
        </is>
      </c>
      <c r="B671" s="1" t="n">
        <v>44704</v>
      </c>
      <c r="C671" s="1" t="n">
        <v>45359</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21413-2022</t>
        </is>
      </c>
      <c r="B672" s="1" t="n">
        <v>44705</v>
      </c>
      <c r="C672" s="1" t="n">
        <v>45359</v>
      </c>
      <c r="D672" t="inlineStr">
        <is>
          <t>JÄMTLANDS LÄN</t>
        </is>
      </c>
      <c r="E672" t="inlineStr">
        <is>
          <t>RAGUNDA</t>
        </is>
      </c>
      <c r="G672" t="n">
        <v>2.4</v>
      </c>
      <c r="H672" t="n">
        <v>0</v>
      </c>
      <c r="I672" t="n">
        <v>0</v>
      </c>
      <c r="J672" t="n">
        <v>0</v>
      </c>
      <c r="K672" t="n">
        <v>0</v>
      </c>
      <c r="L672" t="n">
        <v>0</v>
      </c>
      <c r="M672" t="n">
        <v>0</v>
      </c>
      <c r="N672" t="n">
        <v>0</v>
      </c>
      <c r="O672" t="n">
        <v>0</v>
      </c>
      <c r="P672" t="n">
        <v>0</v>
      </c>
      <c r="Q672" t="n">
        <v>0</v>
      </c>
      <c r="R672" s="2" t="inlineStr"/>
    </row>
    <row r="673" ht="15" customHeight="1">
      <c r="A673" t="inlineStr">
        <is>
          <t>A 21500-2022</t>
        </is>
      </c>
      <c r="B673" s="1" t="n">
        <v>44706</v>
      </c>
      <c r="C673" s="1" t="n">
        <v>45359</v>
      </c>
      <c r="D673" t="inlineStr">
        <is>
          <t>JÄMTLANDS LÄN</t>
        </is>
      </c>
      <c r="E673" t="inlineStr">
        <is>
          <t>RAGUNDA</t>
        </is>
      </c>
      <c r="G673" t="n">
        <v>1</v>
      </c>
      <c r="H673" t="n">
        <v>0</v>
      </c>
      <c r="I673" t="n">
        <v>0</v>
      </c>
      <c r="J673" t="n">
        <v>0</v>
      </c>
      <c r="K673" t="n">
        <v>0</v>
      </c>
      <c r="L673" t="n">
        <v>0</v>
      </c>
      <c r="M673" t="n">
        <v>0</v>
      </c>
      <c r="N673" t="n">
        <v>0</v>
      </c>
      <c r="O673" t="n">
        <v>0</v>
      </c>
      <c r="P673" t="n">
        <v>0</v>
      </c>
      <c r="Q673" t="n">
        <v>0</v>
      </c>
      <c r="R673" s="2" t="inlineStr"/>
    </row>
    <row r="674" ht="15" customHeight="1">
      <c r="A674" t="inlineStr">
        <is>
          <t>A 22329-2022</t>
        </is>
      </c>
      <c r="B674" s="1" t="n">
        <v>44713</v>
      </c>
      <c r="C674" s="1" t="n">
        <v>45359</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22327-2022</t>
        </is>
      </c>
      <c r="B675" s="1" t="n">
        <v>44713</v>
      </c>
      <c r="C675" s="1" t="n">
        <v>45359</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22686-2022</t>
        </is>
      </c>
      <c r="B676" s="1" t="n">
        <v>44714</v>
      </c>
      <c r="C676" s="1" t="n">
        <v>45359</v>
      </c>
      <c r="D676" t="inlineStr">
        <is>
          <t>JÄMTLANDS LÄN</t>
        </is>
      </c>
      <c r="E676" t="inlineStr">
        <is>
          <t>RAGUNDA</t>
        </is>
      </c>
      <c r="G676" t="n">
        <v>2.8</v>
      </c>
      <c r="H676" t="n">
        <v>0</v>
      </c>
      <c r="I676" t="n">
        <v>0</v>
      </c>
      <c r="J676" t="n">
        <v>0</v>
      </c>
      <c r="K676" t="n">
        <v>0</v>
      </c>
      <c r="L676" t="n">
        <v>0</v>
      </c>
      <c r="M676" t="n">
        <v>0</v>
      </c>
      <c r="N676" t="n">
        <v>0</v>
      </c>
      <c r="O676" t="n">
        <v>0</v>
      </c>
      <c r="P676" t="n">
        <v>0</v>
      </c>
      <c r="Q676" t="n">
        <v>0</v>
      </c>
      <c r="R676" s="2" t="inlineStr"/>
    </row>
    <row r="677" ht="15" customHeight="1">
      <c r="A677" t="inlineStr">
        <is>
          <t>A 22772-2022</t>
        </is>
      </c>
      <c r="B677" s="1" t="n">
        <v>44715</v>
      </c>
      <c r="C677" s="1" t="n">
        <v>45359</v>
      </c>
      <c r="D677" t="inlineStr">
        <is>
          <t>JÄMTLANDS LÄN</t>
        </is>
      </c>
      <c r="E677" t="inlineStr">
        <is>
          <t>RAGUNDA</t>
        </is>
      </c>
      <c r="F677" t="inlineStr">
        <is>
          <t>SCA</t>
        </is>
      </c>
      <c r="G677" t="n">
        <v>3.6</v>
      </c>
      <c r="H677" t="n">
        <v>0</v>
      </c>
      <c r="I677" t="n">
        <v>0</v>
      </c>
      <c r="J677" t="n">
        <v>0</v>
      </c>
      <c r="K677" t="n">
        <v>0</v>
      </c>
      <c r="L677" t="n">
        <v>0</v>
      </c>
      <c r="M677" t="n">
        <v>0</v>
      </c>
      <c r="N677" t="n">
        <v>0</v>
      </c>
      <c r="O677" t="n">
        <v>0</v>
      </c>
      <c r="P677" t="n">
        <v>0</v>
      </c>
      <c r="Q677" t="n">
        <v>0</v>
      </c>
      <c r="R677" s="2" t="inlineStr"/>
    </row>
    <row r="678" ht="15" customHeight="1">
      <c r="A678" t="inlineStr">
        <is>
          <t>A 22695-2022</t>
        </is>
      </c>
      <c r="B678" s="1" t="n">
        <v>44714</v>
      </c>
      <c r="C678" s="1" t="n">
        <v>45359</v>
      </c>
      <c r="D678" t="inlineStr">
        <is>
          <t>JÄMTLANDS LÄN</t>
        </is>
      </c>
      <c r="E678" t="inlineStr">
        <is>
          <t>RAGUNDA</t>
        </is>
      </c>
      <c r="G678" t="n">
        <v>1.8</v>
      </c>
      <c r="H678" t="n">
        <v>0</v>
      </c>
      <c r="I678" t="n">
        <v>0</v>
      </c>
      <c r="J678" t="n">
        <v>0</v>
      </c>
      <c r="K678" t="n">
        <v>0</v>
      </c>
      <c r="L678" t="n">
        <v>0</v>
      </c>
      <c r="M678" t="n">
        <v>0</v>
      </c>
      <c r="N678" t="n">
        <v>0</v>
      </c>
      <c r="O678" t="n">
        <v>0</v>
      </c>
      <c r="P678" t="n">
        <v>0</v>
      </c>
      <c r="Q678" t="n">
        <v>0</v>
      </c>
      <c r="R678" s="2" t="inlineStr"/>
    </row>
    <row r="679" ht="15" customHeight="1">
      <c r="A679" t="inlineStr">
        <is>
          <t>A 22770-2022</t>
        </is>
      </c>
      <c r="B679" s="1" t="n">
        <v>44714</v>
      </c>
      <c r="C679" s="1" t="n">
        <v>45359</v>
      </c>
      <c r="D679" t="inlineStr">
        <is>
          <t>JÄMTLANDS LÄN</t>
        </is>
      </c>
      <c r="E679" t="inlineStr">
        <is>
          <t>RAGUNDA</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23668-2022</t>
        </is>
      </c>
      <c r="B680" s="1" t="n">
        <v>44722</v>
      </c>
      <c r="C680" s="1" t="n">
        <v>45359</v>
      </c>
      <c r="D680" t="inlineStr">
        <is>
          <t>JÄMTLANDS LÄN</t>
        </is>
      </c>
      <c r="E680" t="inlineStr">
        <is>
          <t>RAGUNDA</t>
        </is>
      </c>
      <c r="G680" t="n">
        <v>3.9</v>
      </c>
      <c r="H680" t="n">
        <v>0</v>
      </c>
      <c r="I680" t="n">
        <v>0</v>
      </c>
      <c r="J680" t="n">
        <v>0</v>
      </c>
      <c r="K680" t="n">
        <v>0</v>
      </c>
      <c r="L680" t="n">
        <v>0</v>
      </c>
      <c r="M680" t="n">
        <v>0</v>
      </c>
      <c r="N680" t="n">
        <v>0</v>
      </c>
      <c r="O680" t="n">
        <v>0</v>
      </c>
      <c r="P680" t="n">
        <v>0</v>
      </c>
      <c r="Q680" t="n">
        <v>0</v>
      </c>
      <c r="R680" s="2" t="inlineStr"/>
    </row>
    <row r="681" ht="15" customHeight="1">
      <c r="A681" t="inlineStr">
        <is>
          <t>A 24359-2022</t>
        </is>
      </c>
      <c r="B681" s="1" t="n">
        <v>44725</v>
      </c>
      <c r="C681" s="1" t="n">
        <v>45359</v>
      </c>
      <c r="D681" t="inlineStr">
        <is>
          <t>JÄMTLANDS LÄN</t>
        </is>
      </c>
      <c r="E681" t="inlineStr">
        <is>
          <t>RAGUNDA</t>
        </is>
      </c>
      <c r="G681" t="n">
        <v>11.4</v>
      </c>
      <c r="H681" t="n">
        <v>0</v>
      </c>
      <c r="I681" t="n">
        <v>0</v>
      </c>
      <c r="J681" t="n">
        <v>0</v>
      </c>
      <c r="K681" t="n">
        <v>0</v>
      </c>
      <c r="L681" t="n">
        <v>0</v>
      </c>
      <c r="M681" t="n">
        <v>0</v>
      </c>
      <c r="N681" t="n">
        <v>0</v>
      </c>
      <c r="O681" t="n">
        <v>0</v>
      </c>
      <c r="P681" t="n">
        <v>0</v>
      </c>
      <c r="Q681" t="n">
        <v>0</v>
      </c>
      <c r="R681" s="2" t="inlineStr"/>
    </row>
    <row r="682" ht="15" customHeight="1">
      <c r="A682" t="inlineStr">
        <is>
          <t>A 24720-2022</t>
        </is>
      </c>
      <c r="B682" s="1" t="n">
        <v>44728</v>
      </c>
      <c r="C682" s="1" t="n">
        <v>45359</v>
      </c>
      <c r="D682" t="inlineStr">
        <is>
          <t>JÄMTLANDS LÄN</t>
        </is>
      </c>
      <c r="E682" t="inlineStr">
        <is>
          <t>RAGUNDA</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24741-2022</t>
        </is>
      </c>
      <c r="B683" s="1" t="n">
        <v>44727</v>
      </c>
      <c r="C683" s="1" t="n">
        <v>45359</v>
      </c>
      <c r="D683" t="inlineStr">
        <is>
          <t>JÄMTLANDS LÄN</t>
        </is>
      </c>
      <c r="E683" t="inlineStr">
        <is>
          <t>RAGUNDA</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25028-2022</t>
        </is>
      </c>
      <c r="B684" s="1" t="n">
        <v>44729</v>
      </c>
      <c r="C684" s="1" t="n">
        <v>45359</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25027-2022</t>
        </is>
      </c>
      <c r="B685" s="1" t="n">
        <v>44729</v>
      </c>
      <c r="C685" s="1" t="n">
        <v>45359</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25253-2022</t>
        </is>
      </c>
      <c r="B686" s="1" t="n">
        <v>44730</v>
      </c>
      <c r="C686" s="1" t="n">
        <v>45359</v>
      </c>
      <c r="D686" t="inlineStr">
        <is>
          <t>JÄMTLANDS LÄN</t>
        </is>
      </c>
      <c r="E686" t="inlineStr">
        <is>
          <t>RAGUNDA</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25343-2022</t>
        </is>
      </c>
      <c r="B687" s="1" t="n">
        <v>44732</v>
      </c>
      <c r="C687" s="1" t="n">
        <v>45359</v>
      </c>
      <c r="D687" t="inlineStr">
        <is>
          <t>JÄMTLANDS LÄN</t>
        </is>
      </c>
      <c r="E687" t="inlineStr">
        <is>
          <t>RAGUNDA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25342-2022</t>
        </is>
      </c>
      <c r="B688" s="1" t="n">
        <v>44732</v>
      </c>
      <c r="C688" s="1" t="n">
        <v>45359</v>
      </c>
      <c r="D688" t="inlineStr">
        <is>
          <t>JÄMTLANDS LÄN</t>
        </is>
      </c>
      <c r="E688" t="inlineStr">
        <is>
          <t>RAGUNDA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25433-2022</t>
        </is>
      </c>
      <c r="B689" s="1" t="n">
        <v>44732</v>
      </c>
      <c r="C689" s="1" t="n">
        <v>45359</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25962-2022</t>
        </is>
      </c>
      <c r="B690" s="1" t="n">
        <v>44734</v>
      </c>
      <c r="C690" s="1" t="n">
        <v>45359</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26122-2022</t>
        </is>
      </c>
      <c r="B691" s="1" t="n">
        <v>44735</v>
      </c>
      <c r="C691" s="1" t="n">
        <v>45359</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26123-2022</t>
        </is>
      </c>
      <c r="B692" s="1" t="n">
        <v>44735</v>
      </c>
      <c r="C692" s="1" t="n">
        <v>45359</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27291-2022</t>
        </is>
      </c>
      <c r="B693" s="1" t="n">
        <v>44742</v>
      </c>
      <c r="C693" s="1" t="n">
        <v>45359</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27302-2022</t>
        </is>
      </c>
      <c r="B694" s="1" t="n">
        <v>44741</v>
      </c>
      <c r="C694" s="1" t="n">
        <v>45359</v>
      </c>
      <c r="D694" t="inlineStr">
        <is>
          <t>JÄMTLANDS LÄN</t>
        </is>
      </c>
      <c r="E694" t="inlineStr">
        <is>
          <t>RAGUNDA</t>
        </is>
      </c>
      <c r="G694" t="n">
        <v>1.6</v>
      </c>
      <c r="H694" t="n">
        <v>0</v>
      </c>
      <c r="I694" t="n">
        <v>0</v>
      </c>
      <c r="J694" t="n">
        <v>0</v>
      </c>
      <c r="K694" t="n">
        <v>0</v>
      </c>
      <c r="L694" t="n">
        <v>0</v>
      </c>
      <c r="M694" t="n">
        <v>0</v>
      </c>
      <c r="N694" t="n">
        <v>0</v>
      </c>
      <c r="O694" t="n">
        <v>0</v>
      </c>
      <c r="P694" t="n">
        <v>0</v>
      </c>
      <c r="Q694" t="n">
        <v>0</v>
      </c>
      <c r="R694" s="2" t="inlineStr"/>
    </row>
    <row r="695" ht="15" customHeight="1">
      <c r="A695" t="inlineStr">
        <is>
          <t>A 27292-2022</t>
        </is>
      </c>
      <c r="B695" s="1" t="n">
        <v>44742</v>
      </c>
      <c r="C695" s="1" t="n">
        <v>45359</v>
      </c>
      <c r="D695" t="inlineStr">
        <is>
          <t>JÄMTLANDS LÄN</t>
        </is>
      </c>
      <c r="E695" t="inlineStr">
        <is>
          <t>RAGUNDA</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27777-2022</t>
        </is>
      </c>
      <c r="B696" s="1" t="n">
        <v>44743</v>
      </c>
      <c r="C696" s="1" t="n">
        <v>45359</v>
      </c>
      <c r="D696" t="inlineStr">
        <is>
          <t>JÄMTLANDS LÄN</t>
        </is>
      </c>
      <c r="E696" t="inlineStr">
        <is>
          <t>RAGUNDA</t>
        </is>
      </c>
      <c r="G696" t="n">
        <v>1.5</v>
      </c>
      <c r="H696" t="n">
        <v>0</v>
      </c>
      <c r="I696" t="n">
        <v>0</v>
      </c>
      <c r="J696" t="n">
        <v>0</v>
      </c>
      <c r="K696" t="n">
        <v>0</v>
      </c>
      <c r="L696" t="n">
        <v>0</v>
      </c>
      <c r="M696" t="n">
        <v>0</v>
      </c>
      <c r="N696" t="n">
        <v>0</v>
      </c>
      <c r="O696" t="n">
        <v>0</v>
      </c>
      <c r="P696" t="n">
        <v>0</v>
      </c>
      <c r="Q696" t="n">
        <v>0</v>
      </c>
      <c r="R696" s="2" t="inlineStr"/>
    </row>
    <row r="697" ht="15" customHeight="1">
      <c r="A697" t="inlineStr">
        <is>
          <t>A 27939-2022</t>
        </is>
      </c>
      <c r="B697" s="1" t="n">
        <v>44744</v>
      </c>
      <c r="C697" s="1" t="n">
        <v>45359</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28081-2022</t>
        </is>
      </c>
      <c r="B698" s="1" t="n">
        <v>44746</v>
      </c>
      <c r="C698" s="1" t="n">
        <v>45359</v>
      </c>
      <c r="D698" t="inlineStr">
        <is>
          <t>JÄMTLANDS LÄN</t>
        </is>
      </c>
      <c r="E698" t="inlineStr">
        <is>
          <t>RAGUNDA</t>
        </is>
      </c>
      <c r="G698" t="n">
        <v>7</v>
      </c>
      <c r="H698" t="n">
        <v>0</v>
      </c>
      <c r="I698" t="n">
        <v>0</v>
      </c>
      <c r="J698" t="n">
        <v>0</v>
      </c>
      <c r="K698" t="n">
        <v>0</v>
      </c>
      <c r="L698" t="n">
        <v>0</v>
      </c>
      <c r="M698" t="n">
        <v>0</v>
      </c>
      <c r="N698" t="n">
        <v>0</v>
      </c>
      <c r="O698" t="n">
        <v>0</v>
      </c>
      <c r="P698" t="n">
        <v>0</v>
      </c>
      <c r="Q698" t="n">
        <v>0</v>
      </c>
      <c r="R698" s="2" t="inlineStr"/>
    </row>
    <row r="699" ht="15" customHeight="1">
      <c r="A699" t="inlineStr">
        <is>
          <t>A 28283-2022</t>
        </is>
      </c>
      <c r="B699" s="1" t="n">
        <v>44746</v>
      </c>
      <c r="C699" s="1" t="n">
        <v>45359</v>
      </c>
      <c r="D699" t="inlineStr">
        <is>
          <t>JÄMTLANDS LÄN</t>
        </is>
      </c>
      <c r="E699" t="inlineStr">
        <is>
          <t>RAGUNDA</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28277-2022</t>
        </is>
      </c>
      <c r="B700" s="1" t="n">
        <v>44747</v>
      </c>
      <c r="C700" s="1" t="n">
        <v>45359</v>
      </c>
      <c r="D700" t="inlineStr">
        <is>
          <t>JÄMTLANDS LÄN</t>
        </is>
      </c>
      <c r="E700" t="inlineStr">
        <is>
          <t>RAGUNDA</t>
        </is>
      </c>
      <c r="G700" t="n">
        <v>4</v>
      </c>
      <c r="H700" t="n">
        <v>0</v>
      </c>
      <c r="I700" t="n">
        <v>0</v>
      </c>
      <c r="J700" t="n">
        <v>0</v>
      </c>
      <c r="K700" t="n">
        <v>0</v>
      </c>
      <c r="L700" t="n">
        <v>0</v>
      </c>
      <c r="M700" t="n">
        <v>0</v>
      </c>
      <c r="N700" t="n">
        <v>0</v>
      </c>
      <c r="O700" t="n">
        <v>0</v>
      </c>
      <c r="P700" t="n">
        <v>0</v>
      </c>
      <c r="Q700" t="n">
        <v>0</v>
      </c>
      <c r="R700" s="2" t="inlineStr"/>
    </row>
    <row r="701" ht="15" customHeight="1">
      <c r="A701" t="inlineStr">
        <is>
          <t>A 28292-2022</t>
        </is>
      </c>
      <c r="B701" s="1" t="n">
        <v>44747</v>
      </c>
      <c r="C701" s="1" t="n">
        <v>45359</v>
      </c>
      <c r="D701" t="inlineStr">
        <is>
          <t>JÄMTLANDS LÄN</t>
        </is>
      </c>
      <c r="E701" t="inlineStr">
        <is>
          <t>RAGUNDA</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28737-2022</t>
        </is>
      </c>
      <c r="B702" s="1" t="n">
        <v>44749</v>
      </c>
      <c r="C702" s="1" t="n">
        <v>45359</v>
      </c>
      <c r="D702" t="inlineStr">
        <is>
          <t>JÄMTLANDS LÄN</t>
        </is>
      </c>
      <c r="E702" t="inlineStr">
        <is>
          <t>RAGUNDA</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29537-2022</t>
        </is>
      </c>
      <c r="B703" s="1" t="n">
        <v>44754</v>
      </c>
      <c r="C703" s="1" t="n">
        <v>45359</v>
      </c>
      <c r="D703" t="inlineStr">
        <is>
          <t>JÄMTLANDS LÄN</t>
        </is>
      </c>
      <c r="E703" t="inlineStr">
        <is>
          <t>RAGUNDA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30609-2022</t>
        </is>
      </c>
      <c r="B704" s="1" t="n">
        <v>44761</v>
      </c>
      <c r="C704" s="1" t="n">
        <v>45359</v>
      </c>
      <c r="D704" t="inlineStr">
        <is>
          <t>JÄMTLANDS LÄN</t>
        </is>
      </c>
      <c r="E704" t="inlineStr">
        <is>
          <t>RAGUNDA</t>
        </is>
      </c>
      <c r="G704" t="n">
        <v>2.4</v>
      </c>
      <c r="H704" t="n">
        <v>0</v>
      </c>
      <c r="I704" t="n">
        <v>0</v>
      </c>
      <c r="J704" t="n">
        <v>0</v>
      </c>
      <c r="K704" t="n">
        <v>0</v>
      </c>
      <c r="L704" t="n">
        <v>0</v>
      </c>
      <c r="M704" t="n">
        <v>0</v>
      </c>
      <c r="N704" t="n">
        <v>0</v>
      </c>
      <c r="O704" t="n">
        <v>0</v>
      </c>
      <c r="P704" t="n">
        <v>0</v>
      </c>
      <c r="Q704" t="n">
        <v>0</v>
      </c>
      <c r="R704" s="2" t="inlineStr"/>
      <c r="U704">
        <f>HYPERLINK("https://klasma.github.io/Logging_2303/knärot/A 30609-2022 karta knärot.png", "A 30609-2022")</f>
        <v/>
      </c>
      <c r="V704">
        <f>HYPERLINK("https://klasma.github.io/Logging_2303/klagomål/A 30609-2022 FSC-klagomål.docx", "A 30609-2022")</f>
        <v/>
      </c>
      <c r="W704">
        <f>HYPERLINK("https://klasma.github.io/Logging_2303/klagomålsmail/A 30609-2022 FSC-klagomål mail.docx", "A 30609-2022")</f>
        <v/>
      </c>
      <c r="X704">
        <f>HYPERLINK("https://klasma.github.io/Logging_2303/tillsyn/A 30609-2022 tillsynsbegäran.docx", "A 30609-2022")</f>
        <v/>
      </c>
      <c r="Y704">
        <f>HYPERLINK("https://klasma.github.io/Logging_2303/tillsynsmail/A 30609-2022 tillsynsbegäran mail.docx", "A 30609-2022")</f>
        <v/>
      </c>
    </row>
    <row r="705" ht="15" customHeight="1">
      <c r="A705" t="inlineStr">
        <is>
          <t>A 30931-2022</t>
        </is>
      </c>
      <c r="B705" s="1" t="n">
        <v>44768</v>
      </c>
      <c r="C705" s="1" t="n">
        <v>45359</v>
      </c>
      <c r="D705" t="inlineStr">
        <is>
          <t>JÄMTLANDS LÄN</t>
        </is>
      </c>
      <c r="E705" t="inlineStr">
        <is>
          <t>RAGUNDA</t>
        </is>
      </c>
      <c r="G705" t="n">
        <v>6</v>
      </c>
      <c r="H705" t="n">
        <v>0</v>
      </c>
      <c r="I705" t="n">
        <v>0</v>
      </c>
      <c r="J705" t="n">
        <v>0</v>
      </c>
      <c r="K705" t="n">
        <v>0</v>
      </c>
      <c r="L705" t="n">
        <v>0</v>
      </c>
      <c r="M705" t="n">
        <v>0</v>
      </c>
      <c r="N705" t="n">
        <v>0</v>
      </c>
      <c r="O705" t="n">
        <v>0</v>
      </c>
      <c r="P705" t="n">
        <v>0</v>
      </c>
      <c r="Q705" t="n">
        <v>0</v>
      </c>
      <c r="R705" s="2" t="inlineStr"/>
    </row>
    <row r="706" ht="15" customHeight="1">
      <c r="A706" t="inlineStr">
        <is>
          <t>A 31436-2022</t>
        </is>
      </c>
      <c r="B706" s="1" t="n">
        <v>44774</v>
      </c>
      <c r="C706" s="1" t="n">
        <v>45359</v>
      </c>
      <c r="D706" t="inlineStr">
        <is>
          <t>JÄMTLANDS LÄN</t>
        </is>
      </c>
      <c r="E706" t="inlineStr">
        <is>
          <t>RAGUNDA</t>
        </is>
      </c>
      <c r="G706" t="n">
        <v>2</v>
      </c>
      <c r="H706" t="n">
        <v>0</v>
      </c>
      <c r="I706" t="n">
        <v>0</v>
      </c>
      <c r="J706" t="n">
        <v>0</v>
      </c>
      <c r="K706" t="n">
        <v>0</v>
      </c>
      <c r="L706" t="n">
        <v>0</v>
      </c>
      <c r="M706" t="n">
        <v>0</v>
      </c>
      <c r="N706" t="n">
        <v>0</v>
      </c>
      <c r="O706" t="n">
        <v>0</v>
      </c>
      <c r="P706" t="n">
        <v>0</v>
      </c>
      <c r="Q706" t="n">
        <v>0</v>
      </c>
      <c r="R706" s="2" t="inlineStr"/>
    </row>
    <row r="707" ht="15" customHeight="1">
      <c r="A707" t="inlineStr">
        <is>
          <t>A 31484-2022</t>
        </is>
      </c>
      <c r="B707" s="1" t="n">
        <v>44775</v>
      </c>
      <c r="C707" s="1" t="n">
        <v>45359</v>
      </c>
      <c r="D707" t="inlineStr">
        <is>
          <t>JÄMTLANDS LÄN</t>
        </is>
      </c>
      <c r="E707" t="inlineStr">
        <is>
          <t>RAGUNDA</t>
        </is>
      </c>
      <c r="F707" t="inlineStr">
        <is>
          <t>SCA</t>
        </is>
      </c>
      <c r="G707" t="n">
        <v>5</v>
      </c>
      <c r="H707" t="n">
        <v>0</v>
      </c>
      <c r="I707" t="n">
        <v>0</v>
      </c>
      <c r="J707" t="n">
        <v>0</v>
      </c>
      <c r="K707" t="n">
        <v>0</v>
      </c>
      <c r="L707" t="n">
        <v>0</v>
      </c>
      <c r="M707" t="n">
        <v>0</v>
      </c>
      <c r="N707" t="n">
        <v>0</v>
      </c>
      <c r="O707" t="n">
        <v>0</v>
      </c>
      <c r="P707" t="n">
        <v>0</v>
      </c>
      <c r="Q707" t="n">
        <v>0</v>
      </c>
      <c r="R707" s="2" t="inlineStr"/>
    </row>
    <row r="708" ht="15" customHeight="1">
      <c r="A708" t="inlineStr">
        <is>
          <t>A 31435-2022</t>
        </is>
      </c>
      <c r="B708" s="1" t="n">
        <v>44774</v>
      </c>
      <c r="C708" s="1" t="n">
        <v>45359</v>
      </c>
      <c r="D708" t="inlineStr">
        <is>
          <t>JÄMTLANDS LÄN</t>
        </is>
      </c>
      <c r="E708" t="inlineStr">
        <is>
          <t>RAGUNDA</t>
        </is>
      </c>
      <c r="G708" t="n">
        <v>1.6</v>
      </c>
      <c r="H708" t="n">
        <v>0</v>
      </c>
      <c r="I708" t="n">
        <v>0</v>
      </c>
      <c r="J708" t="n">
        <v>0</v>
      </c>
      <c r="K708" t="n">
        <v>0</v>
      </c>
      <c r="L708" t="n">
        <v>0</v>
      </c>
      <c r="M708" t="n">
        <v>0</v>
      </c>
      <c r="N708" t="n">
        <v>0</v>
      </c>
      <c r="O708" t="n">
        <v>0</v>
      </c>
      <c r="P708" t="n">
        <v>0</v>
      </c>
      <c r="Q708" t="n">
        <v>0</v>
      </c>
      <c r="R708" s="2" t="inlineStr"/>
    </row>
    <row r="709" ht="15" customHeight="1">
      <c r="A709" t="inlineStr">
        <is>
          <t>A 31854-2022</t>
        </is>
      </c>
      <c r="B709" s="1" t="n">
        <v>44776</v>
      </c>
      <c r="C709" s="1" t="n">
        <v>45359</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31841-2022</t>
        </is>
      </c>
      <c r="B710" s="1" t="n">
        <v>44776</v>
      </c>
      <c r="C710" s="1" t="n">
        <v>45359</v>
      </c>
      <c r="D710" t="inlineStr">
        <is>
          <t>JÄMTLANDS LÄN</t>
        </is>
      </c>
      <c r="E710" t="inlineStr">
        <is>
          <t>RAGUNDA</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31970-2022</t>
        </is>
      </c>
      <c r="B711" s="1" t="n">
        <v>44777</v>
      </c>
      <c r="C711" s="1" t="n">
        <v>45359</v>
      </c>
      <c r="D711" t="inlineStr">
        <is>
          <t>JÄMTLANDS LÄN</t>
        </is>
      </c>
      <c r="E711" t="inlineStr">
        <is>
          <t>RAGUNDA</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31972-2022</t>
        </is>
      </c>
      <c r="B712" s="1" t="n">
        <v>44778</v>
      </c>
      <c r="C712" s="1" t="n">
        <v>45359</v>
      </c>
      <c r="D712" t="inlineStr">
        <is>
          <t>JÄMTLANDS LÄN</t>
        </is>
      </c>
      <c r="E712" t="inlineStr">
        <is>
          <t>RAGUNDA</t>
        </is>
      </c>
      <c r="F712" t="inlineStr">
        <is>
          <t>Naturvårdsverket</t>
        </is>
      </c>
      <c r="G712" t="n">
        <v>0.8</v>
      </c>
      <c r="H712" t="n">
        <v>0</v>
      </c>
      <c r="I712" t="n">
        <v>0</v>
      </c>
      <c r="J712" t="n">
        <v>0</v>
      </c>
      <c r="K712" t="n">
        <v>0</v>
      </c>
      <c r="L712" t="n">
        <v>0</v>
      </c>
      <c r="M712" t="n">
        <v>0</v>
      </c>
      <c r="N712" t="n">
        <v>0</v>
      </c>
      <c r="O712" t="n">
        <v>0</v>
      </c>
      <c r="P712" t="n">
        <v>0</v>
      </c>
      <c r="Q712" t="n">
        <v>0</v>
      </c>
      <c r="R712" s="2" t="inlineStr"/>
    </row>
    <row r="713" ht="15" customHeight="1">
      <c r="A713" t="inlineStr">
        <is>
          <t>A 32135-2022</t>
        </is>
      </c>
      <c r="B713" s="1" t="n">
        <v>44778</v>
      </c>
      <c r="C713" s="1" t="n">
        <v>45359</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32288-2022</t>
        </is>
      </c>
      <c r="B714" s="1" t="n">
        <v>44781</v>
      </c>
      <c r="C714" s="1" t="n">
        <v>45359</v>
      </c>
      <c r="D714" t="inlineStr">
        <is>
          <t>JÄMTLANDS LÄN</t>
        </is>
      </c>
      <c r="E714" t="inlineStr">
        <is>
          <t>RAGUNDA</t>
        </is>
      </c>
      <c r="G714" t="n">
        <v>0.8</v>
      </c>
      <c r="H714" t="n">
        <v>0</v>
      </c>
      <c r="I714" t="n">
        <v>0</v>
      </c>
      <c r="J714" t="n">
        <v>0</v>
      </c>
      <c r="K714" t="n">
        <v>0</v>
      </c>
      <c r="L714" t="n">
        <v>0</v>
      </c>
      <c r="M714" t="n">
        <v>0</v>
      </c>
      <c r="N714" t="n">
        <v>0</v>
      </c>
      <c r="O714" t="n">
        <v>0</v>
      </c>
      <c r="P714" t="n">
        <v>0</v>
      </c>
      <c r="Q714" t="n">
        <v>0</v>
      </c>
      <c r="R714" s="2" t="inlineStr"/>
    </row>
    <row r="715" ht="15" customHeight="1">
      <c r="A715" t="inlineStr">
        <is>
          <t>A 32526-2022</t>
        </is>
      </c>
      <c r="B715" s="1" t="n">
        <v>44782</v>
      </c>
      <c r="C715" s="1" t="n">
        <v>45359</v>
      </c>
      <c r="D715" t="inlineStr">
        <is>
          <t>JÄMTLANDS LÄN</t>
        </is>
      </c>
      <c r="E715" t="inlineStr">
        <is>
          <t>RAGUNDA</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32780-2022</t>
        </is>
      </c>
      <c r="B716" s="1" t="n">
        <v>44783</v>
      </c>
      <c r="C716" s="1" t="n">
        <v>45359</v>
      </c>
      <c r="D716" t="inlineStr">
        <is>
          <t>JÄMTLANDS LÄN</t>
        </is>
      </c>
      <c r="E716" t="inlineStr">
        <is>
          <t>RAGUNDA</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32979-2022</t>
        </is>
      </c>
      <c r="B717" s="1" t="n">
        <v>44785</v>
      </c>
      <c r="C717" s="1" t="n">
        <v>45359</v>
      </c>
      <c r="D717" t="inlineStr">
        <is>
          <t>JÄMTLANDS LÄN</t>
        </is>
      </c>
      <c r="E717" t="inlineStr">
        <is>
          <t>RAGUNDA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32986-2022</t>
        </is>
      </c>
      <c r="B718" s="1" t="n">
        <v>44785</v>
      </c>
      <c r="C718" s="1" t="n">
        <v>45359</v>
      </c>
      <c r="D718" t="inlineStr">
        <is>
          <t>JÄMTLANDS LÄN</t>
        </is>
      </c>
      <c r="E718" t="inlineStr">
        <is>
          <t>RAGUNDA</t>
        </is>
      </c>
      <c r="F718" t="inlineStr">
        <is>
          <t>SCA</t>
        </is>
      </c>
      <c r="G718" t="n">
        <v>6.7</v>
      </c>
      <c r="H718" t="n">
        <v>0</v>
      </c>
      <c r="I718" t="n">
        <v>0</v>
      </c>
      <c r="J718" t="n">
        <v>0</v>
      </c>
      <c r="K718" t="n">
        <v>0</v>
      </c>
      <c r="L718" t="n">
        <v>0</v>
      </c>
      <c r="M718" t="n">
        <v>0</v>
      </c>
      <c r="N718" t="n">
        <v>0</v>
      </c>
      <c r="O718" t="n">
        <v>0</v>
      </c>
      <c r="P718" t="n">
        <v>0</v>
      </c>
      <c r="Q718" t="n">
        <v>0</v>
      </c>
      <c r="R718" s="2" t="inlineStr"/>
    </row>
    <row r="719" ht="15" customHeight="1">
      <c r="A719" t="inlineStr">
        <is>
          <t>A 33218-2022</t>
        </is>
      </c>
      <c r="B719" s="1" t="n">
        <v>44786</v>
      </c>
      <c r="C719" s="1" t="n">
        <v>45359</v>
      </c>
      <c r="D719" t="inlineStr">
        <is>
          <t>JÄMTLANDS LÄN</t>
        </is>
      </c>
      <c r="E719" t="inlineStr">
        <is>
          <t>RAGUNDA</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33278-2022</t>
        </is>
      </c>
      <c r="B720" s="1" t="n">
        <v>44788</v>
      </c>
      <c r="C720" s="1" t="n">
        <v>45359</v>
      </c>
      <c r="D720" t="inlineStr">
        <is>
          <t>JÄMTLANDS LÄN</t>
        </is>
      </c>
      <c r="E720" t="inlineStr">
        <is>
          <t>RAGUNDA</t>
        </is>
      </c>
      <c r="G720" t="n">
        <v>3.2</v>
      </c>
      <c r="H720" t="n">
        <v>0</v>
      </c>
      <c r="I720" t="n">
        <v>0</v>
      </c>
      <c r="J720" t="n">
        <v>0</v>
      </c>
      <c r="K720" t="n">
        <v>0</v>
      </c>
      <c r="L720" t="n">
        <v>0</v>
      </c>
      <c r="M720" t="n">
        <v>0</v>
      </c>
      <c r="N720" t="n">
        <v>0</v>
      </c>
      <c r="O720" t="n">
        <v>0</v>
      </c>
      <c r="P720" t="n">
        <v>0</v>
      </c>
      <c r="Q720" t="n">
        <v>0</v>
      </c>
      <c r="R720" s="2" t="inlineStr"/>
    </row>
    <row r="721" ht="15" customHeight="1">
      <c r="A721" t="inlineStr">
        <is>
          <t>A 33279-2022</t>
        </is>
      </c>
      <c r="B721" s="1" t="n">
        <v>44788</v>
      </c>
      <c r="C721" s="1" t="n">
        <v>45359</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35018-2022</t>
        </is>
      </c>
      <c r="B722" s="1" t="n">
        <v>44797</v>
      </c>
      <c r="C722" s="1" t="n">
        <v>45359</v>
      </c>
      <c r="D722" t="inlineStr">
        <is>
          <t>JÄMTLANDS LÄN</t>
        </is>
      </c>
      <c r="E722" t="inlineStr">
        <is>
          <t>RAGUNDA</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35235-2022</t>
        </is>
      </c>
      <c r="B723" s="1" t="n">
        <v>44797</v>
      </c>
      <c r="C723" s="1" t="n">
        <v>45359</v>
      </c>
      <c r="D723" t="inlineStr">
        <is>
          <t>JÄMTLANDS LÄN</t>
        </is>
      </c>
      <c r="E723" t="inlineStr">
        <is>
          <t>RAGUNDA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35495-2022</t>
        </is>
      </c>
      <c r="B724" s="1" t="n">
        <v>44798</v>
      </c>
      <c r="C724" s="1" t="n">
        <v>45359</v>
      </c>
      <c r="D724" t="inlineStr">
        <is>
          <t>JÄMTLANDS LÄN</t>
        </is>
      </c>
      <c r="E724" t="inlineStr">
        <is>
          <t>RAGUNDA</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35492-2022</t>
        </is>
      </c>
      <c r="B725" s="1" t="n">
        <v>44799</v>
      </c>
      <c r="C725" s="1" t="n">
        <v>45359</v>
      </c>
      <c r="D725" t="inlineStr">
        <is>
          <t>JÄMTLANDS LÄN</t>
        </is>
      </c>
      <c r="E725" t="inlineStr">
        <is>
          <t>RAGUNDA</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35757-2022</t>
        </is>
      </c>
      <c r="B726" s="1" t="n">
        <v>44799</v>
      </c>
      <c r="C726" s="1" t="n">
        <v>45359</v>
      </c>
      <c r="D726" t="inlineStr">
        <is>
          <t>JÄMTLANDS LÄN</t>
        </is>
      </c>
      <c r="E726" t="inlineStr">
        <is>
          <t>RAGUNDA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35749-2022</t>
        </is>
      </c>
      <c r="B727" s="1" t="n">
        <v>44800</v>
      </c>
      <c r="C727" s="1" t="n">
        <v>45359</v>
      </c>
      <c r="D727" t="inlineStr">
        <is>
          <t>JÄMTLANDS LÄN</t>
        </is>
      </c>
      <c r="E727" t="inlineStr">
        <is>
          <t>RAGUNDA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35998-2022</t>
        </is>
      </c>
      <c r="B728" s="1" t="n">
        <v>44802</v>
      </c>
      <c r="C728" s="1" t="n">
        <v>45359</v>
      </c>
      <c r="D728" t="inlineStr">
        <is>
          <t>JÄMTLANDS LÄN</t>
        </is>
      </c>
      <c r="E728" t="inlineStr">
        <is>
          <t>RAGUNDA</t>
        </is>
      </c>
      <c r="G728" t="n">
        <v>25.4</v>
      </c>
      <c r="H728" t="n">
        <v>0</v>
      </c>
      <c r="I728" t="n">
        <v>0</v>
      </c>
      <c r="J728" t="n">
        <v>0</v>
      </c>
      <c r="K728" t="n">
        <v>0</v>
      </c>
      <c r="L728" t="n">
        <v>0</v>
      </c>
      <c r="M728" t="n">
        <v>0</v>
      </c>
      <c r="N728" t="n">
        <v>0</v>
      </c>
      <c r="O728" t="n">
        <v>0</v>
      </c>
      <c r="P728" t="n">
        <v>0</v>
      </c>
      <c r="Q728" t="n">
        <v>0</v>
      </c>
      <c r="R728" s="2" t="inlineStr"/>
    </row>
    <row r="729" ht="15" customHeight="1">
      <c r="A729" t="inlineStr">
        <is>
          <t>A 36084-2022</t>
        </is>
      </c>
      <c r="B729" s="1" t="n">
        <v>44802</v>
      </c>
      <c r="C729" s="1" t="n">
        <v>45359</v>
      </c>
      <c r="D729" t="inlineStr">
        <is>
          <t>JÄMTLANDS LÄN</t>
        </is>
      </c>
      <c r="E729" t="inlineStr">
        <is>
          <t>RAGUNDA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36106-2022</t>
        </is>
      </c>
      <c r="B730" s="1" t="n">
        <v>44803</v>
      </c>
      <c r="C730" s="1" t="n">
        <v>45359</v>
      </c>
      <c r="D730" t="inlineStr">
        <is>
          <t>JÄMTLANDS LÄN</t>
        </is>
      </c>
      <c r="E730" t="inlineStr">
        <is>
          <t>RAGUNDA</t>
        </is>
      </c>
      <c r="F730" t="inlineStr">
        <is>
          <t>SCA</t>
        </is>
      </c>
      <c r="G730" t="n">
        <v>7.3</v>
      </c>
      <c r="H730" t="n">
        <v>0</v>
      </c>
      <c r="I730" t="n">
        <v>0</v>
      </c>
      <c r="J730" t="n">
        <v>0</v>
      </c>
      <c r="K730" t="n">
        <v>0</v>
      </c>
      <c r="L730" t="n">
        <v>0</v>
      </c>
      <c r="M730" t="n">
        <v>0</v>
      </c>
      <c r="N730" t="n">
        <v>0</v>
      </c>
      <c r="O730" t="n">
        <v>0</v>
      </c>
      <c r="P730" t="n">
        <v>0</v>
      </c>
      <c r="Q730" t="n">
        <v>0</v>
      </c>
      <c r="R730" s="2" t="inlineStr"/>
    </row>
    <row r="731" ht="15" customHeight="1">
      <c r="A731" t="inlineStr">
        <is>
          <t>A 36375-2022</t>
        </is>
      </c>
      <c r="B731" s="1" t="n">
        <v>44804</v>
      </c>
      <c r="C731" s="1" t="n">
        <v>45359</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36612-2022</t>
        </is>
      </c>
      <c r="B732" s="1" t="n">
        <v>44804</v>
      </c>
      <c r="C732" s="1" t="n">
        <v>45359</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36692-2022</t>
        </is>
      </c>
      <c r="B733" s="1" t="n">
        <v>44804</v>
      </c>
      <c r="C733" s="1" t="n">
        <v>45359</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36696-2022</t>
        </is>
      </c>
      <c r="B734" s="1" t="n">
        <v>44805</v>
      </c>
      <c r="C734" s="1" t="n">
        <v>45359</v>
      </c>
      <c r="D734" t="inlineStr">
        <is>
          <t>JÄMTLANDS LÄN</t>
        </is>
      </c>
      <c r="E734" t="inlineStr">
        <is>
          <t>RAGUNDA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36922-2022</t>
        </is>
      </c>
      <c r="B735" s="1" t="n">
        <v>44806</v>
      </c>
      <c r="C735" s="1" t="n">
        <v>45359</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36941-2022</t>
        </is>
      </c>
      <c r="B736" s="1" t="n">
        <v>44805</v>
      </c>
      <c r="C736" s="1" t="n">
        <v>45359</v>
      </c>
      <c r="D736" t="inlineStr">
        <is>
          <t>JÄMTLANDS LÄN</t>
        </is>
      </c>
      <c r="E736" t="inlineStr">
        <is>
          <t>RAGUNDA</t>
        </is>
      </c>
      <c r="F736" t="inlineStr">
        <is>
          <t>SCA</t>
        </is>
      </c>
      <c r="G736" t="n">
        <v>3.7</v>
      </c>
      <c r="H736" t="n">
        <v>0</v>
      </c>
      <c r="I736" t="n">
        <v>0</v>
      </c>
      <c r="J736" t="n">
        <v>0</v>
      </c>
      <c r="K736" t="n">
        <v>0</v>
      </c>
      <c r="L736" t="n">
        <v>0</v>
      </c>
      <c r="M736" t="n">
        <v>0</v>
      </c>
      <c r="N736" t="n">
        <v>0</v>
      </c>
      <c r="O736" t="n">
        <v>0</v>
      </c>
      <c r="P736" t="n">
        <v>0</v>
      </c>
      <c r="Q736" t="n">
        <v>0</v>
      </c>
      <c r="R736" s="2" t="inlineStr"/>
    </row>
    <row r="737" ht="15" customHeight="1">
      <c r="A737" t="inlineStr">
        <is>
          <t>A 36943-2022</t>
        </is>
      </c>
      <c r="B737" s="1" t="n">
        <v>44805</v>
      </c>
      <c r="C737" s="1" t="n">
        <v>45359</v>
      </c>
      <c r="D737" t="inlineStr">
        <is>
          <t>JÄMTLANDS LÄN</t>
        </is>
      </c>
      <c r="E737" t="inlineStr">
        <is>
          <t>RAGUNDA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37324-2022</t>
        </is>
      </c>
      <c r="B738" s="1" t="n">
        <v>44806</v>
      </c>
      <c r="C738" s="1" t="n">
        <v>45359</v>
      </c>
      <c r="D738" t="inlineStr">
        <is>
          <t>JÄMTLANDS LÄN</t>
        </is>
      </c>
      <c r="E738" t="inlineStr">
        <is>
          <t>RAGUNDA</t>
        </is>
      </c>
      <c r="G738" t="n">
        <v>2.3</v>
      </c>
      <c r="H738" t="n">
        <v>0</v>
      </c>
      <c r="I738" t="n">
        <v>0</v>
      </c>
      <c r="J738" t="n">
        <v>0</v>
      </c>
      <c r="K738" t="n">
        <v>0</v>
      </c>
      <c r="L738" t="n">
        <v>0</v>
      </c>
      <c r="M738" t="n">
        <v>0</v>
      </c>
      <c r="N738" t="n">
        <v>0</v>
      </c>
      <c r="O738" t="n">
        <v>0</v>
      </c>
      <c r="P738" t="n">
        <v>0</v>
      </c>
      <c r="Q738" t="n">
        <v>0</v>
      </c>
      <c r="R738" s="2" t="inlineStr"/>
    </row>
    <row r="739" ht="15" customHeight="1">
      <c r="A739" t="inlineStr">
        <is>
          <t>A 38426-2022</t>
        </is>
      </c>
      <c r="B739" s="1" t="n">
        <v>44812</v>
      </c>
      <c r="C739" s="1" t="n">
        <v>45359</v>
      </c>
      <c r="D739" t="inlineStr">
        <is>
          <t>JÄMTLANDS LÄN</t>
        </is>
      </c>
      <c r="E739" t="inlineStr">
        <is>
          <t>RAGUNDA</t>
        </is>
      </c>
      <c r="F739" t="inlineStr">
        <is>
          <t>SCA</t>
        </is>
      </c>
      <c r="G739" t="n">
        <v>11.3</v>
      </c>
      <c r="H739" t="n">
        <v>0</v>
      </c>
      <c r="I739" t="n">
        <v>0</v>
      </c>
      <c r="J739" t="n">
        <v>0</v>
      </c>
      <c r="K739" t="n">
        <v>0</v>
      </c>
      <c r="L739" t="n">
        <v>0</v>
      </c>
      <c r="M739" t="n">
        <v>0</v>
      </c>
      <c r="N739" t="n">
        <v>0</v>
      </c>
      <c r="O739" t="n">
        <v>0</v>
      </c>
      <c r="P739" t="n">
        <v>0</v>
      </c>
      <c r="Q739" t="n">
        <v>0</v>
      </c>
      <c r="R739" s="2" t="inlineStr"/>
    </row>
    <row r="740" ht="15" customHeight="1">
      <c r="A740" t="inlineStr">
        <is>
          <t>A 38425-2022</t>
        </is>
      </c>
      <c r="B740" s="1" t="n">
        <v>44813</v>
      </c>
      <c r="C740" s="1" t="n">
        <v>45359</v>
      </c>
      <c r="D740" t="inlineStr">
        <is>
          <t>JÄMTLANDS LÄN</t>
        </is>
      </c>
      <c r="E740" t="inlineStr">
        <is>
          <t>RAGUNDA</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38683-2022</t>
        </is>
      </c>
      <c r="B741" s="1" t="n">
        <v>44813</v>
      </c>
      <c r="C741" s="1" t="n">
        <v>45359</v>
      </c>
      <c r="D741" t="inlineStr">
        <is>
          <t>JÄMTLANDS LÄN</t>
        </is>
      </c>
      <c r="E741" t="inlineStr">
        <is>
          <t>RAGUNDA</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38664-2022</t>
        </is>
      </c>
      <c r="B742" s="1" t="n">
        <v>44813</v>
      </c>
      <c r="C742" s="1" t="n">
        <v>45359</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38733-2022</t>
        </is>
      </c>
      <c r="B743" s="1" t="n">
        <v>44815</v>
      </c>
      <c r="C743" s="1" t="n">
        <v>45359</v>
      </c>
      <c r="D743" t="inlineStr">
        <is>
          <t>JÄMTLANDS LÄN</t>
        </is>
      </c>
      <c r="E743" t="inlineStr">
        <is>
          <t>RAGUNDA</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39003-2022</t>
        </is>
      </c>
      <c r="B744" s="1" t="n">
        <v>44817</v>
      </c>
      <c r="C744" s="1" t="n">
        <v>45359</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39011-2022</t>
        </is>
      </c>
      <c r="B745" s="1" t="n">
        <v>44816</v>
      </c>
      <c r="C745" s="1" t="n">
        <v>45359</v>
      </c>
      <c r="D745" t="inlineStr">
        <is>
          <t>JÄMTLANDS LÄN</t>
        </is>
      </c>
      <c r="E745" t="inlineStr">
        <is>
          <t>RAGUNDA</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39004-2022</t>
        </is>
      </c>
      <c r="B746" s="1" t="n">
        <v>44816</v>
      </c>
      <c r="C746" s="1" t="n">
        <v>45359</v>
      </c>
      <c r="D746" t="inlineStr">
        <is>
          <t>JÄMTLANDS LÄN</t>
        </is>
      </c>
      <c r="E746" t="inlineStr">
        <is>
          <t>RAGUNDA</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39402-2022</t>
        </is>
      </c>
      <c r="B747" s="1" t="n">
        <v>44818</v>
      </c>
      <c r="C747" s="1" t="n">
        <v>45359</v>
      </c>
      <c r="D747" t="inlineStr">
        <is>
          <t>JÄMTLANDS LÄN</t>
        </is>
      </c>
      <c r="E747" t="inlineStr">
        <is>
          <t>RAGUNDA</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39408-2022</t>
        </is>
      </c>
      <c r="B748" s="1" t="n">
        <v>44817</v>
      </c>
      <c r="C748" s="1" t="n">
        <v>45359</v>
      </c>
      <c r="D748" t="inlineStr">
        <is>
          <t>JÄMTLANDS LÄN</t>
        </is>
      </c>
      <c r="E748" t="inlineStr">
        <is>
          <t>RAGUNDA</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39693-2022</t>
        </is>
      </c>
      <c r="B749" s="1" t="n">
        <v>44819</v>
      </c>
      <c r="C749" s="1" t="n">
        <v>45359</v>
      </c>
      <c r="D749" t="inlineStr">
        <is>
          <t>JÄMTLANDS LÄN</t>
        </is>
      </c>
      <c r="E749" t="inlineStr">
        <is>
          <t>RAGUNDA</t>
        </is>
      </c>
      <c r="F749" t="inlineStr">
        <is>
          <t>SCA</t>
        </is>
      </c>
      <c r="G749" t="n">
        <v>0.3</v>
      </c>
      <c r="H749" t="n">
        <v>0</v>
      </c>
      <c r="I749" t="n">
        <v>0</v>
      </c>
      <c r="J749" t="n">
        <v>0</v>
      </c>
      <c r="K749" t="n">
        <v>0</v>
      </c>
      <c r="L749" t="n">
        <v>0</v>
      </c>
      <c r="M749" t="n">
        <v>0</v>
      </c>
      <c r="N749" t="n">
        <v>0</v>
      </c>
      <c r="O749" t="n">
        <v>0</v>
      </c>
      <c r="P749" t="n">
        <v>0</v>
      </c>
      <c r="Q749" t="n">
        <v>0</v>
      </c>
      <c r="R749" s="2" t="inlineStr"/>
    </row>
    <row r="750" ht="15" customHeight="1">
      <c r="A750" t="inlineStr">
        <is>
          <t>A 40200-2022</t>
        </is>
      </c>
      <c r="B750" s="1" t="n">
        <v>44818</v>
      </c>
      <c r="C750" s="1" t="n">
        <v>45359</v>
      </c>
      <c r="D750" t="inlineStr">
        <is>
          <t>JÄMTLANDS LÄN</t>
        </is>
      </c>
      <c r="E750" t="inlineStr">
        <is>
          <t>RAGUNDA</t>
        </is>
      </c>
      <c r="G750" t="n">
        <v>1.8</v>
      </c>
      <c r="H750" t="n">
        <v>0</v>
      </c>
      <c r="I750" t="n">
        <v>0</v>
      </c>
      <c r="J750" t="n">
        <v>0</v>
      </c>
      <c r="K750" t="n">
        <v>0</v>
      </c>
      <c r="L750" t="n">
        <v>0</v>
      </c>
      <c r="M750" t="n">
        <v>0</v>
      </c>
      <c r="N750" t="n">
        <v>0</v>
      </c>
      <c r="O750" t="n">
        <v>0</v>
      </c>
      <c r="P750" t="n">
        <v>0</v>
      </c>
      <c r="Q750" t="n">
        <v>0</v>
      </c>
      <c r="R750" s="2" t="inlineStr"/>
    </row>
    <row r="751" ht="15" customHeight="1">
      <c r="A751" t="inlineStr">
        <is>
          <t>A 39698-2022</t>
        </is>
      </c>
      <c r="B751" s="1" t="n">
        <v>44818</v>
      </c>
      <c r="C751" s="1" t="n">
        <v>45359</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40265-2022</t>
        </is>
      </c>
      <c r="B752" s="1" t="n">
        <v>44821</v>
      </c>
      <c r="C752" s="1" t="n">
        <v>45359</v>
      </c>
      <c r="D752" t="inlineStr">
        <is>
          <t>JÄMTLANDS LÄN</t>
        </is>
      </c>
      <c r="E752" t="inlineStr">
        <is>
          <t>RAGUNDA</t>
        </is>
      </c>
      <c r="G752" t="n">
        <v>3.7</v>
      </c>
      <c r="H752" t="n">
        <v>0</v>
      </c>
      <c r="I752" t="n">
        <v>0</v>
      </c>
      <c r="J752" t="n">
        <v>0</v>
      </c>
      <c r="K752" t="n">
        <v>0</v>
      </c>
      <c r="L752" t="n">
        <v>0</v>
      </c>
      <c r="M752" t="n">
        <v>0</v>
      </c>
      <c r="N752" t="n">
        <v>0</v>
      </c>
      <c r="O752" t="n">
        <v>0</v>
      </c>
      <c r="P752" t="n">
        <v>0</v>
      </c>
      <c r="Q752" t="n">
        <v>0</v>
      </c>
      <c r="R752" s="2" t="inlineStr"/>
    </row>
    <row r="753" ht="15" customHeight="1">
      <c r="A753" t="inlineStr">
        <is>
          <t>A 40269-2022</t>
        </is>
      </c>
      <c r="B753" s="1" t="n">
        <v>44820</v>
      </c>
      <c r="C753" s="1" t="n">
        <v>45359</v>
      </c>
      <c r="D753" t="inlineStr">
        <is>
          <t>JÄMTLANDS LÄN</t>
        </is>
      </c>
      <c r="E753" t="inlineStr">
        <is>
          <t>RAGUNDA</t>
        </is>
      </c>
      <c r="F753" t="inlineStr">
        <is>
          <t>SCA</t>
        </is>
      </c>
      <c r="G753" t="n">
        <v>77.8</v>
      </c>
      <c r="H753" t="n">
        <v>0</v>
      </c>
      <c r="I753" t="n">
        <v>0</v>
      </c>
      <c r="J753" t="n">
        <v>0</v>
      </c>
      <c r="K753" t="n">
        <v>0</v>
      </c>
      <c r="L753" t="n">
        <v>0</v>
      </c>
      <c r="M753" t="n">
        <v>0</v>
      </c>
      <c r="N753" t="n">
        <v>0</v>
      </c>
      <c r="O753" t="n">
        <v>0</v>
      </c>
      <c r="P753" t="n">
        <v>0</v>
      </c>
      <c r="Q753" t="n">
        <v>0</v>
      </c>
      <c r="R753" s="2" t="inlineStr"/>
    </row>
    <row r="754" ht="15" customHeight="1">
      <c r="A754" t="inlineStr">
        <is>
          <t>A 40267-2022</t>
        </is>
      </c>
      <c r="B754" s="1" t="n">
        <v>44820</v>
      </c>
      <c r="C754" s="1" t="n">
        <v>45359</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40266-2022</t>
        </is>
      </c>
      <c r="B755" s="1" t="n">
        <v>44820</v>
      </c>
      <c r="C755" s="1" t="n">
        <v>45359</v>
      </c>
      <c r="D755" t="inlineStr">
        <is>
          <t>JÄMTLANDS LÄN</t>
        </is>
      </c>
      <c r="E755" t="inlineStr">
        <is>
          <t>RAGUNDA</t>
        </is>
      </c>
      <c r="F755" t="inlineStr">
        <is>
          <t>SCA</t>
        </is>
      </c>
      <c r="G755" t="n">
        <v>9</v>
      </c>
      <c r="H755" t="n">
        <v>0</v>
      </c>
      <c r="I755" t="n">
        <v>0</v>
      </c>
      <c r="J755" t="n">
        <v>0</v>
      </c>
      <c r="K755" t="n">
        <v>0</v>
      </c>
      <c r="L755" t="n">
        <v>0</v>
      </c>
      <c r="M755" t="n">
        <v>0</v>
      </c>
      <c r="N755" t="n">
        <v>0</v>
      </c>
      <c r="O755" t="n">
        <v>0</v>
      </c>
      <c r="P755" t="n">
        <v>0</v>
      </c>
      <c r="Q755" t="n">
        <v>0</v>
      </c>
      <c r="R755" s="2" t="inlineStr"/>
    </row>
    <row r="756" ht="15" customHeight="1">
      <c r="A756" t="inlineStr">
        <is>
          <t>A 40951-2022</t>
        </is>
      </c>
      <c r="B756" s="1" t="n">
        <v>44820</v>
      </c>
      <c r="C756" s="1" t="n">
        <v>45359</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40436-2022</t>
        </is>
      </c>
      <c r="B757" s="1" t="n">
        <v>44823</v>
      </c>
      <c r="C757" s="1" t="n">
        <v>45359</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40612-2022</t>
        </is>
      </c>
      <c r="B758" s="1" t="n">
        <v>44824</v>
      </c>
      <c r="C758" s="1" t="n">
        <v>45359</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40978-2022</t>
        </is>
      </c>
      <c r="B759" s="1" t="n">
        <v>44823</v>
      </c>
      <c r="C759" s="1" t="n">
        <v>45359</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40829-2022</t>
        </is>
      </c>
      <c r="B760" s="1" t="n">
        <v>44825</v>
      </c>
      <c r="C760" s="1" t="n">
        <v>45359</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41180-2022</t>
        </is>
      </c>
      <c r="B761" s="1" t="n">
        <v>44825</v>
      </c>
      <c r="C761" s="1" t="n">
        <v>45359</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41179-2022</t>
        </is>
      </c>
      <c r="B762" s="1" t="n">
        <v>44825</v>
      </c>
      <c r="C762" s="1" t="n">
        <v>45359</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41490-2022</t>
        </is>
      </c>
      <c r="B763" s="1" t="n">
        <v>44827</v>
      </c>
      <c r="C763" s="1" t="n">
        <v>45359</v>
      </c>
      <c r="D763" t="inlineStr">
        <is>
          <t>JÄMTLANDS LÄN</t>
        </is>
      </c>
      <c r="E763" t="inlineStr">
        <is>
          <t>RAGUNDA</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42267-2022</t>
        </is>
      </c>
      <c r="B764" s="1" t="n">
        <v>44830</v>
      </c>
      <c r="C764" s="1" t="n">
        <v>45359</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42266-2022</t>
        </is>
      </c>
      <c r="B765" s="1" t="n">
        <v>44831</v>
      </c>
      <c r="C765" s="1" t="n">
        <v>45359</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42652-2022</t>
        </is>
      </c>
      <c r="B766" s="1" t="n">
        <v>44832</v>
      </c>
      <c r="C766" s="1" t="n">
        <v>45359</v>
      </c>
      <c r="D766" t="inlineStr">
        <is>
          <t>JÄMTLANDS LÄN</t>
        </is>
      </c>
      <c r="E766" t="inlineStr">
        <is>
          <t>RAGUNDA</t>
        </is>
      </c>
      <c r="F766" t="inlineStr">
        <is>
          <t>SCA</t>
        </is>
      </c>
      <c r="G766" t="n">
        <v>5.6</v>
      </c>
      <c r="H766" t="n">
        <v>0</v>
      </c>
      <c r="I766" t="n">
        <v>0</v>
      </c>
      <c r="J766" t="n">
        <v>0</v>
      </c>
      <c r="K766" t="n">
        <v>0</v>
      </c>
      <c r="L766" t="n">
        <v>0</v>
      </c>
      <c r="M766" t="n">
        <v>0</v>
      </c>
      <c r="N766" t="n">
        <v>0</v>
      </c>
      <c r="O766" t="n">
        <v>0</v>
      </c>
      <c r="P766" t="n">
        <v>0</v>
      </c>
      <c r="Q766" t="n">
        <v>0</v>
      </c>
      <c r="R766" s="2" t="inlineStr"/>
    </row>
    <row r="767" ht="15" customHeight="1">
      <c r="A767" t="inlineStr">
        <is>
          <t>A 42644-2022</t>
        </is>
      </c>
      <c r="B767" s="1" t="n">
        <v>44831</v>
      </c>
      <c r="C767" s="1" t="n">
        <v>45359</v>
      </c>
      <c r="D767" t="inlineStr">
        <is>
          <t>JÄMTLANDS LÄN</t>
        </is>
      </c>
      <c r="E767" t="inlineStr">
        <is>
          <t>RAGUNDA</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42655-2022</t>
        </is>
      </c>
      <c r="B768" s="1" t="n">
        <v>44831</v>
      </c>
      <c r="C768" s="1" t="n">
        <v>45359</v>
      </c>
      <c r="D768" t="inlineStr">
        <is>
          <t>JÄMTLANDS LÄN</t>
        </is>
      </c>
      <c r="E768" t="inlineStr">
        <is>
          <t>RAGUNDA</t>
        </is>
      </c>
      <c r="F768" t="inlineStr">
        <is>
          <t>Naturvårdsverket</t>
        </is>
      </c>
      <c r="G768" t="n">
        <v>2</v>
      </c>
      <c r="H768" t="n">
        <v>0</v>
      </c>
      <c r="I768" t="n">
        <v>0</v>
      </c>
      <c r="J768" t="n">
        <v>0</v>
      </c>
      <c r="K768" t="n">
        <v>0</v>
      </c>
      <c r="L768" t="n">
        <v>0</v>
      </c>
      <c r="M768" t="n">
        <v>0</v>
      </c>
      <c r="N768" t="n">
        <v>0</v>
      </c>
      <c r="O768" t="n">
        <v>0</v>
      </c>
      <c r="P768" t="n">
        <v>0</v>
      </c>
      <c r="Q768" t="n">
        <v>0</v>
      </c>
      <c r="R768" s="2" t="inlineStr"/>
    </row>
    <row r="769" ht="15" customHeight="1">
      <c r="A769" t="inlineStr">
        <is>
          <t>A 42653-2022</t>
        </is>
      </c>
      <c r="B769" s="1" t="n">
        <v>44832</v>
      </c>
      <c r="C769" s="1" t="n">
        <v>45359</v>
      </c>
      <c r="D769" t="inlineStr">
        <is>
          <t>JÄMTLANDS LÄN</t>
        </is>
      </c>
      <c r="E769" t="inlineStr">
        <is>
          <t>RAGUNDA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42882-2022</t>
        </is>
      </c>
      <c r="B770" s="1" t="n">
        <v>44833</v>
      </c>
      <c r="C770" s="1" t="n">
        <v>45359</v>
      </c>
      <c r="D770" t="inlineStr">
        <is>
          <t>JÄMTLANDS LÄN</t>
        </is>
      </c>
      <c r="E770" t="inlineStr">
        <is>
          <t>RAGUNDA</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42892-2022</t>
        </is>
      </c>
      <c r="B771" s="1" t="n">
        <v>44832</v>
      </c>
      <c r="C771" s="1" t="n">
        <v>45359</v>
      </c>
      <c r="D771" t="inlineStr">
        <is>
          <t>JÄMTLANDS LÄN</t>
        </is>
      </c>
      <c r="E771" t="inlineStr">
        <is>
          <t>RAGUNDA</t>
        </is>
      </c>
      <c r="F771" t="inlineStr">
        <is>
          <t>SCA</t>
        </is>
      </c>
      <c r="G771" t="n">
        <v>84</v>
      </c>
      <c r="H771" t="n">
        <v>0</v>
      </c>
      <c r="I771" t="n">
        <v>0</v>
      </c>
      <c r="J771" t="n">
        <v>0</v>
      </c>
      <c r="K771" t="n">
        <v>0</v>
      </c>
      <c r="L771" t="n">
        <v>0</v>
      </c>
      <c r="M771" t="n">
        <v>0</v>
      </c>
      <c r="N771" t="n">
        <v>0</v>
      </c>
      <c r="O771" t="n">
        <v>0</v>
      </c>
      <c r="P771" t="n">
        <v>0</v>
      </c>
      <c r="Q771" t="n">
        <v>0</v>
      </c>
      <c r="R771" s="2" t="inlineStr"/>
    </row>
    <row r="772" ht="15" customHeight="1">
      <c r="A772" t="inlineStr">
        <is>
          <t>A 42893-2022</t>
        </is>
      </c>
      <c r="B772" s="1" t="n">
        <v>44832</v>
      </c>
      <c r="C772" s="1" t="n">
        <v>45359</v>
      </c>
      <c r="D772" t="inlineStr">
        <is>
          <t>JÄMTLANDS LÄN</t>
        </is>
      </c>
      <c r="E772" t="inlineStr">
        <is>
          <t>RAGUNDA</t>
        </is>
      </c>
      <c r="F772" t="inlineStr">
        <is>
          <t>SCA</t>
        </is>
      </c>
      <c r="G772" t="n">
        <v>28.4</v>
      </c>
      <c r="H772" t="n">
        <v>0</v>
      </c>
      <c r="I772" t="n">
        <v>0</v>
      </c>
      <c r="J772" t="n">
        <v>0</v>
      </c>
      <c r="K772" t="n">
        <v>0</v>
      </c>
      <c r="L772" t="n">
        <v>0</v>
      </c>
      <c r="M772" t="n">
        <v>0</v>
      </c>
      <c r="N772" t="n">
        <v>0</v>
      </c>
      <c r="O772" t="n">
        <v>0</v>
      </c>
      <c r="P772" t="n">
        <v>0</v>
      </c>
      <c r="Q772" t="n">
        <v>0</v>
      </c>
      <c r="R772" s="2" t="inlineStr"/>
    </row>
    <row r="773" ht="15" customHeight="1">
      <c r="A773" t="inlineStr">
        <is>
          <t>A 42900-2022</t>
        </is>
      </c>
      <c r="B773" s="1" t="n">
        <v>44833</v>
      </c>
      <c r="C773" s="1" t="n">
        <v>45359</v>
      </c>
      <c r="D773" t="inlineStr">
        <is>
          <t>JÄMTLANDS LÄN</t>
        </is>
      </c>
      <c r="E773" t="inlineStr">
        <is>
          <t>RAGUNDA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42901-2022</t>
        </is>
      </c>
      <c r="B774" s="1" t="n">
        <v>44832</v>
      </c>
      <c r="C774" s="1" t="n">
        <v>45359</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43147-2022</t>
        </is>
      </c>
      <c r="B775" s="1" t="n">
        <v>44834</v>
      </c>
      <c r="C775" s="1" t="n">
        <v>45359</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43163-2022</t>
        </is>
      </c>
      <c r="B776" s="1" t="n">
        <v>44834</v>
      </c>
      <c r="C776" s="1" t="n">
        <v>45359</v>
      </c>
      <c r="D776" t="inlineStr">
        <is>
          <t>JÄMTLANDS LÄN</t>
        </is>
      </c>
      <c r="E776" t="inlineStr">
        <is>
          <t>RAGUNDA</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43478-2022</t>
        </is>
      </c>
      <c r="B777" s="1" t="n">
        <v>44837</v>
      </c>
      <c r="C777" s="1" t="n">
        <v>45359</v>
      </c>
      <c r="D777" t="inlineStr">
        <is>
          <t>JÄMTLANDS LÄN</t>
        </is>
      </c>
      <c r="E777" t="inlineStr">
        <is>
          <t>RAGUNDA</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43793-2022</t>
        </is>
      </c>
      <c r="B778" s="1" t="n">
        <v>44837</v>
      </c>
      <c r="C778" s="1" t="n">
        <v>45359</v>
      </c>
      <c r="D778" t="inlineStr">
        <is>
          <t>JÄMTLANDS LÄN</t>
        </is>
      </c>
      <c r="E778" t="inlineStr">
        <is>
          <t>RAGUNDA</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43794-2022</t>
        </is>
      </c>
      <c r="B779" s="1" t="n">
        <v>44837</v>
      </c>
      <c r="C779" s="1" t="n">
        <v>45359</v>
      </c>
      <c r="D779" t="inlineStr">
        <is>
          <t>JÄMTLANDS LÄN</t>
        </is>
      </c>
      <c r="E779" t="inlineStr">
        <is>
          <t>RAGUNDA</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44050-2022</t>
        </is>
      </c>
      <c r="B780" s="1" t="n">
        <v>44838</v>
      </c>
      <c r="C780" s="1" t="n">
        <v>45359</v>
      </c>
      <c r="D780" t="inlineStr">
        <is>
          <t>JÄMTLANDS LÄN</t>
        </is>
      </c>
      <c r="E780" t="inlineStr">
        <is>
          <t>RAGUNDA</t>
        </is>
      </c>
      <c r="F780" t="inlineStr">
        <is>
          <t>SCA</t>
        </is>
      </c>
      <c r="G780" t="n">
        <v>9.6</v>
      </c>
      <c r="H780" t="n">
        <v>0</v>
      </c>
      <c r="I780" t="n">
        <v>0</v>
      </c>
      <c r="J780" t="n">
        <v>0</v>
      </c>
      <c r="K780" t="n">
        <v>0</v>
      </c>
      <c r="L780" t="n">
        <v>0</v>
      </c>
      <c r="M780" t="n">
        <v>0</v>
      </c>
      <c r="N780" t="n">
        <v>0</v>
      </c>
      <c r="O780" t="n">
        <v>0</v>
      </c>
      <c r="P780" t="n">
        <v>0</v>
      </c>
      <c r="Q780" t="n">
        <v>0</v>
      </c>
      <c r="R780" s="2" t="inlineStr"/>
    </row>
    <row r="781" ht="15" customHeight="1">
      <c r="A781" t="inlineStr">
        <is>
          <t>A 44536-2022</t>
        </is>
      </c>
      <c r="B781" s="1" t="n">
        <v>44839</v>
      </c>
      <c r="C781" s="1" t="n">
        <v>45359</v>
      </c>
      <c r="D781" t="inlineStr">
        <is>
          <t>JÄMTLANDS LÄN</t>
        </is>
      </c>
      <c r="E781" t="inlineStr">
        <is>
          <t>RAGUNDA</t>
        </is>
      </c>
      <c r="G781" t="n">
        <v>4</v>
      </c>
      <c r="H781" t="n">
        <v>0</v>
      </c>
      <c r="I781" t="n">
        <v>0</v>
      </c>
      <c r="J781" t="n">
        <v>0</v>
      </c>
      <c r="K781" t="n">
        <v>0</v>
      </c>
      <c r="L781" t="n">
        <v>0</v>
      </c>
      <c r="M781" t="n">
        <v>0</v>
      </c>
      <c r="N781" t="n">
        <v>0</v>
      </c>
      <c r="O781" t="n">
        <v>0</v>
      </c>
      <c r="P781" t="n">
        <v>0</v>
      </c>
      <c r="Q781" t="n">
        <v>0</v>
      </c>
      <c r="R781" s="2" t="inlineStr"/>
    </row>
    <row r="782" ht="15" customHeight="1">
      <c r="A782" t="inlineStr">
        <is>
          <t>A 44600-2022</t>
        </is>
      </c>
      <c r="B782" s="1" t="n">
        <v>44839</v>
      </c>
      <c r="C782" s="1" t="n">
        <v>45359</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44767-2022</t>
        </is>
      </c>
      <c r="B783" s="1" t="n">
        <v>44840</v>
      </c>
      <c r="C783" s="1" t="n">
        <v>45359</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44766-2022</t>
        </is>
      </c>
      <c r="B784" s="1" t="n">
        <v>44841</v>
      </c>
      <c r="C784" s="1" t="n">
        <v>45359</v>
      </c>
      <c r="D784" t="inlineStr">
        <is>
          <t>JÄMTLANDS LÄN</t>
        </is>
      </c>
      <c r="E784" t="inlineStr">
        <is>
          <t>RAGUNDA</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45437-2022</t>
        </is>
      </c>
      <c r="B785" s="1" t="n">
        <v>44844</v>
      </c>
      <c r="C785" s="1" t="n">
        <v>45359</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45438-2022</t>
        </is>
      </c>
      <c r="B786" s="1" t="n">
        <v>44845</v>
      </c>
      <c r="C786" s="1" t="n">
        <v>45359</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45708-2022</t>
        </is>
      </c>
      <c r="B787" s="1" t="n">
        <v>44846</v>
      </c>
      <c r="C787" s="1" t="n">
        <v>45359</v>
      </c>
      <c r="D787" t="inlineStr">
        <is>
          <t>JÄMTLANDS LÄN</t>
        </is>
      </c>
      <c r="E787" t="inlineStr">
        <is>
          <t>RAGUNDA</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45712-2022</t>
        </is>
      </c>
      <c r="B788" s="1" t="n">
        <v>44845</v>
      </c>
      <c r="C788" s="1" t="n">
        <v>45359</v>
      </c>
      <c r="D788" t="inlineStr">
        <is>
          <t>JÄMTLANDS LÄN</t>
        </is>
      </c>
      <c r="E788" t="inlineStr">
        <is>
          <t>RAGUNDA</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45710-2022</t>
        </is>
      </c>
      <c r="B789" s="1" t="n">
        <v>44845</v>
      </c>
      <c r="C789" s="1" t="n">
        <v>45359</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45718-2022</t>
        </is>
      </c>
      <c r="B790" s="1" t="n">
        <v>44845</v>
      </c>
      <c r="C790" s="1" t="n">
        <v>45359</v>
      </c>
      <c r="D790" t="inlineStr">
        <is>
          <t>JÄMTLANDS LÄN</t>
        </is>
      </c>
      <c r="E790" t="inlineStr">
        <is>
          <t>RAGUNDA</t>
        </is>
      </c>
      <c r="F790" t="inlineStr">
        <is>
          <t>SCA</t>
        </is>
      </c>
      <c r="G790" t="n">
        <v>19.3</v>
      </c>
      <c r="H790" t="n">
        <v>0</v>
      </c>
      <c r="I790" t="n">
        <v>0</v>
      </c>
      <c r="J790" t="n">
        <v>0</v>
      </c>
      <c r="K790" t="n">
        <v>0</v>
      </c>
      <c r="L790" t="n">
        <v>0</v>
      </c>
      <c r="M790" t="n">
        <v>0</v>
      </c>
      <c r="N790" t="n">
        <v>0</v>
      </c>
      <c r="O790" t="n">
        <v>0</v>
      </c>
      <c r="P790" t="n">
        <v>0</v>
      </c>
      <c r="Q790" t="n">
        <v>0</v>
      </c>
      <c r="R790" s="2" t="inlineStr"/>
    </row>
    <row r="791" ht="15" customHeight="1">
      <c r="A791" t="inlineStr">
        <is>
          <t>A 45715-2022</t>
        </is>
      </c>
      <c r="B791" s="1" t="n">
        <v>44845</v>
      </c>
      <c r="C791" s="1" t="n">
        <v>45359</v>
      </c>
      <c r="D791" t="inlineStr">
        <is>
          <t>JÄMTLANDS LÄN</t>
        </is>
      </c>
      <c r="E791" t="inlineStr">
        <is>
          <t>RAGUNDA</t>
        </is>
      </c>
      <c r="F791" t="inlineStr">
        <is>
          <t>SCA</t>
        </is>
      </c>
      <c r="G791" t="n">
        <v>8.6</v>
      </c>
      <c r="H791" t="n">
        <v>0</v>
      </c>
      <c r="I791" t="n">
        <v>0</v>
      </c>
      <c r="J791" t="n">
        <v>0</v>
      </c>
      <c r="K791" t="n">
        <v>0</v>
      </c>
      <c r="L791" t="n">
        <v>0</v>
      </c>
      <c r="M791" t="n">
        <v>0</v>
      </c>
      <c r="N791" t="n">
        <v>0</v>
      </c>
      <c r="O791" t="n">
        <v>0</v>
      </c>
      <c r="P791" t="n">
        <v>0</v>
      </c>
      <c r="Q791" t="n">
        <v>0</v>
      </c>
      <c r="R791" s="2" t="inlineStr"/>
    </row>
    <row r="792" ht="15" customHeight="1">
      <c r="A792" t="inlineStr">
        <is>
          <t>A 46047-2022</t>
        </is>
      </c>
      <c r="B792" s="1" t="n">
        <v>44847</v>
      </c>
      <c r="C792" s="1" t="n">
        <v>45359</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46040-2022</t>
        </is>
      </c>
      <c r="B793" s="1" t="n">
        <v>44847</v>
      </c>
      <c r="C793" s="1" t="n">
        <v>45359</v>
      </c>
      <c r="D793" t="inlineStr">
        <is>
          <t>JÄMTLANDS LÄN</t>
        </is>
      </c>
      <c r="E793" t="inlineStr">
        <is>
          <t>RAGUNDA</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46050-2022</t>
        </is>
      </c>
      <c r="B794" s="1" t="n">
        <v>44846</v>
      </c>
      <c r="C794" s="1" t="n">
        <v>45359</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46049-2022</t>
        </is>
      </c>
      <c r="B795" s="1" t="n">
        <v>44847</v>
      </c>
      <c r="C795" s="1" t="n">
        <v>45359</v>
      </c>
      <c r="D795" t="inlineStr">
        <is>
          <t>JÄMTLANDS LÄN</t>
        </is>
      </c>
      <c r="E795" t="inlineStr">
        <is>
          <t>RAGUNDA</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46048-2022</t>
        </is>
      </c>
      <c r="B796" s="1" t="n">
        <v>44846</v>
      </c>
      <c r="C796" s="1" t="n">
        <v>45359</v>
      </c>
      <c r="D796" t="inlineStr">
        <is>
          <t>JÄMTLANDS LÄN</t>
        </is>
      </c>
      <c r="E796" t="inlineStr">
        <is>
          <t>RAGUNDA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46991-2022</t>
        </is>
      </c>
      <c r="B797" s="1" t="n">
        <v>44852</v>
      </c>
      <c r="C797" s="1" t="n">
        <v>45359</v>
      </c>
      <c r="D797" t="inlineStr">
        <is>
          <t>JÄMTLANDS LÄN</t>
        </is>
      </c>
      <c r="E797" t="inlineStr">
        <is>
          <t>RAGUNDA</t>
        </is>
      </c>
      <c r="F797" t="inlineStr">
        <is>
          <t>SCA</t>
        </is>
      </c>
      <c r="G797" t="n">
        <v>17.3</v>
      </c>
      <c r="H797" t="n">
        <v>0</v>
      </c>
      <c r="I797" t="n">
        <v>0</v>
      </c>
      <c r="J797" t="n">
        <v>0</v>
      </c>
      <c r="K797" t="n">
        <v>0</v>
      </c>
      <c r="L797" t="n">
        <v>0</v>
      </c>
      <c r="M797" t="n">
        <v>0</v>
      </c>
      <c r="N797" t="n">
        <v>0</v>
      </c>
      <c r="O797" t="n">
        <v>0</v>
      </c>
      <c r="P797" t="n">
        <v>0</v>
      </c>
      <c r="Q797" t="n">
        <v>0</v>
      </c>
      <c r="R797" s="2" t="inlineStr"/>
    </row>
    <row r="798" ht="15" customHeight="1">
      <c r="A798" t="inlineStr">
        <is>
          <t>A 46992-2022</t>
        </is>
      </c>
      <c r="B798" s="1" t="n">
        <v>44852</v>
      </c>
      <c r="C798" s="1" t="n">
        <v>45359</v>
      </c>
      <c r="D798" t="inlineStr">
        <is>
          <t>JÄMTLANDS LÄN</t>
        </is>
      </c>
      <c r="E798" t="inlineStr">
        <is>
          <t>RAGUNDA</t>
        </is>
      </c>
      <c r="F798" t="inlineStr">
        <is>
          <t>SCA</t>
        </is>
      </c>
      <c r="G798" t="n">
        <v>26.4</v>
      </c>
      <c r="H798" t="n">
        <v>0</v>
      </c>
      <c r="I798" t="n">
        <v>0</v>
      </c>
      <c r="J798" t="n">
        <v>0</v>
      </c>
      <c r="K798" t="n">
        <v>0</v>
      </c>
      <c r="L798" t="n">
        <v>0</v>
      </c>
      <c r="M798" t="n">
        <v>0</v>
      </c>
      <c r="N798" t="n">
        <v>0</v>
      </c>
      <c r="O798" t="n">
        <v>0</v>
      </c>
      <c r="P798" t="n">
        <v>0</v>
      </c>
      <c r="Q798" t="n">
        <v>0</v>
      </c>
      <c r="R798" s="2" t="inlineStr"/>
    </row>
    <row r="799" ht="15" customHeight="1">
      <c r="A799" t="inlineStr">
        <is>
          <t>A 47262-2022</t>
        </is>
      </c>
      <c r="B799" s="1" t="n">
        <v>44852</v>
      </c>
      <c r="C799" s="1" t="n">
        <v>45359</v>
      </c>
      <c r="D799" t="inlineStr">
        <is>
          <t>JÄMTLANDS LÄN</t>
        </is>
      </c>
      <c r="E799" t="inlineStr">
        <is>
          <t>RAGUNDA</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47267-2022</t>
        </is>
      </c>
      <c r="B800" s="1" t="n">
        <v>44852</v>
      </c>
      <c r="C800" s="1" t="n">
        <v>45359</v>
      </c>
      <c r="D800" t="inlineStr">
        <is>
          <t>JÄMTLANDS LÄN</t>
        </is>
      </c>
      <c r="E800" t="inlineStr">
        <is>
          <t>RAGUNDA</t>
        </is>
      </c>
      <c r="F800" t="inlineStr">
        <is>
          <t>SCA</t>
        </is>
      </c>
      <c r="G800" t="n">
        <v>82.8</v>
      </c>
      <c r="H800" t="n">
        <v>0</v>
      </c>
      <c r="I800" t="n">
        <v>0</v>
      </c>
      <c r="J800" t="n">
        <v>0</v>
      </c>
      <c r="K800" t="n">
        <v>0</v>
      </c>
      <c r="L800" t="n">
        <v>0</v>
      </c>
      <c r="M800" t="n">
        <v>0</v>
      </c>
      <c r="N800" t="n">
        <v>0</v>
      </c>
      <c r="O800" t="n">
        <v>0</v>
      </c>
      <c r="P800" t="n">
        <v>0</v>
      </c>
      <c r="Q800" t="n">
        <v>0</v>
      </c>
      <c r="R800" s="2" t="inlineStr"/>
    </row>
    <row r="801" ht="15" customHeight="1">
      <c r="A801" t="inlineStr">
        <is>
          <t>A 47280-2022</t>
        </is>
      </c>
      <c r="B801" s="1" t="n">
        <v>44852</v>
      </c>
      <c r="C801" s="1" t="n">
        <v>45359</v>
      </c>
      <c r="D801" t="inlineStr">
        <is>
          <t>JÄMTLANDS LÄN</t>
        </is>
      </c>
      <c r="E801" t="inlineStr">
        <is>
          <t>RAGUNDA</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47278-2022</t>
        </is>
      </c>
      <c r="B802" s="1" t="n">
        <v>44852</v>
      </c>
      <c r="C802" s="1" t="n">
        <v>45359</v>
      </c>
      <c r="D802" t="inlineStr">
        <is>
          <t>JÄMTLANDS LÄN</t>
        </is>
      </c>
      <c r="E802" t="inlineStr">
        <is>
          <t>RAGUNDA</t>
        </is>
      </c>
      <c r="F802" t="inlineStr">
        <is>
          <t>SCA</t>
        </is>
      </c>
      <c r="G802" t="n">
        <v>10.1</v>
      </c>
      <c r="H802" t="n">
        <v>0</v>
      </c>
      <c r="I802" t="n">
        <v>0</v>
      </c>
      <c r="J802" t="n">
        <v>0</v>
      </c>
      <c r="K802" t="n">
        <v>0</v>
      </c>
      <c r="L802" t="n">
        <v>0</v>
      </c>
      <c r="M802" t="n">
        <v>0</v>
      </c>
      <c r="N802" t="n">
        <v>0</v>
      </c>
      <c r="O802" t="n">
        <v>0</v>
      </c>
      <c r="P802" t="n">
        <v>0</v>
      </c>
      <c r="Q802" t="n">
        <v>0</v>
      </c>
      <c r="R802" s="2" t="inlineStr"/>
    </row>
    <row r="803" ht="15" customHeight="1">
      <c r="A803" t="inlineStr">
        <is>
          <t>A 47567-2022</t>
        </is>
      </c>
      <c r="B803" s="1" t="n">
        <v>44853</v>
      </c>
      <c r="C803" s="1" t="n">
        <v>45359</v>
      </c>
      <c r="D803" t="inlineStr">
        <is>
          <t>JÄMTLANDS LÄN</t>
        </is>
      </c>
      <c r="E803" t="inlineStr">
        <is>
          <t>RAGUNDA</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47568-2022</t>
        </is>
      </c>
      <c r="B804" s="1" t="n">
        <v>44854</v>
      </c>
      <c r="C804" s="1" t="n">
        <v>45359</v>
      </c>
      <c r="D804" t="inlineStr">
        <is>
          <t>JÄMTLANDS LÄN</t>
        </is>
      </c>
      <c r="E804" t="inlineStr">
        <is>
          <t>RAGUNDA</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47801-2022</t>
        </is>
      </c>
      <c r="B805" s="1" t="n">
        <v>44854</v>
      </c>
      <c r="C805" s="1" t="n">
        <v>45359</v>
      </c>
      <c r="D805" t="inlineStr">
        <is>
          <t>JÄMTLANDS LÄN</t>
        </is>
      </c>
      <c r="E805" t="inlineStr">
        <is>
          <t>RAGUNDA</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47803-2022</t>
        </is>
      </c>
      <c r="B806" s="1" t="n">
        <v>44855</v>
      </c>
      <c r="C806" s="1" t="n">
        <v>45359</v>
      </c>
      <c r="D806" t="inlineStr">
        <is>
          <t>JÄMTLANDS LÄN</t>
        </is>
      </c>
      <c r="E806" t="inlineStr">
        <is>
          <t>RAGUNDA</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48060-2022</t>
        </is>
      </c>
      <c r="B807" s="1" t="n">
        <v>44856</v>
      </c>
      <c r="C807" s="1" t="n">
        <v>45359</v>
      </c>
      <c r="D807" t="inlineStr">
        <is>
          <t>JÄMTLANDS LÄN</t>
        </is>
      </c>
      <c r="E807" t="inlineStr">
        <is>
          <t>RAGUNDA</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48055-2022</t>
        </is>
      </c>
      <c r="B808" s="1" t="n">
        <v>44856</v>
      </c>
      <c r="C808" s="1" t="n">
        <v>45359</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48058-2022</t>
        </is>
      </c>
      <c r="B809" s="1" t="n">
        <v>44856</v>
      </c>
      <c r="C809" s="1" t="n">
        <v>45359</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48066-2022</t>
        </is>
      </c>
      <c r="B810" s="1" t="n">
        <v>44855</v>
      </c>
      <c r="C810" s="1" t="n">
        <v>45359</v>
      </c>
      <c r="D810" t="inlineStr">
        <is>
          <t>JÄMTLANDS LÄN</t>
        </is>
      </c>
      <c r="E810" t="inlineStr">
        <is>
          <t>RAGUNDA</t>
        </is>
      </c>
      <c r="F810" t="inlineStr">
        <is>
          <t>SCA</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48076-2022</t>
        </is>
      </c>
      <c r="B811" s="1" t="n">
        <v>44856</v>
      </c>
      <c r="C811" s="1" t="n">
        <v>45359</v>
      </c>
      <c r="D811" t="inlineStr">
        <is>
          <t>JÄMTLANDS LÄN</t>
        </is>
      </c>
      <c r="E811" t="inlineStr">
        <is>
          <t>RAGUNDA</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48053-2022</t>
        </is>
      </c>
      <c r="B812" s="1" t="n">
        <v>44856</v>
      </c>
      <c r="C812" s="1" t="n">
        <v>45359</v>
      </c>
      <c r="D812" t="inlineStr">
        <is>
          <t>JÄMTLANDS LÄN</t>
        </is>
      </c>
      <c r="E812" t="inlineStr">
        <is>
          <t>RAGUNDA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48075-2022</t>
        </is>
      </c>
      <c r="B813" s="1" t="n">
        <v>44855</v>
      </c>
      <c r="C813" s="1" t="n">
        <v>45359</v>
      </c>
      <c r="D813" t="inlineStr">
        <is>
          <t>JÄMTLANDS LÄN</t>
        </is>
      </c>
      <c r="E813" t="inlineStr">
        <is>
          <t>RAGUNDA</t>
        </is>
      </c>
      <c r="F813" t="inlineStr">
        <is>
          <t>SCA</t>
        </is>
      </c>
      <c r="G813" t="n">
        <v>7.5</v>
      </c>
      <c r="H813" t="n">
        <v>0</v>
      </c>
      <c r="I813" t="n">
        <v>0</v>
      </c>
      <c r="J813" t="n">
        <v>0</v>
      </c>
      <c r="K813" t="n">
        <v>0</v>
      </c>
      <c r="L813" t="n">
        <v>0</v>
      </c>
      <c r="M813" t="n">
        <v>0</v>
      </c>
      <c r="N813" t="n">
        <v>0</v>
      </c>
      <c r="O813" t="n">
        <v>0</v>
      </c>
      <c r="P813" t="n">
        <v>0</v>
      </c>
      <c r="Q813" t="n">
        <v>0</v>
      </c>
      <c r="R813" s="2" t="inlineStr"/>
    </row>
    <row r="814" ht="15" customHeight="1">
      <c r="A814" t="inlineStr">
        <is>
          <t>A 48086-2022</t>
        </is>
      </c>
      <c r="B814" s="1" t="n">
        <v>44856</v>
      </c>
      <c r="C814" s="1" t="n">
        <v>45359</v>
      </c>
      <c r="D814" t="inlineStr">
        <is>
          <t>JÄMTLANDS LÄN</t>
        </is>
      </c>
      <c r="E814" t="inlineStr">
        <is>
          <t>RAGUNDA</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48085-2022</t>
        </is>
      </c>
      <c r="B815" s="1" t="n">
        <v>44855</v>
      </c>
      <c r="C815" s="1" t="n">
        <v>45359</v>
      </c>
      <c r="D815" t="inlineStr">
        <is>
          <t>JÄMTLANDS LÄN</t>
        </is>
      </c>
      <c r="E815" t="inlineStr">
        <is>
          <t>RAGUNDA</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48536-2022</t>
        </is>
      </c>
      <c r="B816" s="1" t="n">
        <v>44858</v>
      </c>
      <c r="C816" s="1" t="n">
        <v>45359</v>
      </c>
      <c r="D816" t="inlineStr">
        <is>
          <t>JÄMTLANDS LÄN</t>
        </is>
      </c>
      <c r="E816" t="inlineStr">
        <is>
          <t>RAGUNDA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48538-2022</t>
        </is>
      </c>
      <c r="B817" s="1" t="n">
        <v>44858</v>
      </c>
      <c r="C817" s="1" t="n">
        <v>45359</v>
      </c>
      <c r="D817" t="inlineStr">
        <is>
          <t>JÄMTLANDS LÄN</t>
        </is>
      </c>
      <c r="E817" t="inlineStr">
        <is>
          <t>RAGUNDA</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48522-2022</t>
        </is>
      </c>
      <c r="B818" s="1" t="n">
        <v>44859</v>
      </c>
      <c r="C818" s="1" t="n">
        <v>45359</v>
      </c>
      <c r="D818" t="inlineStr">
        <is>
          <t>JÄMTLANDS LÄN</t>
        </is>
      </c>
      <c r="E818" t="inlineStr">
        <is>
          <t>RAGUNDA</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48534-2022</t>
        </is>
      </c>
      <c r="B819" s="1" t="n">
        <v>44859</v>
      </c>
      <c r="C819" s="1" t="n">
        <v>45359</v>
      </c>
      <c r="D819" t="inlineStr">
        <is>
          <t>JÄMTLANDS LÄN</t>
        </is>
      </c>
      <c r="E819" t="inlineStr">
        <is>
          <t>RAGUNDA</t>
        </is>
      </c>
      <c r="F819" t="inlineStr">
        <is>
          <t>SCA</t>
        </is>
      </c>
      <c r="G819" t="n">
        <v>6.7</v>
      </c>
      <c r="H819" t="n">
        <v>0</v>
      </c>
      <c r="I819" t="n">
        <v>0</v>
      </c>
      <c r="J819" t="n">
        <v>0</v>
      </c>
      <c r="K819" t="n">
        <v>0</v>
      </c>
      <c r="L819" t="n">
        <v>0</v>
      </c>
      <c r="M819" t="n">
        <v>0</v>
      </c>
      <c r="N819" t="n">
        <v>0</v>
      </c>
      <c r="O819" t="n">
        <v>0</v>
      </c>
      <c r="P819" t="n">
        <v>0</v>
      </c>
      <c r="Q819" t="n">
        <v>0</v>
      </c>
      <c r="R819" s="2" t="inlineStr"/>
    </row>
    <row r="820" ht="15" customHeight="1">
      <c r="A820" t="inlineStr">
        <is>
          <t>A 48938-2022</t>
        </is>
      </c>
      <c r="B820" s="1" t="n">
        <v>44860</v>
      </c>
      <c r="C820" s="1" t="n">
        <v>45359</v>
      </c>
      <c r="D820" t="inlineStr">
        <is>
          <t>JÄMTLANDS LÄN</t>
        </is>
      </c>
      <c r="E820" t="inlineStr">
        <is>
          <t>RAGUNDA</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49183-2022</t>
        </is>
      </c>
      <c r="B821" s="1" t="n">
        <v>44860</v>
      </c>
      <c r="C821" s="1" t="n">
        <v>45359</v>
      </c>
      <c r="D821" t="inlineStr">
        <is>
          <t>JÄMTLANDS LÄN</t>
        </is>
      </c>
      <c r="E821" t="inlineStr">
        <is>
          <t>RAGUNDA</t>
        </is>
      </c>
      <c r="F821" t="inlineStr">
        <is>
          <t>SCA</t>
        </is>
      </c>
      <c r="G821" t="n">
        <v>10.3</v>
      </c>
      <c r="H821" t="n">
        <v>0</v>
      </c>
      <c r="I821" t="n">
        <v>0</v>
      </c>
      <c r="J821" t="n">
        <v>0</v>
      </c>
      <c r="K821" t="n">
        <v>0</v>
      </c>
      <c r="L821" t="n">
        <v>0</v>
      </c>
      <c r="M821" t="n">
        <v>0</v>
      </c>
      <c r="N821" t="n">
        <v>0</v>
      </c>
      <c r="O821" t="n">
        <v>0</v>
      </c>
      <c r="P821" t="n">
        <v>0</v>
      </c>
      <c r="Q821" t="n">
        <v>0</v>
      </c>
      <c r="R821" s="2" t="inlineStr"/>
    </row>
    <row r="822" ht="15" customHeight="1">
      <c r="A822" t="inlineStr">
        <is>
          <t>A 49182-2022</t>
        </is>
      </c>
      <c r="B822" s="1" t="n">
        <v>44861</v>
      </c>
      <c r="C822" s="1" t="n">
        <v>45359</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49197-2022</t>
        </is>
      </c>
      <c r="B823" s="1" t="n">
        <v>44860</v>
      </c>
      <c r="C823" s="1" t="n">
        <v>45359</v>
      </c>
      <c r="D823" t="inlineStr">
        <is>
          <t>JÄMTLANDS LÄN</t>
        </is>
      </c>
      <c r="E823" t="inlineStr">
        <is>
          <t>RAGUNDA</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49531-2022</t>
        </is>
      </c>
      <c r="B824" s="1" t="n">
        <v>44861</v>
      </c>
      <c r="C824" s="1" t="n">
        <v>45359</v>
      </c>
      <c r="D824" t="inlineStr">
        <is>
          <t>JÄMTLANDS LÄN</t>
        </is>
      </c>
      <c r="E824" t="inlineStr">
        <is>
          <t>RAGUNDA</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49530-2022</t>
        </is>
      </c>
      <c r="B825" s="1" t="n">
        <v>44861</v>
      </c>
      <c r="C825" s="1" t="n">
        <v>45359</v>
      </c>
      <c r="D825" t="inlineStr">
        <is>
          <t>JÄMTLANDS LÄN</t>
        </is>
      </c>
      <c r="E825" t="inlineStr">
        <is>
          <t>RAGUNDA</t>
        </is>
      </c>
      <c r="F825" t="inlineStr">
        <is>
          <t>SCA</t>
        </is>
      </c>
      <c r="G825" t="n">
        <v>13.4</v>
      </c>
      <c r="H825" t="n">
        <v>0</v>
      </c>
      <c r="I825" t="n">
        <v>0</v>
      </c>
      <c r="J825" t="n">
        <v>0</v>
      </c>
      <c r="K825" t="n">
        <v>0</v>
      </c>
      <c r="L825" t="n">
        <v>0</v>
      </c>
      <c r="M825" t="n">
        <v>0</v>
      </c>
      <c r="N825" t="n">
        <v>0</v>
      </c>
      <c r="O825" t="n">
        <v>0</v>
      </c>
      <c r="P825" t="n">
        <v>0</v>
      </c>
      <c r="Q825" t="n">
        <v>0</v>
      </c>
      <c r="R825" s="2" t="inlineStr"/>
    </row>
    <row r="826" ht="15" customHeight="1">
      <c r="A826" t="inlineStr">
        <is>
          <t>A 49544-2022</t>
        </is>
      </c>
      <c r="B826" s="1" t="n">
        <v>44862</v>
      </c>
      <c r="C826" s="1" t="n">
        <v>45359</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49543-2022</t>
        </is>
      </c>
      <c r="B827" s="1" t="n">
        <v>44862</v>
      </c>
      <c r="C827" s="1" t="n">
        <v>45359</v>
      </c>
      <c r="D827" t="inlineStr">
        <is>
          <t>JÄMTLANDS LÄN</t>
        </is>
      </c>
      <c r="E827" t="inlineStr">
        <is>
          <t>RAGUNDA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49844-2022</t>
        </is>
      </c>
      <c r="B828" s="1" t="n">
        <v>44863</v>
      </c>
      <c r="C828" s="1" t="n">
        <v>45359</v>
      </c>
      <c r="D828" t="inlineStr">
        <is>
          <t>JÄMTLANDS LÄN</t>
        </is>
      </c>
      <c r="E828" t="inlineStr">
        <is>
          <t>RAGUNDA</t>
        </is>
      </c>
      <c r="G828" t="n">
        <v>3.9</v>
      </c>
      <c r="H828" t="n">
        <v>0</v>
      </c>
      <c r="I828" t="n">
        <v>0</v>
      </c>
      <c r="J828" t="n">
        <v>0</v>
      </c>
      <c r="K828" t="n">
        <v>0</v>
      </c>
      <c r="L828" t="n">
        <v>0</v>
      </c>
      <c r="M828" t="n">
        <v>0</v>
      </c>
      <c r="N828" t="n">
        <v>0</v>
      </c>
      <c r="O828" t="n">
        <v>0</v>
      </c>
      <c r="P828" t="n">
        <v>0</v>
      </c>
      <c r="Q828" t="n">
        <v>0</v>
      </c>
      <c r="R828" s="2" t="inlineStr"/>
    </row>
    <row r="829" ht="15" customHeight="1">
      <c r="A829" t="inlineStr">
        <is>
          <t>A 49904-2022</t>
        </is>
      </c>
      <c r="B829" s="1" t="n">
        <v>44864</v>
      </c>
      <c r="C829" s="1" t="n">
        <v>45359</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50089-2022</t>
        </is>
      </c>
      <c r="B830" s="1" t="n">
        <v>44865</v>
      </c>
      <c r="C830" s="1" t="n">
        <v>45359</v>
      </c>
      <c r="D830" t="inlineStr">
        <is>
          <t>JÄMTLANDS LÄN</t>
        </is>
      </c>
      <c r="E830" t="inlineStr">
        <is>
          <t>RAGUNDA</t>
        </is>
      </c>
      <c r="G830" t="n">
        <v>5.7</v>
      </c>
      <c r="H830" t="n">
        <v>0</v>
      </c>
      <c r="I830" t="n">
        <v>0</v>
      </c>
      <c r="J830" t="n">
        <v>0</v>
      </c>
      <c r="K830" t="n">
        <v>0</v>
      </c>
      <c r="L830" t="n">
        <v>0</v>
      </c>
      <c r="M830" t="n">
        <v>0</v>
      </c>
      <c r="N830" t="n">
        <v>0</v>
      </c>
      <c r="O830" t="n">
        <v>0</v>
      </c>
      <c r="P830" t="n">
        <v>0</v>
      </c>
      <c r="Q830" t="n">
        <v>0</v>
      </c>
      <c r="R830" s="2" t="inlineStr"/>
    </row>
    <row r="831" ht="15" customHeight="1">
      <c r="A831" t="inlineStr">
        <is>
          <t>A 50087-2022</t>
        </is>
      </c>
      <c r="B831" s="1" t="n">
        <v>44865</v>
      </c>
      <c r="C831" s="1" t="n">
        <v>45359</v>
      </c>
      <c r="D831" t="inlineStr">
        <is>
          <t>JÄMTLANDS LÄN</t>
        </is>
      </c>
      <c r="E831" t="inlineStr">
        <is>
          <t>RAGUNDA</t>
        </is>
      </c>
      <c r="G831" t="n">
        <v>2</v>
      </c>
      <c r="H831" t="n">
        <v>0</v>
      </c>
      <c r="I831" t="n">
        <v>0</v>
      </c>
      <c r="J831" t="n">
        <v>0</v>
      </c>
      <c r="K831" t="n">
        <v>0</v>
      </c>
      <c r="L831" t="n">
        <v>0</v>
      </c>
      <c r="M831" t="n">
        <v>0</v>
      </c>
      <c r="N831" t="n">
        <v>0</v>
      </c>
      <c r="O831" t="n">
        <v>0</v>
      </c>
      <c r="P831" t="n">
        <v>0</v>
      </c>
      <c r="Q831" t="n">
        <v>0</v>
      </c>
      <c r="R831" s="2" t="inlineStr"/>
    </row>
    <row r="832" ht="15" customHeight="1">
      <c r="A832" t="inlineStr">
        <is>
          <t>A 50649-2022</t>
        </is>
      </c>
      <c r="B832" s="1" t="n">
        <v>44866</v>
      </c>
      <c r="C832" s="1" t="n">
        <v>45359</v>
      </c>
      <c r="D832" t="inlineStr">
        <is>
          <t>JÄMTLANDS LÄN</t>
        </is>
      </c>
      <c r="E832" t="inlineStr">
        <is>
          <t>RAGUNDA</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50682-2022</t>
        </is>
      </c>
      <c r="B833" s="1" t="n">
        <v>44866</v>
      </c>
      <c r="C833" s="1" t="n">
        <v>45359</v>
      </c>
      <c r="D833" t="inlineStr">
        <is>
          <t>JÄMTLANDS LÄN</t>
        </is>
      </c>
      <c r="E833" t="inlineStr">
        <is>
          <t>RAGUNDA</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51012-2022</t>
        </is>
      </c>
      <c r="B834" s="1" t="n">
        <v>44867</v>
      </c>
      <c r="C834" s="1" t="n">
        <v>45359</v>
      </c>
      <c r="D834" t="inlineStr">
        <is>
          <t>JÄMTLANDS LÄN</t>
        </is>
      </c>
      <c r="E834" t="inlineStr">
        <is>
          <t>RAGUNDA</t>
        </is>
      </c>
      <c r="F834" t="inlineStr">
        <is>
          <t>Sveaskog</t>
        </is>
      </c>
      <c r="G834" t="n">
        <v>8.4</v>
      </c>
      <c r="H834" t="n">
        <v>0</v>
      </c>
      <c r="I834" t="n">
        <v>0</v>
      </c>
      <c r="J834" t="n">
        <v>0</v>
      </c>
      <c r="K834" t="n">
        <v>0</v>
      </c>
      <c r="L834" t="n">
        <v>0</v>
      </c>
      <c r="M834" t="n">
        <v>0</v>
      </c>
      <c r="N834" t="n">
        <v>0</v>
      </c>
      <c r="O834" t="n">
        <v>0</v>
      </c>
      <c r="P834" t="n">
        <v>0</v>
      </c>
      <c r="Q834" t="n">
        <v>0</v>
      </c>
      <c r="R834" s="2" t="inlineStr"/>
    </row>
    <row r="835" ht="15" customHeight="1">
      <c r="A835" t="inlineStr">
        <is>
          <t>A 51540-2022</t>
        </is>
      </c>
      <c r="B835" s="1" t="n">
        <v>44869</v>
      </c>
      <c r="C835" s="1" t="n">
        <v>45359</v>
      </c>
      <c r="D835" t="inlineStr">
        <is>
          <t>JÄMTLANDS LÄN</t>
        </is>
      </c>
      <c r="E835" t="inlineStr">
        <is>
          <t>RAGUNDA</t>
        </is>
      </c>
      <c r="G835" t="n">
        <v>1.3</v>
      </c>
      <c r="H835" t="n">
        <v>0</v>
      </c>
      <c r="I835" t="n">
        <v>0</v>
      </c>
      <c r="J835" t="n">
        <v>0</v>
      </c>
      <c r="K835" t="n">
        <v>0</v>
      </c>
      <c r="L835" t="n">
        <v>0</v>
      </c>
      <c r="M835" t="n">
        <v>0</v>
      </c>
      <c r="N835" t="n">
        <v>0</v>
      </c>
      <c r="O835" t="n">
        <v>0</v>
      </c>
      <c r="P835" t="n">
        <v>0</v>
      </c>
      <c r="Q835" t="n">
        <v>0</v>
      </c>
      <c r="R835" s="2" t="inlineStr"/>
    </row>
    <row r="836" ht="15" customHeight="1">
      <c r="A836" t="inlineStr">
        <is>
          <t>A 51538-2022</t>
        </is>
      </c>
      <c r="B836" s="1" t="n">
        <v>44869</v>
      </c>
      <c r="C836" s="1" t="n">
        <v>45359</v>
      </c>
      <c r="D836" t="inlineStr">
        <is>
          <t>JÄMTLANDS LÄN</t>
        </is>
      </c>
      <c r="E836" t="inlineStr">
        <is>
          <t>RAGUNDA</t>
        </is>
      </c>
      <c r="G836" t="n">
        <v>6.8</v>
      </c>
      <c r="H836" t="n">
        <v>0</v>
      </c>
      <c r="I836" t="n">
        <v>0</v>
      </c>
      <c r="J836" t="n">
        <v>0</v>
      </c>
      <c r="K836" t="n">
        <v>0</v>
      </c>
      <c r="L836" t="n">
        <v>0</v>
      </c>
      <c r="M836" t="n">
        <v>0</v>
      </c>
      <c r="N836" t="n">
        <v>0</v>
      </c>
      <c r="O836" t="n">
        <v>0</v>
      </c>
      <c r="P836" t="n">
        <v>0</v>
      </c>
      <c r="Q836" t="n">
        <v>0</v>
      </c>
      <c r="R836" s="2" t="inlineStr"/>
    </row>
    <row r="837" ht="15" customHeight="1">
      <c r="A837" t="inlineStr">
        <is>
          <t>A 51537-2022</t>
        </is>
      </c>
      <c r="B837" s="1" t="n">
        <v>44869</v>
      </c>
      <c r="C837" s="1" t="n">
        <v>45359</v>
      </c>
      <c r="D837" t="inlineStr">
        <is>
          <t>JÄMTLANDS LÄN</t>
        </is>
      </c>
      <c r="E837" t="inlineStr">
        <is>
          <t>RAGUNDA</t>
        </is>
      </c>
      <c r="G837" t="n">
        <v>1.8</v>
      </c>
      <c r="H837" t="n">
        <v>0</v>
      </c>
      <c r="I837" t="n">
        <v>0</v>
      </c>
      <c r="J837" t="n">
        <v>0</v>
      </c>
      <c r="K837" t="n">
        <v>0</v>
      </c>
      <c r="L837" t="n">
        <v>0</v>
      </c>
      <c r="M837" t="n">
        <v>0</v>
      </c>
      <c r="N837" t="n">
        <v>0</v>
      </c>
      <c r="O837" t="n">
        <v>0</v>
      </c>
      <c r="P837" t="n">
        <v>0</v>
      </c>
      <c r="Q837" t="n">
        <v>0</v>
      </c>
      <c r="R837" s="2" t="inlineStr"/>
    </row>
    <row r="838" ht="15" customHeight="1">
      <c r="A838" t="inlineStr">
        <is>
          <t>A 52697-2022</t>
        </is>
      </c>
      <c r="B838" s="1" t="n">
        <v>44874</v>
      </c>
      <c r="C838" s="1" t="n">
        <v>45359</v>
      </c>
      <c r="D838" t="inlineStr">
        <is>
          <t>JÄMTLANDS LÄN</t>
        </is>
      </c>
      <c r="E838" t="inlineStr">
        <is>
          <t>RAGUNDA</t>
        </is>
      </c>
      <c r="G838" t="n">
        <v>3.9</v>
      </c>
      <c r="H838" t="n">
        <v>0</v>
      </c>
      <c r="I838" t="n">
        <v>0</v>
      </c>
      <c r="J838" t="n">
        <v>0</v>
      </c>
      <c r="K838" t="n">
        <v>0</v>
      </c>
      <c r="L838" t="n">
        <v>0</v>
      </c>
      <c r="M838" t="n">
        <v>0</v>
      </c>
      <c r="N838" t="n">
        <v>0</v>
      </c>
      <c r="O838" t="n">
        <v>0</v>
      </c>
      <c r="P838" t="n">
        <v>0</v>
      </c>
      <c r="Q838" t="n">
        <v>0</v>
      </c>
      <c r="R838" s="2" t="inlineStr"/>
    </row>
    <row r="839" ht="15" customHeight="1">
      <c r="A839" t="inlineStr">
        <is>
          <t>A 52720-2022</t>
        </is>
      </c>
      <c r="B839" s="1" t="n">
        <v>44874</v>
      </c>
      <c r="C839" s="1" t="n">
        <v>45359</v>
      </c>
      <c r="D839" t="inlineStr">
        <is>
          <t>JÄMTLANDS LÄN</t>
        </is>
      </c>
      <c r="E839" t="inlineStr">
        <is>
          <t>RAGUNDA</t>
        </is>
      </c>
      <c r="F839" t="inlineStr">
        <is>
          <t>SCA</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53287-2022</t>
        </is>
      </c>
      <c r="B840" s="1" t="n">
        <v>44876</v>
      </c>
      <c r="C840" s="1" t="n">
        <v>45359</v>
      </c>
      <c r="D840" t="inlineStr">
        <is>
          <t>JÄMTLANDS LÄN</t>
        </is>
      </c>
      <c r="E840" t="inlineStr">
        <is>
          <t>RAGUNDA</t>
        </is>
      </c>
      <c r="F840" t="inlineStr">
        <is>
          <t>SCA</t>
        </is>
      </c>
      <c r="G840" t="n">
        <v>6.2</v>
      </c>
      <c r="H840" t="n">
        <v>0</v>
      </c>
      <c r="I840" t="n">
        <v>0</v>
      </c>
      <c r="J840" t="n">
        <v>0</v>
      </c>
      <c r="K840" t="n">
        <v>0</v>
      </c>
      <c r="L840" t="n">
        <v>0</v>
      </c>
      <c r="M840" t="n">
        <v>0</v>
      </c>
      <c r="N840" t="n">
        <v>0</v>
      </c>
      <c r="O840" t="n">
        <v>0</v>
      </c>
      <c r="P840" t="n">
        <v>0</v>
      </c>
      <c r="Q840" t="n">
        <v>0</v>
      </c>
      <c r="R840" s="2" t="inlineStr"/>
    </row>
    <row r="841" ht="15" customHeight="1">
      <c r="A841" t="inlineStr">
        <is>
          <t>A 53288-2022</t>
        </is>
      </c>
      <c r="B841" s="1" t="n">
        <v>44876</v>
      </c>
      <c r="C841" s="1" t="n">
        <v>45359</v>
      </c>
      <c r="D841" t="inlineStr">
        <is>
          <t>JÄMTLANDS LÄN</t>
        </is>
      </c>
      <c r="E841" t="inlineStr">
        <is>
          <t>RAGUNDA</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53676-2022</t>
        </is>
      </c>
      <c r="B842" s="1" t="n">
        <v>44879</v>
      </c>
      <c r="C842" s="1" t="n">
        <v>45359</v>
      </c>
      <c r="D842" t="inlineStr">
        <is>
          <t>JÄMTLANDS LÄN</t>
        </is>
      </c>
      <c r="E842" t="inlineStr">
        <is>
          <t>RAGUNDA</t>
        </is>
      </c>
      <c r="F842" t="inlineStr">
        <is>
          <t>Sveaskog</t>
        </is>
      </c>
      <c r="G842" t="n">
        <v>2.5</v>
      </c>
      <c r="H842" t="n">
        <v>0</v>
      </c>
      <c r="I842" t="n">
        <v>0</v>
      </c>
      <c r="J842" t="n">
        <v>0</v>
      </c>
      <c r="K842" t="n">
        <v>0</v>
      </c>
      <c r="L842" t="n">
        <v>0</v>
      </c>
      <c r="M842" t="n">
        <v>0</v>
      </c>
      <c r="N842" t="n">
        <v>0</v>
      </c>
      <c r="O842" t="n">
        <v>0</v>
      </c>
      <c r="P842" t="n">
        <v>0</v>
      </c>
      <c r="Q842" t="n">
        <v>0</v>
      </c>
      <c r="R842" s="2" t="inlineStr"/>
    </row>
    <row r="843" ht="15" customHeight="1">
      <c r="A843" t="inlineStr">
        <is>
          <t>A 53678-2022</t>
        </is>
      </c>
      <c r="B843" s="1" t="n">
        <v>44879</v>
      </c>
      <c r="C843" s="1" t="n">
        <v>45359</v>
      </c>
      <c r="D843" t="inlineStr">
        <is>
          <t>JÄMTLANDS LÄN</t>
        </is>
      </c>
      <c r="E843" t="inlineStr">
        <is>
          <t>RAGUNDA</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53677-2022</t>
        </is>
      </c>
      <c r="B844" s="1" t="n">
        <v>44879</v>
      </c>
      <c r="C844" s="1" t="n">
        <v>45359</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53674-2022</t>
        </is>
      </c>
      <c r="B845" s="1" t="n">
        <v>44879</v>
      </c>
      <c r="C845" s="1" t="n">
        <v>45359</v>
      </c>
      <c r="D845" t="inlineStr">
        <is>
          <t>JÄMTLANDS LÄN</t>
        </is>
      </c>
      <c r="E845" t="inlineStr">
        <is>
          <t>RAGUNDA</t>
        </is>
      </c>
      <c r="F845" t="inlineStr">
        <is>
          <t>Sveaskog</t>
        </is>
      </c>
      <c r="G845" t="n">
        <v>4.2</v>
      </c>
      <c r="H845" t="n">
        <v>0</v>
      </c>
      <c r="I845" t="n">
        <v>0</v>
      </c>
      <c r="J845" t="n">
        <v>0</v>
      </c>
      <c r="K845" t="n">
        <v>0</v>
      </c>
      <c r="L845" t="n">
        <v>0</v>
      </c>
      <c r="M845" t="n">
        <v>0</v>
      </c>
      <c r="N845" t="n">
        <v>0</v>
      </c>
      <c r="O845" t="n">
        <v>0</v>
      </c>
      <c r="P845" t="n">
        <v>0</v>
      </c>
      <c r="Q845" t="n">
        <v>0</v>
      </c>
      <c r="R845" s="2" t="inlineStr"/>
    </row>
    <row r="846" ht="15" customHeight="1">
      <c r="A846" t="inlineStr">
        <is>
          <t>A 53935-2022</t>
        </is>
      </c>
      <c r="B846" s="1" t="n">
        <v>44880</v>
      </c>
      <c r="C846" s="1" t="n">
        <v>45359</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53954-2022</t>
        </is>
      </c>
      <c r="B847" s="1" t="n">
        <v>44880</v>
      </c>
      <c r="C847" s="1" t="n">
        <v>45359</v>
      </c>
      <c r="D847" t="inlineStr">
        <is>
          <t>JÄMTLANDS LÄN</t>
        </is>
      </c>
      <c r="E847" t="inlineStr">
        <is>
          <t>RAGUNDA</t>
        </is>
      </c>
      <c r="F847" t="inlineStr">
        <is>
          <t>SCA</t>
        </is>
      </c>
      <c r="G847" t="n">
        <v>9.6</v>
      </c>
      <c r="H847" t="n">
        <v>0</v>
      </c>
      <c r="I847" t="n">
        <v>0</v>
      </c>
      <c r="J847" t="n">
        <v>0</v>
      </c>
      <c r="K847" t="n">
        <v>0</v>
      </c>
      <c r="L847" t="n">
        <v>0</v>
      </c>
      <c r="M847" t="n">
        <v>0</v>
      </c>
      <c r="N847" t="n">
        <v>0</v>
      </c>
      <c r="O847" t="n">
        <v>0</v>
      </c>
      <c r="P847" t="n">
        <v>0</v>
      </c>
      <c r="Q847" t="n">
        <v>0</v>
      </c>
      <c r="R847" s="2" t="inlineStr"/>
    </row>
    <row r="848" ht="15" customHeight="1">
      <c r="A848" t="inlineStr">
        <is>
          <t>A 53951-2022</t>
        </is>
      </c>
      <c r="B848" s="1" t="n">
        <v>44880</v>
      </c>
      <c r="C848" s="1" t="n">
        <v>45359</v>
      </c>
      <c r="D848" t="inlineStr">
        <is>
          <t>JÄMTLANDS LÄN</t>
        </is>
      </c>
      <c r="E848" t="inlineStr">
        <is>
          <t>RAGUNDA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53952-2022</t>
        </is>
      </c>
      <c r="B849" s="1" t="n">
        <v>44880</v>
      </c>
      <c r="C849" s="1" t="n">
        <v>45359</v>
      </c>
      <c r="D849" t="inlineStr">
        <is>
          <t>JÄMTLANDS LÄN</t>
        </is>
      </c>
      <c r="E849" t="inlineStr">
        <is>
          <t>RAGUNDA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53958-2022</t>
        </is>
      </c>
      <c r="B850" s="1" t="n">
        <v>44880</v>
      </c>
      <c r="C850" s="1" t="n">
        <v>45359</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53937-2022</t>
        </is>
      </c>
      <c r="B851" s="1" t="n">
        <v>44880</v>
      </c>
      <c r="C851" s="1" t="n">
        <v>45359</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53955-2022</t>
        </is>
      </c>
      <c r="B852" s="1" t="n">
        <v>44880</v>
      </c>
      <c r="C852" s="1" t="n">
        <v>45359</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54244-2022</t>
        </is>
      </c>
      <c r="B853" s="1" t="n">
        <v>44881</v>
      </c>
      <c r="C853" s="1" t="n">
        <v>45359</v>
      </c>
      <c r="D853" t="inlineStr">
        <is>
          <t>JÄMTLANDS LÄN</t>
        </is>
      </c>
      <c r="E853" t="inlineStr">
        <is>
          <t>RAGUNDA</t>
        </is>
      </c>
      <c r="G853" t="n">
        <v>2.8</v>
      </c>
      <c r="H853" t="n">
        <v>0</v>
      </c>
      <c r="I853" t="n">
        <v>0</v>
      </c>
      <c r="J853" t="n">
        <v>0</v>
      </c>
      <c r="K853" t="n">
        <v>0</v>
      </c>
      <c r="L853" t="n">
        <v>0</v>
      </c>
      <c r="M853" t="n">
        <v>0</v>
      </c>
      <c r="N853" t="n">
        <v>0</v>
      </c>
      <c r="O853" t="n">
        <v>0</v>
      </c>
      <c r="P853" t="n">
        <v>0</v>
      </c>
      <c r="Q853" t="n">
        <v>0</v>
      </c>
      <c r="R853" s="2" t="inlineStr"/>
    </row>
    <row r="854" ht="15" customHeight="1">
      <c r="A854" t="inlineStr">
        <is>
          <t>A 54570-2022</t>
        </is>
      </c>
      <c r="B854" s="1" t="n">
        <v>44882</v>
      </c>
      <c r="C854" s="1" t="n">
        <v>45359</v>
      </c>
      <c r="D854" t="inlineStr">
        <is>
          <t>JÄMTLANDS LÄN</t>
        </is>
      </c>
      <c r="E854" t="inlineStr">
        <is>
          <t>RAGUNDA</t>
        </is>
      </c>
      <c r="G854" t="n">
        <v>2.3</v>
      </c>
      <c r="H854" t="n">
        <v>0</v>
      </c>
      <c r="I854" t="n">
        <v>0</v>
      </c>
      <c r="J854" t="n">
        <v>0</v>
      </c>
      <c r="K854" t="n">
        <v>0</v>
      </c>
      <c r="L854" t="n">
        <v>0</v>
      </c>
      <c r="M854" t="n">
        <v>0</v>
      </c>
      <c r="N854" t="n">
        <v>0</v>
      </c>
      <c r="O854" t="n">
        <v>0</v>
      </c>
      <c r="P854" t="n">
        <v>0</v>
      </c>
      <c r="Q854" t="n">
        <v>0</v>
      </c>
      <c r="R854" s="2" t="inlineStr"/>
    </row>
    <row r="855" ht="15" customHeight="1">
      <c r="A855" t="inlineStr">
        <is>
          <t>A 54572-2022</t>
        </is>
      </c>
      <c r="B855" s="1" t="n">
        <v>44882</v>
      </c>
      <c r="C855" s="1" t="n">
        <v>45359</v>
      </c>
      <c r="D855" t="inlineStr">
        <is>
          <t>JÄMTLANDS LÄN</t>
        </is>
      </c>
      <c r="E855" t="inlineStr">
        <is>
          <t>RAGUNDA</t>
        </is>
      </c>
      <c r="G855" t="n">
        <v>10.1</v>
      </c>
      <c r="H855" t="n">
        <v>0</v>
      </c>
      <c r="I855" t="n">
        <v>0</v>
      </c>
      <c r="J855" t="n">
        <v>0</v>
      </c>
      <c r="K855" t="n">
        <v>0</v>
      </c>
      <c r="L855" t="n">
        <v>0</v>
      </c>
      <c r="M855" t="n">
        <v>0</v>
      </c>
      <c r="N855" t="n">
        <v>0</v>
      </c>
      <c r="O855" t="n">
        <v>0</v>
      </c>
      <c r="P855" t="n">
        <v>0</v>
      </c>
      <c r="Q855" t="n">
        <v>0</v>
      </c>
      <c r="R855" s="2" t="inlineStr"/>
    </row>
    <row r="856" ht="15" customHeight="1">
      <c r="A856" t="inlineStr">
        <is>
          <t>A 54836-2022</t>
        </is>
      </c>
      <c r="B856" s="1" t="n">
        <v>44883</v>
      </c>
      <c r="C856" s="1" t="n">
        <v>45359</v>
      </c>
      <c r="D856" t="inlineStr">
        <is>
          <t>JÄMTLANDS LÄN</t>
        </is>
      </c>
      <c r="E856" t="inlineStr">
        <is>
          <t>RAGUNDA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54835-2022</t>
        </is>
      </c>
      <c r="B857" s="1" t="n">
        <v>44883</v>
      </c>
      <c r="C857" s="1" t="n">
        <v>45359</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54830-2022</t>
        </is>
      </c>
      <c r="B858" s="1" t="n">
        <v>44883</v>
      </c>
      <c r="C858" s="1" t="n">
        <v>45359</v>
      </c>
      <c r="D858" t="inlineStr">
        <is>
          <t>JÄMTLANDS LÄN</t>
        </is>
      </c>
      <c r="E858" t="inlineStr">
        <is>
          <t>RAGUNDA</t>
        </is>
      </c>
      <c r="F858" t="inlineStr">
        <is>
          <t>Sveaskog</t>
        </is>
      </c>
      <c r="G858" t="n">
        <v>7</v>
      </c>
      <c r="H858" t="n">
        <v>0</v>
      </c>
      <c r="I858" t="n">
        <v>0</v>
      </c>
      <c r="J858" t="n">
        <v>0</v>
      </c>
      <c r="K858" t="n">
        <v>0</v>
      </c>
      <c r="L858" t="n">
        <v>0</v>
      </c>
      <c r="M858" t="n">
        <v>0</v>
      </c>
      <c r="N858" t="n">
        <v>0</v>
      </c>
      <c r="O858" t="n">
        <v>0</v>
      </c>
      <c r="P858" t="n">
        <v>0</v>
      </c>
      <c r="Q858" t="n">
        <v>0</v>
      </c>
      <c r="R858" s="2" t="inlineStr"/>
    </row>
    <row r="859" ht="15" customHeight="1">
      <c r="A859" t="inlineStr">
        <is>
          <t>A 54837-2022</t>
        </is>
      </c>
      <c r="B859" s="1" t="n">
        <v>44883</v>
      </c>
      <c r="C859" s="1" t="n">
        <v>45359</v>
      </c>
      <c r="D859" t="inlineStr">
        <is>
          <t>JÄMTLANDS LÄN</t>
        </is>
      </c>
      <c r="E859" t="inlineStr">
        <is>
          <t>RAGUNDA</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54827-2022</t>
        </is>
      </c>
      <c r="B860" s="1" t="n">
        <v>44883</v>
      </c>
      <c r="C860" s="1" t="n">
        <v>45359</v>
      </c>
      <c r="D860" t="inlineStr">
        <is>
          <t>JÄMTLANDS LÄN</t>
        </is>
      </c>
      <c r="E860" t="inlineStr">
        <is>
          <t>RAGUNDA</t>
        </is>
      </c>
      <c r="F860" t="inlineStr">
        <is>
          <t>SCA</t>
        </is>
      </c>
      <c r="G860" t="n">
        <v>10.6</v>
      </c>
      <c r="H860" t="n">
        <v>0</v>
      </c>
      <c r="I860" t="n">
        <v>0</v>
      </c>
      <c r="J860" t="n">
        <v>0</v>
      </c>
      <c r="K860" t="n">
        <v>0</v>
      </c>
      <c r="L860" t="n">
        <v>0</v>
      </c>
      <c r="M860" t="n">
        <v>0</v>
      </c>
      <c r="N860" t="n">
        <v>0</v>
      </c>
      <c r="O860" t="n">
        <v>0</v>
      </c>
      <c r="P860" t="n">
        <v>0</v>
      </c>
      <c r="Q860" t="n">
        <v>0</v>
      </c>
      <c r="R860" s="2" t="inlineStr"/>
    </row>
    <row r="861" ht="15" customHeight="1">
      <c r="A861" t="inlineStr">
        <is>
          <t>A 55214-2022</t>
        </is>
      </c>
      <c r="B861" s="1" t="n">
        <v>44886</v>
      </c>
      <c r="C861" s="1" t="n">
        <v>45359</v>
      </c>
      <c r="D861" t="inlineStr">
        <is>
          <t>JÄMTLANDS LÄN</t>
        </is>
      </c>
      <c r="E861" t="inlineStr">
        <is>
          <t>RAGUNDA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55904-2022</t>
        </is>
      </c>
      <c r="B862" s="1" t="n">
        <v>44888</v>
      </c>
      <c r="C862" s="1" t="n">
        <v>45359</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56191-2022</t>
        </is>
      </c>
      <c r="B863" s="1" t="n">
        <v>44889</v>
      </c>
      <c r="C863" s="1" t="n">
        <v>45359</v>
      </c>
      <c r="D863" t="inlineStr">
        <is>
          <t>JÄMTLANDS LÄN</t>
        </is>
      </c>
      <c r="E863" t="inlineStr">
        <is>
          <t>RAGUNDA</t>
        </is>
      </c>
      <c r="F863" t="inlineStr">
        <is>
          <t>Sveaskog</t>
        </is>
      </c>
      <c r="G863" t="n">
        <v>3</v>
      </c>
      <c r="H863" t="n">
        <v>0</v>
      </c>
      <c r="I863" t="n">
        <v>0</v>
      </c>
      <c r="J863" t="n">
        <v>0</v>
      </c>
      <c r="K863" t="n">
        <v>0</v>
      </c>
      <c r="L863" t="n">
        <v>0</v>
      </c>
      <c r="M863" t="n">
        <v>0</v>
      </c>
      <c r="N863" t="n">
        <v>0</v>
      </c>
      <c r="O863" t="n">
        <v>0</v>
      </c>
      <c r="P863" t="n">
        <v>0</v>
      </c>
      <c r="Q863" t="n">
        <v>0</v>
      </c>
      <c r="R863" s="2" t="inlineStr"/>
    </row>
    <row r="864" ht="15" customHeight="1">
      <c r="A864" t="inlineStr">
        <is>
          <t>A 56186-2022</t>
        </is>
      </c>
      <c r="B864" s="1" t="n">
        <v>44889</v>
      </c>
      <c r="C864" s="1" t="n">
        <v>45359</v>
      </c>
      <c r="D864" t="inlineStr">
        <is>
          <t>JÄMTLANDS LÄN</t>
        </is>
      </c>
      <c r="E864" t="inlineStr">
        <is>
          <t>RAGUNDA</t>
        </is>
      </c>
      <c r="F864" t="inlineStr">
        <is>
          <t>Sveaskog</t>
        </is>
      </c>
      <c r="G864" t="n">
        <v>6</v>
      </c>
      <c r="H864" t="n">
        <v>0</v>
      </c>
      <c r="I864" t="n">
        <v>0</v>
      </c>
      <c r="J864" t="n">
        <v>0</v>
      </c>
      <c r="K864" t="n">
        <v>0</v>
      </c>
      <c r="L864" t="n">
        <v>0</v>
      </c>
      <c r="M864" t="n">
        <v>0</v>
      </c>
      <c r="N864" t="n">
        <v>0</v>
      </c>
      <c r="O864" t="n">
        <v>0</v>
      </c>
      <c r="P864" t="n">
        <v>0</v>
      </c>
      <c r="Q864" t="n">
        <v>0</v>
      </c>
      <c r="R864" s="2" t="inlineStr"/>
    </row>
    <row r="865" ht="15" customHeight="1">
      <c r="A865" t="inlineStr">
        <is>
          <t>A 56192-2022</t>
        </is>
      </c>
      <c r="B865" s="1" t="n">
        <v>44889</v>
      </c>
      <c r="C865" s="1" t="n">
        <v>45359</v>
      </c>
      <c r="D865" t="inlineStr">
        <is>
          <t>JÄMTLANDS LÄN</t>
        </is>
      </c>
      <c r="E865" t="inlineStr">
        <is>
          <t>RAGUNDA</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56193-2022</t>
        </is>
      </c>
      <c r="B866" s="1" t="n">
        <v>44889</v>
      </c>
      <c r="C866" s="1" t="n">
        <v>45359</v>
      </c>
      <c r="D866" t="inlineStr">
        <is>
          <t>JÄMTLANDS LÄN</t>
        </is>
      </c>
      <c r="E866" t="inlineStr">
        <is>
          <t>RAGUNDA</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57237-2022</t>
        </is>
      </c>
      <c r="B867" s="1" t="n">
        <v>44889</v>
      </c>
      <c r="C867" s="1" t="n">
        <v>45359</v>
      </c>
      <c r="D867" t="inlineStr">
        <is>
          <t>JÄMTLANDS LÄN</t>
        </is>
      </c>
      <c r="E867" t="inlineStr">
        <is>
          <t>RAGUNDA</t>
        </is>
      </c>
      <c r="G867" t="n">
        <v>2.2</v>
      </c>
      <c r="H867" t="n">
        <v>0</v>
      </c>
      <c r="I867" t="n">
        <v>0</v>
      </c>
      <c r="J867" t="n">
        <v>0</v>
      </c>
      <c r="K867" t="n">
        <v>0</v>
      </c>
      <c r="L867" t="n">
        <v>0</v>
      </c>
      <c r="M867" t="n">
        <v>0</v>
      </c>
      <c r="N867" t="n">
        <v>0</v>
      </c>
      <c r="O867" t="n">
        <v>0</v>
      </c>
      <c r="P867" t="n">
        <v>0</v>
      </c>
      <c r="Q867" t="n">
        <v>0</v>
      </c>
      <c r="R867" s="2" t="inlineStr"/>
    </row>
    <row r="868" ht="15" customHeight="1">
      <c r="A868" t="inlineStr">
        <is>
          <t>A 56630-2022</t>
        </is>
      </c>
      <c r="B868" s="1" t="n">
        <v>44893</v>
      </c>
      <c r="C868" s="1" t="n">
        <v>45359</v>
      </c>
      <c r="D868" t="inlineStr">
        <is>
          <t>JÄMTLANDS LÄN</t>
        </is>
      </c>
      <c r="E868" t="inlineStr">
        <is>
          <t>RAGUNDA</t>
        </is>
      </c>
      <c r="G868" t="n">
        <v>1.9</v>
      </c>
      <c r="H868" t="n">
        <v>0</v>
      </c>
      <c r="I868" t="n">
        <v>0</v>
      </c>
      <c r="J868" t="n">
        <v>0</v>
      </c>
      <c r="K868" t="n">
        <v>0</v>
      </c>
      <c r="L868" t="n">
        <v>0</v>
      </c>
      <c r="M868" t="n">
        <v>0</v>
      </c>
      <c r="N868" t="n">
        <v>0</v>
      </c>
      <c r="O868" t="n">
        <v>0</v>
      </c>
      <c r="P868" t="n">
        <v>0</v>
      </c>
      <c r="Q868" t="n">
        <v>0</v>
      </c>
      <c r="R868" s="2" t="inlineStr"/>
    </row>
    <row r="869" ht="15" customHeight="1">
      <c r="A869" t="inlineStr">
        <is>
          <t>A 56984-2022</t>
        </is>
      </c>
      <c r="B869" s="1" t="n">
        <v>44894</v>
      </c>
      <c r="C869" s="1" t="n">
        <v>45359</v>
      </c>
      <c r="D869" t="inlineStr">
        <is>
          <t>JÄMTLANDS LÄN</t>
        </is>
      </c>
      <c r="E869" t="inlineStr">
        <is>
          <t>RAGUNDA</t>
        </is>
      </c>
      <c r="G869" t="n">
        <v>1.4</v>
      </c>
      <c r="H869" t="n">
        <v>0</v>
      </c>
      <c r="I869" t="n">
        <v>0</v>
      </c>
      <c r="J869" t="n">
        <v>0</v>
      </c>
      <c r="K869" t="n">
        <v>0</v>
      </c>
      <c r="L869" t="n">
        <v>0</v>
      </c>
      <c r="M869" t="n">
        <v>0</v>
      </c>
      <c r="N869" t="n">
        <v>0</v>
      </c>
      <c r="O869" t="n">
        <v>0</v>
      </c>
      <c r="P869" t="n">
        <v>0</v>
      </c>
      <c r="Q869" t="n">
        <v>0</v>
      </c>
      <c r="R869" s="2" t="inlineStr"/>
    </row>
    <row r="870" ht="15" customHeight="1">
      <c r="A870" t="inlineStr">
        <is>
          <t>A 58537-2022</t>
        </is>
      </c>
      <c r="B870" s="1" t="n">
        <v>44894</v>
      </c>
      <c r="C870" s="1" t="n">
        <v>45359</v>
      </c>
      <c r="D870" t="inlineStr">
        <is>
          <t>JÄMTLANDS LÄN</t>
        </is>
      </c>
      <c r="E870" t="inlineStr">
        <is>
          <t>RAGUNDA</t>
        </is>
      </c>
      <c r="G870" t="n">
        <v>1.2</v>
      </c>
      <c r="H870" t="n">
        <v>0</v>
      </c>
      <c r="I870" t="n">
        <v>0</v>
      </c>
      <c r="J870" t="n">
        <v>0</v>
      </c>
      <c r="K870" t="n">
        <v>0</v>
      </c>
      <c r="L870" t="n">
        <v>0</v>
      </c>
      <c r="M870" t="n">
        <v>0</v>
      </c>
      <c r="N870" t="n">
        <v>0</v>
      </c>
      <c r="O870" t="n">
        <v>0</v>
      </c>
      <c r="P870" t="n">
        <v>0</v>
      </c>
      <c r="Q870" t="n">
        <v>0</v>
      </c>
      <c r="R870" s="2" t="inlineStr"/>
    </row>
    <row r="871" ht="15" customHeight="1">
      <c r="A871" t="inlineStr">
        <is>
          <t>A 57298-2022</t>
        </is>
      </c>
      <c r="B871" s="1" t="n">
        <v>44895</v>
      </c>
      <c r="C871" s="1" t="n">
        <v>45359</v>
      </c>
      <c r="D871" t="inlineStr">
        <is>
          <t>JÄMTLANDS LÄN</t>
        </is>
      </c>
      <c r="E871" t="inlineStr">
        <is>
          <t>RAGUNDA</t>
        </is>
      </c>
      <c r="F871" t="inlineStr">
        <is>
          <t>SCA</t>
        </is>
      </c>
      <c r="G871" t="n">
        <v>27.4</v>
      </c>
      <c r="H871" t="n">
        <v>0</v>
      </c>
      <c r="I871" t="n">
        <v>0</v>
      </c>
      <c r="J871" t="n">
        <v>0</v>
      </c>
      <c r="K871" t="n">
        <v>0</v>
      </c>
      <c r="L871" t="n">
        <v>0</v>
      </c>
      <c r="M871" t="n">
        <v>0</v>
      </c>
      <c r="N871" t="n">
        <v>0</v>
      </c>
      <c r="O871" t="n">
        <v>0</v>
      </c>
      <c r="P871" t="n">
        <v>0</v>
      </c>
      <c r="Q871" t="n">
        <v>0</v>
      </c>
      <c r="R871" s="2" t="inlineStr"/>
    </row>
    <row r="872" ht="15" customHeight="1">
      <c r="A872" t="inlineStr">
        <is>
          <t>A 59242-2022</t>
        </is>
      </c>
      <c r="B872" s="1" t="n">
        <v>44896</v>
      </c>
      <c r="C872" s="1" t="n">
        <v>45359</v>
      </c>
      <c r="D872" t="inlineStr">
        <is>
          <t>JÄMTLANDS LÄN</t>
        </is>
      </c>
      <c r="E872" t="inlineStr">
        <is>
          <t>RAGUNDA</t>
        </is>
      </c>
      <c r="G872" t="n">
        <v>4</v>
      </c>
      <c r="H872" t="n">
        <v>0</v>
      </c>
      <c r="I872" t="n">
        <v>0</v>
      </c>
      <c r="J872" t="n">
        <v>0</v>
      </c>
      <c r="K872" t="n">
        <v>0</v>
      </c>
      <c r="L872" t="n">
        <v>0</v>
      </c>
      <c r="M872" t="n">
        <v>0</v>
      </c>
      <c r="N872" t="n">
        <v>0</v>
      </c>
      <c r="O872" t="n">
        <v>0</v>
      </c>
      <c r="P872" t="n">
        <v>0</v>
      </c>
      <c r="Q872" t="n">
        <v>0</v>
      </c>
      <c r="R872" s="2" t="inlineStr"/>
    </row>
    <row r="873" ht="15" customHeight="1">
      <c r="A873" t="inlineStr">
        <is>
          <t>A 57599-2022</t>
        </is>
      </c>
      <c r="B873" s="1" t="n">
        <v>44897</v>
      </c>
      <c r="C873" s="1" t="n">
        <v>45359</v>
      </c>
      <c r="D873" t="inlineStr">
        <is>
          <t>JÄMTLANDS LÄN</t>
        </is>
      </c>
      <c r="E873" t="inlineStr">
        <is>
          <t>RAGUNDA</t>
        </is>
      </c>
      <c r="F873" t="inlineStr">
        <is>
          <t>SCA</t>
        </is>
      </c>
      <c r="G873" t="n">
        <v>16.8</v>
      </c>
      <c r="H873" t="n">
        <v>0</v>
      </c>
      <c r="I873" t="n">
        <v>0</v>
      </c>
      <c r="J873" t="n">
        <v>0</v>
      </c>
      <c r="K873" t="n">
        <v>0</v>
      </c>
      <c r="L873" t="n">
        <v>0</v>
      </c>
      <c r="M873" t="n">
        <v>0</v>
      </c>
      <c r="N873" t="n">
        <v>0</v>
      </c>
      <c r="O873" t="n">
        <v>0</v>
      </c>
      <c r="P873" t="n">
        <v>0</v>
      </c>
      <c r="Q873" t="n">
        <v>0</v>
      </c>
      <c r="R873" s="2" t="inlineStr"/>
    </row>
    <row r="874" ht="15" customHeight="1">
      <c r="A874" t="inlineStr">
        <is>
          <t>A 57839-2022</t>
        </is>
      </c>
      <c r="B874" s="1" t="n">
        <v>44897</v>
      </c>
      <c r="C874" s="1" t="n">
        <v>45359</v>
      </c>
      <c r="D874" t="inlineStr">
        <is>
          <t>JÄMTLANDS LÄN</t>
        </is>
      </c>
      <c r="E874" t="inlineStr">
        <is>
          <t>RAGUNDA</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58194-2022</t>
        </is>
      </c>
      <c r="B875" s="1" t="n">
        <v>44900</v>
      </c>
      <c r="C875" s="1" t="n">
        <v>45359</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58193-2022</t>
        </is>
      </c>
      <c r="B876" s="1" t="n">
        <v>44900</v>
      </c>
      <c r="C876" s="1" t="n">
        <v>45359</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58442-2022</t>
        </is>
      </c>
      <c r="B877" s="1" t="n">
        <v>44901</v>
      </c>
      <c r="C877" s="1" t="n">
        <v>45359</v>
      </c>
      <c r="D877" t="inlineStr">
        <is>
          <t>JÄMTLANDS LÄN</t>
        </is>
      </c>
      <c r="E877" t="inlineStr">
        <is>
          <t>RAGUNDA</t>
        </is>
      </c>
      <c r="F877" t="inlineStr">
        <is>
          <t>SCA</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58438-2022</t>
        </is>
      </c>
      <c r="B878" s="1" t="n">
        <v>44901</v>
      </c>
      <c r="C878" s="1" t="n">
        <v>45359</v>
      </c>
      <c r="D878" t="inlineStr">
        <is>
          <t>JÄMTLANDS LÄN</t>
        </is>
      </c>
      <c r="E878" t="inlineStr">
        <is>
          <t>RAGUNDA</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58443-2022</t>
        </is>
      </c>
      <c r="B879" s="1" t="n">
        <v>44901</v>
      </c>
      <c r="C879" s="1" t="n">
        <v>45359</v>
      </c>
      <c r="D879" t="inlineStr">
        <is>
          <t>JÄMTLANDS LÄN</t>
        </is>
      </c>
      <c r="E879" t="inlineStr">
        <is>
          <t>RAGUNDA</t>
        </is>
      </c>
      <c r="F879" t="inlineStr">
        <is>
          <t>SCA</t>
        </is>
      </c>
      <c r="G879" t="n">
        <v>4.4</v>
      </c>
      <c r="H879" t="n">
        <v>0</v>
      </c>
      <c r="I879" t="n">
        <v>0</v>
      </c>
      <c r="J879" t="n">
        <v>0</v>
      </c>
      <c r="K879" t="n">
        <v>0</v>
      </c>
      <c r="L879" t="n">
        <v>0</v>
      </c>
      <c r="M879" t="n">
        <v>0</v>
      </c>
      <c r="N879" t="n">
        <v>0</v>
      </c>
      <c r="O879" t="n">
        <v>0</v>
      </c>
      <c r="P879" t="n">
        <v>0</v>
      </c>
      <c r="Q879" t="n">
        <v>0</v>
      </c>
      <c r="R879" s="2" t="inlineStr"/>
    </row>
    <row r="880" ht="15" customHeight="1">
      <c r="A880" t="inlineStr">
        <is>
          <t>A 60225-2022</t>
        </is>
      </c>
      <c r="B880" s="1" t="n">
        <v>44903</v>
      </c>
      <c r="C880" s="1" t="n">
        <v>45359</v>
      </c>
      <c r="D880" t="inlineStr">
        <is>
          <t>JÄMTLANDS LÄN</t>
        </is>
      </c>
      <c r="E880" t="inlineStr">
        <is>
          <t>RAGUNDA</t>
        </is>
      </c>
      <c r="G880" t="n">
        <v>1</v>
      </c>
      <c r="H880" t="n">
        <v>0</v>
      </c>
      <c r="I880" t="n">
        <v>0</v>
      </c>
      <c r="J880" t="n">
        <v>0</v>
      </c>
      <c r="K880" t="n">
        <v>0</v>
      </c>
      <c r="L880" t="n">
        <v>0</v>
      </c>
      <c r="M880" t="n">
        <v>0</v>
      </c>
      <c r="N880" t="n">
        <v>0</v>
      </c>
      <c r="O880" t="n">
        <v>0</v>
      </c>
      <c r="P880" t="n">
        <v>0</v>
      </c>
      <c r="Q880" t="n">
        <v>0</v>
      </c>
      <c r="R880" s="2" t="inlineStr"/>
    </row>
    <row r="881" ht="15" customHeight="1">
      <c r="A881" t="inlineStr">
        <is>
          <t>A 59044-2022</t>
        </is>
      </c>
      <c r="B881" s="1" t="n">
        <v>44903</v>
      </c>
      <c r="C881" s="1" t="n">
        <v>45359</v>
      </c>
      <c r="D881" t="inlineStr">
        <is>
          <t>JÄMTLANDS LÄN</t>
        </is>
      </c>
      <c r="E881" t="inlineStr">
        <is>
          <t>RAGUNDA</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59368-2022</t>
        </is>
      </c>
      <c r="B882" s="1" t="n">
        <v>44904</v>
      </c>
      <c r="C882" s="1" t="n">
        <v>45359</v>
      </c>
      <c r="D882" t="inlineStr">
        <is>
          <t>JÄMTLANDS LÄN</t>
        </is>
      </c>
      <c r="E882" t="inlineStr">
        <is>
          <t>RAGUNDA</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59911-2022</t>
        </is>
      </c>
      <c r="B883" s="1" t="n">
        <v>44909</v>
      </c>
      <c r="C883" s="1" t="n">
        <v>45359</v>
      </c>
      <c r="D883" t="inlineStr">
        <is>
          <t>JÄMTLANDS LÄN</t>
        </is>
      </c>
      <c r="E883" t="inlineStr">
        <is>
          <t>RAGUNDA</t>
        </is>
      </c>
      <c r="F883" t="inlineStr">
        <is>
          <t>SCA</t>
        </is>
      </c>
      <c r="G883" t="n">
        <v>17.1</v>
      </c>
      <c r="H883" t="n">
        <v>0</v>
      </c>
      <c r="I883" t="n">
        <v>0</v>
      </c>
      <c r="J883" t="n">
        <v>0</v>
      </c>
      <c r="K883" t="n">
        <v>0</v>
      </c>
      <c r="L883" t="n">
        <v>0</v>
      </c>
      <c r="M883" t="n">
        <v>0</v>
      </c>
      <c r="N883" t="n">
        <v>0</v>
      </c>
      <c r="O883" t="n">
        <v>0</v>
      </c>
      <c r="P883" t="n">
        <v>0</v>
      </c>
      <c r="Q883" t="n">
        <v>0</v>
      </c>
      <c r="R883" s="2" t="inlineStr"/>
    </row>
    <row r="884" ht="15" customHeight="1">
      <c r="A884" t="inlineStr">
        <is>
          <t>A 60177-2022</t>
        </is>
      </c>
      <c r="B884" s="1" t="n">
        <v>44909</v>
      </c>
      <c r="C884" s="1" t="n">
        <v>45359</v>
      </c>
      <c r="D884" t="inlineStr">
        <is>
          <t>JÄMTLANDS LÄN</t>
        </is>
      </c>
      <c r="E884" t="inlineStr">
        <is>
          <t>RAGUNDA</t>
        </is>
      </c>
      <c r="F884" t="inlineStr">
        <is>
          <t>SCA</t>
        </is>
      </c>
      <c r="G884" t="n">
        <v>17.9</v>
      </c>
      <c r="H884" t="n">
        <v>0</v>
      </c>
      <c r="I884" t="n">
        <v>0</v>
      </c>
      <c r="J884" t="n">
        <v>0</v>
      </c>
      <c r="K884" t="n">
        <v>0</v>
      </c>
      <c r="L884" t="n">
        <v>0</v>
      </c>
      <c r="M884" t="n">
        <v>0</v>
      </c>
      <c r="N884" t="n">
        <v>0</v>
      </c>
      <c r="O884" t="n">
        <v>0</v>
      </c>
      <c r="P884" t="n">
        <v>0</v>
      </c>
      <c r="Q884" t="n">
        <v>0</v>
      </c>
      <c r="R884" s="2" t="inlineStr"/>
    </row>
    <row r="885" ht="15" customHeight="1">
      <c r="A885" t="inlineStr">
        <is>
          <t>A 60660-2022</t>
        </is>
      </c>
      <c r="B885" s="1" t="n">
        <v>44911</v>
      </c>
      <c r="C885" s="1" t="n">
        <v>45359</v>
      </c>
      <c r="D885" t="inlineStr">
        <is>
          <t>JÄMTLANDS LÄN</t>
        </is>
      </c>
      <c r="E885" t="inlineStr">
        <is>
          <t>RAGUNDA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60659-2022</t>
        </is>
      </c>
      <c r="B886" s="1" t="n">
        <v>44911</v>
      </c>
      <c r="C886" s="1" t="n">
        <v>45359</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60673-2022</t>
        </is>
      </c>
      <c r="B887" s="1" t="n">
        <v>44911</v>
      </c>
      <c r="C887" s="1" t="n">
        <v>45359</v>
      </c>
      <c r="D887" t="inlineStr">
        <is>
          <t>JÄMTLANDS LÄN</t>
        </is>
      </c>
      <c r="E887" t="inlineStr">
        <is>
          <t>RAGUNDA</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60663-2022</t>
        </is>
      </c>
      <c r="B888" s="1" t="n">
        <v>44911</v>
      </c>
      <c r="C888" s="1" t="n">
        <v>45359</v>
      </c>
      <c r="D888" t="inlineStr">
        <is>
          <t>JÄMTLANDS LÄN</t>
        </is>
      </c>
      <c r="E888" t="inlineStr">
        <is>
          <t>RAGUNDA</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60699-2022</t>
        </is>
      </c>
      <c r="B889" s="1" t="n">
        <v>44911</v>
      </c>
      <c r="C889" s="1" t="n">
        <v>45359</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60739-2022</t>
        </is>
      </c>
      <c r="B890" s="1" t="n">
        <v>44913</v>
      </c>
      <c r="C890" s="1" t="n">
        <v>45359</v>
      </c>
      <c r="D890" t="inlineStr">
        <is>
          <t>JÄMTLANDS LÄN</t>
        </is>
      </c>
      <c r="E890" t="inlineStr">
        <is>
          <t>RAGUNDA</t>
        </is>
      </c>
      <c r="F890" t="inlineStr">
        <is>
          <t>Naturvårdsverket</t>
        </is>
      </c>
      <c r="G890" t="n">
        <v>6.6</v>
      </c>
      <c r="H890" t="n">
        <v>0</v>
      </c>
      <c r="I890" t="n">
        <v>0</v>
      </c>
      <c r="J890" t="n">
        <v>0</v>
      </c>
      <c r="K890" t="n">
        <v>0</v>
      </c>
      <c r="L890" t="n">
        <v>0</v>
      </c>
      <c r="M890" t="n">
        <v>0</v>
      </c>
      <c r="N890" t="n">
        <v>0</v>
      </c>
      <c r="O890" t="n">
        <v>0</v>
      </c>
      <c r="P890" t="n">
        <v>0</v>
      </c>
      <c r="Q890" t="n">
        <v>0</v>
      </c>
      <c r="R890" s="2" t="inlineStr"/>
    </row>
    <row r="891" ht="15" customHeight="1">
      <c r="A891" t="inlineStr">
        <is>
          <t>A 62011-2022</t>
        </is>
      </c>
      <c r="B891" s="1" t="n">
        <v>44914</v>
      </c>
      <c r="C891" s="1" t="n">
        <v>45359</v>
      </c>
      <c r="D891" t="inlineStr">
        <is>
          <t>JÄMTLANDS LÄN</t>
        </is>
      </c>
      <c r="E891" t="inlineStr">
        <is>
          <t>RAGUNDA</t>
        </is>
      </c>
      <c r="G891" t="n">
        <v>0.3</v>
      </c>
      <c r="H891" t="n">
        <v>0</v>
      </c>
      <c r="I891" t="n">
        <v>0</v>
      </c>
      <c r="J891" t="n">
        <v>0</v>
      </c>
      <c r="K891" t="n">
        <v>0</v>
      </c>
      <c r="L891" t="n">
        <v>0</v>
      </c>
      <c r="M891" t="n">
        <v>0</v>
      </c>
      <c r="N891" t="n">
        <v>0</v>
      </c>
      <c r="O891" t="n">
        <v>0</v>
      </c>
      <c r="P891" t="n">
        <v>0</v>
      </c>
      <c r="Q891" t="n">
        <v>0</v>
      </c>
      <c r="R891" s="2" t="inlineStr"/>
    </row>
    <row r="892" ht="15" customHeight="1">
      <c r="A892" t="inlineStr">
        <is>
          <t>A 61045-2022</t>
        </is>
      </c>
      <c r="B892" s="1" t="n">
        <v>44914</v>
      </c>
      <c r="C892" s="1" t="n">
        <v>45359</v>
      </c>
      <c r="D892" t="inlineStr">
        <is>
          <t>JÄMTLANDS LÄN</t>
        </is>
      </c>
      <c r="E892" t="inlineStr">
        <is>
          <t>RAGUNDA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61080-2022</t>
        </is>
      </c>
      <c r="B893" s="1" t="n">
        <v>44915</v>
      </c>
      <c r="C893" s="1" t="n">
        <v>45359</v>
      </c>
      <c r="D893" t="inlineStr">
        <is>
          <t>JÄMTLANDS LÄN</t>
        </is>
      </c>
      <c r="E893" t="inlineStr">
        <is>
          <t>RAGUNDA</t>
        </is>
      </c>
      <c r="G893" t="n">
        <v>3.4</v>
      </c>
      <c r="H893" t="n">
        <v>0</v>
      </c>
      <c r="I893" t="n">
        <v>0</v>
      </c>
      <c r="J893" t="n">
        <v>0</v>
      </c>
      <c r="K893" t="n">
        <v>0</v>
      </c>
      <c r="L893" t="n">
        <v>0</v>
      </c>
      <c r="M893" t="n">
        <v>0</v>
      </c>
      <c r="N893" t="n">
        <v>0</v>
      </c>
      <c r="O893" t="n">
        <v>0</v>
      </c>
      <c r="P893" t="n">
        <v>0</v>
      </c>
      <c r="Q893" t="n">
        <v>0</v>
      </c>
      <c r="R893" s="2" t="inlineStr"/>
    </row>
    <row r="894" ht="15" customHeight="1">
      <c r="A894" t="inlineStr">
        <is>
          <t>A 61400-2022</t>
        </is>
      </c>
      <c r="B894" s="1" t="n">
        <v>44915</v>
      </c>
      <c r="C894" s="1" t="n">
        <v>45359</v>
      </c>
      <c r="D894" t="inlineStr">
        <is>
          <t>JÄMTLANDS LÄN</t>
        </is>
      </c>
      <c r="E894" t="inlineStr">
        <is>
          <t>RAGUNDA</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61401-2022</t>
        </is>
      </c>
      <c r="B895" s="1" t="n">
        <v>44915</v>
      </c>
      <c r="C895" s="1" t="n">
        <v>45359</v>
      </c>
      <c r="D895" t="inlineStr">
        <is>
          <t>JÄMTLANDS LÄN</t>
        </is>
      </c>
      <c r="E895" t="inlineStr">
        <is>
          <t>RAGUNDA</t>
        </is>
      </c>
      <c r="F895" t="inlineStr">
        <is>
          <t>SCA</t>
        </is>
      </c>
      <c r="G895" t="n">
        <v>4</v>
      </c>
      <c r="H895" t="n">
        <v>0</v>
      </c>
      <c r="I895" t="n">
        <v>0</v>
      </c>
      <c r="J895" t="n">
        <v>0</v>
      </c>
      <c r="K895" t="n">
        <v>0</v>
      </c>
      <c r="L895" t="n">
        <v>0</v>
      </c>
      <c r="M895" t="n">
        <v>0</v>
      </c>
      <c r="N895" t="n">
        <v>0</v>
      </c>
      <c r="O895" t="n">
        <v>0</v>
      </c>
      <c r="P895" t="n">
        <v>0</v>
      </c>
      <c r="Q895" t="n">
        <v>0</v>
      </c>
      <c r="R895" s="2" t="inlineStr"/>
    </row>
    <row r="896" ht="15" customHeight="1">
      <c r="A896" t="inlineStr">
        <is>
          <t>A 62541-2022</t>
        </is>
      </c>
      <c r="B896" s="1" t="n">
        <v>44917</v>
      </c>
      <c r="C896" s="1" t="n">
        <v>45359</v>
      </c>
      <c r="D896" t="inlineStr">
        <is>
          <t>JÄMTLANDS LÄN</t>
        </is>
      </c>
      <c r="E896" t="inlineStr">
        <is>
          <t>RAGUNDA</t>
        </is>
      </c>
      <c r="G896" t="n">
        <v>2.6</v>
      </c>
      <c r="H896" t="n">
        <v>0</v>
      </c>
      <c r="I896" t="n">
        <v>0</v>
      </c>
      <c r="J896" t="n">
        <v>0</v>
      </c>
      <c r="K896" t="n">
        <v>0</v>
      </c>
      <c r="L896" t="n">
        <v>0</v>
      </c>
      <c r="M896" t="n">
        <v>0</v>
      </c>
      <c r="N896" t="n">
        <v>0</v>
      </c>
      <c r="O896" t="n">
        <v>0</v>
      </c>
      <c r="P896" t="n">
        <v>0</v>
      </c>
      <c r="Q896" t="n">
        <v>0</v>
      </c>
      <c r="R896" s="2" t="inlineStr"/>
    </row>
    <row r="897" ht="15" customHeight="1">
      <c r="A897" t="inlineStr">
        <is>
          <t>A 61934-2022</t>
        </is>
      </c>
      <c r="B897" s="1" t="n">
        <v>44917</v>
      </c>
      <c r="C897" s="1" t="n">
        <v>45359</v>
      </c>
      <c r="D897" t="inlineStr">
        <is>
          <t>JÄMTLANDS LÄN</t>
        </is>
      </c>
      <c r="E897" t="inlineStr">
        <is>
          <t>RAGUNDA</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62081-2022</t>
        </is>
      </c>
      <c r="B898" s="1" t="n">
        <v>44918</v>
      </c>
      <c r="C898" s="1" t="n">
        <v>45359</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182-2023</t>
        </is>
      </c>
      <c r="B899" s="1" t="n">
        <v>44922</v>
      </c>
      <c r="C899" s="1" t="n">
        <v>45359</v>
      </c>
      <c r="D899" t="inlineStr">
        <is>
          <t>JÄMTLANDS LÄN</t>
        </is>
      </c>
      <c r="E899" t="inlineStr">
        <is>
          <t>RAGUNDA</t>
        </is>
      </c>
      <c r="G899" t="n">
        <v>1.4</v>
      </c>
      <c r="H899" t="n">
        <v>0</v>
      </c>
      <c r="I899" t="n">
        <v>0</v>
      </c>
      <c r="J899" t="n">
        <v>0</v>
      </c>
      <c r="K899" t="n">
        <v>0</v>
      </c>
      <c r="L899" t="n">
        <v>0</v>
      </c>
      <c r="M899" t="n">
        <v>0</v>
      </c>
      <c r="N899" t="n">
        <v>0</v>
      </c>
      <c r="O899" t="n">
        <v>0</v>
      </c>
      <c r="P899" t="n">
        <v>0</v>
      </c>
      <c r="Q899" t="n">
        <v>0</v>
      </c>
      <c r="R899" s="2" t="inlineStr"/>
    </row>
    <row r="900" ht="15" customHeight="1">
      <c r="A900" t="inlineStr">
        <is>
          <t>A 62407-2022</t>
        </is>
      </c>
      <c r="B900" s="1" t="n">
        <v>44923</v>
      </c>
      <c r="C900" s="1" t="n">
        <v>45359</v>
      </c>
      <c r="D900" t="inlineStr">
        <is>
          <t>JÄMTLANDS LÄN</t>
        </is>
      </c>
      <c r="E900" t="inlineStr">
        <is>
          <t>RAGUNDA</t>
        </is>
      </c>
      <c r="F900" t="inlineStr">
        <is>
          <t>SCA</t>
        </is>
      </c>
      <c r="G900" t="n">
        <v>53.6</v>
      </c>
      <c r="H900" t="n">
        <v>0</v>
      </c>
      <c r="I900" t="n">
        <v>0</v>
      </c>
      <c r="J900" t="n">
        <v>0</v>
      </c>
      <c r="K900" t="n">
        <v>0</v>
      </c>
      <c r="L900" t="n">
        <v>0</v>
      </c>
      <c r="M900" t="n">
        <v>0</v>
      </c>
      <c r="N900" t="n">
        <v>0</v>
      </c>
      <c r="O900" t="n">
        <v>0</v>
      </c>
      <c r="P900" t="n">
        <v>0</v>
      </c>
      <c r="Q900" t="n">
        <v>0</v>
      </c>
      <c r="R900" s="2" t="inlineStr"/>
    </row>
    <row r="901" ht="15" customHeight="1">
      <c r="A901" t="inlineStr">
        <is>
          <t>A 17-2023</t>
        </is>
      </c>
      <c r="B901" s="1" t="n">
        <v>44927</v>
      </c>
      <c r="C901" s="1" t="n">
        <v>45359</v>
      </c>
      <c r="D901" t="inlineStr">
        <is>
          <t>JÄMTLANDS LÄN</t>
        </is>
      </c>
      <c r="E901" t="inlineStr">
        <is>
          <t>RAGUNDA</t>
        </is>
      </c>
      <c r="F901" t="inlineStr">
        <is>
          <t>SCA</t>
        </is>
      </c>
      <c r="G901" t="n">
        <v>49.6</v>
      </c>
      <c r="H901" t="n">
        <v>0</v>
      </c>
      <c r="I901" t="n">
        <v>0</v>
      </c>
      <c r="J901" t="n">
        <v>0</v>
      </c>
      <c r="K901" t="n">
        <v>0</v>
      </c>
      <c r="L901" t="n">
        <v>0</v>
      </c>
      <c r="M901" t="n">
        <v>0</v>
      </c>
      <c r="N901" t="n">
        <v>0</v>
      </c>
      <c r="O901" t="n">
        <v>0</v>
      </c>
      <c r="P901" t="n">
        <v>0</v>
      </c>
      <c r="Q901" t="n">
        <v>0</v>
      </c>
      <c r="R901" s="2" t="inlineStr"/>
    </row>
    <row r="902" ht="15" customHeight="1">
      <c r="A902" t="inlineStr">
        <is>
          <t>A 462-2023</t>
        </is>
      </c>
      <c r="B902" s="1" t="n">
        <v>44929</v>
      </c>
      <c r="C902" s="1" t="n">
        <v>45359</v>
      </c>
      <c r="D902" t="inlineStr">
        <is>
          <t>JÄMTLANDS LÄN</t>
        </is>
      </c>
      <c r="E902" t="inlineStr">
        <is>
          <t>RAGUNDA</t>
        </is>
      </c>
      <c r="G902" t="n">
        <v>4.5</v>
      </c>
      <c r="H902" t="n">
        <v>0</v>
      </c>
      <c r="I902" t="n">
        <v>0</v>
      </c>
      <c r="J902" t="n">
        <v>0</v>
      </c>
      <c r="K902" t="n">
        <v>0</v>
      </c>
      <c r="L902" t="n">
        <v>0</v>
      </c>
      <c r="M902" t="n">
        <v>0</v>
      </c>
      <c r="N902" t="n">
        <v>0</v>
      </c>
      <c r="O902" t="n">
        <v>0</v>
      </c>
      <c r="P902" t="n">
        <v>0</v>
      </c>
      <c r="Q902" t="n">
        <v>0</v>
      </c>
      <c r="R902" s="2" t="inlineStr"/>
    </row>
    <row r="903" ht="15" customHeight="1">
      <c r="A903" t="inlineStr">
        <is>
          <t>A 467-2023</t>
        </is>
      </c>
      <c r="B903" s="1" t="n">
        <v>44929</v>
      </c>
      <c r="C903" s="1" t="n">
        <v>45359</v>
      </c>
      <c r="D903" t="inlineStr">
        <is>
          <t>JÄMTLANDS LÄN</t>
        </is>
      </c>
      <c r="E903" t="inlineStr">
        <is>
          <t>RAGUNDA</t>
        </is>
      </c>
      <c r="G903" t="n">
        <v>2</v>
      </c>
      <c r="H903" t="n">
        <v>0</v>
      </c>
      <c r="I903" t="n">
        <v>0</v>
      </c>
      <c r="J903" t="n">
        <v>0</v>
      </c>
      <c r="K903" t="n">
        <v>0</v>
      </c>
      <c r="L903" t="n">
        <v>0</v>
      </c>
      <c r="M903" t="n">
        <v>0</v>
      </c>
      <c r="N903" t="n">
        <v>0</v>
      </c>
      <c r="O903" t="n">
        <v>0</v>
      </c>
      <c r="P903" t="n">
        <v>0</v>
      </c>
      <c r="Q903" t="n">
        <v>0</v>
      </c>
      <c r="R903" s="2" t="inlineStr"/>
    </row>
    <row r="904" ht="15" customHeight="1">
      <c r="A904" t="inlineStr">
        <is>
          <t>A 465-2023</t>
        </is>
      </c>
      <c r="B904" s="1" t="n">
        <v>44929</v>
      </c>
      <c r="C904" s="1" t="n">
        <v>45359</v>
      </c>
      <c r="D904" t="inlineStr">
        <is>
          <t>JÄMTLANDS LÄN</t>
        </is>
      </c>
      <c r="E904" t="inlineStr">
        <is>
          <t>RAGUNDA</t>
        </is>
      </c>
      <c r="G904" t="n">
        <v>0.8</v>
      </c>
      <c r="H904" t="n">
        <v>0</v>
      </c>
      <c r="I904" t="n">
        <v>0</v>
      </c>
      <c r="J904" t="n">
        <v>0</v>
      </c>
      <c r="K904" t="n">
        <v>0</v>
      </c>
      <c r="L904" t="n">
        <v>0</v>
      </c>
      <c r="M904" t="n">
        <v>0</v>
      </c>
      <c r="N904" t="n">
        <v>0</v>
      </c>
      <c r="O904" t="n">
        <v>0</v>
      </c>
      <c r="P904" t="n">
        <v>0</v>
      </c>
      <c r="Q904" t="n">
        <v>0</v>
      </c>
      <c r="R904" s="2" t="inlineStr"/>
    </row>
    <row r="905" ht="15" customHeight="1">
      <c r="A905" t="inlineStr">
        <is>
          <t>A 464-2023</t>
        </is>
      </c>
      <c r="B905" s="1" t="n">
        <v>44929</v>
      </c>
      <c r="C905" s="1" t="n">
        <v>45359</v>
      </c>
      <c r="D905" t="inlineStr">
        <is>
          <t>JÄMTLANDS LÄN</t>
        </is>
      </c>
      <c r="E905" t="inlineStr">
        <is>
          <t>RAGUNDA</t>
        </is>
      </c>
      <c r="G905" t="n">
        <v>1.4</v>
      </c>
      <c r="H905" t="n">
        <v>0</v>
      </c>
      <c r="I905" t="n">
        <v>0</v>
      </c>
      <c r="J905" t="n">
        <v>0</v>
      </c>
      <c r="K905" t="n">
        <v>0</v>
      </c>
      <c r="L905" t="n">
        <v>0</v>
      </c>
      <c r="M905" t="n">
        <v>0</v>
      </c>
      <c r="N905" t="n">
        <v>0</v>
      </c>
      <c r="O905" t="n">
        <v>0</v>
      </c>
      <c r="P905" t="n">
        <v>0</v>
      </c>
      <c r="Q905" t="n">
        <v>0</v>
      </c>
      <c r="R905" s="2" t="inlineStr"/>
    </row>
    <row r="906" ht="15" customHeight="1">
      <c r="A906" t="inlineStr">
        <is>
          <t>A 719-2023</t>
        </is>
      </c>
      <c r="B906" s="1" t="n">
        <v>44930</v>
      </c>
      <c r="C906" s="1" t="n">
        <v>45359</v>
      </c>
      <c r="D906" t="inlineStr">
        <is>
          <t>JÄMTLANDS LÄN</t>
        </is>
      </c>
      <c r="E906" t="inlineStr">
        <is>
          <t>RAGUNDA</t>
        </is>
      </c>
      <c r="F906" t="inlineStr">
        <is>
          <t>SCA</t>
        </is>
      </c>
      <c r="G906" t="n">
        <v>10.7</v>
      </c>
      <c r="H906" t="n">
        <v>0</v>
      </c>
      <c r="I906" t="n">
        <v>0</v>
      </c>
      <c r="J906" t="n">
        <v>0</v>
      </c>
      <c r="K906" t="n">
        <v>0</v>
      </c>
      <c r="L906" t="n">
        <v>0</v>
      </c>
      <c r="M906" t="n">
        <v>0</v>
      </c>
      <c r="N906" t="n">
        <v>0</v>
      </c>
      <c r="O906" t="n">
        <v>0</v>
      </c>
      <c r="P906" t="n">
        <v>0</v>
      </c>
      <c r="Q906" t="n">
        <v>0</v>
      </c>
      <c r="R906" s="2" t="inlineStr"/>
    </row>
    <row r="907" ht="15" customHeight="1">
      <c r="A907" t="inlineStr">
        <is>
          <t>A 718-2023</t>
        </is>
      </c>
      <c r="B907" s="1" t="n">
        <v>44930</v>
      </c>
      <c r="C907" s="1" t="n">
        <v>45359</v>
      </c>
      <c r="D907" t="inlineStr">
        <is>
          <t>JÄMTLANDS LÄN</t>
        </is>
      </c>
      <c r="E907" t="inlineStr">
        <is>
          <t>RAGUNDA</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934-2023</t>
        </is>
      </c>
      <c r="B908" s="1" t="n">
        <v>44932</v>
      </c>
      <c r="C908" s="1" t="n">
        <v>45359</v>
      </c>
      <c r="D908" t="inlineStr">
        <is>
          <t>JÄMTLANDS LÄN</t>
        </is>
      </c>
      <c r="E908" t="inlineStr">
        <is>
          <t>RAGUNDA</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1876-2023</t>
        </is>
      </c>
      <c r="B909" s="1" t="n">
        <v>44938</v>
      </c>
      <c r="C909" s="1" t="n">
        <v>45359</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1870-2023</t>
        </is>
      </c>
      <c r="B910" s="1" t="n">
        <v>44938</v>
      </c>
      <c r="C910" s="1" t="n">
        <v>45359</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1871-2023</t>
        </is>
      </c>
      <c r="B911" s="1" t="n">
        <v>44938</v>
      </c>
      <c r="C911" s="1" t="n">
        <v>45359</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1875-2023</t>
        </is>
      </c>
      <c r="B912" s="1" t="n">
        <v>44938</v>
      </c>
      <c r="C912" s="1" t="n">
        <v>45359</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2117-2023</t>
        </is>
      </c>
      <c r="B913" s="1" t="n">
        <v>44939</v>
      </c>
      <c r="C913" s="1" t="n">
        <v>45359</v>
      </c>
      <c r="D913" t="inlineStr">
        <is>
          <t>JÄMTLANDS LÄN</t>
        </is>
      </c>
      <c r="E913" t="inlineStr">
        <is>
          <t>RAGUNDA</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2130-2023</t>
        </is>
      </c>
      <c r="B914" s="1" t="n">
        <v>44939</v>
      </c>
      <c r="C914" s="1" t="n">
        <v>45359</v>
      </c>
      <c r="D914" t="inlineStr">
        <is>
          <t>JÄMTLANDS LÄN</t>
        </is>
      </c>
      <c r="E914" t="inlineStr">
        <is>
          <t>RAGUNDA</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2127-2023</t>
        </is>
      </c>
      <c r="B915" s="1" t="n">
        <v>44939</v>
      </c>
      <c r="C915" s="1" t="n">
        <v>45359</v>
      </c>
      <c r="D915" t="inlineStr">
        <is>
          <t>JÄMTLANDS LÄN</t>
        </is>
      </c>
      <c r="E915" t="inlineStr">
        <is>
          <t>RAGUNDA</t>
        </is>
      </c>
      <c r="F915" t="inlineStr">
        <is>
          <t>SCA</t>
        </is>
      </c>
      <c r="G915" t="n">
        <v>6.6</v>
      </c>
      <c r="H915" t="n">
        <v>0</v>
      </c>
      <c r="I915" t="n">
        <v>0</v>
      </c>
      <c r="J915" t="n">
        <v>0</v>
      </c>
      <c r="K915" t="n">
        <v>0</v>
      </c>
      <c r="L915" t="n">
        <v>0</v>
      </c>
      <c r="M915" t="n">
        <v>0</v>
      </c>
      <c r="N915" t="n">
        <v>0</v>
      </c>
      <c r="O915" t="n">
        <v>0</v>
      </c>
      <c r="P915" t="n">
        <v>0</v>
      </c>
      <c r="Q915" t="n">
        <v>0</v>
      </c>
      <c r="R915" s="2" t="inlineStr"/>
    </row>
    <row r="916" ht="15" customHeight="1">
      <c r="A916" t="inlineStr">
        <is>
          <t>A 2133-2023</t>
        </is>
      </c>
      <c r="B916" s="1" t="n">
        <v>44939</v>
      </c>
      <c r="C916" s="1" t="n">
        <v>45359</v>
      </c>
      <c r="D916" t="inlineStr">
        <is>
          <t>JÄMTLANDS LÄN</t>
        </is>
      </c>
      <c r="E916" t="inlineStr">
        <is>
          <t>RAGUNDA</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2401-2023</t>
        </is>
      </c>
      <c r="B917" s="1" t="n">
        <v>44942</v>
      </c>
      <c r="C917" s="1" t="n">
        <v>45359</v>
      </c>
      <c r="D917" t="inlineStr">
        <is>
          <t>JÄMTLANDS LÄN</t>
        </is>
      </c>
      <c r="E917" t="inlineStr">
        <is>
          <t>RAGUNDA</t>
        </is>
      </c>
      <c r="G917" t="n">
        <v>6.3</v>
      </c>
      <c r="H917" t="n">
        <v>0</v>
      </c>
      <c r="I917" t="n">
        <v>0</v>
      </c>
      <c r="J917" t="n">
        <v>0</v>
      </c>
      <c r="K917" t="n">
        <v>0</v>
      </c>
      <c r="L917" t="n">
        <v>0</v>
      </c>
      <c r="M917" t="n">
        <v>0</v>
      </c>
      <c r="N917" t="n">
        <v>0</v>
      </c>
      <c r="O917" t="n">
        <v>0</v>
      </c>
      <c r="P917" t="n">
        <v>0</v>
      </c>
      <c r="Q917" t="n">
        <v>0</v>
      </c>
      <c r="R917" s="2" t="inlineStr"/>
    </row>
    <row r="918" ht="15" customHeight="1">
      <c r="A918" t="inlineStr">
        <is>
          <t>A 2411-2023</t>
        </is>
      </c>
      <c r="B918" s="1" t="n">
        <v>44942</v>
      </c>
      <c r="C918" s="1" t="n">
        <v>45359</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2402-2023</t>
        </is>
      </c>
      <c r="B919" s="1" t="n">
        <v>44942</v>
      </c>
      <c r="C919" s="1" t="n">
        <v>45359</v>
      </c>
      <c r="D919" t="inlineStr">
        <is>
          <t>JÄMTLANDS LÄN</t>
        </is>
      </c>
      <c r="E919" t="inlineStr">
        <is>
          <t>RAGUNDA</t>
        </is>
      </c>
      <c r="G919" t="n">
        <v>7.8</v>
      </c>
      <c r="H919" t="n">
        <v>0</v>
      </c>
      <c r="I919" t="n">
        <v>0</v>
      </c>
      <c r="J919" t="n">
        <v>0</v>
      </c>
      <c r="K919" t="n">
        <v>0</v>
      </c>
      <c r="L919" t="n">
        <v>0</v>
      </c>
      <c r="M919" t="n">
        <v>0</v>
      </c>
      <c r="N919" t="n">
        <v>0</v>
      </c>
      <c r="O919" t="n">
        <v>0</v>
      </c>
      <c r="P919" t="n">
        <v>0</v>
      </c>
      <c r="Q919" t="n">
        <v>0</v>
      </c>
      <c r="R919" s="2" t="inlineStr"/>
    </row>
    <row r="920" ht="15" customHeight="1">
      <c r="A920" t="inlineStr">
        <is>
          <t>A 2414-2023</t>
        </is>
      </c>
      <c r="B920" s="1" t="n">
        <v>44942</v>
      </c>
      <c r="C920" s="1" t="n">
        <v>45359</v>
      </c>
      <c r="D920" t="inlineStr">
        <is>
          <t>JÄMTLANDS LÄN</t>
        </is>
      </c>
      <c r="E920" t="inlineStr">
        <is>
          <t>RAGUNDA</t>
        </is>
      </c>
      <c r="F920" t="inlineStr">
        <is>
          <t>SCA</t>
        </is>
      </c>
      <c r="G920" t="n">
        <v>28.4</v>
      </c>
      <c r="H920" t="n">
        <v>0</v>
      </c>
      <c r="I920" t="n">
        <v>0</v>
      </c>
      <c r="J920" t="n">
        <v>0</v>
      </c>
      <c r="K920" t="n">
        <v>0</v>
      </c>
      <c r="L920" t="n">
        <v>0</v>
      </c>
      <c r="M920" t="n">
        <v>0</v>
      </c>
      <c r="N920" t="n">
        <v>0</v>
      </c>
      <c r="O920" t="n">
        <v>0</v>
      </c>
      <c r="P920" t="n">
        <v>0</v>
      </c>
      <c r="Q920" t="n">
        <v>0</v>
      </c>
      <c r="R920" s="2" t="inlineStr"/>
    </row>
    <row r="921" ht="15" customHeight="1">
      <c r="A921" t="inlineStr">
        <is>
          <t>A 2599-2023</t>
        </is>
      </c>
      <c r="B921" s="1" t="n">
        <v>44943</v>
      </c>
      <c r="C921" s="1" t="n">
        <v>45359</v>
      </c>
      <c r="D921" t="inlineStr">
        <is>
          <t>JÄMTLANDS LÄN</t>
        </is>
      </c>
      <c r="E921" t="inlineStr">
        <is>
          <t>RAGUNDA</t>
        </is>
      </c>
      <c r="F921" t="inlineStr">
        <is>
          <t>SCA</t>
        </is>
      </c>
      <c r="G921" t="n">
        <v>5.9</v>
      </c>
      <c r="H921" t="n">
        <v>0</v>
      </c>
      <c r="I921" t="n">
        <v>0</v>
      </c>
      <c r="J921" t="n">
        <v>0</v>
      </c>
      <c r="K921" t="n">
        <v>0</v>
      </c>
      <c r="L921" t="n">
        <v>0</v>
      </c>
      <c r="M921" t="n">
        <v>0</v>
      </c>
      <c r="N921" t="n">
        <v>0</v>
      </c>
      <c r="O921" t="n">
        <v>0</v>
      </c>
      <c r="P921" t="n">
        <v>0</v>
      </c>
      <c r="Q921" t="n">
        <v>0</v>
      </c>
      <c r="R921" s="2" t="inlineStr"/>
    </row>
    <row r="922" ht="15" customHeight="1">
      <c r="A922" t="inlineStr">
        <is>
          <t>A 2600-2023</t>
        </is>
      </c>
      <c r="B922" s="1" t="n">
        <v>44943</v>
      </c>
      <c r="C922" s="1" t="n">
        <v>45359</v>
      </c>
      <c r="D922" t="inlineStr">
        <is>
          <t>JÄMTLANDS LÄN</t>
        </is>
      </c>
      <c r="E922" t="inlineStr">
        <is>
          <t>RAGUNDA</t>
        </is>
      </c>
      <c r="F922" t="inlineStr">
        <is>
          <t>SCA</t>
        </is>
      </c>
      <c r="G922" t="n">
        <v>8.5</v>
      </c>
      <c r="H922" t="n">
        <v>0</v>
      </c>
      <c r="I922" t="n">
        <v>0</v>
      </c>
      <c r="J922" t="n">
        <v>0</v>
      </c>
      <c r="K922" t="n">
        <v>0</v>
      </c>
      <c r="L922" t="n">
        <v>0</v>
      </c>
      <c r="M922" t="n">
        <v>0</v>
      </c>
      <c r="N922" t="n">
        <v>0</v>
      </c>
      <c r="O922" t="n">
        <v>0</v>
      </c>
      <c r="P922" t="n">
        <v>0</v>
      </c>
      <c r="Q922" t="n">
        <v>0</v>
      </c>
      <c r="R922" s="2" t="inlineStr"/>
    </row>
    <row r="923" ht="15" customHeight="1">
      <c r="A923" t="inlineStr">
        <is>
          <t>A 2819-2023</t>
        </is>
      </c>
      <c r="B923" s="1" t="n">
        <v>44944</v>
      </c>
      <c r="C923" s="1" t="n">
        <v>45359</v>
      </c>
      <c r="D923" t="inlineStr">
        <is>
          <t>JÄMTLANDS LÄN</t>
        </is>
      </c>
      <c r="E923" t="inlineStr">
        <is>
          <t>RAGUNDA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3034-2023</t>
        </is>
      </c>
      <c r="B924" s="1" t="n">
        <v>44945</v>
      </c>
      <c r="C924" s="1" t="n">
        <v>45359</v>
      </c>
      <c r="D924" t="inlineStr">
        <is>
          <t>JÄMTLANDS LÄN</t>
        </is>
      </c>
      <c r="E924" t="inlineStr">
        <is>
          <t>RAGUNDA</t>
        </is>
      </c>
      <c r="F924" t="inlineStr">
        <is>
          <t>SCA</t>
        </is>
      </c>
      <c r="G924" t="n">
        <v>19.1</v>
      </c>
      <c r="H924" t="n">
        <v>0</v>
      </c>
      <c r="I924" t="n">
        <v>0</v>
      </c>
      <c r="J924" t="n">
        <v>0</v>
      </c>
      <c r="K924" t="n">
        <v>0</v>
      </c>
      <c r="L924" t="n">
        <v>0</v>
      </c>
      <c r="M924" t="n">
        <v>0</v>
      </c>
      <c r="N924" t="n">
        <v>0</v>
      </c>
      <c r="O924" t="n">
        <v>0</v>
      </c>
      <c r="P924" t="n">
        <v>0</v>
      </c>
      <c r="Q924" t="n">
        <v>0</v>
      </c>
      <c r="R924" s="2" t="inlineStr"/>
    </row>
    <row r="925" ht="15" customHeight="1">
      <c r="A925" t="inlineStr">
        <is>
          <t>A 3242-2023</t>
        </is>
      </c>
      <c r="B925" s="1" t="n">
        <v>44946</v>
      </c>
      <c r="C925" s="1" t="n">
        <v>45359</v>
      </c>
      <c r="D925" t="inlineStr">
        <is>
          <t>JÄMTLANDS LÄN</t>
        </is>
      </c>
      <c r="E925" t="inlineStr">
        <is>
          <t>RAGUNDA</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3243-2023</t>
        </is>
      </c>
      <c r="B926" s="1" t="n">
        <v>44946</v>
      </c>
      <c r="C926" s="1" t="n">
        <v>45359</v>
      </c>
      <c r="D926" t="inlineStr">
        <is>
          <t>JÄMTLANDS LÄN</t>
        </is>
      </c>
      <c r="E926" t="inlineStr">
        <is>
          <t>RAGUNDA</t>
        </is>
      </c>
      <c r="F926" t="inlineStr">
        <is>
          <t>SCA</t>
        </is>
      </c>
      <c r="G926" t="n">
        <v>11.2</v>
      </c>
      <c r="H926" t="n">
        <v>0</v>
      </c>
      <c r="I926" t="n">
        <v>0</v>
      </c>
      <c r="J926" t="n">
        <v>0</v>
      </c>
      <c r="K926" t="n">
        <v>0</v>
      </c>
      <c r="L926" t="n">
        <v>0</v>
      </c>
      <c r="M926" t="n">
        <v>0</v>
      </c>
      <c r="N926" t="n">
        <v>0</v>
      </c>
      <c r="O926" t="n">
        <v>0</v>
      </c>
      <c r="P926" t="n">
        <v>0</v>
      </c>
      <c r="Q926" t="n">
        <v>0</v>
      </c>
      <c r="R926" s="2" t="inlineStr"/>
    </row>
    <row r="927" ht="15" customHeight="1">
      <c r="A927" t="inlineStr">
        <is>
          <t>A 4348-2023</t>
        </is>
      </c>
      <c r="B927" s="1" t="n">
        <v>44953</v>
      </c>
      <c r="C927" s="1" t="n">
        <v>45359</v>
      </c>
      <c r="D927" t="inlineStr">
        <is>
          <t>JÄMTLANDS LÄN</t>
        </is>
      </c>
      <c r="E927" t="inlineStr">
        <is>
          <t>RAGUNDA</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4346-2023</t>
        </is>
      </c>
      <c r="B928" s="1" t="n">
        <v>44954</v>
      </c>
      <c r="C928" s="1" t="n">
        <v>45359</v>
      </c>
      <c r="D928" t="inlineStr">
        <is>
          <t>JÄMTLANDS LÄN</t>
        </is>
      </c>
      <c r="E928" t="inlineStr">
        <is>
          <t>RAGUNDA</t>
        </is>
      </c>
      <c r="F928" t="inlineStr">
        <is>
          <t>SCA</t>
        </is>
      </c>
      <c r="G928" t="n">
        <v>14.2</v>
      </c>
      <c r="H928" t="n">
        <v>0</v>
      </c>
      <c r="I928" t="n">
        <v>0</v>
      </c>
      <c r="J928" t="n">
        <v>0</v>
      </c>
      <c r="K928" t="n">
        <v>0</v>
      </c>
      <c r="L928" t="n">
        <v>0</v>
      </c>
      <c r="M928" t="n">
        <v>0</v>
      </c>
      <c r="N928" t="n">
        <v>0</v>
      </c>
      <c r="O928" t="n">
        <v>0</v>
      </c>
      <c r="P928" t="n">
        <v>0</v>
      </c>
      <c r="Q928" t="n">
        <v>0</v>
      </c>
      <c r="R928" s="2" t="inlineStr"/>
    </row>
    <row r="929" ht="15" customHeight="1">
      <c r="A929" t="inlineStr">
        <is>
          <t>A 4350-2023</t>
        </is>
      </c>
      <c r="B929" s="1" t="n">
        <v>44953</v>
      </c>
      <c r="C929" s="1" t="n">
        <v>45359</v>
      </c>
      <c r="D929" t="inlineStr">
        <is>
          <t>JÄMTLANDS LÄN</t>
        </is>
      </c>
      <c r="E929" t="inlineStr">
        <is>
          <t>RAGUNDA</t>
        </is>
      </c>
      <c r="F929" t="inlineStr">
        <is>
          <t>Naturvårdsverket</t>
        </is>
      </c>
      <c r="G929" t="n">
        <v>10.4</v>
      </c>
      <c r="H929" t="n">
        <v>0</v>
      </c>
      <c r="I929" t="n">
        <v>0</v>
      </c>
      <c r="J929" t="n">
        <v>0</v>
      </c>
      <c r="K929" t="n">
        <v>0</v>
      </c>
      <c r="L929" t="n">
        <v>0</v>
      </c>
      <c r="M929" t="n">
        <v>0</v>
      </c>
      <c r="N929" t="n">
        <v>0</v>
      </c>
      <c r="O929" t="n">
        <v>0</v>
      </c>
      <c r="P929" t="n">
        <v>0</v>
      </c>
      <c r="Q929" t="n">
        <v>0</v>
      </c>
      <c r="R929" s="2" t="inlineStr"/>
    </row>
    <row r="930" ht="15" customHeight="1">
      <c r="A930" t="inlineStr">
        <is>
          <t>A 4349-2023</t>
        </is>
      </c>
      <c r="B930" s="1" t="n">
        <v>44954</v>
      </c>
      <c r="C930" s="1" t="n">
        <v>45359</v>
      </c>
      <c r="D930" t="inlineStr">
        <is>
          <t>JÄMTLANDS LÄN</t>
        </is>
      </c>
      <c r="E930" t="inlineStr">
        <is>
          <t>RAGUNDA</t>
        </is>
      </c>
      <c r="F930" t="inlineStr">
        <is>
          <t>SCA</t>
        </is>
      </c>
      <c r="G930" t="n">
        <v>7.5</v>
      </c>
      <c r="H930" t="n">
        <v>0</v>
      </c>
      <c r="I930" t="n">
        <v>0</v>
      </c>
      <c r="J930" t="n">
        <v>0</v>
      </c>
      <c r="K930" t="n">
        <v>0</v>
      </c>
      <c r="L930" t="n">
        <v>0</v>
      </c>
      <c r="M930" t="n">
        <v>0</v>
      </c>
      <c r="N930" t="n">
        <v>0</v>
      </c>
      <c r="O930" t="n">
        <v>0</v>
      </c>
      <c r="P930" t="n">
        <v>0</v>
      </c>
      <c r="Q930" t="n">
        <v>0</v>
      </c>
      <c r="R930" s="2" t="inlineStr"/>
    </row>
    <row r="931" ht="15" customHeight="1">
      <c r="A931" t="inlineStr">
        <is>
          <t>A 4622-2023</t>
        </is>
      </c>
      <c r="B931" s="1" t="n">
        <v>44956</v>
      </c>
      <c r="C931" s="1" t="n">
        <v>45359</v>
      </c>
      <c r="D931" t="inlineStr">
        <is>
          <t>JÄMTLANDS LÄN</t>
        </is>
      </c>
      <c r="E931" t="inlineStr">
        <is>
          <t>RAGUNDA</t>
        </is>
      </c>
      <c r="F931" t="inlineStr">
        <is>
          <t>Sveaskog</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4620-2023</t>
        </is>
      </c>
      <c r="B932" s="1" t="n">
        <v>44956</v>
      </c>
      <c r="C932" s="1" t="n">
        <v>45359</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4615-2023</t>
        </is>
      </c>
      <c r="B933" s="1" t="n">
        <v>44956</v>
      </c>
      <c r="C933" s="1" t="n">
        <v>45359</v>
      </c>
      <c r="D933" t="inlineStr">
        <is>
          <t>JÄMTLANDS LÄN</t>
        </is>
      </c>
      <c r="E933" t="inlineStr">
        <is>
          <t>RAGUNDA</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4882-2023</t>
        </is>
      </c>
      <c r="B934" s="1" t="n">
        <v>44957</v>
      </c>
      <c r="C934" s="1" t="n">
        <v>45359</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4874-2023</t>
        </is>
      </c>
      <c r="B935" s="1" t="n">
        <v>44957</v>
      </c>
      <c r="C935" s="1" t="n">
        <v>45359</v>
      </c>
      <c r="D935" t="inlineStr">
        <is>
          <t>JÄMTLANDS LÄN</t>
        </is>
      </c>
      <c r="E935" t="inlineStr">
        <is>
          <t>RAGUNDA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4879-2023</t>
        </is>
      </c>
      <c r="B936" s="1" t="n">
        <v>44957</v>
      </c>
      <c r="C936" s="1" t="n">
        <v>45359</v>
      </c>
      <c r="D936" t="inlineStr">
        <is>
          <t>JÄMTLANDS LÄN</t>
        </is>
      </c>
      <c r="E936" t="inlineStr">
        <is>
          <t>RAGUNDA</t>
        </is>
      </c>
      <c r="F936" t="inlineStr">
        <is>
          <t>SCA</t>
        </is>
      </c>
      <c r="G936" t="n">
        <v>17.4</v>
      </c>
      <c r="H936" t="n">
        <v>0</v>
      </c>
      <c r="I936" t="n">
        <v>0</v>
      </c>
      <c r="J936" t="n">
        <v>0</v>
      </c>
      <c r="K936" t="n">
        <v>0</v>
      </c>
      <c r="L936" t="n">
        <v>0</v>
      </c>
      <c r="M936" t="n">
        <v>0</v>
      </c>
      <c r="N936" t="n">
        <v>0</v>
      </c>
      <c r="O936" t="n">
        <v>0</v>
      </c>
      <c r="P936" t="n">
        <v>0</v>
      </c>
      <c r="Q936" t="n">
        <v>0</v>
      </c>
      <c r="R936" s="2" t="inlineStr"/>
    </row>
    <row r="937" ht="15" customHeight="1">
      <c r="A937" t="inlineStr">
        <is>
          <t>A 5163-2023</t>
        </is>
      </c>
      <c r="B937" s="1" t="n">
        <v>44958</v>
      </c>
      <c r="C937" s="1" t="n">
        <v>45359</v>
      </c>
      <c r="D937" t="inlineStr">
        <is>
          <t>JÄMTLANDS LÄN</t>
        </is>
      </c>
      <c r="E937" t="inlineStr">
        <is>
          <t>RAGUNDA</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5815-2023</t>
        </is>
      </c>
      <c r="B938" s="1" t="n">
        <v>44958</v>
      </c>
      <c r="C938" s="1" t="n">
        <v>45359</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5148-2023</t>
        </is>
      </c>
      <c r="B939" s="1" t="n">
        <v>44958</v>
      </c>
      <c r="C939" s="1" t="n">
        <v>45359</v>
      </c>
      <c r="D939" t="inlineStr">
        <is>
          <t>JÄMTLANDS LÄN</t>
        </is>
      </c>
      <c r="E939" t="inlineStr">
        <is>
          <t>RAGUNDA</t>
        </is>
      </c>
      <c r="G939" t="n">
        <v>2.9</v>
      </c>
      <c r="H939" t="n">
        <v>0</v>
      </c>
      <c r="I939" t="n">
        <v>0</v>
      </c>
      <c r="J939" t="n">
        <v>0</v>
      </c>
      <c r="K939" t="n">
        <v>0</v>
      </c>
      <c r="L939" t="n">
        <v>0</v>
      </c>
      <c r="M939" t="n">
        <v>0</v>
      </c>
      <c r="N939" t="n">
        <v>0</v>
      </c>
      <c r="O939" t="n">
        <v>0</v>
      </c>
      <c r="P939" t="n">
        <v>0</v>
      </c>
      <c r="Q939" t="n">
        <v>0</v>
      </c>
      <c r="R939" s="2" t="inlineStr"/>
    </row>
    <row r="940" ht="15" customHeight="1">
      <c r="A940" t="inlineStr">
        <is>
          <t>A 5164-2023</t>
        </is>
      </c>
      <c r="B940" s="1" t="n">
        <v>44958</v>
      </c>
      <c r="C940" s="1" t="n">
        <v>45359</v>
      </c>
      <c r="D940" t="inlineStr">
        <is>
          <t>JÄMTLANDS LÄN</t>
        </is>
      </c>
      <c r="E940" t="inlineStr">
        <is>
          <t>RAGUNDA</t>
        </is>
      </c>
      <c r="F940" t="inlineStr">
        <is>
          <t>SCA</t>
        </is>
      </c>
      <c r="G940" t="n">
        <v>9.5</v>
      </c>
      <c r="H940" t="n">
        <v>0</v>
      </c>
      <c r="I940" t="n">
        <v>0</v>
      </c>
      <c r="J940" t="n">
        <v>0</v>
      </c>
      <c r="K940" t="n">
        <v>0</v>
      </c>
      <c r="L940" t="n">
        <v>0</v>
      </c>
      <c r="M940" t="n">
        <v>0</v>
      </c>
      <c r="N940" t="n">
        <v>0</v>
      </c>
      <c r="O940" t="n">
        <v>0</v>
      </c>
      <c r="P940" t="n">
        <v>0</v>
      </c>
      <c r="Q940" t="n">
        <v>0</v>
      </c>
      <c r="R940" s="2" t="inlineStr"/>
    </row>
    <row r="941" ht="15" customHeight="1">
      <c r="A941" t="inlineStr">
        <is>
          <t>A 5175-2023</t>
        </is>
      </c>
      <c r="B941" s="1" t="n">
        <v>44958</v>
      </c>
      <c r="C941" s="1" t="n">
        <v>45359</v>
      </c>
      <c r="D941" t="inlineStr">
        <is>
          <t>JÄMTLANDS LÄN</t>
        </is>
      </c>
      <c r="E941" t="inlineStr">
        <is>
          <t>RAGUNDA</t>
        </is>
      </c>
      <c r="F941" t="inlineStr">
        <is>
          <t>SCA</t>
        </is>
      </c>
      <c r="G941" t="n">
        <v>17.9</v>
      </c>
      <c r="H941" t="n">
        <v>0</v>
      </c>
      <c r="I941" t="n">
        <v>0</v>
      </c>
      <c r="J941" t="n">
        <v>0</v>
      </c>
      <c r="K941" t="n">
        <v>0</v>
      </c>
      <c r="L941" t="n">
        <v>0</v>
      </c>
      <c r="M941" t="n">
        <v>0</v>
      </c>
      <c r="N941" t="n">
        <v>0</v>
      </c>
      <c r="O941" t="n">
        <v>0</v>
      </c>
      <c r="P941" t="n">
        <v>0</v>
      </c>
      <c r="Q941" t="n">
        <v>0</v>
      </c>
      <c r="R941" s="2" t="inlineStr"/>
    </row>
    <row r="942" ht="15" customHeight="1">
      <c r="A942" t="inlineStr">
        <is>
          <t>A 5439-2023</t>
        </is>
      </c>
      <c r="B942" s="1" t="n">
        <v>44959</v>
      </c>
      <c r="C942" s="1" t="n">
        <v>45359</v>
      </c>
      <c r="D942" t="inlineStr">
        <is>
          <t>JÄMTLANDS LÄN</t>
        </is>
      </c>
      <c r="E942" t="inlineStr">
        <is>
          <t>RAGUNDA</t>
        </is>
      </c>
      <c r="G942" t="n">
        <v>4.3</v>
      </c>
      <c r="H942" t="n">
        <v>0</v>
      </c>
      <c r="I942" t="n">
        <v>0</v>
      </c>
      <c r="J942" t="n">
        <v>0</v>
      </c>
      <c r="K942" t="n">
        <v>0</v>
      </c>
      <c r="L942" t="n">
        <v>0</v>
      </c>
      <c r="M942" t="n">
        <v>0</v>
      </c>
      <c r="N942" t="n">
        <v>0</v>
      </c>
      <c r="O942" t="n">
        <v>0</v>
      </c>
      <c r="P942" t="n">
        <v>0</v>
      </c>
      <c r="Q942" t="n">
        <v>0</v>
      </c>
      <c r="R942" s="2" t="inlineStr"/>
    </row>
    <row r="943" ht="15" customHeight="1">
      <c r="A943" t="inlineStr">
        <is>
          <t>A 5711-2023</t>
        </is>
      </c>
      <c r="B943" s="1" t="n">
        <v>44960</v>
      </c>
      <c r="C943" s="1" t="n">
        <v>45359</v>
      </c>
      <c r="D943" t="inlineStr">
        <is>
          <t>JÄMTLANDS LÄN</t>
        </is>
      </c>
      <c r="E943" t="inlineStr">
        <is>
          <t>RAGUNDA</t>
        </is>
      </c>
      <c r="F943" t="inlineStr">
        <is>
          <t>SCA</t>
        </is>
      </c>
      <c r="G943" t="n">
        <v>15.4</v>
      </c>
      <c r="H943" t="n">
        <v>0</v>
      </c>
      <c r="I943" t="n">
        <v>0</v>
      </c>
      <c r="J943" t="n">
        <v>0</v>
      </c>
      <c r="K943" t="n">
        <v>0</v>
      </c>
      <c r="L943" t="n">
        <v>0</v>
      </c>
      <c r="M943" t="n">
        <v>0</v>
      </c>
      <c r="N943" t="n">
        <v>0</v>
      </c>
      <c r="O943" t="n">
        <v>0</v>
      </c>
      <c r="P943" t="n">
        <v>0</v>
      </c>
      <c r="Q943" t="n">
        <v>0</v>
      </c>
      <c r="R943" s="2" t="inlineStr"/>
    </row>
    <row r="944" ht="15" customHeight="1">
      <c r="A944" t="inlineStr">
        <is>
          <t>A 5958-2023</t>
        </is>
      </c>
      <c r="B944" s="1" t="n">
        <v>44963</v>
      </c>
      <c r="C944" s="1" t="n">
        <v>45359</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6586-2023</t>
        </is>
      </c>
      <c r="B945" s="1" t="n">
        <v>44963</v>
      </c>
      <c r="C945" s="1" t="n">
        <v>45359</v>
      </c>
      <c r="D945" t="inlineStr">
        <is>
          <t>JÄMTLANDS LÄN</t>
        </is>
      </c>
      <c r="E945" t="inlineStr">
        <is>
          <t>RAGUNDA</t>
        </is>
      </c>
      <c r="G945" t="n">
        <v>6.9</v>
      </c>
      <c r="H945" t="n">
        <v>0</v>
      </c>
      <c r="I945" t="n">
        <v>0</v>
      </c>
      <c r="J945" t="n">
        <v>0</v>
      </c>
      <c r="K945" t="n">
        <v>0</v>
      </c>
      <c r="L945" t="n">
        <v>0</v>
      </c>
      <c r="M945" t="n">
        <v>0</v>
      </c>
      <c r="N945" t="n">
        <v>0</v>
      </c>
      <c r="O945" t="n">
        <v>0</v>
      </c>
      <c r="P945" t="n">
        <v>0</v>
      </c>
      <c r="Q945" t="n">
        <v>0</v>
      </c>
      <c r="R945" s="2" t="inlineStr"/>
    </row>
    <row r="946" ht="15" customHeight="1">
      <c r="A946" t="inlineStr">
        <is>
          <t>A 6467-2023</t>
        </is>
      </c>
      <c r="B946" s="1" t="n">
        <v>44965</v>
      </c>
      <c r="C946" s="1" t="n">
        <v>45359</v>
      </c>
      <c r="D946" t="inlineStr">
        <is>
          <t>JÄMTLANDS LÄN</t>
        </is>
      </c>
      <c r="E946" t="inlineStr">
        <is>
          <t>RAGUNDA</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6470-2023</t>
        </is>
      </c>
      <c r="B947" s="1" t="n">
        <v>44965</v>
      </c>
      <c r="C947" s="1" t="n">
        <v>45359</v>
      </c>
      <c r="D947" t="inlineStr">
        <is>
          <t>JÄMTLANDS LÄN</t>
        </is>
      </c>
      <c r="E947" t="inlineStr">
        <is>
          <t>RAGUNDA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6801-2023</t>
        </is>
      </c>
      <c r="B948" s="1" t="n">
        <v>44966</v>
      </c>
      <c r="C948" s="1" t="n">
        <v>45359</v>
      </c>
      <c r="D948" t="inlineStr">
        <is>
          <t>JÄMTLANDS LÄN</t>
        </is>
      </c>
      <c r="E948" t="inlineStr">
        <is>
          <t>RAGUNDA</t>
        </is>
      </c>
      <c r="F948" t="inlineStr">
        <is>
          <t>SCA</t>
        </is>
      </c>
      <c r="G948" t="n">
        <v>10.6</v>
      </c>
      <c r="H948" t="n">
        <v>0</v>
      </c>
      <c r="I948" t="n">
        <v>0</v>
      </c>
      <c r="J948" t="n">
        <v>0</v>
      </c>
      <c r="K948" t="n">
        <v>0</v>
      </c>
      <c r="L948" t="n">
        <v>0</v>
      </c>
      <c r="M948" t="n">
        <v>0</v>
      </c>
      <c r="N948" t="n">
        <v>0</v>
      </c>
      <c r="O948" t="n">
        <v>0</v>
      </c>
      <c r="P948" t="n">
        <v>0</v>
      </c>
      <c r="Q948" t="n">
        <v>0</v>
      </c>
      <c r="R948" s="2" t="inlineStr"/>
    </row>
    <row r="949" ht="15" customHeight="1">
      <c r="A949" t="inlineStr">
        <is>
          <t>A 6802-2023</t>
        </is>
      </c>
      <c r="B949" s="1" t="n">
        <v>44966</v>
      </c>
      <c r="C949" s="1" t="n">
        <v>45359</v>
      </c>
      <c r="D949" t="inlineStr">
        <is>
          <t>JÄMTLANDS LÄN</t>
        </is>
      </c>
      <c r="E949" t="inlineStr">
        <is>
          <t>RAGUNDA</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6800-2023</t>
        </is>
      </c>
      <c r="B950" s="1" t="n">
        <v>44966</v>
      </c>
      <c r="C950" s="1" t="n">
        <v>45359</v>
      </c>
      <c r="D950" t="inlineStr">
        <is>
          <t>JÄMTLANDS LÄN</t>
        </is>
      </c>
      <c r="E950" t="inlineStr">
        <is>
          <t>RAGUNDA</t>
        </is>
      </c>
      <c r="F950" t="inlineStr">
        <is>
          <t>SCA</t>
        </is>
      </c>
      <c r="G950" t="n">
        <v>5.6</v>
      </c>
      <c r="H950" t="n">
        <v>0</v>
      </c>
      <c r="I950" t="n">
        <v>0</v>
      </c>
      <c r="J950" t="n">
        <v>0</v>
      </c>
      <c r="K950" t="n">
        <v>0</v>
      </c>
      <c r="L950" t="n">
        <v>0</v>
      </c>
      <c r="M950" t="n">
        <v>0</v>
      </c>
      <c r="N950" t="n">
        <v>0</v>
      </c>
      <c r="O950" t="n">
        <v>0</v>
      </c>
      <c r="P950" t="n">
        <v>0</v>
      </c>
      <c r="Q950" t="n">
        <v>0</v>
      </c>
      <c r="R950" s="2" t="inlineStr"/>
    </row>
    <row r="951" ht="15" customHeight="1">
      <c r="A951" t="inlineStr">
        <is>
          <t>A 7019-2023</t>
        </is>
      </c>
      <c r="B951" s="1" t="n">
        <v>44968</v>
      </c>
      <c r="C951" s="1" t="n">
        <v>45359</v>
      </c>
      <c r="D951" t="inlineStr">
        <is>
          <t>JÄMTLANDS LÄN</t>
        </is>
      </c>
      <c r="E951" t="inlineStr">
        <is>
          <t>RAGUNDA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7021-2023</t>
        </is>
      </c>
      <c r="B952" s="1" t="n">
        <v>44967</v>
      </c>
      <c r="C952" s="1" t="n">
        <v>45359</v>
      </c>
      <c r="D952" t="inlineStr">
        <is>
          <t>JÄMTLANDS LÄN</t>
        </is>
      </c>
      <c r="E952" t="inlineStr">
        <is>
          <t>RAGUNDA</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7520-2023</t>
        </is>
      </c>
      <c r="B953" s="1" t="n">
        <v>44971</v>
      </c>
      <c r="C953" s="1" t="n">
        <v>45359</v>
      </c>
      <c r="D953" t="inlineStr">
        <is>
          <t>JÄMTLANDS LÄN</t>
        </is>
      </c>
      <c r="E953" t="inlineStr">
        <is>
          <t>RAGUNDA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7521-2023</t>
        </is>
      </c>
      <c r="B954" s="1" t="n">
        <v>44972</v>
      </c>
      <c r="C954" s="1" t="n">
        <v>45359</v>
      </c>
      <c r="D954" t="inlineStr">
        <is>
          <t>JÄMTLANDS LÄN</t>
        </is>
      </c>
      <c r="E954" t="inlineStr">
        <is>
          <t>RAGUNDA</t>
        </is>
      </c>
      <c r="F954" t="inlineStr">
        <is>
          <t>SCA</t>
        </is>
      </c>
      <c r="G954" t="n">
        <v>8.5</v>
      </c>
      <c r="H954" t="n">
        <v>0</v>
      </c>
      <c r="I954" t="n">
        <v>0</v>
      </c>
      <c r="J954" t="n">
        <v>0</v>
      </c>
      <c r="K954" t="n">
        <v>0</v>
      </c>
      <c r="L954" t="n">
        <v>0</v>
      </c>
      <c r="M954" t="n">
        <v>0</v>
      </c>
      <c r="N954" t="n">
        <v>0</v>
      </c>
      <c r="O954" t="n">
        <v>0</v>
      </c>
      <c r="P954" t="n">
        <v>0</v>
      </c>
      <c r="Q954" t="n">
        <v>0</v>
      </c>
      <c r="R954" s="2" t="inlineStr"/>
    </row>
    <row r="955" ht="15" customHeight="1">
      <c r="A955" t="inlineStr">
        <is>
          <t>A 7722-2023</t>
        </is>
      </c>
      <c r="B955" s="1" t="n">
        <v>44972</v>
      </c>
      <c r="C955" s="1" t="n">
        <v>45359</v>
      </c>
      <c r="D955" t="inlineStr">
        <is>
          <t>JÄMTLANDS LÄN</t>
        </is>
      </c>
      <c r="E955" t="inlineStr">
        <is>
          <t>RAGUNDA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8416-2023</t>
        </is>
      </c>
      <c r="B956" s="1" t="n">
        <v>44977</v>
      </c>
      <c r="C956" s="1" t="n">
        <v>45359</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8403-2023</t>
        </is>
      </c>
      <c r="B957" s="1" t="n">
        <v>44977</v>
      </c>
      <c r="C957" s="1" t="n">
        <v>45359</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8678-2023</t>
        </is>
      </c>
      <c r="B958" s="1" t="n">
        <v>44978</v>
      </c>
      <c r="C958" s="1" t="n">
        <v>45359</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8679-2023</t>
        </is>
      </c>
      <c r="B959" s="1" t="n">
        <v>44978</v>
      </c>
      <c r="C959" s="1" t="n">
        <v>45359</v>
      </c>
      <c r="D959" t="inlineStr">
        <is>
          <t>JÄMTLANDS LÄN</t>
        </is>
      </c>
      <c r="E959" t="inlineStr">
        <is>
          <t>RAGUNDA</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8877-2023</t>
        </is>
      </c>
      <c r="B960" s="1" t="n">
        <v>44978</v>
      </c>
      <c r="C960" s="1" t="n">
        <v>45359</v>
      </c>
      <c r="D960" t="inlineStr">
        <is>
          <t>JÄMTLANDS LÄN</t>
        </is>
      </c>
      <c r="E960" t="inlineStr">
        <is>
          <t>RAGUNDA</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8878-2023</t>
        </is>
      </c>
      <c r="B961" s="1" t="n">
        <v>44978</v>
      </c>
      <c r="C961" s="1" t="n">
        <v>45359</v>
      </c>
      <c r="D961" t="inlineStr">
        <is>
          <t>JÄMTLANDS LÄN</t>
        </is>
      </c>
      <c r="E961" t="inlineStr">
        <is>
          <t>RAGUNDA</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8876-2023</t>
        </is>
      </c>
      <c r="B962" s="1" t="n">
        <v>44978</v>
      </c>
      <c r="C962" s="1" t="n">
        <v>45359</v>
      </c>
      <c r="D962" t="inlineStr">
        <is>
          <t>JÄMTLANDS LÄN</t>
        </is>
      </c>
      <c r="E962" t="inlineStr">
        <is>
          <t>RAGUNDA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9084-2023</t>
        </is>
      </c>
      <c r="B963" s="1" t="n">
        <v>44979</v>
      </c>
      <c r="C963" s="1" t="n">
        <v>45359</v>
      </c>
      <c r="D963" t="inlineStr">
        <is>
          <t>JÄMTLANDS LÄN</t>
        </is>
      </c>
      <c r="E963" t="inlineStr">
        <is>
          <t>RAGUNDA</t>
        </is>
      </c>
      <c r="G963" t="n">
        <v>1.9</v>
      </c>
      <c r="H963" t="n">
        <v>0</v>
      </c>
      <c r="I963" t="n">
        <v>0</v>
      </c>
      <c r="J963" t="n">
        <v>0</v>
      </c>
      <c r="K963" t="n">
        <v>0</v>
      </c>
      <c r="L963" t="n">
        <v>0</v>
      </c>
      <c r="M963" t="n">
        <v>0</v>
      </c>
      <c r="N963" t="n">
        <v>0</v>
      </c>
      <c r="O963" t="n">
        <v>0</v>
      </c>
      <c r="P963" t="n">
        <v>0</v>
      </c>
      <c r="Q963" t="n">
        <v>0</v>
      </c>
      <c r="R963" s="2" t="inlineStr"/>
    </row>
    <row r="964" ht="15" customHeight="1">
      <c r="A964" t="inlineStr">
        <is>
          <t>A 9082-2023</t>
        </is>
      </c>
      <c r="B964" s="1" t="n">
        <v>44979</v>
      </c>
      <c r="C964" s="1" t="n">
        <v>45359</v>
      </c>
      <c r="D964" t="inlineStr">
        <is>
          <t>JÄMTLANDS LÄN</t>
        </is>
      </c>
      <c r="E964" t="inlineStr">
        <is>
          <t>RAGUNDA</t>
        </is>
      </c>
      <c r="G964" t="n">
        <v>1.1</v>
      </c>
      <c r="H964" t="n">
        <v>0</v>
      </c>
      <c r="I964" t="n">
        <v>0</v>
      </c>
      <c r="J964" t="n">
        <v>0</v>
      </c>
      <c r="K964" t="n">
        <v>0</v>
      </c>
      <c r="L964" t="n">
        <v>0</v>
      </c>
      <c r="M964" t="n">
        <v>0</v>
      </c>
      <c r="N964" t="n">
        <v>0</v>
      </c>
      <c r="O964" t="n">
        <v>0</v>
      </c>
      <c r="P964" t="n">
        <v>0</v>
      </c>
      <c r="Q964" t="n">
        <v>0</v>
      </c>
      <c r="R964" s="2" t="inlineStr"/>
    </row>
    <row r="965" ht="15" customHeight="1">
      <c r="A965" t="inlineStr">
        <is>
          <t>A 9100-2023</t>
        </is>
      </c>
      <c r="B965" s="1" t="n">
        <v>44979</v>
      </c>
      <c r="C965" s="1" t="n">
        <v>45359</v>
      </c>
      <c r="D965" t="inlineStr">
        <is>
          <t>JÄMTLANDS LÄN</t>
        </is>
      </c>
      <c r="E965" t="inlineStr">
        <is>
          <t>RAGUNDA</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9094-2023</t>
        </is>
      </c>
      <c r="B966" s="1" t="n">
        <v>44979</v>
      </c>
      <c r="C966" s="1" t="n">
        <v>45359</v>
      </c>
      <c r="D966" t="inlineStr">
        <is>
          <t>JÄMTLANDS LÄN</t>
        </is>
      </c>
      <c r="E966" t="inlineStr">
        <is>
          <t>RAGUNDA</t>
        </is>
      </c>
      <c r="F966" t="inlineStr">
        <is>
          <t>SCA</t>
        </is>
      </c>
      <c r="G966" t="n">
        <v>28.2</v>
      </c>
      <c r="H966" t="n">
        <v>0</v>
      </c>
      <c r="I966" t="n">
        <v>0</v>
      </c>
      <c r="J966" t="n">
        <v>0</v>
      </c>
      <c r="K966" t="n">
        <v>0</v>
      </c>
      <c r="L966" t="n">
        <v>0</v>
      </c>
      <c r="M966" t="n">
        <v>0</v>
      </c>
      <c r="N966" t="n">
        <v>0</v>
      </c>
      <c r="O966" t="n">
        <v>0</v>
      </c>
      <c r="P966" t="n">
        <v>0</v>
      </c>
      <c r="Q966" t="n">
        <v>0</v>
      </c>
      <c r="R966" s="2" t="inlineStr"/>
    </row>
    <row r="967" ht="15" customHeight="1">
      <c r="A967" t="inlineStr">
        <is>
          <t>A 9346-2023</t>
        </is>
      </c>
      <c r="B967" s="1" t="n">
        <v>44980</v>
      </c>
      <c r="C967" s="1" t="n">
        <v>45359</v>
      </c>
      <c r="D967" t="inlineStr">
        <is>
          <t>JÄMTLANDS LÄN</t>
        </is>
      </c>
      <c r="E967" t="inlineStr">
        <is>
          <t>RAGUNDA</t>
        </is>
      </c>
      <c r="G967" t="n">
        <v>1</v>
      </c>
      <c r="H967" t="n">
        <v>0</v>
      </c>
      <c r="I967" t="n">
        <v>0</v>
      </c>
      <c r="J967" t="n">
        <v>0</v>
      </c>
      <c r="K967" t="n">
        <v>0</v>
      </c>
      <c r="L967" t="n">
        <v>0</v>
      </c>
      <c r="M967" t="n">
        <v>0</v>
      </c>
      <c r="N967" t="n">
        <v>0</v>
      </c>
      <c r="O967" t="n">
        <v>0</v>
      </c>
      <c r="P967" t="n">
        <v>0</v>
      </c>
      <c r="Q967" t="n">
        <v>0</v>
      </c>
      <c r="R967" s="2" t="inlineStr"/>
    </row>
    <row r="968" ht="15" customHeight="1">
      <c r="A968" t="inlineStr">
        <is>
          <t>A 9360-2023</t>
        </is>
      </c>
      <c r="B968" s="1" t="n">
        <v>44980</v>
      </c>
      <c r="C968" s="1" t="n">
        <v>45359</v>
      </c>
      <c r="D968" t="inlineStr">
        <is>
          <t>JÄMTLANDS LÄN</t>
        </is>
      </c>
      <c r="E968" t="inlineStr">
        <is>
          <t>RAGUNDA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9339-2023</t>
        </is>
      </c>
      <c r="B969" s="1" t="n">
        <v>44980</v>
      </c>
      <c r="C969" s="1" t="n">
        <v>45359</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10706-2023</t>
        </is>
      </c>
      <c r="B970" s="1" t="n">
        <v>44984</v>
      </c>
      <c r="C970" s="1" t="n">
        <v>45359</v>
      </c>
      <c r="D970" t="inlineStr">
        <is>
          <t>JÄMTLANDS LÄN</t>
        </is>
      </c>
      <c r="E970" t="inlineStr">
        <is>
          <t>RAGUNDA</t>
        </is>
      </c>
      <c r="G970" t="n">
        <v>7.7</v>
      </c>
      <c r="H970" t="n">
        <v>0</v>
      </c>
      <c r="I970" t="n">
        <v>0</v>
      </c>
      <c r="J970" t="n">
        <v>0</v>
      </c>
      <c r="K970" t="n">
        <v>0</v>
      </c>
      <c r="L970" t="n">
        <v>0</v>
      </c>
      <c r="M970" t="n">
        <v>0</v>
      </c>
      <c r="N970" t="n">
        <v>0</v>
      </c>
      <c r="O970" t="n">
        <v>0</v>
      </c>
      <c r="P970" t="n">
        <v>0</v>
      </c>
      <c r="Q970" t="n">
        <v>0</v>
      </c>
      <c r="R970" s="2" t="inlineStr"/>
    </row>
    <row r="971" ht="15" customHeight="1">
      <c r="A971" t="inlineStr">
        <is>
          <t>A 10092-2023</t>
        </is>
      </c>
      <c r="B971" s="1" t="n">
        <v>44985</v>
      </c>
      <c r="C971" s="1" t="n">
        <v>45359</v>
      </c>
      <c r="D971" t="inlineStr">
        <is>
          <t>JÄMTLANDS LÄN</t>
        </is>
      </c>
      <c r="E971" t="inlineStr">
        <is>
          <t>RAGUNDA</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11093-2023</t>
        </is>
      </c>
      <c r="B972" s="1" t="n">
        <v>44986</v>
      </c>
      <c r="C972" s="1" t="n">
        <v>45359</v>
      </c>
      <c r="D972" t="inlineStr">
        <is>
          <t>JÄMTLANDS LÄN</t>
        </is>
      </c>
      <c r="E972" t="inlineStr">
        <is>
          <t>RAGUNDA</t>
        </is>
      </c>
      <c r="G972" t="n">
        <v>3.6</v>
      </c>
      <c r="H972" t="n">
        <v>0</v>
      </c>
      <c r="I972" t="n">
        <v>0</v>
      </c>
      <c r="J972" t="n">
        <v>0</v>
      </c>
      <c r="K972" t="n">
        <v>0</v>
      </c>
      <c r="L972" t="n">
        <v>0</v>
      </c>
      <c r="M972" t="n">
        <v>0</v>
      </c>
      <c r="N972" t="n">
        <v>0</v>
      </c>
      <c r="O972" t="n">
        <v>0</v>
      </c>
      <c r="P972" t="n">
        <v>0</v>
      </c>
      <c r="Q972" t="n">
        <v>0</v>
      </c>
      <c r="R972" s="2" t="inlineStr"/>
    </row>
    <row r="973" ht="15" customHeight="1">
      <c r="A973" t="inlineStr">
        <is>
          <t>A 10550-2023</t>
        </is>
      </c>
      <c r="B973" s="1" t="n">
        <v>44987</v>
      </c>
      <c r="C973" s="1" t="n">
        <v>45359</v>
      </c>
      <c r="D973" t="inlineStr">
        <is>
          <t>JÄMTLANDS LÄN</t>
        </is>
      </c>
      <c r="E973" t="inlineStr">
        <is>
          <t>RAGUNDA</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10559-2023</t>
        </is>
      </c>
      <c r="B974" s="1" t="n">
        <v>44987</v>
      </c>
      <c r="C974" s="1" t="n">
        <v>45359</v>
      </c>
      <c r="D974" t="inlineStr">
        <is>
          <t>JÄMTLANDS LÄN</t>
        </is>
      </c>
      <c r="E974" t="inlineStr">
        <is>
          <t>RAGUNDA</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11040-2023</t>
        </is>
      </c>
      <c r="B975" s="1" t="n">
        <v>44991</v>
      </c>
      <c r="C975" s="1" t="n">
        <v>45359</v>
      </c>
      <c r="D975" t="inlineStr">
        <is>
          <t>JÄMTLANDS LÄN</t>
        </is>
      </c>
      <c r="E975" t="inlineStr">
        <is>
          <t>RAGUNDA</t>
        </is>
      </c>
      <c r="F975" t="inlineStr">
        <is>
          <t>SCA</t>
        </is>
      </c>
      <c r="G975" t="n">
        <v>10.2</v>
      </c>
      <c r="H975" t="n">
        <v>0</v>
      </c>
      <c r="I975" t="n">
        <v>0</v>
      </c>
      <c r="J975" t="n">
        <v>0</v>
      </c>
      <c r="K975" t="n">
        <v>0</v>
      </c>
      <c r="L975" t="n">
        <v>0</v>
      </c>
      <c r="M975" t="n">
        <v>0</v>
      </c>
      <c r="N975" t="n">
        <v>0</v>
      </c>
      <c r="O975" t="n">
        <v>0</v>
      </c>
      <c r="P975" t="n">
        <v>0</v>
      </c>
      <c r="Q975" t="n">
        <v>0</v>
      </c>
      <c r="R975" s="2" t="inlineStr"/>
    </row>
    <row r="976" ht="15" customHeight="1">
      <c r="A976" t="inlineStr">
        <is>
          <t>A 11048-2023</t>
        </is>
      </c>
      <c r="B976" s="1" t="n">
        <v>44991</v>
      </c>
      <c r="C976" s="1" t="n">
        <v>45359</v>
      </c>
      <c r="D976" t="inlineStr">
        <is>
          <t>JÄMTLANDS LÄN</t>
        </is>
      </c>
      <c r="E976" t="inlineStr">
        <is>
          <t>RAGUNDA</t>
        </is>
      </c>
      <c r="F976" t="inlineStr">
        <is>
          <t>SCA</t>
        </is>
      </c>
      <c r="G976" t="n">
        <v>13.5</v>
      </c>
      <c r="H976" t="n">
        <v>0</v>
      </c>
      <c r="I976" t="n">
        <v>0</v>
      </c>
      <c r="J976" t="n">
        <v>0</v>
      </c>
      <c r="K976" t="n">
        <v>0</v>
      </c>
      <c r="L976" t="n">
        <v>0</v>
      </c>
      <c r="M976" t="n">
        <v>0</v>
      </c>
      <c r="N976" t="n">
        <v>0</v>
      </c>
      <c r="O976" t="n">
        <v>0</v>
      </c>
      <c r="P976" t="n">
        <v>0</v>
      </c>
      <c r="Q976" t="n">
        <v>0</v>
      </c>
      <c r="R976" s="2" t="inlineStr"/>
    </row>
    <row r="977" ht="15" customHeight="1">
      <c r="A977" t="inlineStr">
        <is>
          <t>A 11063-2023</t>
        </is>
      </c>
      <c r="B977" s="1" t="n">
        <v>44991</v>
      </c>
      <c r="C977" s="1" t="n">
        <v>45359</v>
      </c>
      <c r="D977" t="inlineStr">
        <is>
          <t>JÄMTLANDS LÄN</t>
        </is>
      </c>
      <c r="E977" t="inlineStr">
        <is>
          <t>RAGUNDA</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11062-2023</t>
        </is>
      </c>
      <c r="B978" s="1" t="n">
        <v>44991</v>
      </c>
      <c r="C978" s="1" t="n">
        <v>45359</v>
      </c>
      <c r="D978" t="inlineStr">
        <is>
          <t>JÄMTLANDS LÄN</t>
        </is>
      </c>
      <c r="E978" t="inlineStr">
        <is>
          <t>RAGUNDA</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11603-2023</t>
        </is>
      </c>
      <c r="B979" s="1" t="n">
        <v>44992</v>
      </c>
      <c r="C979" s="1" t="n">
        <v>45359</v>
      </c>
      <c r="D979" t="inlineStr">
        <is>
          <t>JÄMTLANDS LÄN</t>
        </is>
      </c>
      <c r="E979" t="inlineStr">
        <is>
          <t>RAGUNDA</t>
        </is>
      </c>
      <c r="G979" t="n">
        <v>7.1</v>
      </c>
      <c r="H979" t="n">
        <v>0</v>
      </c>
      <c r="I979" t="n">
        <v>0</v>
      </c>
      <c r="J979" t="n">
        <v>0</v>
      </c>
      <c r="K979" t="n">
        <v>0</v>
      </c>
      <c r="L979" t="n">
        <v>0</v>
      </c>
      <c r="M979" t="n">
        <v>0</v>
      </c>
      <c r="N979" t="n">
        <v>0</v>
      </c>
      <c r="O979" t="n">
        <v>0</v>
      </c>
      <c r="P979" t="n">
        <v>0</v>
      </c>
      <c r="Q979" t="n">
        <v>0</v>
      </c>
      <c r="R979" s="2" t="inlineStr"/>
    </row>
    <row r="980" ht="15" customHeight="1">
      <c r="A980" t="inlineStr">
        <is>
          <t>A 11556-2023</t>
        </is>
      </c>
      <c r="B980" s="1" t="n">
        <v>44993</v>
      </c>
      <c r="C980" s="1" t="n">
        <v>45359</v>
      </c>
      <c r="D980" t="inlineStr">
        <is>
          <t>JÄMTLANDS LÄN</t>
        </is>
      </c>
      <c r="E980" t="inlineStr">
        <is>
          <t>RAGUNDA</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11322-2023</t>
        </is>
      </c>
      <c r="B981" s="1" t="n">
        <v>44993</v>
      </c>
      <c r="C981" s="1" t="n">
        <v>45359</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11558-2023</t>
        </is>
      </c>
      <c r="B982" s="1" t="n">
        <v>44993</v>
      </c>
      <c r="C982" s="1" t="n">
        <v>45359</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11553-2023</t>
        </is>
      </c>
      <c r="B983" s="1" t="n">
        <v>44993</v>
      </c>
      <c r="C983" s="1" t="n">
        <v>45359</v>
      </c>
      <c r="D983" t="inlineStr">
        <is>
          <t>JÄMTLANDS LÄN</t>
        </is>
      </c>
      <c r="E983" t="inlineStr">
        <is>
          <t>RAGUNDA</t>
        </is>
      </c>
      <c r="F983" t="inlineStr">
        <is>
          <t>SCA</t>
        </is>
      </c>
      <c r="G983" t="n">
        <v>4.3</v>
      </c>
      <c r="H983" t="n">
        <v>0</v>
      </c>
      <c r="I983" t="n">
        <v>0</v>
      </c>
      <c r="J983" t="n">
        <v>0</v>
      </c>
      <c r="K983" t="n">
        <v>0</v>
      </c>
      <c r="L983" t="n">
        <v>0</v>
      </c>
      <c r="M983" t="n">
        <v>0</v>
      </c>
      <c r="N983" t="n">
        <v>0</v>
      </c>
      <c r="O983" t="n">
        <v>0</v>
      </c>
      <c r="P983" t="n">
        <v>0</v>
      </c>
      <c r="Q983" t="n">
        <v>0</v>
      </c>
      <c r="R983" s="2" t="inlineStr"/>
    </row>
    <row r="984" ht="15" customHeight="1">
      <c r="A984" t="inlineStr">
        <is>
          <t>A 11557-2023</t>
        </is>
      </c>
      <c r="B984" s="1" t="n">
        <v>44993</v>
      </c>
      <c r="C984" s="1" t="n">
        <v>45359</v>
      </c>
      <c r="D984" t="inlineStr">
        <is>
          <t>JÄMTLANDS LÄN</t>
        </is>
      </c>
      <c r="E984" t="inlineStr">
        <is>
          <t>RAGUNDA</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11562-2023</t>
        </is>
      </c>
      <c r="B985" s="1" t="n">
        <v>44993</v>
      </c>
      <c r="C985" s="1" t="n">
        <v>45359</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11843-2023</t>
        </is>
      </c>
      <c r="B986" s="1" t="n">
        <v>44993</v>
      </c>
      <c r="C986" s="1" t="n">
        <v>45359</v>
      </c>
      <c r="D986" t="inlineStr">
        <is>
          <t>JÄMTLANDS LÄN</t>
        </is>
      </c>
      <c r="E986" t="inlineStr">
        <is>
          <t>RAGUNDA</t>
        </is>
      </c>
      <c r="G986" t="n">
        <v>6.4</v>
      </c>
      <c r="H986" t="n">
        <v>0</v>
      </c>
      <c r="I986" t="n">
        <v>0</v>
      </c>
      <c r="J986" t="n">
        <v>0</v>
      </c>
      <c r="K986" t="n">
        <v>0</v>
      </c>
      <c r="L986" t="n">
        <v>0</v>
      </c>
      <c r="M986" t="n">
        <v>0</v>
      </c>
      <c r="N986" t="n">
        <v>0</v>
      </c>
      <c r="O986" t="n">
        <v>0</v>
      </c>
      <c r="P986" t="n">
        <v>0</v>
      </c>
      <c r="Q986" t="n">
        <v>0</v>
      </c>
      <c r="R986" s="2" t="inlineStr"/>
    </row>
    <row r="987" ht="15" customHeight="1">
      <c r="A987" t="inlineStr">
        <is>
          <t>A 11834-2023</t>
        </is>
      </c>
      <c r="B987" s="1" t="n">
        <v>44994</v>
      </c>
      <c r="C987" s="1" t="n">
        <v>45359</v>
      </c>
      <c r="D987" t="inlineStr">
        <is>
          <t>JÄMTLANDS LÄN</t>
        </is>
      </c>
      <c r="E987" t="inlineStr">
        <is>
          <t>RAGUNDA</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12055-2023</t>
        </is>
      </c>
      <c r="B988" s="1" t="n">
        <v>44995</v>
      </c>
      <c r="C988" s="1" t="n">
        <v>45359</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12051-2023</t>
        </is>
      </c>
      <c r="B989" s="1" t="n">
        <v>44995</v>
      </c>
      <c r="C989" s="1" t="n">
        <v>45359</v>
      </c>
      <c r="D989" t="inlineStr">
        <is>
          <t>JÄMTLANDS LÄN</t>
        </is>
      </c>
      <c r="E989" t="inlineStr">
        <is>
          <t>RAGUNDA</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12040-2023</t>
        </is>
      </c>
      <c r="B990" s="1" t="n">
        <v>44996</v>
      </c>
      <c r="C990" s="1" t="n">
        <v>45359</v>
      </c>
      <c r="D990" t="inlineStr">
        <is>
          <t>JÄMTLANDS LÄN</t>
        </is>
      </c>
      <c r="E990" t="inlineStr">
        <is>
          <t>RAGUNDA</t>
        </is>
      </c>
      <c r="F990" t="inlineStr">
        <is>
          <t>SCA</t>
        </is>
      </c>
      <c r="G990" t="n">
        <v>13.2</v>
      </c>
      <c r="H990" t="n">
        <v>0</v>
      </c>
      <c r="I990" t="n">
        <v>0</v>
      </c>
      <c r="J990" t="n">
        <v>0</v>
      </c>
      <c r="K990" t="n">
        <v>0</v>
      </c>
      <c r="L990" t="n">
        <v>0</v>
      </c>
      <c r="M990" t="n">
        <v>0</v>
      </c>
      <c r="N990" t="n">
        <v>0</v>
      </c>
      <c r="O990" t="n">
        <v>0</v>
      </c>
      <c r="P990" t="n">
        <v>0</v>
      </c>
      <c r="Q990" t="n">
        <v>0</v>
      </c>
      <c r="R990" s="2" t="inlineStr"/>
    </row>
    <row r="991" ht="15" customHeight="1">
      <c r="A991" t="inlineStr">
        <is>
          <t>A 12050-2023</t>
        </is>
      </c>
      <c r="B991" s="1" t="n">
        <v>44996</v>
      </c>
      <c r="C991" s="1" t="n">
        <v>45359</v>
      </c>
      <c r="D991" t="inlineStr">
        <is>
          <t>JÄMTLANDS LÄN</t>
        </is>
      </c>
      <c r="E991" t="inlineStr">
        <is>
          <t>RAGUNDA</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12039-2023</t>
        </is>
      </c>
      <c r="B992" s="1" t="n">
        <v>44996</v>
      </c>
      <c r="C992" s="1" t="n">
        <v>45359</v>
      </c>
      <c r="D992" t="inlineStr">
        <is>
          <t>JÄMTLANDS LÄN</t>
        </is>
      </c>
      <c r="E992" t="inlineStr">
        <is>
          <t>RAGUNDA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12523-2023</t>
        </is>
      </c>
      <c r="B993" s="1" t="n">
        <v>45000</v>
      </c>
      <c r="C993" s="1" t="n">
        <v>45359</v>
      </c>
      <c r="D993" t="inlineStr">
        <is>
          <t>JÄMTLANDS LÄN</t>
        </is>
      </c>
      <c r="E993" t="inlineStr">
        <is>
          <t>RAGUNDA</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12522-2023</t>
        </is>
      </c>
      <c r="B994" s="1" t="n">
        <v>45000</v>
      </c>
      <c r="C994" s="1" t="n">
        <v>45359</v>
      </c>
      <c r="D994" t="inlineStr">
        <is>
          <t>JÄMTLANDS LÄN</t>
        </is>
      </c>
      <c r="E994" t="inlineStr">
        <is>
          <t>RAGUNDA</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12521-2023</t>
        </is>
      </c>
      <c r="B995" s="1" t="n">
        <v>45000</v>
      </c>
      <c r="C995" s="1" t="n">
        <v>45359</v>
      </c>
      <c r="D995" t="inlineStr">
        <is>
          <t>JÄMTLANDS LÄN</t>
        </is>
      </c>
      <c r="E995" t="inlineStr">
        <is>
          <t>RAGUNDA</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12783-2023</t>
        </is>
      </c>
      <c r="B996" s="1" t="n">
        <v>45000</v>
      </c>
      <c r="C996" s="1" t="n">
        <v>45359</v>
      </c>
      <c r="D996" t="inlineStr">
        <is>
          <t>JÄMTLANDS LÄN</t>
        </is>
      </c>
      <c r="E996" t="inlineStr">
        <is>
          <t>RAGUNDA</t>
        </is>
      </c>
      <c r="G996" t="n">
        <v>0.9</v>
      </c>
      <c r="H996" t="n">
        <v>0</v>
      </c>
      <c r="I996" t="n">
        <v>0</v>
      </c>
      <c r="J996" t="n">
        <v>0</v>
      </c>
      <c r="K996" t="n">
        <v>0</v>
      </c>
      <c r="L996" t="n">
        <v>0</v>
      </c>
      <c r="M996" t="n">
        <v>0</v>
      </c>
      <c r="N996" t="n">
        <v>0</v>
      </c>
      <c r="O996" t="n">
        <v>0</v>
      </c>
      <c r="P996" t="n">
        <v>0</v>
      </c>
      <c r="Q996" t="n">
        <v>0</v>
      </c>
      <c r="R996" s="2" t="inlineStr"/>
    </row>
    <row r="997" ht="15" customHeight="1">
      <c r="A997" t="inlineStr">
        <is>
          <t>A 12750-2023</t>
        </is>
      </c>
      <c r="B997" s="1" t="n">
        <v>45000</v>
      </c>
      <c r="C997" s="1" t="n">
        <v>45359</v>
      </c>
      <c r="D997" t="inlineStr">
        <is>
          <t>JÄMTLANDS LÄN</t>
        </is>
      </c>
      <c r="E997" t="inlineStr">
        <is>
          <t>RAGUNDA</t>
        </is>
      </c>
      <c r="F997" t="inlineStr">
        <is>
          <t>Naturvårdsverket</t>
        </is>
      </c>
      <c r="G997" t="n">
        <v>5</v>
      </c>
      <c r="H997" t="n">
        <v>0</v>
      </c>
      <c r="I997" t="n">
        <v>0</v>
      </c>
      <c r="J997" t="n">
        <v>0</v>
      </c>
      <c r="K997" t="n">
        <v>0</v>
      </c>
      <c r="L997" t="n">
        <v>0</v>
      </c>
      <c r="M997" t="n">
        <v>0</v>
      </c>
      <c r="N997" t="n">
        <v>0</v>
      </c>
      <c r="O997" t="n">
        <v>0</v>
      </c>
      <c r="P997" t="n">
        <v>0</v>
      </c>
      <c r="Q997" t="n">
        <v>0</v>
      </c>
      <c r="R997" s="2" t="inlineStr"/>
    </row>
    <row r="998" ht="15" customHeight="1">
      <c r="A998" t="inlineStr">
        <is>
          <t>A 12995-2023</t>
        </is>
      </c>
      <c r="B998" s="1" t="n">
        <v>45002</v>
      </c>
      <c r="C998" s="1" t="n">
        <v>45359</v>
      </c>
      <c r="D998" t="inlineStr">
        <is>
          <t>JÄMTLANDS LÄN</t>
        </is>
      </c>
      <c r="E998" t="inlineStr">
        <is>
          <t>RAGUNDA</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13246-2023</t>
        </is>
      </c>
      <c r="B999" s="1" t="n">
        <v>45002</v>
      </c>
      <c r="C999" s="1" t="n">
        <v>45359</v>
      </c>
      <c r="D999" t="inlineStr">
        <is>
          <t>JÄMTLANDS LÄN</t>
        </is>
      </c>
      <c r="E999" t="inlineStr">
        <is>
          <t>RAGUNDA</t>
        </is>
      </c>
      <c r="G999" t="n">
        <v>2.2</v>
      </c>
      <c r="H999" t="n">
        <v>0</v>
      </c>
      <c r="I999" t="n">
        <v>0</v>
      </c>
      <c r="J999" t="n">
        <v>0</v>
      </c>
      <c r="K999" t="n">
        <v>0</v>
      </c>
      <c r="L999" t="n">
        <v>0</v>
      </c>
      <c r="M999" t="n">
        <v>0</v>
      </c>
      <c r="N999" t="n">
        <v>0</v>
      </c>
      <c r="O999" t="n">
        <v>0</v>
      </c>
      <c r="P999" t="n">
        <v>0</v>
      </c>
      <c r="Q999" t="n">
        <v>0</v>
      </c>
      <c r="R999" s="2" t="inlineStr"/>
    </row>
    <row r="1000" ht="15" customHeight="1">
      <c r="A1000" t="inlineStr">
        <is>
          <t>A 13700-2023</t>
        </is>
      </c>
      <c r="B1000" s="1" t="n">
        <v>45006</v>
      </c>
      <c r="C1000" s="1" t="n">
        <v>45359</v>
      </c>
      <c r="D1000" t="inlineStr">
        <is>
          <t>JÄMTLANDS LÄN</t>
        </is>
      </c>
      <c r="E1000" t="inlineStr">
        <is>
          <t>RAGUNDA</t>
        </is>
      </c>
      <c r="F1000" t="inlineStr">
        <is>
          <t>SCA</t>
        </is>
      </c>
      <c r="G1000" t="n">
        <v>50.3</v>
      </c>
      <c r="H1000" t="n">
        <v>0</v>
      </c>
      <c r="I1000" t="n">
        <v>0</v>
      </c>
      <c r="J1000" t="n">
        <v>0</v>
      </c>
      <c r="K1000" t="n">
        <v>0</v>
      </c>
      <c r="L1000" t="n">
        <v>0</v>
      </c>
      <c r="M1000" t="n">
        <v>0</v>
      </c>
      <c r="N1000" t="n">
        <v>0</v>
      </c>
      <c r="O1000" t="n">
        <v>0</v>
      </c>
      <c r="P1000" t="n">
        <v>0</v>
      </c>
      <c r="Q1000" t="n">
        <v>0</v>
      </c>
      <c r="R1000" s="2" t="inlineStr"/>
    </row>
    <row r="1001" ht="15" customHeight="1">
      <c r="A1001" t="inlineStr">
        <is>
          <t>A 13917-2023</t>
        </is>
      </c>
      <c r="B1001" s="1" t="n">
        <v>45007</v>
      </c>
      <c r="C1001" s="1" t="n">
        <v>45359</v>
      </c>
      <c r="D1001" t="inlineStr">
        <is>
          <t>JÄMTLANDS LÄN</t>
        </is>
      </c>
      <c r="E1001" t="inlineStr">
        <is>
          <t>RAGUNDA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13900-2023</t>
        </is>
      </c>
      <c r="B1002" s="1" t="n">
        <v>45008</v>
      </c>
      <c r="C1002" s="1" t="n">
        <v>45359</v>
      </c>
      <c r="D1002" t="inlineStr">
        <is>
          <t>JÄMTLANDS LÄN</t>
        </is>
      </c>
      <c r="E1002" t="inlineStr">
        <is>
          <t>RAGUNDA</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13898-2023</t>
        </is>
      </c>
      <c r="B1003" s="1" t="n">
        <v>45008</v>
      </c>
      <c r="C1003" s="1" t="n">
        <v>45359</v>
      </c>
      <c r="D1003" t="inlineStr">
        <is>
          <t>JÄMTLANDS LÄN</t>
        </is>
      </c>
      <c r="E1003" t="inlineStr">
        <is>
          <t>RAGUNDA</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14179-2023</t>
        </is>
      </c>
      <c r="B1004" s="1" t="n">
        <v>45009</v>
      </c>
      <c r="C1004" s="1" t="n">
        <v>45359</v>
      </c>
      <c r="D1004" t="inlineStr">
        <is>
          <t>JÄMTLANDS LÄN</t>
        </is>
      </c>
      <c r="E1004" t="inlineStr">
        <is>
          <t>RAGUNDA</t>
        </is>
      </c>
      <c r="G1004" t="n">
        <v>33.8</v>
      </c>
      <c r="H1004" t="n">
        <v>0</v>
      </c>
      <c r="I1004" t="n">
        <v>0</v>
      </c>
      <c r="J1004" t="n">
        <v>0</v>
      </c>
      <c r="K1004" t="n">
        <v>0</v>
      </c>
      <c r="L1004" t="n">
        <v>0</v>
      </c>
      <c r="M1004" t="n">
        <v>0</v>
      </c>
      <c r="N1004" t="n">
        <v>0</v>
      </c>
      <c r="O1004" t="n">
        <v>0</v>
      </c>
      <c r="P1004" t="n">
        <v>0</v>
      </c>
      <c r="Q1004" t="n">
        <v>0</v>
      </c>
      <c r="R1004" s="2" t="inlineStr"/>
    </row>
    <row r="1005" ht="15" customHeight="1">
      <c r="A1005" t="inlineStr">
        <is>
          <t>A 14074-2023</t>
        </is>
      </c>
      <c r="B1005" s="1" t="n">
        <v>45009</v>
      </c>
      <c r="C1005" s="1" t="n">
        <v>45359</v>
      </c>
      <c r="D1005" t="inlineStr">
        <is>
          <t>JÄMTLANDS LÄN</t>
        </is>
      </c>
      <c r="E1005" t="inlineStr">
        <is>
          <t>RAGUNDA</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14212-2023</t>
        </is>
      </c>
      <c r="B1006" s="1" t="n">
        <v>45009</v>
      </c>
      <c r="C1006" s="1" t="n">
        <v>45359</v>
      </c>
      <c r="D1006" t="inlineStr">
        <is>
          <t>JÄMTLANDS LÄN</t>
        </is>
      </c>
      <c r="E1006" t="inlineStr">
        <is>
          <t>RAGUNDA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14076-2023</t>
        </is>
      </c>
      <c r="B1007" s="1" t="n">
        <v>45009</v>
      </c>
      <c r="C1007" s="1" t="n">
        <v>45359</v>
      </c>
      <c r="D1007" t="inlineStr">
        <is>
          <t>JÄMTLANDS LÄN</t>
        </is>
      </c>
      <c r="E1007" t="inlineStr">
        <is>
          <t>RAGUNDA</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14081-2023</t>
        </is>
      </c>
      <c r="B1008" s="1" t="n">
        <v>45009</v>
      </c>
      <c r="C1008" s="1" t="n">
        <v>45359</v>
      </c>
      <c r="D1008" t="inlineStr">
        <is>
          <t>JÄMTLANDS LÄN</t>
        </is>
      </c>
      <c r="E1008" t="inlineStr">
        <is>
          <t>RAGUNDA</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14080-2023</t>
        </is>
      </c>
      <c r="B1009" s="1" t="n">
        <v>45009</v>
      </c>
      <c r="C1009" s="1" t="n">
        <v>45359</v>
      </c>
      <c r="D1009" t="inlineStr">
        <is>
          <t>JÄMTLANDS LÄN</t>
        </is>
      </c>
      <c r="E1009" t="inlineStr">
        <is>
          <t>RAGUNDA</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14531-2023</t>
        </is>
      </c>
      <c r="B1010" s="1" t="n">
        <v>45013</v>
      </c>
      <c r="C1010" s="1" t="n">
        <v>45359</v>
      </c>
      <c r="D1010" t="inlineStr">
        <is>
          <t>JÄMTLANDS LÄN</t>
        </is>
      </c>
      <c r="E1010" t="inlineStr">
        <is>
          <t>RAGUNDA</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14869-2023</t>
        </is>
      </c>
      <c r="B1011" s="1" t="n">
        <v>45015</v>
      </c>
      <c r="C1011" s="1" t="n">
        <v>45359</v>
      </c>
      <c r="D1011" t="inlineStr">
        <is>
          <t>JÄMTLANDS LÄN</t>
        </is>
      </c>
      <c r="E1011" t="inlineStr">
        <is>
          <t>RAGUNDA</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14868-2023</t>
        </is>
      </c>
      <c r="B1012" s="1" t="n">
        <v>45015</v>
      </c>
      <c r="C1012" s="1" t="n">
        <v>45359</v>
      </c>
      <c r="D1012" t="inlineStr">
        <is>
          <t>JÄMTLANDS LÄN</t>
        </is>
      </c>
      <c r="E1012" t="inlineStr">
        <is>
          <t>RAGUNDA</t>
        </is>
      </c>
      <c r="F1012" t="inlineStr">
        <is>
          <t>SCA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15078-2023</t>
        </is>
      </c>
      <c r="B1013" s="1" t="n">
        <v>45015</v>
      </c>
      <c r="C1013" s="1" t="n">
        <v>45359</v>
      </c>
      <c r="D1013" t="inlineStr">
        <is>
          <t>JÄMTLANDS LÄN</t>
        </is>
      </c>
      <c r="E1013" t="inlineStr">
        <is>
          <t>RAGUNDA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15077-2023</t>
        </is>
      </c>
      <c r="B1014" s="1" t="n">
        <v>45015</v>
      </c>
      <c r="C1014" s="1" t="n">
        <v>45359</v>
      </c>
      <c r="D1014" t="inlineStr">
        <is>
          <t>JÄMTLANDS LÄN</t>
        </is>
      </c>
      <c r="E1014" t="inlineStr">
        <is>
          <t>RAGUNDA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16364-2023</t>
        </is>
      </c>
      <c r="B1015" s="1" t="n">
        <v>45028</v>
      </c>
      <c r="C1015" s="1" t="n">
        <v>45359</v>
      </c>
      <c r="D1015" t="inlineStr">
        <is>
          <t>JÄMTLANDS LÄN</t>
        </is>
      </c>
      <c r="E1015" t="inlineStr">
        <is>
          <t>RAGUNDA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17248-2023</t>
        </is>
      </c>
      <c r="B1016" s="1" t="n">
        <v>45033</v>
      </c>
      <c r="C1016" s="1" t="n">
        <v>45359</v>
      </c>
      <c r="D1016" t="inlineStr">
        <is>
          <t>JÄMTLANDS LÄN</t>
        </is>
      </c>
      <c r="E1016" t="inlineStr">
        <is>
          <t>RAGUNDA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17207-2023</t>
        </is>
      </c>
      <c r="B1017" s="1" t="n">
        <v>45035</v>
      </c>
      <c r="C1017" s="1" t="n">
        <v>45359</v>
      </c>
      <c r="D1017" t="inlineStr">
        <is>
          <t>JÄMTLANDS LÄN</t>
        </is>
      </c>
      <c r="E1017" t="inlineStr">
        <is>
          <t>RAGUNDA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17206-2023</t>
        </is>
      </c>
      <c r="B1018" s="1" t="n">
        <v>45035</v>
      </c>
      <c r="C1018" s="1" t="n">
        <v>45359</v>
      </c>
      <c r="D1018" t="inlineStr">
        <is>
          <t>JÄMTLANDS LÄN</t>
        </is>
      </c>
      <c r="E1018" t="inlineStr">
        <is>
          <t>RAGUNDA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17559-2023</t>
        </is>
      </c>
      <c r="B1019" s="1" t="n">
        <v>45034</v>
      </c>
      <c r="C1019" s="1" t="n">
        <v>45359</v>
      </c>
      <c r="D1019" t="inlineStr">
        <is>
          <t>JÄMTLANDS LÄN</t>
        </is>
      </c>
      <c r="E1019" t="inlineStr">
        <is>
          <t>RAGUNDA</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17864-2023</t>
        </is>
      </c>
      <c r="B1020" s="1" t="n">
        <v>45038</v>
      </c>
      <c r="C1020" s="1" t="n">
        <v>45359</v>
      </c>
      <c r="D1020" t="inlineStr">
        <is>
          <t>JÄMTLANDS LÄN</t>
        </is>
      </c>
      <c r="E1020" t="inlineStr">
        <is>
          <t>RAGUNDA</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17863-2023</t>
        </is>
      </c>
      <c r="B1021" s="1" t="n">
        <v>45038</v>
      </c>
      <c r="C1021" s="1" t="n">
        <v>45359</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18159-2023</t>
        </is>
      </c>
      <c r="B1022" s="1" t="n">
        <v>45041</v>
      </c>
      <c r="C1022" s="1" t="n">
        <v>45359</v>
      </c>
      <c r="D1022" t="inlineStr">
        <is>
          <t>JÄMTLANDS LÄN</t>
        </is>
      </c>
      <c r="E1022" t="inlineStr">
        <is>
          <t>RAGUNDA</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18145-2023</t>
        </is>
      </c>
      <c r="B1023" s="1" t="n">
        <v>45041</v>
      </c>
      <c r="C1023" s="1" t="n">
        <v>45359</v>
      </c>
      <c r="D1023" t="inlineStr">
        <is>
          <t>JÄMTLANDS LÄN</t>
        </is>
      </c>
      <c r="E1023" t="inlineStr">
        <is>
          <t>RAGUNDA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18248-2023</t>
        </is>
      </c>
      <c r="B1024" s="1" t="n">
        <v>45040</v>
      </c>
      <c r="C1024" s="1" t="n">
        <v>45359</v>
      </c>
      <c r="D1024" t="inlineStr">
        <is>
          <t>JÄMTLANDS LÄN</t>
        </is>
      </c>
      <c r="E1024" t="inlineStr">
        <is>
          <t>RAGUNDA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18557-2023</t>
        </is>
      </c>
      <c r="B1025" s="1" t="n">
        <v>45043</v>
      </c>
      <c r="C1025" s="1" t="n">
        <v>45359</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18556-2023</t>
        </is>
      </c>
      <c r="B1026" s="1" t="n">
        <v>45043</v>
      </c>
      <c r="C1026" s="1" t="n">
        <v>45359</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18820-2023</t>
        </is>
      </c>
      <c r="B1027" s="1" t="n">
        <v>45042</v>
      </c>
      <c r="C1027" s="1" t="n">
        <v>45359</v>
      </c>
      <c r="D1027" t="inlineStr">
        <is>
          <t>JÄMTLANDS LÄN</t>
        </is>
      </c>
      <c r="E1027" t="inlineStr">
        <is>
          <t>RAGUNDA</t>
        </is>
      </c>
      <c r="G1027" t="n">
        <v>18.8</v>
      </c>
      <c r="H1027" t="n">
        <v>0</v>
      </c>
      <c r="I1027" t="n">
        <v>0</v>
      </c>
      <c r="J1027" t="n">
        <v>0</v>
      </c>
      <c r="K1027" t="n">
        <v>0</v>
      </c>
      <c r="L1027" t="n">
        <v>0</v>
      </c>
      <c r="M1027" t="n">
        <v>0</v>
      </c>
      <c r="N1027" t="n">
        <v>0</v>
      </c>
      <c r="O1027" t="n">
        <v>0</v>
      </c>
      <c r="P1027" t="n">
        <v>0</v>
      </c>
      <c r="Q1027" t="n">
        <v>0</v>
      </c>
      <c r="R1027" s="2" t="inlineStr"/>
    </row>
    <row r="1028" ht="15" customHeight="1">
      <c r="A1028" t="inlineStr">
        <is>
          <t>A 18984-2023</t>
        </is>
      </c>
      <c r="B1028" s="1" t="n">
        <v>45044</v>
      </c>
      <c r="C1028" s="1" t="n">
        <v>45359</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18995-2023</t>
        </is>
      </c>
      <c r="B1029" s="1" t="n">
        <v>45045</v>
      </c>
      <c r="C1029" s="1" t="n">
        <v>45359</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18996-2023</t>
        </is>
      </c>
      <c r="B1030" s="1" t="n">
        <v>45045</v>
      </c>
      <c r="C1030" s="1" t="n">
        <v>45359</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19242-2023</t>
        </is>
      </c>
      <c r="B1031" s="1" t="n">
        <v>45048</v>
      </c>
      <c r="C1031" s="1" t="n">
        <v>45359</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19246-2023</t>
        </is>
      </c>
      <c r="B1032" s="1" t="n">
        <v>45049</v>
      </c>
      <c r="C1032" s="1" t="n">
        <v>45359</v>
      </c>
      <c r="D1032" t="inlineStr">
        <is>
          <t>JÄMTLANDS LÄN</t>
        </is>
      </c>
      <c r="E1032" t="inlineStr">
        <is>
          <t>RAGUNDA</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19438-2023</t>
        </is>
      </c>
      <c r="B1033" s="1" t="n">
        <v>45049</v>
      </c>
      <c r="C1033" s="1" t="n">
        <v>45359</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19613-2023</t>
        </is>
      </c>
      <c r="B1034" s="1" t="n">
        <v>45051</v>
      </c>
      <c r="C1034" s="1" t="n">
        <v>45359</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19612-2023</t>
        </is>
      </c>
      <c r="B1035" s="1" t="n">
        <v>45051</v>
      </c>
      <c r="C1035" s="1" t="n">
        <v>45359</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19620-2023</t>
        </is>
      </c>
      <c r="B1036" s="1" t="n">
        <v>45050</v>
      </c>
      <c r="C1036" s="1" t="n">
        <v>45359</v>
      </c>
      <c r="D1036" t="inlineStr">
        <is>
          <t>JÄMTLANDS LÄN</t>
        </is>
      </c>
      <c r="E1036" t="inlineStr">
        <is>
          <t>RAGUNDA</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19865-2023</t>
        </is>
      </c>
      <c r="B1037" s="1" t="n">
        <v>45054</v>
      </c>
      <c r="C1037" s="1" t="n">
        <v>45359</v>
      </c>
      <c r="D1037" t="inlineStr">
        <is>
          <t>JÄMTLANDS LÄN</t>
        </is>
      </c>
      <c r="E1037" t="inlineStr">
        <is>
          <t>RAGUNDA</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19866-2023</t>
        </is>
      </c>
      <c r="B1038" s="1" t="n">
        <v>45054</v>
      </c>
      <c r="C1038" s="1" t="n">
        <v>45359</v>
      </c>
      <c r="D1038" t="inlineStr">
        <is>
          <t>JÄMTLANDS LÄN</t>
        </is>
      </c>
      <c r="E1038" t="inlineStr">
        <is>
          <t>RAGUNDA</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20079-2023</t>
        </is>
      </c>
      <c r="B1039" s="1" t="n">
        <v>45055</v>
      </c>
      <c r="C1039" s="1" t="n">
        <v>45359</v>
      </c>
      <c r="D1039" t="inlineStr">
        <is>
          <t>JÄMTLANDS LÄN</t>
        </is>
      </c>
      <c r="E1039" t="inlineStr">
        <is>
          <t>RAGUNDA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20088-2023</t>
        </is>
      </c>
      <c r="B1040" s="1" t="n">
        <v>45054</v>
      </c>
      <c r="C1040" s="1" t="n">
        <v>45359</v>
      </c>
      <c r="D1040" t="inlineStr">
        <is>
          <t>JÄMTLANDS LÄN</t>
        </is>
      </c>
      <c r="E1040" t="inlineStr">
        <is>
          <t>RAGUNDA</t>
        </is>
      </c>
      <c r="F1040" t="inlineStr">
        <is>
          <t>SCA</t>
        </is>
      </c>
      <c r="G1040" t="n">
        <v>23.4</v>
      </c>
      <c r="H1040" t="n">
        <v>0</v>
      </c>
      <c r="I1040" t="n">
        <v>0</v>
      </c>
      <c r="J1040" t="n">
        <v>0</v>
      </c>
      <c r="K1040" t="n">
        <v>0</v>
      </c>
      <c r="L1040" t="n">
        <v>0</v>
      </c>
      <c r="M1040" t="n">
        <v>0</v>
      </c>
      <c r="N1040" t="n">
        <v>0</v>
      </c>
      <c r="O1040" t="n">
        <v>0</v>
      </c>
      <c r="P1040" t="n">
        <v>0</v>
      </c>
      <c r="Q1040" t="n">
        <v>0</v>
      </c>
      <c r="R1040" s="2" t="inlineStr"/>
    </row>
    <row r="1041" ht="15" customHeight="1">
      <c r="A1041" t="inlineStr">
        <is>
          <t>A 20987-2023</t>
        </is>
      </c>
      <c r="B1041" s="1" t="n">
        <v>45056</v>
      </c>
      <c r="C1041" s="1" t="n">
        <v>45359</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20994-2023</t>
        </is>
      </c>
      <c r="B1042" s="1" t="n">
        <v>45056</v>
      </c>
      <c r="C1042" s="1" t="n">
        <v>45359</v>
      </c>
      <c r="D1042" t="inlineStr">
        <is>
          <t>JÄMTLANDS LÄN</t>
        </is>
      </c>
      <c r="E1042" t="inlineStr">
        <is>
          <t>RAGUNDA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20901-2023</t>
        </is>
      </c>
      <c r="B1043" s="1" t="n">
        <v>45060</v>
      </c>
      <c r="C1043" s="1" t="n">
        <v>45359</v>
      </c>
      <c r="D1043" t="inlineStr">
        <is>
          <t>JÄMTLANDS LÄN</t>
        </is>
      </c>
      <c r="E1043" t="inlineStr">
        <is>
          <t>RAGUNDA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21102-2023</t>
        </is>
      </c>
      <c r="B1044" s="1" t="n">
        <v>45062</v>
      </c>
      <c r="C1044" s="1" t="n">
        <v>45359</v>
      </c>
      <c r="D1044" t="inlineStr">
        <is>
          <t>JÄMTLANDS LÄN</t>
        </is>
      </c>
      <c r="E1044" t="inlineStr">
        <is>
          <t>RAGUNDA</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21661-2023</t>
        </is>
      </c>
      <c r="B1045" s="1" t="n">
        <v>45063</v>
      </c>
      <c r="C1045" s="1" t="n">
        <v>45359</v>
      </c>
      <c r="D1045" t="inlineStr">
        <is>
          <t>JÄMTLANDS LÄN</t>
        </is>
      </c>
      <c r="E1045" t="inlineStr">
        <is>
          <t>RAGUNDA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21662-2023</t>
        </is>
      </c>
      <c r="B1046" s="1" t="n">
        <v>45063</v>
      </c>
      <c r="C1046" s="1" t="n">
        <v>45359</v>
      </c>
      <c r="D1046" t="inlineStr">
        <is>
          <t>JÄMTLANDS LÄN</t>
        </is>
      </c>
      <c r="E1046" t="inlineStr">
        <is>
          <t>RAGUNDA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21726-2023</t>
        </is>
      </c>
      <c r="B1047" s="1" t="n">
        <v>45065</v>
      </c>
      <c r="C1047" s="1" t="n">
        <v>45359</v>
      </c>
      <c r="D1047" t="inlineStr">
        <is>
          <t>JÄMTLANDS LÄN</t>
        </is>
      </c>
      <c r="E1047" t="inlineStr">
        <is>
          <t>RAGUNDA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22011-2023</t>
        </is>
      </c>
      <c r="B1048" s="1" t="n">
        <v>45068</v>
      </c>
      <c r="C1048" s="1" t="n">
        <v>45359</v>
      </c>
      <c r="D1048" t="inlineStr">
        <is>
          <t>JÄMTLANDS LÄN</t>
        </is>
      </c>
      <c r="E1048" t="inlineStr">
        <is>
          <t>RAGUNDA</t>
        </is>
      </c>
      <c r="F1048" t="inlineStr">
        <is>
          <t>SCA</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22569-2023</t>
        </is>
      </c>
      <c r="B1049" s="1" t="n">
        <v>45069</v>
      </c>
      <c r="C1049" s="1" t="n">
        <v>45359</v>
      </c>
      <c r="D1049" t="inlineStr">
        <is>
          <t>JÄMTLANDS LÄN</t>
        </is>
      </c>
      <c r="E1049" t="inlineStr">
        <is>
          <t>RAGUNDA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22479-2023</t>
        </is>
      </c>
      <c r="B1050" s="1" t="n">
        <v>45070</v>
      </c>
      <c r="C1050" s="1" t="n">
        <v>45359</v>
      </c>
      <c r="D1050" t="inlineStr">
        <is>
          <t>JÄMTLANDS LÄN</t>
        </is>
      </c>
      <c r="E1050" t="inlineStr">
        <is>
          <t>RAGUNDA</t>
        </is>
      </c>
      <c r="F1050" t="inlineStr">
        <is>
          <t>SCA</t>
        </is>
      </c>
      <c r="G1050" t="n">
        <v>31.8</v>
      </c>
      <c r="H1050" t="n">
        <v>0</v>
      </c>
      <c r="I1050" t="n">
        <v>0</v>
      </c>
      <c r="J1050" t="n">
        <v>0</v>
      </c>
      <c r="K1050" t="n">
        <v>0</v>
      </c>
      <c r="L1050" t="n">
        <v>0</v>
      </c>
      <c r="M1050" t="n">
        <v>0</v>
      </c>
      <c r="N1050" t="n">
        <v>0</v>
      </c>
      <c r="O1050" t="n">
        <v>0</v>
      </c>
      <c r="P1050" t="n">
        <v>0</v>
      </c>
      <c r="Q1050" t="n">
        <v>0</v>
      </c>
      <c r="R1050" s="2" t="inlineStr"/>
    </row>
    <row r="1051" ht="15" customHeight="1">
      <c r="A1051" t="inlineStr">
        <is>
          <t>A 23074-2023</t>
        </is>
      </c>
      <c r="B1051" s="1" t="n">
        <v>45070</v>
      </c>
      <c r="C1051" s="1" t="n">
        <v>45359</v>
      </c>
      <c r="D1051" t="inlineStr">
        <is>
          <t>JÄMTLANDS LÄN</t>
        </is>
      </c>
      <c r="E1051" t="inlineStr">
        <is>
          <t>RAGUNDA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23140-2023</t>
        </is>
      </c>
      <c r="B1052" s="1" t="n">
        <v>45070</v>
      </c>
      <c r="C1052" s="1" t="n">
        <v>45359</v>
      </c>
      <c r="D1052" t="inlineStr">
        <is>
          <t>JÄMTLANDS LÄN</t>
        </is>
      </c>
      <c r="E1052" t="inlineStr">
        <is>
          <t>RAGUNDA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22731-2023</t>
        </is>
      </c>
      <c r="B1053" s="1" t="n">
        <v>45071</v>
      </c>
      <c r="C1053" s="1" t="n">
        <v>45359</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22981-2023</t>
        </is>
      </c>
      <c r="B1054" s="1" t="n">
        <v>45073</v>
      </c>
      <c r="C1054" s="1" t="n">
        <v>45359</v>
      </c>
      <c r="D1054" t="inlineStr">
        <is>
          <t>JÄMTLANDS LÄN</t>
        </is>
      </c>
      <c r="E1054" t="inlineStr">
        <is>
          <t>RAGUNDA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23299-2023</t>
        </is>
      </c>
      <c r="B1055" s="1" t="n">
        <v>45076</v>
      </c>
      <c r="C1055" s="1" t="n">
        <v>45359</v>
      </c>
      <c r="D1055" t="inlineStr">
        <is>
          <t>JÄMTLANDS LÄN</t>
        </is>
      </c>
      <c r="E1055" t="inlineStr">
        <is>
          <t>RAGUNDA</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23304-2023</t>
        </is>
      </c>
      <c r="B1056" s="1" t="n">
        <v>45076</v>
      </c>
      <c r="C1056" s="1" t="n">
        <v>45359</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23305-2023</t>
        </is>
      </c>
      <c r="B1057" s="1" t="n">
        <v>45076</v>
      </c>
      <c r="C1057" s="1" t="n">
        <v>45359</v>
      </c>
      <c r="D1057" t="inlineStr">
        <is>
          <t>JÄMTLANDS LÄN</t>
        </is>
      </c>
      <c r="E1057" t="inlineStr">
        <is>
          <t>RAGUNDA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23298-2023</t>
        </is>
      </c>
      <c r="B1058" s="1" t="n">
        <v>45076</v>
      </c>
      <c r="C1058" s="1" t="n">
        <v>45359</v>
      </c>
      <c r="D1058" t="inlineStr">
        <is>
          <t>JÄMTLANDS LÄN</t>
        </is>
      </c>
      <c r="E1058" t="inlineStr">
        <is>
          <t>RAGUNDA</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24861-2023</t>
        </is>
      </c>
      <c r="B1059" s="1" t="n">
        <v>45078</v>
      </c>
      <c r="C1059" s="1" t="n">
        <v>45359</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25086-2023</t>
        </is>
      </c>
      <c r="B1060" s="1" t="n">
        <v>45078</v>
      </c>
      <c r="C1060" s="1" t="n">
        <v>45359</v>
      </c>
      <c r="D1060" t="inlineStr">
        <is>
          <t>JÄMTLANDS LÄN</t>
        </is>
      </c>
      <c r="E1060" t="inlineStr">
        <is>
          <t>RAGUNDA</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25416-2023</t>
        </is>
      </c>
      <c r="B1061" s="1" t="n">
        <v>45078</v>
      </c>
      <c r="C1061" s="1" t="n">
        <v>45359</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24300-2023</t>
        </is>
      </c>
      <c r="B1062" s="1" t="n">
        <v>45079</v>
      </c>
      <c r="C1062" s="1" t="n">
        <v>45359</v>
      </c>
      <c r="D1062" t="inlineStr">
        <is>
          <t>JÄMTLANDS LÄN</t>
        </is>
      </c>
      <c r="E1062" t="inlineStr">
        <is>
          <t>RAGUNDA</t>
        </is>
      </c>
      <c r="F1062" t="inlineStr">
        <is>
          <t>SCA</t>
        </is>
      </c>
      <c r="G1062" t="n">
        <v>13.3</v>
      </c>
      <c r="H1062" t="n">
        <v>0</v>
      </c>
      <c r="I1062" t="n">
        <v>0</v>
      </c>
      <c r="J1062" t="n">
        <v>0</v>
      </c>
      <c r="K1062" t="n">
        <v>0</v>
      </c>
      <c r="L1062" t="n">
        <v>0</v>
      </c>
      <c r="M1062" t="n">
        <v>0</v>
      </c>
      <c r="N1062" t="n">
        <v>0</v>
      </c>
      <c r="O1062" t="n">
        <v>0</v>
      </c>
      <c r="P1062" t="n">
        <v>0</v>
      </c>
      <c r="Q1062" t="n">
        <v>0</v>
      </c>
      <c r="R1062" s="2" t="inlineStr"/>
    </row>
    <row r="1063" ht="15" customHeight="1">
      <c r="A1063" t="inlineStr">
        <is>
          <t>A 24821-2023</t>
        </is>
      </c>
      <c r="B1063" s="1" t="n">
        <v>45085</v>
      </c>
      <c r="C1063" s="1" t="n">
        <v>45359</v>
      </c>
      <c r="D1063" t="inlineStr">
        <is>
          <t>JÄMTLANDS LÄN</t>
        </is>
      </c>
      <c r="E1063" t="inlineStr">
        <is>
          <t>RAGUNDA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24822-2023</t>
        </is>
      </c>
      <c r="B1064" s="1" t="n">
        <v>45085</v>
      </c>
      <c r="C1064" s="1" t="n">
        <v>45359</v>
      </c>
      <c r="D1064" t="inlineStr">
        <is>
          <t>JÄMTLANDS LÄN</t>
        </is>
      </c>
      <c r="E1064" t="inlineStr">
        <is>
          <t>RAGUNDA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24820-2023</t>
        </is>
      </c>
      <c r="B1065" s="1" t="n">
        <v>45084</v>
      </c>
      <c r="C1065" s="1" t="n">
        <v>45359</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25892-2023</t>
        </is>
      </c>
      <c r="B1066" s="1" t="n">
        <v>45085</v>
      </c>
      <c r="C1066" s="1" t="n">
        <v>45359</v>
      </c>
      <c r="D1066" t="inlineStr">
        <is>
          <t>JÄMTLANDS LÄN</t>
        </is>
      </c>
      <c r="E1066" t="inlineStr">
        <is>
          <t>RAGUNDA</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25332-2023</t>
        </is>
      </c>
      <c r="B1067" s="1" t="n">
        <v>45087</v>
      </c>
      <c r="C1067" s="1" t="n">
        <v>45359</v>
      </c>
      <c r="D1067" t="inlineStr">
        <is>
          <t>JÄMTLANDS LÄN</t>
        </is>
      </c>
      <c r="E1067" t="inlineStr">
        <is>
          <t>RAGUNDA</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25304-2023</t>
        </is>
      </c>
      <c r="B1068" s="1" t="n">
        <v>45086</v>
      </c>
      <c r="C1068" s="1" t="n">
        <v>45359</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25430-2023</t>
        </is>
      </c>
      <c r="B1069" s="1" t="n">
        <v>45089</v>
      </c>
      <c r="C1069" s="1" t="n">
        <v>45359</v>
      </c>
      <c r="D1069" t="inlineStr">
        <is>
          <t>JÄMTLANDS LÄN</t>
        </is>
      </c>
      <c r="E1069" t="inlineStr">
        <is>
          <t>RAGUNDA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25669-2023</t>
        </is>
      </c>
      <c r="B1070" s="1" t="n">
        <v>45089</v>
      </c>
      <c r="C1070" s="1" t="n">
        <v>45359</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25694-2023</t>
        </is>
      </c>
      <c r="B1071" s="1" t="n">
        <v>45089</v>
      </c>
      <c r="C1071" s="1" t="n">
        <v>45359</v>
      </c>
      <c r="D1071" t="inlineStr">
        <is>
          <t>JÄMTLANDS LÄN</t>
        </is>
      </c>
      <c r="E1071" t="inlineStr">
        <is>
          <t>RAGUNDA</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25666-2023</t>
        </is>
      </c>
      <c r="B1072" s="1" t="n">
        <v>45089</v>
      </c>
      <c r="C1072" s="1" t="n">
        <v>45359</v>
      </c>
      <c r="D1072" t="inlineStr">
        <is>
          <t>JÄMTLANDS LÄN</t>
        </is>
      </c>
      <c r="E1072" t="inlineStr">
        <is>
          <t>RAGUNDA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25670-2023</t>
        </is>
      </c>
      <c r="B1073" s="1" t="n">
        <v>45090</v>
      </c>
      <c r="C1073" s="1" t="n">
        <v>45359</v>
      </c>
      <c r="D1073" t="inlineStr">
        <is>
          <t>JÄMTLANDS LÄN</t>
        </is>
      </c>
      <c r="E1073" t="inlineStr">
        <is>
          <t>RAGUNDA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25708-2023</t>
        </is>
      </c>
      <c r="B1074" s="1" t="n">
        <v>45090</v>
      </c>
      <c r="C1074" s="1" t="n">
        <v>45359</v>
      </c>
      <c r="D1074" t="inlineStr">
        <is>
          <t>JÄMTLANDS LÄN</t>
        </is>
      </c>
      <c r="E1074" t="inlineStr">
        <is>
          <t>RAGUNDA</t>
        </is>
      </c>
      <c r="G1074" t="n">
        <v>16.1</v>
      </c>
      <c r="H1074" t="n">
        <v>0</v>
      </c>
      <c r="I1074" t="n">
        <v>0</v>
      </c>
      <c r="J1074" t="n">
        <v>0</v>
      </c>
      <c r="K1074" t="n">
        <v>0</v>
      </c>
      <c r="L1074" t="n">
        <v>0</v>
      </c>
      <c r="M1074" t="n">
        <v>0</v>
      </c>
      <c r="N1074" t="n">
        <v>0</v>
      </c>
      <c r="O1074" t="n">
        <v>0</v>
      </c>
      <c r="P1074" t="n">
        <v>0</v>
      </c>
      <c r="Q1074" t="n">
        <v>0</v>
      </c>
      <c r="R1074" s="2" t="inlineStr"/>
    </row>
    <row r="1075" ht="15" customHeight="1">
      <c r="A1075" t="inlineStr">
        <is>
          <t>A 26002-2023</t>
        </is>
      </c>
      <c r="B1075" s="1" t="n">
        <v>45091</v>
      </c>
      <c r="C1075" s="1" t="n">
        <v>45359</v>
      </c>
      <c r="D1075" t="inlineStr">
        <is>
          <t>JÄMTLANDS LÄN</t>
        </is>
      </c>
      <c r="E1075" t="inlineStr">
        <is>
          <t>RAGUNDA</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26347-2023</t>
        </is>
      </c>
      <c r="B1076" s="1" t="n">
        <v>45091</v>
      </c>
      <c r="C1076" s="1" t="n">
        <v>45359</v>
      </c>
      <c r="D1076" t="inlineStr">
        <is>
          <t>JÄMTLANDS LÄN</t>
        </is>
      </c>
      <c r="E1076" t="inlineStr">
        <is>
          <t>RAGUNDA</t>
        </is>
      </c>
      <c r="F1076" t="inlineStr">
        <is>
          <t>SCA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26455-2023</t>
        </is>
      </c>
      <c r="B1077" s="1" t="n">
        <v>45092</v>
      </c>
      <c r="C1077" s="1" t="n">
        <v>45359</v>
      </c>
      <c r="D1077" t="inlineStr">
        <is>
          <t>JÄMTLANDS LÄN</t>
        </is>
      </c>
      <c r="E1077" t="inlineStr">
        <is>
          <t>RAGUNDA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26644-2023</t>
        </is>
      </c>
      <c r="B1078" s="1" t="n">
        <v>45093</v>
      </c>
      <c r="C1078" s="1" t="n">
        <v>45359</v>
      </c>
      <c r="D1078" t="inlineStr">
        <is>
          <t>JÄMTLANDS LÄN</t>
        </is>
      </c>
      <c r="E1078" t="inlineStr">
        <is>
          <t>RAGUNDA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26646-2023</t>
        </is>
      </c>
      <c r="B1079" s="1" t="n">
        <v>45092</v>
      </c>
      <c r="C1079" s="1" t="n">
        <v>45359</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27091-2023</t>
        </is>
      </c>
      <c r="B1080" s="1" t="n">
        <v>45092</v>
      </c>
      <c r="C1080" s="1" t="n">
        <v>45359</v>
      </c>
      <c r="D1080" t="inlineStr">
        <is>
          <t>JÄMTLANDS LÄN</t>
        </is>
      </c>
      <c r="E1080" t="inlineStr">
        <is>
          <t>RAGUNDA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27085-2023</t>
        </is>
      </c>
      <c r="B1081" s="1" t="n">
        <v>45092</v>
      </c>
      <c r="C1081" s="1" t="n">
        <v>45359</v>
      </c>
      <c r="D1081" t="inlineStr">
        <is>
          <t>JÄMTLANDS LÄN</t>
        </is>
      </c>
      <c r="E1081" t="inlineStr">
        <is>
          <t>RAGUNDA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26991-2023</t>
        </is>
      </c>
      <c r="B1082" s="1" t="n">
        <v>45094</v>
      </c>
      <c r="C1082" s="1" t="n">
        <v>45359</v>
      </c>
      <c r="D1082" t="inlineStr">
        <is>
          <t>JÄMTLANDS LÄN</t>
        </is>
      </c>
      <c r="E1082" t="inlineStr">
        <is>
          <t>RAGUNDA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26995-2023</t>
        </is>
      </c>
      <c r="B1083" s="1" t="n">
        <v>45093</v>
      </c>
      <c r="C1083" s="1" t="n">
        <v>45359</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26993-2023</t>
        </is>
      </c>
      <c r="B1084" s="1" t="n">
        <v>45093</v>
      </c>
      <c r="C1084" s="1" t="n">
        <v>45359</v>
      </c>
      <c r="D1084" t="inlineStr">
        <is>
          <t>JÄMTLANDS LÄN</t>
        </is>
      </c>
      <c r="E1084" t="inlineStr">
        <is>
          <t>RAGUNDA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26994-2023</t>
        </is>
      </c>
      <c r="B1085" s="1" t="n">
        <v>45094</v>
      </c>
      <c r="C1085" s="1" t="n">
        <v>45359</v>
      </c>
      <c r="D1085" t="inlineStr">
        <is>
          <t>JÄMTLANDS LÄN</t>
        </is>
      </c>
      <c r="E1085" t="inlineStr">
        <is>
          <t>RAGUNDA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26992-2023</t>
        </is>
      </c>
      <c r="B1086" s="1" t="n">
        <v>45094</v>
      </c>
      <c r="C1086" s="1" t="n">
        <v>45359</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27373-2023</t>
        </is>
      </c>
      <c r="B1087" s="1" t="n">
        <v>45097</v>
      </c>
      <c r="C1087" s="1" t="n">
        <v>45359</v>
      </c>
      <c r="D1087" t="inlineStr">
        <is>
          <t>JÄMTLANDS LÄN</t>
        </is>
      </c>
      <c r="E1087" t="inlineStr">
        <is>
          <t>RAGUNDA</t>
        </is>
      </c>
      <c r="F1087" t="inlineStr">
        <is>
          <t>SCA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27379-2023</t>
        </is>
      </c>
      <c r="B1088" s="1" t="n">
        <v>45097</v>
      </c>
      <c r="C1088" s="1" t="n">
        <v>45359</v>
      </c>
      <c r="D1088" t="inlineStr">
        <is>
          <t>JÄMTLANDS LÄN</t>
        </is>
      </c>
      <c r="E1088" t="inlineStr">
        <is>
          <t>RAGUNDA</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28685-2023</t>
        </is>
      </c>
      <c r="B1089" s="1" t="n">
        <v>45096</v>
      </c>
      <c r="C1089" s="1" t="n">
        <v>45359</v>
      </c>
      <c r="D1089" t="inlineStr">
        <is>
          <t>JÄMTLANDS LÄN</t>
        </is>
      </c>
      <c r="E1089" t="inlineStr">
        <is>
          <t>RAGUNDA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28806-2023</t>
        </is>
      </c>
      <c r="B1090" s="1" t="n">
        <v>45096</v>
      </c>
      <c r="C1090" s="1" t="n">
        <v>45359</v>
      </c>
      <c r="D1090" t="inlineStr">
        <is>
          <t>JÄMTLANDS LÄN</t>
        </is>
      </c>
      <c r="E1090" t="inlineStr">
        <is>
          <t>RAGUNDA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29775-2023</t>
        </is>
      </c>
      <c r="B1091" s="1" t="n">
        <v>45098</v>
      </c>
      <c r="C1091" s="1" t="n">
        <v>45359</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29766-2023</t>
        </is>
      </c>
      <c r="B1092" s="1" t="n">
        <v>45098</v>
      </c>
      <c r="C1092" s="1" t="n">
        <v>45359</v>
      </c>
      <c r="D1092" t="inlineStr">
        <is>
          <t>JÄMTLANDS LÄN</t>
        </is>
      </c>
      <c r="E1092" t="inlineStr">
        <is>
          <t>RAGUNDA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28352-2023</t>
        </is>
      </c>
      <c r="B1093" s="1" t="n">
        <v>45100</v>
      </c>
      <c r="C1093" s="1" t="n">
        <v>45359</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28351-2023</t>
        </is>
      </c>
      <c r="B1094" s="1" t="n">
        <v>45100</v>
      </c>
      <c r="C1094" s="1" t="n">
        <v>45359</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28742-2023</t>
        </is>
      </c>
      <c r="B1095" s="1" t="n">
        <v>45103</v>
      </c>
      <c r="C1095" s="1" t="n">
        <v>45359</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31135-2023</t>
        </is>
      </c>
      <c r="B1096" s="1" t="n">
        <v>45103</v>
      </c>
      <c r="C1096" s="1" t="n">
        <v>45359</v>
      </c>
      <c r="D1096" t="inlineStr">
        <is>
          <t>JÄMTLANDS LÄN</t>
        </is>
      </c>
      <c r="E1096" t="inlineStr">
        <is>
          <t>RAGUNDA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29053-2023</t>
        </is>
      </c>
      <c r="B1097" s="1" t="n">
        <v>45104</v>
      </c>
      <c r="C1097" s="1" t="n">
        <v>45359</v>
      </c>
      <c r="D1097" t="inlineStr">
        <is>
          <t>JÄMTLANDS LÄN</t>
        </is>
      </c>
      <c r="E1097" t="inlineStr">
        <is>
          <t>RAGUNDA</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29319-2023</t>
        </is>
      </c>
      <c r="B1098" s="1" t="n">
        <v>45105</v>
      </c>
      <c r="C1098" s="1" t="n">
        <v>45359</v>
      </c>
      <c r="D1098" t="inlineStr">
        <is>
          <t>JÄMTLANDS LÄN</t>
        </is>
      </c>
      <c r="E1098" t="inlineStr">
        <is>
          <t>RAGUNDA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29940-2023</t>
        </is>
      </c>
      <c r="B1099" s="1" t="n">
        <v>45107</v>
      </c>
      <c r="C1099" s="1" t="n">
        <v>45359</v>
      </c>
      <c r="D1099" t="inlineStr">
        <is>
          <t>JÄMTLANDS LÄN</t>
        </is>
      </c>
      <c r="E1099" t="inlineStr">
        <is>
          <t>RAGUNDA</t>
        </is>
      </c>
      <c r="G1099" t="n">
        <v>13.5</v>
      </c>
      <c r="H1099" t="n">
        <v>0</v>
      </c>
      <c r="I1099" t="n">
        <v>0</v>
      </c>
      <c r="J1099" t="n">
        <v>0</v>
      </c>
      <c r="K1099" t="n">
        <v>0</v>
      </c>
      <c r="L1099" t="n">
        <v>0</v>
      </c>
      <c r="M1099" t="n">
        <v>0</v>
      </c>
      <c r="N1099" t="n">
        <v>0</v>
      </c>
      <c r="O1099" t="n">
        <v>0</v>
      </c>
      <c r="P1099" t="n">
        <v>0</v>
      </c>
      <c r="Q1099" t="n">
        <v>0</v>
      </c>
      <c r="R1099" s="2" t="inlineStr"/>
    </row>
    <row r="1100" ht="15" customHeight="1">
      <c r="A1100" t="inlineStr">
        <is>
          <t>A 29939-2023</t>
        </is>
      </c>
      <c r="B1100" s="1" t="n">
        <v>45107</v>
      </c>
      <c r="C1100" s="1" t="n">
        <v>45359</v>
      </c>
      <c r="D1100" t="inlineStr">
        <is>
          <t>JÄMTLANDS LÄN</t>
        </is>
      </c>
      <c r="E1100" t="inlineStr">
        <is>
          <t>RAGUNDA</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30283-2023</t>
        </is>
      </c>
      <c r="B1101" s="1" t="n">
        <v>45111</v>
      </c>
      <c r="C1101" s="1" t="n">
        <v>45359</v>
      </c>
      <c r="D1101" t="inlineStr">
        <is>
          <t>JÄMTLANDS LÄN</t>
        </is>
      </c>
      <c r="E1101" t="inlineStr">
        <is>
          <t>RAGUNDA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30563-2023</t>
        </is>
      </c>
      <c r="B1102" s="1" t="n">
        <v>45112</v>
      </c>
      <c r="C1102" s="1" t="n">
        <v>45359</v>
      </c>
      <c r="D1102" t="inlineStr">
        <is>
          <t>JÄMTLANDS LÄN</t>
        </is>
      </c>
      <c r="E1102" t="inlineStr">
        <is>
          <t>RAGUNDA</t>
        </is>
      </c>
      <c r="F1102" t="inlineStr">
        <is>
          <t>Övriga Aktiebolag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32592-2023</t>
        </is>
      </c>
      <c r="B1103" s="1" t="n">
        <v>45111</v>
      </c>
      <c r="C1103" s="1" t="n">
        <v>45359</v>
      </c>
      <c r="D1103" t="inlineStr">
        <is>
          <t>JÄMTLANDS LÄN</t>
        </is>
      </c>
      <c r="E1103" t="inlineStr">
        <is>
          <t>RAGUNDA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30826-2023</t>
        </is>
      </c>
      <c r="B1104" s="1" t="n">
        <v>45112</v>
      </c>
      <c r="C1104" s="1" t="n">
        <v>45359</v>
      </c>
      <c r="D1104" t="inlineStr">
        <is>
          <t>JÄMTLANDS LÄN</t>
        </is>
      </c>
      <c r="E1104" t="inlineStr">
        <is>
          <t>RAGUNDA</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30825-2023</t>
        </is>
      </c>
      <c r="B1105" s="1" t="n">
        <v>45113</v>
      </c>
      <c r="C1105" s="1" t="n">
        <v>45359</v>
      </c>
      <c r="D1105" t="inlineStr">
        <is>
          <t>JÄMTLANDS LÄN</t>
        </is>
      </c>
      <c r="E1105" t="inlineStr">
        <is>
          <t>RAGUNDA</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30823-2023</t>
        </is>
      </c>
      <c r="B1106" s="1" t="n">
        <v>45112</v>
      </c>
      <c r="C1106" s="1" t="n">
        <v>45359</v>
      </c>
      <c r="D1106" t="inlineStr">
        <is>
          <t>JÄMTLANDS LÄN</t>
        </is>
      </c>
      <c r="E1106" t="inlineStr">
        <is>
          <t>RAGUNDA</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30824-2023</t>
        </is>
      </c>
      <c r="B1107" s="1" t="n">
        <v>45113</v>
      </c>
      <c r="C1107" s="1" t="n">
        <v>45359</v>
      </c>
      <c r="D1107" t="inlineStr">
        <is>
          <t>JÄMTLANDS LÄN</t>
        </is>
      </c>
      <c r="E1107" t="inlineStr">
        <is>
          <t>RAGUNDA</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31200-2023</t>
        </is>
      </c>
      <c r="B1108" s="1" t="n">
        <v>45114</v>
      </c>
      <c r="C1108" s="1" t="n">
        <v>45359</v>
      </c>
      <c r="D1108" t="inlineStr">
        <is>
          <t>JÄMTLANDS LÄN</t>
        </is>
      </c>
      <c r="E1108" t="inlineStr">
        <is>
          <t>RAGUNDA</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31926-2023</t>
        </is>
      </c>
      <c r="B1109" s="1" t="n">
        <v>45119</v>
      </c>
      <c r="C1109" s="1" t="n">
        <v>45359</v>
      </c>
      <c r="D1109" t="inlineStr">
        <is>
          <t>JÄMTLANDS LÄN</t>
        </is>
      </c>
      <c r="E1109" t="inlineStr">
        <is>
          <t>RAGUNDA</t>
        </is>
      </c>
      <c r="F1109" t="inlineStr">
        <is>
          <t>SCA</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32207-2023</t>
        </is>
      </c>
      <c r="B1110" s="1" t="n">
        <v>45120</v>
      </c>
      <c r="C1110" s="1" t="n">
        <v>45359</v>
      </c>
      <c r="D1110" t="inlineStr">
        <is>
          <t>JÄMTLANDS LÄN</t>
        </is>
      </c>
      <c r="E1110" t="inlineStr">
        <is>
          <t>RAGUNDA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33615-2023</t>
        </is>
      </c>
      <c r="B1111" s="1" t="n">
        <v>45119</v>
      </c>
      <c r="C1111" s="1" t="n">
        <v>45359</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33621-2023</t>
        </is>
      </c>
      <c r="B1112" s="1" t="n">
        <v>45119</v>
      </c>
      <c r="C1112" s="1" t="n">
        <v>45359</v>
      </c>
      <c r="D1112" t="inlineStr">
        <is>
          <t>JÄMTLANDS LÄN</t>
        </is>
      </c>
      <c r="E1112" t="inlineStr">
        <is>
          <t>RAGUNDA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33035-2023</t>
        </is>
      </c>
      <c r="B1113" s="1" t="n">
        <v>45126</v>
      </c>
      <c r="C1113" s="1" t="n">
        <v>45359</v>
      </c>
      <c r="D1113" t="inlineStr">
        <is>
          <t>JÄMTLANDS LÄN</t>
        </is>
      </c>
      <c r="E1113" t="inlineStr">
        <is>
          <t>RAGUNDA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33039-2023</t>
        </is>
      </c>
      <c r="B1114" s="1" t="n">
        <v>45126</v>
      </c>
      <c r="C1114" s="1" t="n">
        <v>45359</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33047-2023</t>
        </is>
      </c>
      <c r="B1115" s="1" t="n">
        <v>45126</v>
      </c>
      <c r="C1115" s="1" t="n">
        <v>45359</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33038-2023</t>
        </is>
      </c>
      <c r="B1116" s="1" t="n">
        <v>45126</v>
      </c>
      <c r="C1116" s="1" t="n">
        <v>45359</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33046-2023</t>
        </is>
      </c>
      <c r="B1117" s="1" t="n">
        <v>45126</v>
      </c>
      <c r="C1117" s="1" t="n">
        <v>45359</v>
      </c>
      <c r="D1117" t="inlineStr">
        <is>
          <t>JÄMTLANDS LÄN</t>
        </is>
      </c>
      <c r="E1117" t="inlineStr">
        <is>
          <t>RAGUNDA</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33432-2023</t>
        </is>
      </c>
      <c r="B1118" s="1" t="n">
        <v>45128</v>
      </c>
      <c r="C1118" s="1" t="n">
        <v>45359</v>
      </c>
      <c r="D1118" t="inlineStr">
        <is>
          <t>JÄMTLANDS LÄN</t>
        </is>
      </c>
      <c r="E1118" t="inlineStr">
        <is>
          <t>RAGUNDA</t>
        </is>
      </c>
      <c r="F1118" t="inlineStr">
        <is>
          <t>SCA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33589-2023</t>
        </is>
      </c>
      <c r="B1119" s="1" t="n">
        <v>45132</v>
      </c>
      <c r="C1119" s="1" t="n">
        <v>45359</v>
      </c>
      <c r="D1119" t="inlineStr">
        <is>
          <t>JÄMTLANDS LÄN</t>
        </is>
      </c>
      <c r="E1119" t="inlineStr">
        <is>
          <t>RAGUNDA</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33588-2023</t>
        </is>
      </c>
      <c r="B1120" s="1" t="n">
        <v>45131</v>
      </c>
      <c r="C1120" s="1" t="n">
        <v>45359</v>
      </c>
      <c r="D1120" t="inlineStr">
        <is>
          <t>JÄMTLANDS LÄN</t>
        </is>
      </c>
      <c r="E1120" t="inlineStr">
        <is>
          <t>RAGUNDA</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33717-2023</t>
        </is>
      </c>
      <c r="B1121" s="1" t="n">
        <v>45132</v>
      </c>
      <c r="C1121" s="1" t="n">
        <v>45359</v>
      </c>
      <c r="D1121" t="inlineStr">
        <is>
          <t>JÄMTLANDS LÄN</t>
        </is>
      </c>
      <c r="E1121" t="inlineStr">
        <is>
          <t>RAGUNDA</t>
        </is>
      </c>
      <c r="F1121" t="inlineStr">
        <is>
          <t>SCA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33877-2023</t>
        </is>
      </c>
      <c r="B1122" s="1" t="n">
        <v>45133</v>
      </c>
      <c r="C1122" s="1" t="n">
        <v>45359</v>
      </c>
      <c r="D1122" t="inlineStr">
        <is>
          <t>JÄMTLANDS LÄN</t>
        </is>
      </c>
      <c r="E1122" t="inlineStr">
        <is>
          <t>RAGUNDA</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34322-2023</t>
        </is>
      </c>
      <c r="B1123" s="1" t="n">
        <v>45139</v>
      </c>
      <c r="C1123" s="1" t="n">
        <v>45359</v>
      </c>
      <c r="D1123" t="inlineStr">
        <is>
          <t>JÄMTLANDS LÄN</t>
        </is>
      </c>
      <c r="E1123" t="inlineStr">
        <is>
          <t>RAGUNDA</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34321-2023</t>
        </is>
      </c>
      <c r="B1124" s="1" t="n">
        <v>45138</v>
      </c>
      <c r="C1124" s="1" t="n">
        <v>45359</v>
      </c>
      <c r="D1124" t="inlineStr">
        <is>
          <t>JÄMTLANDS LÄN</t>
        </is>
      </c>
      <c r="E1124" t="inlineStr">
        <is>
          <t>RAGUNDA</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34323-2023</t>
        </is>
      </c>
      <c r="B1125" s="1" t="n">
        <v>45139</v>
      </c>
      <c r="C1125" s="1" t="n">
        <v>45359</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34483-2023</t>
        </is>
      </c>
      <c r="B1126" s="1" t="n">
        <v>45140</v>
      </c>
      <c r="C1126" s="1" t="n">
        <v>45359</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34689-2023</t>
        </is>
      </c>
      <c r="B1127" s="1" t="n">
        <v>45141</v>
      </c>
      <c r="C1127" s="1" t="n">
        <v>45359</v>
      </c>
      <c r="D1127" t="inlineStr">
        <is>
          <t>JÄMTLANDS LÄN</t>
        </is>
      </c>
      <c r="E1127" t="inlineStr">
        <is>
          <t>RAGUNDA</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34691-2023</t>
        </is>
      </c>
      <c r="B1128" s="1" t="n">
        <v>45141</v>
      </c>
      <c r="C1128" s="1" t="n">
        <v>45359</v>
      </c>
      <c r="D1128" t="inlineStr">
        <is>
          <t>JÄMTLANDS LÄN</t>
        </is>
      </c>
      <c r="E1128" t="inlineStr">
        <is>
          <t>RAGUNDA</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35009-2023</t>
        </is>
      </c>
      <c r="B1129" s="1" t="n">
        <v>45142</v>
      </c>
      <c r="C1129" s="1" t="n">
        <v>45359</v>
      </c>
      <c r="D1129" t="inlineStr">
        <is>
          <t>JÄMTLANDS LÄN</t>
        </is>
      </c>
      <c r="E1129" t="inlineStr">
        <is>
          <t>RAGUNDA</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35272-2023</t>
        </is>
      </c>
      <c r="B1130" s="1" t="n">
        <v>45146</v>
      </c>
      <c r="C1130" s="1" t="n">
        <v>45359</v>
      </c>
      <c r="D1130" t="inlineStr">
        <is>
          <t>JÄMTLANDS LÄN</t>
        </is>
      </c>
      <c r="E1130" t="inlineStr">
        <is>
          <t>RAGUNDA</t>
        </is>
      </c>
      <c r="F1130" t="inlineStr">
        <is>
          <t>SCA</t>
        </is>
      </c>
      <c r="G1130" t="n">
        <v>15.5</v>
      </c>
      <c r="H1130" t="n">
        <v>0</v>
      </c>
      <c r="I1130" t="n">
        <v>0</v>
      </c>
      <c r="J1130" t="n">
        <v>0</v>
      </c>
      <c r="K1130" t="n">
        <v>0</v>
      </c>
      <c r="L1130" t="n">
        <v>0</v>
      </c>
      <c r="M1130" t="n">
        <v>0</v>
      </c>
      <c r="N1130" t="n">
        <v>0</v>
      </c>
      <c r="O1130" t="n">
        <v>0</v>
      </c>
      <c r="P1130" t="n">
        <v>0</v>
      </c>
      <c r="Q1130" t="n">
        <v>0</v>
      </c>
      <c r="R1130" s="2" t="inlineStr"/>
    </row>
    <row r="1131" ht="15" customHeight="1">
      <c r="A1131" t="inlineStr">
        <is>
          <t>A 35265-2023</t>
        </is>
      </c>
      <c r="B1131" s="1" t="n">
        <v>45146</v>
      </c>
      <c r="C1131" s="1" t="n">
        <v>45359</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35273-2023</t>
        </is>
      </c>
      <c r="B1132" s="1" t="n">
        <v>45146</v>
      </c>
      <c r="C1132" s="1" t="n">
        <v>45359</v>
      </c>
      <c r="D1132" t="inlineStr">
        <is>
          <t>JÄMTLANDS LÄN</t>
        </is>
      </c>
      <c r="E1132" t="inlineStr">
        <is>
          <t>RAGUNDA</t>
        </is>
      </c>
      <c r="F1132" t="inlineStr">
        <is>
          <t>SCA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35274-2023</t>
        </is>
      </c>
      <c r="B1133" s="1" t="n">
        <v>45145</v>
      </c>
      <c r="C1133" s="1" t="n">
        <v>45359</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35565-2023</t>
        </is>
      </c>
      <c r="B1134" s="1" t="n">
        <v>45146</v>
      </c>
      <c r="C1134" s="1" t="n">
        <v>45359</v>
      </c>
      <c r="D1134" t="inlineStr">
        <is>
          <t>JÄMTLANDS LÄN</t>
        </is>
      </c>
      <c r="E1134" t="inlineStr">
        <is>
          <t>RAGUNDA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35912-2023</t>
        </is>
      </c>
      <c r="B1135" s="1" t="n">
        <v>45148</v>
      </c>
      <c r="C1135" s="1" t="n">
        <v>45359</v>
      </c>
      <c r="D1135" t="inlineStr">
        <is>
          <t>JÄMTLANDS LÄN</t>
        </is>
      </c>
      <c r="E1135" t="inlineStr">
        <is>
          <t>RAGUNDA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36046-2023</t>
        </is>
      </c>
      <c r="B1136" s="1" t="n">
        <v>45148</v>
      </c>
      <c r="C1136" s="1" t="n">
        <v>45359</v>
      </c>
      <c r="D1136" t="inlineStr">
        <is>
          <t>JÄMTLANDS LÄN</t>
        </is>
      </c>
      <c r="E1136" t="inlineStr">
        <is>
          <t>RAGUNDA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36206-2023</t>
        </is>
      </c>
      <c r="B1137" s="1" t="n">
        <v>45150</v>
      </c>
      <c r="C1137" s="1" t="n">
        <v>45359</v>
      </c>
      <c r="D1137" t="inlineStr">
        <is>
          <t>JÄMTLANDS LÄN</t>
        </is>
      </c>
      <c r="E1137" t="inlineStr">
        <is>
          <t>RAGUNDA</t>
        </is>
      </c>
      <c r="F1137" t="inlineStr">
        <is>
          <t>SCA</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36227-2023</t>
        </is>
      </c>
      <c r="B1138" s="1" t="n">
        <v>45150</v>
      </c>
      <c r="C1138" s="1" t="n">
        <v>45359</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36212-2023</t>
        </is>
      </c>
      <c r="B1139" s="1" t="n">
        <v>45150</v>
      </c>
      <c r="C1139" s="1" t="n">
        <v>45359</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36213-2023</t>
        </is>
      </c>
      <c r="B1140" s="1" t="n">
        <v>45150</v>
      </c>
      <c r="C1140" s="1" t="n">
        <v>45359</v>
      </c>
      <c r="D1140" t="inlineStr">
        <is>
          <t>JÄMTLANDS LÄN</t>
        </is>
      </c>
      <c r="E1140" t="inlineStr">
        <is>
          <t>RAGUNDA</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36226-2023</t>
        </is>
      </c>
      <c r="B1141" s="1" t="n">
        <v>45150</v>
      </c>
      <c r="C1141" s="1" t="n">
        <v>45359</v>
      </c>
      <c r="D1141" t="inlineStr">
        <is>
          <t>JÄMTLANDS LÄN</t>
        </is>
      </c>
      <c r="E1141" t="inlineStr">
        <is>
          <t>RAGUNDA</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36371-2023</t>
        </is>
      </c>
      <c r="B1142" s="1" t="n">
        <v>45149</v>
      </c>
      <c r="C1142" s="1" t="n">
        <v>45359</v>
      </c>
      <c r="D1142" t="inlineStr">
        <is>
          <t>JÄMTLANDS LÄN</t>
        </is>
      </c>
      <c r="E1142" t="inlineStr">
        <is>
          <t>RAGUNDA</t>
        </is>
      </c>
      <c r="G1142" t="n">
        <v>25.7</v>
      </c>
      <c r="H1142" t="n">
        <v>0</v>
      </c>
      <c r="I1142" t="n">
        <v>0</v>
      </c>
      <c r="J1142" t="n">
        <v>0</v>
      </c>
      <c r="K1142" t="n">
        <v>0</v>
      </c>
      <c r="L1142" t="n">
        <v>0</v>
      </c>
      <c r="M1142" t="n">
        <v>0</v>
      </c>
      <c r="N1142" t="n">
        <v>0</v>
      </c>
      <c r="O1142" t="n">
        <v>0</v>
      </c>
      <c r="P1142" t="n">
        <v>0</v>
      </c>
      <c r="Q1142" t="n">
        <v>0</v>
      </c>
      <c r="R1142" s="2" t="inlineStr"/>
    </row>
    <row r="1143" ht="15" customHeight="1">
      <c r="A1143" t="inlineStr">
        <is>
          <t>A 36506-2023</t>
        </is>
      </c>
      <c r="B1143" s="1" t="n">
        <v>45153</v>
      </c>
      <c r="C1143" s="1" t="n">
        <v>45359</v>
      </c>
      <c r="D1143" t="inlineStr">
        <is>
          <t>JÄMTLANDS LÄN</t>
        </is>
      </c>
      <c r="E1143" t="inlineStr">
        <is>
          <t>RAGUNDA</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36755-2023</t>
        </is>
      </c>
      <c r="B1144" s="1" t="n">
        <v>45153</v>
      </c>
      <c r="C1144" s="1" t="n">
        <v>45359</v>
      </c>
      <c r="D1144" t="inlineStr">
        <is>
          <t>JÄMTLANDS LÄN</t>
        </is>
      </c>
      <c r="E1144" t="inlineStr">
        <is>
          <t>RAGUNDA</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36859-2023</t>
        </is>
      </c>
      <c r="B1145" s="1" t="n">
        <v>45153</v>
      </c>
      <c r="C1145" s="1" t="n">
        <v>45359</v>
      </c>
      <c r="D1145" t="inlineStr">
        <is>
          <t>JÄMTLANDS LÄN</t>
        </is>
      </c>
      <c r="E1145" t="inlineStr">
        <is>
          <t>RAGUNDA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36985-2023</t>
        </is>
      </c>
      <c r="B1146" s="1" t="n">
        <v>45155</v>
      </c>
      <c r="C1146" s="1" t="n">
        <v>45359</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36986-2023</t>
        </is>
      </c>
      <c r="B1147" s="1" t="n">
        <v>45155</v>
      </c>
      <c r="C1147" s="1" t="n">
        <v>45359</v>
      </c>
      <c r="D1147" t="inlineStr">
        <is>
          <t>JÄMTLANDS LÄN</t>
        </is>
      </c>
      <c r="E1147" t="inlineStr">
        <is>
          <t>RAGUNDA</t>
        </is>
      </c>
      <c r="F1147" t="inlineStr">
        <is>
          <t>SCA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37251-2023</t>
        </is>
      </c>
      <c r="B1148" s="1" t="n">
        <v>45156</v>
      </c>
      <c r="C1148" s="1" t="n">
        <v>45359</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37480-2023</t>
        </is>
      </c>
      <c r="B1149" s="1" t="n">
        <v>45156</v>
      </c>
      <c r="C1149" s="1" t="n">
        <v>45359</v>
      </c>
      <c r="D1149" t="inlineStr">
        <is>
          <t>JÄMTLANDS LÄN</t>
        </is>
      </c>
      <c r="E1149" t="inlineStr">
        <is>
          <t>RAGUNDA</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45359</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37536-2023</t>
        </is>
      </c>
      <c r="B1151" s="1" t="n">
        <v>45159</v>
      </c>
      <c r="C1151" s="1" t="n">
        <v>45359</v>
      </c>
      <c r="D1151" t="inlineStr">
        <is>
          <t>JÄMTLANDS LÄN</t>
        </is>
      </c>
      <c r="E1151" t="inlineStr">
        <is>
          <t>RAGUNDA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37544-2023</t>
        </is>
      </c>
      <c r="B1152" s="1" t="n">
        <v>45159</v>
      </c>
      <c r="C1152" s="1" t="n">
        <v>45359</v>
      </c>
      <c r="D1152" t="inlineStr">
        <is>
          <t>JÄMTLANDS LÄN</t>
        </is>
      </c>
      <c r="E1152" t="inlineStr">
        <is>
          <t>RAGUNDA</t>
        </is>
      </c>
      <c r="F1152" t="inlineStr">
        <is>
          <t>SCA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37543-2023</t>
        </is>
      </c>
      <c r="B1153" s="1" t="n">
        <v>45159</v>
      </c>
      <c r="C1153" s="1" t="n">
        <v>45359</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37795-2023</t>
        </is>
      </c>
      <c r="B1154" s="1" t="n">
        <v>45160</v>
      </c>
      <c r="C1154" s="1" t="n">
        <v>45359</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37805-2023</t>
        </is>
      </c>
      <c r="B1155" s="1" t="n">
        <v>45160</v>
      </c>
      <c r="C1155" s="1" t="n">
        <v>45359</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37804-2023</t>
        </is>
      </c>
      <c r="B1156" s="1" t="n">
        <v>45160</v>
      </c>
      <c r="C1156" s="1" t="n">
        <v>45359</v>
      </c>
      <c r="D1156" t="inlineStr">
        <is>
          <t>JÄMTLANDS LÄN</t>
        </is>
      </c>
      <c r="E1156" t="inlineStr">
        <is>
          <t>RAGUNDA</t>
        </is>
      </c>
      <c r="F1156" t="inlineStr">
        <is>
          <t>SCA</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39070-2023</t>
        </is>
      </c>
      <c r="B1157" s="1" t="n">
        <v>45164</v>
      </c>
      <c r="C1157" s="1" t="n">
        <v>45359</v>
      </c>
      <c r="D1157" t="inlineStr">
        <is>
          <t>JÄMTLANDS LÄN</t>
        </is>
      </c>
      <c r="E1157" t="inlineStr">
        <is>
          <t>RAGUNDA</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39076-2023</t>
        </is>
      </c>
      <c r="B1158" s="1" t="n">
        <v>45163</v>
      </c>
      <c r="C1158" s="1" t="n">
        <v>45359</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39478-2023</t>
        </is>
      </c>
      <c r="B1159" s="1" t="n">
        <v>45166</v>
      </c>
      <c r="C1159" s="1" t="n">
        <v>45359</v>
      </c>
      <c r="D1159" t="inlineStr">
        <is>
          <t>JÄMTLANDS LÄN</t>
        </is>
      </c>
      <c r="E1159" t="inlineStr">
        <is>
          <t>RAGUNDA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39482-2023</t>
        </is>
      </c>
      <c r="B1160" s="1" t="n">
        <v>45167</v>
      </c>
      <c r="C1160" s="1" t="n">
        <v>45359</v>
      </c>
      <c r="D1160" t="inlineStr">
        <is>
          <t>JÄMTLANDS LÄN</t>
        </is>
      </c>
      <c r="E1160" t="inlineStr">
        <is>
          <t>RAGUNDA</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39487-2023</t>
        </is>
      </c>
      <c r="B1161" s="1" t="n">
        <v>45167</v>
      </c>
      <c r="C1161" s="1" t="n">
        <v>45359</v>
      </c>
      <c r="D1161" t="inlineStr">
        <is>
          <t>JÄMTLANDS LÄN</t>
        </is>
      </c>
      <c r="E1161" t="inlineStr">
        <is>
          <t>RAGUNDA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39489-2023</t>
        </is>
      </c>
      <c r="B1162" s="1" t="n">
        <v>45166</v>
      </c>
      <c r="C1162" s="1" t="n">
        <v>45359</v>
      </c>
      <c r="D1162" t="inlineStr">
        <is>
          <t>JÄMTLANDS LÄN</t>
        </is>
      </c>
      <c r="E1162" t="inlineStr">
        <is>
          <t>RAGUNDA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39488-2023</t>
        </is>
      </c>
      <c r="B1163" s="1" t="n">
        <v>45166</v>
      </c>
      <c r="C1163" s="1" t="n">
        <v>45359</v>
      </c>
      <c r="D1163" t="inlineStr">
        <is>
          <t>JÄMTLANDS LÄN</t>
        </is>
      </c>
      <c r="E1163" t="inlineStr">
        <is>
          <t>RAGUNDA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39481-2023</t>
        </is>
      </c>
      <c r="B1164" s="1" t="n">
        <v>45167</v>
      </c>
      <c r="C1164" s="1" t="n">
        <v>45359</v>
      </c>
      <c r="D1164" t="inlineStr">
        <is>
          <t>JÄMTLANDS LÄN</t>
        </is>
      </c>
      <c r="E1164" t="inlineStr">
        <is>
          <t>RAGUNDA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39820-2023</t>
        </is>
      </c>
      <c r="B1165" s="1" t="n">
        <v>45167</v>
      </c>
      <c r="C1165" s="1" t="n">
        <v>45359</v>
      </c>
      <c r="D1165" t="inlineStr">
        <is>
          <t>JÄMTLANDS LÄN</t>
        </is>
      </c>
      <c r="E1165" t="inlineStr">
        <is>
          <t>RAGUNDA</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40801-2023</t>
        </is>
      </c>
      <c r="B1166" s="1" t="n">
        <v>45170</v>
      </c>
      <c r="C1166" s="1" t="n">
        <v>45359</v>
      </c>
      <c r="D1166" t="inlineStr">
        <is>
          <t>JÄMTLANDS LÄN</t>
        </is>
      </c>
      <c r="E1166" t="inlineStr">
        <is>
          <t>RAGUNDA</t>
        </is>
      </c>
      <c r="F1166" t="inlineStr">
        <is>
          <t>SCA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40800-2023</t>
        </is>
      </c>
      <c r="B1167" s="1" t="n">
        <v>45171</v>
      </c>
      <c r="C1167" s="1" t="n">
        <v>45359</v>
      </c>
      <c r="D1167" t="inlineStr">
        <is>
          <t>JÄMTLANDS LÄN</t>
        </is>
      </c>
      <c r="E1167" t="inlineStr">
        <is>
          <t>RAGUNDA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41413-2023</t>
        </is>
      </c>
      <c r="B1168" s="1" t="n">
        <v>45175</v>
      </c>
      <c r="C1168" s="1" t="n">
        <v>45359</v>
      </c>
      <c r="D1168" t="inlineStr">
        <is>
          <t>JÄMTLANDS LÄN</t>
        </is>
      </c>
      <c r="E1168" t="inlineStr">
        <is>
          <t>RAGUNDA</t>
        </is>
      </c>
      <c r="F1168" t="inlineStr">
        <is>
          <t>SCA</t>
        </is>
      </c>
      <c r="G1168" t="n">
        <v>40.6</v>
      </c>
      <c r="H1168" t="n">
        <v>0</v>
      </c>
      <c r="I1168" t="n">
        <v>0</v>
      </c>
      <c r="J1168" t="n">
        <v>0</v>
      </c>
      <c r="K1168" t="n">
        <v>0</v>
      </c>
      <c r="L1168" t="n">
        <v>0</v>
      </c>
      <c r="M1168" t="n">
        <v>0</v>
      </c>
      <c r="N1168" t="n">
        <v>0</v>
      </c>
      <c r="O1168" t="n">
        <v>0</v>
      </c>
      <c r="P1168" t="n">
        <v>0</v>
      </c>
      <c r="Q1168" t="n">
        <v>0</v>
      </c>
      <c r="R1168" s="2" t="inlineStr"/>
    </row>
    <row r="1169" ht="15" customHeight="1">
      <c r="A1169" t="inlineStr">
        <is>
          <t>A 41402-2023</t>
        </is>
      </c>
      <c r="B1169" s="1" t="n">
        <v>45175</v>
      </c>
      <c r="C1169" s="1" t="n">
        <v>45359</v>
      </c>
      <c r="D1169" t="inlineStr">
        <is>
          <t>JÄMTLANDS LÄN</t>
        </is>
      </c>
      <c r="E1169" t="inlineStr">
        <is>
          <t>RAGUNDA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42295-2023</t>
        </is>
      </c>
      <c r="B1170" s="1" t="n">
        <v>45175</v>
      </c>
      <c r="C1170" s="1" t="n">
        <v>45359</v>
      </c>
      <c r="D1170" t="inlineStr">
        <is>
          <t>JÄMTLANDS LÄN</t>
        </is>
      </c>
      <c r="E1170" t="inlineStr">
        <is>
          <t>RAGUNDA</t>
        </is>
      </c>
      <c r="F1170" t="inlineStr">
        <is>
          <t>Kommuner</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41656-2023</t>
        </is>
      </c>
      <c r="B1171" s="1" t="n">
        <v>45175</v>
      </c>
      <c r="C1171" s="1" t="n">
        <v>45359</v>
      </c>
      <c r="D1171" t="inlineStr">
        <is>
          <t>JÄMTLANDS LÄN</t>
        </is>
      </c>
      <c r="E1171" t="inlineStr">
        <is>
          <t>RAGUNDA</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41693-2023</t>
        </is>
      </c>
      <c r="B1172" s="1" t="n">
        <v>45176</v>
      </c>
      <c r="C1172" s="1" t="n">
        <v>45359</v>
      </c>
      <c r="D1172" t="inlineStr">
        <is>
          <t>JÄMTLANDS LÄN</t>
        </is>
      </c>
      <c r="E1172" t="inlineStr">
        <is>
          <t>RAGUNDA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41766-2023</t>
        </is>
      </c>
      <c r="B1173" s="1" t="n">
        <v>45176</v>
      </c>
      <c r="C1173" s="1" t="n">
        <v>45359</v>
      </c>
      <c r="D1173" t="inlineStr">
        <is>
          <t>JÄMTLANDS LÄN</t>
        </is>
      </c>
      <c r="E1173" t="inlineStr">
        <is>
          <t>RAGUNDA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41905-2023</t>
        </is>
      </c>
      <c r="B1174" s="1" t="n">
        <v>45176</v>
      </c>
      <c r="C1174" s="1" t="n">
        <v>45359</v>
      </c>
      <c r="D1174" t="inlineStr">
        <is>
          <t>JÄMTLANDS LÄN</t>
        </is>
      </c>
      <c r="E1174" t="inlineStr">
        <is>
          <t>RAGUNDA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42149-2023</t>
        </is>
      </c>
      <c r="B1175" s="1" t="n">
        <v>45177</v>
      </c>
      <c r="C1175" s="1" t="n">
        <v>45359</v>
      </c>
      <c r="D1175" t="inlineStr">
        <is>
          <t>JÄMTLANDS LÄN</t>
        </is>
      </c>
      <c r="E1175" t="inlineStr">
        <is>
          <t>RAGUNDA</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42510-2023</t>
        </is>
      </c>
      <c r="B1176" s="1" t="n">
        <v>45181</v>
      </c>
      <c r="C1176" s="1" t="n">
        <v>45359</v>
      </c>
      <c r="D1176" t="inlineStr">
        <is>
          <t>JÄMTLANDS LÄN</t>
        </is>
      </c>
      <c r="E1176" t="inlineStr">
        <is>
          <t>RAGUNDA</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42509-2023</t>
        </is>
      </c>
      <c r="B1177" s="1" t="n">
        <v>45180</v>
      </c>
      <c r="C1177" s="1" t="n">
        <v>45359</v>
      </c>
      <c r="D1177" t="inlineStr">
        <is>
          <t>JÄMTLANDS LÄN</t>
        </is>
      </c>
      <c r="E1177" t="inlineStr">
        <is>
          <t>RAGUNDA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42508-2023</t>
        </is>
      </c>
      <c r="B1178" s="1" t="n">
        <v>45181</v>
      </c>
      <c r="C1178" s="1" t="n">
        <v>45359</v>
      </c>
      <c r="D1178" t="inlineStr">
        <is>
          <t>JÄMTLANDS LÄN</t>
        </is>
      </c>
      <c r="E1178" t="inlineStr">
        <is>
          <t>RAGUNDA</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43607-2023</t>
        </is>
      </c>
      <c r="B1179" s="1" t="n">
        <v>45181</v>
      </c>
      <c r="C1179" s="1" t="n">
        <v>45359</v>
      </c>
      <c r="D1179" t="inlineStr">
        <is>
          <t>JÄMTLANDS LÄN</t>
        </is>
      </c>
      <c r="E1179" t="inlineStr">
        <is>
          <t>RAGUNDA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43102-2023</t>
        </is>
      </c>
      <c r="B1180" s="1" t="n">
        <v>45182</v>
      </c>
      <c r="C1180" s="1" t="n">
        <v>45359</v>
      </c>
      <c r="D1180" t="inlineStr">
        <is>
          <t>JÄMTLANDS LÄN</t>
        </is>
      </c>
      <c r="E1180" t="inlineStr">
        <is>
          <t>RAGUNDA</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43122-2023</t>
        </is>
      </c>
      <c r="B1181" s="1" t="n">
        <v>45183</v>
      </c>
      <c r="C1181" s="1" t="n">
        <v>45359</v>
      </c>
      <c r="D1181" t="inlineStr">
        <is>
          <t>JÄMTLANDS LÄN</t>
        </is>
      </c>
      <c r="E1181" t="inlineStr">
        <is>
          <t>RAGUNDA</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43132-2023</t>
        </is>
      </c>
      <c r="B1182" s="1" t="n">
        <v>45182</v>
      </c>
      <c r="C1182" s="1" t="n">
        <v>45359</v>
      </c>
      <c r="D1182" t="inlineStr">
        <is>
          <t>JÄMTLANDS LÄN</t>
        </is>
      </c>
      <c r="E1182" t="inlineStr">
        <is>
          <t>RAGUNDA</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43926-2023</t>
        </is>
      </c>
      <c r="B1183" s="1" t="n">
        <v>45182</v>
      </c>
      <c r="C1183" s="1" t="n">
        <v>45359</v>
      </c>
      <c r="D1183" t="inlineStr">
        <is>
          <t>JÄMTLANDS LÄN</t>
        </is>
      </c>
      <c r="E1183" t="inlineStr">
        <is>
          <t>RAGUNDA</t>
        </is>
      </c>
      <c r="F1183" t="inlineStr">
        <is>
          <t>Kommuner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43405-2023</t>
        </is>
      </c>
      <c r="B1184" s="1" t="n">
        <v>45184</v>
      </c>
      <c r="C1184" s="1" t="n">
        <v>45359</v>
      </c>
      <c r="D1184" t="inlineStr">
        <is>
          <t>JÄMTLANDS LÄN</t>
        </is>
      </c>
      <c r="E1184" t="inlineStr">
        <is>
          <t>RAGUNDA</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43409-2023</t>
        </is>
      </c>
      <c r="B1185" s="1" t="n">
        <v>45184</v>
      </c>
      <c r="C1185" s="1" t="n">
        <v>45359</v>
      </c>
      <c r="D1185" t="inlineStr">
        <is>
          <t>JÄMTLANDS LÄN</t>
        </is>
      </c>
      <c r="E1185" t="inlineStr">
        <is>
          <t>RAGUNDA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44630-2023</t>
        </is>
      </c>
      <c r="B1186" s="1" t="n">
        <v>45184</v>
      </c>
      <c r="C1186" s="1" t="n">
        <v>45359</v>
      </c>
      <c r="D1186" t="inlineStr">
        <is>
          <t>JÄMTLANDS LÄN</t>
        </is>
      </c>
      <c r="E1186" t="inlineStr">
        <is>
          <t>RAGUNDA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44881-2023</t>
        </is>
      </c>
      <c r="B1187" s="1" t="n">
        <v>45187</v>
      </c>
      <c r="C1187" s="1" t="n">
        <v>45359</v>
      </c>
      <c r="D1187" t="inlineStr">
        <is>
          <t>JÄMTLANDS LÄN</t>
        </is>
      </c>
      <c r="E1187" t="inlineStr">
        <is>
          <t>RAGUNDA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45257-2023</t>
        </is>
      </c>
      <c r="B1188" s="1" t="n">
        <v>45187</v>
      </c>
      <c r="C1188" s="1" t="n">
        <v>45359</v>
      </c>
      <c r="D1188" t="inlineStr">
        <is>
          <t>JÄMTLANDS LÄN</t>
        </is>
      </c>
      <c r="E1188" t="inlineStr">
        <is>
          <t>RAGUNDA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45253-2023</t>
        </is>
      </c>
      <c r="B1189" s="1" t="n">
        <v>45187</v>
      </c>
      <c r="C1189" s="1" t="n">
        <v>45359</v>
      </c>
      <c r="D1189" t="inlineStr">
        <is>
          <t>JÄMTLANDS LÄN</t>
        </is>
      </c>
      <c r="E1189" t="inlineStr">
        <is>
          <t>RAGUNDA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44987-2023</t>
        </is>
      </c>
      <c r="B1190" s="1" t="n">
        <v>45191</v>
      </c>
      <c r="C1190" s="1" t="n">
        <v>45359</v>
      </c>
      <c r="D1190" t="inlineStr">
        <is>
          <t>JÄMTLANDS LÄN</t>
        </is>
      </c>
      <c r="E1190" t="inlineStr">
        <is>
          <t>RAGUNDA</t>
        </is>
      </c>
      <c r="F1190" t="inlineStr">
        <is>
          <t>SCA</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44999-2023</t>
        </is>
      </c>
      <c r="B1191" s="1" t="n">
        <v>45191</v>
      </c>
      <c r="C1191" s="1" t="n">
        <v>45359</v>
      </c>
      <c r="D1191" t="inlineStr">
        <is>
          <t>JÄMTLANDS LÄN</t>
        </is>
      </c>
      <c r="E1191" t="inlineStr">
        <is>
          <t>RAGUNDA</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44980-2023</t>
        </is>
      </c>
      <c r="B1192" s="1" t="n">
        <v>45190</v>
      </c>
      <c r="C1192" s="1" t="n">
        <v>45359</v>
      </c>
      <c r="D1192" t="inlineStr">
        <is>
          <t>JÄMTLANDS LÄN</t>
        </is>
      </c>
      <c r="E1192" t="inlineStr">
        <is>
          <t>RAGUNDA</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44988-2023</t>
        </is>
      </c>
      <c r="B1193" s="1" t="n">
        <v>45190</v>
      </c>
      <c r="C1193" s="1" t="n">
        <v>45359</v>
      </c>
      <c r="D1193" t="inlineStr">
        <is>
          <t>JÄMTLANDS LÄN</t>
        </is>
      </c>
      <c r="E1193" t="inlineStr">
        <is>
          <t>RAGUNDA</t>
        </is>
      </c>
      <c r="F1193" t="inlineStr">
        <is>
          <t>SCA</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44996-2023</t>
        </is>
      </c>
      <c r="B1194" s="1" t="n">
        <v>45191</v>
      </c>
      <c r="C1194" s="1" t="n">
        <v>45359</v>
      </c>
      <c r="D1194" t="inlineStr">
        <is>
          <t>JÄMTLANDS LÄN</t>
        </is>
      </c>
      <c r="E1194" t="inlineStr">
        <is>
          <t>RAGUNDA</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45008-2023</t>
        </is>
      </c>
      <c r="B1195" s="1" t="n">
        <v>45191</v>
      </c>
      <c r="C1195" s="1" t="n">
        <v>45359</v>
      </c>
      <c r="D1195" t="inlineStr">
        <is>
          <t>JÄMTLANDS LÄN</t>
        </is>
      </c>
      <c r="E1195" t="inlineStr">
        <is>
          <t>RAGUNDA</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45020-2023</t>
        </is>
      </c>
      <c r="B1196" s="1" t="n">
        <v>45191</v>
      </c>
      <c r="C1196" s="1" t="n">
        <v>45359</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44997-2023</t>
        </is>
      </c>
      <c r="B1197" s="1" t="n">
        <v>45191</v>
      </c>
      <c r="C1197" s="1" t="n">
        <v>45359</v>
      </c>
      <c r="D1197" t="inlineStr">
        <is>
          <t>JÄMTLANDS LÄN</t>
        </is>
      </c>
      <c r="E1197" t="inlineStr">
        <is>
          <t>RAGUNDA</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45336-2023</t>
        </is>
      </c>
      <c r="B1198" s="1" t="n">
        <v>45192</v>
      </c>
      <c r="C1198" s="1" t="n">
        <v>45359</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45335-2023</t>
        </is>
      </c>
      <c r="B1199" s="1" t="n">
        <v>45191</v>
      </c>
      <c r="C1199" s="1" t="n">
        <v>45359</v>
      </c>
      <c r="D1199" t="inlineStr">
        <is>
          <t>JÄMTLANDS LÄN</t>
        </is>
      </c>
      <c r="E1199" t="inlineStr">
        <is>
          <t>RAGUNDA</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45338-2023</t>
        </is>
      </c>
      <c r="B1200" s="1" t="n">
        <v>45192</v>
      </c>
      <c r="C1200" s="1" t="n">
        <v>45359</v>
      </c>
      <c r="D1200" t="inlineStr">
        <is>
          <t>JÄMTLANDS LÄN</t>
        </is>
      </c>
      <c r="E1200" t="inlineStr">
        <is>
          <t>RAGUNDA</t>
        </is>
      </c>
      <c r="F1200" t="inlineStr">
        <is>
          <t>SCA</t>
        </is>
      </c>
      <c r="G1200" t="n">
        <v>23.4</v>
      </c>
      <c r="H1200" t="n">
        <v>0</v>
      </c>
      <c r="I1200" t="n">
        <v>0</v>
      </c>
      <c r="J1200" t="n">
        <v>0</v>
      </c>
      <c r="K1200" t="n">
        <v>0</v>
      </c>
      <c r="L1200" t="n">
        <v>0</v>
      </c>
      <c r="M1200" t="n">
        <v>0</v>
      </c>
      <c r="N1200" t="n">
        <v>0</v>
      </c>
      <c r="O1200" t="n">
        <v>0</v>
      </c>
      <c r="P1200" t="n">
        <v>0</v>
      </c>
      <c r="Q1200" t="n">
        <v>0</v>
      </c>
      <c r="R1200" s="2" t="inlineStr"/>
    </row>
    <row r="1201" ht="15" customHeight="1">
      <c r="A1201" t="inlineStr">
        <is>
          <t>A 45953-2023</t>
        </is>
      </c>
      <c r="B1201" s="1" t="n">
        <v>45196</v>
      </c>
      <c r="C1201" s="1" t="n">
        <v>45359</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45974-2023</t>
        </is>
      </c>
      <c r="B1202" s="1" t="n">
        <v>45196</v>
      </c>
      <c r="C1202" s="1" t="n">
        <v>45359</v>
      </c>
      <c r="D1202" t="inlineStr">
        <is>
          <t>JÄMTLANDS LÄN</t>
        </is>
      </c>
      <c r="E1202" t="inlineStr">
        <is>
          <t>RAGUNDA</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45954-2023</t>
        </is>
      </c>
      <c r="B1203" s="1" t="n">
        <v>45196</v>
      </c>
      <c r="C1203" s="1" t="n">
        <v>45359</v>
      </c>
      <c r="D1203" t="inlineStr">
        <is>
          <t>JÄMTLANDS LÄN</t>
        </is>
      </c>
      <c r="E1203" t="inlineStr">
        <is>
          <t>RAGUNDA</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45952-2023</t>
        </is>
      </c>
      <c r="B1204" s="1" t="n">
        <v>45195</v>
      </c>
      <c r="C1204" s="1" t="n">
        <v>45359</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45955-2023</t>
        </is>
      </c>
      <c r="B1205" s="1" t="n">
        <v>45196</v>
      </c>
      <c r="C1205" s="1" t="n">
        <v>45359</v>
      </c>
      <c r="D1205" t="inlineStr">
        <is>
          <t>JÄMTLANDS LÄN</t>
        </is>
      </c>
      <c r="E1205" t="inlineStr">
        <is>
          <t>RAGUNDA</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47319-2023</t>
        </is>
      </c>
      <c r="B1206" s="1" t="n">
        <v>45196</v>
      </c>
      <c r="C1206" s="1" t="n">
        <v>45359</v>
      </c>
      <c r="D1206" t="inlineStr">
        <is>
          <t>JÄMTLANDS LÄN</t>
        </is>
      </c>
      <c r="E1206" t="inlineStr">
        <is>
          <t>RAGUNDA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46536-2023</t>
        </is>
      </c>
      <c r="B1207" s="1" t="n">
        <v>45198</v>
      </c>
      <c r="C1207" s="1" t="n">
        <v>45359</v>
      </c>
      <c r="D1207" t="inlineStr">
        <is>
          <t>JÄMTLANDS LÄN</t>
        </is>
      </c>
      <c r="E1207" t="inlineStr">
        <is>
          <t>RAGUNDA</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46549-2023</t>
        </is>
      </c>
      <c r="B1208" s="1" t="n">
        <v>45198</v>
      </c>
      <c r="C1208" s="1" t="n">
        <v>45359</v>
      </c>
      <c r="D1208" t="inlineStr">
        <is>
          <t>JÄMTLANDS LÄN</t>
        </is>
      </c>
      <c r="E1208" t="inlineStr">
        <is>
          <t>RAGUNDA</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46537-2023</t>
        </is>
      </c>
      <c r="B1209" s="1" t="n">
        <v>45197</v>
      </c>
      <c r="C1209" s="1" t="n">
        <v>45359</v>
      </c>
      <c r="D1209" t="inlineStr">
        <is>
          <t>JÄMTLANDS LÄN</t>
        </is>
      </c>
      <c r="E1209" t="inlineStr">
        <is>
          <t>RAGUNDA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46546-2023</t>
        </is>
      </c>
      <c r="B1210" s="1" t="n">
        <v>45198</v>
      </c>
      <c r="C1210" s="1" t="n">
        <v>45359</v>
      </c>
      <c r="D1210" t="inlineStr">
        <is>
          <t>JÄMTLANDS LÄN</t>
        </is>
      </c>
      <c r="E1210" t="inlineStr">
        <is>
          <t>RAGUNDA</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47444-2023</t>
        </is>
      </c>
      <c r="B1211" s="1" t="n">
        <v>45197</v>
      </c>
      <c r="C1211" s="1" t="n">
        <v>45359</v>
      </c>
      <c r="D1211" t="inlineStr">
        <is>
          <t>JÄMTLANDS LÄN</t>
        </is>
      </c>
      <c r="E1211" t="inlineStr">
        <is>
          <t>RAGUNDA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46817-2023</t>
        </is>
      </c>
      <c r="B1212" s="1" t="n">
        <v>45199</v>
      </c>
      <c r="C1212" s="1" t="n">
        <v>45359</v>
      </c>
      <c r="D1212" t="inlineStr">
        <is>
          <t>JÄMTLANDS LÄN</t>
        </is>
      </c>
      <c r="E1212" t="inlineStr">
        <is>
          <t>RAGUNDA</t>
        </is>
      </c>
      <c r="F1212" t="inlineStr">
        <is>
          <t>SCA</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46806-2023</t>
        </is>
      </c>
      <c r="B1213" s="1" t="n">
        <v>45199</v>
      </c>
      <c r="C1213" s="1" t="n">
        <v>45359</v>
      </c>
      <c r="D1213" t="inlineStr">
        <is>
          <t>JÄMTLANDS LÄN</t>
        </is>
      </c>
      <c r="E1213" t="inlineStr">
        <is>
          <t>RAGUNDA</t>
        </is>
      </c>
      <c r="F1213" t="inlineStr">
        <is>
          <t>SCA</t>
        </is>
      </c>
      <c r="G1213" t="n">
        <v>39.8</v>
      </c>
      <c r="H1213" t="n">
        <v>0</v>
      </c>
      <c r="I1213" t="n">
        <v>0</v>
      </c>
      <c r="J1213" t="n">
        <v>0</v>
      </c>
      <c r="K1213" t="n">
        <v>0</v>
      </c>
      <c r="L1213" t="n">
        <v>0</v>
      </c>
      <c r="M1213" t="n">
        <v>0</v>
      </c>
      <c r="N1213" t="n">
        <v>0</v>
      </c>
      <c r="O1213" t="n">
        <v>0</v>
      </c>
      <c r="P1213" t="n">
        <v>0</v>
      </c>
      <c r="Q1213" t="n">
        <v>0</v>
      </c>
      <c r="R1213" s="2" t="inlineStr"/>
    </row>
    <row r="1214" ht="15" customHeight="1">
      <c r="A1214" t="inlineStr">
        <is>
          <t>A 47168-2023</t>
        </is>
      </c>
      <c r="B1214" s="1" t="n">
        <v>45201</v>
      </c>
      <c r="C1214" s="1" t="n">
        <v>45359</v>
      </c>
      <c r="D1214" t="inlineStr">
        <is>
          <t>JÄMTLANDS LÄN</t>
        </is>
      </c>
      <c r="E1214" t="inlineStr">
        <is>
          <t>RAGUNDA</t>
        </is>
      </c>
      <c r="F1214" t="inlineStr">
        <is>
          <t>SCA</t>
        </is>
      </c>
      <c r="G1214" t="n">
        <v>15.6</v>
      </c>
      <c r="H1214" t="n">
        <v>0</v>
      </c>
      <c r="I1214" t="n">
        <v>0</v>
      </c>
      <c r="J1214" t="n">
        <v>0</v>
      </c>
      <c r="K1214" t="n">
        <v>0</v>
      </c>
      <c r="L1214" t="n">
        <v>0</v>
      </c>
      <c r="M1214" t="n">
        <v>0</v>
      </c>
      <c r="N1214" t="n">
        <v>0</v>
      </c>
      <c r="O1214" t="n">
        <v>0</v>
      </c>
      <c r="P1214" t="n">
        <v>0</v>
      </c>
      <c r="Q1214" t="n">
        <v>0</v>
      </c>
      <c r="R1214" s="2" t="inlineStr"/>
    </row>
    <row r="1215" ht="15" customHeight="1">
      <c r="A1215" t="inlineStr">
        <is>
          <t>A 47173-2023</t>
        </is>
      </c>
      <c r="B1215" s="1" t="n">
        <v>45202</v>
      </c>
      <c r="C1215" s="1" t="n">
        <v>45359</v>
      </c>
      <c r="D1215" t="inlineStr">
        <is>
          <t>JÄMTLANDS LÄN</t>
        </is>
      </c>
      <c r="E1215" t="inlineStr">
        <is>
          <t>RAGUNDA</t>
        </is>
      </c>
      <c r="F1215" t="inlineStr">
        <is>
          <t>SCA</t>
        </is>
      </c>
      <c r="G1215" t="n">
        <v>21.5</v>
      </c>
      <c r="H1215" t="n">
        <v>0</v>
      </c>
      <c r="I1215" t="n">
        <v>0</v>
      </c>
      <c r="J1215" t="n">
        <v>0</v>
      </c>
      <c r="K1215" t="n">
        <v>0</v>
      </c>
      <c r="L1215" t="n">
        <v>0</v>
      </c>
      <c r="M1215" t="n">
        <v>0</v>
      </c>
      <c r="N1215" t="n">
        <v>0</v>
      </c>
      <c r="O1215" t="n">
        <v>0</v>
      </c>
      <c r="P1215" t="n">
        <v>0</v>
      </c>
      <c r="Q1215" t="n">
        <v>0</v>
      </c>
      <c r="R1215" s="2" t="inlineStr"/>
    </row>
    <row r="1216" ht="15" customHeight="1">
      <c r="A1216" t="inlineStr">
        <is>
          <t>A 48065-2023</t>
        </is>
      </c>
      <c r="B1216" s="1" t="n">
        <v>45205</v>
      </c>
      <c r="C1216" s="1" t="n">
        <v>45359</v>
      </c>
      <c r="D1216" t="inlineStr">
        <is>
          <t>JÄMTLANDS LÄN</t>
        </is>
      </c>
      <c r="E1216" t="inlineStr">
        <is>
          <t>RAGUNDA</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48066-2023</t>
        </is>
      </c>
      <c r="B1217" s="1" t="n">
        <v>45205</v>
      </c>
      <c r="C1217" s="1" t="n">
        <v>45359</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48421-2023</t>
        </is>
      </c>
      <c r="B1218" s="1" t="n">
        <v>45205</v>
      </c>
      <c r="C1218" s="1" t="n">
        <v>45359</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48469-2023</t>
        </is>
      </c>
      <c r="B1219" s="1" t="n">
        <v>45207</v>
      </c>
      <c r="C1219" s="1" t="n">
        <v>45359</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50160-2023</t>
        </is>
      </c>
      <c r="B1220" s="1" t="n">
        <v>45208</v>
      </c>
      <c r="C1220" s="1" t="n">
        <v>45359</v>
      </c>
      <c r="D1220" t="inlineStr">
        <is>
          <t>JÄMTLANDS LÄN</t>
        </is>
      </c>
      <c r="E1220" t="inlineStr">
        <is>
          <t>RAGUNDA</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50157-2023</t>
        </is>
      </c>
      <c r="B1221" s="1" t="n">
        <v>45208</v>
      </c>
      <c r="C1221" s="1" t="n">
        <v>45359</v>
      </c>
      <c r="D1221" t="inlineStr">
        <is>
          <t>JÄMTLANDS LÄN</t>
        </is>
      </c>
      <c r="E1221" t="inlineStr">
        <is>
          <t>RAGUNDA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50658-2023</t>
        </is>
      </c>
      <c r="B1222" s="1" t="n">
        <v>45210</v>
      </c>
      <c r="C1222" s="1" t="n">
        <v>45359</v>
      </c>
      <c r="D1222" t="inlineStr">
        <is>
          <t>JÄMTLANDS LÄN</t>
        </is>
      </c>
      <c r="E1222" t="inlineStr">
        <is>
          <t>RAGUNDA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50650-2023</t>
        </is>
      </c>
      <c r="B1223" s="1" t="n">
        <v>45210</v>
      </c>
      <c r="C1223" s="1" t="n">
        <v>45359</v>
      </c>
      <c r="D1223" t="inlineStr">
        <is>
          <t>JÄMTLANDS LÄN</t>
        </is>
      </c>
      <c r="E1223" t="inlineStr">
        <is>
          <t>RAGUNDA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49650-2023</t>
        </is>
      </c>
      <c r="B1224" s="1" t="n">
        <v>45212</v>
      </c>
      <c r="C1224" s="1" t="n">
        <v>45359</v>
      </c>
      <c r="D1224" t="inlineStr">
        <is>
          <t>JÄMTLANDS LÄN</t>
        </is>
      </c>
      <c r="E1224" t="inlineStr">
        <is>
          <t>RAGUNDA</t>
        </is>
      </c>
      <c r="F1224" t="inlineStr">
        <is>
          <t>SCA</t>
        </is>
      </c>
      <c r="G1224" t="n">
        <v>19.8</v>
      </c>
      <c r="H1224" t="n">
        <v>0</v>
      </c>
      <c r="I1224" t="n">
        <v>0</v>
      </c>
      <c r="J1224" t="n">
        <v>0</v>
      </c>
      <c r="K1224" t="n">
        <v>0</v>
      </c>
      <c r="L1224" t="n">
        <v>0</v>
      </c>
      <c r="M1224" t="n">
        <v>0</v>
      </c>
      <c r="N1224" t="n">
        <v>0</v>
      </c>
      <c r="O1224" t="n">
        <v>0</v>
      </c>
      <c r="P1224" t="n">
        <v>0</v>
      </c>
      <c r="Q1224" t="n">
        <v>0</v>
      </c>
      <c r="R1224" s="2" t="inlineStr"/>
    </row>
    <row r="1225" ht="15" customHeight="1">
      <c r="A1225" t="inlineStr">
        <is>
          <t>A 49648-2023</t>
        </is>
      </c>
      <c r="B1225" s="1" t="n">
        <v>45212</v>
      </c>
      <c r="C1225" s="1" t="n">
        <v>45359</v>
      </c>
      <c r="D1225" t="inlineStr">
        <is>
          <t>JÄMTLANDS LÄN</t>
        </is>
      </c>
      <c r="E1225" t="inlineStr">
        <is>
          <t>RAGUNDA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49659-2023</t>
        </is>
      </c>
      <c r="B1226" s="1" t="n">
        <v>45212</v>
      </c>
      <c r="C1226" s="1" t="n">
        <v>45359</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50211-2023</t>
        </is>
      </c>
      <c r="B1227" s="1" t="n">
        <v>45216</v>
      </c>
      <c r="C1227" s="1" t="n">
        <v>45359</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51503-2023</t>
        </is>
      </c>
      <c r="B1228" s="1" t="n">
        <v>45215</v>
      </c>
      <c r="C1228" s="1" t="n">
        <v>45359</v>
      </c>
      <c r="D1228" t="inlineStr">
        <is>
          <t>JÄMTLANDS LÄN</t>
        </is>
      </c>
      <c r="E1228" t="inlineStr">
        <is>
          <t>RAGUNDA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51646-2023</t>
        </is>
      </c>
      <c r="B1229" s="1" t="n">
        <v>45215</v>
      </c>
      <c r="C1229" s="1" t="n">
        <v>45359</v>
      </c>
      <c r="D1229" t="inlineStr">
        <is>
          <t>JÄMTLANDS LÄN</t>
        </is>
      </c>
      <c r="E1229" t="inlineStr">
        <is>
          <t>RAGUNDA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50486-2023</t>
        </is>
      </c>
      <c r="B1230" s="1" t="n">
        <v>45217</v>
      </c>
      <c r="C1230" s="1" t="n">
        <v>45359</v>
      </c>
      <c r="D1230" t="inlineStr">
        <is>
          <t>JÄMTLANDS LÄN</t>
        </is>
      </c>
      <c r="E1230" t="inlineStr">
        <is>
          <t>RAGUNDA</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50485-2023</t>
        </is>
      </c>
      <c r="B1231" s="1" t="n">
        <v>45217</v>
      </c>
      <c r="C1231" s="1" t="n">
        <v>45359</v>
      </c>
      <c r="D1231" t="inlineStr">
        <is>
          <t>JÄMTLANDS LÄN</t>
        </is>
      </c>
      <c r="E1231" t="inlineStr">
        <is>
          <t>RAGUNDA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50487-2023</t>
        </is>
      </c>
      <c r="B1232" s="1" t="n">
        <v>45217</v>
      </c>
      <c r="C1232" s="1" t="n">
        <v>45359</v>
      </c>
      <c r="D1232" t="inlineStr">
        <is>
          <t>JÄMTLANDS LÄN</t>
        </is>
      </c>
      <c r="E1232" t="inlineStr">
        <is>
          <t>RAGUNDA</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50483-2023</t>
        </is>
      </c>
      <c r="B1233" s="1" t="n">
        <v>45217</v>
      </c>
      <c r="C1233" s="1" t="n">
        <v>45359</v>
      </c>
      <c r="D1233" t="inlineStr">
        <is>
          <t>JÄMTLANDS LÄN</t>
        </is>
      </c>
      <c r="E1233" t="inlineStr">
        <is>
          <t>RAGUNDA</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50484-2023</t>
        </is>
      </c>
      <c r="B1234" s="1" t="n">
        <v>45217</v>
      </c>
      <c r="C1234" s="1" t="n">
        <v>45359</v>
      </c>
      <c r="D1234" t="inlineStr">
        <is>
          <t>JÄMTLANDS LÄN</t>
        </is>
      </c>
      <c r="E1234" t="inlineStr">
        <is>
          <t>RAGUNDA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50831-2023</t>
        </is>
      </c>
      <c r="B1235" s="1" t="n">
        <v>45217</v>
      </c>
      <c r="C1235" s="1" t="n">
        <v>45359</v>
      </c>
      <c r="D1235" t="inlineStr">
        <is>
          <t>JÄMTLANDS LÄN</t>
        </is>
      </c>
      <c r="E1235" t="inlineStr">
        <is>
          <t>RAGUNDA</t>
        </is>
      </c>
      <c r="F1235" t="inlineStr">
        <is>
          <t>SCA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50832-2023</t>
        </is>
      </c>
      <c r="B1236" s="1" t="n">
        <v>45218</v>
      </c>
      <c r="C1236" s="1" t="n">
        <v>45359</v>
      </c>
      <c r="D1236" t="inlineStr">
        <is>
          <t>JÄMTLANDS LÄN</t>
        </is>
      </c>
      <c r="E1236" t="inlineStr">
        <is>
          <t>RAGUNDA</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50848-2023</t>
        </is>
      </c>
      <c r="B1237" s="1" t="n">
        <v>45217</v>
      </c>
      <c r="C1237" s="1" t="n">
        <v>45359</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52195-2023</t>
        </is>
      </c>
      <c r="B1238" s="1" t="n">
        <v>45217</v>
      </c>
      <c r="C1238" s="1" t="n">
        <v>45359</v>
      </c>
      <c r="D1238" t="inlineStr">
        <is>
          <t>JÄMTLANDS LÄN</t>
        </is>
      </c>
      <c r="E1238" t="inlineStr">
        <is>
          <t>RAGUNDA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50847-2023</t>
        </is>
      </c>
      <c r="B1239" s="1" t="n">
        <v>45217</v>
      </c>
      <c r="C1239" s="1" t="n">
        <v>45359</v>
      </c>
      <c r="D1239" t="inlineStr">
        <is>
          <t>JÄMTLANDS LÄN</t>
        </is>
      </c>
      <c r="E1239" t="inlineStr">
        <is>
          <t>RAGUNDA</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52550-2023</t>
        </is>
      </c>
      <c r="B1240" s="1" t="n">
        <v>45218</v>
      </c>
      <c r="C1240" s="1" t="n">
        <v>45359</v>
      </c>
      <c r="D1240" t="inlineStr">
        <is>
          <t>JÄMTLANDS LÄN</t>
        </is>
      </c>
      <c r="E1240" t="inlineStr">
        <is>
          <t>RAGUNDA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52544-2023</t>
        </is>
      </c>
      <c r="B1241" s="1" t="n">
        <v>45218</v>
      </c>
      <c r="C1241" s="1" t="n">
        <v>45359</v>
      </c>
      <c r="D1241" t="inlineStr">
        <is>
          <t>JÄMTLANDS LÄN</t>
        </is>
      </c>
      <c r="E1241" t="inlineStr">
        <is>
          <t>RAGUNDA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52631-2023</t>
        </is>
      </c>
      <c r="B1242" s="1" t="n">
        <v>45219</v>
      </c>
      <c r="C1242" s="1" t="n">
        <v>45359</v>
      </c>
      <c r="D1242" t="inlineStr">
        <is>
          <t>JÄMTLANDS LÄN</t>
        </is>
      </c>
      <c r="E1242" t="inlineStr">
        <is>
          <t>RAGUNDA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52622-2023</t>
        </is>
      </c>
      <c r="B1243" s="1" t="n">
        <v>45219</v>
      </c>
      <c r="C1243" s="1" t="n">
        <v>45359</v>
      </c>
      <c r="D1243" t="inlineStr">
        <is>
          <t>JÄMTLANDS LÄN</t>
        </is>
      </c>
      <c r="E1243" t="inlineStr">
        <is>
          <t>RAGUNDA</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51435-2023</t>
        </is>
      </c>
      <c r="B1244" s="1" t="n">
        <v>45220</v>
      </c>
      <c r="C1244" s="1" t="n">
        <v>45359</v>
      </c>
      <c r="D1244" t="inlineStr">
        <is>
          <t>JÄMTLANDS LÄN</t>
        </is>
      </c>
      <c r="E1244" t="inlineStr">
        <is>
          <t>RAGUNDA</t>
        </is>
      </c>
      <c r="F1244" t="inlineStr">
        <is>
          <t>SCA</t>
        </is>
      </c>
      <c r="G1244" t="n">
        <v>39.6</v>
      </c>
      <c r="H1244" t="n">
        <v>0</v>
      </c>
      <c r="I1244" t="n">
        <v>0</v>
      </c>
      <c r="J1244" t="n">
        <v>0</v>
      </c>
      <c r="K1244" t="n">
        <v>0</v>
      </c>
      <c r="L1244" t="n">
        <v>0</v>
      </c>
      <c r="M1244" t="n">
        <v>0</v>
      </c>
      <c r="N1244" t="n">
        <v>0</v>
      </c>
      <c r="O1244" t="n">
        <v>0</v>
      </c>
      <c r="P1244" t="n">
        <v>0</v>
      </c>
      <c r="Q1244" t="n">
        <v>0</v>
      </c>
      <c r="R1244" s="2" t="inlineStr"/>
    </row>
    <row r="1245" ht="15" customHeight="1">
      <c r="A1245" t="inlineStr">
        <is>
          <t>A 51209-2023</t>
        </is>
      </c>
      <c r="B1245" s="1" t="n">
        <v>45219</v>
      </c>
      <c r="C1245" s="1" t="n">
        <v>45359</v>
      </c>
      <c r="D1245" t="inlineStr">
        <is>
          <t>JÄMTLANDS LÄN</t>
        </is>
      </c>
      <c r="E1245" t="inlineStr">
        <is>
          <t>RAGUNDA</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51807-2023</t>
        </is>
      </c>
      <c r="B1246" s="1" t="n">
        <v>45223</v>
      </c>
      <c r="C1246" s="1" t="n">
        <v>45359</v>
      </c>
      <c r="D1246" t="inlineStr">
        <is>
          <t>JÄMTLANDS LÄN</t>
        </is>
      </c>
      <c r="E1246" t="inlineStr">
        <is>
          <t>RAGUNDA</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52878-2023</t>
        </is>
      </c>
      <c r="B1247" s="1" t="n">
        <v>45222</v>
      </c>
      <c r="C1247" s="1" t="n">
        <v>45359</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53019-2023</t>
        </is>
      </c>
      <c r="B1248" s="1" t="n">
        <v>45222</v>
      </c>
      <c r="C1248" s="1" t="n">
        <v>45359</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53347-2023</t>
        </is>
      </c>
      <c r="B1249" s="1" t="n">
        <v>45223</v>
      </c>
      <c r="C1249" s="1" t="n">
        <v>45359</v>
      </c>
      <c r="D1249" t="inlineStr">
        <is>
          <t>JÄMTLANDS LÄN</t>
        </is>
      </c>
      <c r="E1249" t="inlineStr">
        <is>
          <t>RAGUNDA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53860-2023</t>
        </is>
      </c>
      <c r="B1250" s="1" t="n">
        <v>45224</v>
      </c>
      <c r="C1250" s="1" t="n">
        <v>45359</v>
      </c>
      <c r="D1250" t="inlineStr">
        <is>
          <t>JÄMTLANDS LÄN</t>
        </is>
      </c>
      <c r="E1250" t="inlineStr">
        <is>
          <t>RAGUNDA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53847-2023</t>
        </is>
      </c>
      <c r="B1251" s="1" t="n">
        <v>45224</v>
      </c>
      <c r="C1251" s="1" t="n">
        <v>45359</v>
      </c>
      <c r="D1251" t="inlineStr">
        <is>
          <t>JÄMTLANDS LÄN</t>
        </is>
      </c>
      <c r="E1251" t="inlineStr">
        <is>
          <t>RAGUNDA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53947-2023</t>
        </is>
      </c>
      <c r="B1252" s="1" t="n">
        <v>45225</v>
      </c>
      <c r="C1252" s="1" t="n">
        <v>45359</v>
      </c>
      <c r="D1252" t="inlineStr">
        <is>
          <t>JÄMTLANDS LÄN</t>
        </is>
      </c>
      <c r="E1252" t="inlineStr">
        <is>
          <t>RAGUNDA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53455-2023</t>
        </is>
      </c>
      <c r="B1253" s="1" t="n">
        <v>45230</v>
      </c>
      <c r="C1253" s="1" t="n">
        <v>45359</v>
      </c>
      <c r="D1253" t="inlineStr">
        <is>
          <t>JÄMTLANDS LÄN</t>
        </is>
      </c>
      <c r="E1253" t="inlineStr">
        <is>
          <t>RAGUNDA</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53762-2023</t>
        </is>
      </c>
      <c r="B1254" s="1" t="n">
        <v>45231</v>
      </c>
      <c r="C1254" s="1" t="n">
        <v>45359</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53766-2023</t>
        </is>
      </c>
      <c r="B1255" s="1" t="n">
        <v>45231</v>
      </c>
      <c r="C1255" s="1" t="n">
        <v>45359</v>
      </c>
      <c r="D1255" t="inlineStr">
        <is>
          <t>JÄMTLANDS LÄN</t>
        </is>
      </c>
      <c r="E1255" t="inlineStr">
        <is>
          <t>RAGUNDA</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53769-2023</t>
        </is>
      </c>
      <c r="B1256" s="1" t="n">
        <v>45230</v>
      </c>
      <c r="C1256" s="1" t="n">
        <v>45359</v>
      </c>
      <c r="D1256" t="inlineStr">
        <is>
          <t>JÄMTLANDS LÄN</t>
        </is>
      </c>
      <c r="E1256" t="inlineStr">
        <is>
          <t>RAGUNDA</t>
        </is>
      </c>
      <c r="F1256" t="inlineStr">
        <is>
          <t>SCA</t>
        </is>
      </c>
      <c r="G1256" t="n">
        <v>11.6</v>
      </c>
      <c r="H1256" t="n">
        <v>0</v>
      </c>
      <c r="I1256" t="n">
        <v>0</v>
      </c>
      <c r="J1256" t="n">
        <v>0</v>
      </c>
      <c r="K1256" t="n">
        <v>0</v>
      </c>
      <c r="L1256" t="n">
        <v>0</v>
      </c>
      <c r="M1256" t="n">
        <v>0</v>
      </c>
      <c r="N1256" t="n">
        <v>0</v>
      </c>
      <c r="O1256" t="n">
        <v>0</v>
      </c>
      <c r="P1256" t="n">
        <v>0</v>
      </c>
      <c r="Q1256" t="n">
        <v>0</v>
      </c>
      <c r="R1256" s="2" t="inlineStr"/>
    </row>
    <row r="1257" ht="15" customHeight="1">
      <c r="A1257" t="inlineStr">
        <is>
          <t>A 55250-2023</t>
        </is>
      </c>
      <c r="B1257" s="1" t="n">
        <v>45231</v>
      </c>
      <c r="C1257" s="1" t="n">
        <v>45359</v>
      </c>
      <c r="D1257" t="inlineStr">
        <is>
          <t>JÄMTLANDS LÄN</t>
        </is>
      </c>
      <c r="E1257" t="inlineStr">
        <is>
          <t>RAGUNDA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54322-2023</t>
        </is>
      </c>
      <c r="B1258" s="1" t="n">
        <v>45232</v>
      </c>
      <c r="C1258" s="1" t="n">
        <v>45359</v>
      </c>
      <c r="D1258" t="inlineStr">
        <is>
          <t>JÄMTLANDS LÄN</t>
        </is>
      </c>
      <c r="E1258" t="inlineStr">
        <is>
          <t>RAGUNDA</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54321-2023</t>
        </is>
      </c>
      <c r="B1259" s="1" t="n">
        <v>45232</v>
      </c>
      <c r="C1259" s="1" t="n">
        <v>45359</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54599-2023</t>
        </is>
      </c>
      <c r="B1260" s="1" t="n">
        <v>45233</v>
      </c>
      <c r="C1260" s="1" t="n">
        <v>45359</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56338-2023</t>
        </is>
      </c>
      <c r="B1261" s="1" t="n">
        <v>45236</v>
      </c>
      <c r="C1261" s="1" t="n">
        <v>45359</v>
      </c>
      <c r="D1261" t="inlineStr">
        <is>
          <t>JÄMTLANDS LÄN</t>
        </is>
      </c>
      <c r="E1261" t="inlineStr">
        <is>
          <t>RAGUNDA</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56331-2023</t>
        </is>
      </c>
      <c r="B1262" s="1" t="n">
        <v>45236</v>
      </c>
      <c r="C1262" s="1" t="n">
        <v>45359</v>
      </c>
      <c r="D1262" t="inlineStr">
        <is>
          <t>JÄMTLANDS LÄN</t>
        </is>
      </c>
      <c r="E1262" t="inlineStr">
        <is>
          <t>RAGUNDA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56343-2023</t>
        </is>
      </c>
      <c r="B1263" s="1" t="n">
        <v>45236</v>
      </c>
      <c r="C1263" s="1" t="n">
        <v>45359</v>
      </c>
      <c r="D1263" t="inlineStr">
        <is>
          <t>JÄMTLANDS LÄN</t>
        </is>
      </c>
      <c r="E1263" t="inlineStr">
        <is>
          <t>RAGUNDA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56351-2023</t>
        </is>
      </c>
      <c r="B1264" s="1" t="n">
        <v>45236</v>
      </c>
      <c r="C1264" s="1" t="n">
        <v>45359</v>
      </c>
      <c r="D1264" t="inlineStr">
        <is>
          <t>JÄMTLANDS LÄN</t>
        </is>
      </c>
      <c r="E1264" t="inlineStr">
        <is>
          <t>RAGUNDA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55649-2023</t>
        </is>
      </c>
      <c r="B1265" s="1" t="n">
        <v>45238</v>
      </c>
      <c r="C1265" s="1" t="n">
        <v>45359</v>
      </c>
      <c r="D1265" t="inlineStr">
        <is>
          <t>JÄMTLANDS LÄN</t>
        </is>
      </c>
      <c r="E1265" t="inlineStr">
        <is>
          <t>RAGUNDA</t>
        </is>
      </c>
      <c r="F1265" t="inlineStr">
        <is>
          <t>SCA</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55669-2023</t>
        </is>
      </c>
      <c r="B1266" s="1" t="n">
        <v>45239</v>
      </c>
      <c r="C1266" s="1" t="n">
        <v>45359</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56618-2023</t>
        </is>
      </c>
      <c r="B1267" s="1" t="n">
        <v>45238</v>
      </c>
      <c r="C1267" s="1" t="n">
        <v>45359</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55487-2023</t>
        </is>
      </c>
      <c r="B1268" s="1" t="n">
        <v>45238</v>
      </c>
      <c r="C1268" s="1" t="n">
        <v>45359</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57433-2023</t>
        </is>
      </c>
      <c r="B1269" s="1" t="n">
        <v>45240</v>
      </c>
      <c r="C1269" s="1" t="n">
        <v>45359</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57425-2023</t>
        </is>
      </c>
      <c r="B1270" s="1" t="n">
        <v>45240</v>
      </c>
      <c r="C1270" s="1" t="n">
        <v>45359</v>
      </c>
      <c r="D1270" t="inlineStr">
        <is>
          <t>JÄMTLANDS LÄN</t>
        </is>
      </c>
      <c r="E1270" t="inlineStr">
        <is>
          <t>RAGUNDA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56284-2023</t>
        </is>
      </c>
      <c r="B1271" s="1" t="n">
        <v>45241</v>
      </c>
      <c r="C1271" s="1" t="n">
        <v>45359</v>
      </c>
      <c r="D1271" t="inlineStr">
        <is>
          <t>JÄMTLANDS LÄN</t>
        </is>
      </c>
      <c r="E1271" t="inlineStr">
        <is>
          <t>RAGUNDA</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56287-2023</t>
        </is>
      </c>
      <c r="B1272" s="1" t="n">
        <v>45241</v>
      </c>
      <c r="C1272" s="1" t="n">
        <v>45359</v>
      </c>
      <c r="D1272" t="inlineStr">
        <is>
          <t>JÄMTLANDS LÄN</t>
        </is>
      </c>
      <c r="E1272" t="inlineStr">
        <is>
          <t>RAGUNDA</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56286-2023</t>
        </is>
      </c>
      <c r="B1273" s="1" t="n">
        <v>45241</v>
      </c>
      <c r="C1273" s="1" t="n">
        <v>45359</v>
      </c>
      <c r="D1273" t="inlineStr">
        <is>
          <t>JÄMTLANDS LÄN</t>
        </is>
      </c>
      <c r="E1273" t="inlineStr">
        <is>
          <t>RAGUNDA</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56658-2023</t>
        </is>
      </c>
      <c r="B1274" s="1" t="n">
        <v>45243</v>
      </c>
      <c r="C1274" s="1" t="n">
        <v>45359</v>
      </c>
      <c r="D1274" t="inlineStr">
        <is>
          <t>JÄMTLANDS LÄN</t>
        </is>
      </c>
      <c r="E1274" t="inlineStr">
        <is>
          <t>RAGUNDA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56702-2023</t>
        </is>
      </c>
      <c r="B1275" s="1" t="n">
        <v>45244</v>
      </c>
      <c r="C1275" s="1" t="n">
        <v>45359</v>
      </c>
      <c r="D1275" t="inlineStr">
        <is>
          <t>JÄMTLANDS LÄN</t>
        </is>
      </c>
      <c r="E1275" t="inlineStr">
        <is>
          <t>RAGUNDA</t>
        </is>
      </c>
      <c r="F1275" t="inlineStr">
        <is>
          <t>SCA</t>
        </is>
      </c>
      <c r="G1275" t="n">
        <v>10.3</v>
      </c>
      <c r="H1275" t="n">
        <v>0</v>
      </c>
      <c r="I1275" t="n">
        <v>0</v>
      </c>
      <c r="J1275" t="n">
        <v>0</v>
      </c>
      <c r="K1275" t="n">
        <v>0</v>
      </c>
      <c r="L1275" t="n">
        <v>0</v>
      </c>
      <c r="M1275" t="n">
        <v>0</v>
      </c>
      <c r="N1275" t="n">
        <v>0</v>
      </c>
      <c r="O1275" t="n">
        <v>0</v>
      </c>
      <c r="P1275" t="n">
        <v>0</v>
      </c>
      <c r="Q1275" t="n">
        <v>0</v>
      </c>
      <c r="R1275" s="2" t="inlineStr"/>
    </row>
    <row r="1276" ht="15" customHeight="1">
      <c r="A1276" t="inlineStr">
        <is>
          <t>A 57078-2023</t>
        </is>
      </c>
      <c r="B1276" s="1" t="n">
        <v>45245</v>
      </c>
      <c r="C1276" s="1" t="n">
        <v>45359</v>
      </c>
      <c r="D1276" t="inlineStr">
        <is>
          <t>JÄMTLANDS LÄN</t>
        </is>
      </c>
      <c r="E1276" t="inlineStr">
        <is>
          <t>RAGUNDA</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57925-2023</t>
        </is>
      </c>
      <c r="B1277" s="1" t="n">
        <v>45244</v>
      </c>
      <c r="C1277" s="1" t="n">
        <v>45359</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57778-2023</t>
        </is>
      </c>
      <c r="B1278" s="1" t="n">
        <v>45246</v>
      </c>
      <c r="C1278" s="1" t="n">
        <v>45359</v>
      </c>
      <c r="D1278" t="inlineStr">
        <is>
          <t>JÄMTLANDS LÄN</t>
        </is>
      </c>
      <c r="E1278" t="inlineStr">
        <is>
          <t>RAGUNDA</t>
        </is>
      </c>
      <c r="F1278" t="inlineStr">
        <is>
          <t>SCA</t>
        </is>
      </c>
      <c r="G1278" t="n">
        <v>37.8</v>
      </c>
      <c r="H1278" t="n">
        <v>0</v>
      </c>
      <c r="I1278" t="n">
        <v>0</v>
      </c>
      <c r="J1278" t="n">
        <v>0</v>
      </c>
      <c r="K1278" t="n">
        <v>0</v>
      </c>
      <c r="L1278" t="n">
        <v>0</v>
      </c>
      <c r="M1278" t="n">
        <v>0</v>
      </c>
      <c r="N1278" t="n">
        <v>0</v>
      </c>
      <c r="O1278" t="n">
        <v>0</v>
      </c>
      <c r="P1278" t="n">
        <v>0</v>
      </c>
      <c r="Q1278" t="n">
        <v>0</v>
      </c>
      <c r="R1278" s="2" t="inlineStr"/>
    </row>
    <row r="1279" ht="15" customHeight="1">
      <c r="A1279" t="inlineStr">
        <is>
          <t>A 58084-2023</t>
        </is>
      </c>
      <c r="B1279" s="1" t="n">
        <v>45248</v>
      </c>
      <c r="C1279" s="1" t="n">
        <v>45359</v>
      </c>
      <c r="D1279" t="inlineStr">
        <is>
          <t>JÄMTLANDS LÄN</t>
        </is>
      </c>
      <c r="E1279" t="inlineStr">
        <is>
          <t>RAGUNDA</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58992-2023</t>
        </is>
      </c>
      <c r="B1280" s="1" t="n">
        <v>45250</v>
      </c>
      <c r="C1280" s="1" t="n">
        <v>45359</v>
      </c>
      <c r="D1280" t="inlineStr">
        <is>
          <t>JÄMTLANDS LÄN</t>
        </is>
      </c>
      <c r="E1280" t="inlineStr">
        <is>
          <t>RAGUNDA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58863-2023</t>
        </is>
      </c>
      <c r="B1281" s="1" t="n">
        <v>45250</v>
      </c>
      <c r="C1281" s="1" t="n">
        <v>45359</v>
      </c>
      <c r="D1281" t="inlineStr">
        <is>
          <t>JÄMTLANDS LÄN</t>
        </is>
      </c>
      <c r="E1281" t="inlineStr">
        <is>
          <t>RAGUNDA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58921-2023</t>
        </is>
      </c>
      <c r="B1282" s="1" t="n">
        <v>45250</v>
      </c>
      <c r="C1282" s="1" t="n">
        <v>45359</v>
      </c>
      <c r="D1282" t="inlineStr">
        <is>
          <t>JÄMTLANDS LÄN</t>
        </is>
      </c>
      <c r="E1282" t="inlineStr">
        <is>
          <t>RAGUNDA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59136-2023</t>
        </is>
      </c>
      <c r="B1283" s="1" t="n">
        <v>45251</v>
      </c>
      <c r="C1283" s="1" t="n">
        <v>45359</v>
      </c>
      <c r="D1283" t="inlineStr">
        <is>
          <t>JÄMTLANDS LÄN</t>
        </is>
      </c>
      <c r="E1283" t="inlineStr">
        <is>
          <t>RAGUNDA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59286-2023</t>
        </is>
      </c>
      <c r="B1284" s="1" t="n">
        <v>45253</v>
      </c>
      <c r="C1284" s="1" t="n">
        <v>45359</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59557-2023</t>
        </is>
      </c>
      <c r="B1285" s="1" t="n">
        <v>45253</v>
      </c>
      <c r="C1285" s="1" t="n">
        <v>45359</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59658-2023</t>
        </is>
      </c>
      <c r="B1286" s="1" t="n">
        <v>45255</v>
      </c>
      <c r="C1286" s="1" t="n">
        <v>45359</v>
      </c>
      <c r="D1286" t="inlineStr">
        <is>
          <t>JÄMTLANDS LÄN</t>
        </is>
      </c>
      <c r="E1286" t="inlineStr">
        <is>
          <t>RAGUNDA</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59670-2023</t>
        </is>
      </c>
      <c r="B1287" s="1" t="n">
        <v>45255</v>
      </c>
      <c r="C1287" s="1" t="n">
        <v>45359</v>
      </c>
      <c r="D1287" t="inlineStr">
        <is>
          <t>JÄMTLANDS LÄN</t>
        </is>
      </c>
      <c r="E1287" t="inlineStr">
        <is>
          <t>RAGUNDA</t>
        </is>
      </c>
      <c r="F1287" t="inlineStr">
        <is>
          <t>SCA</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59669-2023</t>
        </is>
      </c>
      <c r="B1288" s="1" t="n">
        <v>45255</v>
      </c>
      <c r="C1288" s="1" t="n">
        <v>45359</v>
      </c>
      <c r="D1288" t="inlineStr">
        <is>
          <t>JÄMTLANDS LÄN</t>
        </is>
      </c>
      <c r="E1288" t="inlineStr">
        <is>
          <t>RAGUNDA</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59996-2023</t>
        </is>
      </c>
      <c r="B1289" s="1" t="n">
        <v>45257</v>
      </c>
      <c r="C1289" s="1" t="n">
        <v>45359</v>
      </c>
      <c r="D1289" t="inlineStr">
        <is>
          <t>JÄMTLANDS LÄN</t>
        </is>
      </c>
      <c r="E1289" t="inlineStr">
        <is>
          <t>RAGUNDA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60012-2023</t>
        </is>
      </c>
      <c r="B1290" s="1" t="n">
        <v>45257</v>
      </c>
      <c r="C1290" s="1" t="n">
        <v>45359</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60199-2023</t>
        </is>
      </c>
      <c r="B1291" s="1" t="n">
        <v>45257</v>
      </c>
      <c r="C1291" s="1" t="n">
        <v>45359</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60228-2023</t>
        </is>
      </c>
      <c r="B1292" s="1" t="n">
        <v>45257</v>
      </c>
      <c r="C1292" s="1" t="n">
        <v>45359</v>
      </c>
      <c r="D1292" t="inlineStr">
        <is>
          <t>JÄMTLANDS LÄN</t>
        </is>
      </c>
      <c r="E1292" t="inlineStr">
        <is>
          <t>RAGUNDA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60185-2023</t>
        </is>
      </c>
      <c r="B1293" s="1" t="n">
        <v>45257</v>
      </c>
      <c r="C1293" s="1" t="n">
        <v>45359</v>
      </c>
      <c r="D1293" t="inlineStr">
        <is>
          <t>JÄMTLANDS LÄN</t>
        </is>
      </c>
      <c r="E1293" t="inlineStr">
        <is>
          <t>RAGUNDA</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60195-2023</t>
        </is>
      </c>
      <c r="B1294" s="1" t="n">
        <v>45257</v>
      </c>
      <c r="C1294" s="1" t="n">
        <v>45359</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60222-2023</t>
        </is>
      </c>
      <c r="B1295" s="1" t="n">
        <v>45257</v>
      </c>
      <c r="C1295" s="1" t="n">
        <v>45359</v>
      </c>
      <c r="D1295" t="inlineStr">
        <is>
          <t>JÄMTLANDS LÄN</t>
        </is>
      </c>
      <c r="E1295" t="inlineStr">
        <is>
          <t>RAGUNDA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60235-2023</t>
        </is>
      </c>
      <c r="B1296" s="1" t="n">
        <v>45257</v>
      </c>
      <c r="C1296" s="1" t="n">
        <v>45359</v>
      </c>
      <c r="D1296" t="inlineStr">
        <is>
          <t>JÄMTLANDS LÄN</t>
        </is>
      </c>
      <c r="E1296" t="inlineStr">
        <is>
          <t>RAGUNDA</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60330-2023</t>
        </is>
      </c>
      <c r="B1297" s="1" t="n">
        <v>45258</v>
      </c>
      <c r="C1297" s="1" t="n">
        <v>45359</v>
      </c>
      <c r="D1297" t="inlineStr">
        <is>
          <t>JÄMTLANDS LÄN</t>
        </is>
      </c>
      <c r="E1297" t="inlineStr">
        <is>
          <t>RAGUNDA</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60413-2023</t>
        </is>
      </c>
      <c r="B1298" s="1" t="n">
        <v>45258</v>
      </c>
      <c r="C1298" s="1" t="n">
        <v>45359</v>
      </c>
      <c r="D1298" t="inlineStr">
        <is>
          <t>JÄMTLANDS LÄN</t>
        </is>
      </c>
      <c r="E1298" t="inlineStr">
        <is>
          <t>RAGUNDA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60450-2023</t>
        </is>
      </c>
      <c r="B1299" s="1" t="n">
        <v>45258</v>
      </c>
      <c r="C1299" s="1" t="n">
        <v>45359</v>
      </c>
      <c r="D1299" t="inlineStr">
        <is>
          <t>JÄMTLANDS LÄN</t>
        </is>
      </c>
      <c r="E1299" t="inlineStr">
        <is>
          <t>RAGUNDA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60456-2023</t>
        </is>
      </c>
      <c r="B1300" s="1" t="n">
        <v>45258</v>
      </c>
      <c r="C1300" s="1" t="n">
        <v>45359</v>
      </c>
      <c r="D1300" t="inlineStr">
        <is>
          <t>JÄMTLANDS LÄN</t>
        </is>
      </c>
      <c r="E1300" t="inlineStr">
        <is>
          <t>RAGUNDA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60443-2023</t>
        </is>
      </c>
      <c r="B1301" s="1" t="n">
        <v>45258</v>
      </c>
      <c r="C1301" s="1" t="n">
        <v>45359</v>
      </c>
      <c r="D1301" t="inlineStr">
        <is>
          <t>JÄMTLANDS LÄN</t>
        </is>
      </c>
      <c r="E1301" t="inlineStr">
        <is>
          <t>RAGUNDA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60629-2023</t>
        </is>
      </c>
      <c r="B1302" s="1" t="n">
        <v>45259</v>
      </c>
      <c r="C1302" s="1" t="n">
        <v>45359</v>
      </c>
      <c r="D1302" t="inlineStr">
        <is>
          <t>JÄMTLANDS LÄN</t>
        </is>
      </c>
      <c r="E1302" t="inlineStr">
        <is>
          <t>RAGUNDA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60643-2023</t>
        </is>
      </c>
      <c r="B1303" s="1" t="n">
        <v>45259</v>
      </c>
      <c r="C1303" s="1" t="n">
        <v>45359</v>
      </c>
      <c r="D1303" t="inlineStr">
        <is>
          <t>JÄMTLANDS LÄN</t>
        </is>
      </c>
      <c r="E1303" t="inlineStr">
        <is>
          <t>RAGUNDA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61191-2023</t>
        </is>
      </c>
      <c r="B1304" s="1" t="n">
        <v>45260</v>
      </c>
      <c r="C1304" s="1" t="n">
        <v>45359</v>
      </c>
      <c r="D1304" t="inlineStr">
        <is>
          <t>JÄMTLANDS LÄN</t>
        </is>
      </c>
      <c r="E1304" t="inlineStr">
        <is>
          <t>RAGUNDA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60838-2023</t>
        </is>
      </c>
      <c r="B1305" s="1" t="n">
        <v>45260</v>
      </c>
      <c r="C1305" s="1" t="n">
        <v>45359</v>
      </c>
      <c r="D1305" t="inlineStr">
        <is>
          <t>JÄMTLANDS LÄN</t>
        </is>
      </c>
      <c r="E1305" t="inlineStr">
        <is>
          <t>RAGUNDA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61197-2023</t>
        </is>
      </c>
      <c r="B1306" s="1" t="n">
        <v>45260</v>
      </c>
      <c r="C1306" s="1" t="n">
        <v>45359</v>
      </c>
      <c r="D1306" t="inlineStr">
        <is>
          <t>JÄMTLANDS LÄN</t>
        </is>
      </c>
      <c r="E1306" t="inlineStr">
        <is>
          <t>RAGUNDA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60836-2023</t>
        </is>
      </c>
      <c r="B1307" s="1" t="n">
        <v>45260</v>
      </c>
      <c r="C1307" s="1" t="n">
        <v>45359</v>
      </c>
      <c r="D1307" t="inlineStr">
        <is>
          <t>JÄMTLANDS LÄN</t>
        </is>
      </c>
      <c r="E1307" t="inlineStr">
        <is>
          <t>RAGUNDA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60860-2023</t>
        </is>
      </c>
      <c r="B1308" s="1" t="n">
        <v>45260</v>
      </c>
      <c r="C1308" s="1" t="n">
        <v>45359</v>
      </c>
      <c r="D1308" t="inlineStr">
        <is>
          <t>JÄMTLANDS LÄN</t>
        </is>
      </c>
      <c r="E1308" t="inlineStr">
        <is>
          <t>RAGUNDA</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62107-2023</t>
        </is>
      </c>
      <c r="B1309" s="1" t="n">
        <v>45266</v>
      </c>
      <c r="C1309" s="1" t="n">
        <v>45359</v>
      </c>
      <c r="D1309" t="inlineStr">
        <is>
          <t>JÄMTLANDS LÄN</t>
        </is>
      </c>
      <c r="E1309" t="inlineStr">
        <is>
          <t>RAGUNDA</t>
        </is>
      </c>
      <c r="F1309" t="inlineStr">
        <is>
          <t>SCA</t>
        </is>
      </c>
      <c r="G1309" t="n">
        <v>38.4</v>
      </c>
      <c r="H1309" t="n">
        <v>0</v>
      </c>
      <c r="I1309" t="n">
        <v>0</v>
      </c>
      <c r="J1309" t="n">
        <v>0</v>
      </c>
      <c r="K1309" t="n">
        <v>0</v>
      </c>
      <c r="L1309" t="n">
        <v>0</v>
      </c>
      <c r="M1309" t="n">
        <v>0</v>
      </c>
      <c r="N1309" t="n">
        <v>0</v>
      </c>
      <c r="O1309" t="n">
        <v>0</v>
      </c>
      <c r="P1309" t="n">
        <v>0</v>
      </c>
      <c r="Q1309" t="n">
        <v>0</v>
      </c>
      <c r="R1309" s="2" t="inlineStr"/>
    </row>
    <row r="1310" ht="15" customHeight="1">
      <c r="A1310" t="inlineStr">
        <is>
          <t>A 62405-2023</t>
        </is>
      </c>
      <c r="B1310" s="1" t="n">
        <v>45266</v>
      </c>
      <c r="C1310" s="1" t="n">
        <v>45359</v>
      </c>
      <c r="D1310" t="inlineStr">
        <is>
          <t>JÄMTLANDS LÄN</t>
        </is>
      </c>
      <c r="E1310" t="inlineStr">
        <is>
          <t>RAGUNDA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62106-2023</t>
        </is>
      </c>
      <c r="B1311" s="1" t="n">
        <v>45266</v>
      </c>
      <c r="C1311" s="1" t="n">
        <v>45359</v>
      </c>
      <c r="D1311" t="inlineStr">
        <is>
          <t>JÄMTLANDS LÄN</t>
        </is>
      </c>
      <c r="E1311" t="inlineStr">
        <is>
          <t>RAGUNDA</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62397-2023</t>
        </is>
      </c>
      <c r="B1312" s="1" t="n">
        <v>45266</v>
      </c>
      <c r="C1312" s="1" t="n">
        <v>45359</v>
      </c>
      <c r="D1312" t="inlineStr">
        <is>
          <t>JÄMTLANDS LÄN</t>
        </is>
      </c>
      <c r="E1312" t="inlineStr">
        <is>
          <t>RAGUNDA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62407-2023</t>
        </is>
      </c>
      <c r="B1313" s="1" t="n">
        <v>45266</v>
      </c>
      <c r="C1313" s="1" t="n">
        <v>45359</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62526-2023</t>
        </is>
      </c>
      <c r="B1314" s="1" t="n">
        <v>45267</v>
      </c>
      <c r="C1314" s="1" t="n">
        <v>45359</v>
      </c>
      <c r="D1314" t="inlineStr">
        <is>
          <t>JÄMTLANDS LÄN</t>
        </is>
      </c>
      <c r="E1314" t="inlineStr">
        <is>
          <t>RAGUNDA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62358-2023</t>
        </is>
      </c>
      <c r="B1315" s="1" t="n">
        <v>45267</v>
      </c>
      <c r="C1315" s="1" t="n">
        <v>45359</v>
      </c>
      <c r="D1315" t="inlineStr">
        <is>
          <t>JÄMTLANDS LÄN</t>
        </is>
      </c>
      <c r="E1315" t="inlineStr">
        <is>
          <t>RAGUNDA</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62839-2023</t>
        </is>
      </c>
      <c r="B1316" s="1" t="n">
        <v>45271</v>
      </c>
      <c r="C1316" s="1" t="n">
        <v>45359</v>
      </c>
      <c r="D1316" t="inlineStr">
        <is>
          <t>JÄMTLANDS LÄN</t>
        </is>
      </c>
      <c r="E1316" t="inlineStr">
        <is>
          <t>RAGUNDA</t>
        </is>
      </c>
      <c r="F1316" t="inlineStr">
        <is>
          <t>SCA</t>
        </is>
      </c>
      <c r="G1316" t="n">
        <v>26.7</v>
      </c>
      <c r="H1316" t="n">
        <v>0</v>
      </c>
      <c r="I1316" t="n">
        <v>0</v>
      </c>
      <c r="J1316" t="n">
        <v>0</v>
      </c>
      <c r="K1316" t="n">
        <v>0</v>
      </c>
      <c r="L1316" t="n">
        <v>0</v>
      </c>
      <c r="M1316" t="n">
        <v>0</v>
      </c>
      <c r="N1316" t="n">
        <v>0</v>
      </c>
      <c r="O1316" t="n">
        <v>0</v>
      </c>
      <c r="P1316" t="n">
        <v>0</v>
      </c>
      <c r="Q1316" t="n">
        <v>0</v>
      </c>
      <c r="R1316" s="2" t="inlineStr"/>
    </row>
    <row r="1317" ht="15" customHeight="1">
      <c r="A1317" t="inlineStr">
        <is>
          <t>A 63708-2023</t>
        </is>
      </c>
      <c r="B1317" s="1" t="n">
        <v>45275</v>
      </c>
      <c r="C1317" s="1" t="n">
        <v>45359</v>
      </c>
      <c r="D1317" t="inlineStr">
        <is>
          <t>JÄMTLANDS LÄN</t>
        </is>
      </c>
      <c r="E1317" t="inlineStr">
        <is>
          <t>RAGUNDA</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64017-2023</t>
        </is>
      </c>
      <c r="B1318" s="1" t="n">
        <v>45278</v>
      </c>
      <c r="C1318" s="1" t="n">
        <v>45359</v>
      </c>
      <c r="D1318" t="inlineStr">
        <is>
          <t>JÄMTLANDS LÄN</t>
        </is>
      </c>
      <c r="E1318" t="inlineStr">
        <is>
          <t>RAGUNDA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64039-2023</t>
        </is>
      </c>
      <c r="B1319" s="1" t="n">
        <v>45278</v>
      </c>
      <c r="C1319" s="1" t="n">
        <v>45359</v>
      </c>
      <c r="D1319" t="inlineStr">
        <is>
          <t>JÄMTLANDS LÄN</t>
        </is>
      </c>
      <c r="E1319" t="inlineStr">
        <is>
          <t>RAGUNDA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64265-2023</t>
        </is>
      </c>
      <c r="B1320" s="1" t="n">
        <v>45279</v>
      </c>
      <c r="C1320" s="1" t="n">
        <v>45359</v>
      </c>
      <c r="D1320" t="inlineStr">
        <is>
          <t>JÄMTLANDS LÄN</t>
        </is>
      </c>
      <c r="E1320" t="inlineStr">
        <is>
          <t>RAGUNDA</t>
        </is>
      </c>
      <c r="F1320" t="inlineStr">
        <is>
          <t>SCA</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64264-2023</t>
        </is>
      </c>
      <c r="B1321" s="1" t="n">
        <v>45279</v>
      </c>
      <c r="C1321" s="1" t="n">
        <v>45359</v>
      </c>
      <c r="D1321" t="inlineStr">
        <is>
          <t>JÄMTLANDS LÄN</t>
        </is>
      </c>
      <c r="E1321" t="inlineStr">
        <is>
          <t>RAGUNDA</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64415-2023</t>
        </is>
      </c>
      <c r="B1322" s="1" t="n">
        <v>45280</v>
      </c>
      <c r="C1322" s="1" t="n">
        <v>45359</v>
      </c>
      <c r="D1322" t="inlineStr">
        <is>
          <t>JÄMTLANDS LÄN</t>
        </is>
      </c>
      <c r="E1322" t="inlineStr">
        <is>
          <t>RAGUNDA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64492-2023</t>
        </is>
      </c>
      <c r="B1323" s="1" t="n">
        <v>45280</v>
      </c>
      <c r="C1323" s="1" t="n">
        <v>45359</v>
      </c>
      <c r="D1323" t="inlineStr">
        <is>
          <t>JÄMTLANDS LÄN</t>
        </is>
      </c>
      <c r="E1323" t="inlineStr">
        <is>
          <t>RAGUNDA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65083-2023</t>
        </is>
      </c>
      <c r="B1324" s="1" t="n">
        <v>45287</v>
      </c>
      <c r="C1324" s="1" t="n">
        <v>45359</v>
      </c>
      <c r="D1324" t="inlineStr">
        <is>
          <t>JÄMTLANDS LÄN</t>
        </is>
      </c>
      <c r="E1324" t="inlineStr">
        <is>
          <t>RAGUNDA</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65242-2023</t>
        </is>
      </c>
      <c r="B1325" s="1" t="n">
        <v>45289</v>
      </c>
      <c r="C1325" s="1" t="n">
        <v>45359</v>
      </c>
      <c r="D1325" t="inlineStr">
        <is>
          <t>JÄMTLANDS LÄN</t>
        </is>
      </c>
      <c r="E1325" t="inlineStr">
        <is>
          <t>RAGUNDA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65216-2023</t>
        </is>
      </c>
      <c r="B1326" s="1" t="n">
        <v>45289</v>
      </c>
      <c r="C1326" s="1" t="n">
        <v>45359</v>
      </c>
      <c r="D1326" t="inlineStr">
        <is>
          <t>JÄMTLANDS LÄN</t>
        </is>
      </c>
      <c r="E1326" t="inlineStr">
        <is>
          <t>RAGUNDA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1130-2024</t>
        </is>
      </c>
      <c r="B1327" s="1" t="n">
        <v>45302</v>
      </c>
      <c r="C1327" s="1" t="n">
        <v>45359</v>
      </c>
      <c r="D1327" t="inlineStr">
        <is>
          <t>JÄMTLANDS LÄN</t>
        </is>
      </c>
      <c r="E1327" t="inlineStr">
        <is>
          <t>RAGUNDA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1123-2024</t>
        </is>
      </c>
      <c r="B1328" s="1" t="n">
        <v>45302</v>
      </c>
      <c r="C1328" s="1" t="n">
        <v>45359</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1465-2024</t>
        </is>
      </c>
      <c r="B1329" s="1" t="n">
        <v>45304</v>
      </c>
      <c r="C1329" s="1" t="n">
        <v>45359</v>
      </c>
      <c r="D1329" t="inlineStr">
        <is>
          <t>JÄMTLANDS LÄN</t>
        </is>
      </c>
      <c r="E1329" t="inlineStr">
        <is>
          <t>RAGUNDA</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1466-2024</t>
        </is>
      </c>
      <c r="B1330" s="1" t="n">
        <v>45304</v>
      </c>
      <c r="C1330" s="1" t="n">
        <v>45359</v>
      </c>
      <c r="D1330" t="inlineStr">
        <is>
          <t>JÄMTLANDS LÄN</t>
        </is>
      </c>
      <c r="E1330" t="inlineStr">
        <is>
          <t>RAGUNDA</t>
        </is>
      </c>
      <c r="F1330" t="inlineStr">
        <is>
          <t>SCA</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1537-2024</t>
        </is>
      </c>
      <c r="B1331" s="1" t="n">
        <v>45306</v>
      </c>
      <c r="C1331" s="1" t="n">
        <v>45359</v>
      </c>
      <c r="D1331" t="inlineStr">
        <is>
          <t>JÄMTLANDS LÄN</t>
        </is>
      </c>
      <c r="E1331" t="inlineStr">
        <is>
          <t>RAGUNDA</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1554-2024</t>
        </is>
      </c>
      <c r="B1332" s="1" t="n">
        <v>45306</v>
      </c>
      <c r="C1332" s="1" t="n">
        <v>45359</v>
      </c>
      <c r="D1332" t="inlineStr">
        <is>
          <t>JÄMTLANDS LÄN</t>
        </is>
      </c>
      <c r="E1332" t="inlineStr">
        <is>
          <t>RAGUNDA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1523-2024</t>
        </is>
      </c>
      <c r="B1333" s="1" t="n">
        <v>45306</v>
      </c>
      <c r="C1333" s="1" t="n">
        <v>45359</v>
      </c>
      <c r="D1333" t="inlineStr">
        <is>
          <t>JÄMTLANDS LÄN</t>
        </is>
      </c>
      <c r="E1333" t="inlineStr">
        <is>
          <t>RAGUNDA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1884-2024</t>
        </is>
      </c>
      <c r="B1334" s="1" t="n">
        <v>45307</v>
      </c>
      <c r="C1334" s="1" t="n">
        <v>45359</v>
      </c>
      <c r="D1334" t="inlineStr">
        <is>
          <t>JÄMTLANDS LÄN</t>
        </is>
      </c>
      <c r="E1334" t="inlineStr">
        <is>
          <t>RAGUNDA</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1888-2024</t>
        </is>
      </c>
      <c r="B1335" s="1" t="n">
        <v>45308</v>
      </c>
      <c r="C1335" s="1" t="n">
        <v>45359</v>
      </c>
      <c r="D1335" t="inlineStr">
        <is>
          <t>JÄMTLANDS LÄN</t>
        </is>
      </c>
      <c r="E1335" t="inlineStr">
        <is>
          <t>RAGUNDA</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1887-2024</t>
        </is>
      </c>
      <c r="B1336" s="1" t="n">
        <v>45308</v>
      </c>
      <c r="C1336" s="1" t="n">
        <v>45359</v>
      </c>
      <c r="D1336" t="inlineStr">
        <is>
          <t>JÄMTLANDS LÄN</t>
        </is>
      </c>
      <c r="E1336" t="inlineStr">
        <is>
          <t>RAGUNDA</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1889-2024</t>
        </is>
      </c>
      <c r="B1337" s="1" t="n">
        <v>45308</v>
      </c>
      <c r="C1337" s="1" t="n">
        <v>45359</v>
      </c>
      <c r="D1337" t="inlineStr">
        <is>
          <t>JÄMTLANDS LÄN</t>
        </is>
      </c>
      <c r="E1337" t="inlineStr">
        <is>
          <t>RAGUNDA</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2143-2024</t>
        </is>
      </c>
      <c r="B1338" s="1" t="n">
        <v>45309</v>
      </c>
      <c r="C1338" s="1" t="n">
        <v>45359</v>
      </c>
      <c r="D1338" t="inlineStr">
        <is>
          <t>JÄMTLANDS LÄN</t>
        </is>
      </c>
      <c r="E1338" t="inlineStr">
        <is>
          <t>RAGUNDA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2224-2024</t>
        </is>
      </c>
      <c r="B1339" s="1" t="n">
        <v>45309</v>
      </c>
      <c r="C1339" s="1" t="n">
        <v>45359</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2243-2024</t>
        </is>
      </c>
      <c r="B1340" s="1" t="n">
        <v>45309</v>
      </c>
      <c r="C1340" s="1" t="n">
        <v>45359</v>
      </c>
      <c r="D1340" t="inlineStr">
        <is>
          <t>JÄMTLANDS LÄN</t>
        </is>
      </c>
      <c r="E1340" t="inlineStr">
        <is>
          <t>RAGUNDA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2247-2024</t>
        </is>
      </c>
      <c r="B1341" s="1" t="n">
        <v>45309</v>
      </c>
      <c r="C1341" s="1" t="n">
        <v>45359</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2242-2024</t>
        </is>
      </c>
      <c r="B1342" s="1" t="n">
        <v>45309</v>
      </c>
      <c r="C1342" s="1" t="n">
        <v>45359</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2250-2024</t>
        </is>
      </c>
      <c r="B1343" s="1" t="n">
        <v>45309</v>
      </c>
      <c r="C1343" s="1" t="n">
        <v>45359</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2240-2024</t>
        </is>
      </c>
      <c r="B1344" s="1" t="n">
        <v>45309</v>
      </c>
      <c r="C1344" s="1" t="n">
        <v>45359</v>
      </c>
      <c r="D1344" t="inlineStr">
        <is>
          <t>JÄMTLANDS LÄN</t>
        </is>
      </c>
      <c r="E1344" t="inlineStr">
        <is>
          <t>RAGUNDA</t>
        </is>
      </c>
      <c r="G1344" t="n">
        <v>15.9</v>
      </c>
      <c r="H1344" t="n">
        <v>0</v>
      </c>
      <c r="I1344" t="n">
        <v>0</v>
      </c>
      <c r="J1344" t="n">
        <v>0</v>
      </c>
      <c r="K1344" t="n">
        <v>0</v>
      </c>
      <c r="L1344" t="n">
        <v>0</v>
      </c>
      <c r="M1344" t="n">
        <v>0</v>
      </c>
      <c r="N1344" t="n">
        <v>0</v>
      </c>
      <c r="O1344" t="n">
        <v>0</v>
      </c>
      <c r="P1344" t="n">
        <v>0</v>
      </c>
      <c r="Q1344" t="n">
        <v>0</v>
      </c>
      <c r="R1344" s="2" t="inlineStr"/>
    </row>
    <row r="1345" ht="15" customHeight="1">
      <c r="A1345" t="inlineStr">
        <is>
          <t>A 2244-2024</t>
        </is>
      </c>
      <c r="B1345" s="1" t="n">
        <v>45309</v>
      </c>
      <c r="C1345" s="1" t="n">
        <v>45359</v>
      </c>
      <c r="D1345" t="inlineStr">
        <is>
          <t>JÄMTLANDS LÄN</t>
        </is>
      </c>
      <c r="E1345" t="inlineStr">
        <is>
          <t>RAGUNDA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2248-2024</t>
        </is>
      </c>
      <c r="B1346" s="1" t="n">
        <v>45309</v>
      </c>
      <c r="C1346" s="1" t="n">
        <v>45359</v>
      </c>
      <c r="D1346" t="inlineStr">
        <is>
          <t>JÄMTLANDS LÄN</t>
        </is>
      </c>
      <c r="E1346" t="inlineStr">
        <is>
          <t>RAGUNDA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2241-2024</t>
        </is>
      </c>
      <c r="B1347" s="1" t="n">
        <v>45309</v>
      </c>
      <c r="C1347" s="1" t="n">
        <v>45359</v>
      </c>
      <c r="D1347" t="inlineStr">
        <is>
          <t>JÄMTLANDS LÄN</t>
        </is>
      </c>
      <c r="E1347" t="inlineStr">
        <is>
          <t>RAGUNDA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2245-2024</t>
        </is>
      </c>
      <c r="B1348" s="1" t="n">
        <v>45309</v>
      </c>
      <c r="C1348" s="1" t="n">
        <v>45359</v>
      </c>
      <c r="D1348" t="inlineStr">
        <is>
          <t>JÄMTLANDS LÄN</t>
        </is>
      </c>
      <c r="E1348" t="inlineStr">
        <is>
          <t>RAGUNDA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2424-2024</t>
        </is>
      </c>
      <c r="B1349" s="1" t="n">
        <v>45310</v>
      </c>
      <c r="C1349" s="1" t="n">
        <v>45359</v>
      </c>
      <c r="D1349" t="inlineStr">
        <is>
          <t>JÄMTLANDS LÄN</t>
        </is>
      </c>
      <c r="E1349" t="inlineStr">
        <is>
          <t>RAGUNDA</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2629-2024</t>
        </is>
      </c>
      <c r="B1350" s="1" t="n">
        <v>45313</v>
      </c>
      <c r="C1350" s="1" t="n">
        <v>45359</v>
      </c>
      <c r="D1350" t="inlineStr">
        <is>
          <t>JÄMTLANDS LÄN</t>
        </is>
      </c>
      <c r="E1350" t="inlineStr">
        <is>
          <t>RAGUNDA</t>
        </is>
      </c>
      <c r="F1350" t="inlineStr">
        <is>
          <t>SCA</t>
        </is>
      </c>
      <c r="G1350" t="n">
        <v>40.9</v>
      </c>
      <c r="H1350" t="n">
        <v>0</v>
      </c>
      <c r="I1350" t="n">
        <v>0</v>
      </c>
      <c r="J1350" t="n">
        <v>0</v>
      </c>
      <c r="K1350" t="n">
        <v>0</v>
      </c>
      <c r="L1350" t="n">
        <v>0</v>
      </c>
      <c r="M1350" t="n">
        <v>0</v>
      </c>
      <c r="N1350" t="n">
        <v>0</v>
      </c>
      <c r="O1350" t="n">
        <v>0</v>
      </c>
      <c r="P1350" t="n">
        <v>0</v>
      </c>
      <c r="Q1350" t="n">
        <v>0</v>
      </c>
      <c r="R1350" s="2" t="inlineStr"/>
    </row>
    <row r="1351" ht="15" customHeight="1">
      <c r="A1351" t="inlineStr">
        <is>
          <t>A 2630-2024</t>
        </is>
      </c>
      <c r="B1351" s="1" t="n">
        <v>45313</v>
      </c>
      <c r="C1351" s="1" t="n">
        <v>45359</v>
      </c>
      <c r="D1351" t="inlineStr">
        <is>
          <t>JÄMTLANDS LÄN</t>
        </is>
      </c>
      <c r="E1351" t="inlineStr">
        <is>
          <t>RAGUNDA</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2834-2024</t>
        </is>
      </c>
      <c r="B1352" s="1" t="n">
        <v>45314</v>
      </c>
      <c r="C1352" s="1" t="n">
        <v>45359</v>
      </c>
      <c r="D1352" t="inlineStr">
        <is>
          <t>JÄMTLANDS LÄN</t>
        </is>
      </c>
      <c r="E1352" t="inlineStr">
        <is>
          <t>RAGUNDA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2678-2024</t>
        </is>
      </c>
      <c r="B1353" s="1" t="n">
        <v>45314</v>
      </c>
      <c r="C1353" s="1" t="n">
        <v>45359</v>
      </c>
      <c r="D1353" t="inlineStr">
        <is>
          <t>JÄMTLANDS LÄN</t>
        </is>
      </c>
      <c r="E1353" t="inlineStr">
        <is>
          <t>RAGUNDA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2673-2024</t>
        </is>
      </c>
      <c r="B1354" s="1" t="n">
        <v>45314</v>
      </c>
      <c r="C1354" s="1" t="n">
        <v>45359</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2831-2024</t>
        </is>
      </c>
      <c r="B1355" s="1" t="n">
        <v>45314</v>
      </c>
      <c r="C1355" s="1" t="n">
        <v>45359</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2751-2024</t>
        </is>
      </c>
      <c r="B1356" s="1" t="n">
        <v>45314</v>
      </c>
      <c r="C1356" s="1" t="n">
        <v>45359</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3016-2024</t>
        </is>
      </c>
      <c r="B1357" s="1" t="n">
        <v>45315</v>
      </c>
      <c r="C1357" s="1" t="n">
        <v>45359</v>
      </c>
      <c r="D1357" t="inlineStr">
        <is>
          <t>JÄMTLANDS LÄN</t>
        </is>
      </c>
      <c r="E1357" t="inlineStr">
        <is>
          <t>RAGUNDA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3018-2024</t>
        </is>
      </c>
      <c r="B1358" s="1" t="n">
        <v>45315</v>
      </c>
      <c r="C1358" s="1" t="n">
        <v>45359</v>
      </c>
      <c r="D1358" t="inlineStr">
        <is>
          <t>JÄMTLANDS LÄN</t>
        </is>
      </c>
      <c r="E1358" t="inlineStr">
        <is>
          <t>RAGUNDA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3240-2024</t>
        </is>
      </c>
      <c r="B1359" s="1" t="n">
        <v>45316</v>
      </c>
      <c r="C1359" s="1" t="n">
        <v>45359</v>
      </c>
      <c r="D1359" t="inlineStr">
        <is>
          <t>JÄMTLANDS LÄN</t>
        </is>
      </c>
      <c r="E1359" t="inlineStr">
        <is>
          <t>RAGUNDA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3635-2024</t>
        </is>
      </c>
      <c r="B1360" s="1" t="n">
        <v>45320</v>
      </c>
      <c r="C1360" s="1" t="n">
        <v>45359</v>
      </c>
      <c r="D1360" t="inlineStr">
        <is>
          <t>JÄMTLANDS LÄN</t>
        </is>
      </c>
      <c r="E1360" t="inlineStr">
        <is>
          <t>RAGUNDA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45359</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3938-2024</t>
        </is>
      </c>
      <c r="B1362" s="1" t="n">
        <v>45322</v>
      </c>
      <c r="C1362" s="1" t="n">
        <v>45359</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4125-2024</t>
        </is>
      </c>
      <c r="B1363" s="1" t="n">
        <v>45323</v>
      </c>
      <c r="C1363" s="1" t="n">
        <v>45359</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4212-2024</t>
        </is>
      </c>
      <c r="B1364" s="1" t="n">
        <v>45324</v>
      </c>
      <c r="C1364" s="1" t="n">
        <v>45359</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4249-2024</t>
        </is>
      </c>
      <c r="B1365" s="1" t="n">
        <v>45324</v>
      </c>
      <c r="C1365" s="1" t="n">
        <v>45359</v>
      </c>
      <c r="D1365" t="inlineStr">
        <is>
          <t>JÄMTLANDS LÄN</t>
        </is>
      </c>
      <c r="E1365" t="inlineStr">
        <is>
          <t>RAGUNDA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45359</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4591-2024</t>
        </is>
      </c>
      <c r="B1367" s="1" t="n">
        <v>45327</v>
      </c>
      <c r="C1367" s="1" t="n">
        <v>45359</v>
      </c>
      <c r="D1367" t="inlineStr">
        <is>
          <t>JÄMTLANDS LÄN</t>
        </is>
      </c>
      <c r="E1367" t="inlineStr">
        <is>
          <t>RAGUNDA</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4592-2024</t>
        </is>
      </c>
      <c r="B1368" s="1" t="n">
        <v>45327</v>
      </c>
      <c r="C1368" s="1" t="n">
        <v>45359</v>
      </c>
      <c r="D1368" t="inlineStr">
        <is>
          <t>JÄMTLANDS LÄN</t>
        </is>
      </c>
      <c r="E1368" t="inlineStr">
        <is>
          <t>RAGUNDA</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4811-2024</t>
        </is>
      </c>
      <c r="B1369" s="1" t="n">
        <v>45328</v>
      </c>
      <c r="C1369" s="1" t="n">
        <v>45359</v>
      </c>
      <c r="D1369" t="inlineStr">
        <is>
          <t>JÄMTLANDS LÄN</t>
        </is>
      </c>
      <c r="E1369" t="inlineStr">
        <is>
          <t>RAGUNDA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45359</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4820-2024</t>
        </is>
      </c>
      <c r="B1371" s="1" t="n">
        <v>45328</v>
      </c>
      <c r="C1371" s="1" t="n">
        <v>45359</v>
      </c>
      <c r="D1371" t="inlineStr">
        <is>
          <t>JÄMTLANDS LÄN</t>
        </is>
      </c>
      <c r="E1371" t="inlineStr">
        <is>
          <t>RAGUNDA</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4936-2024</t>
        </is>
      </c>
      <c r="B1372" s="1" t="n">
        <v>45329</v>
      </c>
      <c r="C1372" s="1" t="n">
        <v>45359</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5067-2024</t>
        </is>
      </c>
      <c r="B1373" s="1" t="n">
        <v>45329</v>
      </c>
      <c r="C1373" s="1" t="n">
        <v>45359</v>
      </c>
      <c r="D1373" t="inlineStr">
        <is>
          <t>JÄMTLANDS LÄN</t>
        </is>
      </c>
      <c r="E1373" t="inlineStr">
        <is>
          <t>RAGUNDA</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5250-2024</t>
        </is>
      </c>
      <c r="B1374" s="1" t="n">
        <v>45330</v>
      </c>
      <c r="C1374" s="1" t="n">
        <v>45359</v>
      </c>
      <c r="D1374" t="inlineStr">
        <is>
          <t>JÄMTLANDS LÄN</t>
        </is>
      </c>
      <c r="E1374" t="inlineStr">
        <is>
          <t>RAGUNDA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5263-2024</t>
        </is>
      </c>
      <c r="B1375" s="1" t="n">
        <v>45331</v>
      </c>
      <c r="C1375" s="1" t="n">
        <v>45359</v>
      </c>
      <c r="D1375" t="inlineStr">
        <is>
          <t>JÄMTLANDS LÄN</t>
        </is>
      </c>
      <c r="E1375" t="inlineStr">
        <is>
          <t>RAGUNDA</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5429-2024</t>
        </is>
      </c>
      <c r="B1376" s="1" t="n">
        <v>45331</v>
      </c>
      <c r="C1376" s="1" t="n">
        <v>45359</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6267-2024</t>
        </is>
      </c>
      <c r="B1377" s="1" t="n">
        <v>45337</v>
      </c>
      <c r="C1377" s="1" t="n">
        <v>45359</v>
      </c>
      <c r="D1377" t="inlineStr">
        <is>
          <t>JÄMTLANDS LÄN</t>
        </is>
      </c>
      <c r="E1377" t="inlineStr">
        <is>
          <t>RAGUNDA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6477-2024</t>
        </is>
      </c>
      <c r="B1378" s="1" t="n">
        <v>45338</v>
      </c>
      <c r="C1378" s="1" t="n">
        <v>45359</v>
      </c>
      <c r="D1378" t="inlineStr">
        <is>
          <t>JÄMTLANDS LÄN</t>
        </is>
      </c>
      <c r="E1378" t="inlineStr">
        <is>
          <t>RAGUNDA</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45359</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6688-2024</t>
        </is>
      </c>
      <c r="B1380" s="1" t="n">
        <v>45341</v>
      </c>
      <c r="C1380" s="1" t="n">
        <v>45359</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6694-2024</t>
        </is>
      </c>
      <c r="B1381" s="1" t="n">
        <v>45341</v>
      </c>
      <c r="C1381" s="1" t="n">
        <v>45359</v>
      </c>
      <c r="D1381" t="inlineStr">
        <is>
          <t>JÄMTLANDS LÄN</t>
        </is>
      </c>
      <c r="E1381" t="inlineStr">
        <is>
          <t>RAGUNDA</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6736-2024</t>
        </is>
      </c>
      <c r="B1382" s="1" t="n">
        <v>45342</v>
      </c>
      <c r="C1382" s="1" t="n">
        <v>45359</v>
      </c>
      <c r="D1382" t="inlineStr">
        <is>
          <t>JÄMTLANDS LÄN</t>
        </is>
      </c>
      <c r="E1382" t="inlineStr">
        <is>
          <t>RAGUNDA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45359</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6902-2024</t>
        </is>
      </c>
      <c r="B1384" s="1" t="n">
        <v>45342</v>
      </c>
      <c r="C1384" s="1" t="n">
        <v>45359</v>
      </c>
      <c r="D1384" t="inlineStr">
        <is>
          <t>JÄMTLANDS LÄN</t>
        </is>
      </c>
      <c r="E1384" t="inlineStr">
        <is>
          <t>RAGUNDA</t>
        </is>
      </c>
      <c r="F1384" t="inlineStr">
        <is>
          <t>SCA</t>
        </is>
      </c>
      <c r="G1384" t="n">
        <v>18.7</v>
      </c>
      <c r="H1384" t="n">
        <v>0</v>
      </c>
      <c r="I1384" t="n">
        <v>0</v>
      </c>
      <c r="J1384" t="n">
        <v>0</v>
      </c>
      <c r="K1384" t="n">
        <v>0</v>
      </c>
      <c r="L1384" t="n">
        <v>0</v>
      </c>
      <c r="M1384" t="n">
        <v>0</v>
      </c>
      <c r="N1384" t="n">
        <v>0</v>
      </c>
      <c r="O1384" t="n">
        <v>0</v>
      </c>
      <c r="P1384" t="n">
        <v>0</v>
      </c>
      <c r="Q1384" t="n">
        <v>0</v>
      </c>
      <c r="R1384" s="2" t="inlineStr"/>
    </row>
    <row r="1385" ht="15" customHeight="1">
      <c r="A1385" t="inlineStr">
        <is>
          <t>A 6929-2024</t>
        </is>
      </c>
      <c r="B1385" s="1" t="n">
        <v>45343</v>
      </c>
      <c r="C1385" s="1" t="n">
        <v>45359</v>
      </c>
      <c r="D1385" t="inlineStr">
        <is>
          <t>JÄMTLANDS LÄN</t>
        </is>
      </c>
      <c r="E1385" t="inlineStr">
        <is>
          <t>RAGUNDA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7280-2024</t>
        </is>
      </c>
      <c r="B1386" s="1" t="n">
        <v>45344</v>
      </c>
      <c r="C1386" s="1" t="n">
        <v>45359</v>
      </c>
      <c r="D1386" t="inlineStr">
        <is>
          <t>JÄMTLANDS LÄN</t>
        </is>
      </c>
      <c r="E1386" t="inlineStr">
        <is>
          <t>RAGUNDA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7284-2024</t>
        </is>
      </c>
      <c r="B1387" s="1" t="n">
        <v>45344</v>
      </c>
      <c r="C1387" s="1" t="n">
        <v>45359</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7279-2024</t>
        </is>
      </c>
      <c r="B1388" s="1" t="n">
        <v>45344</v>
      </c>
      <c r="C1388" s="1" t="n">
        <v>45359</v>
      </c>
      <c r="D1388" t="inlineStr">
        <is>
          <t>JÄMTLANDS LÄN</t>
        </is>
      </c>
      <c r="E1388" t="inlineStr">
        <is>
          <t>RAGUNDA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7281-2024</t>
        </is>
      </c>
      <c r="B1389" s="1" t="n">
        <v>45344</v>
      </c>
      <c r="C1389" s="1" t="n">
        <v>45359</v>
      </c>
      <c r="D1389" t="inlineStr">
        <is>
          <t>JÄMTLANDS LÄN</t>
        </is>
      </c>
      <c r="E1389" t="inlineStr">
        <is>
          <t>RAGUNDA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7285-2024</t>
        </is>
      </c>
      <c r="B1390" s="1" t="n">
        <v>45344</v>
      </c>
      <c r="C1390" s="1" t="n">
        <v>45359</v>
      </c>
      <c r="D1390" t="inlineStr">
        <is>
          <t>JÄMTLANDS LÄN</t>
        </is>
      </c>
      <c r="E1390" t="inlineStr">
        <is>
          <t>RAGUNDA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45359</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7855-2024</t>
        </is>
      </c>
      <c r="B1392" s="1" t="n">
        <v>45350</v>
      </c>
      <c r="C1392" s="1" t="n">
        <v>45359</v>
      </c>
      <c r="D1392" t="inlineStr">
        <is>
          <t>JÄMTLANDS LÄN</t>
        </is>
      </c>
      <c r="E1392" t="inlineStr">
        <is>
          <t>RAGUNDA</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8241-2024</t>
        </is>
      </c>
      <c r="B1393" s="1" t="n">
        <v>45352</v>
      </c>
      <c r="C1393" s="1" t="n">
        <v>45359</v>
      </c>
      <c r="D1393" t="inlineStr">
        <is>
          <t>JÄMTLANDS LÄN</t>
        </is>
      </c>
      <c r="E1393" t="inlineStr">
        <is>
          <t>RAGUNDA</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8243-2024</t>
        </is>
      </c>
      <c r="B1394" s="1" t="n">
        <v>45352</v>
      </c>
      <c r="C1394" s="1" t="n">
        <v>45359</v>
      </c>
      <c r="D1394" t="inlineStr">
        <is>
          <t>JÄMTLANDS LÄN</t>
        </is>
      </c>
      <c r="E1394" t="inlineStr">
        <is>
          <t>RAGUNDA</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8639-2024</t>
        </is>
      </c>
      <c r="B1395" s="1" t="n">
        <v>45356</v>
      </c>
      <c r="C1395" s="1" t="n">
        <v>45359</v>
      </c>
      <c r="D1395" t="inlineStr">
        <is>
          <t>JÄMTLANDS LÄN</t>
        </is>
      </c>
      <c r="E1395" t="inlineStr">
        <is>
          <t>RAGUNDA</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8643-2024</t>
        </is>
      </c>
      <c r="B1396" s="1" t="n">
        <v>45356</v>
      </c>
      <c r="C1396" s="1" t="n">
        <v>45359</v>
      </c>
      <c r="D1396" t="inlineStr">
        <is>
          <t>JÄMTLANDS LÄN</t>
        </is>
      </c>
      <c r="E1396" t="inlineStr">
        <is>
          <t>RAGUNDA</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8642-2024</t>
        </is>
      </c>
      <c r="B1397" s="1" t="n">
        <v>45356</v>
      </c>
      <c r="C1397" s="1" t="n">
        <v>45359</v>
      </c>
      <c r="D1397" t="inlineStr">
        <is>
          <t>JÄMTLANDS LÄN</t>
        </is>
      </c>
      <c r="E1397" t="inlineStr">
        <is>
          <t>RAGUNDA</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8654-2024</t>
        </is>
      </c>
      <c r="B1398" s="1" t="n">
        <v>45356</v>
      </c>
      <c r="C1398" s="1" t="n">
        <v>45359</v>
      </c>
      <c r="D1398" t="inlineStr">
        <is>
          <t>JÄMTLANDS LÄN</t>
        </is>
      </c>
      <c r="E1398" t="inlineStr">
        <is>
          <t>RAGUNDA</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8644-2024</t>
        </is>
      </c>
      <c r="B1399" s="1" t="n">
        <v>45356</v>
      </c>
      <c r="C1399" s="1" t="n">
        <v>45359</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8886-2024</t>
        </is>
      </c>
      <c r="B1400" s="1" t="n">
        <v>45357</v>
      </c>
      <c r="C1400" s="1" t="n">
        <v>45359</v>
      </c>
      <c r="D1400" t="inlineStr">
        <is>
          <t>JÄMTLANDS LÄN</t>
        </is>
      </c>
      <c r="E1400" t="inlineStr">
        <is>
          <t>RAGUNDA</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9325-2024</t>
        </is>
      </c>
      <c r="B1401" s="1" t="n">
        <v>45358</v>
      </c>
      <c r="C1401" s="1" t="n">
        <v>45359</v>
      </c>
      <c r="D1401" t="inlineStr">
        <is>
          <t>JÄMTLANDS LÄN</t>
        </is>
      </c>
      <c r="E1401" t="inlineStr">
        <is>
          <t>RAGUNDA</t>
        </is>
      </c>
      <c r="G1401" t="n">
        <v>3.1</v>
      </c>
      <c r="H1401" t="n">
        <v>0</v>
      </c>
      <c r="I1401" t="n">
        <v>0</v>
      </c>
      <c r="J1401" t="n">
        <v>0</v>
      </c>
      <c r="K1401" t="n">
        <v>0</v>
      </c>
      <c r="L1401" t="n">
        <v>0</v>
      </c>
      <c r="M1401" t="n">
        <v>0</v>
      </c>
      <c r="N1401" t="n">
        <v>0</v>
      </c>
      <c r="O1401" t="n">
        <v>0</v>
      </c>
      <c r="P1401" t="n">
        <v>0</v>
      </c>
      <c r="Q1401" t="n">
        <v>0</v>
      </c>
      <c r="R1401" s="2" t="inlineStr"/>
    </row>
    <row r="1402">
      <c r="A1402" t="inlineStr">
        <is>
          <t>A 9326-2024</t>
        </is>
      </c>
      <c r="B1402" s="1" t="n">
        <v>45358</v>
      </c>
      <c r="C1402" s="1" t="n">
        <v>45359</v>
      </c>
      <c r="D1402" t="inlineStr">
        <is>
          <t>JÄMTLANDS LÄN</t>
        </is>
      </c>
      <c r="E1402" t="inlineStr">
        <is>
          <t>RAGUNDA</t>
        </is>
      </c>
      <c r="G1402" t="n">
        <v>0.7</v>
      </c>
      <c r="H1402" t="n">
        <v>0</v>
      </c>
      <c r="I1402" t="n">
        <v>0</v>
      </c>
      <c r="J1402" t="n">
        <v>0</v>
      </c>
      <c r="K1402" t="n">
        <v>0</v>
      </c>
      <c r="L1402" t="n">
        <v>0</v>
      </c>
      <c r="M1402" t="n">
        <v>0</v>
      </c>
      <c r="N1402" t="n">
        <v>0</v>
      </c>
      <c r="O1402" t="n">
        <v>0</v>
      </c>
      <c r="P1402" t="n">
        <v>0</v>
      </c>
      <c r="Q1402" t="n">
        <v>0</v>
      </c>
      <c r="R14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2024-03-08T13:59:38Z</dcterms:created>
  <dcterms:modified xmlns:dcterms="http://purl.org/dc/terms/" xmlns:xsi="http://www.w3.org/2001/XMLSchema-instance" xsi:type="dcterms:W3CDTF">2024-03-08T13:59:39Z</dcterms:modified>
</cp:coreProperties>
</file>