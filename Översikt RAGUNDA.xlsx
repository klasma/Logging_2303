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46084</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46084</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46084</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46084</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46084</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46084</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46084</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46084</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31196-2023</t>
        </is>
      </c>
      <c r="B10" s="1" t="n">
        <v>45113</v>
      </c>
      <c r="C10" s="1" t="n">
        <v>46084</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46084</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46084</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10625-2024</t>
        </is>
      </c>
      <c r="B13" s="1" t="n">
        <v>45367.04916666666</v>
      </c>
      <c r="C13" s="1" t="n">
        <v>46084</v>
      </c>
      <c r="D13" t="inlineStr">
        <is>
          <t>JÄMTLANDS LÄN</t>
        </is>
      </c>
      <c r="E13" t="inlineStr">
        <is>
          <t>RAGUNDA</t>
        </is>
      </c>
      <c r="F13" t="inlineStr">
        <is>
          <t>SCA</t>
        </is>
      </c>
      <c r="G13" t="n">
        <v>18.1</v>
      </c>
      <c r="H13" t="n">
        <v>4</v>
      </c>
      <c r="I13" t="n">
        <v>2</v>
      </c>
      <c r="J13" t="n">
        <v>8</v>
      </c>
      <c r="K13" t="n">
        <v>2</v>
      </c>
      <c r="L13" t="n">
        <v>0</v>
      </c>
      <c r="M13" t="n">
        <v>0</v>
      </c>
      <c r="N13" t="n">
        <v>0</v>
      </c>
      <c r="O13" t="n">
        <v>10</v>
      </c>
      <c r="P13" t="n">
        <v>2</v>
      </c>
      <c r="Q13" t="n">
        <v>14</v>
      </c>
      <c r="R13" s="2" t="inlineStr">
        <is>
          <t>Gräddporing
Knärot
Dvärgbägarlav
Garnlav
Kolflarnlav
Lunglav
Mörk kolflarnlav
Nordtagging
Tretåig hackspett
Vedskivlav
Dropptaggsvamp
Vedticka
Tjäder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38683-2022</t>
        </is>
      </c>
      <c r="B14" s="1" t="n">
        <v>44813</v>
      </c>
      <c r="C14" s="1" t="n">
        <v>46084</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54810-2021</t>
        </is>
      </c>
      <c r="B15" s="1" t="n">
        <v>44473</v>
      </c>
      <c r="C15" s="1" t="n">
        <v>46084</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59762-2024</t>
        </is>
      </c>
      <c r="B16" s="1" t="n">
        <v>45639.55269675926</v>
      </c>
      <c r="C16" s="1" t="n">
        <v>46084</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46084</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46084</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46084</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46084</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46084</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31839-2022</t>
        </is>
      </c>
      <c r="B22" s="1" t="n">
        <v>44776</v>
      </c>
      <c r="C22" s="1" t="n">
        <v>46084</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25632-2025</t>
        </is>
      </c>
      <c r="B23" s="1" t="n">
        <v>45803.59474537037</v>
      </c>
      <c r="C23" s="1" t="n">
        <v>46084</v>
      </c>
      <c r="D23" t="inlineStr">
        <is>
          <t>JÄMTLANDS LÄN</t>
        </is>
      </c>
      <c r="E23" t="inlineStr">
        <is>
          <t>RAGUNDA</t>
        </is>
      </c>
      <c r="G23" t="n">
        <v>13.3</v>
      </c>
      <c r="H23" t="n">
        <v>6</v>
      </c>
      <c r="I23" t="n">
        <v>3</v>
      </c>
      <c r="J23" t="n">
        <v>5</v>
      </c>
      <c r="K23" t="n">
        <v>1</v>
      </c>
      <c r="L23" t="n">
        <v>0</v>
      </c>
      <c r="M23" t="n">
        <v>0</v>
      </c>
      <c r="N23" t="n">
        <v>0</v>
      </c>
      <c r="O23" t="n">
        <v>6</v>
      </c>
      <c r="P23" t="n">
        <v>1</v>
      </c>
      <c r="Q23" t="n">
        <v>11</v>
      </c>
      <c r="R23" s="2" t="inlineStr">
        <is>
          <t>Knärot
Lunglav
Rödvingetrast
Skrovellav
Spillkråka
Tretåig hackspett
Bårdlav
Stuplav
Svart trolldruva
Blåsippa
Revlummer</t>
        </is>
      </c>
      <c r="S23">
        <f>HYPERLINK("https://klasma.github.io/Logging_2303/artfynd/A 25632-2025 artfynd.xlsx", "A 25632-2025")</f>
        <v/>
      </c>
      <c r="T23">
        <f>HYPERLINK("https://klasma.github.io/Logging_2303/kartor/A 25632-2025 karta.png", "A 25632-2025")</f>
        <v/>
      </c>
      <c r="U23">
        <f>HYPERLINK("https://klasma.github.io/Logging_2303/knärot/A 25632-2025 karta knärot.png", "A 25632-2025")</f>
        <v/>
      </c>
      <c r="V23">
        <f>HYPERLINK("https://klasma.github.io/Logging_2303/klagomål/A 25632-2025 FSC-klagomål.docx", "A 25632-2025")</f>
        <v/>
      </c>
      <c r="W23">
        <f>HYPERLINK("https://klasma.github.io/Logging_2303/klagomålsmail/A 25632-2025 FSC-klagomål mail.docx", "A 25632-2025")</f>
        <v/>
      </c>
      <c r="X23">
        <f>HYPERLINK("https://klasma.github.io/Logging_2303/tillsyn/A 25632-2025 tillsynsbegäran.docx", "A 25632-2025")</f>
        <v/>
      </c>
      <c r="Y23">
        <f>HYPERLINK("https://klasma.github.io/Logging_2303/tillsynsmail/A 25632-2025 tillsynsbegäran mail.docx", "A 25632-2025")</f>
        <v/>
      </c>
      <c r="Z23">
        <f>HYPERLINK("https://klasma.github.io/Logging_2303/fåglar/A 25632-2025 prioriterade fågelarter.docx", "A 25632-2025")</f>
        <v/>
      </c>
    </row>
    <row r="24" ht="15" customHeight="1">
      <c r="A24" t="inlineStr">
        <is>
          <t>A 32741-2025</t>
        </is>
      </c>
      <c r="B24" s="1" t="n">
        <v>45839</v>
      </c>
      <c r="C24" s="1" t="n">
        <v>46084</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9347-2024</t>
        </is>
      </c>
      <c r="B25" s="1" t="n">
        <v>45358.99375</v>
      </c>
      <c r="C25" s="1" t="n">
        <v>46084</v>
      </c>
      <c r="D25" t="inlineStr">
        <is>
          <t>JÄMTLANDS LÄN</t>
        </is>
      </c>
      <c r="E25" t="inlineStr">
        <is>
          <t>RAGUNDA</t>
        </is>
      </c>
      <c r="F25" t="inlineStr">
        <is>
          <t>SCA</t>
        </is>
      </c>
      <c r="G25" t="n">
        <v>1.6</v>
      </c>
      <c r="H25" t="n">
        <v>2</v>
      </c>
      <c r="I25" t="n">
        <v>3</v>
      </c>
      <c r="J25" t="n">
        <v>6</v>
      </c>
      <c r="K25" t="n">
        <v>2</v>
      </c>
      <c r="L25" t="n">
        <v>0</v>
      </c>
      <c r="M25" t="n">
        <v>0</v>
      </c>
      <c r="N25" t="n">
        <v>0</v>
      </c>
      <c r="O25" t="n">
        <v>8</v>
      </c>
      <c r="P25" t="n">
        <v>2</v>
      </c>
      <c r="Q25" t="n">
        <v>11</v>
      </c>
      <c r="R25" s="2" t="inlineStr">
        <is>
          <t>Knärot
Rynkskinn
Garnlav
Gultoppig fingersvamp
Kolflarnlav
Mörk kolflarnlav
Rosenticka
Vedskivlav
Rödfläckig zontaggsvamp
Svavelriska
Tvåblad</t>
        </is>
      </c>
      <c r="S25">
        <f>HYPERLINK("https://klasma.github.io/Logging_2303/artfynd/A 9347-2024 artfynd.xlsx", "A 9347-2024")</f>
        <v/>
      </c>
      <c r="T25">
        <f>HYPERLINK("https://klasma.github.io/Logging_2303/kartor/A 9347-2024 karta.png", "A 9347-2024")</f>
        <v/>
      </c>
      <c r="U25">
        <f>HYPERLINK("https://klasma.github.io/Logging_2303/knärot/A 9347-2024 karta knärot.png", "A 9347-2024")</f>
        <v/>
      </c>
      <c r="V25">
        <f>HYPERLINK("https://klasma.github.io/Logging_2303/klagomål/A 9347-2024 FSC-klagomål.docx", "A 9347-2024")</f>
        <v/>
      </c>
      <c r="W25">
        <f>HYPERLINK("https://klasma.github.io/Logging_2303/klagomålsmail/A 9347-2024 FSC-klagomål mail.docx", "A 9347-2024")</f>
        <v/>
      </c>
      <c r="X25">
        <f>HYPERLINK("https://klasma.github.io/Logging_2303/tillsyn/A 9347-2024 tillsynsbegäran.docx", "A 9347-2024")</f>
        <v/>
      </c>
      <c r="Y25">
        <f>HYPERLINK("https://klasma.github.io/Logging_2303/tillsynsmail/A 9347-2024 tillsynsbegäran mail.docx", "A 9347-2024")</f>
        <v/>
      </c>
    </row>
    <row r="26" ht="15" customHeight="1">
      <c r="A26" t="inlineStr">
        <is>
          <t>A 36943-2022</t>
        </is>
      </c>
      <c r="B26" s="1" t="n">
        <v>44805</v>
      </c>
      <c r="C26" s="1" t="n">
        <v>46084</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46084</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55894-2022</t>
        </is>
      </c>
      <c r="B28" s="1" t="n">
        <v>44888</v>
      </c>
      <c r="C28" s="1" t="n">
        <v>46084</v>
      </c>
      <c r="D28" t="inlineStr">
        <is>
          <t>JÄMTLANDS LÄN</t>
        </is>
      </c>
      <c r="E28" t="inlineStr">
        <is>
          <t>RAGUNDA</t>
        </is>
      </c>
      <c r="F28" t="inlineStr">
        <is>
          <t>SCA</t>
        </is>
      </c>
      <c r="G28" t="n">
        <v>3.8</v>
      </c>
      <c r="H28" t="n">
        <v>2</v>
      </c>
      <c r="I28" t="n">
        <v>5</v>
      </c>
      <c r="J28" t="n">
        <v>4</v>
      </c>
      <c r="K28" t="n">
        <v>0</v>
      </c>
      <c r="L28" t="n">
        <v>0</v>
      </c>
      <c r="M28" t="n">
        <v>0</v>
      </c>
      <c r="N28" t="n">
        <v>0</v>
      </c>
      <c r="O28" t="n">
        <v>4</v>
      </c>
      <c r="P28" t="n">
        <v>0</v>
      </c>
      <c r="Q28" t="n">
        <v>10</v>
      </c>
      <c r="R28" s="2" t="inlineStr">
        <is>
          <t>Garnlav
Granticka
Lunglav
Spillkråka
Källmossa
Luddlav
Stuplav
Vedticka
Ögonpyrola
Revlummer</t>
        </is>
      </c>
      <c r="S28">
        <f>HYPERLINK("https://klasma.github.io/Logging_2303/artfynd/A 55894-2022 artfynd.xlsx", "A 55894-2022")</f>
        <v/>
      </c>
      <c r="T28">
        <f>HYPERLINK("https://klasma.github.io/Logging_2303/kartor/A 55894-2022 karta.png", "A 55894-2022")</f>
        <v/>
      </c>
      <c r="V28">
        <f>HYPERLINK("https://klasma.github.io/Logging_2303/klagomål/A 55894-2022 FSC-klagomål.docx", "A 55894-2022")</f>
        <v/>
      </c>
      <c r="W28">
        <f>HYPERLINK("https://klasma.github.io/Logging_2303/klagomålsmail/A 55894-2022 FSC-klagomål mail.docx", "A 55894-2022")</f>
        <v/>
      </c>
      <c r="X28">
        <f>HYPERLINK("https://klasma.github.io/Logging_2303/tillsyn/A 55894-2022 tillsynsbegäran.docx", "A 55894-2022")</f>
        <v/>
      </c>
      <c r="Y28">
        <f>HYPERLINK("https://klasma.github.io/Logging_2303/tillsynsmail/A 55894-2022 tillsynsbegäran mail.docx", "A 55894-2022")</f>
        <v/>
      </c>
      <c r="Z28">
        <f>HYPERLINK("https://klasma.github.io/Logging_2303/fåglar/A 55894-2022 prioriterade fågelarter.docx", "A 55894-2022")</f>
        <v/>
      </c>
    </row>
    <row r="29" ht="15" customHeight="1">
      <c r="A29" t="inlineStr">
        <is>
          <t>A 13483-2022</t>
        </is>
      </c>
      <c r="B29" s="1" t="n">
        <v>44645.99859953704</v>
      </c>
      <c r="C29" s="1" t="n">
        <v>46084</v>
      </c>
      <c r="D29" t="inlineStr">
        <is>
          <t>JÄMTLANDS LÄN</t>
        </is>
      </c>
      <c r="E29" t="inlineStr">
        <is>
          <t>RAGUNDA</t>
        </is>
      </c>
      <c r="F29" t="inlineStr">
        <is>
          <t>SCA</t>
        </is>
      </c>
      <c r="G29" t="n">
        <v>5.7</v>
      </c>
      <c r="H29" t="n">
        <v>1</v>
      </c>
      <c r="I29" t="n">
        <v>3</v>
      </c>
      <c r="J29" t="n">
        <v>6</v>
      </c>
      <c r="K29" t="n">
        <v>1</v>
      </c>
      <c r="L29" t="n">
        <v>0</v>
      </c>
      <c r="M29" t="n">
        <v>0</v>
      </c>
      <c r="N29" t="n">
        <v>0</v>
      </c>
      <c r="O29" t="n">
        <v>7</v>
      </c>
      <c r="P29" t="n">
        <v>1</v>
      </c>
      <c r="Q29" t="n">
        <v>10</v>
      </c>
      <c r="R29" s="2" t="inlineStr">
        <is>
          <t>Knärot
Garnlav
Lunglav
Mörk kolflarnlav
Vedskivlav
Vedtrappmossa
Vitgrynig nållav
Barkkornlav
Dropptaggsvamp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4591-2024</t>
        </is>
      </c>
      <c r="B30" s="1" t="n">
        <v>45327</v>
      </c>
      <c r="C30" s="1" t="n">
        <v>46084</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10982-2025</t>
        </is>
      </c>
      <c r="B31" s="1" t="n">
        <v>45723.40688657408</v>
      </c>
      <c r="C31" s="1" t="n">
        <v>46084</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4146-2025</t>
        </is>
      </c>
      <c r="B32" s="1" t="n">
        <v>45685.36501157407</v>
      </c>
      <c r="C32" s="1" t="n">
        <v>46084</v>
      </c>
      <c r="D32" t="inlineStr">
        <is>
          <t>JÄMTLANDS LÄN</t>
        </is>
      </c>
      <c r="E32" t="inlineStr">
        <is>
          <t>RAGUNDA</t>
        </is>
      </c>
      <c r="G32" t="n">
        <v>10.7</v>
      </c>
      <c r="H32" t="n">
        <v>1</v>
      </c>
      <c r="I32" t="n">
        <v>5</v>
      </c>
      <c r="J32" t="n">
        <v>2</v>
      </c>
      <c r="K32" t="n">
        <v>2</v>
      </c>
      <c r="L32" t="n">
        <v>0</v>
      </c>
      <c r="M32" t="n">
        <v>0</v>
      </c>
      <c r="N32" t="n">
        <v>0</v>
      </c>
      <c r="O32" t="n">
        <v>4</v>
      </c>
      <c r="P32" t="n">
        <v>2</v>
      </c>
      <c r="Q32" t="n">
        <v>9</v>
      </c>
      <c r="R32" s="2" t="inlineStr">
        <is>
          <t>Knärot
Kopparspindling
Kolflarnlav
Lunglav
Dropptaggsvamp
Dvärgtufs
Korallblylav
Skinnlav
Stuplav</t>
        </is>
      </c>
      <c r="S32">
        <f>HYPERLINK("https://klasma.github.io/Logging_2303/artfynd/A 4146-2025 artfynd.xlsx", "A 4146-2025")</f>
        <v/>
      </c>
      <c r="T32">
        <f>HYPERLINK("https://klasma.github.io/Logging_2303/kartor/A 4146-2025 karta.png", "A 4146-2025")</f>
        <v/>
      </c>
      <c r="U32">
        <f>HYPERLINK("https://klasma.github.io/Logging_2303/knärot/A 4146-2025 karta knärot.png", "A 4146-2025")</f>
        <v/>
      </c>
      <c r="V32">
        <f>HYPERLINK("https://klasma.github.io/Logging_2303/klagomål/A 4146-2025 FSC-klagomål.docx", "A 4146-2025")</f>
        <v/>
      </c>
      <c r="W32">
        <f>HYPERLINK("https://klasma.github.io/Logging_2303/klagomålsmail/A 4146-2025 FSC-klagomål mail.docx", "A 4146-2025")</f>
        <v/>
      </c>
      <c r="X32">
        <f>HYPERLINK("https://klasma.github.io/Logging_2303/tillsyn/A 4146-2025 tillsynsbegäran.docx", "A 4146-2025")</f>
        <v/>
      </c>
      <c r="Y32">
        <f>HYPERLINK("https://klasma.github.io/Logging_2303/tillsynsmail/A 4146-2025 tillsynsbegäran mail.docx", "A 4146-2025")</f>
        <v/>
      </c>
    </row>
    <row r="33" ht="15" customHeight="1">
      <c r="A33" t="inlineStr">
        <is>
          <t>A 25016-2025</t>
        </is>
      </c>
      <c r="B33" s="1" t="n">
        <v>45799.63574074074</v>
      </c>
      <c r="C33" s="1" t="n">
        <v>46084</v>
      </c>
      <c r="D33" t="inlineStr">
        <is>
          <t>JÄMTLANDS LÄN</t>
        </is>
      </c>
      <c r="E33" t="inlineStr">
        <is>
          <t>RAGUNDA</t>
        </is>
      </c>
      <c r="F33" t="inlineStr">
        <is>
          <t>SCA</t>
        </is>
      </c>
      <c r="G33" t="n">
        <v>17.9</v>
      </c>
      <c r="H33" t="n">
        <v>2</v>
      </c>
      <c r="I33" t="n">
        <v>3</v>
      </c>
      <c r="J33" t="n">
        <v>6</v>
      </c>
      <c r="K33" t="n">
        <v>0</v>
      </c>
      <c r="L33" t="n">
        <v>0</v>
      </c>
      <c r="M33" t="n">
        <v>0</v>
      </c>
      <c r="N33" t="n">
        <v>0</v>
      </c>
      <c r="O33" t="n">
        <v>6</v>
      </c>
      <c r="P33" t="n">
        <v>0</v>
      </c>
      <c r="Q33" t="n">
        <v>9</v>
      </c>
      <c r="R33" s="2" t="inlineStr">
        <is>
          <t>Garnlav
Granticka
Lunglav
Spillkråka
Tretåig hackspett
Ullticka
Bårdlav
Stuplav
Vedticka</t>
        </is>
      </c>
      <c r="S33">
        <f>HYPERLINK("https://klasma.github.io/Logging_2303/artfynd/A 25016-2025 artfynd.xlsx", "A 25016-2025")</f>
        <v/>
      </c>
      <c r="T33">
        <f>HYPERLINK("https://klasma.github.io/Logging_2303/kartor/A 25016-2025 karta.png", "A 25016-2025")</f>
        <v/>
      </c>
      <c r="V33">
        <f>HYPERLINK("https://klasma.github.io/Logging_2303/klagomål/A 25016-2025 FSC-klagomål.docx", "A 25016-2025")</f>
        <v/>
      </c>
      <c r="W33">
        <f>HYPERLINK("https://klasma.github.io/Logging_2303/klagomålsmail/A 25016-2025 FSC-klagomål mail.docx", "A 25016-2025")</f>
        <v/>
      </c>
      <c r="X33">
        <f>HYPERLINK("https://klasma.github.io/Logging_2303/tillsyn/A 25016-2025 tillsynsbegäran.docx", "A 25016-2025")</f>
        <v/>
      </c>
      <c r="Y33">
        <f>HYPERLINK("https://klasma.github.io/Logging_2303/tillsynsmail/A 25016-2025 tillsynsbegäran mail.docx", "A 25016-2025")</f>
        <v/>
      </c>
      <c r="Z33">
        <f>HYPERLINK("https://klasma.github.io/Logging_2303/fåglar/A 25016-2025 prioriterade fågelarter.docx", "A 25016-2025")</f>
        <v/>
      </c>
    </row>
    <row r="34" ht="15" customHeight="1">
      <c r="A34" t="inlineStr">
        <is>
          <t>A 24735-2025</t>
        </is>
      </c>
      <c r="B34" s="1" t="n">
        <v>45799.34461805555</v>
      </c>
      <c r="C34" s="1" t="n">
        <v>46084</v>
      </c>
      <c r="D34" t="inlineStr">
        <is>
          <t>JÄMTLANDS LÄN</t>
        </is>
      </c>
      <c r="E34" t="inlineStr">
        <is>
          <t>RAGUNDA</t>
        </is>
      </c>
      <c r="F34" t="inlineStr">
        <is>
          <t>SCA</t>
        </is>
      </c>
      <c r="G34" t="n">
        <v>7.1</v>
      </c>
      <c r="H34" t="n">
        <v>1</v>
      </c>
      <c r="I34" t="n">
        <v>4</v>
      </c>
      <c r="J34" t="n">
        <v>5</v>
      </c>
      <c r="K34" t="n">
        <v>0</v>
      </c>
      <c r="L34" t="n">
        <v>0</v>
      </c>
      <c r="M34" t="n">
        <v>0</v>
      </c>
      <c r="N34" t="n">
        <v>0</v>
      </c>
      <c r="O34" t="n">
        <v>5</v>
      </c>
      <c r="P34" t="n">
        <v>0</v>
      </c>
      <c r="Q34" t="n">
        <v>9</v>
      </c>
      <c r="R34" s="2" t="inlineStr">
        <is>
          <t>Garnlav
Lunglav
Mörk kolflarnlav
Tretåig hackspett
Ullticka
Bollvitmossa
Norrlandslav
Skinnlav
Stuplav</t>
        </is>
      </c>
      <c r="S34">
        <f>HYPERLINK("https://klasma.github.io/Logging_2303/artfynd/A 24735-2025 artfynd.xlsx", "A 24735-2025")</f>
        <v/>
      </c>
      <c r="T34">
        <f>HYPERLINK("https://klasma.github.io/Logging_2303/kartor/A 24735-2025 karta.png", "A 24735-2025")</f>
        <v/>
      </c>
      <c r="V34">
        <f>HYPERLINK("https://klasma.github.io/Logging_2303/klagomål/A 24735-2025 FSC-klagomål.docx", "A 24735-2025")</f>
        <v/>
      </c>
      <c r="W34">
        <f>HYPERLINK("https://klasma.github.io/Logging_2303/klagomålsmail/A 24735-2025 FSC-klagomål mail.docx", "A 24735-2025")</f>
        <v/>
      </c>
      <c r="X34">
        <f>HYPERLINK("https://klasma.github.io/Logging_2303/tillsyn/A 24735-2025 tillsynsbegäran.docx", "A 24735-2025")</f>
        <v/>
      </c>
      <c r="Y34">
        <f>HYPERLINK("https://klasma.github.io/Logging_2303/tillsynsmail/A 24735-2025 tillsynsbegäran mail.docx", "A 24735-2025")</f>
        <v/>
      </c>
      <c r="Z34">
        <f>HYPERLINK("https://klasma.github.io/Logging_2303/fåglar/A 24735-2025 prioriterade fågelarter.docx", "A 24735-2025")</f>
        <v/>
      </c>
    </row>
    <row r="35" ht="15" customHeight="1">
      <c r="A35" t="inlineStr">
        <is>
          <t>A 30876-2025</t>
        </is>
      </c>
      <c r="B35" s="1" t="n">
        <v>45832.34461805555</v>
      </c>
      <c r="C35" s="1" t="n">
        <v>46084</v>
      </c>
      <c r="D35" t="inlineStr">
        <is>
          <t>JÄMTLANDS LÄN</t>
        </is>
      </c>
      <c r="E35" t="inlineStr">
        <is>
          <t>RAGUNDA</t>
        </is>
      </c>
      <c r="F35" t="inlineStr">
        <is>
          <t>SCA</t>
        </is>
      </c>
      <c r="G35" t="n">
        <v>5.5</v>
      </c>
      <c r="H35" t="n">
        <v>6</v>
      </c>
      <c r="I35" t="n">
        <v>1</v>
      </c>
      <c r="J35" t="n">
        <v>5</v>
      </c>
      <c r="K35" t="n">
        <v>1</v>
      </c>
      <c r="L35" t="n">
        <v>0</v>
      </c>
      <c r="M35" t="n">
        <v>0</v>
      </c>
      <c r="N35" t="n">
        <v>0</v>
      </c>
      <c r="O35" t="n">
        <v>6</v>
      </c>
      <c r="P35" t="n">
        <v>1</v>
      </c>
      <c r="Q35" t="n">
        <v>9</v>
      </c>
      <c r="R35" s="2" t="inlineStr">
        <is>
          <t>Knärot
Järpe
Lunglav
Spillkråka
Tallticka
Tretåig hackspett
Kamjordstjärna
Tjäder
Nattviol</t>
        </is>
      </c>
      <c r="S35">
        <f>HYPERLINK("https://klasma.github.io/Logging_2303/artfynd/A 30876-2025 artfynd.xlsx", "A 30876-2025")</f>
        <v/>
      </c>
      <c r="T35">
        <f>HYPERLINK("https://klasma.github.io/Logging_2303/kartor/A 30876-2025 karta.png", "A 30876-2025")</f>
        <v/>
      </c>
      <c r="U35">
        <f>HYPERLINK("https://klasma.github.io/Logging_2303/knärot/A 30876-2025 karta knärot.png", "A 30876-2025")</f>
        <v/>
      </c>
      <c r="V35">
        <f>HYPERLINK("https://klasma.github.io/Logging_2303/klagomål/A 30876-2025 FSC-klagomål.docx", "A 30876-2025")</f>
        <v/>
      </c>
      <c r="W35">
        <f>HYPERLINK("https://klasma.github.io/Logging_2303/klagomålsmail/A 30876-2025 FSC-klagomål mail.docx", "A 30876-2025")</f>
        <v/>
      </c>
      <c r="X35">
        <f>HYPERLINK("https://klasma.github.io/Logging_2303/tillsyn/A 30876-2025 tillsynsbegäran.docx", "A 30876-2025")</f>
        <v/>
      </c>
      <c r="Y35">
        <f>HYPERLINK("https://klasma.github.io/Logging_2303/tillsynsmail/A 30876-2025 tillsynsbegäran mail.docx", "A 30876-2025")</f>
        <v/>
      </c>
      <c r="Z35">
        <f>HYPERLINK("https://klasma.github.io/Logging_2303/fåglar/A 30876-2025 prioriterade fågelarter.docx", "A 30876-2025")</f>
        <v/>
      </c>
    </row>
    <row r="36" ht="15" customHeight="1">
      <c r="A36" t="inlineStr">
        <is>
          <t>A 33822-2023</t>
        </is>
      </c>
      <c r="B36" s="1" t="n">
        <v>45121</v>
      </c>
      <c r="C36" s="1" t="n">
        <v>46084</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45008-2023</t>
        </is>
      </c>
      <c r="B37" s="1" t="n">
        <v>45190.96092592592</v>
      </c>
      <c r="C37" s="1" t="n">
        <v>46084</v>
      </c>
      <c r="D37" t="inlineStr">
        <is>
          <t>JÄMTLANDS LÄN</t>
        </is>
      </c>
      <c r="E37" t="inlineStr">
        <is>
          <t>RAGUNDA</t>
        </is>
      </c>
      <c r="F37" t="inlineStr">
        <is>
          <t>SCA</t>
        </is>
      </c>
      <c r="G37" t="n">
        <v>3.5</v>
      </c>
      <c r="H37" t="n">
        <v>0</v>
      </c>
      <c r="I37" t="n">
        <v>4</v>
      </c>
      <c r="J37" t="n">
        <v>4</v>
      </c>
      <c r="K37" t="n">
        <v>1</v>
      </c>
      <c r="L37" t="n">
        <v>0</v>
      </c>
      <c r="M37" t="n">
        <v>0</v>
      </c>
      <c r="N37" t="n">
        <v>0</v>
      </c>
      <c r="O37" t="n">
        <v>5</v>
      </c>
      <c r="P37" t="n">
        <v>1</v>
      </c>
      <c r="Q37" t="n">
        <v>9</v>
      </c>
      <c r="R37" s="2" t="inlineStr">
        <is>
          <t>Rynkskinn
Garnlav
Granticka
Lunglav
Stiftgelélav
Bårdlav
Gytterlav
Skinnlav
Stor aspticka</t>
        </is>
      </c>
      <c r="S37">
        <f>HYPERLINK("https://klasma.github.io/Logging_2303/artfynd/A 45008-2023 artfynd.xlsx", "A 45008-2023")</f>
        <v/>
      </c>
      <c r="T37">
        <f>HYPERLINK("https://klasma.github.io/Logging_2303/kartor/A 45008-2023 karta.png", "A 45008-2023")</f>
        <v/>
      </c>
      <c r="V37">
        <f>HYPERLINK("https://klasma.github.io/Logging_2303/klagomål/A 45008-2023 FSC-klagomål.docx", "A 45008-2023")</f>
        <v/>
      </c>
      <c r="W37">
        <f>HYPERLINK("https://klasma.github.io/Logging_2303/klagomålsmail/A 45008-2023 FSC-klagomål mail.docx", "A 45008-2023")</f>
        <v/>
      </c>
      <c r="X37">
        <f>HYPERLINK("https://klasma.github.io/Logging_2303/tillsyn/A 45008-2023 tillsynsbegäran.docx", "A 45008-2023")</f>
        <v/>
      </c>
      <c r="Y37">
        <f>HYPERLINK("https://klasma.github.io/Logging_2303/tillsynsmail/A 45008-2023 tillsynsbegäran mail.docx", "A 45008-2023")</f>
        <v/>
      </c>
    </row>
    <row r="38" ht="15" customHeight="1">
      <c r="A38" t="inlineStr">
        <is>
          <t>A 62948-2021</t>
        </is>
      </c>
      <c r="B38" s="1" t="n">
        <v>44504</v>
      </c>
      <c r="C38" s="1" t="n">
        <v>46084</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12372-2024</t>
        </is>
      </c>
      <c r="B39" s="1" t="n">
        <v>45378</v>
      </c>
      <c r="C39" s="1" t="n">
        <v>46084</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58876-2025</t>
        </is>
      </c>
      <c r="B40" s="1" t="n">
        <v>45987.46929398148</v>
      </c>
      <c r="C40" s="1" t="n">
        <v>46084</v>
      </c>
      <c r="D40" t="inlineStr">
        <is>
          <t>JÄMTLANDS LÄN</t>
        </is>
      </c>
      <c r="E40" t="inlineStr">
        <is>
          <t>RAGUNDA</t>
        </is>
      </c>
      <c r="F40" t="inlineStr">
        <is>
          <t>SCA</t>
        </is>
      </c>
      <c r="G40" t="n">
        <v>6.3</v>
      </c>
      <c r="H40" t="n">
        <v>2</v>
      </c>
      <c r="I40" t="n">
        <v>0</v>
      </c>
      <c r="J40" t="n">
        <v>7</v>
      </c>
      <c r="K40" t="n">
        <v>1</v>
      </c>
      <c r="L40" t="n">
        <v>0</v>
      </c>
      <c r="M40" t="n">
        <v>0</v>
      </c>
      <c r="N40" t="n">
        <v>0</v>
      </c>
      <c r="O40" t="n">
        <v>8</v>
      </c>
      <c r="P40" t="n">
        <v>1</v>
      </c>
      <c r="Q40" t="n">
        <v>9</v>
      </c>
      <c r="R40" s="2" t="inlineStr">
        <is>
          <t>Knärot
Gammelgransskål
Garnlav
Granticka
Lunglav
Rosenticka
Ullticka
Vitgrynig nållav
Fläcknycklar</t>
        </is>
      </c>
      <c r="S40">
        <f>HYPERLINK("https://klasma.github.io/Logging_2303/artfynd/A 58876-2025 artfynd.xlsx", "A 58876-2025")</f>
        <v/>
      </c>
      <c r="T40">
        <f>HYPERLINK("https://klasma.github.io/Logging_2303/kartor/A 58876-2025 karta.png", "A 58876-2025")</f>
        <v/>
      </c>
      <c r="U40">
        <f>HYPERLINK("https://klasma.github.io/Logging_2303/knärot/A 58876-2025 karta knärot.png", "A 58876-2025")</f>
        <v/>
      </c>
      <c r="V40">
        <f>HYPERLINK("https://klasma.github.io/Logging_2303/klagomål/A 58876-2025 FSC-klagomål.docx", "A 58876-2025")</f>
        <v/>
      </c>
      <c r="W40">
        <f>HYPERLINK("https://klasma.github.io/Logging_2303/klagomålsmail/A 58876-2025 FSC-klagomål mail.docx", "A 58876-2025")</f>
        <v/>
      </c>
      <c r="X40">
        <f>HYPERLINK("https://klasma.github.io/Logging_2303/tillsyn/A 58876-2025 tillsynsbegäran.docx", "A 58876-2025")</f>
        <v/>
      </c>
      <c r="Y40">
        <f>HYPERLINK("https://klasma.github.io/Logging_2303/tillsynsmail/A 58876-2025 tillsynsbegäran mail.docx", "A 58876-2025")</f>
        <v/>
      </c>
    </row>
    <row r="41" ht="15" customHeight="1">
      <c r="A41" t="inlineStr">
        <is>
          <t>A 32068-2024</t>
        </is>
      </c>
      <c r="B41" s="1" t="n">
        <v>45510</v>
      </c>
      <c r="C41" s="1" t="n">
        <v>46084</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42393-2025</t>
        </is>
      </c>
      <c r="B42" s="1" t="n">
        <v>45905</v>
      </c>
      <c r="C42" s="1" t="n">
        <v>46084</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41406-2023</t>
        </is>
      </c>
      <c r="B43" s="1" t="n">
        <v>45174</v>
      </c>
      <c r="C43" s="1" t="n">
        <v>46084</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2316-2026</t>
        </is>
      </c>
      <c r="B44" s="1" t="n">
        <v>46036.59826388889</v>
      </c>
      <c r="C44" s="1" t="n">
        <v>46084</v>
      </c>
      <c r="D44" t="inlineStr">
        <is>
          <t>JÄMTLANDS LÄN</t>
        </is>
      </c>
      <c r="E44" t="inlineStr">
        <is>
          <t>RAGUNDA</t>
        </is>
      </c>
      <c r="G44" t="n">
        <v>5.1</v>
      </c>
      <c r="H44" t="n">
        <v>3</v>
      </c>
      <c r="I44" t="n">
        <v>0</v>
      </c>
      <c r="J44" t="n">
        <v>9</v>
      </c>
      <c r="K44" t="n">
        <v>0</v>
      </c>
      <c r="L44" t="n">
        <v>0</v>
      </c>
      <c r="M44" t="n">
        <v>0</v>
      </c>
      <c r="N44" t="n">
        <v>0</v>
      </c>
      <c r="O44" t="n">
        <v>9</v>
      </c>
      <c r="P44" t="n">
        <v>0</v>
      </c>
      <c r="Q44" t="n">
        <v>9</v>
      </c>
      <c r="R44" s="2" t="inlineStr">
        <is>
          <t>Garnlav
Harticka
Kolflarnlav
Liten svartspik
Lunglav
Talltita
Tretåig hackspett
Utter
Vitgrynig nållav</t>
        </is>
      </c>
      <c r="S44">
        <f>HYPERLINK("https://klasma.github.io/Logging_2303/artfynd/A 2316-2026 artfynd.xlsx", "A 2316-2026")</f>
        <v/>
      </c>
      <c r="T44">
        <f>HYPERLINK("https://klasma.github.io/Logging_2303/kartor/A 2316-2026 karta.png", "A 2316-2026")</f>
        <v/>
      </c>
      <c r="V44">
        <f>HYPERLINK("https://klasma.github.io/Logging_2303/klagomål/A 2316-2026 FSC-klagomål.docx", "A 2316-2026")</f>
        <v/>
      </c>
      <c r="W44">
        <f>HYPERLINK("https://klasma.github.io/Logging_2303/klagomålsmail/A 2316-2026 FSC-klagomål mail.docx", "A 2316-2026")</f>
        <v/>
      </c>
      <c r="X44">
        <f>HYPERLINK("https://klasma.github.io/Logging_2303/tillsyn/A 2316-2026 tillsynsbegäran.docx", "A 2316-2026")</f>
        <v/>
      </c>
      <c r="Y44">
        <f>HYPERLINK("https://klasma.github.io/Logging_2303/tillsynsmail/A 2316-2026 tillsynsbegäran mail.docx", "A 2316-2026")</f>
        <v/>
      </c>
      <c r="Z44">
        <f>HYPERLINK("https://klasma.github.io/Logging_2303/fåglar/A 2316-2026 prioriterade fågelarter.docx", "A 2316-2026")</f>
        <v/>
      </c>
    </row>
    <row r="45" ht="15" customHeight="1">
      <c r="A45" t="inlineStr">
        <is>
          <t>A 24732-2025</t>
        </is>
      </c>
      <c r="B45" s="1" t="n">
        <v>45799.34421296296</v>
      </c>
      <c r="C45" s="1" t="n">
        <v>46084</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30335-2025</t>
        </is>
      </c>
      <c r="B46" s="1" t="n">
        <v>45827.5110300926</v>
      </c>
      <c r="C46" s="1" t="n">
        <v>46084</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3634-2024</t>
        </is>
      </c>
      <c r="B47" s="1" t="n">
        <v>45320</v>
      </c>
      <c r="C47" s="1" t="n">
        <v>46084</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51037-2025</t>
        </is>
      </c>
      <c r="B48" s="1" t="n">
        <v>45947.40729166667</v>
      </c>
      <c r="C48" s="1" t="n">
        <v>46084</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46084</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46084</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46084</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46084</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46084</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46084</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26750-2025</t>
        </is>
      </c>
      <c r="B55" s="1" t="n">
        <v>45810.55061342593</v>
      </c>
      <c r="C55" s="1" t="n">
        <v>46084</v>
      </c>
      <c r="D55" t="inlineStr">
        <is>
          <t>JÄMTLANDS LÄN</t>
        </is>
      </c>
      <c r="E55" t="inlineStr">
        <is>
          <t>RAGUNDA</t>
        </is>
      </c>
      <c r="G55" t="n">
        <v>18</v>
      </c>
      <c r="H55" t="n">
        <v>0</v>
      </c>
      <c r="I55" t="n">
        <v>3</v>
      </c>
      <c r="J55" t="n">
        <v>4</v>
      </c>
      <c r="K55" t="n">
        <v>0</v>
      </c>
      <c r="L55" t="n">
        <v>0</v>
      </c>
      <c r="M55" t="n">
        <v>0</v>
      </c>
      <c r="N55" t="n">
        <v>0</v>
      </c>
      <c r="O55" t="n">
        <v>4</v>
      </c>
      <c r="P55" t="n">
        <v>0</v>
      </c>
      <c r="Q55" t="n">
        <v>7</v>
      </c>
      <c r="R55" s="2" t="inlineStr">
        <is>
          <t>Blå taggsvamp
Orange taggsvamp
Skrovlig taggsvamp
Svartvit taggsvamp
Dropptaggsvamp
Rödfläckig zontaggsvamp
Skarp dropptaggsvamp</t>
        </is>
      </c>
      <c r="S55">
        <f>HYPERLINK("https://klasma.github.io/Logging_2303/artfynd/A 26750-2025 artfynd.xlsx", "A 26750-2025")</f>
        <v/>
      </c>
      <c r="T55">
        <f>HYPERLINK("https://klasma.github.io/Logging_2303/kartor/A 26750-2025 karta.png", "A 26750-2025")</f>
        <v/>
      </c>
      <c r="V55">
        <f>HYPERLINK("https://klasma.github.io/Logging_2303/klagomål/A 26750-2025 FSC-klagomål.docx", "A 26750-2025")</f>
        <v/>
      </c>
      <c r="W55">
        <f>HYPERLINK("https://klasma.github.io/Logging_2303/klagomålsmail/A 26750-2025 FSC-klagomål mail.docx", "A 26750-2025")</f>
        <v/>
      </c>
      <c r="X55">
        <f>HYPERLINK("https://klasma.github.io/Logging_2303/tillsyn/A 26750-2025 tillsynsbegäran.docx", "A 26750-2025")</f>
        <v/>
      </c>
      <c r="Y55">
        <f>HYPERLINK("https://klasma.github.io/Logging_2303/tillsynsmail/A 26750-2025 tillsynsbegäran mail.docx", "A 26750-2025")</f>
        <v/>
      </c>
    </row>
    <row r="56" ht="15" customHeight="1">
      <c r="A56" t="inlineStr">
        <is>
          <t>A 19399-2025</t>
        </is>
      </c>
      <c r="B56" s="1" t="n">
        <v>45769.67740740741</v>
      </c>
      <c r="C56" s="1" t="n">
        <v>46084</v>
      </c>
      <c r="D56" t="inlineStr">
        <is>
          <t>JÄMTLANDS LÄN</t>
        </is>
      </c>
      <c r="E56" t="inlineStr">
        <is>
          <t>RAGUNDA</t>
        </is>
      </c>
      <c r="F56" t="inlineStr">
        <is>
          <t>SCA</t>
        </is>
      </c>
      <c r="G56" t="n">
        <v>3.8</v>
      </c>
      <c r="H56" t="n">
        <v>2</v>
      </c>
      <c r="I56" t="n">
        <v>2</v>
      </c>
      <c r="J56" t="n">
        <v>4</v>
      </c>
      <c r="K56" t="n">
        <v>0</v>
      </c>
      <c r="L56" t="n">
        <v>0</v>
      </c>
      <c r="M56" t="n">
        <v>0</v>
      </c>
      <c r="N56" t="n">
        <v>0</v>
      </c>
      <c r="O56" t="n">
        <v>4</v>
      </c>
      <c r="P56" t="n">
        <v>0</v>
      </c>
      <c r="Q56" t="n">
        <v>7</v>
      </c>
      <c r="R56" s="2" t="inlineStr">
        <is>
          <t>Lunglav
Skrovellav
Tretåig hackspett
Ullticka
Skinnlav
Stuplav
Nattviol</t>
        </is>
      </c>
      <c r="S56">
        <f>HYPERLINK("https://klasma.github.io/Logging_2303/artfynd/A 19399-2025 artfynd.xlsx", "A 19399-2025")</f>
        <v/>
      </c>
      <c r="T56">
        <f>HYPERLINK("https://klasma.github.io/Logging_2303/kartor/A 19399-2025 karta.png", "A 19399-2025")</f>
        <v/>
      </c>
      <c r="V56">
        <f>HYPERLINK("https://klasma.github.io/Logging_2303/klagomål/A 19399-2025 FSC-klagomål.docx", "A 19399-2025")</f>
        <v/>
      </c>
      <c r="W56">
        <f>HYPERLINK("https://klasma.github.io/Logging_2303/klagomålsmail/A 19399-2025 FSC-klagomål mail.docx", "A 19399-2025")</f>
        <v/>
      </c>
      <c r="X56">
        <f>HYPERLINK("https://klasma.github.io/Logging_2303/tillsyn/A 19399-2025 tillsynsbegäran.docx", "A 19399-2025")</f>
        <v/>
      </c>
      <c r="Y56">
        <f>HYPERLINK("https://klasma.github.io/Logging_2303/tillsynsmail/A 19399-2025 tillsynsbegäran mail.docx", "A 19399-2025")</f>
        <v/>
      </c>
      <c r="Z56">
        <f>HYPERLINK("https://klasma.github.io/Logging_2303/fåglar/A 19399-2025 prioriterade fågelarter.docx", "A 19399-2025")</f>
        <v/>
      </c>
    </row>
    <row r="57" ht="15" customHeight="1">
      <c r="A57" t="inlineStr">
        <is>
          <t>A 41929-2023</t>
        </is>
      </c>
      <c r="B57" s="1" t="n">
        <v>45176</v>
      </c>
      <c r="C57" s="1" t="n">
        <v>46084</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46084</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24169-2021</t>
        </is>
      </c>
      <c r="B59" s="1" t="n">
        <v>44336</v>
      </c>
      <c r="C59" s="1" t="n">
        <v>46084</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11829-2023</t>
        </is>
      </c>
      <c r="B60" s="1" t="n">
        <v>44994</v>
      </c>
      <c r="C60" s="1" t="n">
        <v>46084</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61386-2022</t>
        </is>
      </c>
      <c r="B61" s="1" t="n">
        <v>44915</v>
      </c>
      <c r="C61" s="1" t="n">
        <v>46084</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15977-2024</t>
        </is>
      </c>
      <c r="B62" s="1" t="n">
        <v>45405.57392361111</v>
      </c>
      <c r="C62" s="1" t="n">
        <v>46084</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33806-2023</t>
        </is>
      </c>
      <c r="B63" s="1" t="n">
        <v>45121</v>
      </c>
      <c r="C63" s="1" t="n">
        <v>46084</v>
      </c>
      <c r="D63" t="inlineStr">
        <is>
          <t>JÄMTLANDS LÄN</t>
        </is>
      </c>
      <c r="E63" t="inlineStr">
        <is>
          <t>RAGUNDA</t>
        </is>
      </c>
      <c r="G63" t="n">
        <v>12</v>
      </c>
      <c r="H63" t="n">
        <v>2</v>
      </c>
      <c r="I63" t="n">
        <v>0</v>
      </c>
      <c r="J63" t="n">
        <v>5</v>
      </c>
      <c r="K63" t="n">
        <v>1</v>
      </c>
      <c r="L63" t="n">
        <v>0</v>
      </c>
      <c r="M63" t="n">
        <v>0</v>
      </c>
      <c r="N63" t="n">
        <v>0</v>
      </c>
      <c r="O63" t="n">
        <v>6</v>
      </c>
      <c r="P63" t="n">
        <v>1</v>
      </c>
      <c r="Q63" t="n">
        <v>7</v>
      </c>
      <c r="R63" s="2" t="inlineStr">
        <is>
          <t>Knärot
Granticka
Koralltaggsvamp
Lunglav
Persiljespindling
Äggvaxskivling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27913-2024</t>
        </is>
      </c>
      <c r="B64" s="1" t="n">
        <v>45475.94796296296</v>
      </c>
      <c r="C64" s="1" t="n">
        <v>46084</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11828-2023</t>
        </is>
      </c>
      <c r="B65" s="1" t="n">
        <v>44994</v>
      </c>
      <c r="C65" s="1" t="n">
        <v>46084</v>
      </c>
      <c r="D65" t="inlineStr">
        <is>
          <t>JÄMTLANDS LÄN</t>
        </is>
      </c>
      <c r="E65" t="inlineStr">
        <is>
          <t>RAGUNDA</t>
        </is>
      </c>
      <c r="F65" t="inlineStr">
        <is>
          <t>SCA</t>
        </is>
      </c>
      <c r="G65" t="n">
        <v>2.7</v>
      </c>
      <c r="H65" t="n">
        <v>0</v>
      </c>
      <c r="I65" t="n">
        <v>0</v>
      </c>
      <c r="J65" t="n">
        <v>6</v>
      </c>
      <c r="K65" t="n">
        <v>0</v>
      </c>
      <c r="L65" t="n">
        <v>0</v>
      </c>
      <c r="M65" t="n">
        <v>0</v>
      </c>
      <c r="N65" t="n">
        <v>0</v>
      </c>
      <c r="O65" t="n">
        <v>6</v>
      </c>
      <c r="P65" t="n">
        <v>0</v>
      </c>
      <c r="Q65" t="n">
        <v>6</v>
      </c>
      <c r="R65" s="2" t="inlineStr">
        <is>
          <t>Dvärgbägarlav
Garnlav
Kolflarnlav
Mörk kolflarnlav
Vedskivlav
Vedtrappmossa</t>
        </is>
      </c>
      <c r="S65">
        <f>HYPERLINK("https://klasma.github.io/Logging_2303/artfynd/A 11828-2023 artfynd.xlsx", "A 11828-2023")</f>
        <v/>
      </c>
      <c r="T65">
        <f>HYPERLINK("https://klasma.github.io/Logging_2303/kartor/A 11828-2023 karta.png", "A 11828-2023")</f>
        <v/>
      </c>
      <c r="V65">
        <f>HYPERLINK("https://klasma.github.io/Logging_2303/klagomål/A 11828-2023 FSC-klagomål.docx", "A 11828-2023")</f>
        <v/>
      </c>
      <c r="W65">
        <f>HYPERLINK("https://klasma.github.io/Logging_2303/klagomålsmail/A 11828-2023 FSC-klagomål mail.docx", "A 11828-2023")</f>
        <v/>
      </c>
      <c r="X65">
        <f>HYPERLINK("https://klasma.github.io/Logging_2303/tillsyn/A 11828-2023 tillsynsbegäran.docx", "A 11828-2023")</f>
        <v/>
      </c>
      <c r="Y65">
        <f>HYPERLINK("https://klasma.github.io/Logging_2303/tillsynsmail/A 11828-2023 tillsynsbegäran mail.docx", "A 11828-2023")</f>
        <v/>
      </c>
    </row>
    <row r="66" ht="15" customHeight="1">
      <c r="A66" t="inlineStr">
        <is>
          <t>A 39973-2025</t>
        </is>
      </c>
      <c r="B66" s="1" t="n">
        <v>45893.38584490741</v>
      </c>
      <c r="C66" s="1" t="n">
        <v>46084</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24431-2024</t>
        </is>
      </c>
      <c r="B67" s="1" t="n">
        <v>45457</v>
      </c>
      <c r="C67" s="1" t="n">
        <v>46084</v>
      </c>
      <c r="D67" t="inlineStr">
        <is>
          <t>JÄMTLANDS LÄN</t>
        </is>
      </c>
      <c r="E67" t="inlineStr">
        <is>
          <t>RAGUNDA</t>
        </is>
      </c>
      <c r="F67" t="inlineStr">
        <is>
          <t>SCA</t>
        </is>
      </c>
      <c r="G67" t="n">
        <v>3.6</v>
      </c>
      <c r="H67" t="n">
        <v>1</v>
      </c>
      <c r="I67" t="n">
        <v>0</v>
      </c>
      <c r="J67" t="n">
        <v>6</v>
      </c>
      <c r="K67" t="n">
        <v>0</v>
      </c>
      <c r="L67" t="n">
        <v>0</v>
      </c>
      <c r="M67" t="n">
        <v>0</v>
      </c>
      <c r="N67" t="n">
        <v>0</v>
      </c>
      <c r="O67" t="n">
        <v>6</v>
      </c>
      <c r="P67" t="n">
        <v>0</v>
      </c>
      <c r="Q67" t="n">
        <v>6</v>
      </c>
      <c r="R67" s="2" t="inlineStr">
        <is>
          <t>Doftskinn
Gammelgransskål
Rosenticka
Tretåig hackspett
Ullticka
Vitgrynig nållav</t>
        </is>
      </c>
      <c r="S67">
        <f>HYPERLINK("https://klasma.github.io/Logging_2303/artfynd/A 24431-2024 artfynd.xlsx", "A 24431-2024")</f>
        <v/>
      </c>
      <c r="T67">
        <f>HYPERLINK("https://klasma.github.io/Logging_2303/kartor/A 24431-2024 karta.png", "A 24431-2024")</f>
        <v/>
      </c>
      <c r="V67">
        <f>HYPERLINK("https://klasma.github.io/Logging_2303/klagomål/A 24431-2024 FSC-klagomål.docx", "A 24431-2024")</f>
        <v/>
      </c>
      <c r="W67">
        <f>HYPERLINK("https://klasma.github.io/Logging_2303/klagomålsmail/A 24431-2024 FSC-klagomål mail.docx", "A 24431-2024")</f>
        <v/>
      </c>
      <c r="X67">
        <f>HYPERLINK("https://klasma.github.io/Logging_2303/tillsyn/A 24431-2024 tillsynsbegäran.docx", "A 24431-2024")</f>
        <v/>
      </c>
      <c r="Y67">
        <f>HYPERLINK("https://klasma.github.io/Logging_2303/tillsynsmail/A 24431-2024 tillsynsbegäran mail.docx", "A 24431-2024")</f>
        <v/>
      </c>
      <c r="Z67">
        <f>HYPERLINK("https://klasma.github.io/Logging_2303/fåglar/A 24431-2024 prioriterade fågelarter.docx", "A 24431-2024")</f>
        <v/>
      </c>
    </row>
    <row r="68" ht="15" customHeight="1">
      <c r="A68" t="inlineStr">
        <is>
          <t>A 933-2023</t>
        </is>
      </c>
      <c r="B68" s="1" t="n">
        <v>44932</v>
      </c>
      <c r="C68" s="1" t="n">
        <v>46084</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19402-2025</t>
        </is>
      </c>
      <c r="B69" s="1" t="n">
        <v>45769.67778935185</v>
      </c>
      <c r="C69" s="1" t="n">
        <v>46084</v>
      </c>
      <c r="D69" t="inlineStr">
        <is>
          <t>JÄMTLANDS LÄN</t>
        </is>
      </c>
      <c r="E69" t="inlineStr">
        <is>
          <t>RAGUNDA</t>
        </is>
      </c>
      <c r="F69" t="inlineStr">
        <is>
          <t>SCA</t>
        </is>
      </c>
      <c r="G69" t="n">
        <v>3.1</v>
      </c>
      <c r="H69" t="n">
        <v>2</v>
      </c>
      <c r="I69" t="n">
        <v>3</v>
      </c>
      <c r="J69" t="n">
        <v>3</v>
      </c>
      <c r="K69" t="n">
        <v>0</v>
      </c>
      <c r="L69" t="n">
        <v>0</v>
      </c>
      <c r="M69" t="n">
        <v>0</v>
      </c>
      <c r="N69" t="n">
        <v>0</v>
      </c>
      <c r="O69" t="n">
        <v>3</v>
      </c>
      <c r="P69" t="n">
        <v>0</v>
      </c>
      <c r="Q69" t="n">
        <v>6</v>
      </c>
      <c r="R69" s="2" t="inlineStr">
        <is>
          <t>Garnlav
Lunglav
Tretåig hackspett
Bårdlav
Spindelblomster
Stuplav</t>
        </is>
      </c>
      <c r="S69">
        <f>HYPERLINK("https://klasma.github.io/Logging_2303/artfynd/A 19402-2025 artfynd.xlsx", "A 19402-2025")</f>
        <v/>
      </c>
      <c r="T69">
        <f>HYPERLINK("https://klasma.github.io/Logging_2303/kartor/A 19402-2025 karta.png", "A 19402-2025")</f>
        <v/>
      </c>
      <c r="V69">
        <f>HYPERLINK("https://klasma.github.io/Logging_2303/klagomål/A 19402-2025 FSC-klagomål.docx", "A 19402-2025")</f>
        <v/>
      </c>
      <c r="W69">
        <f>HYPERLINK("https://klasma.github.io/Logging_2303/klagomålsmail/A 19402-2025 FSC-klagomål mail.docx", "A 19402-2025")</f>
        <v/>
      </c>
      <c r="X69">
        <f>HYPERLINK("https://klasma.github.io/Logging_2303/tillsyn/A 19402-2025 tillsynsbegäran.docx", "A 19402-2025")</f>
        <v/>
      </c>
      <c r="Y69">
        <f>HYPERLINK("https://klasma.github.io/Logging_2303/tillsynsmail/A 19402-2025 tillsynsbegäran mail.docx", "A 19402-2025")</f>
        <v/>
      </c>
      <c r="Z69">
        <f>HYPERLINK("https://klasma.github.io/Logging_2303/fåglar/A 19402-2025 prioriterade fågelarter.docx", "A 19402-2025")</f>
        <v/>
      </c>
    </row>
    <row r="70" ht="15" customHeight="1">
      <c r="A70" t="inlineStr">
        <is>
          <t>A 30884-2025</t>
        </is>
      </c>
      <c r="B70" s="1" t="n">
        <v>45832.34564814815</v>
      </c>
      <c r="C70" s="1" t="n">
        <v>46084</v>
      </c>
      <c r="D70" t="inlineStr">
        <is>
          <t>JÄMTLANDS LÄN</t>
        </is>
      </c>
      <c r="E70" t="inlineStr">
        <is>
          <t>RAGUNDA</t>
        </is>
      </c>
      <c r="F70" t="inlineStr">
        <is>
          <t>SCA</t>
        </is>
      </c>
      <c r="G70" t="n">
        <v>5.7</v>
      </c>
      <c r="H70" t="n">
        <v>0</v>
      </c>
      <c r="I70" t="n">
        <v>1</v>
      </c>
      <c r="J70" t="n">
        <v>5</v>
      </c>
      <c r="K70" t="n">
        <v>0</v>
      </c>
      <c r="L70" t="n">
        <v>0</v>
      </c>
      <c r="M70" t="n">
        <v>0</v>
      </c>
      <c r="N70" t="n">
        <v>0</v>
      </c>
      <c r="O70" t="n">
        <v>5</v>
      </c>
      <c r="P70" t="n">
        <v>0</v>
      </c>
      <c r="Q70" t="n">
        <v>6</v>
      </c>
      <c r="R70" s="2" t="inlineStr">
        <is>
          <t>Garnlav
Granticka
Rosenticka
Stjärntagging
Ullticka
Rödgul trumpetsvamp</t>
        </is>
      </c>
      <c r="S70">
        <f>HYPERLINK("https://klasma.github.io/Logging_2303/artfynd/A 30884-2025 artfynd.xlsx", "A 30884-2025")</f>
        <v/>
      </c>
      <c r="T70">
        <f>HYPERLINK("https://klasma.github.io/Logging_2303/kartor/A 30884-2025 karta.png", "A 30884-2025")</f>
        <v/>
      </c>
      <c r="V70">
        <f>HYPERLINK("https://klasma.github.io/Logging_2303/klagomål/A 30884-2025 FSC-klagomål.docx", "A 30884-2025")</f>
        <v/>
      </c>
      <c r="W70">
        <f>HYPERLINK("https://klasma.github.io/Logging_2303/klagomålsmail/A 30884-2025 FSC-klagomål mail.docx", "A 30884-2025")</f>
        <v/>
      </c>
      <c r="X70">
        <f>HYPERLINK("https://klasma.github.io/Logging_2303/tillsyn/A 30884-2025 tillsynsbegäran.docx", "A 30884-2025")</f>
        <v/>
      </c>
      <c r="Y70">
        <f>HYPERLINK("https://klasma.github.io/Logging_2303/tillsynsmail/A 30884-2025 tillsynsbegäran mail.docx", "A 30884-2025")</f>
        <v/>
      </c>
    </row>
    <row r="71" ht="15" customHeight="1">
      <c r="A71" t="inlineStr">
        <is>
          <t>A 49291-2025</t>
        </is>
      </c>
      <c r="B71" s="1" t="n">
        <v>45938.53188657408</v>
      </c>
      <c r="C71" s="1" t="n">
        <v>46084</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36276-2025</t>
        </is>
      </c>
      <c r="B72" s="1" t="n">
        <v>45867.63619212963</v>
      </c>
      <c r="C72" s="1" t="n">
        <v>46084</v>
      </c>
      <c r="D72" t="inlineStr">
        <is>
          <t>JÄMTLANDS LÄN</t>
        </is>
      </c>
      <c r="E72" t="inlineStr">
        <is>
          <t>RAGUNDA</t>
        </is>
      </c>
      <c r="F72" t="inlineStr">
        <is>
          <t>SCA</t>
        </is>
      </c>
      <c r="G72" t="n">
        <v>3.2</v>
      </c>
      <c r="H72" t="n">
        <v>1</v>
      </c>
      <c r="I72" t="n">
        <v>2</v>
      </c>
      <c r="J72" t="n">
        <v>3</v>
      </c>
      <c r="K72" t="n">
        <v>1</v>
      </c>
      <c r="L72" t="n">
        <v>0</v>
      </c>
      <c r="M72" t="n">
        <v>0</v>
      </c>
      <c r="N72" t="n">
        <v>0</v>
      </c>
      <c r="O72" t="n">
        <v>4</v>
      </c>
      <c r="P72" t="n">
        <v>1</v>
      </c>
      <c r="Q72" t="n">
        <v>6</v>
      </c>
      <c r="R72" s="2" t="inlineStr">
        <is>
          <t>Knärot
Garnlav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26326-2024</t>
        </is>
      </c>
      <c r="B73" s="1" t="n">
        <v>45468.97528935185</v>
      </c>
      <c r="C73" s="1" t="n">
        <v>46084</v>
      </c>
      <c r="D73" t="inlineStr">
        <is>
          <t>JÄMTLANDS LÄN</t>
        </is>
      </c>
      <c r="E73" t="inlineStr">
        <is>
          <t>RAGUNDA</t>
        </is>
      </c>
      <c r="F73" t="inlineStr">
        <is>
          <t>SCA</t>
        </is>
      </c>
      <c r="G73" t="n">
        <v>1.8</v>
      </c>
      <c r="H73" t="n">
        <v>1</v>
      </c>
      <c r="I73" t="n">
        <v>1</v>
      </c>
      <c r="J73" t="n">
        <v>4</v>
      </c>
      <c r="K73" t="n">
        <v>1</v>
      </c>
      <c r="L73" t="n">
        <v>0</v>
      </c>
      <c r="M73" t="n">
        <v>0</v>
      </c>
      <c r="N73" t="n">
        <v>0</v>
      </c>
      <c r="O73" t="n">
        <v>5</v>
      </c>
      <c r="P73" t="n">
        <v>1</v>
      </c>
      <c r="Q73" t="n">
        <v>6</v>
      </c>
      <c r="R73" s="2" t="inlineStr">
        <is>
          <t>Knärot
Gammelgransskål
Kortskaftad ärgspik
Mörk kolflarnlav
Vedtrappmossa
Gytterlav</t>
        </is>
      </c>
      <c r="S73">
        <f>HYPERLINK("https://klasma.github.io/Logging_2303/artfynd/A 26326-2024 artfynd.xlsx", "A 26326-2024")</f>
        <v/>
      </c>
      <c r="T73">
        <f>HYPERLINK("https://klasma.github.io/Logging_2303/kartor/A 26326-2024 karta.png", "A 26326-2024")</f>
        <v/>
      </c>
      <c r="U73">
        <f>HYPERLINK("https://klasma.github.io/Logging_2303/knärot/A 26326-2024 karta knärot.png", "A 26326-2024")</f>
        <v/>
      </c>
      <c r="V73">
        <f>HYPERLINK("https://klasma.github.io/Logging_2303/klagomål/A 26326-2024 FSC-klagomål.docx", "A 26326-2024")</f>
        <v/>
      </c>
      <c r="W73">
        <f>HYPERLINK("https://klasma.github.io/Logging_2303/klagomålsmail/A 26326-2024 FSC-klagomål mail.docx", "A 26326-2024")</f>
        <v/>
      </c>
      <c r="X73">
        <f>HYPERLINK("https://klasma.github.io/Logging_2303/tillsyn/A 26326-2024 tillsynsbegäran.docx", "A 26326-2024")</f>
        <v/>
      </c>
      <c r="Y73">
        <f>HYPERLINK("https://klasma.github.io/Logging_2303/tillsynsmail/A 26326-2024 tillsynsbegäran mail.docx", "A 26326-2024")</f>
        <v/>
      </c>
    </row>
    <row r="74" ht="15" customHeight="1">
      <c r="A74" t="inlineStr">
        <is>
          <t>A 27322-2024</t>
        </is>
      </c>
      <c r="B74" s="1" t="n">
        <v>45471.94783564815</v>
      </c>
      <c r="C74" s="1" t="n">
        <v>46084</v>
      </c>
      <c r="D74" t="inlineStr">
        <is>
          <t>JÄMTLANDS LÄN</t>
        </is>
      </c>
      <c r="E74" t="inlineStr">
        <is>
          <t>RAGUNDA</t>
        </is>
      </c>
      <c r="G74" t="n">
        <v>2.3</v>
      </c>
      <c r="H74" t="n">
        <v>1</v>
      </c>
      <c r="I74" t="n">
        <v>0</v>
      </c>
      <c r="J74" t="n">
        <v>5</v>
      </c>
      <c r="K74" t="n">
        <v>1</v>
      </c>
      <c r="L74" t="n">
        <v>0</v>
      </c>
      <c r="M74" t="n">
        <v>0</v>
      </c>
      <c r="N74" t="n">
        <v>0</v>
      </c>
      <c r="O74" t="n">
        <v>6</v>
      </c>
      <c r="P74" t="n">
        <v>1</v>
      </c>
      <c r="Q74" t="n">
        <v>6</v>
      </c>
      <c r="R74" s="2" t="inlineStr">
        <is>
          <t>Knärot
Gammelgransskål
Garnlav
Lunglav
Skrovellav
Vedtrappmossa</t>
        </is>
      </c>
      <c r="S74">
        <f>HYPERLINK("https://klasma.github.io/Logging_2303/artfynd/A 27322-2024 artfynd.xlsx", "A 27322-2024")</f>
        <v/>
      </c>
      <c r="T74">
        <f>HYPERLINK("https://klasma.github.io/Logging_2303/kartor/A 27322-2024 karta.png", "A 27322-2024")</f>
        <v/>
      </c>
      <c r="U74">
        <f>HYPERLINK("https://klasma.github.io/Logging_2303/knärot/A 27322-2024 karta knärot.png", "A 27322-2024")</f>
        <v/>
      </c>
      <c r="V74">
        <f>HYPERLINK("https://klasma.github.io/Logging_2303/klagomål/A 27322-2024 FSC-klagomål.docx", "A 27322-2024")</f>
        <v/>
      </c>
      <c r="W74">
        <f>HYPERLINK("https://klasma.github.io/Logging_2303/klagomålsmail/A 27322-2024 FSC-klagomål mail.docx", "A 27322-2024")</f>
        <v/>
      </c>
      <c r="X74">
        <f>HYPERLINK("https://klasma.github.io/Logging_2303/tillsyn/A 27322-2024 tillsynsbegäran.docx", "A 27322-2024")</f>
        <v/>
      </c>
      <c r="Y74">
        <f>HYPERLINK("https://klasma.github.io/Logging_2303/tillsynsmail/A 27322-2024 tillsynsbegäran mail.docx", "A 27322-2024")</f>
        <v/>
      </c>
    </row>
    <row r="75" ht="15" customHeight="1">
      <c r="A75" t="inlineStr">
        <is>
          <t>A 9197-2026</t>
        </is>
      </c>
      <c r="B75" s="1" t="n">
        <v>46070.40322916667</v>
      </c>
      <c r="C75" s="1" t="n">
        <v>46084</v>
      </c>
      <c r="D75" t="inlineStr">
        <is>
          <t>JÄMTLANDS LÄN</t>
        </is>
      </c>
      <c r="E75" t="inlineStr">
        <is>
          <t>RAGUNDA</t>
        </is>
      </c>
      <c r="G75" t="n">
        <v>3.3</v>
      </c>
      <c r="H75" t="n">
        <v>5</v>
      </c>
      <c r="I75" t="n">
        <v>0</v>
      </c>
      <c r="J75" t="n">
        <v>4</v>
      </c>
      <c r="K75" t="n">
        <v>0</v>
      </c>
      <c r="L75" t="n">
        <v>0</v>
      </c>
      <c r="M75" t="n">
        <v>0</v>
      </c>
      <c r="N75" t="n">
        <v>0</v>
      </c>
      <c r="O75" t="n">
        <v>4</v>
      </c>
      <c r="P75" t="n">
        <v>0</v>
      </c>
      <c r="Q75" t="n">
        <v>6</v>
      </c>
      <c r="R75" s="2" t="inlineStr">
        <is>
          <t>Granticka
Järpe
Spillkråka
Talltita
Grönsiska
Kungsfågel</t>
        </is>
      </c>
      <c r="S75">
        <f>HYPERLINK("https://klasma.github.io/Logging_2303/artfynd/A 9197-2026 artfynd.xlsx", "A 9197-2026")</f>
        <v/>
      </c>
      <c r="T75">
        <f>HYPERLINK("https://klasma.github.io/Logging_2303/kartor/A 9197-2026 karta.png", "A 9197-2026")</f>
        <v/>
      </c>
      <c r="V75">
        <f>HYPERLINK("https://klasma.github.io/Logging_2303/klagomål/A 9197-2026 FSC-klagomål.docx", "A 9197-2026")</f>
        <v/>
      </c>
      <c r="W75">
        <f>HYPERLINK("https://klasma.github.io/Logging_2303/klagomålsmail/A 9197-2026 FSC-klagomål mail.docx", "A 9197-2026")</f>
        <v/>
      </c>
      <c r="X75">
        <f>HYPERLINK("https://klasma.github.io/Logging_2303/tillsyn/A 9197-2026 tillsynsbegäran.docx", "A 9197-2026")</f>
        <v/>
      </c>
      <c r="Y75">
        <f>HYPERLINK("https://klasma.github.io/Logging_2303/tillsynsmail/A 9197-2026 tillsynsbegäran mail.docx", "A 9197-2026")</f>
        <v/>
      </c>
      <c r="Z75">
        <f>HYPERLINK("https://klasma.github.io/Logging_2303/fåglar/A 9197-2026 prioriterade fågelarter.docx", "A 9197-2026")</f>
        <v/>
      </c>
    </row>
    <row r="76" ht="15" customHeight="1">
      <c r="A76" t="inlineStr">
        <is>
          <t>A 55646-2023</t>
        </is>
      </c>
      <c r="B76" s="1" t="n">
        <v>45238</v>
      </c>
      <c r="C76" s="1" t="n">
        <v>46084</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2193-2026</t>
        </is>
      </c>
      <c r="B77" s="1" t="n">
        <v>46036.46946759259</v>
      </c>
      <c r="C77" s="1" t="n">
        <v>46084</v>
      </c>
      <c r="D77" t="inlineStr">
        <is>
          <t>JÄMTLANDS LÄN</t>
        </is>
      </c>
      <c r="E77" t="inlineStr">
        <is>
          <t>RAGUNDA</t>
        </is>
      </c>
      <c r="F77" t="inlineStr">
        <is>
          <t>SCA</t>
        </is>
      </c>
      <c r="G77" t="n">
        <v>2.4</v>
      </c>
      <c r="H77" t="n">
        <v>1</v>
      </c>
      <c r="I77" t="n">
        <v>1</v>
      </c>
      <c r="J77" t="n">
        <v>4</v>
      </c>
      <c r="K77" t="n">
        <v>1</v>
      </c>
      <c r="L77" t="n">
        <v>0</v>
      </c>
      <c r="M77" t="n">
        <v>0</v>
      </c>
      <c r="N77" t="n">
        <v>0</v>
      </c>
      <c r="O77" t="n">
        <v>5</v>
      </c>
      <c r="P77" t="n">
        <v>1</v>
      </c>
      <c r="Q77" t="n">
        <v>6</v>
      </c>
      <c r="R77" s="2" t="inlineStr">
        <is>
          <t>Knärot
Garnlav
Lunglav
Rosenticka
Ullticka
Luddlav</t>
        </is>
      </c>
      <c r="S77">
        <f>HYPERLINK("https://klasma.github.io/Logging_2303/artfynd/A 2193-2026 artfynd.xlsx", "A 2193-2026")</f>
        <v/>
      </c>
      <c r="T77">
        <f>HYPERLINK("https://klasma.github.io/Logging_2303/kartor/A 2193-2026 karta.png", "A 2193-2026")</f>
        <v/>
      </c>
      <c r="U77">
        <f>HYPERLINK("https://klasma.github.io/Logging_2303/knärot/A 2193-2026 karta knärot.png", "A 2193-2026")</f>
        <v/>
      </c>
      <c r="V77">
        <f>HYPERLINK("https://klasma.github.io/Logging_2303/klagomål/A 2193-2026 FSC-klagomål.docx", "A 2193-2026")</f>
        <v/>
      </c>
      <c r="W77">
        <f>HYPERLINK("https://klasma.github.io/Logging_2303/klagomålsmail/A 2193-2026 FSC-klagomål mail.docx", "A 2193-2026")</f>
        <v/>
      </c>
      <c r="X77">
        <f>HYPERLINK("https://klasma.github.io/Logging_2303/tillsyn/A 2193-2026 tillsynsbegäran.docx", "A 2193-2026")</f>
        <v/>
      </c>
      <c r="Y77">
        <f>HYPERLINK("https://klasma.github.io/Logging_2303/tillsynsmail/A 2193-2026 tillsynsbegäran mail.docx", "A 2193-2026")</f>
        <v/>
      </c>
    </row>
    <row r="78" ht="15" customHeight="1">
      <c r="A78" t="inlineStr">
        <is>
          <t>A 47115-2025</t>
        </is>
      </c>
      <c r="B78" s="1" t="n">
        <v>45929</v>
      </c>
      <c r="C78" s="1" t="n">
        <v>46084</v>
      </c>
      <c r="D78" t="inlineStr">
        <is>
          <t>JÄMTLANDS LÄN</t>
        </is>
      </c>
      <c r="E78" t="inlineStr">
        <is>
          <t>RAGUNDA</t>
        </is>
      </c>
      <c r="G78" t="n">
        <v>6.4</v>
      </c>
      <c r="H78" t="n">
        <v>4</v>
      </c>
      <c r="I78" t="n">
        <v>0</v>
      </c>
      <c r="J78" t="n">
        <v>3</v>
      </c>
      <c r="K78" t="n">
        <v>2</v>
      </c>
      <c r="L78" t="n">
        <v>0</v>
      </c>
      <c r="M78" t="n">
        <v>0</v>
      </c>
      <c r="N78" t="n">
        <v>0</v>
      </c>
      <c r="O78" t="n">
        <v>5</v>
      </c>
      <c r="P78" t="n">
        <v>2</v>
      </c>
      <c r="Q78" t="n">
        <v>6</v>
      </c>
      <c r="R78" s="2" t="inlineStr">
        <is>
          <t>Doftticka
Knärot
Garnlav
Lunglav
Tretåig hackspett
Lavskrika</t>
        </is>
      </c>
      <c r="S78">
        <f>HYPERLINK("https://klasma.github.io/Logging_2303/artfynd/A 47115-2025 artfynd.xlsx", "A 47115-2025")</f>
        <v/>
      </c>
      <c r="T78">
        <f>HYPERLINK("https://klasma.github.io/Logging_2303/kartor/A 47115-2025 karta.png", "A 47115-2025")</f>
        <v/>
      </c>
      <c r="U78">
        <f>HYPERLINK("https://klasma.github.io/Logging_2303/knärot/A 47115-2025 karta knärot.png", "A 47115-2025")</f>
        <v/>
      </c>
      <c r="V78">
        <f>HYPERLINK("https://klasma.github.io/Logging_2303/klagomål/A 47115-2025 FSC-klagomål.docx", "A 47115-2025")</f>
        <v/>
      </c>
      <c r="W78">
        <f>HYPERLINK("https://klasma.github.io/Logging_2303/klagomålsmail/A 47115-2025 FSC-klagomål mail.docx", "A 47115-2025")</f>
        <v/>
      </c>
      <c r="X78">
        <f>HYPERLINK("https://klasma.github.io/Logging_2303/tillsyn/A 47115-2025 tillsynsbegäran.docx", "A 47115-2025")</f>
        <v/>
      </c>
      <c r="Y78">
        <f>HYPERLINK("https://klasma.github.io/Logging_2303/tillsynsmail/A 47115-2025 tillsynsbegäran mail.docx", "A 47115-2025")</f>
        <v/>
      </c>
      <c r="Z78">
        <f>HYPERLINK("https://klasma.github.io/Logging_2303/fåglar/A 47115-2025 prioriterade fågelarter.docx", "A 47115-2025")</f>
        <v/>
      </c>
    </row>
    <row r="79" ht="15" customHeight="1">
      <c r="A79" t="inlineStr">
        <is>
          <t>A 34317-2025</t>
        </is>
      </c>
      <c r="B79" s="1" t="n">
        <v>45846</v>
      </c>
      <c r="C79" s="1" t="n">
        <v>46084</v>
      </c>
      <c r="D79" t="inlineStr">
        <is>
          <t>JÄMTLANDS LÄN</t>
        </is>
      </c>
      <c r="E79" t="inlineStr">
        <is>
          <t>RAGUNDA</t>
        </is>
      </c>
      <c r="G79" t="n">
        <v>8.300000000000001</v>
      </c>
      <c r="H79" t="n">
        <v>2</v>
      </c>
      <c r="I79" t="n">
        <v>1</v>
      </c>
      <c r="J79" t="n">
        <v>4</v>
      </c>
      <c r="K79" t="n">
        <v>1</v>
      </c>
      <c r="L79" t="n">
        <v>0</v>
      </c>
      <c r="M79" t="n">
        <v>0</v>
      </c>
      <c r="N79" t="n">
        <v>0</v>
      </c>
      <c r="O79" t="n">
        <v>5</v>
      </c>
      <c r="P79" t="n">
        <v>1</v>
      </c>
      <c r="Q79" t="n">
        <v>6</v>
      </c>
      <c r="R79" s="2" t="inlineStr">
        <is>
          <t>Knärot
Garnlav
Lunglav
Nordtagging
Talltita
Skinnlav</t>
        </is>
      </c>
      <c r="S79">
        <f>HYPERLINK("https://klasma.github.io/Logging_2303/artfynd/A 34317-2025 artfynd.xlsx", "A 34317-2025")</f>
        <v/>
      </c>
      <c r="T79">
        <f>HYPERLINK("https://klasma.github.io/Logging_2303/kartor/A 34317-2025 karta.png", "A 34317-2025")</f>
        <v/>
      </c>
      <c r="U79">
        <f>HYPERLINK("https://klasma.github.io/Logging_2303/knärot/A 34317-2025 karta knärot.png", "A 34317-2025")</f>
        <v/>
      </c>
      <c r="V79">
        <f>HYPERLINK("https://klasma.github.io/Logging_2303/klagomål/A 34317-2025 FSC-klagomål.docx", "A 34317-2025")</f>
        <v/>
      </c>
      <c r="W79">
        <f>HYPERLINK("https://klasma.github.io/Logging_2303/klagomålsmail/A 34317-2025 FSC-klagomål mail.docx", "A 34317-2025")</f>
        <v/>
      </c>
      <c r="X79">
        <f>HYPERLINK("https://klasma.github.io/Logging_2303/tillsyn/A 34317-2025 tillsynsbegäran.docx", "A 34317-2025")</f>
        <v/>
      </c>
      <c r="Y79">
        <f>HYPERLINK("https://klasma.github.io/Logging_2303/tillsynsmail/A 34317-2025 tillsynsbegäran mail.docx", "A 34317-2025")</f>
        <v/>
      </c>
      <c r="Z79">
        <f>HYPERLINK("https://klasma.github.io/Logging_2303/fåglar/A 34317-2025 prioriterade fågelarter.docx", "A 34317-2025")</f>
        <v/>
      </c>
    </row>
    <row r="80" ht="15" customHeight="1">
      <c r="A80" t="inlineStr">
        <is>
          <t>A 30637-2024</t>
        </is>
      </c>
      <c r="B80" s="1" t="n">
        <v>45495</v>
      </c>
      <c r="C80" s="1" t="n">
        <v>46084</v>
      </c>
      <c r="D80" t="inlineStr">
        <is>
          <t>JÄMTLANDS LÄN</t>
        </is>
      </c>
      <c r="E80" t="inlineStr">
        <is>
          <t>RAGUNDA</t>
        </is>
      </c>
      <c r="G80" t="n">
        <v>4.1</v>
      </c>
      <c r="H80" t="n">
        <v>5</v>
      </c>
      <c r="I80" t="n">
        <v>0</v>
      </c>
      <c r="J80" t="n">
        <v>4</v>
      </c>
      <c r="K80" t="n">
        <v>1</v>
      </c>
      <c r="L80" t="n">
        <v>0</v>
      </c>
      <c r="M80" t="n">
        <v>0</v>
      </c>
      <c r="N80" t="n">
        <v>0</v>
      </c>
      <c r="O80" t="n">
        <v>5</v>
      </c>
      <c r="P80" t="n">
        <v>1</v>
      </c>
      <c r="Q80" t="n">
        <v>6</v>
      </c>
      <c r="R80" s="2" t="inlineStr">
        <is>
          <t>Knärot
Lunglav
Spillkråka
Talltita
Tretåig hackspett
Vanlig groda</t>
        </is>
      </c>
      <c r="S80">
        <f>HYPERLINK("https://klasma.github.io/Logging_2303/artfynd/A 30637-2024 artfynd.xlsx", "A 30637-2024")</f>
        <v/>
      </c>
      <c r="T80">
        <f>HYPERLINK("https://klasma.github.io/Logging_2303/kartor/A 30637-2024 karta.png", "A 30637-2024")</f>
        <v/>
      </c>
      <c r="U80">
        <f>HYPERLINK("https://klasma.github.io/Logging_2303/knärot/A 30637-2024 karta knärot.png", "A 30637-2024")</f>
        <v/>
      </c>
      <c r="V80">
        <f>HYPERLINK("https://klasma.github.io/Logging_2303/klagomål/A 30637-2024 FSC-klagomål.docx", "A 30637-2024")</f>
        <v/>
      </c>
      <c r="W80">
        <f>HYPERLINK("https://klasma.github.io/Logging_2303/klagomålsmail/A 30637-2024 FSC-klagomål mail.docx", "A 30637-2024")</f>
        <v/>
      </c>
      <c r="X80">
        <f>HYPERLINK("https://klasma.github.io/Logging_2303/tillsyn/A 30637-2024 tillsynsbegäran.docx", "A 30637-2024")</f>
        <v/>
      </c>
      <c r="Y80">
        <f>HYPERLINK("https://klasma.github.io/Logging_2303/tillsynsmail/A 30637-2024 tillsynsbegäran mail.docx", "A 30637-2024")</f>
        <v/>
      </c>
      <c r="Z80">
        <f>HYPERLINK("https://klasma.github.io/Logging_2303/fåglar/A 30637-2024 prioriterade fågelarter.docx", "A 30637-2024")</f>
        <v/>
      </c>
    </row>
    <row r="81" ht="15" customHeight="1">
      <c r="A81" t="inlineStr">
        <is>
          <t>A 53021-2022</t>
        </is>
      </c>
      <c r="B81" s="1" t="n">
        <v>44875</v>
      </c>
      <c r="C81" s="1" t="n">
        <v>46084</v>
      </c>
      <c r="D81" t="inlineStr">
        <is>
          <t>JÄMTLANDS LÄN</t>
        </is>
      </c>
      <c r="E81" t="inlineStr">
        <is>
          <t>RAGUNDA</t>
        </is>
      </c>
      <c r="F81" t="inlineStr">
        <is>
          <t>SCA</t>
        </is>
      </c>
      <c r="G81" t="n">
        <v>6.1</v>
      </c>
      <c r="H81" t="n">
        <v>0</v>
      </c>
      <c r="I81" t="n">
        <v>2</v>
      </c>
      <c r="J81" t="n">
        <v>4</v>
      </c>
      <c r="K81" t="n">
        <v>0</v>
      </c>
      <c r="L81" t="n">
        <v>0</v>
      </c>
      <c r="M81" t="n">
        <v>0</v>
      </c>
      <c r="N81" t="n">
        <v>0</v>
      </c>
      <c r="O81" t="n">
        <v>4</v>
      </c>
      <c r="P81" t="n">
        <v>0</v>
      </c>
      <c r="Q81" t="n">
        <v>6</v>
      </c>
      <c r="R81" s="2" t="inlineStr">
        <is>
          <t>Gammelgransskål
Garnlav
Granticka
Vitgrynig nållav
Bollvitmossa
Ögonpyrola</t>
        </is>
      </c>
      <c r="S81">
        <f>HYPERLINK("https://klasma.github.io/Logging_2303/artfynd/A 53021-2022 artfynd.xlsx", "A 53021-2022")</f>
        <v/>
      </c>
      <c r="T81">
        <f>HYPERLINK("https://klasma.github.io/Logging_2303/kartor/A 53021-2022 karta.png", "A 53021-2022")</f>
        <v/>
      </c>
      <c r="V81">
        <f>HYPERLINK("https://klasma.github.io/Logging_2303/klagomål/A 53021-2022 FSC-klagomål.docx", "A 53021-2022")</f>
        <v/>
      </c>
      <c r="W81">
        <f>HYPERLINK("https://klasma.github.io/Logging_2303/klagomålsmail/A 53021-2022 FSC-klagomål mail.docx", "A 53021-2022")</f>
        <v/>
      </c>
      <c r="X81">
        <f>HYPERLINK("https://klasma.github.io/Logging_2303/tillsyn/A 53021-2022 tillsynsbegäran.docx", "A 53021-2022")</f>
        <v/>
      </c>
      <c r="Y81">
        <f>HYPERLINK("https://klasma.github.io/Logging_2303/tillsynsmail/A 53021-2022 tillsynsbegäran mail.docx", "A 53021-2022")</f>
        <v/>
      </c>
    </row>
    <row r="82" ht="15" customHeight="1">
      <c r="A82" t="inlineStr">
        <is>
          <t>A 21037-2021</t>
        </is>
      </c>
      <c r="B82" s="1" t="n">
        <v>44319</v>
      </c>
      <c r="C82" s="1" t="n">
        <v>46084</v>
      </c>
      <c r="D82" t="inlineStr">
        <is>
          <t>JÄMTLANDS LÄN</t>
        </is>
      </c>
      <c r="E82" t="inlineStr">
        <is>
          <t>RAGUNDA</t>
        </is>
      </c>
      <c r="F82" t="inlineStr">
        <is>
          <t>Kyrkan</t>
        </is>
      </c>
      <c r="G82" t="n">
        <v>0.8</v>
      </c>
      <c r="H82" t="n">
        <v>0</v>
      </c>
      <c r="I82" t="n">
        <v>2</v>
      </c>
      <c r="J82" t="n">
        <v>3</v>
      </c>
      <c r="K82" t="n">
        <v>0</v>
      </c>
      <c r="L82" t="n">
        <v>0</v>
      </c>
      <c r="M82" t="n">
        <v>0</v>
      </c>
      <c r="N82" t="n">
        <v>0</v>
      </c>
      <c r="O82" t="n">
        <v>3</v>
      </c>
      <c r="P82" t="n">
        <v>0</v>
      </c>
      <c r="Q82" t="n">
        <v>5</v>
      </c>
      <c r="R82" s="2" t="inlineStr">
        <is>
          <t>Olivbrun gytterlav
Persiljespindling
Stickelfrö
Grov baronmossa
Guldlockmossa</t>
        </is>
      </c>
      <c r="S82">
        <f>HYPERLINK("https://klasma.github.io/Logging_2303/artfynd/A 21037-2021 artfynd.xlsx", "A 21037-2021")</f>
        <v/>
      </c>
      <c r="T82">
        <f>HYPERLINK("https://klasma.github.io/Logging_2303/kartor/A 21037-2021 karta.png", "A 21037-2021")</f>
        <v/>
      </c>
      <c r="V82">
        <f>HYPERLINK("https://klasma.github.io/Logging_2303/klagomål/A 21037-2021 FSC-klagomål.docx", "A 21037-2021")</f>
        <v/>
      </c>
      <c r="W82">
        <f>HYPERLINK("https://klasma.github.io/Logging_2303/klagomålsmail/A 21037-2021 FSC-klagomål mail.docx", "A 21037-2021")</f>
        <v/>
      </c>
      <c r="X82">
        <f>HYPERLINK("https://klasma.github.io/Logging_2303/tillsyn/A 21037-2021 tillsynsbegäran.docx", "A 21037-2021")</f>
        <v/>
      </c>
      <c r="Y82">
        <f>HYPERLINK("https://klasma.github.io/Logging_2303/tillsynsmail/A 21037-2021 tillsynsbegäran mail.docx", "A 21037-2021")</f>
        <v/>
      </c>
    </row>
    <row r="83" ht="15" customHeight="1">
      <c r="A83" t="inlineStr">
        <is>
          <t>A 14908-2022</t>
        </is>
      </c>
      <c r="B83" s="1" t="n">
        <v>44656</v>
      </c>
      <c r="C83" s="1" t="n">
        <v>46084</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15379-2024</t>
        </is>
      </c>
      <c r="B84" s="1" t="n">
        <v>45400.94002314815</v>
      </c>
      <c r="C84" s="1" t="n">
        <v>46084</v>
      </c>
      <c r="D84" t="inlineStr">
        <is>
          <t>JÄMTLANDS LÄN</t>
        </is>
      </c>
      <c r="E84" t="inlineStr">
        <is>
          <t>RAGUNDA</t>
        </is>
      </c>
      <c r="F84" t="inlineStr">
        <is>
          <t>SCA</t>
        </is>
      </c>
      <c r="G84" t="n">
        <v>4.2</v>
      </c>
      <c r="H84" t="n">
        <v>3</v>
      </c>
      <c r="I84" t="n">
        <v>3</v>
      </c>
      <c r="J84" t="n">
        <v>0</v>
      </c>
      <c r="K84" t="n">
        <v>1</v>
      </c>
      <c r="L84" t="n">
        <v>0</v>
      </c>
      <c r="M84" t="n">
        <v>0</v>
      </c>
      <c r="N84" t="n">
        <v>0</v>
      </c>
      <c r="O84" t="n">
        <v>1</v>
      </c>
      <c r="P84" t="n">
        <v>1</v>
      </c>
      <c r="Q84" t="n">
        <v>5</v>
      </c>
      <c r="R84" s="2" t="inlineStr">
        <is>
          <t>Knärot
Finbräken
Guckusko
Svavelriska
Blåsippa</t>
        </is>
      </c>
      <c r="S84">
        <f>HYPERLINK("https://klasma.github.io/Logging_2303/artfynd/A 15379-2024 artfynd.xlsx", "A 15379-2024")</f>
        <v/>
      </c>
      <c r="T84">
        <f>HYPERLINK("https://klasma.github.io/Logging_2303/kartor/A 15379-2024 karta.png", "A 15379-2024")</f>
        <v/>
      </c>
      <c r="U84">
        <f>HYPERLINK("https://klasma.github.io/Logging_2303/knärot/A 15379-2024 karta knärot.png", "A 15379-2024")</f>
        <v/>
      </c>
      <c r="V84">
        <f>HYPERLINK("https://klasma.github.io/Logging_2303/klagomål/A 15379-2024 FSC-klagomål.docx", "A 15379-2024")</f>
        <v/>
      </c>
      <c r="W84">
        <f>HYPERLINK("https://klasma.github.io/Logging_2303/klagomålsmail/A 15379-2024 FSC-klagomål mail.docx", "A 15379-2024")</f>
        <v/>
      </c>
      <c r="X84">
        <f>HYPERLINK("https://klasma.github.io/Logging_2303/tillsyn/A 15379-2024 tillsynsbegäran.docx", "A 15379-2024")</f>
        <v/>
      </c>
      <c r="Y84">
        <f>HYPERLINK("https://klasma.github.io/Logging_2303/tillsynsmail/A 15379-2024 tillsynsbegäran mail.docx", "A 15379-2024")</f>
        <v/>
      </c>
    </row>
    <row r="85" ht="15" customHeight="1">
      <c r="A85" t="inlineStr">
        <is>
          <t>A 45969-2023</t>
        </is>
      </c>
      <c r="B85" s="1" t="n">
        <v>45195</v>
      </c>
      <c r="C85" s="1" t="n">
        <v>46084</v>
      </c>
      <c r="D85" t="inlineStr">
        <is>
          <t>JÄMTLANDS LÄN</t>
        </is>
      </c>
      <c r="E85" t="inlineStr">
        <is>
          <t>RAGUNDA</t>
        </is>
      </c>
      <c r="F85" t="inlineStr">
        <is>
          <t>SCA</t>
        </is>
      </c>
      <c r="G85" t="n">
        <v>9.300000000000001</v>
      </c>
      <c r="H85" t="n">
        <v>1</v>
      </c>
      <c r="I85" t="n">
        <v>4</v>
      </c>
      <c r="J85" t="n">
        <v>1</v>
      </c>
      <c r="K85" t="n">
        <v>0</v>
      </c>
      <c r="L85" t="n">
        <v>0</v>
      </c>
      <c r="M85" t="n">
        <v>0</v>
      </c>
      <c r="N85" t="n">
        <v>0</v>
      </c>
      <c r="O85" t="n">
        <v>1</v>
      </c>
      <c r="P85" t="n">
        <v>0</v>
      </c>
      <c r="Q85" t="n">
        <v>5</v>
      </c>
      <c r="R85" s="2" t="inlineStr">
        <is>
          <t>Lunglav
Dropptaggsvamp
Grönpyrola
Plattlummer
Skarp dropptaggsvamp</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39974-2025</t>
        </is>
      </c>
      <c r="B86" s="1" t="n">
        <v>45893.38599537037</v>
      </c>
      <c r="C86" s="1" t="n">
        <v>46084</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43106-2023</t>
        </is>
      </c>
      <c r="B87" s="1" t="n">
        <v>45182</v>
      </c>
      <c r="C87" s="1" t="n">
        <v>46084</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30886-2025</t>
        </is>
      </c>
      <c r="B88" s="1" t="n">
        <v>45832.34578703704</v>
      </c>
      <c r="C88" s="1" t="n">
        <v>46084</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35344-2025</t>
        </is>
      </c>
      <c r="B89" s="1" t="n">
        <v>45854.61494212963</v>
      </c>
      <c r="C89" s="1" t="n">
        <v>46084</v>
      </c>
      <c r="D89" t="inlineStr">
        <is>
          <t>JÄMTLANDS LÄN</t>
        </is>
      </c>
      <c r="E89" t="inlineStr">
        <is>
          <t>RAGUNDA</t>
        </is>
      </c>
      <c r="F89" t="inlineStr">
        <is>
          <t>SCA</t>
        </is>
      </c>
      <c r="G89" t="n">
        <v>6.1</v>
      </c>
      <c r="H89" t="n">
        <v>0</v>
      </c>
      <c r="I89" t="n">
        <v>0</v>
      </c>
      <c r="J89" t="n">
        <v>5</v>
      </c>
      <c r="K89" t="n">
        <v>0</v>
      </c>
      <c r="L89" t="n">
        <v>0</v>
      </c>
      <c r="M89" t="n">
        <v>0</v>
      </c>
      <c r="N89" t="n">
        <v>0</v>
      </c>
      <c r="O89" t="n">
        <v>5</v>
      </c>
      <c r="P89" t="n">
        <v>0</v>
      </c>
      <c r="Q89" t="n">
        <v>5</v>
      </c>
      <c r="R89" s="2" t="inlineStr">
        <is>
          <t>Blå taggsvamp
Garnlav
Lunglav
Svart taggsvamp agg.
Vedtrappmossa</t>
        </is>
      </c>
      <c r="S89">
        <f>HYPERLINK("https://klasma.github.io/Logging_2303/artfynd/A 35344-2025 artfynd.xlsx", "A 35344-2025")</f>
        <v/>
      </c>
      <c r="T89">
        <f>HYPERLINK("https://klasma.github.io/Logging_2303/kartor/A 35344-2025 karta.png", "A 35344-2025")</f>
        <v/>
      </c>
      <c r="V89">
        <f>HYPERLINK("https://klasma.github.io/Logging_2303/klagomål/A 35344-2025 FSC-klagomål.docx", "A 35344-2025")</f>
        <v/>
      </c>
      <c r="W89">
        <f>HYPERLINK("https://klasma.github.io/Logging_2303/klagomålsmail/A 35344-2025 FSC-klagomål mail.docx", "A 35344-2025")</f>
        <v/>
      </c>
      <c r="X89">
        <f>HYPERLINK("https://klasma.github.io/Logging_2303/tillsyn/A 35344-2025 tillsynsbegäran.docx", "A 35344-2025")</f>
        <v/>
      </c>
      <c r="Y89">
        <f>HYPERLINK("https://klasma.github.io/Logging_2303/tillsynsmail/A 35344-2025 tillsynsbegäran mail.docx", "A 35344-2025")</f>
        <v/>
      </c>
    </row>
    <row r="90" ht="15" customHeight="1">
      <c r="A90" t="inlineStr">
        <is>
          <t>A 2579-2025</t>
        </is>
      </c>
      <c r="B90" s="1" t="n">
        <v>45674.67744212963</v>
      </c>
      <c r="C90" s="1" t="n">
        <v>46084</v>
      </c>
      <c r="D90" t="inlineStr">
        <is>
          <t>JÄMTLANDS LÄN</t>
        </is>
      </c>
      <c r="E90" t="inlineStr">
        <is>
          <t>RAGUNDA</t>
        </is>
      </c>
      <c r="F90" t="inlineStr">
        <is>
          <t>SCA</t>
        </is>
      </c>
      <c r="G90" t="n">
        <v>5.5</v>
      </c>
      <c r="H90" t="n">
        <v>3</v>
      </c>
      <c r="I90" t="n">
        <v>0</v>
      </c>
      <c r="J90" t="n">
        <v>4</v>
      </c>
      <c r="K90" t="n">
        <v>0</v>
      </c>
      <c r="L90" t="n">
        <v>0</v>
      </c>
      <c r="M90" t="n">
        <v>0</v>
      </c>
      <c r="N90" t="n">
        <v>0</v>
      </c>
      <c r="O90" t="n">
        <v>4</v>
      </c>
      <c r="P90" t="n">
        <v>0</v>
      </c>
      <c r="Q90" t="n">
        <v>5</v>
      </c>
      <c r="R90" s="2" t="inlineStr">
        <is>
          <t>Granticka
Rosenticka
Rördrom
Spillkråka
Revlummer</t>
        </is>
      </c>
      <c r="S90">
        <f>HYPERLINK("https://klasma.github.io/Logging_2303/artfynd/A 2579-2025 artfynd.xlsx", "A 2579-2025")</f>
        <v/>
      </c>
      <c r="T90">
        <f>HYPERLINK("https://klasma.github.io/Logging_2303/kartor/A 2579-2025 karta.png", "A 2579-2025")</f>
        <v/>
      </c>
      <c r="V90">
        <f>HYPERLINK("https://klasma.github.io/Logging_2303/klagomål/A 2579-2025 FSC-klagomål.docx", "A 2579-2025")</f>
        <v/>
      </c>
      <c r="W90">
        <f>HYPERLINK("https://klasma.github.io/Logging_2303/klagomålsmail/A 2579-2025 FSC-klagomål mail.docx", "A 2579-2025")</f>
        <v/>
      </c>
      <c r="X90">
        <f>HYPERLINK("https://klasma.github.io/Logging_2303/tillsyn/A 2579-2025 tillsynsbegäran.docx", "A 2579-2025")</f>
        <v/>
      </c>
      <c r="Y90">
        <f>HYPERLINK("https://klasma.github.io/Logging_2303/tillsynsmail/A 2579-2025 tillsynsbegäran mail.docx", "A 2579-2025")</f>
        <v/>
      </c>
      <c r="Z90">
        <f>HYPERLINK("https://klasma.github.io/Logging_2303/fåglar/A 2579-2025 prioriterade fågelarter.docx", "A 2579-2025")</f>
        <v/>
      </c>
    </row>
    <row r="91" ht="15" customHeight="1">
      <c r="A91" t="inlineStr">
        <is>
          <t>A 60683-2022</t>
        </is>
      </c>
      <c r="B91" s="1" t="n">
        <v>44911</v>
      </c>
      <c r="C91" s="1" t="n">
        <v>46084</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39365-2024</t>
        </is>
      </c>
      <c r="B92" s="1" t="n">
        <v>45551.46912037037</v>
      </c>
      <c r="C92" s="1" t="n">
        <v>46084</v>
      </c>
      <c r="D92" t="inlineStr">
        <is>
          <t>JÄMTLANDS LÄN</t>
        </is>
      </c>
      <c r="E92" t="inlineStr">
        <is>
          <t>RAGUNDA</t>
        </is>
      </c>
      <c r="F92" t="inlineStr">
        <is>
          <t>SCA</t>
        </is>
      </c>
      <c r="G92" t="n">
        <v>7.3</v>
      </c>
      <c r="H92" t="n">
        <v>0</v>
      </c>
      <c r="I92" t="n">
        <v>3</v>
      </c>
      <c r="J92" t="n">
        <v>2</v>
      </c>
      <c r="K92" t="n">
        <v>0</v>
      </c>
      <c r="L92" t="n">
        <v>0</v>
      </c>
      <c r="M92" t="n">
        <v>0</v>
      </c>
      <c r="N92" t="n">
        <v>0</v>
      </c>
      <c r="O92" t="n">
        <v>2</v>
      </c>
      <c r="P92" t="n">
        <v>0</v>
      </c>
      <c r="Q92" t="n">
        <v>5</v>
      </c>
      <c r="R92" s="2" t="inlineStr">
        <is>
          <t>Lunglav
Ullticka
Korallblylav
Stor aspticka
Vedticka</t>
        </is>
      </c>
      <c r="S92">
        <f>HYPERLINK("https://klasma.github.io/Logging_2303/artfynd/A 39365-2024 artfynd.xlsx", "A 39365-2024")</f>
        <v/>
      </c>
      <c r="T92">
        <f>HYPERLINK("https://klasma.github.io/Logging_2303/kartor/A 39365-2024 karta.png", "A 39365-2024")</f>
        <v/>
      </c>
      <c r="U92">
        <f>HYPERLINK("https://klasma.github.io/Logging_2303/knärot/A 39365-2024 karta knärot.png", "A 39365-2024")</f>
        <v/>
      </c>
      <c r="V92">
        <f>HYPERLINK("https://klasma.github.io/Logging_2303/klagomål/A 39365-2024 FSC-klagomål.docx", "A 39365-2024")</f>
        <v/>
      </c>
      <c r="W92">
        <f>HYPERLINK("https://klasma.github.io/Logging_2303/klagomålsmail/A 39365-2024 FSC-klagomål mail.docx", "A 39365-2024")</f>
        <v/>
      </c>
      <c r="X92">
        <f>HYPERLINK("https://klasma.github.io/Logging_2303/tillsyn/A 39365-2024 tillsynsbegäran.docx", "A 39365-2024")</f>
        <v/>
      </c>
      <c r="Y92">
        <f>HYPERLINK("https://klasma.github.io/Logging_2303/tillsynsmail/A 39365-2024 tillsynsbegäran mail.docx", "A 39365-2024")</f>
        <v/>
      </c>
    </row>
    <row r="93" ht="15" customHeight="1">
      <c r="A93" t="inlineStr">
        <is>
          <t>A 18629-2024</t>
        </is>
      </c>
      <c r="B93" s="1" t="n">
        <v>45425.96472222222</v>
      </c>
      <c r="C93" s="1" t="n">
        <v>46084</v>
      </c>
      <c r="D93" t="inlineStr">
        <is>
          <t>JÄMTLANDS LÄN</t>
        </is>
      </c>
      <c r="E93" t="inlineStr">
        <is>
          <t>RAGUNDA</t>
        </is>
      </c>
      <c r="F93" t="inlineStr">
        <is>
          <t>SCA</t>
        </is>
      </c>
      <c r="G93" t="n">
        <v>1.6</v>
      </c>
      <c r="H93" t="n">
        <v>2</v>
      </c>
      <c r="I93" t="n">
        <v>1</v>
      </c>
      <c r="J93" t="n">
        <v>3</v>
      </c>
      <c r="K93" t="n">
        <v>0</v>
      </c>
      <c r="L93" t="n">
        <v>0</v>
      </c>
      <c r="M93" t="n">
        <v>0</v>
      </c>
      <c r="N93" t="n">
        <v>0</v>
      </c>
      <c r="O93" t="n">
        <v>3</v>
      </c>
      <c r="P93" t="n">
        <v>0</v>
      </c>
      <c r="Q93" t="n">
        <v>5</v>
      </c>
      <c r="R93" s="2" t="inlineStr">
        <is>
          <t>Garnlav
Lunglav
Tretåig hackspett
Stuplav
Fläcknycklar</t>
        </is>
      </c>
      <c r="S93">
        <f>HYPERLINK("https://klasma.github.io/Logging_2303/artfynd/A 18629-2024 artfynd.xlsx", "A 18629-2024")</f>
        <v/>
      </c>
      <c r="T93">
        <f>HYPERLINK("https://klasma.github.io/Logging_2303/kartor/A 18629-2024 karta.png", "A 18629-2024")</f>
        <v/>
      </c>
      <c r="V93">
        <f>HYPERLINK("https://klasma.github.io/Logging_2303/klagomål/A 18629-2024 FSC-klagomål.docx", "A 18629-2024")</f>
        <v/>
      </c>
      <c r="W93">
        <f>HYPERLINK("https://klasma.github.io/Logging_2303/klagomålsmail/A 18629-2024 FSC-klagomål mail.docx", "A 18629-2024")</f>
        <v/>
      </c>
      <c r="X93">
        <f>HYPERLINK("https://klasma.github.io/Logging_2303/tillsyn/A 18629-2024 tillsynsbegäran.docx", "A 18629-2024")</f>
        <v/>
      </c>
      <c r="Y93">
        <f>HYPERLINK("https://klasma.github.io/Logging_2303/tillsynsmail/A 18629-2024 tillsynsbegäran mail.docx", "A 18629-2024")</f>
        <v/>
      </c>
      <c r="Z93">
        <f>HYPERLINK("https://klasma.github.io/Logging_2303/fåglar/A 18629-2024 prioriterade fågelarter.docx", "A 18629-2024")</f>
        <v/>
      </c>
    </row>
    <row r="94" ht="15" customHeight="1">
      <c r="A94" t="inlineStr">
        <is>
          <t>A 15244-2025</t>
        </is>
      </c>
      <c r="B94" s="1" t="n">
        <v>45744.61550925926</v>
      </c>
      <c r="C94" s="1" t="n">
        <v>46084</v>
      </c>
      <c r="D94" t="inlineStr">
        <is>
          <t>JÄMTLANDS LÄN</t>
        </is>
      </c>
      <c r="E94" t="inlineStr">
        <is>
          <t>RAGUNDA</t>
        </is>
      </c>
      <c r="F94" t="inlineStr">
        <is>
          <t>SCA</t>
        </is>
      </c>
      <c r="G94" t="n">
        <v>2.6</v>
      </c>
      <c r="H94" t="n">
        <v>0</v>
      </c>
      <c r="I94" t="n">
        <v>2</v>
      </c>
      <c r="J94" t="n">
        <v>3</v>
      </c>
      <c r="K94" t="n">
        <v>0</v>
      </c>
      <c r="L94" t="n">
        <v>0</v>
      </c>
      <c r="M94" t="n">
        <v>0</v>
      </c>
      <c r="N94" t="n">
        <v>0</v>
      </c>
      <c r="O94" t="n">
        <v>3</v>
      </c>
      <c r="P94" t="n">
        <v>0</v>
      </c>
      <c r="Q94" t="n">
        <v>5</v>
      </c>
      <c r="R94" s="2" t="inlineStr">
        <is>
          <t>Garnlav
Rosenticka
Ullticka
Stuplav
Vedticka</t>
        </is>
      </c>
      <c r="S94">
        <f>HYPERLINK("https://klasma.github.io/Logging_2303/artfynd/A 15244-2025 artfynd.xlsx", "A 15244-2025")</f>
        <v/>
      </c>
      <c r="T94">
        <f>HYPERLINK("https://klasma.github.io/Logging_2303/kartor/A 15244-2025 karta.png", "A 15244-2025")</f>
        <v/>
      </c>
      <c r="V94">
        <f>HYPERLINK("https://klasma.github.io/Logging_2303/klagomål/A 15244-2025 FSC-klagomål.docx", "A 15244-2025")</f>
        <v/>
      </c>
      <c r="W94">
        <f>HYPERLINK("https://klasma.github.io/Logging_2303/klagomålsmail/A 15244-2025 FSC-klagomål mail.docx", "A 15244-2025")</f>
        <v/>
      </c>
      <c r="X94">
        <f>HYPERLINK("https://klasma.github.io/Logging_2303/tillsyn/A 15244-2025 tillsynsbegäran.docx", "A 15244-2025")</f>
        <v/>
      </c>
      <c r="Y94">
        <f>HYPERLINK("https://klasma.github.io/Logging_2303/tillsynsmail/A 15244-2025 tillsynsbegäran mail.docx", "A 15244-2025")</f>
        <v/>
      </c>
    </row>
    <row r="95" ht="15" customHeight="1">
      <c r="A95" t="inlineStr">
        <is>
          <t>A 57073-2023</t>
        </is>
      </c>
      <c r="B95" s="1" t="n">
        <v>45244</v>
      </c>
      <c r="C95" s="1" t="n">
        <v>46084</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Läderlappslav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22469-2024</t>
        </is>
      </c>
      <c r="B96" s="1" t="n">
        <v>45446.95087962963</v>
      </c>
      <c r="C96" s="1" t="n">
        <v>46084</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27313-2024</t>
        </is>
      </c>
      <c r="B97" s="1" t="n">
        <v>45471.94623842592</v>
      </c>
      <c r="C97" s="1" t="n">
        <v>46084</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13266-2023</t>
        </is>
      </c>
      <c r="B98" s="1" t="n">
        <v>45002.94356481481</v>
      </c>
      <c r="C98" s="1" t="n">
        <v>46084</v>
      </c>
      <c r="D98" t="inlineStr">
        <is>
          <t>JÄMTLANDS LÄN</t>
        </is>
      </c>
      <c r="E98" t="inlineStr">
        <is>
          <t>RAGUNDA</t>
        </is>
      </c>
      <c r="F98" t="inlineStr">
        <is>
          <t>SCA</t>
        </is>
      </c>
      <c r="G98" t="n">
        <v>4.1</v>
      </c>
      <c r="H98" t="n">
        <v>1</v>
      </c>
      <c r="I98" t="n">
        <v>0</v>
      </c>
      <c r="J98" t="n">
        <v>4</v>
      </c>
      <c r="K98" t="n">
        <v>0</v>
      </c>
      <c r="L98" t="n">
        <v>0</v>
      </c>
      <c r="M98" t="n">
        <v>0</v>
      </c>
      <c r="N98" t="n">
        <v>0</v>
      </c>
      <c r="O98" t="n">
        <v>4</v>
      </c>
      <c r="P98" t="n">
        <v>0</v>
      </c>
      <c r="Q98" t="n">
        <v>5</v>
      </c>
      <c r="R98" s="2" t="inlineStr">
        <is>
          <t>Gammelgransskål
Garnlav
Granticka
Lunglav
Revlummer</t>
        </is>
      </c>
      <c r="S98">
        <f>HYPERLINK("https://klasma.github.io/Logging_2303/artfynd/A 13266-2023 artfynd.xlsx", "A 13266-2023")</f>
        <v/>
      </c>
      <c r="T98">
        <f>HYPERLINK("https://klasma.github.io/Logging_2303/kartor/A 13266-2023 karta.png", "A 13266-2023")</f>
        <v/>
      </c>
      <c r="V98">
        <f>HYPERLINK("https://klasma.github.io/Logging_2303/klagomål/A 13266-2023 FSC-klagomål.docx", "A 13266-2023")</f>
        <v/>
      </c>
      <c r="W98">
        <f>HYPERLINK("https://klasma.github.io/Logging_2303/klagomålsmail/A 13266-2023 FSC-klagomål mail.docx", "A 13266-2023")</f>
        <v/>
      </c>
      <c r="X98">
        <f>HYPERLINK("https://klasma.github.io/Logging_2303/tillsyn/A 13266-2023 tillsynsbegäran.docx", "A 13266-2023")</f>
        <v/>
      </c>
      <c r="Y98">
        <f>HYPERLINK("https://klasma.github.io/Logging_2303/tillsynsmail/A 13266-2023 tillsynsbegäran mail.docx", "A 13266-2023")</f>
        <v/>
      </c>
    </row>
    <row r="99" ht="15" customHeight="1">
      <c r="A99" t="inlineStr">
        <is>
          <t>A 38169-2024</t>
        </is>
      </c>
      <c r="B99" s="1" t="n">
        <v>45545.45748842593</v>
      </c>
      <c r="C99" s="1" t="n">
        <v>46084</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12024-2022</t>
        </is>
      </c>
      <c r="B100" s="1" t="n">
        <v>44635</v>
      </c>
      <c r="C100" s="1" t="n">
        <v>46084</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19851-2022</t>
        </is>
      </c>
      <c r="B101" s="1" t="n">
        <v>44696</v>
      </c>
      <c r="C101" s="1" t="n">
        <v>46084</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46084</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21372-2025</t>
        </is>
      </c>
      <c r="B103" s="1" t="n">
        <v>45782.44871527778</v>
      </c>
      <c r="C103" s="1" t="n">
        <v>46084</v>
      </c>
      <c r="D103" t="inlineStr">
        <is>
          <t>JÄMTLANDS LÄN</t>
        </is>
      </c>
      <c r="E103" t="inlineStr">
        <is>
          <t>RAGUNDA</t>
        </is>
      </c>
      <c r="F103" t="inlineStr">
        <is>
          <t>SCA</t>
        </is>
      </c>
      <c r="G103" t="n">
        <v>2.7</v>
      </c>
      <c r="H103" t="n">
        <v>1</v>
      </c>
      <c r="I103" t="n">
        <v>1</v>
      </c>
      <c r="J103" t="n">
        <v>2</v>
      </c>
      <c r="K103" t="n">
        <v>0</v>
      </c>
      <c r="L103" t="n">
        <v>0</v>
      </c>
      <c r="M103" t="n">
        <v>0</v>
      </c>
      <c r="N103" t="n">
        <v>0</v>
      </c>
      <c r="O103" t="n">
        <v>2</v>
      </c>
      <c r="P103" t="n">
        <v>0</v>
      </c>
      <c r="Q103" t="n">
        <v>4</v>
      </c>
      <c r="R103" s="2" t="inlineStr">
        <is>
          <t>Garnlav
Lunglav
Stuplav
Tjäder</t>
        </is>
      </c>
      <c r="S103">
        <f>HYPERLINK("https://klasma.github.io/Logging_2303/artfynd/A 21372-2025 artfynd.xlsx", "A 21372-2025")</f>
        <v/>
      </c>
      <c r="T103">
        <f>HYPERLINK("https://klasma.github.io/Logging_2303/kartor/A 21372-2025 karta.png", "A 21372-2025")</f>
        <v/>
      </c>
      <c r="V103">
        <f>HYPERLINK("https://klasma.github.io/Logging_2303/klagomål/A 21372-2025 FSC-klagomål.docx", "A 21372-2025")</f>
        <v/>
      </c>
      <c r="W103">
        <f>HYPERLINK("https://klasma.github.io/Logging_2303/klagomålsmail/A 21372-2025 FSC-klagomål mail.docx", "A 21372-2025")</f>
        <v/>
      </c>
      <c r="X103">
        <f>HYPERLINK("https://klasma.github.io/Logging_2303/tillsyn/A 21372-2025 tillsynsbegäran.docx", "A 21372-2025")</f>
        <v/>
      </c>
      <c r="Y103">
        <f>HYPERLINK("https://klasma.github.io/Logging_2303/tillsynsmail/A 21372-2025 tillsynsbegäran mail.docx", "A 21372-2025")</f>
        <v/>
      </c>
      <c r="Z103">
        <f>HYPERLINK("https://klasma.github.io/Logging_2303/fåglar/A 21372-2025 prioriterade fågelarter.docx", "A 21372-2025")</f>
        <v/>
      </c>
    </row>
    <row r="104" ht="15" customHeight="1">
      <c r="A104" t="inlineStr">
        <is>
          <t>A 12640-2024</t>
        </is>
      </c>
      <c r="B104" s="1" t="n">
        <v>45384</v>
      </c>
      <c r="C104" s="1" t="n">
        <v>46084</v>
      </c>
      <c r="D104" t="inlineStr">
        <is>
          <t>JÄMTLANDS LÄN</t>
        </is>
      </c>
      <c r="E104" t="inlineStr">
        <is>
          <t>RAGUNDA</t>
        </is>
      </c>
      <c r="G104" t="n">
        <v>3.3</v>
      </c>
      <c r="H104" t="n">
        <v>0</v>
      </c>
      <c r="I104" t="n">
        <v>2</v>
      </c>
      <c r="J104" t="n">
        <v>1</v>
      </c>
      <c r="K104" t="n">
        <v>1</v>
      </c>
      <c r="L104" t="n">
        <v>0</v>
      </c>
      <c r="M104" t="n">
        <v>0</v>
      </c>
      <c r="N104" t="n">
        <v>0</v>
      </c>
      <c r="O104" t="n">
        <v>2</v>
      </c>
      <c r="P104" t="n">
        <v>1</v>
      </c>
      <c r="Q104" t="n">
        <v>4</v>
      </c>
      <c r="R104" s="2" t="inlineStr">
        <is>
          <t>Spadskinn
Vedskivlav
Dropptaggsvamp
Skarp dropptaggsvamp</t>
        </is>
      </c>
      <c r="S104">
        <f>HYPERLINK("https://klasma.github.io/Logging_2303/artfynd/A 12640-2024 artfynd.xlsx", "A 12640-2024")</f>
        <v/>
      </c>
      <c r="T104">
        <f>HYPERLINK("https://klasma.github.io/Logging_2303/kartor/A 12640-2024 karta.png", "A 12640-2024")</f>
        <v/>
      </c>
      <c r="V104">
        <f>HYPERLINK("https://klasma.github.io/Logging_2303/klagomål/A 12640-2024 FSC-klagomål.docx", "A 12640-2024")</f>
        <v/>
      </c>
      <c r="W104">
        <f>HYPERLINK("https://klasma.github.io/Logging_2303/klagomålsmail/A 12640-2024 FSC-klagomål mail.docx", "A 12640-2024")</f>
        <v/>
      </c>
      <c r="X104">
        <f>HYPERLINK("https://klasma.github.io/Logging_2303/tillsyn/A 12640-2024 tillsynsbegäran.docx", "A 12640-2024")</f>
        <v/>
      </c>
      <c r="Y104">
        <f>HYPERLINK("https://klasma.github.io/Logging_2303/tillsynsmail/A 12640-2024 tillsynsbegäran mail.docx", "A 12640-2024")</f>
        <v/>
      </c>
    </row>
    <row r="105" ht="15" customHeight="1">
      <c r="A105" t="inlineStr">
        <is>
          <t>A 12268-2024</t>
        </is>
      </c>
      <c r="B105" s="1" t="n">
        <v>45378</v>
      </c>
      <c r="C105" s="1" t="n">
        <v>46084</v>
      </c>
      <c r="D105" t="inlineStr">
        <is>
          <t>JÄMTLANDS LÄN</t>
        </is>
      </c>
      <c r="E105" t="inlineStr">
        <is>
          <t>RAGUNDA</t>
        </is>
      </c>
      <c r="F105" t="inlineStr">
        <is>
          <t>Kommuner</t>
        </is>
      </c>
      <c r="G105" t="n">
        <v>15.7</v>
      </c>
      <c r="H105" t="n">
        <v>0</v>
      </c>
      <c r="I105" t="n">
        <v>0</v>
      </c>
      <c r="J105" t="n">
        <v>4</v>
      </c>
      <c r="K105" t="n">
        <v>0</v>
      </c>
      <c r="L105" t="n">
        <v>0</v>
      </c>
      <c r="M105" t="n">
        <v>0</v>
      </c>
      <c r="N105" t="n">
        <v>0</v>
      </c>
      <c r="O105" t="n">
        <v>4</v>
      </c>
      <c r="P105" t="n">
        <v>0</v>
      </c>
      <c r="Q105" t="n">
        <v>4</v>
      </c>
      <c r="R105" s="2" t="inlineStr">
        <is>
          <t>Granticka
Mörk kolflarnlav
Vedskivlav
Vitgrynig nållav</t>
        </is>
      </c>
      <c r="S105">
        <f>HYPERLINK("https://klasma.github.io/Logging_2303/artfynd/A 12268-2024 artfynd.xlsx", "A 12268-2024")</f>
        <v/>
      </c>
      <c r="T105">
        <f>HYPERLINK("https://klasma.github.io/Logging_2303/kartor/A 12268-2024 karta.png", "A 12268-2024")</f>
        <v/>
      </c>
      <c r="V105">
        <f>HYPERLINK("https://klasma.github.io/Logging_2303/klagomål/A 12268-2024 FSC-klagomål.docx", "A 12268-2024")</f>
        <v/>
      </c>
      <c r="W105">
        <f>HYPERLINK("https://klasma.github.io/Logging_2303/klagomålsmail/A 12268-2024 FSC-klagomål mail.docx", "A 12268-2024")</f>
        <v/>
      </c>
      <c r="X105">
        <f>HYPERLINK("https://klasma.github.io/Logging_2303/tillsyn/A 12268-2024 tillsynsbegäran.docx", "A 12268-2024")</f>
        <v/>
      </c>
      <c r="Y105">
        <f>HYPERLINK("https://klasma.github.io/Logging_2303/tillsynsmail/A 12268-2024 tillsynsbegäran mail.docx", "A 12268-2024")</f>
        <v/>
      </c>
    </row>
    <row r="106" ht="15" customHeight="1">
      <c r="A106" t="inlineStr">
        <is>
          <t>A 23682-2021</t>
        </is>
      </c>
      <c r="B106" s="1" t="n">
        <v>44334</v>
      </c>
      <c r="C106" s="1" t="n">
        <v>46084</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46084</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52644-2024</t>
        </is>
      </c>
      <c r="B108" s="1" t="n">
        <v>45610.34415509259</v>
      </c>
      <c r="C108" s="1" t="n">
        <v>46084</v>
      </c>
      <c r="D108" t="inlineStr">
        <is>
          <t>JÄMTLANDS LÄN</t>
        </is>
      </c>
      <c r="E108" t="inlineStr">
        <is>
          <t>RAGUNDA</t>
        </is>
      </c>
      <c r="F108" t="inlineStr">
        <is>
          <t>SCA</t>
        </is>
      </c>
      <c r="G108" t="n">
        <v>6.6</v>
      </c>
      <c r="H108" t="n">
        <v>2</v>
      </c>
      <c r="I108" t="n">
        <v>1</v>
      </c>
      <c r="J108" t="n">
        <v>2</v>
      </c>
      <c r="K108" t="n">
        <v>1</v>
      </c>
      <c r="L108" t="n">
        <v>0</v>
      </c>
      <c r="M108" t="n">
        <v>0</v>
      </c>
      <c r="N108" t="n">
        <v>0</v>
      </c>
      <c r="O108" t="n">
        <v>3</v>
      </c>
      <c r="P108" t="n">
        <v>1</v>
      </c>
      <c r="Q108" t="n">
        <v>4</v>
      </c>
      <c r="R108" s="2" t="inlineStr">
        <is>
          <t>Doftticka
Gammelgransskål
Lunglav
Guckusko</t>
        </is>
      </c>
      <c r="S108">
        <f>HYPERLINK("https://klasma.github.io/Logging_2303/artfynd/A 52644-2024 artfynd.xlsx", "A 52644-2024")</f>
        <v/>
      </c>
      <c r="T108">
        <f>HYPERLINK("https://klasma.github.io/Logging_2303/kartor/A 52644-2024 karta.png", "A 52644-2024")</f>
        <v/>
      </c>
      <c r="V108">
        <f>HYPERLINK("https://klasma.github.io/Logging_2303/klagomål/A 52644-2024 FSC-klagomål.docx", "A 52644-2024")</f>
        <v/>
      </c>
      <c r="W108">
        <f>HYPERLINK("https://klasma.github.io/Logging_2303/klagomålsmail/A 52644-2024 FSC-klagomål mail.docx", "A 52644-2024")</f>
        <v/>
      </c>
      <c r="X108">
        <f>HYPERLINK("https://klasma.github.io/Logging_2303/tillsyn/A 52644-2024 tillsynsbegäran.docx", "A 52644-2024")</f>
        <v/>
      </c>
      <c r="Y108">
        <f>HYPERLINK("https://klasma.github.io/Logging_2303/tillsynsmail/A 52644-2024 tillsynsbegäran mail.docx", "A 52644-2024")</f>
        <v/>
      </c>
    </row>
    <row r="109" ht="15" customHeight="1">
      <c r="A109" t="inlineStr">
        <is>
          <t>A 40653-2025</t>
        </is>
      </c>
      <c r="B109" s="1" t="n">
        <v>45896.63618055556</v>
      </c>
      <c r="C109" s="1" t="n">
        <v>46084</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26082-2025</t>
        </is>
      </c>
      <c r="B110" s="1" t="n">
        <v>45805.34415509259</v>
      </c>
      <c r="C110" s="1" t="n">
        <v>46084</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60670-2022</t>
        </is>
      </c>
      <c r="B111" s="1" t="n">
        <v>44911</v>
      </c>
      <c r="C111" s="1" t="n">
        <v>46084</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32903-2024</t>
        </is>
      </c>
      <c r="B112" s="1" t="n">
        <v>45516.94723379629</v>
      </c>
      <c r="C112" s="1" t="n">
        <v>46084</v>
      </c>
      <c r="D112" t="inlineStr">
        <is>
          <t>JÄMTLANDS LÄN</t>
        </is>
      </c>
      <c r="E112" t="inlineStr">
        <is>
          <t>RAGUNDA</t>
        </is>
      </c>
      <c r="F112" t="inlineStr">
        <is>
          <t>SCA</t>
        </is>
      </c>
      <c r="G112" t="n">
        <v>4.7</v>
      </c>
      <c r="H112" t="n">
        <v>0</v>
      </c>
      <c r="I112" t="n">
        <v>2</v>
      </c>
      <c r="J112" t="n">
        <v>1</v>
      </c>
      <c r="K112" t="n">
        <v>1</v>
      </c>
      <c r="L112" t="n">
        <v>0</v>
      </c>
      <c r="M112" t="n">
        <v>0</v>
      </c>
      <c r="N112" t="n">
        <v>0</v>
      </c>
      <c r="O112" t="n">
        <v>2</v>
      </c>
      <c r="P112" t="n">
        <v>1</v>
      </c>
      <c r="Q112" t="n">
        <v>4</v>
      </c>
      <c r="R112" s="2" t="inlineStr">
        <is>
          <t>Lappticka
Lunglav
Bollvitmossa
Luddlav</t>
        </is>
      </c>
      <c r="S112">
        <f>HYPERLINK("https://klasma.github.io/Logging_2303/artfynd/A 32903-2024 artfynd.xlsx", "A 32903-2024")</f>
        <v/>
      </c>
      <c r="T112">
        <f>HYPERLINK("https://klasma.github.io/Logging_2303/kartor/A 32903-2024 karta.png", "A 32903-2024")</f>
        <v/>
      </c>
      <c r="V112">
        <f>HYPERLINK("https://klasma.github.io/Logging_2303/klagomål/A 32903-2024 FSC-klagomål.docx", "A 32903-2024")</f>
        <v/>
      </c>
      <c r="W112">
        <f>HYPERLINK("https://klasma.github.io/Logging_2303/klagomålsmail/A 32903-2024 FSC-klagomål mail.docx", "A 32903-2024")</f>
        <v/>
      </c>
      <c r="X112">
        <f>HYPERLINK("https://klasma.github.io/Logging_2303/tillsyn/A 32903-2024 tillsynsbegäran.docx", "A 32903-2024")</f>
        <v/>
      </c>
      <c r="Y112">
        <f>HYPERLINK("https://klasma.github.io/Logging_2303/tillsynsmail/A 32903-2024 tillsynsbegäran mail.docx", "A 32903-2024")</f>
        <v/>
      </c>
    </row>
    <row r="113" ht="15" customHeight="1">
      <c r="A113" t="inlineStr">
        <is>
          <t>A 30465-2024</t>
        </is>
      </c>
      <c r="B113" s="1" t="n">
        <v>45491</v>
      </c>
      <c r="C113" s="1" t="n">
        <v>46084</v>
      </c>
      <c r="D113" t="inlineStr">
        <is>
          <t>JÄMTLANDS LÄN</t>
        </is>
      </c>
      <c r="E113" t="inlineStr">
        <is>
          <t>RAGUNDA</t>
        </is>
      </c>
      <c r="F113" t="inlineStr">
        <is>
          <t>SCA</t>
        </is>
      </c>
      <c r="G113" t="n">
        <v>3.7</v>
      </c>
      <c r="H113" t="n">
        <v>1</v>
      </c>
      <c r="I113" t="n">
        <v>0</v>
      </c>
      <c r="J113" t="n">
        <v>4</v>
      </c>
      <c r="K113" t="n">
        <v>0</v>
      </c>
      <c r="L113" t="n">
        <v>0</v>
      </c>
      <c r="M113" t="n">
        <v>0</v>
      </c>
      <c r="N113" t="n">
        <v>0</v>
      </c>
      <c r="O113" t="n">
        <v>4</v>
      </c>
      <c r="P113" t="n">
        <v>0</v>
      </c>
      <c r="Q113" t="n">
        <v>4</v>
      </c>
      <c r="R113" s="2" t="inlineStr">
        <is>
          <t>Granticka
Tretåig hackspett
Ullticka
Violmussling</t>
        </is>
      </c>
      <c r="S113">
        <f>HYPERLINK("https://klasma.github.io/Logging_2303/artfynd/A 30465-2024 artfynd.xlsx", "A 30465-2024")</f>
        <v/>
      </c>
      <c r="T113">
        <f>HYPERLINK("https://klasma.github.io/Logging_2303/kartor/A 30465-2024 karta.png", "A 30465-2024")</f>
        <v/>
      </c>
      <c r="V113">
        <f>HYPERLINK("https://klasma.github.io/Logging_2303/klagomål/A 30465-2024 FSC-klagomål.docx", "A 30465-2024")</f>
        <v/>
      </c>
      <c r="W113">
        <f>HYPERLINK("https://klasma.github.io/Logging_2303/klagomålsmail/A 30465-2024 FSC-klagomål mail.docx", "A 30465-2024")</f>
        <v/>
      </c>
      <c r="X113">
        <f>HYPERLINK("https://klasma.github.io/Logging_2303/tillsyn/A 30465-2024 tillsynsbegäran.docx", "A 30465-2024")</f>
        <v/>
      </c>
      <c r="Y113">
        <f>HYPERLINK("https://klasma.github.io/Logging_2303/tillsynsmail/A 30465-2024 tillsynsbegäran mail.docx", "A 30465-2024")</f>
        <v/>
      </c>
      <c r="Z113">
        <f>HYPERLINK("https://klasma.github.io/Logging_2303/fåglar/A 30465-2024 prioriterade fågelarter.docx", "A 30465-2024")</f>
        <v/>
      </c>
    </row>
    <row r="114" ht="15" customHeight="1">
      <c r="A114" t="inlineStr">
        <is>
          <t>A 52168-2025</t>
        </is>
      </c>
      <c r="B114" s="1" t="n">
        <v>45953.365625</v>
      </c>
      <c r="C114" s="1" t="n">
        <v>46084</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50342-2025</t>
        </is>
      </c>
      <c r="B115" s="1" t="n">
        <v>45944.53186342592</v>
      </c>
      <c r="C115" s="1" t="n">
        <v>46084</v>
      </c>
      <c r="D115" t="inlineStr">
        <is>
          <t>JÄMTLANDS LÄN</t>
        </is>
      </c>
      <c r="E115" t="inlineStr">
        <is>
          <t>RAGUNDA</t>
        </is>
      </c>
      <c r="F115" t="inlineStr">
        <is>
          <t>SCA</t>
        </is>
      </c>
      <c r="G115" t="n">
        <v>20.7</v>
      </c>
      <c r="H115" t="n">
        <v>1</v>
      </c>
      <c r="I115" t="n">
        <v>1</v>
      </c>
      <c r="J115" t="n">
        <v>3</v>
      </c>
      <c r="K115" t="n">
        <v>0</v>
      </c>
      <c r="L115" t="n">
        <v>0</v>
      </c>
      <c r="M115" t="n">
        <v>0</v>
      </c>
      <c r="N115" t="n">
        <v>0</v>
      </c>
      <c r="O115" t="n">
        <v>3</v>
      </c>
      <c r="P115" t="n">
        <v>0</v>
      </c>
      <c r="Q115" t="n">
        <v>4</v>
      </c>
      <c r="R115" s="2" t="inlineStr">
        <is>
          <t>Garnlav
Granticka
Tretåig hackspett
Trådticka</t>
        </is>
      </c>
      <c r="S115">
        <f>HYPERLINK("https://klasma.github.io/Logging_2303/artfynd/A 50342-2025 artfynd.xlsx", "A 50342-2025")</f>
        <v/>
      </c>
      <c r="T115">
        <f>HYPERLINK("https://klasma.github.io/Logging_2303/kartor/A 50342-2025 karta.png", "A 50342-2025")</f>
        <v/>
      </c>
      <c r="V115">
        <f>HYPERLINK("https://klasma.github.io/Logging_2303/klagomål/A 50342-2025 FSC-klagomål.docx", "A 50342-2025")</f>
        <v/>
      </c>
      <c r="W115">
        <f>HYPERLINK("https://klasma.github.io/Logging_2303/klagomålsmail/A 50342-2025 FSC-klagomål mail.docx", "A 50342-2025")</f>
        <v/>
      </c>
      <c r="X115">
        <f>HYPERLINK("https://klasma.github.io/Logging_2303/tillsyn/A 50342-2025 tillsynsbegäran.docx", "A 50342-2025")</f>
        <v/>
      </c>
      <c r="Y115">
        <f>HYPERLINK("https://klasma.github.io/Logging_2303/tillsynsmail/A 50342-2025 tillsynsbegäran mail.docx", "A 50342-2025")</f>
        <v/>
      </c>
      <c r="Z115">
        <f>HYPERLINK("https://klasma.github.io/Logging_2303/fåglar/A 50342-2025 prioriterade fågelarter.docx", "A 50342-2025")</f>
        <v/>
      </c>
    </row>
    <row r="116" ht="15" customHeight="1">
      <c r="A116" t="inlineStr">
        <is>
          <t>A 43960-2023</t>
        </is>
      </c>
      <c r="B116" s="1" t="n">
        <v>45187</v>
      </c>
      <c r="C116" s="1" t="n">
        <v>46084</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19401-2025</t>
        </is>
      </c>
      <c r="B117" s="1" t="n">
        <v>45769.67767361111</v>
      </c>
      <c r="C117" s="1" t="n">
        <v>46084</v>
      </c>
      <c r="D117" t="inlineStr">
        <is>
          <t>JÄMTLANDS LÄN</t>
        </is>
      </c>
      <c r="E117" t="inlineStr">
        <is>
          <t>RAGUNDA</t>
        </is>
      </c>
      <c r="F117" t="inlineStr">
        <is>
          <t>SCA</t>
        </is>
      </c>
      <c r="G117" t="n">
        <v>4.3</v>
      </c>
      <c r="H117" t="n">
        <v>1</v>
      </c>
      <c r="I117" t="n">
        <v>0</v>
      </c>
      <c r="J117" t="n">
        <v>2</v>
      </c>
      <c r="K117" t="n">
        <v>2</v>
      </c>
      <c r="L117" t="n">
        <v>0</v>
      </c>
      <c r="M117" t="n">
        <v>0</v>
      </c>
      <c r="N117" t="n">
        <v>0</v>
      </c>
      <c r="O117" t="n">
        <v>4</v>
      </c>
      <c r="P117" t="n">
        <v>2</v>
      </c>
      <c r="Q117" t="n">
        <v>4</v>
      </c>
      <c r="R117" s="2" t="inlineStr">
        <is>
          <t>Knärot
Rynkskinn
Rosenticka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3809-2026</t>
        </is>
      </c>
      <c r="B118" s="1" t="n">
        <v>46043.58364583334</v>
      </c>
      <c r="C118" s="1" t="n">
        <v>46084</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30483-2024</t>
        </is>
      </c>
      <c r="B119" s="1" t="n">
        <v>45491</v>
      </c>
      <c r="C119" s="1" t="n">
        <v>46084</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17092-2022</t>
        </is>
      </c>
      <c r="B120" s="1" t="n">
        <v>44677</v>
      </c>
      <c r="C120" s="1" t="n">
        <v>46084</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2282-2026</t>
        </is>
      </c>
      <c r="B121" s="1" t="n">
        <v>46036.57798611111</v>
      </c>
      <c r="C121" s="1" t="n">
        <v>46084</v>
      </c>
      <c r="D121" t="inlineStr">
        <is>
          <t>JÄMTLANDS LÄN</t>
        </is>
      </c>
      <c r="E121" t="inlineStr">
        <is>
          <t>RAGUNDA</t>
        </is>
      </c>
      <c r="G121" t="n">
        <v>2</v>
      </c>
      <c r="H121" t="n">
        <v>1</v>
      </c>
      <c r="I121" t="n">
        <v>0</v>
      </c>
      <c r="J121" t="n">
        <v>4</v>
      </c>
      <c r="K121" t="n">
        <v>0</v>
      </c>
      <c r="L121" t="n">
        <v>0</v>
      </c>
      <c r="M121" t="n">
        <v>0</v>
      </c>
      <c r="N121" t="n">
        <v>0</v>
      </c>
      <c r="O121" t="n">
        <v>4</v>
      </c>
      <c r="P121" t="n">
        <v>0</v>
      </c>
      <c r="Q121" t="n">
        <v>4</v>
      </c>
      <c r="R121" s="2" t="inlineStr">
        <is>
          <t>Garnlav
Harticka
Lunglav
Tretåig hackspett</t>
        </is>
      </c>
      <c r="S121">
        <f>HYPERLINK("https://klasma.github.io/Logging_2303/artfynd/A 2282-2026 artfynd.xlsx", "A 2282-2026")</f>
        <v/>
      </c>
      <c r="T121">
        <f>HYPERLINK("https://klasma.github.io/Logging_2303/kartor/A 2282-2026 karta.png", "A 2282-2026")</f>
        <v/>
      </c>
      <c r="V121">
        <f>HYPERLINK("https://klasma.github.io/Logging_2303/klagomål/A 2282-2026 FSC-klagomål.docx", "A 2282-2026")</f>
        <v/>
      </c>
      <c r="W121">
        <f>HYPERLINK("https://klasma.github.io/Logging_2303/klagomålsmail/A 2282-2026 FSC-klagomål mail.docx", "A 2282-2026")</f>
        <v/>
      </c>
      <c r="X121">
        <f>HYPERLINK("https://klasma.github.io/Logging_2303/tillsyn/A 2282-2026 tillsynsbegäran.docx", "A 2282-2026")</f>
        <v/>
      </c>
      <c r="Y121">
        <f>HYPERLINK("https://klasma.github.io/Logging_2303/tillsynsmail/A 2282-2026 tillsynsbegäran mail.docx", "A 2282-2026")</f>
        <v/>
      </c>
      <c r="Z121">
        <f>HYPERLINK("https://klasma.github.io/Logging_2303/fåglar/A 2282-2026 prioriterade fågelarter.docx", "A 2282-2026")</f>
        <v/>
      </c>
    </row>
    <row r="122" ht="15" customHeight="1">
      <c r="A122" t="inlineStr">
        <is>
          <t>A 23931-2024</t>
        </is>
      </c>
      <c r="B122" s="1" t="n">
        <v>45455.96195601852</v>
      </c>
      <c r="C122" s="1" t="n">
        <v>46084</v>
      </c>
      <c r="D122" t="inlineStr">
        <is>
          <t>JÄMTLANDS LÄN</t>
        </is>
      </c>
      <c r="E122" t="inlineStr">
        <is>
          <t>RAGUNDA</t>
        </is>
      </c>
      <c r="F122" t="inlineStr">
        <is>
          <t>SCA</t>
        </is>
      </c>
      <c r="G122" t="n">
        <v>4</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23931-2024 artfynd.xlsx", "A 23931-2024")</f>
        <v/>
      </c>
      <c r="T122">
        <f>HYPERLINK("https://klasma.github.io/Logging_2303/kartor/A 23931-2024 karta.png", "A 23931-2024")</f>
        <v/>
      </c>
      <c r="U122">
        <f>HYPERLINK("https://klasma.github.io/Logging_2303/knärot/A 23931-2024 karta knärot.png", "A 23931-2024")</f>
        <v/>
      </c>
      <c r="V122">
        <f>HYPERLINK("https://klasma.github.io/Logging_2303/klagomål/A 23931-2024 FSC-klagomål.docx", "A 23931-2024")</f>
        <v/>
      </c>
      <c r="W122">
        <f>HYPERLINK("https://klasma.github.io/Logging_2303/klagomålsmail/A 23931-2024 FSC-klagomål mail.docx", "A 23931-2024")</f>
        <v/>
      </c>
      <c r="X122">
        <f>HYPERLINK("https://klasma.github.io/Logging_2303/tillsyn/A 23931-2024 tillsynsbegäran.docx", "A 23931-2024")</f>
        <v/>
      </c>
      <c r="Y122">
        <f>HYPERLINK("https://klasma.github.io/Logging_2303/tillsynsmail/A 23931-2024 tillsynsbegäran mail.docx", "A 23931-2024")</f>
        <v/>
      </c>
    </row>
    <row r="123" ht="15" customHeight="1">
      <c r="A123" t="inlineStr">
        <is>
          <t>A 32067-2024</t>
        </is>
      </c>
      <c r="B123" s="1" t="n">
        <v>45510</v>
      </c>
      <c r="C123" s="1" t="n">
        <v>46084</v>
      </c>
      <c r="D123" t="inlineStr">
        <is>
          <t>JÄMTLANDS LÄN</t>
        </is>
      </c>
      <c r="E123" t="inlineStr">
        <is>
          <t>RAGUNDA</t>
        </is>
      </c>
      <c r="F123" t="inlineStr">
        <is>
          <t>SCA</t>
        </is>
      </c>
      <c r="G123" t="n">
        <v>4.1</v>
      </c>
      <c r="H123" t="n">
        <v>0</v>
      </c>
      <c r="I123" t="n">
        <v>2</v>
      </c>
      <c r="J123" t="n">
        <v>2</v>
      </c>
      <c r="K123" t="n">
        <v>0</v>
      </c>
      <c r="L123" t="n">
        <v>0</v>
      </c>
      <c r="M123" t="n">
        <v>0</v>
      </c>
      <c r="N123" t="n">
        <v>0</v>
      </c>
      <c r="O123" t="n">
        <v>2</v>
      </c>
      <c r="P123" t="n">
        <v>0</v>
      </c>
      <c r="Q123" t="n">
        <v>4</v>
      </c>
      <c r="R123" s="2" t="inlineStr">
        <is>
          <t>Vedflikmossa
Vedtrappmossa
Stor aspticka
Vedticka</t>
        </is>
      </c>
      <c r="S123">
        <f>HYPERLINK("https://klasma.github.io/Logging_2303/artfynd/A 32067-2024 artfynd.xlsx", "A 32067-2024")</f>
        <v/>
      </c>
      <c r="T123">
        <f>HYPERLINK("https://klasma.github.io/Logging_2303/kartor/A 32067-2024 karta.png", "A 32067-2024")</f>
        <v/>
      </c>
      <c r="U123">
        <f>HYPERLINK("https://klasma.github.io/Logging_2303/knärot/A 32067-2024 karta knärot.png", "A 32067-2024")</f>
        <v/>
      </c>
      <c r="V123">
        <f>HYPERLINK("https://klasma.github.io/Logging_2303/klagomål/A 32067-2024 FSC-klagomål.docx", "A 32067-2024")</f>
        <v/>
      </c>
      <c r="W123">
        <f>HYPERLINK("https://klasma.github.io/Logging_2303/klagomålsmail/A 32067-2024 FSC-klagomål mail.docx", "A 32067-2024")</f>
        <v/>
      </c>
      <c r="X123">
        <f>HYPERLINK("https://klasma.github.io/Logging_2303/tillsyn/A 32067-2024 tillsynsbegäran.docx", "A 32067-2024")</f>
        <v/>
      </c>
      <c r="Y123">
        <f>HYPERLINK("https://klasma.github.io/Logging_2303/tillsynsmail/A 32067-2024 tillsynsbegäran mail.docx", "A 32067-2024")</f>
        <v/>
      </c>
    </row>
    <row r="124" ht="15" customHeight="1">
      <c r="A124" t="inlineStr">
        <is>
          <t>A 15836-2024</t>
        </is>
      </c>
      <c r="B124" s="1" t="n">
        <v>45404</v>
      </c>
      <c r="C124" s="1" t="n">
        <v>46084</v>
      </c>
      <c r="D124" t="inlineStr">
        <is>
          <t>JÄMTLANDS LÄN</t>
        </is>
      </c>
      <c r="E124" t="inlineStr">
        <is>
          <t>RAGUNDA</t>
        </is>
      </c>
      <c r="F124" t="inlineStr">
        <is>
          <t>Kommuner</t>
        </is>
      </c>
      <c r="G124" t="n">
        <v>3.1</v>
      </c>
      <c r="H124" t="n">
        <v>0</v>
      </c>
      <c r="I124" t="n">
        <v>2</v>
      </c>
      <c r="J124" t="n">
        <v>1</v>
      </c>
      <c r="K124" t="n">
        <v>0</v>
      </c>
      <c r="L124" t="n">
        <v>1</v>
      </c>
      <c r="M124" t="n">
        <v>0</v>
      </c>
      <c r="N124" t="n">
        <v>0</v>
      </c>
      <c r="O124" t="n">
        <v>2</v>
      </c>
      <c r="P124" t="n">
        <v>1</v>
      </c>
      <c r="Q124" t="n">
        <v>4</v>
      </c>
      <c r="R124" s="2" t="inlineStr">
        <is>
          <t>Trolldruvemätare
Lunglav
Stor aspticka
Svart trolldruva</t>
        </is>
      </c>
      <c r="S124">
        <f>HYPERLINK("https://klasma.github.io/Logging_2303/artfynd/A 15836-2024 artfynd.xlsx", "A 15836-2024")</f>
        <v/>
      </c>
      <c r="T124">
        <f>HYPERLINK("https://klasma.github.io/Logging_2303/kartor/A 15836-2024 karta.png", "A 15836-2024")</f>
        <v/>
      </c>
      <c r="V124">
        <f>HYPERLINK("https://klasma.github.io/Logging_2303/klagomål/A 15836-2024 FSC-klagomål.docx", "A 15836-2024")</f>
        <v/>
      </c>
      <c r="W124">
        <f>HYPERLINK("https://klasma.github.io/Logging_2303/klagomålsmail/A 15836-2024 FSC-klagomål mail.docx", "A 15836-2024")</f>
        <v/>
      </c>
      <c r="X124">
        <f>HYPERLINK("https://klasma.github.io/Logging_2303/tillsyn/A 15836-2024 tillsynsbegäran.docx", "A 15836-2024")</f>
        <v/>
      </c>
      <c r="Y124">
        <f>HYPERLINK("https://klasma.github.io/Logging_2303/tillsynsmail/A 15836-2024 tillsynsbegäran mail.docx", "A 15836-2024")</f>
        <v/>
      </c>
    </row>
    <row r="125" ht="15" customHeight="1">
      <c r="A125" t="inlineStr">
        <is>
          <t>A 48052-2022</t>
        </is>
      </c>
      <c r="B125" s="1" t="n">
        <v>44855</v>
      </c>
      <c r="C125" s="1" t="n">
        <v>46084</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58368-2024</t>
        </is>
      </c>
      <c r="B126" s="1" t="n">
        <v>45632.69822916666</v>
      </c>
      <c r="C126" s="1" t="n">
        <v>46084</v>
      </c>
      <c r="D126" t="inlineStr">
        <is>
          <t>JÄMTLANDS LÄN</t>
        </is>
      </c>
      <c r="E126" t="inlineStr">
        <is>
          <t>RAGUNDA</t>
        </is>
      </c>
      <c r="F126" t="inlineStr">
        <is>
          <t>SCA</t>
        </is>
      </c>
      <c r="G126" t="n">
        <v>4.1</v>
      </c>
      <c r="H126" t="n">
        <v>2</v>
      </c>
      <c r="I126" t="n">
        <v>0</v>
      </c>
      <c r="J126" t="n">
        <v>3</v>
      </c>
      <c r="K126" t="n">
        <v>0</v>
      </c>
      <c r="L126" t="n">
        <v>0</v>
      </c>
      <c r="M126" t="n">
        <v>0</v>
      </c>
      <c r="N126" t="n">
        <v>0</v>
      </c>
      <c r="O126" t="n">
        <v>3</v>
      </c>
      <c r="P126" t="n">
        <v>0</v>
      </c>
      <c r="Q126" t="n">
        <v>3</v>
      </c>
      <c r="R126" s="2" t="inlineStr">
        <is>
          <t>Järpe
Lunglav
Tretåig hackspett</t>
        </is>
      </c>
      <c r="S126">
        <f>HYPERLINK("https://klasma.github.io/Logging_2303/artfynd/A 58368-2024 artfynd.xlsx", "A 58368-2024")</f>
        <v/>
      </c>
      <c r="T126">
        <f>HYPERLINK("https://klasma.github.io/Logging_2303/kartor/A 58368-2024 karta.png", "A 58368-2024")</f>
        <v/>
      </c>
      <c r="V126">
        <f>HYPERLINK("https://klasma.github.io/Logging_2303/klagomål/A 58368-2024 FSC-klagomål.docx", "A 58368-2024")</f>
        <v/>
      </c>
      <c r="W126">
        <f>HYPERLINK("https://klasma.github.io/Logging_2303/klagomålsmail/A 58368-2024 FSC-klagomål mail.docx", "A 58368-2024")</f>
        <v/>
      </c>
      <c r="X126">
        <f>HYPERLINK("https://klasma.github.io/Logging_2303/tillsyn/A 58368-2024 tillsynsbegäran.docx", "A 58368-2024")</f>
        <v/>
      </c>
      <c r="Y126">
        <f>HYPERLINK("https://klasma.github.io/Logging_2303/tillsynsmail/A 58368-2024 tillsynsbegäran mail.docx", "A 58368-2024")</f>
        <v/>
      </c>
      <c r="Z126">
        <f>HYPERLINK("https://klasma.github.io/Logging_2303/fåglar/A 58368-2024 prioriterade fågelarter.docx", "A 58368-2024")</f>
        <v/>
      </c>
    </row>
    <row r="127" ht="15" customHeight="1">
      <c r="A127" t="inlineStr">
        <is>
          <t>A 31727-2021</t>
        </is>
      </c>
      <c r="B127" s="1" t="n">
        <v>44369.92025462963</v>
      </c>
      <c r="C127" s="1" t="n">
        <v>46084</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21248-2025</t>
        </is>
      </c>
      <c r="B128" s="1" t="n">
        <v>45779.57392361111</v>
      </c>
      <c r="C128" s="1" t="n">
        <v>46084</v>
      </c>
      <c r="D128" t="inlineStr">
        <is>
          <t>JÄMTLANDS LÄN</t>
        </is>
      </c>
      <c r="E128" t="inlineStr">
        <is>
          <t>RAGUNDA</t>
        </is>
      </c>
      <c r="F128" t="inlineStr">
        <is>
          <t>SCA</t>
        </is>
      </c>
      <c r="G128" t="n">
        <v>2.9</v>
      </c>
      <c r="H128" t="n">
        <v>1</v>
      </c>
      <c r="I128" t="n">
        <v>1</v>
      </c>
      <c r="J128" t="n">
        <v>2</v>
      </c>
      <c r="K128" t="n">
        <v>0</v>
      </c>
      <c r="L128" t="n">
        <v>0</v>
      </c>
      <c r="M128" t="n">
        <v>0</v>
      </c>
      <c r="N128" t="n">
        <v>0</v>
      </c>
      <c r="O128" t="n">
        <v>2</v>
      </c>
      <c r="P128" t="n">
        <v>0</v>
      </c>
      <c r="Q128" t="n">
        <v>3</v>
      </c>
      <c r="R128" s="2" t="inlineStr">
        <is>
          <t>Garnlav
Tretåig hackspett
Vedticka</t>
        </is>
      </c>
      <c r="S128">
        <f>HYPERLINK("https://klasma.github.io/Logging_2303/artfynd/A 21248-2025 artfynd.xlsx", "A 21248-2025")</f>
        <v/>
      </c>
      <c r="T128">
        <f>HYPERLINK("https://klasma.github.io/Logging_2303/kartor/A 21248-2025 karta.png", "A 21248-2025")</f>
        <v/>
      </c>
      <c r="V128">
        <f>HYPERLINK("https://klasma.github.io/Logging_2303/klagomål/A 21248-2025 FSC-klagomål.docx", "A 21248-2025")</f>
        <v/>
      </c>
      <c r="W128">
        <f>HYPERLINK("https://klasma.github.io/Logging_2303/klagomålsmail/A 21248-2025 FSC-klagomål mail.docx", "A 21248-2025")</f>
        <v/>
      </c>
      <c r="X128">
        <f>HYPERLINK("https://klasma.github.io/Logging_2303/tillsyn/A 21248-2025 tillsynsbegäran.docx", "A 21248-2025")</f>
        <v/>
      </c>
      <c r="Y128">
        <f>HYPERLINK("https://klasma.github.io/Logging_2303/tillsynsmail/A 21248-2025 tillsynsbegäran mail.docx", "A 21248-2025")</f>
        <v/>
      </c>
      <c r="Z128">
        <f>HYPERLINK("https://klasma.github.io/Logging_2303/fåglar/A 21248-2025 prioriterade fågelarter.docx", "A 21248-2025")</f>
        <v/>
      </c>
    </row>
    <row r="129" ht="15" customHeight="1">
      <c r="A129" t="inlineStr">
        <is>
          <t>A 61790-2023</t>
        </is>
      </c>
      <c r="B129" s="1" t="n">
        <v>45265</v>
      </c>
      <c r="C129" s="1" t="n">
        <v>46084</v>
      </c>
      <c r="D129" t="inlineStr">
        <is>
          <t>JÄMTLANDS LÄN</t>
        </is>
      </c>
      <c r="E129" t="inlineStr">
        <is>
          <t>RAGUNDA</t>
        </is>
      </c>
      <c r="F129" t="inlineStr">
        <is>
          <t>SCA</t>
        </is>
      </c>
      <c r="G129" t="n">
        <v>6.1</v>
      </c>
      <c r="H129" t="n">
        <v>0</v>
      </c>
      <c r="I129" t="n">
        <v>0</v>
      </c>
      <c r="J129" t="n">
        <v>3</v>
      </c>
      <c r="K129" t="n">
        <v>0</v>
      </c>
      <c r="L129" t="n">
        <v>0</v>
      </c>
      <c r="M129" t="n">
        <v>0</v>
      </c>
      <c r="N129" t="n">
        <v>0</v>
      </c>
      <c r="O129" t="n">
        <v>3</v>
      </c>
      <c r="P129" t="n">
        <v>0</v>
      </c>
      <c r="Q129" t="n">
        <v>3</v>
      </c>
      <c r="R129" s="2" t="inlineStr">
        <is>
          <t>Gammelgransskål
Lunglav
Skrovellav</t>
        </is>
      </c>
      <c r="S129">
        <f>HYPERLINK("https://klasma.github.io/Logging_2303/artfynd/A 61790-2023 artfynd.xlsx", "A 61790-2023")</f>
        <v/>
      </c>
      <c r="T129">
        <f>HYPERLINK("https://klasma.github.io/Logging_2303/kartor/A 61790-2023 karta.png", "A 61790-2023")</f>
        <v/>
      </c>
      <c r="V129">
        <f>HYPERLINK("https://klasma.github.io/Logging_2303/klagomål/A 61790-2023 FSC-klagomål.docx", "A 61790-2023")</f>
        <v/>
      </c>
      <c r="W129">
        <f>HYPERLINK("https://klasma.github.io/Logging_2303/klagomålsmail/A 61790-2023 FSC-klagomål mail.docx", "A 61790-2023")</f>
        <v/>
      </c>
      <c r="X129">
        <f>HYPERLINK("https://klasma.github.io/Logging_2303/tillsyn/A 61790-2023 tillsynsbegäran.docx", "A 61790-2023")</f>
        <v/>
      </c>
      <c r="Y129">
        <f>HYPERLINK("https://klasma.github.io/Logging_2303/tillsynsmail/A 61790-2023 tillsynsbegäran mail.docx", "A 61790-2023")</f>
        <v/>
      </c>
    </row>
    <row r="130" ht="15" customHeight="1">
      <c r="A130" t="inlineStr">
        <is>
          <t>A 25769-2025</t>
        </is>
      </c>
      <c r="B130" s="1" t="n">
        <v>45804.34474537037</v>
      </c>
      <c r="C130" s="1" t="n">
        <v>46084</v>
      </c>
      <c r="D130" t="inlineStr">
        <is>
          <t>JÄMTLANDS LÄN</t>
        </is>
      </c>
      <c r="E130" t="inlineStr">
        <is>
          <t>RAGUNDA</t>
        </is>
      </c>
      <c r="F130" t="inlineStr">
        <is>
          <t>SCA</t>
        </is>
      </c>
      <c r="G130" t="n">
        <v>5.3</v>
      </c>
      <c r="H130" t="n">
        <v>2</v>
      </c>
      <c r="I130" t="n">
        <v>0</v>
      </c>
      <c r="J130" t="n">
        <v>3</v>
      </c>
      <c r="K130" t="n">
        <v>0</v>
      </c>
      <c r="L130" t="n">
        <v>0</v>
      </c>
      <c r="M130" t="n">
        <v>0</v>
      </c>
      <c r="N130" t="n">
        <v>0</v>
      </c>
      <c r="O130" t="n">
        <v>3</v>
      </c>
      <c r="P130" t="n">
        <v>0</v>
      </c>
      <c r="Q130" t="n">
        <v>3</v>
      </c>
      <c r="R130" s="2" t="inlineStr">
        <is>
          <t>Garnlav
Rödvingetrast
Tretåig hackspett</t>
        </is>
      </c>
      <c r="S130">
        <f>HYPERLINK("https://klasma.github.io/Logging_2303/artfynd/A 25769-2025 artfynd.xlsx", "A 25769-2025")</f>
        <v/>
      </c>
      <c r="T130">
        <f>HYPERLINK("https://klasma.github.io/Logging_2303/kartor/A 25769-2025 karta.png", "A 25769-2025")</f>
        <v/>
      </c>
      <c r="V130">
        <f>HYPERLINK("https://klasma.github.io/Logging_2303/klagomål/A 25769-2025 FSC-klagomål.docx", "A 25769-2025")</f>
        <v/>
      </c>
      <c r="W130">
        <f>HYPERLINK("https://klasma.github.io/Logging_2303/klagomålsmail/A 25769-2025 FSC-klagomål mail.docx", "A 25769-2025")</f>
        <v/>
      </c>
      <c r="X130">
        <f>HYPERLINK("https://klasma.github.io/Logging_2303/tillsyn/A 25769-2025 tillsynsbegäran.docx", "A 25769-2025")</f>
        <v/>
      </c>
      <c r="Y130">
        <f>HYPERLINK("https://klasma.github.io/Logging_2303/tillsynsmail/A 25769-2025 tillsynsbegäran mail.docx", "A 25769-2025")</f>
        <v/>
      </c>
      <c r="Z130">
        <f>HYPERLINK("https://klasma.github.io/Logging_2303/fåglar/A 25769-2025 prioriterade fågelarter.docx", "A 25769-2025")</f>
        <v/>
      </c>
    </row>
    <row r="131" ht="15" customHeight="1">
      <c r="A131" t="inlineStr">
        <is>
          <t>A 18616-2024</t>
        </is>
      </c>
      <c r="B131" s="1" t="n">
        <v>45425.96285879629</v>
      </c>
      <c r="C131" s="1" t="n">
        <v>46084</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48054-2022</t>
        </is>
      </c>
      <c r="B132" s="1" t="n">
        <v>44855</v>
      </c>
      <c r="C132" s="1" t="n">
        <v>46084</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20776-2024</t>
        </is>
      </c>
      <c r="B133" s="1" t="n">
        <v>45436.94686342592</v>
      </c>
      <c r="C133" s="1" t="n">
        <v>46084</v>
      </c>
      <c r="D133" t="inlineStr">
        <is>
          <t>JÄMTLANDS LÄN</t>
        </is>
      </c>
      <c r="E133" t="inlineStr">
        <is>
          <t>RAGUNDA</t>
        </is>
      </c>
      <c r="F133" t="inlineStr">
        <is>
          <t>SCA</t>
        </is>
      </c>
      <c r="G133" t="n">
        <v>5.2</v>
      </c>
      <c r="H133" t="n">
        <v>0</v>
      </c>
      <c r="I133" t="n">
        <v>0</v>
      </c>
      <c r="J133" t="n">
        <v>2</v>
      </c>
      <c r="K133" t="n">
        <v>1</v>
      </c>
      <c r="L133" t="n">
        <v>0</v>
      </c>
      <c r="M133" t="n">
        <v>0</v>
      </c>
      <c r="N133" t="n">
        <v>0</v>
      </c>
      <c r="O133" t="n">
        <v>3</v>
      </c>
      <c r="P133" t="n">
        <v>1</v>
      </c>
      <c r="Q133" t="n">
        <v>3</v>
      </c>
      <c r="R133" s="2" t="inlineStr">
        <is>
          <t>Liten hornflikmossa
Garnlav
Vedtrappmossa</t>
        </is>
      </c>
      <c r="S133">
        <f>HYPERLINK("https://klasma.github.io/Logging_2303/artfynd/A 20776-2024 artfynd.xlsx", "A 20776-2024")</f>
        <v/>
      </c>
      <c r="T133">
        <f>HYPERLINK("https://klasma.github.io/Logging_2303/kartor/A 20776-2024 karta.png", "A 20776-2024")</f>
        <v/>
      </c>
      <c r="V133">
        <f>HYPERLINK("https://klasma.github.io/Logging_2303/klagomål/A 20776-2024 FSC-klagomål.docx", "A 20776-2024")</f>
        <v/>
      </c>
      <c r="W133">
        <f>HYPERLINK("https://klasma.github.io/Logging_2303/klagomålsmail/A 20776-2024 FSC-klagomål mail.docx", "A 20776-2024")</f>
        <v/>
      </c>
      <c r="X133">
        <f>HYPERLINK("https://klasma.github.io/Logging_2303/tillsyn/A 20776-2024 tillsynsbegäran.docx", "A 20776-2024")</f>
        <v/>
      </c>
      <c r="Y133">
        <f>HYPERLINK("https://klasma.github.io/Logging_2303/tillsynsmail/A 20776-2024 tillsynsbegäran mail.docx", "A 20776-2024")</f>
        <v/>
      </c>
    </row>
    <row r="134" ht="15" customHeight="1">
      <c r="A134" t="inlineStr">
        <is>
          <t>A 22571-2025</t>
        </is>
      </c>
      <c r="B134" s="1" t="n">
        <v>45789.36503472222</v>
      </c>
      <c r="C134" s="1" t="n">
        <v>46084</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36504-2023</t>
        </is>
      </c>
      <c r="B135" s="1" t="n">
        <v>45152</v>
      </c>
      <c r="C135" s="1" t="n">
        <v>46084</v>
      </c>
      <c r="D135" t="inlineStr">
        <is>
          <t>JÄMTLANDS LÄN</t>
        </is>
      </c>
      <c r="E135" t="inlineStr">
        <is>
          <t>RAGUNDA</t>
        </is>
      </c>
      <c r="F135" t="inlineStr">
        <is>
          <t>SCA</t>
        </is>
      </c>
      <c r="G135" t="n">
        <v>2</v>
      </c>
      <c r="H135" t="n">
        <v>0</v>
      </c>
      <c r="I135" t="n">
        <v>0</v>
      </c>
      <c r="J135" t="n">
        <v>3</v>
      </c>
      <c r="K135" t="n">
        <v>0</v>
      </c>
      <c r="L135" t="n">
        <v>0</v>
      </c>
      <c r="M135" t="n">
        <v>0</v>
      </c>
      <c r="N135" t="n">
        <v>0</v>
      </c>
      <c r="O135" t="n">
        <v>3</v>
      </c>
      <c r="P135" t="n">
        <v>0</v>
      </c>
      <c r="Q135" t="n">
        <v>3</v>
      </c>
      <c r="R135" s="2" t="inlineStr">
        <is>
          <t>Gammelgransskål
Garnlav
Granticka</t>
        </is>
      </c>
      <c r="S135">
        <f>HYPERLINK("https://klasma.github.io/Logging_2303/artfynd/A 36504-2023 artfynd.xlsx", "A 36504-2023")</f>
        <v/>
      </c>
      <c r="T135">
        <f>HYPERLINK("https://klasma.github.io/Logging_2303/kartor/A 36504-2023 karta.png", "A 36504-2023")</f>
        <v/>
      </c>
      <c r="V135">
        <f>HYPERLINK("https://klasma.github.io/Logging_2303/klagomål/A 36504-2023 FSC-klagomål.docx", "A 36504-2023")</f>
        <v/>
      </c>
      <c r="W135">
        <f>HYPERLINK("https://klasma.github.io/Logging_2303/klagomålsmail/A 36504-2023 FSC-klagomål mail.docx", "A 36504-2023")</f>
        <v/>
      </c>
      <c r="X135">
        <f>HYPERLINK("https://klasma.github.io/Logging_2303/tillsyn/A 36504-2023 tillsynsbegäran.docx", "A 36504-2023")</f>
        <v/>
      </c>
      <c r="Y135">
        <f>HYPERLINK("https://klasma.github.io/Logging_2303/tillsynsmail/A 36504-2023 tillsynsbegäran mail.docx", "A 36504-2023")</f>
        <v/>
      </c>
    </row>
    <row r="136" ht="15" customHeight="1">
      <c r="A136" t="inlineStr">
        <is>
          <t>A 34585-2025</t>
        </is>
      </c>
      <c r="B136" s="1" t="n">
        <v>45847.61498842593</v>
      </c>
      <c r="C136" s="1" t="n">
        <v>46084</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52345-2024</t>
        </is>
      </c>
      <c r="B137" s="1" t="n">
        <v>45609.34412037037</v>
      </c>
      <c r="C137" s="1" t="n">
        <v>46084</v>
      </c>
      <c r="D137" t="inlineStr">
        <is>
          <t>JÄMTLANDS LÄN</t>
        </is>
      </c>
      <c r="E137" t="inlineStr">
        <is>
          <t>RAGUNDA</t>
        </is>
      </c>
      <c r="F137" t="inlineStr">
        <is>
          <t>SCA</t>
        </is>
      </c>
      <c r="G137" t="n">
        <v>10.3</v>
      </c>
      <c r="H137" t="n">
        <v>1</v>
      </c>
      <c r="I137" t="n">
        <v>0</v>
      </c>
      <c r="J137" t="n">
        <v>2</v>
      </c>
      <c r="K137" t="n">
        <v>0</v>
      </c>
      <c r="L137" t="n">
        <v>0</v>
      </c>
      <c r="M137" t="n">
        <v>0</v>
      </c>
      <c r="N137" t="n">
        <v>0</v>
      </c>
      <c r="O137" t="n">
        <v>2</v>
      </c>
      <c r="P137" t="n">
        <v>0</v>
      </c>
      <c r="Q137" t="n">
        <v>3</v>
      </c>
      <c r="R137" s="2" t="inlineStr">
        <is>
          <t>Doftskinn
Koralltaggsvamp
Blåsippa</t>
        </is>
      </c>
      <c r="S137">
        <f>HYPERLINK("https://klasma.github.io/Logging_2303/artfynd/A 52345-2024 artfynd.xlsx", "A 52345-2024")</f>
        <v/>
      </c>
      <c r="T137">
        <f>HYPERLINK("https://klasma.github.io/Logging_2303/kartor/A 52345-2024 karta.png", "A 52345-2024")</f>
        <v/>
      </c>
      <c r="V137">
        <f>HYPERLINK("https://klasma.github.io/Logging_2303/klagomål/A 52345-2024 FSC-klagomål.docx", "A 52345-2024")</f>
        <v/>
      </c>
      <c r="W137">
        <f>HYPERLINK("https://klasma.github.io/Logging_2303/klagomålsmail/A 52345-2024 FSC-klagomål mail.docx", "A 52345-2024")</f>
        <v/>
      </c>
      <c r="X137">
        <f>HYPERLINK("https://klasma.github.io/Logging_2303/tillsyn/A 52345-2024 tillsynsbegäran.docx", "A 52345-2024")</f>
        <v/>
      </c>
      <c r="Y137">
        <f>HYPERLINK("https://klasma.github.io/Logging_2303/tillsynsmail/A 52345-2024 tillsynsbegäran mail.docx", "A 52345-2024")</f>
        <v/>
      </c>
    </row>
    <row r="138" ht="15" customHeight="1">
      <c r="A138" t="inlineStr">
        <is>
          <t>A 32416-2025</t>
        </is>
      </c>
      <c r="B138" s="1" t="n">
        <v>45838</v>
      </c>
      <c r="C138" s="1" t="n">
        <v>46084</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16305-2025</t>
        </is>
      </c>
      <c r="B139" s="1" t="n">
        <v>45751.34650462963</v>
      </c>
      <c r="C139" s="1" t="n">
        <v>46084</v>
      </c>
      <c r="D139" t="inlineStr">
        <is>
          <t>JÄMTLANDS LÄN</t>
        </is>
      </c>
      <c r="E139" t="inlineStr">
        <is>
          <t>RAGUNDA</t>
        </is>
      </c>
      <c r="F139" t="inlineStr">
        <is>
          <t>SCA</t>
        </is>
      </c>
      <c r="G139" t="n">
        <v>2.5</v>
      </c>
      <c r="H139" t="n">
        <v>0</v>
      </c>
      <c r="I139" t="n">
        <v>2</v>
      </c>
      <c r="J139" t="n">
        <v>1</v>
      </c>
      <c r="K139" t="n">
        <v>0</v>
      </c>
      <c r="L139" t="n">
        <v>0</v>
      </c>
      <c r="M139" t="n">
        <v>0</v>
      </c>
      <c r="N139" t="n">
        <v>0</v>
      </c>
      <c r="O139" t="n">
        <v>1</v>
      </c>
      <c r="P139" t="n">
        <v>0</v>
      </c>
      <c r="Q139" t="n">
        <v>3</v>
      </c>
      <c r="R139" s="2" t="inlineStr">
        <is>
          <t>Lunglav
Bollvitmossa
Källmossa</t>
        </is>
      </c>
      <c r="S139">
        <f>HYPERLINK("https://klasma.github.io/Logging_2303/artfynd/A 16305-2025 artfynd.xlsx", "A 16305-2025")</f>
        <v/>
      </c>
      <c r="T139">
        <f>HYPERLINK("https://klasma.github.io/Logging_2303/kartor/A 16305-2025 karta.png", "A 16305-2025")</f>
        <v/>
      </c>
      <c r="V139">
        <f>HYPERLINK("https://klasma.github.io/Logging_2303/klagomål/A 16305-2025 FSC-klagomål.docx", "A 16305-2025")</f>
        <v/>
      </c>
      <c r="W139">
        <f>HYPERLINK("https://klasma.github.io/Logging_2303/klagomålsmail/A 16305-2025 FSC-klagomål mail.docx", "A 16305-2025")</f>
        <v/>
      </c>
      <c r="X139">
        <f>HYPERLINK("https://klasma.github.io/Logging_2303/tillsyn/A 16305-2025 tillsynsbegäran.docx", "A 16305-2025")</f>
        <v/>
      </c>
      <c r="Y139">
        <f>HYPERLINK("https://klasma.github.io/Logging_2303/tillsynsmail/A 16305-2025 tillsynsbegäran mail.docx", "A 16305-2025")</f>
        <v/>
      </c>
    </row>
    <row r="140" ht="15" customHeight="1">
      <c r="A140" t="inlineStr">
        <is>
          <t>A 22730-2023</t>
        </is>
      </c>
      <c r="B140" s="1" t="n">
        <v>45071</v>
      </c>
      <c r="C140" s="1" t="n">
        <v>46084</v>
      </c>
      <c r="D140" t="inlineStr">
        <is>
          <t>JÄMTLANDS LÄN</t>
        </is>
      </c>
      <c r="E140" t="inlineStr">
        <is>
          <t>RAGUNDA</t>
        </is>
      </c>
      <c r="G140" t="n">
        <v>3.6</v>
      </c>
      <c r="H140" t="n">
        <v>0</v>
      </c>
      <c r="I140" t="n">
        <v>0</v>
      </c>
      <c r="J140" t="n">
        <v>3</v>
      </c>
      <c r="K140" t="n">
        <v>0</v>
      </c>
      <c r="L140" t="n">
        <v>0</v>
      </c>
      <c r="M140" t="n">
        <v>0</v>
      </c>
      <c r="N140" t="n">
        <v>0</v>
      </c>
      <c r="O140" t="n">
        <v>3</v>
      </c>
      <c r="P140" t="n">
        <v>0</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53022-2022</t>
        </is>
      </c>
      <c r="B141" s="1" t="n">
        <v>44875</v>
      </c>
      <c r="C141" s="1" t="n">
        <v>46084</v>
      </c>
      <c r="D141" t="inlineStr">
        <is>
          <t>JÄMTLANDS LÄN</t>
        </is>
      </c>
      <c r="E141" t="inlineStr">
        <is>
          <t>RAGUNDA</t>
        </is>
      </c>
      <c r="F141" t="inlineStr">
        <is>
          <t>SCA</t>
        </is>
      </c>
      <c r="G141" t="n">
        <v>2.7</v>
      </c>
      <c r="H141" t="n">
        <v>0</v>
      </c>
      <c r="I141" t="n">
        <v>1</v>
      </c>
      <c r="J141" t="n">
        <v>2</v>
      </c>
      <c r="K141" t="n">
        <v>0</v>
      </c>
      <c r="L141" t="n">
        <v>0</v>
      </c>
      <c r="M141" t="n">
        <v>0</v>
      </c>
      <c r="N141" t="n">
        <v>0</v>
      </c>
      <c r="O141" t="n">
        <v>2</v>
      </c>
      <c r="P141" t="n">
        <v>0</v>
      </c>
      <c r="Q141" t="n">
        <v>3</v>
      </c>
      <c r="R141" s="2" t="inlineStr">
        <is>
          <t>Garnlav
Lunglav
Dropptaggsvamp</t>
        </is>
      </c>
      <c r="S141">
        <f>HYPERLINK("https://klasma.github.io/Logging_2303/artfynd/A 53022-2022 artfynd.xlsx", "A 53022-2022")</f>
        <v/>
      </c>
      <c r="T141">
        <f>HYPERLINK("https://klasma.github.io/Logging_2303/kartor/A 53022-2022 karta.png", "A 53022-2022")</f>
        <v/>
      </c>
      <c r="V141">
        <f>HYPERLINK("https://klasma.github.io/Logging_2303/klagomål/A 53022-2022 FSC-klagomål.docx", "A 53022-2022")</f>
        <v/>
      </c>
      <c r="W141">
        <f>HYPERLINK("https://klasma.github.io/Logging_2303/klagomålsmail/A 53022-2022 FSC-klagomål mail.docx", "A 53022-2022")</f>
        <v/>
      </c>
      <c r="X141">
        <f>HYPERLINK("https://klasma.github.io/Logging_2303/tillsyn/A 53022-2022 tillsynsbegäran.docx", "A 53022-2022")</f>
        <v/>
      </c>
      <c r="Y141">
        <f>HYPERLINK("https://klasma.github.io/Logging_2303/tillsynsmail/A 53022-2022 tillsynsbegäran mail.docx", "A 53022-2022")</f>
        <v/>
      </c>
    </row>
    <row r="142" ht="15" customHeight="1">
      <c r="A142" t="inlineStr">
        <is>
          <t>A 57667-2025</t>
        </is>
      </c>
      <c r="B142" s="1" t="n">
        <v>45981.42767361111</v>
      </c>
      <c r="C142" s="1" t="n">
        <v>46084</v>
      </c>
      <c r="D142" t="inlineStr">
        <is>
          <t>JÄMTLANDS LÄN</t>
        </is>
      </c>
      <c r="E142" t="inlineStr">
        <is>
          <t>RAGUNDA</t>
        </is>
      </c>
      <c r="F142" t="inlineStr">
        <is>
          <t>SCA</t>
        </is>
      </c>
      <c r="G142" t="n">
        <v>1.7</v>
      </c>
      <c r="H142" t="n">
        <v>0</v>
      </c>
      <c r="I142" t="n">
        <v>2</v>
      </c>
      <c r="J142" t="n">
        <v>1</v>
      </c>
      <c r="K142" t="n">
        <v>0</v>
      </c>
      <c r="L142" t="n">
        <v>0</v>
      </c>
      <c r="M142" t="n">
        <v>0</v>
      </c>
      <c r="N142" t="n">
        <v>0</v>
      </c>
      <c r="O142" t="n">
        <v>1</v>
      </c>
      <c r="P142" t="n">
        <v>0</v>
      </c>
      <c r="Q142" t="n">
        <v>3</v>
      </c>
      <c r="R142" s="2" t="inlineStr">
        <is>
          <t>Lunglav
Korallblylav
Luddlav</t>
        </is>
      </c>
      <c r="S142">
        <f>HYPERLINK("https://klasma.github.io/Logging_2303/artfynd/A 57667-2025 artfynd.xlsx", "A 57667-2025")</f>
        <v/>
      </c>
      <c r="T142">
        <f>HYPERLINK("https://klasma.github.io/Logging_2303/kartor/A 57667-2025 karta.png", "A 57667-2025")</f>
        <v/>
      </c>
      <c r="V142">
        <f>HYPERLINK("https://klasma.github.io/Logging_2303/klagomål/A 57667-2025 FSC-klagomål.docx", "A 57667-2025")</f>
        <v/>
      </c>
      <c r="W142">
        <f>HYPERLINK("https://klasma.github.io/Logging_2303/klagomålsmail/A 57667-2025 FSC-klagomål mail.docx", "A 57667-2025")</f>
        <v/>
      </c>
      <c r="X142">
        <f>HYPERLINK("https://klasma.github.io/Logging_2303/tillsyn/A 57667-2025 tillsynsbegäran.docx", "A 57667-2025")</f>
        <v/>
      </c>
      <c r="Y142">
        <f>HYPERLINK("https://klasma.github.io/Logging_2303/tillsynsmail/A 57667-2025 tillsynsbegäran mail.docx", "A 57667-2025")</f>
        <v/>
      </c>
    </row>
    <row r="143" ht="15" customHeight="1">
      <c r="A143" t="inlineStr">
        <is>
          <t>A 59179-2025</t>
        </is>
      </c>
      <c r="B143" s="1" t="n">
        <v>45988.57350694444</v>
      </c>
      <c r="C143" s="1" t="n">
        <v>46084</v>
      </c>
      <c r="D143" t="inlineStr">
        <is>
          <t>JÄMTLANDS LÄN</t>
        </is>
      </c>
      <c r="E143" t="inlineStr">
        <is>
          <t>RAGUNDA</t>
        </is>
      </c>
      <c r="F143" t="inlineStr">
        <is>
          <t>SCA</t>
        </is>
      </c>
      <c r="G143" t="n">
        <v>2.3</v>
      </c>
      <c r="H143" t="n">
        <v>0</v>
      </c>
      <c r="I143" t="n">
        <v>0</v>
      </c>
      <c r="J143" t="n">
        <v>3</v>
      </c>
      <c r="K143" t="n">
        <v>0</v>
      </c>
      <c r="L143" t="n">
        <v>0</v>
      </c>
      <c r="M143" t="n">
        <v>0</v>
      </c>
      <c r="N143" t="n">
        <v>0</v>
      </c>
      <c r="O143" t="n">
        <v>3</v>
      </c>
      <c r="P143" t="n">
        <v>0</v>
      </c>
      <c r="Q143" t="n">
        <v>3</v>
      </c>
      <c r="R143" s="2" t="inlineStr">
        <is>
          <t>Garnlav
Kolflarnlav
Lunglav</t>
        </is>
      </c>
      <c r="S143">
        <f>HYPERLINK("https://klasma.github.io/Logging_2303/artfynd/A 59179-2025 artfynd.xlsx", "A 59179-2025")</f>
        <v/>
      </c>
      <c r="T143">
        <f>HYPERLINK("https://klasma.github.io/Logging_2303/kartor/A 59179-2025 karta.png", "A 59179-2025")</f>
        <v/>
      </c>
      <c r="V143">
        <f>HYPERLINK("https://klasma.github.io/Logging_2303/klagomål/A 59179-2025 FSC-klagomål.docx", "A 59179-2025")</f>
        <v/>
      </c>
      <c r="W143">
        <f>HYPERLINK("https://klasma.github.io/Logging_2303/klagomålsmail/A 59179-2025 FSC-klagomål mail.docx", "A 59179-2025")</f>
        <v/>
      </c>
      <c r="X143">
        <f>HYPERLINK("https://klasma.github.io/Logging_2303/tillsyn/A 59179-2025 tillsynsbegäran.docx", "A 59179-2025")</f>
        <v/>
      </c>
      <c r="Y143">
        <f>HYPERLINK("https://klasma.github.io/Logging_2303/tillsynsmail/A 59179-2025 tillsynsbegäran mail.docx", "A 59179-2025")</f>
        <v/>
      </c>
    </row>
    <row r="144" ht="15" customHeight="1">
      <c r="A144" t="inlineStr">
        <is>
          <t>A 61954-2025</t>
        </is>
      </c>
      <c r="B144" s="1" t="n">
        <v>46003.57381944444</v>
      </c>
      <c r="C144" s="1" t="n">
        <v>46084</v>
      </c>
      <c r="D144" t="inlineStr">
        <is>
          <t>JÄMTLANDS LÄN</t>
        </is>
      </c>
      <c r="E144" t="inlineStr">
        <is>
          <t>RAGUNDA</t>
        </is>
      </c>
      <c r="F144" t="inlineStr">
        <is>
          <t>SCA</t>
        </is>
      </c>
      <c r="G144" t="n">
        <v>6.5</v>
      </c>
      <c r="H144" t="n">
        <v>0</v>
      </c>
      <c r="I144" t="n">
        <v>1</v>
      </c>
      <c r="J144" t="n">
        <v>2</v>
      </c>
      <c r="K144" t="n">
        <v>0</v>
      </c>
      <c r="L144" t="n">
        <v>0</v>
      </c>
      <c r="M144" t="n">
        <v>0</v>
      </c>
      <c r="N144" t="n">
        <v>0</v>
      </c>
      <c r="O144" t="n">
        <v>2</v>
      </c>
      <c r="P144" t="n">
        <v>0</v>
      </c>
      <c r="Q144" t="n">
        <v>3</v>
      </c>
      <c r="R144" s="2" t="inlineStr">
        <is>
          <t>Garnlav
Lunglav
Trådticka</t>
        </is>
      </c>
      <c r="S144">
        <f>HYPERLINK("https://klasma.github.io/Logging_2303/artfynd/A 61954-2025 artfynd.xlsx", "A 61954-2025")</f>
        <v/>
      </c>
      <c r="T144">
        <f>HYPERLINK("https://klasma.github.io/Logging_2303/kartor/A 61954-2025 karta.png", "A 61954-2025")</f>
        <v/>
      </c>
      <c r="V144">
        <f>HYPERLINK("https://klasma.github.io/Logging_2303/klagomål/A 61954-2025 FSC-klagomål.docx", "A 61954-2025")</f>
        <v/>
      </c>
      <c r="W144">
        <f>HYPERLINK("https://klasma.github.io/Logging_2303/klagomålsmail/A 61954-2025 FSC-klagomål mail.docx", "A 61954-2025")</f>
        <v/>
      </c>
      <c r="X144">
        <f>HYPERLINK("https://klasma.github.io/Logging_2303/tillsyn/A 61954-2025 tillsynsbegäran.docx", "A 61954-2025")</f>
        <v/>
      </c>
      <c r="Y144">
        <f>HYPERLINK("https://klasma.github.io/Logging_2303/tillsynsmail/A 61954-2025 tillsynsbegäran mail.docx", "A 61954-2025")</f>
        <v/>
      </c>
    </row>
    <row r="145" ht="15" customHeight="1">
      <c r="A145" t="inlineStr">
        <is>
          <t>A 57941-2024</t>
        </is>
      </c>
      <c r="B145" s="1" t="n">
        <v>45631</v>
      </c>
      <c r="C145" s="1" t="n">
        <v>46084</v>
      </c>
      <c r="D145" t="inlineStr">
        <is>
          <t>JÄMTLANDS LÄN</t>
        </is>
      </c>
      <c r="E145" t="inlineStr">
        <is>
          <t>RAGUNDA</t>
        </is>
      </c>
      <c r="F145" t="inlineStr">
        <is>
          <t>SCA</t>
        </is>
      </c>
      <c r="G145" t="n">
        <v>4.2</v>
      </c>
      <c r="H145" t="n">
        <v>1</v>
      </c>
      <c r="I145" t="n">
        <v>0</v>
      </c>
      <c r="J145" t="n">
        <v>3</v>
      </c>
      <c r="K145" t="n">
        <v>0</v>
      </c>
      <c r="L145" t="n">
        <v>0</v>
      </c>
      <c r="M145" t="n">
        <v>0</v>
      </c>
      <c r="N145" t="n">
        <v>0</v>
      </c>
      <c r="O145" t="n">
        <v>3</v>
      </c>
      <c r="P145" t="n">
        <v>0</v>
      </c>
      <c r="Q145" t="n">
        <v>3</v>
      </c>
      <c r="R145" s="2" t="inlineStr">
        <is>
          <t>Garnlav
Lunglav
Tretåig hackspett</t>
        </is>
      </c>
      <c r="S145">
        <f>HYPERLINK("https://klasma.github.io/Logging_2303/artfynd/A 57941-2024 artfynd.xlsx", "A 57941-2024")</f>
        <v/>
      </c>
      <c r="T145">
        <f>HYPERLINK("https://klasma.github.io/Logging_2303/kartor/A 57941-2024 karta.png", "A 57941-2024")</f>
        <v/>
      </c>
      <c r="V145">
        <f>HYPERLINK("https://klasma.github.io/Logging_2303/klagomål/A 57941-2024 FSC-klagomål.docx", "A 57941-2024")</f>
        <v/>
      </c>
      <c r="W145">
        <f>HYPERLINK("https://klasma.github.io/Logging_2303/klagomålsmail/A 57941-2024 FSC-klagomål mail.docx", "A 57941-2024")</f>
        <v/>
      </c>
      <c r="X145">
        <f>HYPERLINK("https://klasma.github.io/Logging_2303/tillsyn/A 57941-2024 tillsynsbegäran.docx", "A 57941-2024")</f>
        <v/>
      </c>
      <c r="Y145">
        <f>HYPERLINK("https://klasma.github.io/Logging_2303/tillsynsmail/A 57941-2024 tillsynsbegäran mail.docx", "A 57941-2024")</f>
        <v/>
      </c>
      <c r="Z145">
        <f>HYPERLINK("https://klasma.github.io/Logging_2303/fåglar/A 57941-2024 prioriterade fågelarter.docx", "A 57941-2024")</f>
        <v/>
      </c>
    </row>
    <row r="146" ht="15" customHeight="1">
      <c r="A146" t="inlineStr">
        <is>
          <t>A 5731-2026</t>
        </is>
      </c>
      <c r="B146" s="1" t="n">
        <v>46051.57355324074</v>
      </c>
      <c r="C146" s="1" t="n">
        <v>46084</v>
      </c>
      <c r="D146" t="inlineStr">
        <is>
          <t>JÄMTLANDS LÄN</t>
        </is>
      </c>
      <c r="E146" t="inlineStr">
        <is>
          <t>RAGUNDA</t>
        </is>
      </c>
      <c r="F146" t="inlineStr">
        <is>
          <t>SCA</t>
        </is>
      </c>
      <c r="G146" t="n">
        <v>2</v>
      </c>
      <c r="H146" t="n">
        <v>1</v>
      </c>
      <c r="I146" t="n">
        <v>0</v>
      </c>
      <c r="J146" t="n">
        <v>2</v>
      </c>
      <c r="K146" t="n">
        <v>0</v>
      </c>
      <c r="L146" t="n">
        <v>0</v>
      </c>
      <c r="M146" t="n">
        <v>0</v>
      </c>
      <c r="N146" t="n">
        <v>0</v>
      </c>
      <c r="O146" t="n">
        <v>2</v>
      </c>
      <c r="P146" t="n">
        <v>0</v>
      </c>
      <c r="Q146" t="n">
        <v>3</v>
      </c>
      <c r="R146" s="2" t="inlineStr">
        <is>
          <t>Garnlav
Lunglav
Lavskrika</t>
        </is>
      </c>
      <c r="S146">
        <f>HYPERLINK("https://klasma.github.io/Logging_2303/artfynd/A 5731-2026 artfynd.xlsx", "A 5731-2026")</f>
        <v/>
      </c>
      <c r="T146">
        <f>HYPERLINK("https://klasma.github.io/Logging_2303/kartor/A 5731-2026 karta.png", "A 5731-2026")</f>
        <v/>
      </c>
      <c r="V146">
        <f>HYPERLINK("https://klasma.github.io/Logging_2303/klagomål/A 5731-2026 FSC-klagomål.docx", "A 5731-2026")</f>
        <v/>
      </c>
      <c r="W146">
        <f>HYPERLINK("https://klasma.github.io/Logging_2303/klagomålsmail/A 5731-2026 FSC-klagomål mail.docx", "A 5731-2026")</f>
        <v/>
      </c>
      <c r="X146">
        <f>HYPERLINK("https://klasma.github.io/Logging_2303/tillsyn/A 5731-2026 tillsynsbegäran.docx", "A 5731-2026")</f>
        <v/>
      </c>
      <c r="Y146">
        <f>HYPERLINK("https://klasma.github.io/Logging_2303/tillsynsmail/A 5731-2026 tillsynsbegäran mail.docx", "A 5731-2026")</f>
        <v/>
      </c>
      <c r="Z146">
        <f>HYPERLINK("https://klasma.github.io/Logging_2303/fåglar/A 5731-2026 prioriterade fågelarter.docx", "A 5731-2026")</f>
        <v/>
      </c>
    </row>
    <row r="147" ht="15" customHeight="1">
      <c r="A147" t="inlineStr">
        <is>
          <t>A 30470-2024</t>
        </is>
      </c>
      <c r="B147" s="1" t="n">
        <v>45491</v>
      </c>
      <c r="C147" s="1" t="n">
        <v>46084</v>
      </c>
      <c r="D147" t="inlineStr">
        <is>
          <t>JÄMTLANDS LÄN</t>
        </is>
      </c>
      <c r="E147" t="inlineStr">
        <is>
          <t>RAGUNDA</t>
        </is>
      </c>
      <c r="F147" t="inlineStr">
        <is>
          <t>SCA</t>
        </is>
      </c>
      <c r="G147" t="n">
        <v>1.4</v>
      </c>
      <c r="H147" t="n">
        <v>2</v>
      </c>
      <c r="I147" t="n">
        <v>0</v>
      </c>
      <c r="J147" t="n">
        <v>2</v>
      </c>
      <c r="K147" t="n">
        <v>1</v>
      </c>
      <c r="L147" t="n">
        <v>0</v>
      </c>
      <c r="M147" t="n">
        <v>0</v>
      </c>
      <c r="N147" t="n">
        <v>0</v>
      </c>
      <c r="O147" t="n">
        <v>3</v>
      </c>
      <c r="P147" t="n">
        <v>1</v>
      </c>
      <c r="Q147" t="n">
        <v>3</v>
      </c>
      <c r="R147" s="2" t="inlineStr">
        <is>
          <t>Knärot
Lunglav
Tretåig hackspett</t>
        </is>
      </c>
      <c r="S147">
        <f>HYPERLINK("https://klasma.github.io/Logging_2303/artfynd/A 30470-2024 artfynd.xlsx", "A 30470-2024")</f>
        <v/>
      </c>
      <c r="T147">
        <f>HYPERLINK("https://klasma.github.io/Logging_2303/kartor/A 30470-2024 karta.png", "A 30470-2024")</f>
        <v/>
      </c>
      <c r="U147">
        <f>HYPERLINK("https://klasma.github.io/Logging_2303/knärot/A 30470-2024 karta knärot.png", "A 30470-2024")</f>
        <v/>
      </c>
      <c r="V147">
        <f>HYPERLINK("https://klasma.github.io/Logging_2303/klagomål/A 30470-2024 FSC-klagomål.docx", "A 30470-2024")</f>
        <v/>
      </c>
      <c r="W147">
        <f>HYPERLINK("https://klasma.github.io/Logging_2303/klagomålsmail/A 30470-2024 FSC-klagomål mail.docx", "A 30470-2024")</f>
        <v/>
      </c>
      <c r="X147">
        <f>HYPERLINK("https://klasma.github.io/Logging_2303/tillsyn/A 30470-2024 tillsynsbegäran.docx", "A 30470-2024")</f>
        <v/>
      </c>
      <c r="Y147">
        <f>HYPERLINK("https://klasma.github.io/Logging_2303/tillsynsmail/A 30470-2024 tillsynsbegäran mail.docx", "A 30470-2024")</f>
        <v/>
      </c>
      <c r="Z147">
        <f>HYPERLINK("https://klasma.github.io/Logging_2303/fåglar/A 30470-2024 prioriterade fågelarter.docx", "A 30470-2024")</f>
        <v/>
      </c>
    </row>
    <row r="148" ht="15" customHeight="1">
      <c r="A148" t="inlineStr">
        <is>
          <t>A 58737-2022</t>
        </is>
      </c>
      <c r="B148" s="1" t="n">
        <v>44902</v>
      </c>
      <c r="C148" s="1" t="n">
        <v>46084</v>
      </c>
      <c r="D148" t="inlineStr">
        <is>
          <t>JÄMTLANDS LÄN</t>
        </is>
      </c>
      <c r="E148" t="inlineStr">
        <is>
          <t>RAGUNDA</t>
        </is>
      </c>
      <c r="F148" t="inlineStr">
        <is>
          <t>SCA</t>
        </is>
      </c>
      <c r="G148" t="n">
        <v>2.7</v>
      </c>
      <c r="H148" t="n">
        <v>0</v>
      </c>
      <c r="I148" t="n">
        <v>2</v>
      </c>
      <c r="J148" t="n">
        <v>1</v>
      </c>
      <c r="K148" t="n">
        <v>0</v>
      </c>
      <c r="L148" t="n">
        <v>0</v>
      </c>
      <c r="M148" t="n">
        <v>0</v>
      </c>
      <c r="N148" t="n">
        <v>0</v>
      </c>
      <c r="O148" t="n">
        <v>1</v>
      </c>
      <c r="P148" t="n">
        <v>0</v>
      </c>
      <c r="Q148" t="n">
        <v>3</v>
      </c>
      <c r="R148" s="2" t="inlineStr">
        <is>
          <t>Garnlav
Källmossor
Stuplav</t>
        </is>
      </c>
      <c r="S148">
        <f>HYPERLINK("https://klasma.github.io/Logging_2303/artfynd/A 58737-2022 artfynd.xlsx", "A 58737-2022")</f>
        <v/>
      </c>
      <c r="T148">
        <f>HYPERLINK("https://klasma.github.io/Logging_2303/kartor/A 58737-2022 karta.png", "A 58737-2022")</f>
        <v/>
      </c>
      <c r="V148">
        <f>HYPERLINK("https://klasma.github.io/Logging_2303/klagomål/A 58737-2022 FSC-klagomål.docx", "A 58737-2022")</f>
        <v/>
      </c>
      <c r="W148">
        <f>HYPERLINK("https://klasma.github.io/Logging_2303/klagomålsmail/A 58737-2022 FSC-klagomål mail.docx", "A 58737-2022")</f>
        <v/>
      </c>
      <c r="X148">
        <f>HYPERLINK("https://klasma.github.io/Logging_2303/tillsyn/A 58737-2022 tillsynsbegäran.docx", "A 58737-2022")</f>
        <v/>
      </c>
      <c r="Y148">
        <f>HYPERLINK("https://klasma.github.io/Logging_2303/tillsynsmail/A 58737-2022 tillsynsbegäran mail.docx", "A 58737-2022")</f>
        <v/>
      </c>
    </row>
    <row r="149" ht="15" customHeight="1">
      <c r="A149" t="inlineStr">
        <is>
          <t>A 33432-2023</t>
        </is>
      </c>
      <c r="B149" s="1" t="n">
        <v>45128</v>
      </c>
      <c r="C149" s="1" t="n">
        <v>46084</v>
      </c>
      <c r="D149" t="inlineStr">
        <is>
          <t>JÄMTLANDS LÄN</t>
        </is>
      </c>
      <c r="E149" t="inlineStr">
        <is>
          <t>RAGUNDA</t>
        </is>
      </c>
      <c r="F149" t="inlineStr">
        <is>
          <t>SCA</t>
        </is>
      </c>
      <c r="G149" t="n">
        <v>10</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HYPERLINK("https://klasma.github.io/Logging_2303/artfynd/A 33432-2023 artfynd.xlsx", "A 33432-2023")</f>
        <v/>
      </c>
      <c r="T149">
        <f>HYPERLINK("https://klasma.github.io/Logging_2303/kartor/A 33432-2023 karta.png", "A 33432-2023")</f>
        <v/>
      </c>
      <c r="V149">
        <f>HYPERLINK("https://klasma.github.io/Logging_2303/klagomål/A 33432-2023 FSC-klagomål.docx", "A 33432-2023")</f>
        <v/>
      </c>
      <c r="W149">
        <f>HYPERLINK("https://klasma.github.io/Logging_2303/klagomålsmail/A 33432-2023 FSC-klagomål mail.docx", "A 33432-2023")</f>
        <v/>
      </c>
      <c r="X149">
        <f>HYPERLINK("https://klasma.github.io/Logging_2303/tillsyn/A 33432-2023 tillsynsbegäran.docx", "A 33432-2023")</f>
        <v/>
      </c>
      <c r="Y149">
        <f>HYPERLINK("https://klasma.github.io/Logging_2303/tillsynsmail/A 33432-2023 tillsynsbegäran mail.docx", "A 33432-2023")</f>
        <v/>
      </c>
      <c r="Z149">
        <f>HYPERLINK("https://klasma.github.io/Logging_2303/fåglar/A 33432-2023 prioriterade fågelarter.docx", "A 33432-2023")</f>
        <v/>
      </c>
    </row>
    <row r="150" ht="15" customHeight="1">
      <c r="A150" t="inlineStr">
        <is>
          <t>A 28178-2023</t>
        </is>
      </c>
      <c r="B150" s="1" t="n">
        <v>45093</v>
      </c>
      <c r="C150" s="1" t="n">
        <v>46084</v>
      </c>
      <c r="D150" t="inlineStr">
        <is>
          <t>JÄMTLANDS LÄN</t>
        </is>
      </c>
      <c r="E150" t="inlineStr">
        <is>
          <t>RAGUNDA</t>
        </is>
      </c>
      <c r="G150" t="n">
        <v>5.6</v>
      </c>
      <c r="H150" t="n">
        <v>0</v>
      </c>
      <c r="I150" t="n">
        <v>0</v>
      </c>
      <c r="J150" t="n">
        <v>3</v>
      </c>
      <c r="K150" t="n">
        <v>0</v>
      </c>
      <c r="L150" t="n">
        <v>0</v>
      </c>
      <c r="M150" t="n">
        <v>0</v>
      </c>
      <c r="N150" t="n">
        <v>0</v>
      </c>
      <c r="O150" t="n">
        <v>3</v>
      </c>
      <c r="P150" t="n">
        <v>0</v>
      </c>
      <c r="Q150" t="n">
        <v>3</v>
      </c>
      <c r="R150" s="2" t="inlineStr">
        <is>
          <t>Garnlav
Gultoppig fingersvamp
Violettgrå tagellav</t>
        </is>
      </c>
      <c r="S150">
        <f>HYPERLINK("https://klasma.github.io/Logging_2303/artfynd/A 28178-2023 artfynd.xlsx", "A 28178-2023")</f>
        <v/>
      </c>
      <c r="T150">
        <f>HYPERLINK("https://klasma.github.io/Logging_2303/kartor/A 28178-2023 karta.png", "A 28178-2023")</f>
        <v/>
      </c>
      <c r="V150">
        <f>HYPERLINK("https://klasma.github.io/Logging_2303/klagomål/A 28178-2023 FSC-klagomål.docx", "A 28178-2023")</f>
        <v/>
      </c>
      <c r="W150">
        <f>HYPERLINK("https://klasma.github.io/Logging_2303/klagomålsmail/A 28178-2023 FSC-klagomål mail.docx", "A 28178-2023")</f>
        <v/>
      </c>
      <c r="X150">
        <f>HYPERLINK("https://klasma.github.io/Logging_2303/tillsyn/A 28178-2023 tillsynsbegäran.docx", "A 28178-2023")</f>
        <v/>
      </c>
      <c r="Y150">
        <f>HYPERLINK("https://klasma.github.io/Logging_2303/tillsynsmail/A 28178-2023 tillsynsbegäran mail.docx", "A 28178-2023")</f>
        <v/>
      </c>
    </row>
    <row r="151" ht="15" customHeight="1">
      <c r="A151" t="inlineStr">
        <is>
          <t>A 49047-2023</t>
        </is>
      </c>
      <c r="B151" s="1" t="n">
        <v>45209</v>
      </c>
      <c r="C151" s="1" t="n">
        <v>46084</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14814-2024</t>
        </is>
      </c>
      <c r="B152" s="1" t="n">
        <v>45397.95748842593</v>
      </c>
      <c r="C152" s="1" t="n">
        <v>46084</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33278-2022</t>
        </is>
      </c>
      <c r="B153" s="1" t="n">
        <v>44788</v>
      </c>
      <c r="C153" s="1" t="n">
        <v>46084</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7519-2023</t>
        </is>
      </c>
      <c r="B154" s="1" t="n">
        <v>44971</v>
      </c>
      <c r="C154" s="1" t="n">
        <v>46084</v>
      </c>
      <c r="D154" t="inlineStr">
        <is>
          <t>JÄMTLANDS LÄN</t>
        </is>
      </c>
      <c r="E154" t="inlineStr">
        <is>
          <t>RAGUNDA</t>
        </is>
      </c>
      <c r="F154" t="inlineStr">
        <is>
          <t>SCA</t>
        </is>
      </c>
      <c r="G154" t="n">
        <v>3.2</v>
      </c>
      <c r="H154" t="n">
        <v>0</v>
      </c>
      <c r="I154" t="n">
        <v>1</v>
      </c>
      <c r="J154" t="n">
        <v>2</v>
      </c>
      <c r="K154" t="n">
        <v>0</v>
      </c>
      <c r="L154" t="n">
        <v>0</v>
      </c>
      <c r="M154" t="n">
        <v>0</v>
      </c>
      <c r="N154" t="n">
        <v>0</v>
      </c>
      <c r="O154" t="n">
        <v>2</v>
      </c>
      <c r="P154" t="n">
        <v>0</v>
      </c>
      <c r="Q154" t="n">
        <v>3</v>
      </c>
      <c r="R154" s="2" t="inlineStr">
        <is>
          <t>Granticka
Lunglav
Stor aspticka</t>
        </is>
      </c>
      <c r="S154">
        <f>HYPERLINK("https://klasma.github.io/Logging_2303/artfynd/A 7519-2023 artfynd.xlsx", "A 7519-2023")</f>
        <v/>
      </c>
      <c r="T154">
        <f>HYPERLINK("https://klasma.github.io/Logging_2303/kartor/A 7519-2023 karta.png", "A 7519-2023")</f>
        <v/>
      </c>
      <c r="V154">
        <f>HYPERLINK("https://klasma.github.io/Logging_2303/klagomål/A 7519-2023 FSC-klagomål.docx", "A 7519-2023")</f>
        <v/>
      </c>
      <c r="W154">
        <f>HYPERLINK("https://klasma.github.io/Logging_2303/klagomålsmail/A 7519-2023 FSC-klagomål mail.docx", "A 7519-2023")</f>
        <v/>
      </c>
      <c r="X154">
        <f>HYPERLINK("https://klasma.github.io/Logging_2303/tillsyn/A 7519-2023 tillsynsbegäran.docx", "A 7519-2023")</f>
        <v/>
      </c>
      <c r="Y154">
        <f>HYPERLINK("https://klasma.github.io/Logging_2303/tillsynsmail/A 7519-2023 tillsynsbegäran mail.docx", "A 7519-2023")</f>
        <v/>
      </c>
    </row>
    <row r="155" ht="15" customHeight="1">
      <c r="A155" t="inlineStr">
        <is>
          <t>A 12737-2025</t>
        </is>
      </c>
      <c r="B155" s="1" t="n">
        <v>45733</v>
      </c>
      <c r="C155" s="1" t="n">
        <v>46084</v>
      </c>
      <c r="D155" t="inlineStr">
        <is>
          <t>JÄMTLANDS LÄN</t>
        </is>
      </c>
      <c r="E155" t="inlineStr">
        <is>
          <t>RAGUNDA</t>
        </is>
      </c>
      <c r="G155" t="n">
        <v>16.1</v>
      </c>
      <c r="H155" t="n">
        <v>2</v>
      </c>
      <c r="I155" t="n">
        <v>2</v>
      </c>
      <c r="J155" t="n">
        <v>0</v>
      </c>
      <c r="K155" t="n">
        <v>1</v>
      </c>
      <c r="L155" t="n">
        <v>0</v>
      </c>
      <c r="M155" t="n">
        <v>0</v>
      </c>
      <c r="N155" t="n">
        <v>0</v>
      </c>
      <c r="O155" t="n">
        <v>1</v>
      </c>
      <c r="P155" t="n">
        <v>1</v>
      </c>
      <c r="Q155" t="n">
        <v>3</v>
      </c>
      <c r="R155" s="2" t="inlineStr">
        <is>
          <t>Knärot
Plattlummer
Skarp dropptaggsvamp</t>
        </is>
      </c>
      <c r="S155">
        <f>HYPERLINK("https://klasma.github.io/Logging_2303/artfynd/A 12737-2025 artfynd.xlsx", "A 12737-2025")</f>
        <v/>
      </c>
      <c r="T155">
        <f>HYPERLINK("https://klasma.github.io/Logging_2303/kartor/A 12737-2025 karta.png", "A 12737-2025")</f>
        <v/>
      </c>
      <c r="U155">
        <f>HYPERLINK("https://klasma.github.io/Logging_2303/knärot/A 12737-2025 karta knärot.png", "A 12737-2025")</f>
        <v/>
      </c>
      <c r="V155">
        <f>HYPERLINK("https://klasma.github.io/Logging_2303/klagomål/A 12737-2025 FSC-klagomål.docx", "A 12737-2025")</f>
        <v/>
      </c>
      <c r="W155">
        <f>HYPERLINK("https://klasma.github.io/Logging_2303/klagomålsmail/A 12737-2025 FSC-klagomål mail.docx", "A 12737-2025")</f>
        <v/>
      </c>
      <c r="X155">
        <f>HYPERLINK("https://klasma.github.io/Logging_2303/tillsyn/A 12737-2025 tillsynsbegäran.docx", "A 12737-2025")</f>
        <v/>
      </c>
      <c r="Y155">
        <f>HYPERLINK("https://klasma.github.io/Logging_2303/tillsynsmail/A 12737-2025 tillsynsbegäran mail.docx", "A 12737-2025")</f>
        <v/>
      </c>
    </row>
    <row r="156" ht="15" customHeight="1">
      <c r="A156" t="inlineStr">
        <is>
          <t>A 5048-2025</t>
        </is>
      </c>
      <c r="B156" s="1" t="n">
        <v>45691.44769675926</v>
      </c>
      <c r="C156" s="1" t="n">
        <v>46084</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46084</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46084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44409-2023</t>
        </is>
      </c>
      <c r="B159" s="1" t="n">
        <v>45188</v>
      </c>
      <c r="C159" s="1" t="n">
        <v>46084</v>
      </c>
      <c r="D159" t="inlineStr">
        <is>
          <t>JÄMTLANDS LÄN</t>
        </is>
      </c>
      <c r="E159" t="inlineStr">
        <is>
          <t>RAGUNDA</t>
        </is>
      </c>
      <c r="F159" t="inlineStr">
        <is>
          <t>SCA</t>
        </is>
      </c>
      <c r="G159" t="n">
        <v>2.5</v>
      </c>
      <c r="H159" t="n">
        <v>0</v>
      </c>
      <c r="I159" t="n">
        <v>1</v>
      </c>
      <c r="J159" t="n">
        <v>1</v>
      </c>
      <c r="K159" t="n">
        <v>0</v>
      </c>
      <c r="L159" t="n">
        <v>0</v>
      </c>
      <c r="M159" t="n">
        <v>0</v>
      </c>
      <c r="N159" t="n">
        <v>0</v>
      </c>
      <c r="O159" t="n">
        <v>1</v>
      </c>
      <c r="P159" t="n">
        <v>0</v>
      </c>
      <c r="Q159" t="n">
        <v>2</v>
      </c>
      <c r="R159" s="2" t="inlineStr">
        <is>
          <t>Garnlav
Norrlandslav</t>
        </is>
      </c>
      <c r="S159">
        <f>HYPERLINK("https://klasma.github.io/Logging_2303/artfynd/A 44409-2023 artfynd.xlsx", "A 44409-2023")</f>
        <v/>
      </c>
      <c r="T159">
        <f>HYPERLINK("https://klasma.github.io/Logging_2303/kartor/A 44409-2023 karta.png", "A 44409-2023")</f>
        <v/>
      </c>
      <c r="V159">
        <f>HYPERLINK("https://klasma.github.io/Logging_2303/klagomål/A 44409-2023 FSC-klagomål.docx", "A 44409-2023")</f>
        <v/>
      </c>
      <c r="W159">
        <f>HYPERLINK("https://klasma.github.io/Logging_2303/klagomålsmail/A 44409-2023 FSC-klagomål mail.docx", "A 44409-2023")</f>
        <v/>
      </c>
      <c r="X159">
        <f>HYPERLINK("https://klasma.github.io/Logging_2303/tillsyn/A 44409-2023 tillsynsbegäran.docx", "A 44409-2023")</f>
        <v/>
      </c>
      <c r="Y159">
        <f>HYPERLINK("https://klasma.github.io/Logging_2303/tillsynsmail/A 44409-2023 tillsynsbegäran mail.docx", "A 44409-2023")</f>
        <v/>
      </c>
    </row>
    <row r="160" ht="15" customHeight="1">
      <c r="A160" t="inlineStr">
        <is>
          <t>A 12271-2024</t>
        </is>
      </c>
      <c r="B160" s="1" t="n">
        <v>45378</v>
      </c>
      <c r="C160" s="1" t="n">
        <v>46084</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34715-2024</t>
        </is>
      </c>
      <c r="B161" s="1" t="n">
        <v>45526.56393518519</v>
      </c>
      <c r="C161" s="1" t="n">
        <v>46084</v>
      </c>
      <c r="D161" t="inlineStr">
        <is>
          <t>JÄMTLANDS LÄN</t>
        </is>
      </c>
      <c r="E161" t="inlineStr">
        <is>
          <t>RAGUNDA</t>
        </is>
      </c>
      <c r="F161" t="inlineStr">
        <is>
          <t>SCA</t>
        </is>
      </c>
      <c r="G161" t="n">
        <v>3</v>
      </c>
      <c r="H161" t="n">
        <v>0</v>
      </c>
      <c r="I161" t="n">
        <v>1</v>
      </c>
      <c r="J161" t="n">
        <v>1</v>
      </c>
      <c r="K161" t="n">
        <v>0</v>
      </c>
      <c r="L161" t="n">
        <v>0</v>
      </c>
      <c r="M161" t="n">
        <v>0</v>
      </c>
      <c r="N161" t="n">
        <v>0</v>
      </c>
      <c r="O161" t="n">
        <v>1</v>
      </c>
      <c r="P161" t="n">
        <v>0</v>
      </c>
      <c r="Q161" t="n">
        <v>2</v>
      </c>
      <c r="R161" s="2" t="inlineStr">
        <is>
          <t>Garnlav
Vedticka</t>
        </is>
      </c>
      <c r="S161">
        <f>HYPERLINK("https://klasma.github.io/Logging_2303/artfynd/A 34715-2024 artfynd.xlsx", "A 34715-2024")</f>
        <v/>
      </c>
      <c r="T161">
        <f>HYPERLINK("https://klasma.github.io/Logging_2303/kartor/A 34715-2024 karta.png", "A 34715-2024")</f>
        <v/>
      </c>
      <c r="V161">
        <f>HYPERLINK("https://klasma.github.io/Logging_2303/klagomål/A 34715-2024 FSC-klagomål.docx", "A 34715-2024")</f>
        <v/>
      </c>
      <c r="W161">
        <f>HYPERLINK("https://klasma.github.io/Logging_2303/klagomålsmail/A 34715-2024 FSC-klagomål mail.docx", "A 34715-2024")</f>
        <v/>
      </c>
      <c r="X161">
        <f>HYPERLINK("https://klasma.github.io/Logging_2303/tillsyn/A 34715-2024 tillsynsbegäran.docx", "A 34715-2024")</f>
        <v/>
      </c>
      <c r="Y161">
        <f>HYPERLINK("https://klasma.github.io/Logging_2303/tillsynsmail/A 34715-2024 tillsynsbegäran mail.docx", "A 34715-2024")</f>
        <v/>
      </c>
    </row>
    <row r="162" ht="15" customHeight="1">
      <c r="A162" t="inlineStr">
        <is>
          <t>A 21245-2025</t>
        </is>
      </c>
      <c r="B162" s="1" t="n">
        <v>45779.57350694444</v>
      </c>
      <c r="C162" s="1" t="n">
        <v>46084</v>
      </c>
      <c r="D162" t="inlineStr">
        <is>
          <t>JÄMTLANDS LÄN</t>
        </is>
      </c>
      <c r="E162" t="inlineStr">
        <is>
          <t>RAGUNDA</t>
        </is>
      </c>
      <c r="F162" t="inlineStr">
        <is>
          <t>SCA</t>
        </is>
      </c>
      <c r="G162" t="n">
        <v>3.7</v>
      </c>
      <c r="H162" t="n">
        <v>1</v>
      </c>
      <c r="I162" t="n">
        <v>0</v>
      </c>
      <c r="J162" t="n">
        <v>1</v>
      </c>
      <c r="K162" t="n">
        <v>0</v>
      </c>
      <c r="L162" t="n">
        <v>0</v>
      </c>
      <c r="M162" t="n">
        <v>0</v>
      </c>
      <c r="N162" t="n">
        <v>0</v>
      </c>
      <c r="O162" t="n">
        <v>1</v>
      </c>
      <c r="P162" t="n">
        <v>0</v>
      </c>
      <c r="Q162" t="n">
        <v>2</v>
      </c>
      <c r="R162" s="2" t="inlineStr">
        <is>
          <t>Garnlav
Tjäder</t>
        </is>
      </c>
      <c r="S162">
        <f>HYPERLINK("https://klasma.github.io/Logging_2303/artfynd/A 21245-2025 artfynd.xlsx", "A 21245-2025")</f>
        <v/>
      </c>
      <c r="T162">
        <f>HYPERLINK("https://klasma.github.io/Logging_2303/kartor/A 21245-2025 karta.png", "A 21245-2025")</f>
        <v/>
      </c>
      <c r="V162">
        <f>HYPERLINK("https://klasma.github.io/Logging_2303/klagomål/A 21245-2025 FSC-klagomål.docx", "A 21245-2025")</f>
        <v/>
      </c>
      <c r="W162">
        <f>HYPERLINK("https://klasma.github.io/Logging_2303/klagomålsmail/A 21245-2025 FSC-klagomål mail.docx", "A 21245-2025")</f>
        <v/>
      </c>
      <c r="X162">
        <f>HYPERLINK("https://klasma.github.io/Logging_2303/tillsyn/A 21245-2025 tillsynsbegäran.docx", "A 21245-2025")</f>
        <v/>
      </c>
      <c r="Y162">
        <f>HYPERLINK("https://klasma.github.io/Logging_2303/tillsynsmail/A 21245-2025 tillsynsbegäran mail.docx", "A 21245-2025")</f>
        <v/>
      </c>
      <c r="Z162">
        <f>HYPERLINK("https://klasma.github.io/Logging_2303/fåglar/A 21245-2025 prioriterade fågelarter.docx", "A 21245-2025")</f>
        <v/>
      </c>
    </row>
    <row r="163" ht="15" customHeight="1">
      <c r="A163" t="inlineStr">
        <is>
          <t>A 10866-2025</t>
        </is>
      </c>
      <c r="B163" s="1" t="n">
        <v>45722.61543981481</v>
      </c>
      <c r="C163" s="1" t="n">
        <v>46084</v>
      </c>
      <c r="D163" t="inlineStr">
        <is>
          <t>JÄMTLANDS LÄN</t>
        </is>
      </c>
      <c r="E163" t="inlineStr">
        <is>
          <t>RAGUNDA</t>
        </is>
      </c>
      <c r="F163" t="inlineStr">
        <is>
          <t>SCA</t>
        </is>
      </c>
      <c r="G163" t="n">
        <v>15.9</v>
      </c>
      <c r="H163" t="n">
        <v>0</v>
      </c>
      <c r="I163" t="n">
        <v>1</v>
      </c>
      <c r="J163" t="n">
        <v>1</v>
      </c>
      <c r="K163" t="n">
        <v>0</v>
      </c>
      <c r="L163" t="n">
        <v>0</v>
      </c>
      <c r="M163" t="n">
        <v>0</v>
      </c>
      <c r="N163" t="n">
        <v>0</v>
      </c>
      <c r="O163" t="n">
        <v>1</v>
      </c>
      <c r="P163" t="n">
        <v>0</v>
      </c>
      <c r="Q163" t="n">
        <v>2</v>
      </c>
      <c r="R163" s="2" t="inlineStr">
        <is>
          <t>Garnlav
Norrlandslav</t>
        </is>
      </c>
      <c r="S163">
        <f>HYPERLINK("https://klasma.github.io/Logging_2303/artfynd/A 10866-2025 artfynd.xlsx", "A 10866-2025")</f>
        <v/>
      </c>
      <c r="T163">
        <f>HYPERLINK("https://klasma.github.io/Logging_2303/kartor/A 10866-2025 karta.png", "A 10866-2025")</f>
        <v/>
      </c>
      <c r="V163">
        <f>HYPERLINK("https://klasma.github.io/Logging_2303/klagomål/A 10866-2025 FSC-klagomål.docx", "A 10866-2025")</f>
        <v/>
      </c>
      <c r="W163">
        <f>HYPERLINK("https://klasma.github.io/Logging_2303/klagomålsmail/A 10866-2025 FSC-klagomål mail.docx", "A 10866-2025")</f>
        <v/>
      </c>
      <c r="X163">
        <f>HYPERLINK("https://klasma.github.io/Logging_2303/tillsyn/A 10866-2025 tillsynsbegäran.docx", "A 10866-2025")</f>
        <v/>
      </c>
      <c r="Y163">
        <f>HYPERLINK("https://klasma.github.io/Logging_2303/tillsynsmail/A 10866-2025 tillsynsbegäran mail.docx", "A 10866-2025")</f>
        <v/>
      </c>
    </row>
    <row r="164" ht="15" customHeight="1">
      <c r="A164" t="inlineStr">
        <is>
          <t>A 10884-2025</t>
        </is>
      </c>
      <c r="B164" s="1" t="n">
        <v>45722.65670138889</v>
      </c>
      <c r="C164" s="1" t="n">
        <v>46084</v>
      </c>
      <c r="D164" t="inlineStr">
        <is>
          <t>JÄMTLANDS LÄN</t>
        </is>
      </c>
      <c r="E164" t="inlineStr">
        <is>
          <t>RAGUNDA</t>
        </is>
      </c>
      <c r="F164" t="inlineStr">
        <is>
          <t>SCA</t>
        </is>
      </c>
      <c r="G164" t="n">
        <v>5.4</v>
      </c>
      <c r="H164" t="n">
        <v>0</v>
      </c>
      <c r="I164" t="n">
        <v>1</v>
      </c>
      <c r="J164" t="n">
        <v>1</v>
      </c>
      <c r="K164" t="n">
        <v>0</v>
      </c>
      <c r="L164" t="n">
        <v>0</v>
      </c>
      <c r="M164" t="n">
        <v>0</v>
      </c>
      <c r="N164" t="n">
        <v>0</v>
      </c>
      <c r="O164" t="n">
        <v>1</v>
      </c>
      <c r="P164" t="n">
        <v>0</v>
      </c>
      <c r="Q164" t="n">
        <v>2</v>
      </c>
      <c r="R164" s="2" t="inlineStr">
        <is>
          <t>Vitgrynig nållav
Dropptaggsvamp</t>
        </is>
      </c>
      <c r="S164">
        <f>HYPERLINK("https://klasma.github.io/Logging_2303/artfynd/A 10884-2025 artfynd.xlsx", "A 10884-2025")</f>
        <v/>
      </c>
      <c r="T164">
        <f>HYPERLINK("https://klasma.github.io/Logging_2303/kartor/A 10884-2025 karta.png", "A 10884-2025")</f>
        <v/>
      </c>
      <c r="V164">
        <f>HYPERLINK("https://klasma.github.io/Logging_2303/klagomål/A 10884-2025 FSC-klagomål.docx", "A 10884-2025")</f>
        <v/>
      </c>
      <c r="W164">
        <f>HYPERLINK("https://klasma.github.io/Logging_2303/klagomålsmail/A 10884-2025 FSC-klagomål mail.docx", "A 10884-2025")</f>
        <v/>
      </c>
      <c r="X164">
        <f>HYPERLINK("https://klasma.github.io/Logging_2303/tillsyn/A 10884-2025 tillsynsbegäran.docx", "A 10884-2025")</f>
        <v/>
      </c>
      <c r="Y164">
        <f>HYPERLINK("https://klasma.github.io/Logging_2303/tillsynsmail/A 10884-2025 tillsynsbegäran mail.docx", "A 10884-2025")</f>
        <v/>
      </c>
    </row>
    <row r="165" ht="15" customHeight="1">
      <c r="A165" t="inlineStr">
        <is>
          <t>A 3838-2024</t>
        </is>
      </c>
      <c r="B165" s="1" t="n">
        <v>45321</v>
      </c>
      <c r="C165" s="1" t="n">
        <v>46084</v>
      </c>
      <c r="D165" t="inlineStr">
        <is>
          <t>JÄMTLANDS LÄN</t>
        </is>
      </c>
      <c r="E165" t="inlineStr">
        <is>
          <t>RAGUNDA</t>
        </is>
      </c>
      <c r="F165" t="inlineStr">
        <is>
          <t>SCA</t>
        </is>
      </c>
      <c r="G165" t="n">
        <v>2</v>
      </c>
      <c r="H165" t="n">
        <v>1</v>
      </c>
      <c r="I165" t="n">
        <v>1</v>
      </c>
      <c r="J165" t="n">
        <v>1</v>
      </c>
      <c r="K165" t="n">
        <v>0</v>
      </c>
      <c r="L165" t="n">
        <v>0</v>
      </c>
      <c r="M165" t="n">
        <v>0</v>
      </c>
      <c r="N165" t="n">
        <v>0</v>
      </c>
      <c r="O165" t="n">
        <v>1</v>
      </c>
      <c r="P165" t="n">
        <v>0</v>
      </c>
      <c r="Q165" t="n">
        <v>2</v>
      </c>
      <c r="R165" s="2" t="inlineStr">
        <is>
          <t>Garnlav
Guckusko</t>
        </is>
      </c>
      <c r="S165">
        <f>HYPERLINK("https://klasma.github.io/Logging_2303/artfynd/A 3838-2024 artfynd.xlsx", "A 3838-2024")</f>
        <v/>
      </c>
      <c r="T165">
        <f>HYPERLINK("https://klasma.github.io/Logging_2303/kartor/A 3838-2024 karta.png", "A 3838-2024")</f>
        <v/>
      </c>
      <c r="V165">
        <f>HYPERLINK("https://klasma.github.io/Logging_2303/klagomål/A 3838-2024 FSC-klagomål.docx", "A 3838-2024")</f>
        <v/>
      </c>
      <c r="W165">
        <f>HYPERLINK("https://klasma.github.io/Logging_2303/klagomålsmail/A 3838-2024 FSC-klagomål mail.docx", "A 3838-2024")</f>
        <v/>
      </c>
      <c r="X165">
        <f>HYPERLINK("https://klasma.github.io/Logging_2303/tillsyn/A 3838-2024 tillsynsbegäran.docx", "A 3838-2024")</f>
        <v/>
      </c>
      <c r="Y165">
        <f>HYPERLINK("https://klasma.github.io/Logging_2303/tillsynsmail/A 3838-2024 tillsynsbegäran mail.docx", "A 3838-2024")</f>
        <v/>
      </c>
    </row>
    <row r="166" ht="15" customHeight="1">
      <c r="A166" t="inlineStr">
        <is>
          <t>A 25155-2025</t>
        </is>
      </c>
      <c r="B166" s="1" t="n">
        <v>45800.42782407408</v>
      </c>
      <c r="C166" s="1" t="n">
        <v>46084</v>
      </c>
      <c r="D166" t="inlineStr">
        <is>
          <t>JÄMTLANDS LÄN</t>
        </is>
      </c>
      <c r="E166" t="inlineStr">
        <is>
          <t>RAGUNDA</t>
        </is>
      </c>
      <c r="F166" t="inlineStr">
        <is>
          <t>SCA</t>
        </is>
      </c>
      <c r="G166" t="n">
        <v>1.7</v>
      </c>
      <c r="H166" t="n">
        <v>1</v>
      </c>
      <c r="I166" t="n">
        <v>0</v>
      </c>
      <c r="J166" t="n">
        <v>1</v>
      </c>
      <c r="K166" t="n">
        <v>0</v>
      </c>
      <c r="L166" t="n">
        <v>0</v>
      </c>
      <c r="M166" t="n">
        <v>0</v>
      </c>
      <c r="N166" t="n">
        <v>0</v>
      </c>
      <c r="O166" t="n">
        <v>1</v>
      </c>
      <c r="P166" t="n">
        <v>0</v>
      </c>
      <c r="Q166" t="n">
        <v>2</v>
      </c>
      <c r="R166" s="2" t="inlineStr">
        <is>
          <t>Kötticka
Fläcknycklar</t>
        </is>
      </c>
      <c r="S166">
        <f>HYPERLINK("https://klasma.github.io/Logging_2303/artfynd/A 25155-2025 artfynd.xlsx", "A 25155-2025")</f>
        <v/>
      </c>
      <c r="T166">
        <f>HYPERLINK("https://klasma.github.io/Logging_2303/kartor/A 25155-2025 karta.png", "A 25155-2025")</f>
        <v/>
      </c>
      <c r="V166">
        <f>HYPERLINK("https://klasma.github.io/Logging_2303/klagomål/A 25155-2025 FSC-klagomål.docx", "A 25155-2025")</f>
        <v/>
      </c>
      <c r="W166">
        <f>HYPERLINK("https://klasma.github.io/Logging_2303/klagomålsmail/A 25155-2025 FSC-klagomål mail.docx", "A 25155-2025")</f>
        <v/>
      </c>
      <c r="X166">
        <f>HYPERLINK("https://klasma.github.io/Logging_2303/tillsyn/A 25155-2025 tillsynsbegäran.docx", "A 25155-2025")</f>
        <v/>
      </c>
      <c r="Y166">
        <f>HYPERLINK("https://klasma.github.io/Logging_2303/tillsynsmail/A 25155-2025 tillsynsbegäran mail.docx", "A 25155-2025")</f>
        <v/>
      </c>
    </row>
    <row r="167" ht="15" customHeight="1">
      <c r="A167" t="inlineStr">
        <is>
          <t>A 36756-2023</t>
        </is>
      </c>
      <c r="B167" s="1" t="n">
        <v>45153</v>
      </c>
      <c r="C167" s="1" t="n">
        <v>46084</v>
      </c>
      <c r="D167" t="inlineStr">
        <is>
          <t>JÄMTLANDS LÄN</t>
        </is>
      </c>
      <c r="E167" t="inlineStr">
        <is>
          <t>RAGUNDA</t>
        </is>
      </c>
      <c r="G167" t="n">
        <v>3.5</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56285-2023</t>
        </is>
      </c>
      <c r="B168" s="1" t="n">
        <v>45241</v>
      </c>
      <c r="C168" s="1" t="n">
        <v>46084</v>
      </c>
      <c r="D168" t="inlineStr">
        <is>
          <t>JÄMTLANDS LÄN</t>
        </is>
      </c>
      <c r="E168" t="inlineStr">
        <is>
          <t>RAGUNDA</t>
        </is>
      </c>
      <c r="F168" t="inlineStr">
        <is>
          <t>SCA</t>
        </is>
      </c>
      <c r="G168" t="n">
        <v>5.5</v>
      </c>
      <c r="H168" t="n">
        <v>0</v>
      </c>
      <c r="I168" t="n">
        <v>0</v>
      </c>
      <c r="J168" t="n">
        <v>2</v>
      </c>
      <c r="K168" t="n">
        <v>0</v>
      </c>
      <c r="L168" t="n">
        <v>0</v>
      </c>
      <c r="M168" t="n">
        <v>0</v>
      </c>
      <c r="N168" t="n">
        <v>0</v>
      </c>
      <c r="O168" t="n">
        <v>2</v>
      </c>
      <c r="P168" t="n">
        <v>0</v>
      </c>
      <c r="Q168" t="n">
        <v>2</v>
      </c>
      <c r="R168" s="2" t="inlineStr">
        <is>
          <t>Lunglav
Skrovellav</t>
        </is>
      </c>
      <c r="S168">
        <f>HYPERLINK("https://klasma.github.io/Logging_2303/artfynd/A 56285-2023 artfynd.xlsx", "A 56285-2023")</f>
        <v/>
      </c>
      <c r="T168">
        <f>HYPERLINK("https://klasma.github.io/Logging_2303/kartor/A 56285-2023 karta.png", "A 56285-2023")</f>
        <v/>
      </c>
      <c r="V168">
        <f>HYPERLINK("https://klasma.github.io/Logging_2303/klagomål/A 56285-2023 FSC-klagomål.docx", "A 56285-2023")</f>
        <v/>
      </c>
      <c r="W168">
        <f>HYPERLINK("https://klasma.github.io/Logging_2303/klagomålsmail/A 56285-2023 FSC-klagomål mail.docx", "A 56285-2023")</f>
        <v/>
      </c>
      <c r="X168">
        <f>HYPERLINK("https://klasma.github.io/Logging_2303/tillsyn/A 56285-2023 tillsynsbegäran.docx", "A 56285-2023")</f>
        <v/>
      </c>
      <c r="Y168">
        <f>HYPERLINK("https://klasma.github.io/Logging_2303/tillsynsmail/A 56285-2023 tillsynsbegäran mail.docx", "A 56285-2023")</f>
        <v/>
      </c>
    </row>
    <row r="169" ht="15" customHeight="1">
      <c r="A169" t="inlineStr">
        <is>
          <t>A 19384-2025</t>
        </is>
      </c>
      <c r="B169" s="1" t="n">
        <v>45769.65692129629</v>
      </c>
      <c r="C169" s="1" t="n">
        <v>46084</v>
      </c>
      <c r="D169" t="inlineStr">
        <is>
          <t>JÄMTLANDS LÄN</t>
        </is>
      </c>
      <c r="E169" t="inlineStr">
        <is>
          <t>RAGUNDA</t>
        </is>
      </c>
      <c r="F169" t="inlineStr">
        <is>
          <t>SCA</t>
        </is>
      </c>
      <c r="G169" t="n">
        <v>2.8</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19384-2025 artfynd.xlsx", "A 19384-2025")</f>
        <v/>
      </c>
      <c r="T169">
        <f>HYPERLINK("https://klasma.github.io/Logging_2303/kartor/A 19384-2025 karta.png", "A 19384-2025")</f>
        <v/>
      </c>
      <c r="V169">
        <f>HYPERLINK("https://klasma.github.io/Logging_2303/klagomål/A 19384-2025 FSC-klagomål.docx", "A 19384-2025")</f>
        <v/>
      </c>
      <c r="W169">
        <f>HYPERLINK("https://klasma.github.io/Logging_2303/klagomålsmail/A 19384-2025 FSC-klagomål mail.docx", "A 19384-2025")</f>
        <v/>
      </c>
      <c r="X169">
        <f>HYPERLINK("https://klasma.github.io/Logging_2303/tillsyn/A 19384-2025 tillsynsbegäran.docx", "A 19384-2025")</f>
        <v/>
      </c>
      <c r="Y169">
        <f>HYPERLINK("https://klasma.github.io/Logging_2303/tillsynsmail/A 19384-2025 tillsynsbegäran mail.docx", "A 19384-2025")</f>
        <v/>
      </c>
      <c r="Z169">
        <f>HYPERLINK("https://klasma.github.io/Logging_2303/fåglar/A 19384-2025 prioriterade fågelarter.docx", "A 19384-2025")</f>
        <v/>
      </c>
    </row>
    <row r="170" ht="15" customHeight="1">
      <c r="A170" t="inlineStr">
        <is>
          <t>A 39495-2024</t>
        </is>
      </c>
      <c r="B170" s="1" t="n">
        <v>45551.65726851852</v>
      </c>
      <c r="C170" s="1" t="n">
        <v>46084</v>
      </c>
      <c r="D170" t="inlineStr">
        <is>
          <t>JÄMTLANDS LÄN</t>
        </is>
      </c>
      <c r="E170" t="inlineStr">
        <is>
          <t>RAGUNDA</t>
        </is>
      </c>
      <c r="F170" t="inlineStr">
        <is>
          <t>SCA</t>
        </is>
      </c>
      <c r="G170" t="n">
        <v>6.6</v>
      </c>
      <c r="H170" t="n">
        <v>0</v>
      </c>
      <c r="I170" t="n">
        <v>0</v>
      </c>
      <c r="J170" t="n">
        <v>2</v>
      </c>
      <c r="K170" t="n">
        <v>0</v>
      </c>
      <c r="L170" t="n">
        <v>0</v>
      </c>
      <c r="M170" t="n">
        <v>0</v>
      </c>
      <c r="N170" t="n">
        <v>0</v>
      </c>
      <c r="O170" t="n">
        <v>2</v>
      </c>
      <c r="P170" t="n">
        <v>0</v>
      </c>
      <c r="Q170" t="n">
        <v>2</v>
      </c>
      <c r="R170" s="2" t="inlineStr">
        <is>
          <t>Garnlav
Ullticka</t>
        </is>
      </c>
      <c r="S170">
        <f>HYPERLINK("https://klasma.github.io/Logging_2303/artfynd/A 39495-2024 artfynd.xlsx", "A 39495-2024")</f>
        <v/>
      </c>
      <c r="T170">
        <f>HYPERLINK("https://klasma.github.io/Logging_2303/kartor/A 39495-2024 karta.png", "A 39495-2024")</f>
        <v/>
      </c>
      <c r="V170">
        <f>HYPERLINK("https://klasma.github.io/Logging_2303/klagomål/A 39495-2024 FSC-klagomål.docx", "A 39495-2024")</f>
        <v/>
      </c>
      <c r="W170">
        <f>HYPERLINK("https://klasma.github.io/Logging_2303/klagomålsmail/A 39495-2024 FSC-klagomål mail.docx", "A 39495-2024")</f>
        <v/>
      </c>
      <c r="X170">
        <f>HYPERLINK("https://klasma.github.io/Logging_2303/tillsyn/A 39495-2024 tillsynsbegäran.docx", "A 39495-2024")</f>
        <v/>
      </c>
      <c r="Y170">
        <f>HYPERLINK("https://klasma.github.io/Logging_2303/tillsynsmail/A 39495-2024 tillsynsbegäran mail.docx", "A 39495-2024")</f>
        <v/>
      </c>
    </row>
    <row r="171" ht="15" customHeight="1">
      <c r="A171" t="inlineStr">
        <is>
          <t>A 48427-2023</t>
        </is>
      </c>
      <c r="B171" s="1" t="n">
        <v>45205</v>
      </c>
      <c r="C171" s="1" t="n">
        <v>46084</v>
      </c>
      <c r="D171" t="inlineStr">
        <is>
          <t>JÄMTLANDS LÄN</t>
        </is>
      </c>
      <c r="E171" t="inlineStr">
        <is>
          <t>RAGUNDA</t>
        </is>
      </c>
      <c r="F171" t="inlineStr">
        <is>
          <t>SCA</t>
        </is>
      </c>
      <c r="G171" t="n">
        <v>10.1</v>
      </c>
      <c r="H171" t="n">
        <v>0</v>
      </c>
      <c r="I171" t="n">
        <v>1</v>
      </c>
      <c r="J171" t="n">
        <v>1</v>
      </c>
      <c r="K171" t="n">
        <v>0</v>
      </c>
      <c r="L171" t="n">
        <v>0</v>
      </c>
      <c r="M171" t="n">
        <v>0</v>
      </c>
      <c r="N171" t="n">
        <v>0</v>
      </c>
      <c r="O171" t="n">
        <v>1</v>
      </c>
      <c r="P171" t="n">
        <v>0</v>
      </c>
      <c r="Q171" t="n">
        <v>2</v>
      </c>
      <c r="R171" s="2" t="inlineStr">
        <is>
          <t>Lunglav
Luddlav</t>
        </is>
      </c>
      <c r="S171">
        <f>HYPERLINK("https://klasma.github.io/Logging_2303/artfynd/A 48427-2023 artfynd.xlsx", "A 48427-2023")</f>
        <v/>
      </c>
      <c r="T171">
        <f>HYPERLINK("https://klasma.github.io/Logging_2303/kartor/A 48427-2023 karta.png", "A 48427-2023")</f>
        <v/>
      </c>
      <c r="V171">
        <f>HYPERLINK("https://klasma.github.io/Logging_2303/klagomål/A 48427-2023 FSC-klagomål.docx", "A 48427-2023")</f>
        <v/>
      </c>
      <c r="W171">
        <f>HYPERLINK("https://klasma.github.io/Logging_2303/klagomålsmail/A 48427-2023 FSC-klagomål mail.docx", "A 48427-2023")</f>
        <v/>
      </c>
      <c r="X171">
        <f>HYPERLINK("https://klasma.github.io/Logging_2303/tillsyn/A 48427-2023 tillsynsbegäran.docx", "A 48427-2023")</f>
        <v/>
      </c>
      <c r="Y171">
        <f>HYPERLINK("https://klasma.github.io/Logging_2303/tillsynsmail/A 48427-2023 tillsynsbegäran mail.docx", "A 48427-2023")</f>
        <v/>
      </c>
    </row>
    <row r="172" ht="15" customHeight="1">
      <c r="A172" t="inlineStr">
        <is>
          <t>A 19728-2025</t>
        </is>
      </c>
      <c r="B172" s="1" t="n">
        <v>45771.36548611111</v>
      </c>
      <c r="C172" s="1" t="n">
        <v>46084</v>
      </c>
      <c r="D172" t="inlineStr">
        <is>
          <t>JÄMTLANDS LÄN</t>
        </is>
      </c>
      <c r="E172" t="inlineStr">
        <is>
          <t>RAGUNDA</t>
        </is>
      </c>
      <c r="F172" t="inlineStr">
        <is>
          <t>SCA</t>
        </is>
      </c>
      <c r="G172" t="n">
        <v>6.2</v>
      </c>
      <c r="H172" t="n">
        <v>1</v>
      </c>
      <c r="I172" t="n">
        <v>0</v>
      </c>
      <c r="J172" t="n">
        <v>2</v>
      </c>
      <c r="K172" t="n">
        <v>0</v>
      </c>
      <c r="L172" t="n">
        <v>0</v>
      </c>
      <c r="M172" t="n">
        <v>0</v>
      </c>
      <c r="N172" t="n">
        <v>0</v>
      </c>
      <c r="O172" t="n">
        <v>2</v>
      </c>
      <c r="P172" t="n">
        <v>0</v>
      </c>
      <c r="Q172" t="n">
        <v>2</v>
      </c>
      <c r="R172" s="2" t="inlineStr">
        <is>
          <t>Stjärntagging
Tretåig hackspett</t>
        </is>
      </c>
      <c r="S172">
        <f>HYPERLINK("https://klasma.github.io/Logging_2303/artfynd/A 19728-2025 artfynd.xlsx", "A 19728-2025")</f>
        <v/>
      </c>
      <c r="T172">
        <f>HYPERLINK("https://klasma.github.io/Logging_2303/kartor/A 19728-2025 karta.png", "A 19728-2025")</f>
        <v/>
      </c>
      <c r="V172">
        <f>HYPERLINK("https://klasma.github.io/Logging_2303/klagomål/A 19728-2025 FSC-klagomål.docx", "A 19728-2025")</f>
        <v/>
      </c>
      <c r="W172">
        <f>HYPERLINK("https://klasma.github.io/Logging_2303/klagomålsmail/A 19728-2025 FSC-klagomål mail.docx", "A 19728-2025")</f>
        <v/>
      </c>
      <c r="X172">
        <f>HYPERLINK("https://klasma.github.io/Logging_2303/tillsyn/A 19728-2025 tillsynsbegäran.docx", "A 19728-2025")</f>
        <v/>
      </c>
      <c r="Y172">
        <f>HYPERLINK("https://klasma.github.io/Logging_2303/tillsynsmail/A 19728-2025 tillsynsbegäran mail.docx", "A 19728-2025")</f>
        <v/>
      </c>
      <c r="Z172">
        <f>HYPERLINK("https://klasma.github.io/Logging_2303/fåglar/A 19728-2025 prioriterade fågelarter.docx", "A 19728-2025")</f>
        <v/>
      </c>
    </row>
    <row r="173" ht="15" customHeight="1">
      <c r="A173" t="inlineStr">
        <is>
          <t>A 31960-2025</t>
        </is>
      </c>
      <c r="B173" s="1" t="n">
        <v>45835.344375</v>
      </c>
      <c r="C173" s="1" t="n">
        <v>46084</v>
      </c>
      <c r="D173" t="inlineStr">
        <is>
          <t>JÄMTLANDS LÄN</t>
        </is>
      </c>
      <c r="E173" t="inlineStr">
        <is>
          <t>RAGUNDA</t>
        </is>
      </c>
      <c r="F173" t="inlineStr">
        <is>
          <t>SCA</t>
        </is>
      </c>
      <c r="G173" t="n">
        <v>1.6</v>
      </c>
      <c r="H173" t="n">
        <v>0</v>
      </c>
      <c r="I173" t="n">
        <v>0</v>
      </c>
      <c r="J173" t="n">
        <v>2</v>
      </c>
      <c r="K173" t="n">
        <v>0</v>
      </c>
      <c r="L173" t="n">
        <v>0</v>
      </c>
      <c r="M173" t="n">
        <v>0</v>
      </c>
      <c r="N173" t="n">
        <v>0</v>
      </c>
      <c r="O173" t="n">
        <v>2</v>
      </c>
      <c r="P173" t="n">
        <v>0</v>
      </c>
      <c r="Q173" t="n">
        <v>2</v>
      </c>
      <c r="R173" s="2" t="inlineStr">
        <is>
          <t>Gammelgransskål
Garnlav</t>
        </is>
      </c>
      <c r="S173">
        <f>HYPERLINK("https://klasma.github.io/Logging_2303/artfynd/A 31960-2025 artfynd.xlsx", "A 31960-2025")</f>
        <v/>
      </c>
      <c r="T173">
        <f>HYPERLINK("https://klasma.github.io/Logging_2303/kartor/A 31960-2025 karta.png", "A 31960-2025")</f>
        <v/>
      </c>
      <c r="V173">
        <f>HYPERLINK("https://klasma.github.io/Logging_2303/klagomål/A 31960-2025 FSC-klagomål.docx", "A 31960-2025")</f>
        <v/>
      </c>
      <c r="W173">
        <f>HYPERLINK("https://klasma.github.io/Logging_2303/klagomålsmail/A 31960-2025 FSC-klagomål mail.docx", "A 31960-2025")</f>
        <v/>
      </c>
      <c r="X173">
        <f>HYPERLINK("https://klasma.github.io/Logging_2303/tillsyn/A 31960-2025 tillsynsbegäran.docx", "A 31960-2025")</f>
        <v/>
      </c>
      <c r="Y173">
        <f>HYPERLINK("https://klasma.github.io/Logging_2303/tillsynsmail/A 31960-2025 tillsynsbegäran mail.docx", "A 31960-2025")</f>
        <v/>
      </c>
    </row>
    <row r="174" ht="15" customHeight="1">
      <c r="A174" t="inlineStr">
        <is>
          <t>A 47850-2025</t>
        </is>
      </c>
      <c r="B174" s="1" t="n">
        <v>45932.38626157407</v>
      </c>
      <c r="C174" s="1" t="n">
        <v>46084</v>
      </c>
      <c r="D174" t="inlineStr">
        <is>
          <t>JÄMTLANDS LÄN</t>
        </is>
      </c>
      <c r="E174" t="inlineStr">
        <is>
          <t>RAGUNDA</t>
        </is>
      </c>
      <c r="F174" t="inlineStr">
        <is>
          <t>SCA</t>
        </is>
      </c>
      <c r="G174" t="n">
        <v>2.4</v>
      </c>
      <c r="H174" t="n">
        <v>1</v>
      </c>
      <c r="I174" t="n">
        <v>0</v>
      </c>
      <c r="J174" t="n">
        <v>1</v>
      </c>
      <c r="K174" t="n">
        <v>0</v>
      </c>
      <c r="L174" t="n">
        <v>0</v>
      </c>
      <c r="M174" t="n">
        <v>0</v>
      </c>
      <c r="N174" t="n">
        <v>0</v>
      </c>
      <c r="O174" t="n">
        <v>1</v>
      </c>
      <c r="P174" t="n">
        <v>0</v>
      </c>
      <c r="Q174" t="n">
        <v>2</v>
      </c>
      <c r="R174" s="2" t="inlineStr">
        <is>
          <t>Kolflarnlav
Blåsippa</t>
        </is>
      </c>
      <c r="S174">
        <f>HYPERLINK("https://klasma.github.io/Logging_2303/artfynd/A 47850-2025 artfynd.xlsx", "A 47850-2025")</f>
        <v/>
      </c>
      <c r="T174">
        <f>HYPERLINK("https://klasma.github.io/Logging_2303/kartor/A 47850-2025 karta.png", "A 47850-2025")</f>
        <v/>
      </c>
      <c r="V174">
        <f>HYPERLINK("https://klasma.github.io/Logging_2303/klagomål/A 47850-2025 FSC-klagomål.docx", "A 47850-2025")</f>
        <v/>
      </c>
      <c r="W174">
        <f>HYPERLINK("https://klasma.github.io/Logging_2303/klagomålsmail/A 47850-2025 FSC-klagomål mail.docx", "A 47850-2025")</f>
        <v/>
      </c>
      <c r="X174">
        <f>HYPERLINK("https://klasma.github.io/Logging_2303/tillsyn/A 47850-2025 tillsynsbegäran.docx", "A 47850-2025")</f>
        <v/>
      </c>
      <c r="Y174">
        <f>HYPERLINK("https://klasma.github.io/Logging_2303/tillsynsmail/A 47850-2025 tillsynsbegäran mail.docx", "A 47850-2025")</f>
        <v/>
      </c>
    </row>
    <row r="175" ht="15" customHeight="1">
      <c r="A175" t="inlineStr">
        <is>
          <t>A 45035-2023</t>
        </is>
      </c>
      <c r="B175" s="1" t="n">
        <v>45191</v>
      </c>
      <c r="C175" s="1" t="n">
        <v>46084</v>
      </c>
      <c r="D175" t="inlineStr">
        <is>
          <t>JÄMTLANDS LÄN</t>
        </is>
      </c>
      <c r="E175" t="inlineStr">
        <is>
          <t>RAGUNDA</t>
        </is>
      </c>
      <c r="G175" t="n">
        <v>2.9</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45035-2023 artfynd.xlsx", "A 45035-2023")</f>
        <v/>
      </c>
      <c r="T175">
        <f>HYPERLINK("https://klasma.github.io/Logging_2303/kartor/A 45035-2023 karta.png", "A 45035-2023")</f>
        <v/>
      </c>
      <c r="V175">
        <f>HYPERLINK("https://klasma.github.io/Logging_2303/klagomål/A 45035-2023 FSC-klagomål.docx", "A 45035-2023")</f>
        <v/>
      </c>
      <c r="W175">
        <f>HYPERLINK("https://klasma.github.io/Logging_2303/klagomålsmail/A 45035-2023 FSC-klagomål mail.docx", "A 45035-2023")</f>
        <v/>
      </c>
      <c r="X175">
        <f>HYPERLINK("https://klasma.github.io/Logging_2303/tillsyn/A 45035-2023 tillsynsbegäran.docx", "A 45035-2023")</f>
        <v/>
      </c>
      <c r="Y175">
        <f>HYPERLINK("https://klasma.github.io/Logging_2303/tillsynsmail/A 45035-2023 tillsynsbegäran mail.docx", "A 45035-2023")</f>
        <v/>
      </c>
    </row>
    <row r="176" ht="15" customHeight="1">
      <c r="A176" t="inlineStr">
        <is>
          <t>A 11544-2024</t>
        </is>
      </c>
      <c r="B176" s="1" t="n">
        <v>45372.95680555556</v>
      </c>
      <c r="C176" s="1" t="n">
        <v>46084</v>
      </c>
      <c r="D176" t="inlineStr">
        <is>
          <t>JÄMTLANDS LÄN</t>
        </is>
      </c>
      <c r="E176" t="inlineStr">
        <is>
          <t>RAGUNDA</t>
        </is>
      </c>
      <c r="F176" t="inlineStr">
        <is>
          <t>SCA</t>
        </is>
      </c>
      <c r="G176" t="n">
        <v>15.5</v>
      </c>
      <c r="H176" t="n">
        <v>0</v>
      </c>
      <c r="I176" t="n">
        <v>0</v>
      </c>
      <c r="J176" t="n">
        <v>2</v>
      </c>
      <c r="K176" t="n">
        <v>0</v>
      </c>
      <c r="L176" t="n">
        <v>0</v>
      </c>
      <c r="M176" t="n">
        <v>0</v>
      </c>
      <c r="N176" t="n">
        <v>0</v>
      </c>
      <c r="O176" t="n">
        <v>2</v>
      </c>
      <c r="P176" t="n">
        <v>0</v>
      </c>
      <c r="Q176" t="n">
        <v>2</v>
      </c>
      <c r="R176" s="2" t="inlineStr">
        <is>
          <t>Granticka
Mörk kolflarnlav</t>
        </is>
      </c>
      <c r="S176">
        <f>HYPERLINK("https://klasma.github.io/Logging_2303/artfynd/A 11544-2024 artfynd.xlsx", "A 11544-2024")</f>
        <v/>
      </c>
      <c r="T176">
        <f>HYPERLINK("https://klasma.github.io/Logging_2303/kartor/A 11544-2024 karta.png", "A 11544-2024")</f>
        <v/>
      </c>
      <c r="V176">
        <f>HYPERLINK("https://klasma.github.io/Logging_2303/klagomål/A 11544-2024 FSC-klagomål.docx", "A 11544-2024")</f>
        <v/>
      </c>
      <c r="W176">
        <f>HYPERLINK("https://klasma.github.io/Logging_2303/klagomålsmail/A 11544-2024 FSC-klagomål mail.docx", "A 11544-2024")</f>
        <v/>
      </c>
      <c r="X176">
        <f>HYPERLINK("https://klasma.github.io/Logging_2303/tillsyn/A 11544-2024 tillsynsbegäran.docx", "A 11544-2024")</f>
        <v/>
      </c>
      <c r="Y176">
        <f>HYPERLINK("https://klasma.github.io/Logging_2303/tillsynsmail/A 11544-2024 tillsynsbegäran mail.docx", "A 11544-2024")</f>
        <v/>
      </c>
    </row>
    <row r="177" ht="15" customHeight="1">
      <c r="A177" t="inlineStr">
        <is>
          <t>A 35131-2025</t>
        </is>
      </c>
      <c r="B177" s="1" t="n">
        <v>45852.63597222222</v>
      </c>
      <c r="C177" s="1" t="n">
        <v>46084</v>
      </c>
      <c r="D177" t="inlineStr">
        <is>
          <t>JÄMTLANDS LÄN</t>
        </is>
      </c>
      <c r="E177" t="inlineStr">
        <is>
          <t>RAGUNDA</t>
        </is>
      </c>
      <c r="F177" t="inlineStr">
        <is>
          <t>SCA</t>
        </is>
      </c>
      <c r="G177" t="n">
        <v>6.9</v>
      </c>
      <c r="H177" t="n">
        <v>1</v>
      </c>
      <c r="I177" t="n">
        <v>1</v>
      </c>
      <c r="J177" t="n">
        <v>0</v>
      </c>
      <c r="K177" t="n">
        <v>0</v>
      </c>
      <c r="L177" t="n">
        <v>0</v>
      </c>
      <c r="M177" t="n">
        <v>0</v>
      </c>
      <c r="N177" t="n">
        <v>0</v>
      </c>
      <c r="O177" t="n">
        <v>0</v>
      </c>
      <c r="P177" t="n">
        <v>0</v>
      </c>
      <c r="Q177" t="n">
        <v>2</v>
      </c>
      <c r="R177" s="2" t="inlineStr">
        <is>
          <t>Ögonpyrola
Nattviol</t>
        </is>
      </c>
      <c r="S177">
        <f>HYPERLINK("https://klasma.github.io/Logging_2303/artfynd/A 35131-2025 artfynd.xlsx", "A 35131-2025")</f>
        <v/>
      </c>
      <c r="T177">
        <f>HYPERLINK("https://klasma.github.io/Logging_2303/kartor/A 35131-2025 karta.png", "A 35131-2025")</f>
        <v/>
      </c>
      <c r="V177">
        <f>HYPERLINK("https://klasma.github.io/Logging_2303/klagomål/A 35131-2025 FSC-klagomål.docx", "A 35131-2025")</f>
        <v/>
      </c>
      <c r="W177">
        <f>HYPERLINK("https://klasma.github.io/Logging_2303/klagomålsmail/A 35131-2025 FSC-klagomål mail.docx", "A 35131-2025")</f>
        <v/>
      </c>
      <c r="X177">
        <f>HYPERLINK("https://klasma.github.io/Logging_2303/tillsyn/A 35131-2025 tillsynsbegäran.docx", "A 35131-2025")</f>
        <v/>
      </c>
      <c r="Y177">
        <f>HYPERLINK("https://klasma.github.io/Logging_2303/tillsynsmail/A 35131-2025 tillsynsbegäran mail.docx", "A 35131-2025")</f>
        <v/>
      </c>
    </row>
    <row r="178" ht="15" customHeight="1">
      <c r="A178" t="inlineStr">
        <is>
          <t>A 11843-2023</t>
        </is>
      </c>
      <c r="B178" s="1" t="n">
        <v>44993</v>
      </c>
      <c r="C178" s="1" t="n">
        <v>46084</v>
      </c>
      <c r="D178" t="inlineStr">
        <is>
          <t>JÄMTLANDS LÄN</t>
        </is>
      </c>
      <c r="E178" t="inlineStr">
        <is>
          <t>RAGUNDA</t>
        </is>
      </c>
      <c r="G178" t="n">
        <v>6.4</v>
      </c>
      <c r="H178" t="n">
        <v>2</v>
      </c>
      <c r="I178" t="n">
        <v>0</v>
      </c>
      <c r="J178" t="n">
        <v>1</v>
      </c>
      <c r="K178" t="n">
        <v>0</v>
      </c>
      <c r="L178" t="n">
        <v>0</v>
      </c>
      <c r="M178" t="n">
        <v>0</v>
      </c>
      <c r="N178" t="n">
        <v>0</v>
      </c>
      <c r="O178" t="n">
        <v>1</v>
      </c>
      <c r="P178" t="n">
        <v>0</v>
      </c>
      <c r="Q178" t="n">
        <v>2</v>
      </c>
      <c r="R178" s="2" t="inlineStr">
        <is>
          <t>Spillkråka
Revlummer</t>
        </is>
      </c>
      <c r="S178">
        <f>HYPERLINK("https://klasma.github.io/Logging_2303/artfynd/A 11843-2023 artfynd.xlsx", "A 11843-2023")</f>
        <v/>
      </c>
      <c r="T178">
        <f>HYPERLINK("https://klasma.github.io/Logging_2303/kartor/A 11843-2023 karta.png", "A 11843-2023")</f>
        <v/>
      </c>
      <c r="V178">
        <f>HYPERLINK("https://klasma.github.io/Logging_2303/klagomål/A 11843-2023 FSC-klagomål.docx", "A 11843-2023")</f>
        <v/>
      </c>
      <c r="W178">
        <f>HYPERLINK("https://klasma.github.io/Logging_2303/klagomålsmail/A 11843-2023 FSC-klagomål mail.docx", "A 11843-2023")</f>
        <v/>
      </c>
      <c r="X178">
        <f>HYPERLINK("https://klasma.github.io/Logging_2303/tillsyn/A 11843-2023 tillsynsbegäran.docx", "A 11843-2023")</f>
        <v/>
      </c>
      <c r="Y178">
        <f>HYPERLINK("https://klasma.github.io/Logging_2303/tillsynsmail/A 11843-2023 tillsynsbegäran mail.docx", "A 11843-2023")</f>
        <v/>
      </c>
      <c r="Z178">
        <f>HYPERLINK("https://klasma.github.io/Logging_2303/fåglar/A 11843-2023 prioriterade fågelarter.docx", "A 11843-2023")</f>
        <v/>
      </c>
    </row>
    <row r="179" ht="15" customHeight="1">
      <c r="A179" t="inlineStr">
        <is>
          <t>A 17733-2022</t>
        </is>
      </c>
      <c r="B179" s="1" t="n">
        <v>44680</v>
      </c>
      <c r="C179" s="1" t="n">
        <v>46084</v>
      </c>
      <c r="D179" t="inlineStr">
        <is>
          <t>JÄMTLANDS LÄN</t>
        </is>
      </c>
      <c r="E179" t="inlineStr">
        <is>
          <t>RAGUNDA</t>
        </is>
      </c>
      <c r="G179" t="n">
        <v>2.2</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17733-2022 artfynd.xlsx", "A 17733-2022")</f>
        <v/>
      </c>
      <c r="T179">
        <f>HYPERLINK("https://klasma.github.io/Logging_2303/kartor/A 17733-2022 karta.png", "A 17733-2022")</f>
        <v/>
      </c>
      <c r="V179">
        <f>HYPERLINK("https://klasma.github.io/Logging_2303/klagomål/A 17733-2022 FSC-klagomål.docx", "A 17733-2022")</f>
        <v/>
      </c>
      <c r="W179">
        <f>HYPERLINK("https://klasma.github.io/Logging_2303/klagomålsmail/A 17733-2022 FSC-klagomål mail.docx", "A 17733-2022")</f>
        <v/>
      </c>
      <c r="X179">
        <f>HYPERLINK("https://klasma.github.io/Logging_2303/tillsyn/A 17733-2022 tillsynsbegäran.docx", "A 17733-2022")</f>
        <v/>
      </c>
      <c r="Y179">
        <f>HYPERLINK("https://klasma.github.io/Logging_2303/tillsynsmail/A 17733-2022 tillsynsbegäran mail.docx", "A 17733-2022")</f>
        <v/>
      </c>
    </row>
    <row r="180" ht="15" customHeight="1">
      <c r="A180" t="inlineStr">
        <is>
          <t>A 9749-2026</t>
        </is>
      </c>
      <c r="B180" s="1" t="n">
        <v>46072.53167824074</v>
      </c>
      <c r="C180" s="1" t="n">
        <v>46084</v>
      </c>
      <c r="D180" t="inlineStr">
        <is>
          <t>JÄMTLANDS LÄN</t>
        </is>
      </c>
      <c r="E180" t="inlineStr">
        <is>
          <t>RAGUNDA</t>
        </is>
      </c>
      <c r="F180" t="inlineStr">
        <is>
          <t>SCA</t>
        </is>
      </c>
      <c r="G180" t="n">
        <v>2.7</v>
      </c>
      <c r="H180" t="n">
        <v>1</v>
      </c>
      <c r="I180" t="n">
        <v>0</v>
      </c>
      <c r="J180" t="n">
        <v>2</v>
      </c>
      <c r="K180" t="n">
        <v>0</v>
      </c>
      <c r="L180" t="n">
        <v>0</v>
      </c>
      <c r="M180" t="n">
        <v>0</v>
      </c>
      <c r="N180" t="n">
        <v>0</v>
      </c>
      <c r="O180" t="n">
        <v>2</v>
      </c>
      <c r="P180" t="n">
        <v>0</v>
      </c>
      <c r="Q180" t="n">
        <v>2</v>
      </c>
      <c r="R180" s="2" t="inlineStr">
        <is>
          <t>Järpe
Ullticka</t>
        </is>
      </c>
      <c r="S180">
        <f>HYPERLINK("https://klasma.github.io/Logging_2303/artfynd/A 9749-2026 artfynd.xlsx", "A 9749-2026")</f>
        <v/>
      </c>
      <c r="T180">
        <f>HYPERLINK("https://klasma.github.io/Logging_2303/kartor/A 9749-2026 karta.png", "A 9749-2026")</f>
        <v/>
      </c>
      <c r="V180">
        <f>HYPERLINK("https://klasma.github.io/Logging_2303/klagomål/A 9749-2026 FSC-klagomål.docx", "A 9749-2026")</f>
        <v/>
      </c>
      <c r="W180">
        <f>HYPERLINK("https://klasma.github.io/Logging_2303/klagomålsmail/A 9749-2026 FSC-klagomål mail.docx", "A 9749-2026")</f>
        <v/>
      </c>
      <c r="X180">
        <f>HYPERLINK("https://klasma.github.io/Logging_2303/tillsyn/A 9749-2026 tillsynsbegäran.docx", "A 9749-2026")</f>
        <v/>
      </c>
      <c r="Y180">
        <f>HYPERLINK("https://klasma.github.io/Logging_2303/tillsynsmail/A 9749-2026 tillsynsbegäran mail.docx", "A 9749-2026")</f>
        <v/>
      </c>
      <c r="Z180">
        <f>HYPERLINK("https://klasma.github.io/Logging_2303/fåglar/A 9749-2026 prioriterade fågelarter.docx", "A 9749-2026")</f>
        <v/>
      </c>
    </row>
    <row r="181" ht="15" customHeight="1">
      <c r="A181" t="inlineStr">
        <is>
          <t>A 26482-2023</t>
        </is>
      </c>
      <c r="B181" s="1" t="n">
        <v>45089</v>
      </c>
      <c r="C181" s="1" t="n">
        <v>46084</v>
      </c>
      <c r="D181" t="inlineStr">
        <is>
          <t>JÄMTLANDS LÄN</t>
        </is>
      </c>
      <c r="E181" t="inlineStr">
        <is>
          <t>RAGUNDA</t>
        </is>
      </c>
      <c r="G181" t="n">
        <v>2</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HYPERLINK("https://klasma.github.io/Logging_2303/artfynd/A 26482-2023 artfynd.xlsx", "A 26482-2023")</f>
        <v/>
      </c>
      <c r="T181">
        <f>HYPERLINK("https://klasma.github.io/Logging_2303/kartor/A 26482-2023 karta.png", "A 26482-2023")</f>
        <v/>
      </c>
      <c r="V181">
        <f>HYPERLINK("https://klasma.github.io/Logging_2303/klagomål/A 26482-2023 FSC-klagomål.docx", "A 26482-2023")</f>
        <v/>
      </c>
      <c r="W181">
        <f>HYPERLINK("https://klasma.github.io/Logging_2303/klagomålsmail/A 26482-2023 FSC-klagomål mail.docx", "A 26482-2023")</f>
        <v/>
      </c>
      <c r="X181">
        <f>HYPERLINK("https://klasma.github.io/Logging_2303/tillsyn/A 26482-2023 tillsynsbegäran.docx", "A 26482-2023")</f>
        <v/>
      </c>
      <c r="Y181">
        <f>HYPERLINK("https://klasma.github.io/Logging_2303/tillsynsmail/A 26482-2023 tillsynsbegäran mail.docx", "A 26482-2023")</f>
        <v/>
      </c>
      <c r="Z181">
        <f>HYPERLINK("https://klasma.github.io/Logging_2303/fåglar/A 26482-2023 prioriterade fågelarter.docx", "A 26482-2023")</f>
        <v/>
      </c>
    </row>
    <row r="182" ht="15" customHeight="1">
      <c r="A182" t="inlineStr">
        <is>
          <t>A 32736-2023</t>
        </is>
      </c>
      <c r="B182" s="1" t="n">
        <v>45121</v>
      </c>
      <c r="C182" s="1" t="n">
        <v>46084</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57940-2024</t>
        </is>
      </c>
      <c r="B183" s="1" t="n">
        <v>45631</v>
      </c>
      <c r="C183" s="1" t="n">
        <v>46084</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62636-2025</t>
        </is>
      </c>
      <c r="B184" s="1" t="n">
        <v>46008.3653587963</v>
      </c>
      <c r="C184" s="1" t="n">
        <v>46084</v>
      </c>
      <c r="D184" t="inlineStr">
        <is>
          <t>JÄMTLANDS LÄN</t>
        </is>
      </c>
      <c r="E184" t="inlineStr">
        <is>
          <t>RAGUNDA</t>
        </is>
      </c>
      <c r="G184" t="n">
        <v>3.1</v>
      </c>
      <c r="H184" t="n">
        <v>1</v>
      </c>
      <c r="I184" t="n">
        <v>0</v>
      </c>
      <c r="J184" t="n">
        <v>2</v>
      </c>
      <c r="K184" t="n">
        <v>0</v>
      </c>
      <c r="L184" t="n">
        <v>0</v>
      </c>
      <c r="M184" t="n">
        <v>0</v>
      </c>
      <c r="N184" t="n">
        <v>0</v>
      </c>
      <c r="O184" t="n">
        <v>2</v>
      </c>
      <c r="P184" t="n">
        <v>0</v>
      </c>
      <c r="Q184" t="n">
        <v>2</v>
      </c>
      <c r="R184" s="2" t="inlineStr">
        <is>
          <t>Garnlav
Talltita</t>
        </is>
      </c>
      <c r="S184">
        <f>HYPERLINK("https://klasma.github.io/Logging_2303/artfynd/A 62636-2025 artfynd.xlsx", "A 62636-2025")</f>
        <v/>
      </c>
      <c r="T184">
        <f>HYPERLINK("https://klasma.github.io/Logging_2303/kartor/A 62636-2025 karta.png", "A 62636-2025")</f>
        <v/>
      </c>
      <c r="V184">
        <f>HYPERLINK("https://klasma.github.io/Logging_2303/klagomål/A 62636-2025 FSC-klagomål.docx", "A 62636-2025")</f>
        <v/>
      </c>
      <c r="W184">
        <f>HYPERLINK("https://klasma.github.io/Logging_2303/klagomålsmail/A 62636-2025 FSC-klagomål mail.docx", "A 62636-2025")</f>
        <v/>
      </c>
      <c r="X184">
        <f>HYPERLINK("https://klasma.github.io/Logging_2303/tillsyn/A 62636-2025 tillsynsbegäran.docx", "A 62636-2025")</f>
        <v/>
      </c>
      <c r="Y184">
        <f>HYPERLINK("https://klasma.github.io/Logging_2303/tillsynsmail/A 62636-2025 tillsynsbegäran mail.docx", "A 62636-2025")</f>
        <v/>
      </c>
      <c r="Z184">
        <f>HYPERLINK("https://klasma.github.io/Logging_2303/fåglar/A 62636-2025 prioriterade fågelarter.docx", "A 62636-2025")</f>
        <v/>
      </c>
    </row>
    <row r="185" ht="15" customHeight="1">
      <c r="A185" t="inlineStr">
        <is>
          <t>A 48084-2022</t>
        </is>
      </c>
      <c r="B185" s="1" t="n">
        <v>44855</v>
      </c>
      <c r="C185" s="1" t="n">
        <v>46084</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55647-2023</t>
        </is>
      </c>
      <c r="B186" s="1" t="n">
        <v>45238</v>
      </c>
      <c r="C186" s="1" t="n">
        <v>46084</v>
      </c>
      <c r="D186" t="inlineStr">
        <is>
          <t>JÄMTLANDS LÄN</t>
        </is>
      </c>
      <c r="E186" t="inlineStr">
        <is>
          <t>RAGUNDA</t>
        </is>
      </c>
      <c r="F186" t="inlineStr">
        <is>
          <t>SCA</t>
        </is>
      </c>
      <c r="G186" t="n">
        <v>3.7</v>
      </c>
      <c r="H186" t="n">
        <v>0</v>
      </c>
      <c r="I186" t="n">
        <v>1</v>
      </c>
      <c r="J186" t="n">
        <v>1</v>
      </c>
      <c r="K186" t="n">
        <v>0</v>
      </c>
      <c r="L186" t="n">
        <v>0</v>
      </c>
      <c r="M186" t="n">
        <v>0</v>
      </c>
      <c r="N186" t="n">
        <v>0</v>
      </c>
      <c r="O186" t="n">
        <v>1</v>
      </c>
      <c r="P186" t="n">
        <v>0</v>
      </c>
      <c r="Q186" t="n">
        <v>2</v>
      </c>
      <c r="R186" s="2" t="inlineStr">
        <is>
          <t>Granticka
Trådticka</t>
        </is>
      </c>
      <c r="S186">
        <f>HYPERLINK("https://klasma.github.io/Logging_2303/artfynd/A 55647-2023 artfynd.xlsx", "A 55647-2023")</f>
        <v/>
      </c>
      <c r="T186">
        <f>HYPERLINK("https://klasma.github.io/Logging_2303/kartor/A 55647-2023 karta.png", "A 55647-2023")</f>
        <v/>
      </c>
      <c r="V186">
        <f>HYPERLINK("https://klasma.github.io/Logging_2303/klagomål/A 55647-2023 FSC-klagomål.docx", "A 55647-2023")</f>
        <v/>
      </c>
      <c r="W186">
        <f>HYPERLINK("https://klasma.github.io/Logging_2303/klagomålsmail/A 55647-2023 FSC-klagomål mail.docx", "A 55647-2023")</f>
        <v/>
      </c>
      <c r="X186">
        <f>HYPERLINK("https://klasma.github.io/Logging_2303/tillsyn/A 55647-2023 tillsynsbegäran.docx", "A 55647-2023")</f>
        <v/>
      </c>
      <c r="Y186">
        <f>HYPERLINK("https://klasma.github.io/Logging_2303/tillsynsmail/A 55647-2023 tillsynsbegäran mail.docx", "A 55647-2023")</f>
        <v/>
      </c>
    </row>
    <row r="187" ht="15" customHeight="1">
      <c r="A187" t="inlineStr">
        <is>
          <t>A 26324-2024</t>
        </is>
      </c>
      <c r="B187" s="1" t="n">
        <v>45468.97495370371</v>
      </c>
      <c r="C187" s="1" t="n">
        <v>46084</v>
      </c>
      <c r="D187" t="inlineStr">
        <is>
          <t>JÄMTLANDS LÄN</t>
        </is>
      </c>
      <c r="E187" t="inlineStr">
        <is>
          <t>RAGUNDA</t>
        </is>
      </c>
      <c r="F187" t="inlineStr">
        <is>
          <t>SCA</t>
        </is>
      </c>
      <c r="G187" t="n">
        <v>2</v>
      </c>
      <c r="H187" t="n">
        <v>1</v>
      </c>
      <c r="I187" t="n">
        <v>0</v>
      </c>
      <c r="J187" t="n">
        <v>1</v>
      </c>
      <c r="K187" t="n">
        <v>1</v>
      </c>
      <c r="L187" t="n">
        <v>0</v>
      </c>
      <c r="M187" t="n">
        <v>0</v>
      </c>
      <c r="N187" t="n">
        <v>0</v>
      </c>
      <c r="O187" t="n">
        <v>2</v>
      </c>
      <c r="P187" t="n">
        <v>1</v>
      </c>
      <c r="Q187" t="n">
        <v>2</v>
      </c>
      <c r="R187" s="2" t="inlineStr">
        <is>
          <t>Knärot
Vedtrappmossa</t>
        </is>
      </c>
      <c r="S187">
        <f>HYPERLINK("https://klasma.github.io/Logging_2303/artfynd/A 26324-2024 artfynd.xlsx", "A 26324-2024")</f>
        <v/>
      </c>
      <c r="T187">
        <f>HYPERLINK("https://klasma.github.io/Logging_2303/kartor/A 26324-2024 karta.png", "A 26324-2024")</f>
        <v/>
      </c>
      <c r="U187">
        <f>HYPERLINK("https://klasma.github.io/Logging_2303/knärot/A 26324-2024 karta knärot.png", "A 26324-2024")</f>
        <v/>
      </c>
      <c r="V187">
        <f>HYPERLINK("https://klasma.github.io/Logging_2303/klagomål/A 26324-2024 FSC-klagomål.docx", "A 26324-2024")</f>
        <v/>
      </c>
      <c r="W187">
        <f>HYPERLINK("https://klasma.github.io/Logging_2303/klagomålsmail/A 26324-2024 FSC-klagomål mail.docx", "A 26324-2024")</f>
        <v/>
      </c>
      <c r="X187">
        <f>HYPERLINK("https://klasma.github.io/Logging_2303/tillsyn/A 26324-2024 tillsynsbegäran.docx", "A 26324-2024")</f>
        <v/>
      </c>
      <c r="Y187">
        <f>HYPERLINK("https://klasma.github.io/Logging_2303/tillsynsmail/A 26324-2024 tillsynsbegäran mail.docx", "A 26324-2024")</f>
        <v/>
      </c>
    </row>
    <row r="188" ht="15" customHeight="1">
      <c r="A188" t="inlineStr">
        <is>
          <t>A 56634-2025</t>
        </is>
      </c>
      <c r="B188" s="1" t="n">
        <v>45975.61619212963</v>
      </c>
      <c r="C188" s="1" t="n">
        <v>46084</v>
      </c>
      <c r="D188" t="inlineStr">
        <is>
          <t>JÄMTLANDS LÄN</t>
        </is>
      </c>
      <c r="E188" t="inlineStr">
        <is>
          <t>RAGUNDA</t>
        </is>
      </c>
      <c r="F188" t="inlineStr">
        <is>
          <t>SCA</t>
        </is>
      </c>
      <c r="G188" t="n">
        <v>86.59999999999999</v>
      </c>
      <c r="H188" t="n">
        <v>0</v>
      </c>
      <c r="I188" t="n">
        <v>1</v>
      </c>
      <c r="J188" t="n">
        <v>1</v>
      </c>
      <c r="K188" t="n">
        <v>0</v>
      </c>
      <c r="L188" t="n">
        <v>0</v>
      </c>
      <c r="M188" t="n">
        <v>0</v>
      </c>
      <c r="N188" t="n">
        <v>0</v>
      </c>
      <c r="O188" t="n">
        <v>1</v>
      </c>
      <c r="P188" t="n">
        <v>0</v>
      </c>
      <c r="Q188" t="n">
        <v>2</v>
      </c>
      <c r="R188" s="2" t="inlineStr">
        <is>
          <t>Garnlav
Skuggblåslav</t>
        </is>
      </c>
      <c r="S188">
        <f>HYPERLINK("https://klasma.github.io/Logging_2303/artfynd/A 56634-2025 artfynd.xlsx", "A 56634-2025")</f>
        <v/>
      </c>
      <c r="T188">
        <f>HYPERLINK("https://klasma.github.io/Logging_2303/kartor/A 56634-2025 karta.png", "A 56634-2025")</f>
        <v/>
      </c>
      <c r="V188">
        <f>HYPERLINK("https://klasma.github.io/Logging_2303/klagomål/A 56634-2025 FSC-klagomål.docx", "A 56634-2025")</f>
        <v/>
      </c>
      <c r="W188">
        <f>HYPERLINK("https://klasma.github.io/Logging_2303/klagomålsmail/A 56634-2025 FSC-klagomål mail.docx", "A 56634-2025")</f>
        <v/>
      </c>
      <c r="X188">
        <f>HYPERLINK("https://klasma.github.io/Logging_2303/tillsyn/A 56634-2025 tillsynsbegäran.docx", "A 56634-2025")</f>
        <v/>
      </c>
      <c r="Y188">
        <f>HYPERLINK("https://klasma.github.io/Logging_2303/tillsynsmail/A 56634-2025 tillsynsbegäran mail.docx", "A 56634-2025")</f>
        <v/>
      </c>
    </row>
    <row r="189" ht="15" customHeight="1">
      <c r="A189" t="inlineStr">
        <is>
          <t>A 47267-2022</t>
        </is>
      </c>
      <c r="B189" s="1" t="n">
        <v>44852</v>
      </c>
      <c r="C189" s="1" t="n">
        <v>46084</v>
      </c>
      <c r="D189" t="inlineStr">
        <is>
          <t>JÄMTLANDS LÄN</t>
        </is>
      </c>
      <c r="E189" t="inlineStr">
        <is>
          <t>RAGUNDA</t>
        </is>
      </c>
      <c r="F189" t="inlineStr">
        <is>
          <t>SCA</t>
        </is>
      </c>
      <c r="G189" t="n">
        <v>82.8</v>
      </c>
      <c r="H189" t="n">
        <v>0</v>
      </c>
      <c r="I189" t="n">
        <v>0</v>
      </c>
      <c r="J189" t="n">
        <v>2</v>
      </c>
      <c r="K189" t="n">
        <v>0</v>
      </c>
      <c r="L189" t="n">
        <v>0</v>
      </c>
      <c r="M189" t="n">
        <v>0</v>
      </c>
      <c r="N189" t="n">
        <v>0</v>
      </c>
      <c r="O189" t="n">
        <v>2</v>
      </c>
      <c r="P189" t="n">
        <v>0</v>
      </c>
      <c r="Q189" t="n">
        <v>2</v>
      </c>
      <c r="R189" s="2" t="inlineStr">
        <is>
          <t>Dvärgbägarlav
Garnlav</t>
        </is>
      </c>
      <c r="S189">
        <f>HYPERLINK("https://klasma.github.io/Logging_2303/artfynd/A 47267-2022 artfynd.xlsx", "A 47267-2022")</f>
        <v/>
      </c>
      <c r="T189">
        <f>HYPERLINK("https://klasma.github.io/Logging_2303/kartor/A 47267-2022 karta.png", "A 47267-2022")</f>
        <v/>
      </c>
      <c r="V189">
        <f>HYPERLINK("https://klasma.github.io/Logging_2303/klagomål/A 47267-2022 FSC-klagomål.docx", "A 47267-2022")</f>
        <v/>
      </c>
      <c r="W189">
        <f>HYPERLINK("https://klasma.github.io/Logging_2303/klagomålsmail/A 47267-2022 FSC-klagomål mail.docx", "A 47267-2022")</f>
        <v/>
      </c>
      <c r="X189">
        <f>HYPERLINK("https://klasma.github.io/Logging_2303/tillsyn/A 47267-2022 tillsynsbegäran.docx", "A 47267-2022")</f>
        <v/>
      </c>
      <c r="Y189">
        <f>HYPERLINK("https://klasma.github.io/Logging_2303/tillsynsmail/A 47267-2022 tillsynsbegäran mail.docx", "A 47267-2022")</f>
        <v/>
      </c>
    </row>
    <row r="190" ht="15" customHeight="1">
      <c r="A190" t="inlineStr">
        <is>
          <t>A 45021-2023</t>
        </is>
      </c>
      <c r="B190" s="1" t="n">
        <v>45190</v>
      </c>
      <c r="C190" s="1" t="n">
        <v>46084</v>
      </c>
      <c r="D190" t="inlineStr">
        <is>
          <t>JÄMTLANDS LÄN</t>
        </is>
      </c>
      <c r="E190" t="inlineStr">
        <is>
          <t>RAGUNDA</t>
        </is>
      </c>
      <c r="F190" t="inlineStr">
        <is>
          <t>SCA</t>
        </is>
      </c>
      <c r="G190" t="n">
        <v>1.6</v>
      </c>
      <c r="H190" t="n">
        <v>1</v>
      </c>
      <c r="I190" t="n">
        <v>0</v>
      </c>
      <c r="J190" t="n">
        <v>1</v>
      </c>
      <c r="K190" t="n">
        <v>0</v>
      </c>
      <c r="L190" t="n">
        <v>0</v>
      </c>
      <c r="M190" t="n">
        <v>0</v>
      </c>
      <c r="N190" t="n">
        <v>0</v>
      </c>
      <c r="O190" t="n">
        <v>1</v>
      </c>
      <c r="P190" t="n">
        <v>0</v>
      </c>
      <c r="Q190" t="n">
        <v>2</v>
      </c>
      <c r="R190" s="2" t="inlineStr">
        <is>
          <t>Lunglav
Fläcknycklar</t>
        </is>
      </c>
      <c r="S190">
        <f>HYPERLINK("https://klasma.github.io/Logging_2303/artfynd/A 45021-2023 artfynd.xlsx", "A 45021-2023")</f>
        <v/>
      </c>
      <c r="T190">
        <f>HYPERLINK("https://klasma.github.io/Logging_2303/kartor/A 45021-2023 karta.png", "A 45021-2023")</f>
        <v/>
      </c>
      <c r="V190">
        <f>HYPERLINK("https://klasma.github.io/Logging_2303/klagomål/A 45021-2023 FSC-klagomål.docx", "A 45021-2023")</f>
        <v/>
      </c>
      <c r="W190">
        <f>HYPERLINK("https://klasma.github.io/Logging_2303/klagomålsmail/A 45021-2023 FSC-klagomål mail.docx", "A 45021-2023")</f>
        <v/>
      </c>
      <c r="X190">
        <f>HYPERLINK("https://klasma.github.io/Logging_2303/tillsyn/A 45021-2023 tillsynsbegäran.docx", "A 45021-2023")</f>
        <v/>
      </c>
      <c r="Y190">
        <f>HYPERLINK("https://klasma.github.io/Logging_2303/tillsynsmail/A 45021-2023 tillsynsbegäran mail.docx", "A 45021-2023")</f>
        <v/>
      </c>
    </row>
    <row r="191" ht="15" customHeight="1">
      <c r="A191" t="inlineStr">
        <is>
          <t>A 30053-2024</t>
        </is>
      </c>
      <c r="B191" s="1" t="n">
        <v>45488.94747685185</v>
      </c>
      <c r="C191" s="1" t="n">
        <v>46084</v>
      </c>
      <c r="D191" t="inlineStr">
        <is>
          <t>JÄMTLANDS LÄN</t>
        </is>
      </c>
      <c r="E191" t="inlineStr">
        <is>
          <t>RAGUNDA</t>
        </is>
      </c>
      <c r="F191" t="inlineStr">
        <is>
          <t>SCA</t>
        </is>
      </c>
      <c r="G191" t="n">
        <v>9.6</v>
      </c>
      <c r="H191" t="n">
        <v>0</v>
      </c>
      <c r="I191" t="n">
        <v>1</v>
      </c>
      <c r="J191" t="n">
        <v>1</v>
      </c>
      <c r="K191" t="n">
        <v>0</v>
      </c>
      <c r="L191" t="n">
        <v>0</v>
      </c>
      <c r="M191" t="n">
        <v>0</v>
      </c>
      <c r="N191" t="n">
        <v>0</v>
      </c>
      <c r="O191" t="n">
        <v>1</v>
      </c>
      <c r="P191" t="n">
        <v>0</v>
      </c>
      <c r="Q191" t="n">
        <v>2</v>
      </c>
      <c r="R191" s="2" t="inlineStr">
        <is>
          <t>Lunglav
Korallblylav</t>
        </is>
      </c>
      <c r="S191">
        <f>HYPERLINK("https://klasma.github.io/Logging_2303/artfynd/A 30053-2024 artfynd.xlsx", "A 30053-2024")</f>
        <v/>
      </c>
      <c r="T191">
        <f>HYPERLINK("https://klasma.github.io/Logging_2303/kartor/A 30053-2024 karta.png", "A 30053-2024")</f>
        <v/>
      </c>
      <c r="V191">
        <f>HYPERLINK("https://klasma.github.io/Logging_2303/klagomål/A 30053-2024 FSC-klagomål.docx", "A 30053-2024")</f>
        <v/>
      </c>
      <c r="W191">
        <f>HYPERLINK("https://klasma.github.io/Logging_2303/klagomålsmail/A 30053-2024 FSC-klagomål mail.docx", "A 30053-2024")</f>
        <v/>
      </c>
      <c r="X191">
        <f>HYPERLINK("https://klasma.github.io/Logging_2303/tillsyn/A 30053-2024 tillsynsbegäran.docx", "A 30053-2024")</f>
        <v/>
      </c>
      <c r="Y191">
        <f>HYPERLINK("https://klasma.github.io/Logging_2303/tillsynsmail/A 30053-2024 tillsynsbegäran mail.docx", "A 30053-2024")</f>
        <v/>
      </c>
    </row>
    <row r="192" ht="15" customHeight="1">
      <c r="A192" t="inlineStr">
        <is>
          <t>A 50089-2022</t>
        </is>
      </c>
      <c r="B192" s="1" t="n">
        <v>44865</v>
      </c>
      <c r="C192" s="1" t="n">
        <v>46084</v>
      </c>
      <c r="D192" t="inlineStr">
        <is>
          <t>JÄMTLANDS LÄN</t>
        </is>
      </c>
      <c r="E192" t="inlineStr">
        <is>
          <t>RAGUNDA</t>
        </is>
      </c>
      <c r="G192" t="n">
        <v>5.7</v>
      </c>
      <c r="H192" t="n">
        <v>2</v>
      </c>
      <c r="I192" t="n">
        <v>0</v>
      </c>
      <c r="J192" t="n">
        <v>2</v>
      </c>
      <c r="K192" t="n">
        <v>0</v>
      </c>
      <c r="L192" t="n">
        <v>0</v>
      </c>
      <c r="M192" t="n">
        <v>0</v>
      </c>
      <c r="N192" t="n">
        <v>0</v>
      </c>
      <c r="O192" t="n">
        <v>2</v>
      </c>
      <c r="P192" t="n">
        <v>0</v>
      </c>
      <c r="Q192" t="n">
        <v>2</v>
      </c>
      <c r="R192" s="2" t="inlineStr">
        <is>
          <t>Björktrast
Drillsnäppa</t>
        </is>
      </c>
      <c r="S192">
        <f>HYPERLINK("https://klasma.github.io/Logging_2303/artfynd/A 50089-2022 artfynd.xlsx", "A 50089-2022")</f>
        <v/>
      </c>
      <c r="T192">
        <f>HYPERLINK("https://klasma.github.io/Logging_2303/kartor/A 50089-2022 karta.png", "A 50089-2022")</f>
        <v/>
      </c>
      <c r="V192">
        <f>HYPERLINK("https://klasma.github.io/Logging_2303/klagomål/A 50089-2022 FSC-klagomål.docx", "A 50089-2022")</f>
        <v/>
      </c>
      <c r="W192">
        <f>HYPERLINK("https://klasma.github.io/Logging_2303/klagomålsmail/A 50089-2022 FSC-klagomål mail.docx", "A 50089-2022")</f>
        <v/>
      </c>
      <c r="X192">
        <f>HYPERLINK("https://klasma.github.io/Logging_2303/tillsyn/A 50089-2022 tillsynsbegäran.docx", "A 50089-2022")</f>
        <v/>
      </c>
      <c r="Y192">
        <f>HYPERLINK("https://klasma.github.io/Logging_2303/tillsynsmail/A 50089-2022 tillsynsbegäran mail.docx", "A 50089-2022")</f>
        <v/>
      </c>
      <c r="Z192">
        <f>HYPERLINK("https://klasma.github.io/Logging_2303/fåglar/A 50089-2022 prioriterade fågelarter.docx", "A 50089-2022")</f>
        <v/>
      </c>
    </row>
    <row r="193" ht="15" customHeight="1">
      <c r="A193" t="inlineStr">
        <is>
          <t>A 11086-2025</t>
        </is>
      </c>
      <c r="B193" s="1" t="n">
        <v>45723.57329861111</v>
      </c>
      <c r="C193" s="1" t="n">
        <v>46084</v>
      </c>
      <c r="D193" t="inlineStr">
        <is>
          <t>JÄMTLANDS LÄN</t>
        </is>
      </c>
      <c r="E193" t="inlineStr">
        <is>
          <t>RAGUNDA</t>
        </is>
      </c>
      <c r="F193" t="inlineStr">
        <is>
          <t>SCA</t>
        </is>
      </c>
      <c r="G193" t="n">
        <v>10.8</v>
      </c>
      <c r="H193" t="n">
        <v>0</v>
      </c>
      <c r="I193" t="n">
        <v>0</v>
      </c>
      <c r="J193" t="n">
        <v>1</v>
      </c>
      <c r="K193" t="n">
        <v>1</v>
      </c>
      <c r="L193" t="n">
        <v>0</v>
      </c>
      <c r="M193" t="n">
        <v>0</v>
      </c>
      <c r="N193" t="n">
        <v>0</v>
      </c>
      <c r="O193" t="n">
        <v>2</v>
      </c>
      <c r="P193" t="n">
        <v>1</v>
      </c>
      <c r="Q193" t="n">
        <v>2</v>
      </c>
      <c r="R193" s="2" t="inlineStr">
        <is>
          <t>Gräddporing
Dvärgbägarlav</t>
        </is>
      </c>
      <c r="S193">
        <f>HYPERLINK("https://klasma.github.io/Logging_2303/artfynd/A 11086-2025 artfynd.xlsx", "A 11086-2025")</f>
        <v/>
      </c>
      <c r="T193">
        <f>HYPERLINK("https://klasma.github.io/Logging_2303/kartor/A 11086-2025 karta.png", "A 11086-2025")</f>
        <v/>
      </c>
      <c r="V193">
        <f>HYPERLINK("https://klasma.github.io/Logging_2303/klagomål/A 11086-2025 FSC-klagomål.docx", "A 11086-2025")</f>
        <v/>
      </c>
      <c r="W193">
        <f>HYPERLINK("https://klasma.github.io/Logging_2303/klagomålsmail/A 11086-2025 FSC-klagomål mail.docx", "A 11086-2025")</f>
        <v/>
      </c>
      <c r="X193">
        <f>HYPERLINK("https://klasma.github.io/Logging_2303/tillsyn/A 11086-2025 tillsynsbegäran.docx", "A 11086-2025")</f>
        <v/>
      </c>
      <c r="Y193">
        <f>HYPERLINK("https://klasma.github.io/Logging_2303/tillsynsmail/A 11086-2025 tillsynsbegäran mail.docx", "A 11086-2025")</f>
        <v/>
      </c>
    </row>
    <row r="194" ht="15" customHeight="1">
      <c r="A194" t="inlineStr">
        <is>
          <t>A 40826-2023</t>
        </is>
      </c>
      <c r="B194" s="1" t="n">
        <v>45171</v>
      </c>
      <c r="C194" s="1" t="n">
        <v>46084</v>
      </c>
      <c r="D194" t="inlineStr">
        <is>
          <t>JÄMTLANDS LÄN</t>
        </is>
      </c>
      <c r="E194" t="inlineStr">
        <is>
          <t>RAGUNDA</t>
        </is>
      </c>
      <c r="F194" t="inlineStr">
        <is>
          <t>SCA</t>
        </is>
      </c>
      <c r="G194" t="n">
        <v>4.5</v>
      </c>
      <c r="H194" t="n">
        <v>0</v>
      </c>
      <c r="I194" t="n">
        <v>1</v>
      </c>
      <c r="J194" t="n">
        <v>1</v>
      </c>
      <c r="K194" t="n">
        <v>0</v>
      </c>
      <c r="L194" t="n">
        <v>0</v>
      </c>
      <c r="M194" t="n">
        <v>0</v>
      </c>
      <c r="N194" t="n">
        <v>0</v>
      </c>
      <c r="O194" t="n">
        <v>1</v>
      </c>
      <c r="P194" t="n">
        <v>0</v>
      </c>
      <c r="Q194" t="n">
        <v>2</v>
      </c>
      <c r="R194" s="2" t="inlineStr">
        <is>
          <t>Lunglav
Stuplav</t>
        </is>
      </c>
      <c r="S194">
        <f>HYPERLINK("https://klasma.github.io/Logging_2303/artfynd/A 40826-2023 artfynd.xlsx", "A 40826-2023")</f>
        <v/>
      </c>
      <c r="T194">
        <f>HYPERLINK("https://klasma.github.io/Logging_2303/kartor/A 40826-2023 karta.png", "A 40826-2023")</f>
        <v/>
      </c>
      <c r="V194">
        <f>HYPERLINK("https://klasma.github.io/Logging_2303/klagomål/A 40826-2023 FSC-klagomål.docx", "A 40826-2023")</f>
        <v/>
      </c>
      <c r="W194">
        <f>HYPERLINK("https://klasma.github.io/Logging_2303/klagomålsmail/A 40826-2023 FSC-klagomål mail.docx", "A 40826-2023")</f>
        <v/>
      </c>
      <c r="X194">
        <f>HYPERLINK("https://klasma.github.io/Logging_2303/tillsyn/A 40826-2023 tillsynsbegäran.docx", "A 40826-2023")</f>
        <v/>
      </c>
      <c r="Y194">
        <f>HYPERLINK("https://klasma.github.io/Logging_2303/tillsynsmail/A 40826-2023 tillsynsbegäran mail.docx", "A 40826-2023")</f>
        <v/>
      </c>
    </row>
    <row r="195" ht="15" customHeight="1">
      <c r="A195" t="inlineStr">
        <is>
          <t>A 41490-2022</t>
        </is>
      </c>
      <c r="B195" s="1" t="n">
        <v>44826.94976851852</v>
      </c>
      <c r="C195" s="1" t="n">
        <v>46084</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14502-2024</t>
        </is>
      </c>
      <c r="B196" s="1" t="n">
        <v>45394</v>
      </c>
      <c r="C196" s="1" t="n">
        <v>46084</v>
      </c>
      <c r="D196" t="inlineStr">
        <is>
          <t>JÄMTLANDS LÄN</t>
        </is>
      </c>
      <c r="E196" t="inlineStr">
        <is>
          <t>RAGUNDA</t>
        </is>
      </c>
      <c r="G196" t="n">
        <v>11.6</v>
      </c>
      <c r="H196" t="n">
        <v>0</v>
      </c>
      <c r="I196" t="n">
        <v>0</v>
      </c>
      <c r="J196" t="n">
        <v>2</v>
      </c>
      <c r="K196" t="n">
        <v>0</v>
      </c>
      <c r="L196" t="n">
        <v>0</v>
      </c>
      <c r="M196" t="n">
        <v>0</v>
      </c>
      <c r="N196" t="n">
        <v>0</v>
      </c>
      <c r="O196" t="n">
        <v>2</v>
      </c>
      <c r="P196" t="n">
        <v>0</v>
      </c>
      <c r="Q196" t="n">
        <v>2</v>
      </c>
      <c r="R196" s="2" t="inlineStr">
        <is>
          <t>Garnlav
Stjärntagging</t>
        </is>
      </c>
      <c r="S196">
        <f>HYPERLINK("https://klasma.github.io/Logging_2303/artfynd/A 14502-2024 artfynd.xlsx", "A 14502-2024")</f>
        <v/>
      </c>
      <c r="T196">
        <f>HYPERLINK("https://klasma.github.io/Logging_2303/kartor/A 14502-2024 karta.png", "A 14502-2024")</f>
        <v/>
      </c>
      <c r="V196">
        <f>HYPERLINK("https://klasma.github.io/Logging_2303/klagomål/A 14502-2024 FSC-klagomål.docx", "A 14502-2024")</f>
        <v/>
      </c>
      <c r="W196">
        <f>HYPERLINK("https://klasma.github.io/Logging_2303/klagomålsmail/A 14502-2024 FSC-klagomål mail.docx", "A 14502-2024")</f>
        <v/>
      </c>
      <c r="X196">
        <f>HYPERLINK("https://klasma.github.io/Logging_2303/tillsyn/A 14502-2024 tillsynsbegäran.docx", "A 14502-2024")</f>
        <v/>
      </c>
      <c r="Y196">
        <f>HYPERLINK("https://klasma.github.io/Logging_2303/tillsynsmail/A 14502-2024 tillsynsbegäran mail.docx", "A 14502-2024")</f>
        <v/>
      </c>
    </row>
    <row r="197" ht="15" customHeight="1">
      <c r="A197" t="inlineStr">
        <is>
          <t>A 46771-2024</t>
        </is>
      </c>
      <c r="B197" s="1" t="n">
        <v>45583.49642361111</v>
      </c>
      <c r="C197" s="1" t="n">
        <v>46084</v>
      </c>
      <c r="D197" t="inlineStr">
        <is>
          <t>JÄMTLANDS LÄN</t>
        </is>
      </c>
      <c r="E197" t="inlineStr">
        <is>
          <t>RAGUNDA</t>
        </is>
      </c>
      <c r="F197" t="inlineStr">
        <is>
          <t>SCA</t>
        </is>
      </c>
      <c r="G197" t="n">
        <v>3.1</v>
      </c>
      <c r="H197" t="n">
        <v>0</v>
      </c>
      <c r="I197" t="n">
        <v>0</v>
      </c>
      <c r="J197" t="n">
        <v>2</v>
      </c>
      <c r="K197" t="n">
        <v>0</v>
      </c>
      <c r="L197" t="n">
        <v>0</v>
      </c>
      <c r="M197" t="n">
        <v>0</v>
      </c>
      <c r="N197" t="n">
        <v>0</v>
      </c>
      <c r="O197" t="n">
        <v>2</v>
      </c>
      <c r="P197" t="n">
        <v>0</v>
      </c>
      <c r="Q197" t="n">
        <v>2</v>
      </c>
      <c r="R197" s="2" t="inlineStr">
        <is>
          <t>Doftskinn
Gammelgransskål</t>
        </is>
      </c>
      <c r="S197">
        <f>HYPERLINK("https://klasma.github.io/Logging_2303/artfynd/A 46771-2024 artfynd.xlsx", "A 46771-2024")</f>
        <v/>
      </c>
      <c r="T197">
        <f>HYPERLINK("https://klasma.github.io/Logging_2303/kartor/A 46771-2024 karta.png", "A 46771-2024")</f>
        <v/>
      </c>
      <c r="V197">
        <f>HYPERLINK("https://klasma.github.io/Logging_2303/klagomål/A 46771-2024 FSC-klagomål.docx", "A 46771-2024")</f>
        <v/>
      </c>
      <c r="W197">
        <f>HYPERLINK("https://klasma.github.io/Logging_2303/klagomålsmail/A 46771-2024 FSC-klagomål mail.docx", "A 46771-2024")</f>
        <v/>
      </c>
      <c r="X197">
        <f>HYPERLINK("https://klasma.github.io/Logging_2303/tillsyn/A 46771-2024 tillsynsbegäran.docx", "A 46771-2024")</f>
        <v/>
      </c>
      <c r="Y197">
        <f>HYPERLINK("https://klasma.github.io/Logging_2303/tillsynsmail/A 46771-2024 tillsynsbegäran mail.docx", "A 46771-2024")</f>
        <v/>
      </c>
    </row>
    <row r="198" ht="15" customHeight="1">
      <c r="A198" t="inlineStr">
        <is>
          <t>A 51916-2021</t>
        </is>
      </c>
      <c r="B198" s="1" t="n">
        <v>44462</v>
      </c>
      <c r="C198" s="1" t="n">
        <v>46084</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46084</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46084</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46084</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42899-2022</t>
        </is>
      </c>
      <c r="B202" s="1" t="n">
        <v>44832</v>
      </c>
      <c r="C202" s="1" t="n">
        <v>46084</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46084</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27286-2022</t>
        </is>
      </c>
      <c r="B204" s="1" t="n">
        <v>44741</v>
      </c>
      <c r="C204" s="1" t="n">
        <v>46084</v>
      </c>
      <c r="D204" t="inlineStr">
        <is>
          <t>JÄMTLANDS LÄN</t>
        </is>
      </c>
      <c r="E204" t="inlineStr">
        <is>
          <t>RAGUNDA</t>
        </is>
      </c>
      <c r="F204" t="inlineStr">
        <is>
          <t>SCA</t>
        </is>
      </c>
      <c r="G204" t="n">
        <v>3.1</v>
      </c>
      <c r="H204" t="n">
        <v>0</v>
      </c>
      <c r="I204" t="n">
        <v>0</v>
      </c>
      <c r="J204" t="n">
        <v>1</v>
      </c>
      <c r="K204" t="n">
        <v>0</v>
      </c>
      <c r="L204" t="n">
        <v>0</v>
      </c>
      <c r="M204" t="n">
        <v>0</v>
      </c>
      <c r="N204" t="n">
        <v>0</v>
      </c>
      <c r="O204" t="n">
        <v>1</v>
      </c>
      <c r="P204" t="n">
        <v>0</v>
      </c>
      <c r="Q204" t="n">
        <v>1</v>
      </c>
      <c r="R204" s="2" t="inlineStr">
        <is>
          <t>Harticka</t>
        </is>
      </c>
      <c r="S204">
        <f>HYPERLINK("https://klasma.github.io/Logging_2303/artfynd/A 27286-2022 artfynd.xlsx", "A 27286-2022")</f>
        <v/>
      </c>
      <c r="T204">
        <f>HYPERLINK("https://klasma.github.io/Logging_2303/kartor/A 27286-2022 karta.png", "A 27286-2022")</f>
        <v/>
      </c>
      <c r="V204">
        <f>HYPERLINK("https://klasma.github.io/Logging_2303/klagomål/A 27286-2022 FSC-klagomål.docx", "A 27286-2022")</f>
        <v/>
      </c>
      <c r="W204">
        <f>HYPERLINK("https://klasma.github.io/Logging_2303/klagomålsmail/A 27286-2022 FSC-klagomål mail.docx", "A 27286-2022")</f>
        <v/>
      </c>
      <c r="X204">
        <f>HYPERLINK("https://klasma.github.io/Logging_2303/tillsyn/A 27286-2022 tillsynsbegäran.docx", "A 27286-2022")</f>
        <v/>
      </c>
      <c r="Y204">
        <f>HYPERLINK("https://klasma.github.io/Logging_2303/tillsynsmail/A 27286-2022 tillsynsbegäran mail.docx", "A 27286-2022")</f>
        <v/>
      </c>
    </row>
    <row r="205" ht="15" customHeight="1">
      <c r="A205" t="inlineStr">
        <is>
          <t>A 16316-2025</t>
        </is>
      </c>
      <c r="B205" s="1" t="n">
        <v>45751.34795138889</v>
      </c>
      <c r="C205" s="1" t="n">
        <v>46084</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Vanliga ängsnycklar</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20575-2025</t>
        </is>
      </c>
      <c r="B206" s="1" t="n">
        <v>45775.67769675926</v>
      </c>
      <c r="C206" s="1" t="n">
        <v>46084</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36757-2023</t>
        </is>
      </c>
      <c r="B207" s="1" t="n">
        <v>45153</v>
      </c>
      <c r="C207" s="1" t="n">
        <v>46084</v>
      </c>
      <c r="D207" t="inlineStr">
        <is>
          <t>JÄMTLANDS LÄN</t>
        </is>
      </c>
      <c r="E207" t="inlineStr">
        <is>
          <t>RAGUNDA</t>
        </is>
      </c>
      <c r="G207" t="n">
        <v>0.7</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36757-2023 artfynd.xlsx", "A 36757-2023")</f>
        <v/>
      </c>
      <c r="T207">
        <f>HYPERLINK("https://klasma.github.io/Logging_2303/kartor/A 36757-2023 karta.png", "A 36757-2023")</f>
        <v/>
      </c>
      <c r="V207">
        <f>HYPERLINK("https://klasma.github.io/Logging_2303/klagomål/A 36757-2023 FSC-klagomål.docx", "A 36757-2023")</f>
        <v/>
      </c>
      <c r="W207">
        <f>HYPERLINK("https://klasma.github.io/Logging_2303/klagomålsmail/A 36757-2023 FSC-klagomål mail.docx", "A 36757-2023")</f>
        <v/>
      </c>
      <c r="X207">
        <f>HYPERLINK("https://klasma.github.io/Logging_2303/tillsyn/A 36757-2023 tillsynsbegäran.docx", "A 36757-2023")</f>
        <v/>
      </c>
      <c r="Y207">
        <f>HYPERLINK("https://klasma.github.io/Logging_2303/tillsynsmail/A 36757-2023 tillsynsbegäran mail.docx", "A 36757-2023")</f>
        <v/>
      </c>
      <c r="Z207">
        <f>HYPERLINK("https://klasma.github.io/Logging_2303/fåglar/A 36757-2023 prioriterade fågelarter.docx", "A 36757-2023")</f>
        <v/>
      </c>
    </row>
    <row r="208" ht="15" customHeight="1">
      <c r="A208" t="inlineStr">
        <is>
          <t>A 59104-2023</t>
        </is>
      </c>
      <c r="B208" s="1" t="n">
        <v>45252</v>
      </c>
      <c r="C208" s="1" t="n">
        <v>46084</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21212-2025</t>
        </is>
      </c>
      <c r="B209" s="1" t="n">
        <v>45779.48993055556</v>
      </c>
      <c r="C209" s="1" t="n">
        <v>46084</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44066-2024</t>
        </is>
      </c>
      <c r="B210" s="1" t="n">
        <v>45572.60363425926</v>
      </c>
      <c r="C210" s="1" t="n">
        <v>46084</v>
      </c>
      <c r="D210" t="inlineStr">
        <is>
          <t>JÄMTLANDS LÄN</t>
        </is>
      </c>
      <c r="E210" t="inlineStr">
        <is>
          <t>RAGUNDA</t>
        </is>
      </c>
      <c r="G210" t="n">
        <v>6.4</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44066-2024 artfynd.xlsx", "A 44066-2024")</f>
        <v/>
      </c>
      <c r="T210">
        <f>HYPERLINK("https://klasma.github.io/Logging_2303/kartor/A 44066-2024 karta.png", "A 44066-2024")</f>
        <v/>
      </c>
      <c r="V210">
        <f>HYPERLINK("https://klasma.github.io/Logging_2303/klagomål/A 44066-2024 FSC-klagomål.docx", "A 44066-2024")</f>
        <v/>
      </c>
      <c r="W210">
        <f>HYPERLINK("https://klasma.github.io/Logging_2303/klagomålsmail/A 44066-2024 FSC-klagomål mail.docx", "A 44066-2024")</f>
        <v/>
      </c>
      <c r="X210">
        <f>HYPERLINK("https://klasma.github.io/Logging_2303/tillsyn/A 44066-2024 tillsynsbegäran.docx", "A 44066-2024")</f>
        <v/>
      </c>
      <c r="Y210">
        <f>HYPERLINK("https://klasma.github.io/Logging_2303/tillsynsmail/A 44066-2024 tillsynsbegäran mail.docx", "A 44066-2024")</f>
        <v/>
      </c>
      <c r="Z210">
        <f>HYPERLINK("https://klasma.github.io/Logging_2303/fåglar/A 44066-2024 prioriterade fågelarter.docx", "A 44066-2024")</f>
        <v/>
      </c>
    </row>
    <row r="211" ht="15" customHeight="1">
      <c r="A211" t="inlineStr">
        <is>
          <t>A 61324-2024</t>
        </is>
      </c>
      <c r="B211" s="1" t="n">
        <v>45646.34438657408</v>
      </c>
      <c r="C211" s="1" t="n">
        <v>46084</v>
      </c>
      <c r="D211" t="inlineStr">
        <is>
          <t>JÄMTLANDS LÄN</t>
        </is>
      </c>
      <c r="E211" t="inlineStr">
        <is>
          <t>RAGUNDA</t>
        </is>
      </c>
      <c r="F211" t="inlineStr">
        <is>
          <t>SCA</t>
        </is>
      </c>
      <c r="G211" t="n">
        <v>11.2</v>
      </c>
      <c r="H211" t="n">
        <v>1</v>
      </c>
      <c r="I211" t="n">
        <v>0</v>
      </c>
      <c r="J211" t="n">
        <v>0</v>
      </c>
      <c r="K211" t="n">
        <v>0</v>
      </c>
      <c r="L211" t="n">
        <v>0</v>
      </c>
      <c r="M211" t="n">
        <v>0</v>
      </c>
      <c r="N211" t="n">
        <v>0</v>
      </c>
      <c r="O211" t="n">
        <v>0</v>
      </c>
      <c r="P211" t="n">
        <v>0</v>
      </c>
      <c r="Q211" t="n">
        <v>1</v>
      </c>
      <c r="R211" s="2" t="inlineStr">
        <is>
          <t>Trana</t>
        </is>
      </c>
      <c r="S211">
        <f>HYPERLINK("https://klasma.github.io/Logging_2303/artfynd/A 61324-2024 artfynd.xlsx", "A 61324-2024")</f>
        <v/>
      </c>
      <c r="T211">
        <f>HYPERLINK("https://klasma.github.io/Logging_2303/kartor/A 61324-2024 karta.png", "A 61324-2024")</f>
        <v/>
      </c>
      <c r="V211">
        <f>HYPERLINK("https://klasma.github.io/Logging_2303/klagomål/A 61324-2024 FSC-klagomål.docx", "A 61324-2024")</f>
        <v/>
      </c>
      <c r="W211">
        <f>HYPERLINK("https://klasma.github.io/Logging_2303/klagomålsmail/A 61324-2024 FSC-klagomål mail.docx", "A 61324-2024")</f>
        <v/>
      </c>
      <c r="X211">
        <f>HYPERLINK("https://klasma.github.io/Logging_2303/tillsyn/A 61324-2024 tillsynsbegäran.docx", "A 61324-2024")</f>
        <v/>
      </c>
      <c r="Y211">
        <f>HYPERLINK("https://klasma.github.io/Logging_2303/tillsynsmail/A 61324-2024 tillsynsbegäran mail.docx", "A 61324-2024")</f>
        <v/>
      </c>
      <c r="Z211">
        <f>HYPERLINK("https://klasma.github.io/Logging_2303/fåglar/A 61324-2024 prioriterade fågelarter.docx", "A 61324-2024")</f>
        <v/>
      </c>
    </row>
    <row r="212" ht="15" customHeight="1">
      <c r="A212" t="inlineStr">
        <is>
          <t>A 25694-2023</t>
        </is>
      </c>
      <c r="B212" s="1" t="n">
        <v>45089</v>
      </c>
      <c r="C212" s="1" t="n">
        <v>46084</v>
      </c>
      <c r="D212" t="inlineStr">
        <is>
          <t>JÄMTLANDS LÄN</t>
        </is>
      </c>
      <c r="E212" t="inlineStr">
        <is>
          <t>RAGUNDA</t>
        </is>
      </c>
      <c r="F212" t="inlineStr">
        <is>
          <t>SCA</t>
        </is>
      </c>
      <c r="G212" t="n">
        <v>1.5</v>
      </c>
      <c r="H212" t="n">
        <v>0</v>
      </c>
      <c r="I212" t="n">
        <v>0</v>
      </c>
      <c r="J212" t="n">
        <v>1</v>
      </c>
      <c r="K212" t="n">
        <v>0</v>
      </c>
      <c r="L212" t="n">
        <v>0</v>
      </c>
      <c r="M212" t="n">
        <v>0</v>
      </c>
      <c r="N212" t="n">
        <v>0</v>
      </c>
      <c r="O212" t="n">
        <v>1</v>
      </c>
      <c r="P212" t="n">
        <v>0</v>
      </c>
      <c r="Q212" t="n">
        <v>1</v>
      </c>
      <c r="R212" s="2" t="inlineStr">
        <is>
          <t>Ullticka</t>
        </is>
      </c>
      <c r="S212">
        <f>HYPERLINK("https://klasma.github.io/Logging_2303/artfynd/A 25694-2023 artfynd.xlsx", "A 25694-2023")</f>
        <v/>
      </c>
      <c r="T212">
        <f>HYPERLINK("https://klasma.github.io/Logging_2303/kartor/A 25694-2023 karta.png", "A 25694-2023")</f>
        <v/>
      </c>
      <c r="V212">
        <f>HYPERLINK("https://klasma.github.io/Logging_2303/klagomål/A 25694-2023 FSC-klagomål.docx", "A 25694-2023")</f>
        <v/>
      </c>
      <c r="W212">
        <f>HYPERLINK("https://klasma.github.io/Logging_2303/klagomålsmail/A 25694-2023 FSC-klagomål mail.docx", "A 25694-2023")</f>
        <v/>
      </c>
      <c r="X212">
        <f>HYPERLINK("https://klasma.github.io/Logging_2303/tillsyn/A 25694-2023 tillsynsbegäran.docx", "A 25694-2023")</f>
        <v/>
      </c>
      <c r="Y212">
        <f>HYPERLINK("https://klasma.github.io/Logging_2303/tillsynsmail/A 25694-2023 tillsynsbegäran mail.docx", "A 25694-2023")</f>
        <v/>
      </c>
    </row>
    <row r="213" ht="15" customHeight="1">
      <c r="A213" t="inlineStr">
        <is>
          <t>A 40841-2025</t>
        </is>
      </c>
      <c r="B213" s="1" t="n">
        <v>45897.531875</v>
      </c>
      <c r="C213" s="1" t="n">
        <v>46084</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32069-2024</t>
        </is>
      </c>
      <c r="B214" s="1" t="n">
        <v>45510</v>
      </c>
      <c r="C214" s="1" t="n">
        <v>46084</v>
      </c>
      <c r="D214" t="inlineStr">
        <is>
          <t>JÄMTLANDS LÄN</t>
        </is>
      </c>
      <c r="E214" t="inlineStr">
        <is>
          <t>RAGUNDA</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HYPERLINK("https://klasma.github.io/Logging_2303/artfynd/A 32069-2024 artfynd.xlsx", "A 32069-2024")</f>
        <v/>
      </c>
      <c r="T214">
        <f>HYPERLINK("https://klasma.github.io/Logging_2303/kartor/A 32069-2024 karta.png", "A 32069-2024")</f>
        <v/>
      </c>
      <c r="V214">
        <f>HYPERLINK("https://klasma.github.io/Logging_2303/klagomål/A 32069-2024 FSC-klagomål.docx", "A 32069-2024")</f>
        <v/>
      </c>
      <c r="W214">
        <f>HYPERLINK("https://klasma.github.io/Logging_2303/klagomålsmail/A 32069-2024 FSC-klagomål mail.docx", "A 32069-2024")</f>
        <v/>
      </c>
      <c r="X214">
        <f>HYPERLINK("https://klasma.github.io/Logging_2303/tillsyn/A 32069-2024 tillsynsbegäran.docx", "A 32069-2024")</f>
        <v/>
      </c>
      <c r="Y214">
        <f>HYPERLINK("https://klasma.github.io/Logging_2303/tillsynsmail/A 32069-2024 tillsynsbegäran mail.docx", "A 32069-2024")</f>
        <v/>
      </c>
    </row>
    <row r="215" ht="15" customHeight="1">
      <c r="A215" t="inlineStr">
        <is>
          <t>A 19751-2025</t>
        </is>
      </c>
      <c r="B215" s="1" t="n">
        <v>45771.3859837963</v>
      </c>
      <c r="C215" s="1" t="n">
        <v>46084</v>
      </c>
      <c r="D215" t="inlineStr">
        <is>
          <t>JÄMTLANDS LÄN</t>
        </is>
      </c>
      <c r="E215" t="inlineStr">
        <is>
          <t>RAGUNDA</t>
        </is>
      </c>
      <c r="F215" t="inlineStr">
        <is>
          <t>SCA</t>
        </is>
      </c>
      <c r="G215" t="n">
        <v>1.1</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19751-2025 artfynd.xlsx", "A 19751-2025")</f>
        <v/>
      </c>
      <c r="T215">
        <f>HYPERLINK("https://klasma.github.io/Logging_2303/kartor/A 19751-2025 karta.png", "A 19751-2025")</f>
        <v/>
      </c>
      <c r="V215">
        <f>HYPERLINK("https://klasma.github.io/Logging_2303/klagomål/A 19751-2025 FSC-klagomål.docx", "A 19751-2025")</f>
        <v/>
      </c>
      <c r="W215">
        <f>HYPERLINK("https://klasma.github.io/Logging_2303/klagomålsmail/A 19751-2025 FSC-klagomål mail.docx", "A 19751-2025")</f>
        <v/>
      </c>
      <c r="X215">
        <f>HYPERLINK("https://klasma.github.io/Logging_2303/tillsyn/A 19751-2025 tillsynsbegäran.docx", "A 19751-2025")</f>
        <v/>
      </c>
      <c r="Y215">
        <f>HYPERLINK("https://klasma.github.io/Logging_2303/tillsynsmail/A 19751-2025 tillsynsbegäran mail.docx", "A 19751-2025")</f>
        <v/>
      </c>
      <c r="Z215">
        <f>HYPERLINK("https://klasma.github.io/Logging_2303/fåglar/A 19751-2025 prioriterade fågelarter.docx", "A 19751-2025")</f>
        <v/>
      </c>
    </row>
    <row r="216" ht="15" customHeight="1">
      <c r="A216" t="inlineStr">
        <is>
          <t>A 27573-2025</t>
        </is>
      </c>
      <c r="B216" s="1" t="n">
        <v>45813.49061342593</v>
      </c>
      <c r="C216" s="1" t="n">
        <v>46084</v>
      </c>
      <c r="D216" t="inlineStr">
        <is>
          <t>JÄMTLANDS LÄN</t>
        </is>
      </c>
      <c r="E216" t="inlineStr">
        <is>
          <t>RAGUNDA</t>
        </is>
      </c>
      <c r="F216" t="inlineStr">
        <is>
          <t>SCA</t>
        </is>
      </c>
      <c r="G216" t="n">
        <v>14.9</v>
      </c>
      <c r="H216" t="n">
        <v>0</v>
      </c>
      <c r="I216" t="n">
        <v>1</v>
      </c>
      <c r="J216" t="n">
        <v>0</v>
      </c>
      <c r="K216" t="n">
        <v>0</v>
      </c>
      <c r="L216" t="n">
        <v>0</v>
      </c>
      <c r="M216" t="n">
        <v>0</v>
      </c>
      <c r="N216" t="n">
        <v>0</v>
      </c>
      <c r="O216" t="n">
        <v>0</v>
      </c>
      <c r="P216" t="n">
        <v>0</v>
      </c>
      <c r="Q216" t="n">
        <v>1</v>
      </c>
      <c r="R216" s="2" t="inlineStr">
        <is>
          <t>Skinnlav</t>
        </is>
      </c>
      <c r="S216">
        <f>HYPERLINK("https://klasma.github.io/Logging_2303/artfynd/A 27573-2025 artfynd.xlsx", "A 27573-2025")</f>
        <v/>
      </c>
      <c r="T216">
        <f>HYPERLINK("https://klasma.github.io/Logging_2303/kartor/A 27573-2025 karta.png", "A 27573-2025")</f>
        <v/>
      </c>
      <c r="U216">
        <f>HYPERLINK("https://klasma.github.io/Logging_2303/knärot/A 27573-2025 karta knärot.png", "A 27573-2025")</f>
        <v/>
      </c>
      <c r="V216">
        <f>HYPERLINK("https://klasma.github.io/Logging_2303/klagomål/A 27573-2025 FSC-klagomål.docx", "A 27573-2025")</f>
        <v/>
      </c>
      <c r="W216">
        <f>HYPERLINK("https://klasma.github.io/Logging_2303/klagomålsmail/A 27573-2025 FSC-klagomål mail.docx", "A 27573-2025")</f>
        <v/>
      </c>
      <c r="X216">
        <f>HYPERLINK("https://klasma.github.io/Logging_2303/tillsyn/A 27573-2025 tillsynsbegäran.docx", "A 27573-2025")</f>
        <v/>
      </c>
      <c r="Y216">
        <f>HYPERLINK("https://klasma.github.io/Logging_2303/tillsynsmail/A 27573-2025 tillsynsbegäran mail.docx", "A 27573-2025")</f>
        <v/>
      </c>
    </row>
    <row r="217" ht="15" customHeight="1">
      <c r="A217" t="inlineStr">
        <is>
          <t>A 11040-2023</t>
        </is>
      </c>
      <c r="B217" s="1" t="n">
        <v>44991</v>
      </c>
      <c r="C217" s="1" t="n">
        <v>46084</v>
      </c>
      <c r="D217" t="inlineStr">
        <is>
          <t>JÄMTLANDS LÄN</t>
        </is>
      </c>
      <c r="E217" t="inlineStr">
        <is>
          <t>RAGUNDA</t>
        </is>
      </c>
      <c r="F217" t="inlineStr">
        <is>
          <t>SCA</t>
        </is>
      </c>
      <c r="G217" t="n">
        <v>10.2</v>
      </c>
      <c r="H217" t="n">
        <v>0</v>
      </c>
      <c r="I217" t="n">
        <v>0</v>
      </c>
      <c r="J217" t="n">
        <v>1</v>
      </c>
      <c r="K217" t="n">
        <v>0</v>
      </c>
      <c r="L217" t="n">
        <v>0</v>
      </c>
      <c r="M217" t="n">
        <v>0</v>
      </c>
      <c r="N217" t="n">
        <v>0</v>
      </c>
      <c r="O217" t="n">
        <v>1</v>
      </c>
      <c r="P217" t="n">
        <v>0</v>
      </c>
      <c r="Q217" t="n">
        <v>1</v>
      </c>
      <c r="R217" s="2" t="inlineStr">
        <is>
          <t>Lunglav</t>
        </is>
      </c>
      <c r="S217">
        <f>HYPERLINK("https://klasma.github.io/Logging_2303/artfynd/A 11040-2023 artfynd.xlsx", "A 11040-2023")</f>
        <v/>
      </c>
      <c r="T217">
        <f>HYPERLINK("https://klasma.github.io/Logging_2303/kartor/A 11040-2023 karta.png", "A 11040-2023")</f>
        <v/>
      </c>
      <c r="V217">
        <f>HYPERLINK("https://klasma.github.io/Logging_2303/klagomål/A 11040-2023 FSC-klagomål.docx", "A 11040-2023")</f>
        <v/>
      </c>
      <c r="W217">
        <f>HYPERLINK("https://klasma.github.io/Logging_2303/klagomålsmail/A 11040-2023 FSC-klagomål mail.docx", "A 11040-2023")</f>
        <v/>
      </c>
      <c r="X217">
        <f>HYPERLINK("https://klasma.github.io/Logging_2303/tillsyn/A 11040-2023 tillsynsbegäran.docx", "A 11040-2023")</f>
        <v/>
      </c>
      <c r="Y217">
        <f>HYPERLINK("https://klasma.github.io/Logging_2303/tillsynsmail/A 11040-2023 tillsynsbegäran mail.docx", "A 11040-2023")</f>
        <v/>
      </c>
    </row>
    <row r="218" ht="15" customHeight="1">
      <c r="A218" t="inlineStr">
        <is>
          <t>A 43526-2025</t>
        </is>
      </c>
      <c r="B218" s="1" t="n">
        <v>45911</v>
      </c>
      <c r="C218" s="1" t="n">
        <v>46084</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19387-2025</t>
        </is>
      </c>
      <c r="B219" s="1" t="n">
        <v>45769.65736111111</v>
      </c>
      <c r="C219" s="1" t="n">
        <v>46084</v>
      </c>
      <c r="D219" t="inlineStr">
        <is>
          <t>JÄMTLANDS LÄN</t>
        </is>
      </c>
      <c r="E219" t="inlineStr">
        <is>
          <t>RAGUNDA</t>
        </is>
      </c>
      <c r="F219" t="inlineStr">
        <is>
          <t>SCA</t>
        </is>
      </c>
      <c r="G219" t="n">
        <v>16.4</v>
      </c>
      <c r="H219" t="n">
        <v>1</v>
      </c>
      <c r="I219" t="n">
        <v>0</v>
      </c>
      <c r="J219" t="n">
        <v>0</v>
      </c>
      <c r="K219" t="n">
        <v>1</v>
      </c>
      <c r="L219" t="n">
        <v>0</v>
      </c>
      <c r="M219" t="n">
        <v>0</v>
      </c>
      <c r="N219" t="n">
        <v>0</v>
      </c>
      <c r="O219" t="n">
        <v>1</v>
      </c>
      <c r="P219" t="n">
        <v>1</v>
      </c>
      <c r="Q219" t="n">
        <v>1</v>
      </c>
      <c r="R219" s="2" t="inlineStr">
        <is>
          <t>Norna</t>
        </is>
      </c>
      <c r="S219">
        <f>HYPERLINK("https://klasma.github.io/Logging_2303/artfynd/A 19387-2025 artfynd.xlsx", "A 19387-2025")</f>
        <v/>
      </c>
      <c r="T219">
        <f>HYPERLINK("https://klasma.github.io/Logging_2303/kartor/A 19387-2025 karta.png", "A 19387-2025")</f>
        <v/>
      </c>
      <c r="V219">
        <f>HYPERLINK("https://klasma.github.io/Logging_2303/klagomål/A 19387-2025 FSC-klagomål.docx", "A 19387-2025")</f>
        <v/>
      </c>
      <c r="W219">
        <f>HYPERLINK("https://klasma.github.io/Logging_2303/klagomålsmail/A 19387-2025 FSC-klagomål mail.docx", "A 19387-2025")</f>
        <v/>
      </c>
      <c r="X219">
        <f>HYPERLINK("https://klasma.github.io/Logging_2303/tillsyn/A 19387-2025 tillsynsbegäran.docx", "A 19387-2025")</f>
        <v/>
      </c>
      <c r="Y219">
        <f>HYPERLINK("https://klasma.github.io/Logging_2303/tillsynsmail/A 19387-2025 tillsynsbegäran mail.docx", "A 19387-2025")</f>
        <v/>
      </c>
    </row>
    <row r="220" ht="15" customHeight="1">
      <c r="A220" t="inlineStr">
        <is>
          <t>A 36975-2023</t>
        </is>
      </c>
      <c r="B220" s="1" t="n">
        <v>45154</v>
      </c>
      <c r="C220" s="1" t="n">
        <v>46084</v>
      </c>
      <c r="D220" t="inlineStr">
        <is>
          <t>JÄMTLANDS LÄN</t>
        </is>
      </c>
      <c r="E220" t="inlineStr">
        <is>
          <t>RAGUNDA</t>
        </is>
      </c>
      <c r="F220" t="inlineStr">
        <is>
          <t>SCA</t>
        </is>
      </c>
      <c r="G220" t="n">
        <v>3.8</v>
      </c>
      <c r="H220" t="n">
        <v>0</v>
      </c>
      <c r="I220" t="n">
        <v>0</v>
      </c>
      <c r="J220" t="n">
        <v>0</v>
      </c>
      <c r="K220" t="n">
        <v>1</v>
      </c>
      <c r="L220" t="n">
        <v>0</v>
      </c>
      <c r="M220" t="n">
        <v>0</v>
      </c>
      <c r="N220" t="n">
        <v>0</v>
      </c>
      <c r="O220" t="n">
        <v>1</v>
      </c>
      <c r="P220" t="n">
        <v>1</v>
      </c>
      <c r="Q220" t="n">
        <v>1</v>
      </c>
      <c r="R220" s="2" t="inlineStr">
        <is>
          <t>Gräddporing</t>
        </is>
      </c>
      <c r="S220">
        <f>HYPERLINK("https://klasma.github.io/Logging_2303/artfynd/A 36975-2023 artfynd.xlsx", "A 36975-2023")</f>
        <v/>
      </c>
      <c r="T220">
        <f>HYPERLINK("https://klasma.github.io/Logging_2303/kartor/A 36975-2023 karta.png", "A 36975-2023")</f>
        <v/>
      </c>
      <c r="V220">
        <f>HYPERLINK("https://klasma.github.io/Logging_2303/klagomål/A 36975-2023 FSC-klagomål.docx", "A 36975-2023")</f>
        <v/>
      </c>
      <c r="W220">
        <f>HYPERLINK("https://klasma.github.io/Logging_2303/klagomålsmail/A 36975-2023 FSC-klagomål mail.docx", "A 36975-2023")</f>
        <v/>
      </c>
      <c r="X220">
        <f>HYPERLINK("https://klasma.github.io/Logging_2303/tillsyn/A 36975-2023 tillsynsbegäran.docx", "A 36975-2023")</f>
        <v/>
      </c>
      <c r="Y220">
        <f>HYPERLINK("https://klasma.github.io/Logging_2303/tillsynsmail/A 36975-2023 tillsynsbegäran mail.docx", "A 36975-2023")</f>
        <v/>
      </c>
    </row>
    <row r="221" ht="15" customHeight="1">
      <c r="A221" t="inlineStr">
        <is>
          <t>A 30390-2025</t>
        </is>
      </c>
      <c r="B221" s="1" t="n">
        <v>45827.57371527778</v>
      </c>
      <c r="C221" s="1" t="n">
        <v>46084</v>
      </c>
      <c r="D221" t="inlineStr">
        <is>
          <t>JÄMTLANDS LÄN</t>
        </is>
      </c>
      <c r="E221" t="inlineStr">
        <is>
          <t>RAGUNDA</t>
        </is>
      </c>
      <c r="F221" t="inlineStr">
        <is>
          <t>SCA</t>
        </is>
      </c>
      <c r="G221" t="n">
        <v>11.2</v>
      </c>
      <c r="H221" t="n">
        <v>0</v>
      </c>
      <c r="I221" t="n">
        <v>0</v>
      </c>
      <c r="J221" t="n">
        <v>1</v>
      </c>
      <c r="K221" t="n">
        <v>0</v>
      </c>
      <c r="L221" t="n">
        <v>0</v>
      </c>
      <c r="M221" t="n">
        <v>0</v>
      </c>
      <c r="N221" t="n">
        <v>0</v>
      </c>
      <c r="O221" t="n">
        <v>1</v>
      </c>
      <c r="P221" t="n">
        <v>0</v>
      </c>
      <c r="Q221" t="n">
        <v>1</v>
      </c>
      <c r="R221" s="2" t="inlineStr">
        <is>
          <t>Lunglav</t>
        </is>
      </c>
      <c r="S221">
        <f>HYPERLINK("https://klasma.github.io/Logging_2303/artfynd/A 30390-2025 artfynd.xlsx", "A 30390-2025")</f>
        <v/>
      </c>
      <c r="T221">
        <f>HYPERLINK("https://klasma.github.io/Logging_2303/kartor/A 30390-2025 karta.png", "A 30390-2025")</f>
        <v/>
      </c>
      <c r="U221">
        <f>HYPERLINK("https://klasma.github.io/Logging_2303/knärot/A 30390-2025 karta knärot.png", "A 30390-2025")</f>
        <v/>
      </c>
      <c r="V221">
        <f>HYPERLINK("https://klasma.github.io/Logging_2303/klagomål/A 30390-2025 FSC-klagomål.docx", "A 30390-2025")</f>
        <v/>
      </c>
      <c r="W221">
        <f>HYPERLINK("https://klasma.github.io/Logging_2303/klagomålsmail/A 30390-2025 FSC-klagomål mail.docx", "A 30390-2025")</f>
        <v/>
      </c>
      <c r="X221">
        <f>HYPERLINK("https://klasma.github.io/Logging_2303/tillsyn/A 30390-2025 tillsynsbegäran.docx", "A 30390-2025")</f>
        <v/>
      </c>
      <c r="Y221">
        <f>HYPERLINK("https://klasma.github.io/Logging_2303/tillsynsmail/A 30390-2025 tillsynsbegäran mail.docx", "A 30390-2025")</f>
        <v/>
      </c>
    </row>
    <row r="222" ht="15" customHeight="1">
      <c r="A222" t="inlineStr">
        <is>
          <t>A 2929-2024</t>
        </is>
      </c>
      <c r="B222" s="1" t="n">
        <v>45315</v>
      </c>
      <c r="C222" s="1" t="n">
        <v>46084</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58846-2024</t>
        </is>
      </c>
      <c r="B223" s="1" t="n">
        <v>45636.3863425926</v>
      </c>
      <c r="C223" s="1" t="n">
        <v>46084</v>
      </c>
      <c r="D223" t="inlineStr">
        <is>
          <t>JÄMTLANDS LÄN</t>
        </is>
      </c>
      <c r="E223" t="inlineStr">
        <is>
          <t>RAGUNDA</t>
        </is>
      </c>
      <c r="F223" t="inlineStr">
        <is>
          <t>SCA</t>
        </is>
      </c>
      <c r="G223" t="n">
        <v>1.5</v>
      </c>
      <c r="H223" t="n">
        <v>0</v>
      </c>
      <c r="I223" t="n">
        <v>0</v>
      </c>
      <c r="J223" t="n">
        <v>0</v>
      </c>
      <c r="K223" t="n">
        <v>1</v>
      </c>
      <c r="L223" t="n">
        <v>0</v>
      </c>
      <c r="M223" t="n">
        <v>0</v>
      </c>
      <c r="N223" t="n">
        <v>0</v>
      </c>
      <c r="O223" t="n">
        <v>1</v>
      </c>
      <c r="P223" t="n">
        <v>1</v>
      </c>
      <c r="Q223" t="n">
        <v>1</v>
      </c>
      <c r="R223" s="2" t="inlineStr">
        <is>
          <t>Rynkskinn</t>
        </is>
      </c>
      <c r="S223">
        <f>HYPERLINK("https://klasma.github.io/Logging_2303/artfynd/A 58846-2024 artfynd.xlsx", "A 58846-2024")</f>
        <v/>
      </c>
      <c r="T223">
        <f>HYPERLINK("https://klasma.github.io/Logging_2303/kartor/A 58846-2024 karta.png", "A 58846-2024")</f>
        <v/>
      </c>
      <c r="V223">
        <f>HYPERLINK("https://klasma.github.io/Logging_2303/klagomål/A 58846-2024 FSC-klagomål.docx", "A 58846-2024")</f>
        <v/>
      </c>
      <c r="W223">
        <f>HYPERLINK("https://klasma.github.io/Logging_2303/klagomålsmail/A 58846-2024 FSC-klagomål mail.docx", "A 58846-2024")</f>
        <v/>
      </c>
      <c r="X223">
        <f>HYPERLINK("https://klasma.github.io/Logging_2303/tillsyn/A 58846-2024 tillsynsbegäran.docx", "A 58846-2024")</f>
        <v/>
      </c>
      <c r="Y223">
        <f>HYPERLINK("https://klasma.github.io/Logging_2303/tillsynsmail/A 58846-2024 tillsynsbegäran mail.docx", "A 58846-2024")</f>
        <v/>
      </c>
    </row>
    <row r="224" ht="15" customHeight="1">
      <c r="A224" t="inlineStr">
        <is>
          <t>A 32445-2025</t>
        </is>
      </c>
      <c r="B224" s="1" t="n">
        <v>45838.38627314815</v>
      </c>
      <c r="C224" s="1" t="n">
        <v>46084</v>
      </c>
      <c r="D224" t="inlineStr">
        <is>
          <t>JÄMTLANDS LÄN</t>
        </is>
      </c>
      <c r="E224" t="inlineStr">
        <is>
          <t>RAGUNDA</t>
        </is>
      </c>
      <c r="F224" t="inlineStr">
        <is>
          <t>SCA</t>
        </is>
      </c>
      <c r="G224" t="n">
        <v>1.6</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32445-2025 artfynd.xlsx", "A 32445-2025")</f>
        <v/>
      </c>
      <c r="T224">
        <f>HYPERLINK("https://klasma.github.io/Logging_2303/kartor/A 32445-2025 karta.png", "A 32445-2025")</f>
        <v/>
      </c>
      <c r="V224">
        <f>HYPERLINK("https://klasma.github.io/Logging_2303/klagomål/A 32445-2025 FSC-klagomål.docx", "A 32445-2025")</f>
        <v/>
      </c>
      <c r="W224">
        <f>HYPERLINK("https://klasma.github.io/Logging_2303/klagomålsmail/A 32445-2025 FSC-klagomål mail.docx", "A 32445-2025")</f>
        <v/>
      </c>
      <c r="X224">
        <f>HYPERLINK("https://klasma.github.io/Logging_2303/tillsyn/A 32445-2025 tillsynsbegäran.docx", "A 32445-2025")</f>
        <v/>
      </c>
      <c r="Y224">
        <f>HYPERLINK("https://klasma.github.io/Logging_2303/tillsynsmail/A 32445-2025 tillsynsbegäran mail.docx", "A 32445-2025")</f>
        <v/>
      </c>
      <c r="Z224">
        <f>HYPERLINK("https://klasma.github.io/Logging_2303/fåglar/A 32445-2025 prioriterade fågelarter.docx", "A 32445-2025")</f>
        <v/>
      </c>
    </row>
    <row r="225" ht="15" customHeight="1">
      <c r="A225" t="inlineStr">
        <is>
          <t>A 36854-2023</t>
        </is>
      </c>
      <c r="B225" s="1" t="n">
        <v>45153</v>
      </c>
      <c r="C225" s="1" t="n">
        <v>46084</v>
      </c>
      <c r="D225" t="inlineStr">
        <is>
          <t>JÄMTLANDS LÄN</t>
        </is>
      </c>
      <c r="E225" t="inlineStr">
        <is>
          <t>RAGUNDA</t>
        </is>
      </c>
      <c r="G225" t="n">
        <v>4</v>
      </c>
      <c r="H225" t="n">
        <v>1</v>
      </c>
      <c r="I225" t="n">
        <v>0</v>
      </c>
      <c r="J225" t="n">
        <v>1</v>
      </c>
      <c r="K225" t="n">
        <v>0</v>
      </c>
      <c r="L225" t="n">
        <v>0</v>
      </c>
      <c r="M225" t="n">
        <v>0</v>
      </c>
      <c r="N225" t="n">
        <v>0</v>
      </c>
      <c r="O225" t="n">
        <v>1</v>
      </c>
      <c r="P225" t="n">
        <v>0</v>
      </c>
      <c r="Q225" t="n">
        <v>1</v>
      </c>
      <c r="R225" s="2" t="inlineStr">
        <is>
          <t>Talltita</t>
        </is>
      </c>
      <c r="S225">
        <f>HYPERLINK("https://klasma.github.io/Logging_2303/artfynd/A 36854-2023 artfynd.xlsx", "A 36854-2023")</f>
        <v/>
      </c>
      <c r="T225">
        <f>HYPERLINK("https://klasma.github.io/Logging_2303/kartor/A 36854-2023 karta.png", "A 36854-2023")</f>
        <v/>
      </c>
      <c r="V225">
        <f>HYPERLINK("https://klasma.github.io/Logging_2303/klagomål/A 36854-2023 FSC-klagomål.docx", "A 36854-2023")</f>
        <v/>
      </c>
      <c r="W225">
        <f>HYPERLINK("https://klasma.github.io/Logging_2303/klagomålsmail/A 36854-2023 FSC-klagomål mail.docx", "A 36854-2023")</f>
        <v/>
      </c>
      <c r="X225">
        <f>HYPERLINK("https://klasma.github.io/Logging_2303/tillsyn/A 36854-2023 tillsynsbegäran.docx", "A 36854-2023")</f>
        <v/>
      </c>
      <c r="Y225">
        <f>HYPERLINK("https://klasma.github.io/Logging_2303/tillsynsmail/A 36854-2023 tillsynsbegäran mail.docx", "A 36854-2023")</f>
        <v/>
      </c>
      <c r="Z225">
        <f>HYPERLINK("https://klasma.github.io/Logging_2303/fåglar/A 36854-2023 prioriterade fågelarter.docx", "A 36854-2023")</f>
        <v/>
      </c>
    </row>
    <row r="226" ht="15" customHeight="1">
      <c r="A226" t="inlineStr">
        <is>
          <t>A 50233-2024</t>
        </is>
      </c>
      <c r="B226" s="1" t="n">
        <v>45600.55265046296</v>
      </c>
      <c r="C226" s="1" t="n">
        <v>46084</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18985-2023</t>
        </is>
      </c>
      <c r="B227" s="1" t="n">
        <v>45044</v>
      </c>
      <c r="C227" s="1" t="n">
        <v>46084</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Doftskinn</t>
        </is>
      </c>
      <c r="S227">
        <f>HYPERLINK("https://klasma.github.io/Logging_2303/artfynd/A 18985-2023 artfynd.xlsx", "A 18985-2023")</f>
        <v/>
      </c>
      <c r="T227">
        <f>HYPERLINK("https://klasma.github.io/Logging_2303/kartor/A 18985-2023 karta.png", "A 18985-2023")</f>
        <v/>
      </c>
      <c r="V227">
        <f>HYPERLINK("https://klasma.github.io/Logging_2303/klagomål/A 18985-2023 FSC-klagomål.docx", "A 18985-2023")</f>
        <v/>
      </c>
      <c r="W227">
        <f>HYPERLINK("https://klasma.github.io/Logging_2303/klagomålsmail/A 18985-2023 FSC-klagomål mail.docx", "A 18985-2023")</f>
        <v/>
      </c>
      <c r="X227">
        <f>HYPERLINK("https://klasma.github.io/Logging_2303/tillsyn/A 18985-2023 tillsynsbegäran.docx", "A 18985-2023")</f>
        <v/>
      </c>
      <c r="Y227">
        <f>HYPERLINK("https://klasma.github.io/Logging_2303/tillsynsmail/A 18985-2023 tillsynsbegäran mail.docx", "A 18985-2023")</f>
        <v/>
      </c>
    </row>
    <row r="228" ht="15" customHeight="1">
      <c r="A228" t="inlineStr">
        <is>
          <t>A 34474-2025</t>
        </is>
      </c>
      <c r="B228" s="1" t="n">
        <v>45847.36528935185</v>
      </c>
      <c r="C228" s="1" t="n">
        <v>46084</v>
      </c>
      <c r="D228" t="inlineStr">
        <is>
          <t>JÄMTLANDS LÄN</t>
        </is>
      </c>
      <c r="E228" t="inlineStr">
        <is>
          <t>RAGUNDA</t>
        </is>
      </c>
      <c r="F228" t="inlineStr">
        <is>
          <t>SCA</t>
        </is>
      </c>
      <c r="G228" t="n">
        <v>9.699999999999999</v>
      </c>
      <c r="H228" t="n">
        <v>1</v>
      </c>
      <c r="I228" t="n">
        <v>0</v>
      </c>
      <c r="J228" t="n">
        <v>1</v>
      </c>
      <c r="K228" t="n">
        <v>0</v>
      </c>
      <c r="L228" t="n">
        <v>0</v>
      </c>
      <c r="M228" t="n">
        <v>0</v>
      </c>
      <c r="N228" t="n">
        <v>0</v>
      </c>
      <c r="O228" t="n">
        <v>1</v>
      </c>
      <c r="P228" t="n">
        <v>0</v>
      </c>
      <c r="Q228" t="n">
        <v>1</v>
      </c>
      <c r="R228" s="2" t="inlineStr">
        <is>
          <t>Fjällvråk</t>
        </is>
      </c>
      <c r="S228">
        <f>HYPERLINK("https://klasma.github.io/Logging_2303/artfynd/A 34474-2025 artfynd.xlsx", "A 34474-2025")</f>
        <v/>
      </c>
      <c r="T228">
        <f>HYPERLINK("https://klasma.github.io/Logging_2303/kartor/A 34474-2025 karta.png", "A 34474-2025")</f>
        <v/>
      </c>
      <c r="V228">
        <f>HYPERLINK("https://klasma.github.io/Logging_2303/klagomål/A 34474-2025 FSC-klagomål.docx", "A 34474-2025")</f>
        <v/>
      </c>
      <c r="W228">
        <f>HYPERLINK("https://klasma.github.io/Logging_2303/klagomålsmail/A 34474-2025 FSC-klagomål mail.docx", "A 34474-2025")</f>
        <v/>
      </c>
      <c r="X228">
        <f>HYPERLINK("https://klasma.github.io/Logging_2303/tillsyn/A 34474-2025 tillsynsbegäran.docx", "A 34474-2025")</f>
        <v/>
      </c>
      <c r="Y228">
        <f>HYPERLINK("https://klasma.github.io/Logging_2303/tillsynsmail/A 34474-2025 tillsynsbegäran mail.docx", "A 34474-2025")</f>
        <v/>
      </c>
      <c r="Z228">
        <f>HYPERLINK("https://klasma.github.io/Logging_2303/fåglar/A 34474-2025 prioriterade fågelarter.docx", "A 34474-2025")</f>
        <v/>
      </c>
    </row>
    <row r="229" ht="15" customHeight="1">
      <c r="A229" t="inlineStr">
        <is>
          <t>A 49053-2025</t>
        </is>
      </c>
      <c r="B229" s="1" t="n">
        <v>45937.64009259259</v>
      </c>
      <c r="C229" s="1" t="n">
        <v>46084</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35750-2023</t>
        </is>
      </c>
      <c r="B230" s="1" t="n">
        <v>45147</v>
      </c>
      <c r="C230" s="1" t="n">
        <v>46084</v>
      </c>
      <c r="D230" t="inlineStr">
        <is>
          <t>JÄMTLANDS LÄN</t>
        </is>
      </c>
      <c r="E230" t="inlineStr">
        <is>
          <t>RAGUNDA</t>
        </is>
      </c>
      <c r="F230" t="inlineStr">
        <is>
          <t>SCA</t>
        </is>
      </c>
      <c r="G230" t="n">
        <v>4.8</v>
      </c>
      <c r="H230" t="n">
        <v>0</v>
      </c>
      <c r="I230" t="n">
        <v>0</v>
      </c>
      <c r="J230" t="n">
        <v>1</v>
      </c>
      <c r="K230" t="n">
        <v>0</v>
      </c>
      <c r="L230" t="n">
        <v>0</v>
      </c>
      <c r="M230" t="n">
        <v>0</v>
      </c>
      <c r="N230" t="n">
        <v>0</v>
      </c>
      <c r="O230" t="n">
        <v>1</v>
      </c>
      <c r="P230" t="n">
        <v>0</v>
      </c>
      <c r="Q230" t="n">
        <v>1</v>
      </c>
      <c r="R230" s="2" t="inlineStr">
        <is>
          <t>Grantaggsvamp</t>
        </is>
      </c>
      <c r="S230">
        <f>HYPERLINK("https://klasma.github.io/Logging_2303/artfynd/A 35750-2023 artfynd.xlsx", "A 35750-2023")</f>
        <v/>
      </c>
      <c r="T230">
        <f>HYPERLINK("https://klasma.github.io/Logging_2303/kartor/A 35750-2023 karta.png", "A 35750-2023")</f>
        <v/>
      </c>
      <c r="V230">
        <f>HYPERLINK("https://klasma.github.io/Logging_2303/klagomål/A 35750-2023 FSC-klagomål.docx", "A 35750-2023")</f>
        <v/>
      </c>
      <c r="W230">
        <f>HYPERLINK("https://klasma.github.io/Logging_2303/klagomålsmail/A 35750-2023 FSC-klagomål mail.docx", "A 35750-2023")</f>
        <v/>
      </c>
      <c r="X230">
        <f>HYPERLINK("https://klasma.github.io/Logging_2303/tillsyn/A 35750-2023 tillsynsbegäran.docx", "A 35750-2023")</f>
        <v/>
      </c>
      <c r="Y230">
        <f>HYPERLINK("https://klasma.github.io/Logging_2303/tillsynsmail/A 35750-2023 tillsynsbegäran mail.docx", "A 35750-2023")</f>
        <v/>
      </c>
    </row>
    <row r="231" ht="15" customHeight="1">
      <c r="A231" t="inlineStr">
        <is>
          <t>A 51912-2025</t>
        </is>
      </c>
      <c r="B231" s="1" t="n">
        <v>45952.46939814815</v>
      </c>
      <c r="C231" s="1" t="n">
        <v>46084</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36224-2023</t>
        </is>
      </c>
      <c r="B232" s="1" t="n">
        <v>45149</v>
      </c>
      <c r="C232" s="1" t="n">
        <v>46084</v>
      </c>
      <c r="D232" t="inlineStr">
        <is>
          <t>JÄMTLANDS LÄN</t>
        </is>
      </c>
      <c r="E232" t="inlineStr">
        <is>
          <t>RAGUNDA</t>
        </is>
      </c>
      <c r="F232" t="inlineStr">
        <is>
          <t>SCA</t>
        </is>
      </c>
      <c r="G232" t="n">
        <v>8.1</v>
      </c>
      <c r="H232" t="n">
        <v>0</v>
      </c>
      <c r="I232" t="n">
        <v>0</v>
      </c>
      <c r="J232" t="n">
        <v>1</v>
      </c>
      <c r="K232" t="n">
        <v>0</v>
      </c>
      <c r="L232" t="n">
        <v>0</v>
      </c>
      <c r="M232" t="n">
        <v>0</v>
      </c>
      <c r="N232" t="n">
        <v>0</v>
      </c>
      <c r="O232" t="n">
        <v>1</v>
      </c>
      <c r="P232" t="n">
        <v>0</v>
      </c>
      <c r="Q232" t="n">
        <v>1</v>
      </c>
      <c r="R232" s="2" t="inlineStr">
        <is>
          <t>Garnlav</t>
        </is>
      </c>
      <c r="S232">
        <f>HYPERLINK("https://klasma.github.io/Logging_2303/artfynd/A 36224-2023 artfynd.xlsx", "A 36224-2023")</f>
        <v/>
      </c>
      <c r="T232">
        <f>HYPERLINK("https://klasma.github.io/Logging_2303/kartor/A 36224-2023 karta.png", "A 36224-2023")</f>
        <v/>
      </c>
      <c r="V232">
        <f>HYPERLINK("https://klasma.github.io/Logging_2303/klagomål/A 36224-2023 FSC-klagomål.docx", "A 36224-2023")</f>
        <v/>
      </c>
      <c r="W232">
        <f>HYPERLINK("https://klasma.github.io/Logging_2303/klagomålsmail/A 36224-2023 FSC-klagomål mail.docx", "A 36224-2023")</f>
        <v/>
      </c>
      <c r="X232">
        <f>HYPERLINK("https://klasma.github.io/Logging_2303/tillsyn/A 36224-2023 tillsynsbegäran.docx", "A 36224-2023")</f>
        <v/>
      </c>
      <c r="Y232">
        <f>HYPERLINK("https://klasma.github.io/Logging_2303/tillsynsmail/A 36224-2023 tillsynsbegäran mail.docx", "A 36224-2023")</f>
        <v/>
      </c>
    </row>
    <row r="233" ht="15" customHeight="1">
      <c r="A233" t="inlineStr">
        <is>
          <t>A 55756-2025</t>
        </is>
      </c>
      <c r="B233" s="1" t="n">
        <v>45972.59438657408</v>
      </c>
      <c r="C233" s="1" t="n">
        <v>46084</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Garnlav</t>
        </is>
      </c>
      <c r="S233">
        <f>HYPERLINK("https://klasma.github.io/Logging_2303/artfynd/A 55756-2025 artfynd.xlsx", "A 55756-2025")</f>
        <v/>
      </c>
      <c r="T233">
        <f>HYPERLINK("https://klasma.github.io/Logging_2303/kartor/A 55756-2025 karta.png", "A 55756-2025")</f>
        <v/>
      </c>
      <c r="V233">
        <f>HYPERLINK("https://klasma.github.io/Logging_2303/klagomål/A 55756-2025 FSC-klagomål.docx", "A 55756-2025")</f>
        <v/>
      </c>
      <c r="W233">
        <f>HYPERLINK("https://klasma.github.io/Logging_2303/klagomålsmail/A 55756-2025 FSC-klagomål mail.docx", "A 55756-2025")</f>
        <v/>
      </c>
      <c r="X233">
        <f>HYPERLINK("https://klasma.github.io/Logging_2303/tillsyn/A 55756-2025 tillsynsbegäran.docx", "A 55756-2025")</f>
        <v/>
      </c>
      <c r="Y233">
        <f>HYPERLINK("https://klasma.github.io/Logging_2303/tillsynsmail/A 55756-2025 tillsynsbegäran mail.docx", "A 55756-2025")</f>
        <v/>
      </c>
    </row>
    <row r="234" ht="15" customHeight="1">
      <c r="A234" t="inlineStr">
        <is>
          <t>A 56599-2025</t>
        </is>
      </c>
      <c r="B234" s="1" t="n">
        <v>45975.5734837963</v>
      </c>
      <c r="C234" s="1" t="n">
        <v>46084</v>
      </c>
      <c r="D234" t="inlineStr">
        <is>
          <t>JÄMTLANDS LÄN</t>
        </is>
      </c>
      <c r="E234" t="inlineStr">
        <is>
          <t>RAGUNDA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HYPERLINK("https://klasma.github.io/Logging_2303/artfynd/A 56599-2025 artfynd.xlsx", "A 56599-2025")</f>
        <v/>
      </c>
      <c r="T234">
        <f>HYPERLINK("https://klasma.github.io/Logging_2303/kartor/A 56599-2025 karta.png", "A 56599-2025")</f>
        <v/>
      </c>
      <c r="V234">
        <f>HYPERLINK("https://klasma.github.io/Logging_2303/klagomål/A 56599-2025 FSC-klagomål.docx", "A 56599-2025")</f>
        <v/>
      </c>
      <c r="W234">
        <f>HYPERLINK("https://klasma.github.io/Logging_2303/klagomålsmail/A 56599-2025 FSC-klagomål mail.docx", "A 56599-2025")</f>
        <v/>
      </c>
      <c r="X234">
        <f>HYPERLINK("https://klasma.github.io/Logging_2303/tillsyn/A 56599-2025 tillsynsbegäran.docx", "A 56599-2025")</f>
        <v/>
      </c>
      <c r="Y234">
        <f>HYPERLINK("https://klasma.github.io/Logging_2303/tillsynsmail/A 56599-2025 tillsynsbegäran mail.docx", "A 56599-2025")</f>
        <v/>
      </c>
    </row>
    <row r="235" ht="15" customHeight="1">
      <c r="A235" t="inlineStr">
        <is>
          <t>A 57253-2025</t>
        </is>
      </c>
      <c r="B235" s="1" t="n">
        <v>45979.64381944444</v>
      </c>
      <c r="C235" s="1" t="n">
        <v>46084</v>
      </c>
      <c r="D235" t="inlineStr">
        <is>
          <t>JÄMTLANDS LÄN</t>
        </is>
      </c>
      <c r="E235" t="inlineStr">
        <is>
          <t>RAGUNDA</t>
        </is>
      </c>
      <c r="G235" t="n">
        <v>1.2</v>
      </c>
      <c r="H235" t="n">
        <v>0</v>
      </c>
      <c r="I235" t="n">
        <v>1</v>
      </c>
      <c r="J235" t="n">
        <v>0</v>
      </c>
      <c r="K235" t="n">
        <v>0</v>
      </c>
      <c r="L235" t="n">
        <v>0</v>
      </c>
      <c r="M235" t="n">
        <v>0</v>
      </c>
      <c r="N235" t="n">
        <v>0</v>
      </c>
      <c r="O235" t="n">
        <v>0</v>
      </c>
      <c r="P235" t="n">
        <v>0</v>
      </c>
      <c r="Q235" t="n">
        <v>1</v>
      </c>
      <c r="R235" s="2" t="inlineStr">
        <is>
          <t>Skinnlav</t>
        </is>
      </c>
      <c r="S235">
        <f>HYPERLINK("https://klasma.github.io/Logging_2303/artfynd/A 57253-2025 artfynd.xlsx", "A 57253-2025")</f>
        <v/>
      </c>
      <c r="T235">
        <f>HYPERLINK("https://klasma.github.io/Logging_2303/kartor/A 57253-2025 karta.png", "A 57253-2025")</f>
        <v/>
      </c>
      <c r="V235">
        <f>HYPERLINK("https://klasma.github.io/Logging_2303/klagomål/A 57253-2025 FSC-klagomål.docx", "A 57253-2025")</f>
        <v/>
      </c>
      <c r="W235">
        <f>HYPERLINK("https://klasma.github.io/Logging_2303/klagomålsmail/A 57253-2025 FSC-klagomål mail.docx", "A 57253-2025")</f>
        <v/>
      </c>
      <c r="X235">
        <f>HYPERLINK("https://klasma.github.io/Logging_2303/tillsyn/A 57253-2025 tillsynsbegäran.docx", "A 57253-2025")</f>
        <v/>
      </c>
      <c r="Y235">
        <f>HYPERLINK("https://klasma.github.io/Logging_2303/tillsynsmail/A 57253-2025 tillsynsbegäran mail.docx", "A 57253-2025")</f>
        <v/>
      </c>
    </row>
    <row r="236" ht="15" customHeight="1">
      <c r="A236" t="inlineStr">
        <is>
          <t>A 57479-2025</t>
        </is>
      </c>
      <c r="B236" s="1" t="n">
        <v>45980.5737037037</v>
      </c>
      <c r="C236" s="1" t="n">
        <v>46084</v>
      </c>
      <c r="D236" t="inlineStr">
        <is>
          <t>JÄMTLANDS LÄN</t>
        </is>
      </c>
      <c r="E236" t="inlineStr">
        <is>
          <t>RAGUNDA</t>
        </is>
      </c>
      <c r="F236" t="inlineStr">
        <is>
          <t>SCA</t>
        </is>
      </c>
      <c r="G236" t="n">
        <v>12</v>
      </c>
      <c r="H236" t="n">
        <v>0</v>
      </c>
      <c r="I236" t="n">
        <v>0</v>
      </c>
      <c r="J236" t="n">
        <v>1</v>
      </c>
      <c r="K236" t="n">
        <v>0</v>
      </c>
      <c r="L236" t="n">
        <v>0</v>
      </c>
      <c r="M236" t="n">
        <v>0</v>
      </c>
      <c r="N236" t="n">
        <v>0</v>
      </c>
      <c r="O236" t="n">
        <v>1</v>
      </c>
      <c r="P236" t="n">
        <v>0</v>
      </c>
      <c r="Q236" t="n">
        <v>1</v>
      </c>
      <c r="R236" s="2" t="inlineStr">
        <is>
          <t>Kolflarnlav</t>
        </is>
      </c>
      <c r="S236">
        <f>HYPERLINK("https://klasma.github.io/Logging_2303/artfynd/A 57479-2025 artfynd.xlsx", "A 57479-2025")</f>
        <v/>
      </c>
      <c r="T236">
        <f>HYPERLINK("https://klasma.github.io/Logging_2303/kartor/A 57479-2025 karta.png", "A 57479-2025")</f>
        <v/>
      </c>
      <c r="V236">
        <f>HYPERLINK("https://klasma.github.io/Logging_2303/klagomål/A 57479-2025 FSC-klagomål.docx", "A 57479-2025")</f>
        <v/>
      </c>
      <c r="W236">
        <f>HYPERLINK("https://klasma.github.io/Logging_2303/klagomålsmail/A 57479-2025 FSC-klagomål mail.docx", "A 57479-2025")</f>
        <v/>
      </c>
      <c r="X236">
        <f>HYPERLINK("https://klasma.github.io/Logging_2303/tillsyn/A 57479-2025 tillsynsbegäran.docx", "A 57479-2025")</f>
        <v/>
      </c>
      <c r="Y236">
        <f>HYPERLINK("https://klasma.github.io/Logging_2303/tillsynsmail/A 57479-2025 tillsynsbegäran mail.docx", "A 57479-2025")</f>
        <v/>
      </c>
    </row>
    <row r="237" ht="15" customHeight="1">
      <c r="A237" t="inlineStr">
        <is>
          <t>A 57478-2025</t>
        </is>
      </c>
      <c r="B237" s="1" t="n">
        <v>45980.57349537037</v>
      </c>
      <c r="C237" s="1" t="n">
        <v>46084</v>
      </c>
      <c r="D237" t="inlineStr">
        <is>
          <t>JÄMTLANDS LÄN</t>
        </is>
      </c>
      <c r="E237" t="inlineStr">
        <is>
          <t>RAGUNDA</t>
        </is>
      </c>
      <c r="F237" t="inlineStr">
        <is>
          <t>SCA</t>
        </is>
      </c>
      <c r="G237" t="n">
        <v>3.3</v>
      </c>
      <c r="H237" t="n">
        <v>0</v>
      </c>
      <c r="I237" t="n">
        <v>0</v>
      </c>
      <c r="J237" t="n">
        <v>1</v>
      </c>
      <c r="K237" t="n">
        <v>0</v>
      </c>
      <c r="L237" t="n">
        <v>0</v>
      </c>
      <c r="M237" t="n">
        <v>0</v>
      </c>
      <c r="N237" t="n">
        <v>0</v>
      </c>
      <c r="O237" t="n">
        <v>1</v>
      </c>
      <c r="P237" t="n">
        <v>0</v>
      </c>
      <c r="Q237" t="n">
        <v>1</v>
      </c>
      <c r="R237" s="2" t="inlineStr">
        <is>
          <t>Lunglav</t>
        </is>
      </c>
      <c r="S237">
        <f>HYPERLINK("https://klasma.github.io/Logging_2303/artfynd/A 57478-2025 artfynd.xlsx", "A 57478-2025")</f>
        <v/>
      </c>
      <c r="T237">
        <f>HYPERLINK("https://klasma.github.io/Logging_2303/kartor/A 57478-2025 karta.png", "A 57478-2025")</f>
        <v/>
      </c>
      <c r="V237">
        <f>HYPERLINK("https://klasma.github.io/Logging_2303/klagomål/A 57478-2025 FSC-klagomål.docx", "A 57478-2025")</f>
        <v/>
      </c>
      <c r="W237">
        <f>HYPERLINK("https://klasma.github.io/Logging_2303/klagomålsmail/A 57478-2025 FSC-klagomål mail.docx", "A 57478-2025")</f>
        <v/>
      </c>
      <c r="X237">
        <f>HYPERLINK("https://klasma.github.io/Logging_2303/tillsyn/A 57478-2025 tillsynsbegäran.docx", "A 57478-2025")</f>
        <v/>
      </c>
      <c r="Y237">
        <f>HYPERLINK("https://klasma.github.io/Logging_2303/tillsynsmail/A 57478-2025 tillsynsbegäran mail.docx", "A 57478-2025")</f>
        <v/>
      </c>
    </row>
    <row r="238" ht="15" customHeight="1">
      <c r="A238" t="inlineStr">
        <is>
          <t>A 58990-2025</t>
        </is>
      </c>
      <c r="B238" s="1" t="n">
        <v>45987</v>
      </c>
      <c r="C238" s="1" t="n">
        <v>46084</v>
      </c>
      <c r="D238" t="inlineStr">
        <is>
          <t>JÄMTLANDS LÄN</t>
        </is>
      </c>
      <c r="E238" t="inlineStr">
        <is>
          <t>RAGUNDA</t>
        </is>
      </c>
      <c r="F238" t="inlineStr">
        <is>
          <t>SCA</t>
        </is>
      </c>
      <c r="G238" t="n">
        <v>4.6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58990-2025 artfynd.xlsx", "A 58990-2025")</f>
        <v/>
      </c>
      <c r="T238">
        <f>HYPERLINK("https://klasma.github.io/Logging_2303/kartor/A 58990-2025 karta.png", "A 58990-2025")</f>
        <v/>
      </c>
      <c r="V238">
        <f>HYPERLINK("https://klasma.github.io/Logging_2303/klagomål/A 58990-2025 FSC-klagomål.docx", "A 58990-2025")</f>
        <v/>
      </c>
      <c r="W238">
        <f>HYPERLINK("https://klasma.github.io/Logging_2303/klagomålsmail/A 58990-2025 FSC-klagomål mail.docx", "A 58990-2025")</f>
        <v/>
      </c>
      <c r="X238">
        <f>HYPERLINK("https://klasma.github.io/Logging_2303/tillsyn/A 58990-2025 tillsynsbegäran.docx", "A 58990-2025")</f>
        <v/>
      </c>
      <c r="Y238">
        <f>HYPERLINK("https://klasma.github.io/Logging_2303/tillsynsmail/A 58990-2025 tillsynsbegäran mail.docx", "A 58990-2025")</f>
        <v/>
      </c>
      <c r="Z238">
        <f>HYPERLINK("https://klasma.github.io/Logging_2303/fåglar/A 58990-2025 prioriterade fågelarter.docx", "A 58990-2025")</f>
        <v/>
      </c>
    </row>
    <row r="239" ht="15" customHeight="1">
      <c r="A239" t="inlineStr">
        <is>
          <t>A 29921-2024</t>
        </is>
      </c>
      <c r="B239" s="1" t="n">
        <v>45487.92863425926</v>
      </c>
      <c r="C239" s="1" t="n">
        <v>46084</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30485-2024</t>
        </is>
      </c>
      <c r="B240" s="1" t="n">
        <v>45491.95008101852</v>
      </c>
      <c r="C240" s="1" t="n">
        <v>46084</v>
      </c>
      <c r="D240" t="inlineStr">
        <is>
          <t>JÄMTLANDS LÄN</t>
        </is>
      </c>
      <c r="E240" t="inlineStr">
        <is>
          <t>RAGUNDA</t>
        </is>
      </c>
      <c r="F240" t="inlineStr">
        <is>
          <t>SCA</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HYPERLINK("https://klasma.github.io/Logging_2303/artfynd/A 30485-2024 artfynd.xlsx", "A 30485-2024")</f>
        <v/>
      </c>
      <c r="T240">
        <f>HYPERLINK("https://klasma.github.io/Logging_2303/kartor/A 30485-2024 karta.png", "A 30485-2024")</f>
        <v/>
      </c>
      <c r="V240">
        <f>HYPERLINK("https://klasma.github.io/Logging_2303/klagomål/A 30485-2024 FSC-klagomål.docx", "A 30485-2024")</f>
        <v/>
      </c>
      <c r="W240">
        <f>HYPERLINK("https://klasma.github.io/Logging_2303/klagomålsmail/A 30485-2024 FSC-klagomål mail.docx", "A 30485-2024")</f>
        <v/>
      </c>
      <c r="X240">
        <f>HYPERLINK("https://klasma.github.io/Logging_2303/tillsyn/A 30485-2024 tillsynsbegäran.docx", "A 30485-2024")</f>
        <v/>
      </c>
      <c r="Y240">
        <f>HYPERLINK("https://klasma.github.io/Logging_2303/tillsynsmail/A 30485-2024 tillsynsbegäran mail.docx", "A 30485-2024")</f>
        <v/>
      </c>
    </row>
    <row r="241" ht="15" customHeight="1">
      <c r="A241" t="inlineStr">
        <is>
          <t>A 43404-2023</t>
        </is>
      </c>
      <c r="B241" s="1" t="n">
        <v>45183</v>
      </c>
      <c r="C241" s="1" t="n">
        <v>46084</v>
      </c>
      <c r="D241" t="inlineStr">
        <is>
          <t>JÄMTLANDS LÄN</t>
        </is>
      </c>
      <c r="E241" t="inlineStr">
        <is>
          <t>RAGUNDA</t>
        </is>
      </c>
      <c r="F241" t="inlineStr">
        <is>
          <t>SCA</t>
        </is>
      </c>
      <c r="G241" t="n">
        <v>0.9</v>
      </c>
      <c r="H241" t="n">
        <v>0</v>
      </c>
      <c r="I241" t="n">
        <v>1</v>
      </c>
      <c r="J241" t="n">
        <v>0</v>
      </c>
      <c r="K241" t="n">
        <v>0</v>
      </c>
      <c r="L241" t="n">
        <v>0</v>
      </c>
      <c r="M241" t="n">
        <v>0</v>
      </c>
      <c r="N241" t="n">
        <v>0</v>
      </c>
      <c r="O241" t="n">
        <v>0</v>
      </c>
      <c r="P241" t="n">
        <v>0</v>
      </c>
      <c r="Q241" t="n">
        <v>1</v>
      </c>
      <c r="R241" s="2" t="inlineStr">
        <is>
          <t>Kryddspindling</t>
        </is>
      </c>
      <c r="S241">
        <f>HYPERLINK("https://klasma.github.io/Logging_2303/artfynd/A 43404-2023 artfynd.xlsx", "A 43404-2023")</f>
        <v/>
      </c>
      <c r="T241">
        <f>HYPERLINK("https://klasma.github.io/Logging_2303/kartor/A 43404-2023 karta.png", "A 43404-2023")</f>
        <v/>
      </c>
      <c r="V241">
        <f>HYPERLINK("https://klasma.github.io/Logging_2303/klagomål/A 43404-2023 FSC-klagomål.docx", "A 43404-2023")</f>
        <v/>
      </c>
      <c r="W241">
        <f>HYPERLINK("https://klasma.github.io/Logging_2303/klagomålsmail/A 43404-2023 FSC-klagomål mail.docx", "A 43404-2023")</f>
        <v/>
      </c>
      <c r="X241">
        <f>HYPERLINK("https://klasma.github.io/Logging_2303/tillsyn/A 43404-2023 tillsynsbegäran.docx", "A 43404-2023")</f>
        <v/>
      </c>
      <c r="Y241">
        <f>HYPERLINK("https://klasma.github.io/Logging_2303/tillsynsmail/A 43404-2023 tillsynsbegäran mail.docx", "A 43404-2023")</f>
        <v/>
      </c>
    </row>
    <row r="242" ht="15" customHeight="1">
      <c r="A242" t="inlineStr">
        <is>
          <t>A 50164-2023</t>
        </is>
      </c>
      <c r="B242" s="1" t="n">
        <v>45208</v>
      </c>
      <c r="C242" s="1" t="n">
        <v>46084</v>
      </c>
      <c r="D242" t="inlineStr">
        <is>
          <t>JÄMTLANDS LÄN</t>
        </is>
      </c>
      <c r="E242" t="inlineStr">
        <is>
          <t>RAGUNDA</t>
        </is>
      </c>
      <c r="G242" t="n">
        <v>2.9</v>
      </c>
      <c r="H242" t="n">
        <v>0</v>
      </c>
      <c r="I242" t="n">
        <v>0</v>
      </c>
      <c r="J242" t="n">
        <v>0</v>
      </c>
      <c r="K242" t="n">
        <v>1</v>
      </c>
      <c r="L242" t="n">
        <v>0</v>
      </c>
      <c r="M242" t="n">
        <v>0</v>
      </c>
      <c r="N242" t="n">
        <v>0</v>
      </c>
      <c r="O242" t="n">
        <v>1</v>
      </c>
      <c r="P242" t="n">
        <v>1</v>
      </c>
      <c r="Q242" t="n">
        <v>1</v>
      </c>
      <c r="R242" s="2" t="inlineStr">
        <is>
          <t>Mindre barkplattbagge</t>
        </is>
      </c>
      <c r="S242">
        <f>HYPERLINK("https://klasma.github.io/Logging_2303/artfynd/A 50164-2023 artfynd.xlsx", "A 50164-2023")</f>
        <v/>
      </c>
      <c r="T242">
        <f>HYPERLINK("https://klasma.github.io/Logging_2303/kartor/A 50164-2023 karta.png", "A 50164-2023")</f>
        <v/>
      </c>
      <c r="V242">
        <f>HYPERLINK("https://klasma.github.io/Logging_2303/klagomål/A 50164-2023 FSC-klagomål.docx", "A 50164-2023")</f>
        <v/>
      </c>
      <c r="W242">
        <f>HYPERLINK("https://klasma.github.io/Logging_2303/klagomålsmail/A 50164-2023 FSC-klagomål mail.docx", "A 50164-2023")</f>
        <v/>
      </c>
      <c r="X242">
        <f>HYPERLINK("https://klasma.github.io/Logging_2303/tillsyn/A 50164-2023 tillsynsbegäran.docx", "A 50164-2023")</f>
        <v/>
      </c>
      <c r="Y242">
        <f>HYPERLINK("https://klasma.github.io/Logging_2303/tillsynsmail/A 50164-2023 tillsynsbegäran mail.docx", "A 50164-2023")</f>
        <v/>
      </c>
    </row>
    <row r="243" ht="15" customHeight="1">
      <c r="A243" t="inlineStr">
        <is>
          <t>A 62072-2023</t>
        </is>
      </c>
      <c r="B243" s="1" t="n">
        <v>45266</v>
      </c>
      <c r="C243" s="1" t="n">
        <v>46084</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10358-2026</t>
        </is>
      </c>
      <c r="B244" s="1" t="n">
        <v>46076</v>
      </c>
      <c r="C244" s="1" t="n">
        <v>46084</v>
      </c>
      <c r="D244" t="inlineStr">
        <is>
          <t>JÄMTLANDS LÄN</t>
        </is>
      </c>
      <c r="E244" t="inlineStr">
        <is>
          <t>RAGUNDA</t>
        </is>
      </c>
      <c r="G244" t="n">
        <v>5.4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10358-2026 artfynd.xlsx", "A 10358-2026")</f>
        <v/>
      </c>
      <c r="T244">
        <f>HYPERLINK("https://klasma.github.io/Logging_2303/kartor/A 10358-2026 karta.png", "A 10358-2026")</f>
        <v/>
      </c>
      <c r="V244">
        <f>HYPERLINK("https://klasma.github.io/Logging_2303/klagomål/A 10358-2026 FSC-klagomål.docx", "A 10358-2026")</f>
        <v/>
      </c>
      <c r="W244">
        <f>HYPERLINK("https://klasma.github.io/Logging_2303/klagomålsmail/A 10358-2026 FSC-klagomål mail.docx", "A 10358-2026")</f>
        <v/>
      </c>
      <c r="X244">
        <f>HYPERLINK("https://klasma.github.io/Logging_2303/tillsyn/A 10358-2026 tillsynsbegäran.docx", "A 10358-2026")</f>
        <v/>
      </c>
      <c r="Y244">
        <f>HYPERLINK("https://klasma.github.io/Logging_2303/tillsynsmail/A 10358-2026 tillsynsbegäran mail.docx", "A 10358-2026")</f>
        <v/>
      </c>
      <c r="Z244">
        <f>HYPERLINK("https://klasma.github.io/Logging_2303/fåglar/A 10358-2026 prioriterade fågelarter.docx", "A 10358-2026")</f>
        <v/>
      </c>
    </row>
    <row r="245" ht="15" customHeight="1">
      <c r="A245" t="inlineStr">
        <is>
          <t>A 2097-2026</t>
        </is>
      </c>
      <c r="B245" s="1" t="n">
        <v>46036.36556712963</v>
      </c>
      <c r="C245" s="1" t="n">
        <v>46084</v>
      </c>
      <c r="D245" t="inlineStr">
        <is>
          <t>JÄMTLANDS LÄN</t>
        </is>
      </c>
      <c r="E245" t="inlineStr">
        <is>
          <t>RAGUNDA</t>
        </is>
      </c>
      <c r="F245" t="inlineStr">
        <is>
          <t>SCA</t>
        </is>
      </c>
      <c r="G245" t="n">
        <v>0.9</v>
      </c>
      <c r="H245" t="n">
        <v>0</v>
      </c>
      <c r="I245" t="n">
        <v>0</v>
      </c>
      <c r="J245" t="n">
        <v>0</v>
      </c>
      <c r="K245" t="n">
        <v>0</v>
      </c>
      <c r="L245" t="n">
        <v>1</v>
      </c>
      <c r="M245" t="n">
        <v>0</v>
      </c>
      <c r="N245" t="n">
        <v>0</v>
      </c>
      <c r="O245" t="n">
        <v>1</v>
      </c>
      <c r="P245" t="n">
        <v>1</v>
      </c>
      <c r="Q245" t="n">
        <v>1</v>
      </c>
      <c r="R245" s="2" t="inlineStr">
        <is>
          <t>Trolldruvemätare</t>
        </is>
      </c>
      <c r="S245">
        <f>HYPERLINK("https://klasma.github.io/Logging_2303/artfynd/A 2097-2026 artfynd.xlsx", "A 2097-2026")</f>
        <v/>
      </c>
      <c r="T245">
        <f>HYPERLINK("https://klasma.github.io/Logging_2303/kartor/A 2097-2026 karta.png", "A 2097-2026")</f>
        <v/>
      </c>
      <c r="V245">
        <f>HYPERLINK("https://klasma.github.io/Logging_2303/klagomål/A 2097-2026 FSC-klagomål.docx", "A 2097-2026")</f>
        <v/>
      </c>
      <c r="W245">
        <f>HYPERLINK("https://klasma.github.io/Logging_2303/klagomålsmail/A 2097-2026 FSC-klagomål mail.docx", "A 2097-2026")</f>
        <v/>
      </c>
      <c r="X245">
        <f>HYPERLINK("https://klasma.github.io/Logging_2303/tillsyn/A 2097-2026 tillsynsbegäran.docx", "A 2097-2026")</f>
        <v/>
      </c>
      <c r="Y245">
        <f>HYPERLINK("https://klasma.github.io/Logging_2303/tillsynsmail/A 2097-2026 tillsynsbegäran mail.docx", "A 2097-2026")</f>
        <v/>
      </c>
    </row>
    <row r="246" ht="15" customHeight="1">
      <c r="A246" t="inlineStr">
        <is>
          <t>A 4157-2026</t>
        </is>
      </c>
      <c r="B246" s="1" t="n">
        <v>46044.65694444445</v>
      </c>
      <c r="C246" s="1" t="n">
        <v>46084</v>
      </c>
      <c r="D246" t="inlineStr">
        <is>
          <t>JÄMTLANDS LÄN</t>
        </is>
      </c>
      <c r="E246" t="inlineStr">
        <is>
          <t>RAGUNDA</t>
        </is>
      </c>
      <c r="F246" t="inlineStr">
        <is>
          <t>SCA</t>
        </is>
      </c>
      <c r="G246" t="n">
        <v>2.6</v>
      </c>
      <c r="H246" t="n">
        <v>1</v>
      </c>
      <c r="I246" t="n">
        <v>1</v>
      </c>
      <c r="J246" t="n">
        <v>0</v>
      </c>
      <c r="K246" t="n">
        <v>0</v>
      </c>
      <c r="L246" t="n">
        <v>0</v>
      </c>
      <c r="M246" t="n">
        <v>0</v>
      </c>
      <c r="N246" t="n">
        <v>0</v>
      </c>
      <c r="O246" t="n">
        <v>0</v>
      </c>
      <c r="P246" t="n">
        <v>0</v>
      </c>
      <c r="Q246" t="n">
        <v>1</v>
      </c>
      <c r="R246" s="2" t="inlineStr">
        <is>
          <t>Tvåblad</t>
        </is>
      </c>
      <c r="S246">
        <f>HYPERLINK("https://klasma.github.io/Logging_2303/artfynd/A 4157-2026 artfynd.xlsx", "A 4157-2026")</f>
        <v/>
      </c>
      <c r="T246">
        <f>HYPERLINK("https://klasma.github.io/Logging_2303/kartor/A 4157-2026 karta.png", "A 4157-2026")</f>
        <v/>
      </c>
      <c r="V246">
        <f>HYPERLINK("https://klasma.github.io/Logging_2303/klagomål/A 4157-2026 FSC-klagomål.docx", "A 4157-2026")</f>
        <v/>
      </c>
      <c r="W246">
        <f>HYPERLINK("https://klasma.github.io/Logging_2303/klagomålsmail/A 4157-2026 FSC-klagomål mail.docx", "A 4157-2026")</f>
        <v/>
      </c>
      <c r="X246">
        <f>HYPERLINK("https://klasma.github.io/Logging_2303/tillsyn/A 4157-2026 tillsynsbegäran.docx", "A 4157-2026")</f>
        <v/>
      </c>
      <c r="Y246">
        <f>HYPERLINK("https://klasma.github.io/Logging_2303/tillsynsmail/A 4157-2026 tillsynsbegäran mail.docx", "A 4157-2026")</f>
        <v/>
      </c>
    </row>
    <row r="247" ht="15" customHeight="1">
      <c r="A247" t="inlineStr">
        <is>
          <t>A 22054-2025</t>
        </is>
      </c>
      <c r="B247" s="1" t="n">
        <v>45785.36525462963</v>
      </c>
      <c r="C247" s="1" t="n">
        <v>46084</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24443-2024</t>
        </is>
      </c>
      <c r="B248" s="1" t="n">
        <v>45457.9640625</v>
      </c>
      <c r="C248" s="1" t="n">
        <v>46084</v>
      </c>
      <c r="D248" t="inlineStr">
        <is>
          <t>JÄMTLANDS LÄN</t>
        </is>
      </c>
      <c r="E248" t="inlineStr">
        <is>
          <t>RAGUNDA</t>
        </is>
      </c>
      <c r="F248" t="inlineStr">
        <is>
          <t>SCA</t>
        </is>
      </c>
      <c r="G248" t="n">
        <v>2.1</v>
      </c>
      <c r="H248" t="n">
        <v>0</v>
      </c>
      <c r="I248" t="n">
        <v>0</v>
      </c>
      <c r="J248" t="n">
        <v>1</v>
      </c>
      <c r="K248" t="n">
        <v>0</v>
      </c>
      <c r="L248" t="n">
        <v>0</v>
      </c>
      <c r="M248" t="n">
        <v>0</v>
      </c>
      <c r="N248" t="n">
        <v>0</v>
      </c>
      <c r="O248" t="n">
        <v>1</v>
      </c>
      <c r="P248" t="n">
        <v>0</v>
      </c>
      <c r="Q248" t="n">
        <v>1</v>
      </c>
      <c r="R248" s="2" t="inlineStr">
        <is>
          <t>Lunglav</t>
        </is>
      </c>
      <c r="S248">
        <f>HYPERLINK("https://klasma.github.io/Logging_2303/artfynd/A 24443-2024 artfynd.xlsx", "A 24443-2024")</f>
        <v/>
      </c>
      <c r="T248">
        <f>HYPERLINK("https://klasma.github.io/Logging_2303/kartor/A 24443-2024 karta.png", "A 24443-2024")</f>
        <v/>
      </c>
      <c r="U248">
        <f>HYPERLINK("https://klasma.github.io/Logging_2303/knärot/A 24443-2024 karta knärot.png", "A 24443-2024")</f>
        <v/>
      </c>
      <c r="V248">
        <f>HYPERLINK("https://klasma.github.io/Logging_2303/klagomål/A 24443-2024 FSC-klagomål.docx", "A 24443-2024")</f>
        <v/>
      </c>
      <c r="W248">
        <f>HYPERLINK("https://klasma.github.io/Logging_2303/klagomålsmail/A 24443-2024 FSC-klagomål mail.docx", "A 24443-2024")</f>
        <v/>
      </c>
      <c r="X248">
        <f>HYPERLINK("https://klasma.github.io/Logging_2303/tillsyn/A 24443-2024 tillsynsbegäran.docx", "A 24443-2024")</f>
        <v/>
      </c>
      <c r="Y248">
        <f>HYPERLINK("https://klasma.github.io/Logging_2303/tillsynsmail/A 24443-2024 tillsynsbegäran mail.docx", "A 24443-2024")</f>
        <v/>
      </c>
    </row>
    <row r="249" ht="15" customHeight="1">
      <c r="A249" t="inlineStr">
        <is>
          <t>A 23930-2024</t>
        </is>
      </c>
      <c r="B249" s="1" t="n">
        <v>45455.96184027778</v>
      </c>
      <c r="C249" s="1" t="n">
        <v>46084</v>
      </c>
      <c r="D249" t="inlineStr">
        <is>
          <t>JÄMTLANDS LÄN</t>
        </is>
      </c>
      <c r="E249" t="inlineStr">
        <is>
          <t>RAGUNDA</t>
        </is>
      </c>
      <c r="F249" t="inlineStr">
        <is>
          <t>SCA</t>
        </is>
      </c>
      <c r="G249" t="n">
        <v>4.2</v>
      </c>
      <c r="H249" t="n">
        <v>1</v>
      </c>
      <c r="I249" t="n">
        <v>1</v>
      </c>
      <c r="J249" t="n">
        <v>0</v>
      </c>
      <c r="K249" t="n">
        <v>0</v>
      </c>
      <c r="L249" t="n">
        <v>0</v>
      </c>
      <c r="M249" t="n">
        <v>0</v>
      </c>
      <c r="N249" t="n">
        <v>0</v>
      </c>
      <c r="O249" t="n">
        <v>0</v>
      </c>
      <c r="P249" t="n">
        <v>0</v>
      </c>
      <c r="Q249" t="n">
        <v>1</v>
      </c>
      <c r="R249" s="2" t="inlineStr">
        <is>
          <t>Guckusko</t>
        </is>
      </c>
      <c r="S249">
        <f>HYPERLINK("https://klasma.github.io/Logging_2303/artfynd/A 23930-2024 artfynd.xlsx", "A 23930-2024")</f>
        <v/>
      </c>
      <c r="T249">
        <f>HYPERLINK("https://klasma.github.io/Logging_2303/kartor/A 23930-2024 karta.png", "A 23930-2024")</f>
        <v/>
      </c>
      <c r="V249">
        <f>HYPERLINK("https://klasma.github.io/Logging_2303/klagomål/A 23930-2024 FSC-klagomål.docx", "A 23930-2024")</f>
        <v/>
      </c>
      <c r="W249">
        <f>HYPERLINK("https://klasma.github.io/Logging_2303/klagomålsmail/A 23930-2024 FSC-klagomål mail.docx", "A 23930-2024")</f>
        <v/>
      </c>
      <c r="X249">
        <f>HYPERLINK("https://klasma.github.io/Logging_2303/tillsyn/A 23930-2024 tillsynsbegäran.docx", "A 23930-2024")</f>
        <v/>
      </c>
      <c r="Y249">
        <f>HYPERLINK("https://klasma.github.io/Logging_2303/tillsynsmail/A 23930-2024 tillsynsbegäran mail.docx", "A 23930-2024")</f>
        <v/>
      </c>
    </row>
    <row r="250" ht="15" customHeight="1">
      <c r="A250" t="inlineStr">
        <is>
          <t>A 20774-2024</t>
        </is>
      </c>
      <c r="B250" s="1" t="n">
        <v>45436.94644675926</v>
      </c>
      <c r="C250" s="1" t="n">
        <v>46084</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978-2024</t>
        </is>
      </c>
      <c r="B251" s="1" t="n">
        <v>45301</v>
      </c>
      <c r="C251" s="1" t="n">
        <v>46084</v>
      </c>
      <c r="D251" t="inlineStr">
        <is>
          <t>JÄMTLANDS LÄN</t>
        </is>
      </c>
      <c r="E251" t="inlineStr">
        <is>
          <t>RAGUNDA</t>
        </is>
      </c>
      <c r="G251" t="n">
        <v>3.1</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978-2024 artfynd.xlsx", "A 978-2024")</f>
        <v/>
      </c>
      <c r="T251">
        <f>HYPERLINK("https://klasma.github.io/Logging_2303/kartor/A 978-2024 karta.png", "A 978-2024")</f>
        <v/>
      </c>
      <c r="V251">
        <f>HYPERLINK("https://klasma.github.io/Logging_2303/klagomål/A 978-2024 FSC-klagomål.docx", "A 978-2024")</f>
        <v/>
      </c>
      <c r="W251">
        <f>HYPERLINK("https://klasma.github.io/Logging_2303/klagomålsmail/A 978-2024 FSC-klagomål mail.docx", "A 978-2024")</f>
        <v/>
      </c>
      <c r="X251">
        <f>HYPERLINK("https://klasma.github.io/Logging_2303/tillsyn/A 978-2024 tillsynsbegäran.docx", "A 978-2024")</f>
        <v/>
      </c>
      <c r="Y251">
        <f>HYPERLINK("https://klasma.github.io/Logging_2303/tillsynsmail/A 978-2024 tillsynsbegäran mail.docx", "A 978-2024")</f>
        <v/>
      </c>
      <c r="Z251">
        <f>HYPERLINK("https://klasma.github.io/Logging_2303/fåglar/A 978-2024 prioriterade fågelarter.docx", "A 978-2024")</f>
        <v/>
      </c>
    </row>
    <row r="252" ht="15" customHeight="1">
      <c r="A252" t="inlineStr">
        <is>
          <t>A 1057-2024</t>
        </is>
      </c>
      <c r="B252" s="1" t="n">
        <v>45301</v>
      </c>
      <c r="C252" s="1" t="n">
        <v>46084</v>
      </c>
      <c r="D252" t="inlineStr">
        <is>
          <t>JÄMTLANDS LÄN</t>
        </is>
      </c>
      <c r="E252" t="inlineStr">
        <is>
          <t>RAGUNDA</t>
        </is>
      </c>
      <c r="F252" t="inlineStr">
        <is>
          <t>SCA</t>
        </is>
      </c>
      <c r="G252" t="n">
        <v>6.8</v>
      </c>
      <c r="H252" t="n">
        <v>0</v>
      </c>
      <c r="I252" t="n">
        <v>1</v>
      </c>
      <c r="J252" t="n">
        <v>0</v>
      </c>
      <c r="K252" t="n">
        <v>0</v>
      </c>
      <c r="L252" t="n">
        <v>0</v>
      </c>
      <c r="M252" t="n">
        <v>0</v>
      </c>
      <c r="N252" t="n">
        <v>0</v>
      </c>
      <c r="O252" t="n">
        <v>0</v>
      </c>
      <c r="P252" t="n">
        <v>0</v>
      </c>
      <c r="Q252" t="n">
        <v>1</v>
      </c>
      <c r="R252" s="2" t="inlineStr">
        <is>
          <t>Stor aspticka</t>
        </is>
      </c>
      <c r="S252">
        <f>HYPERLINK("https://klasma.github.io/Logging_2303/artfynd/A 1057-2024 artfynd.xlsx", "A 1057-2024")</f>
        <v/>
      </c>
      <c r="T252">
        <f>HYPERLINK("https://klasma.github.io/Logging_2303/kartor/A 1057-2024 karta.png", "A 1057-2024")</f>
        <v/>
      </c>
      <c r="V252">
        <f>HYPERLINK("https://klasma.github.io/Logging_2303/klagomål/A 1057-2024 FSC-klagomål.docx", "A 1057-2024")</f>
        <v/>
      </c>
      <c r="W252">
        <f>HYPERLINK("https://klasma.github.io/Logging_2303/klagomålsmail/A 1057-2024 FSC-klagomål mail.docx", "A 1057-2024")</f>
        <v/>
      </c>
      <c r="X252">
        <f>HYPERLINK("https://klasma.github.io/Logging_2303/tillsyn/A 1057-2024 tillsynsbegäran.docx", "A 1057-2024")</f>
        <v/>
      </c>
      <c r="Y252">
        <f>HYPERLINK("https://klasma.github.io/Logging_2303/tillsynsmail/A 1057-2024 tillsynsbegäran mail.docx", "A 1057-2024")</f>
        <v/>
      </c>
    </row>
    <row r="253" ht="15" customHeight="1">
      <c r="A253" t="inlineStr">
        <is>
          <t>A 31773-2021</t>
        </is>
      </c>
      <c r="B253" s="1" t="n">
        <v>44369</v>
      </c>
      <c r="C253" s="1" t="n">
        <v>46084</v>
      </c>
      <c r="D253" t="inlineStr">
        <is>
          <t>JÄMTLANDS LÄN</t>
        </is>
      </c>
      <c r="E253" t="inlineStr">
        <is>
          <t>RAGUNDA</t>
        </is>
      </c>
      <c r="G253" t="n">
        <v>0.8</v>
      </c>
      <c r="H253" t="n">
        <v>0</v>
      </c>
      <c r="I253" t="n">
        <v>0</v>
      </c>
      <c r="J253" t="n">
        <v>0</v>
      </c>
      <c r="K253" t="n">
        <v>1</v>
      </c>
      <c r="L253" t="n">
        <v>0</v>
      </c>
      <c r="M253" t="n">
        <v>0</v>
      </c>
      <c r="N253" t="n">
        <v>0</v>
      </c>
      <c r="O253" t="n">
        <v>1</v>
      </c>
      <c r="P253" t="n">
        <v>1</v>
      </c>
      <c r="Q253" t="n">
        <v>1</v>
      </c>
      <c r="R253" s="2" t="inlineStr">
        <is>
          <t>Strandsandjägare</t>
        </is>
      </c>
      <c r="S253">
        <f>HYPERLINK("https://klasma.github.io/Logging_2303/artfynd/A 31773-2021 artfynd.xlsx", "A 31773-2021")</f>
        <v/>
      </c>
      <c r="T253">
        <f>HYPERLINK("https://klasma.github.io/Logging_2303/kartor/A 31773-2021 karta.png", "A 31773-2021")</f>
        <v/>
      </c>
      <c r="V253">
        <f>HYPERLINK("https://klasma.github.io/Logging_2303/klagomål/A 31773-2021 FSC-klagomål.docx", "A 31773-2021")</f>
        <v/>
      </c>
      <c r="W253">
        <f>HYPERLINK("https://klasma.github.io/Logging_2303/klagomålsmail/A 31773-2021 FSC-klagomål mail.docx", "A 31773-2021")</f>
        <v/>
      </c>
      <c r="X253">
        <f>HYPERLINK("https://klasma.github.io/Logging_2303/tillsyn/A 31773-2021 tillsynsbegäran.docx", "A 31773-2021")</f>
        <v/>
      </c>
      <c r="Y253">
        <f>HYPERLINK("https://klasma.github.io/Logging_2303/tillsynsmail/A 31773-2021 tillsynsbegäran mail.docx", "A 31773-2021")</f>
        <v/>
      </c>
    </row>
    <row r="254" ht="15" customHeight="1">
      <c r="A254" t="inlineStr">
        <is>
          <t>A 26317-2024</t>
        </is>
      </c>
      <c r="B254" s="1" t="n">
        <v>45468</v>
      </c>
      <c r="C254" s="1" t="n">
        <v>46084</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49091-2022</t>
        </is>
      </c>
      <c r="B255" s="1" t="n">
        <v>44860</v>
      </c>
      <c r="C255" s="1" t="n">
        <v>46084</v>
      </c>
      <c r="D255" t="inlineStr">
        <is>
          <t>JÄMTLANDS LÄN</t>
        </is>
      </c>
      <c r="E255" t="inlineStr">
        <is>
          <t>RAGUNDA</t>
        </is>
      </c>
      <c r="G255" t="n">
        <v>3.5</v>
      </c>
      <c r="H255" t="n">
        <v>1</v>
      </c>
      <c r="I255" t="n">
        <v>0</v>
      </c>
      <c r="J255" t="n">
        <v>0</v>
      </c>
      <c r="K255" t="n">
        <v>1</v>
      </c>
      <c r="L255" t="n">
        <v>0</v>
      </c>
      <c r="M255" t="n">
        <v>0</v>
      </c>
      <c r="N255" t="n">
        <v>0</v>
      </c>
      <c r="O255" t="n">
        <v>1</v>
      </c>
      <c r="P255" t="n">
        <v>1</v>
      </c>
      <c r="Q255" t="n">
        <v>1</v>
      </c>
      <c r="R255" s="2" t="inlineStr">
        <is>
          <t>Doftticka</t>
        </is>
      </c>
      <c r="S255">
        <f>HYPERLINK("https://klasma.github.io/Logging_2303/artfynd/A 49091-2022 artfynd.xlsx", "A 49091-2022")</f>
        <v/>
      </c>
      <c r="T255">
        <f>HYPERLINK("https://klasma.github.io/Logging_2303/kartor/A 49091-2022 karta.png", "A 49091-2022")</f>
        <v/>
      </c>
      <c r="V255">
        <f>HYPERLINK("https://klasma.github.io/Logging_2303/klagomål/A 49091-2022 FSC-klagomål.docx", "A 49091-2022")</f>
        <v/>
      </c>
      <c r="W255">
        <f>HYPERLINK("https://klasma.github.io/Logging_2303/klagomålsmail/A 49091-2022 FSC-klagomål mail.docx", "A 49091-2022")</f>
        <v/>
      </c>
      <c r="X255">
        <f>HYPERLINK("https://klasma.github.io/Logging_2303/tillsyn/A 49091-2022 tillsynsbegäran.docx", "A 49091-2022")</f>
        <v/>
      </c>
      <c r="Y255">
        <f>HYPERLINK("https://klasma.github.io/Logging_2303/tillsynsmail/A 49091-2022 tillsynsbegäran mail.docx", "A 49091-2022")</f>
        <v/>
      </c>
    </row>
    <row r="256" ht="15" customHeight="1">
      <c r="A256" t="inlineStr">
        <is>
          <t>A 48429-2023</t>
        </is>
      </c>
      <c r="B256" s="1" t="n">
        <v>45205</v>
      </c>
      <c r="C256" s="1" t="n">
        <v>46084</v>
      </c>
      <c r="D256" t="inlineStr">
        <is>
          <t>JÄMTLANDS LÄN</t>
        </is>
      </c>
      <c r="E256" t="inlineStr">
        <is>
          <t>RAGUNDA</t>
        </is>
      </c>
      <c r="F256" t="inlineStr">
        <is>
          <t>SCA</t>
        </is>
      </c>
      <c r="G256" t="n">
        <v>1.8</v>
      </c>
      <c r="H256" t="n">
        <v>0</v>
      </c>
      <c r="I256" t="n">
        <v>1</v>
      </c>
      <c r="J256" t="n">
        <v>0</v>
      </c>
      <c r="K256" t="n">
        <v>0</v>
      </c>
      <c r="L256" t="n">
        <v>0</v>
      </c>
      <c r="M256" t="n">
        <v>0</v>
      </c>
      <c r="N256" t="n">
        <v>0</v>
      </c>
      <c r="O256" t="n">
        <v>0</v>
      </c>
      <c r="P256" t="n">
        <v>0</v>
      </c>
      <c r="Q256" t="n">
        <v>1</v>
      </c>
      <c r="R256" s="2" t="inlineStr">
        <is>
          <t>Dropptaggsvamp</t>
        </is>
      </c>
      <c r="S256">
        <f>HYPERLINK("https://klasma.github.io/Logging_2303/artfynd/A 48429-2023 artfynd.xlsx", "A 48429-2023")</f>
        <v/>
      </c>
      <c r="T256">
        <f>HYPERLINK("https://klasma.github.io/Logging_2303/kartor/A 48429-2023 karta.png", "A 48429-2023")</f>
        <v/>
      </c>
      <c r="V256">
        <f>HYPERLINK("https://klasma.github.io/Logging_2303/klagomål/A 48429-2023 FSC-klagomål.docx", "A 48429-2023")</f>
        <v/>
      </c>
      <c r="W256">
        <f>HYPERLINK("https://klasma.github.io/Logging_2303/klagomålsmail/A 48429-2023 FSC-klagomål mail.docx", "A 48429-2023")</f>
        <v/>
      </c>
      <c r="X256">
        <f>HYPERLINK("https://klasma.github.io/Logging_2303/tillsyn/A 48429-2023 tillsynsbegäran.docx", "A 48429-2023")</f>
        <v/>
      </c>
      <c r="Y256">
        <f>HYPERLINK("https://klasma.github.io/Logging_2303/tillsynsmail/A 48429-2023 tillsynsbegäran mail.docx", "A 48429-2023")</f>
        <v/>
      </c>
    </row>
    <row r="257" ht="15" customHeight="1">
      <c r="A257" t="inlineStr">
        <is>
          <t>A 17340-2023</t>
        </is>
      </c>
      <c r="B257" s="1" t="n">
        <v>45033</v>
      </c>
      <c r="C257" s="1" t="n">
        <v>46084</v>
      </c>
      <c r="D257" t="inlineStr">
        <is>
          <t>JÄMTLANDS LÄN</t>
        </is>
      </c>
      <c r="E257" t="inlineStr">
        <is>
          <t>RAGUNDA</t>
        </is>
      </c>
      <c r="G257" t="n">
        <v>1.6</v>
      </c>
      <c r="H257" t="n">
        <v>0</v>
      </c>
      <c r="I257" t="n">
        <v>0</v>
      </c>
      <c r="J257" t="n">
        <v>1</v>
      </c>
      <c r="K257" t="n">
        <v>0</v>
      </c>
      <c r="L257" t="n">
        <v>0</v>
      </c>
      <c r="M257" t="n">
        <v>0</v>
      </c>
      <c r="N257" t="n">
        <v>0</v>
      </c>
      <c r="O257" t="n">
        <v>1</v>
      </c>
      <c r="P257" t="n">
        <v>0</v>
      </c>
      <c r="Q257" t="n">
        <v>1</v>
      </c>
      <c r="R257" s="2" t="inlineStr">
        <is>
          <t>Vedtrappmossa</t>
        </is>
      </c>
      <c r="S257">
        <f>HYPERLINK("https://klasma.github.io/Logging_2303/artfynd/A 17340-2023 artfynd.xlsx", "A 17340-2023")</f>
        <v/>
      </c>
      <c r="T257">
        <f>HYPERLINK("https://klasma.github.io/Logging_2303/kartor/A 17340-2023 karta.png", "A 17340-2023")</f>
        <v/>
      </c>
      <c r="U257">
        <f>HYPERLINK("https://klasma.github.io/Logging_2303/knärot/A 17340-2023 karta knärot.png", "A 17340-2023")</f>
        <v/>
      </c>
      <c r="V257">
        <f>HYPERLINK("https://klasma.github.io/Logging_2303/klagomål/A 17340-2023 FSC-klagomål.docx", "A 17340-2023")</f>
        <v/>
      </c>
      <c r="W257">
        <f>HYPERLINK("https://klasma.github.io/Logging_2303/klagomålsmail/A 17340-2023 FSC-klagomål mail.docx", "A 17340-2023")</f>
        <v/>
      </c>
      <c r="X257">
        <f>HYPERLINK("https://klasma.github.io/Logging_2303/tillsyn/A 17340-2023 tillsynsbegäran.docx", "A 17340-2023")</f>
        <v/>
      </c>
      <c r="Y257">
        <f>HYPERLINK("https://klasma.github.io/Logging_2303/tillsynsmail/A 17340-2023 tillsynsbegäran mail.docx", "A 17340-2023")</f>
        <v/>
      </c>
    </row>
    <row r="258" ht="15" customHeight="1">
      <c r="A258" t="inlineStr">
        <is>
          <t>A 26322-2024</t>
        </is>
      </c>
      <c r="B258" s="1" t="n">
        <v>45468.97461805555</v>
      </c>
      <c r="C258" s="1" t="n">
        <v>46084</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48477-2023</t>
        </is>
      </c>
      <c r="B259" s="1" t="n">
        <v>45206</v>
      </c>
      <c r="C259" s="1" t="n">
        <v>46084</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48477-2023 artfynd.xlsx", "A 48477-2023")</f>
        <v/>
      </c>
      <c r="T259">
        <f>HYPERLINK("https://klasma.github.io/Logging_2303/kartor/A 48477-2023 karta.png", "A 48477-2023")</f>
        <v/>
      </c>
      <c r="V259">
        <f>HYPERLINK("https://klasma.github.io/Logging_2303/klagomål/A 48477-2023 FSC-klagomål.docx", "A 48477-2023")</f>
        <v/>
      </c>
      <c r="W259">
        <f>HYPERLINK("https://klasma.github.io/Logging_2303/klagomålsmail/A 48477-2023 FSC-klagomål mail.docx", "A 48477-2023")</f>
        <v/>
      </c>
      <c r="X259">
        <f>HYPERLINK("https://klasma.github.io/Logging_2303/tillsyn/A 48477-2023 tillsynsbegäran.docx", "A 48477-2023")</f>
        <v/>
      </c>
      <c r="Y259">
        <f>HYPERLINK("https://klasma.github.io/Logging_2303/tillsynsmail/A 48477-2023 tillsynsbegäran mail.docx", "A 48477-2023")</f>
        <v/>
      </c>
    </row>
    <row r="260" ht="15" customHeight="1">
      <c r="A260" t="inlineStr">
        <is>
          <t>A 16724-2025</t>
        </is>
      </c>
      <c r="B260" s="1" t="n">
        <v>45754.51064814815</v>
      </c>
      <c r="C260" s="1" t="n">
        <v>46084</v>
      </c>
      <c r="D260" t="inlineStr">
        <is>
          <t>JÄMTLANDS LÄN</t>
        </is>
      </c>
      <c r="E260" t="inlineStr">
        <is>
          <t>RAGUNDA</t>
        </is>
      </c>
      <c r="G260" t="n">
        <v>3.5</v>
      </c>
      <c r="H260" t="n">
        <v>0</v>
      </c>
      <c r="I260" t="n">
        <v>0</v>
      </c>
      <c r="J260" t="n">
        <v>1</v>
      </c>
      <c r="K260" t="n">
        <v>0</v>
      </c>
      <c r="L260" t="n">
        <v>0</v>
      </c>
      <c r="M260" t="n">
        <v>0</v>
      </c>
      <c r="N260" t="n">
        <v>0</v>
      </c>
      <c r="O260" t="n">
        <v>1</v>
      </c>
      <c r="P260" t="n">
        <v>0</v>
      </c>
      <c r="Q260" t="n">
        <v>1</v>
      </c>
      <c r="R260" s="2" t="inlineStr">
        <is>
          <t>Kolflarnlav</t>
        </is>
      </c>
      <c r="S260">
        <f>HYPERLINK("https://klasma.github.io/Logging_2303/artfynd/A 16724-2025 artfynd.xlsx", "A 16724-2025")</f>
        <v/>
      </c>
      <c r="T260">
        <f>HYPERLINK("https://klasma.github.io/Logging_2303/kartor/A 16724-2025 karta.png", "A 16724-2025")</f>
        <v/>
      </c>
      <c r="V260">
        <f>HYPERLINK("https://klasma.github.io/Logging_2303/klagomål/A 16724-2025 FSC-klagomål.docx", "A 16724-2025")</f>
        <v/>
      </c>
      <c r="W260">
        <f>HYPERLINK("https://klasma.github.io/Logging_2303/klagomålsmail/A 16724-2025 FSC-klagomål mail.docx", "A 16724-2025")</f>
        <v/>
      </c>
      <c r="X260">
        <f>HYPERLINK("https://klasma.github.io/Logging_2303/tillsyn/A 16724-2025 tillsynsbegäran.docx", "A 16724-2025")</f>
        <v/>
      </c>
      <c r="Y260">
        <f>HYPERLINK("https://klasma.github.io/Logging_2303/tillsynsmail/A 16724-2025 tillsynsbegäran mail.docx", "A 16724-2025")</f>
        <v/>
      </c>
    </row>
    <row r="261" ht="15" customHeight="1">
      <c r="A261" t="inlineStr">
        <is>
          <t>A 49770-2024</t>
        </is>
      </c>
      <c r="B261" s="1" t="n">
        <v>45597.34461805555</v>
      </c>
      <c r="C261" s="1" t="n">
        <v>46084</v>
      </c>
      <c r="D261" t="inlineStr">
        <is>
          <t>JÄMTLANDS LÄN</t>
        </is>
      </c>
      <c r="E261" t="inlineStr">
        <is>
          <t>RAGUNDA</t>
        </is>
      </c>
      <c r="F261" t="inlineStr">
        <is>
          <t>Naturvårdsverket</t>
        </is>
      </c>
      <c r="G261" t="n">
        <v>8.9</v>
      </c>
      <c r="H261" t="n">
        <v>1</v>
      </c>
      <c r="I261" t="n">
        <v>0</v>
      </c>
      <c r="J261" t="n">
        <v>0</v>
      </c>
      <c r="K261" t="n">
        <v>1</v>
      </c>
      <c r="L261" t="n">
        <v>0</v>
      </c>
      <c r="M261" t="n">
        <v>0</v>
      </c>
      <c r="N261" t="n">
        <v>0</v>
      </c>
      <c r="O261" t="n">
        <v>1</v>
      </c>
      <c r="P261" t="n">
        <v>1</v>
      </c>
      <c r="Q261" t="n">
        <v>1</v>
      </c>
      <c r="R261" s="2" t="inlineStr">
        <is>
          <t>Doftticka</t>
        </is>
      </c>
      <c r="S261">
        <f>HYPERLINK("https://klasma.github.io/Logging_2303/artfynd/A 49770-2024 artfynd.xlsx", "A 49770-2024")</f>
        <v/>
      </c>
      <c r="T261">
        <f>HYPERLINK("https://klasma.github.io/Logging_2303/kartor/A 49770-2024 karta.png", "A 49770-2024")</f>
        <v/>
      </c>
      <c r="V261">
        <f>HYPERLINK("https://klasma.github.io/Logging_2303/klagomål/A 49770-2024 FSC-klagomål.docx", "A 49770-2024")</f>
        <v/>
      </c>
      <c r="W261">
        <f>HYPERLINK("https://klasma.github.io/Logging_2303/klagomålsmail/A 49770-2024 FSC-klagomål mail.docx", "A 49770-2024")</f>
        <v/>
      </c>
      <c r="X261">
        <f>HYPERLINK("https://klasma.github.io/Logging_2303/tillsyn/A 49770-2024 tillsynsbegäran.docx", "A 49770-2024")</f>
        <v/>
      </c>
      <c r="Y261">
        <f>HYPERLINK("https://klasma.github.io/Logging_2303/tillsynsmail/A 49770-2024 tillsynsbegäran mail.docx", "A 49770-2024")</f>
        <v/>
      </c>
    </row>
    <row r="262" ht="15" customHeight="1">
      <c r="A262" t="inlineStr">
        <is>
          <t>A 46050-2022</t>
        </is>
      </c>
      <c r="B262" s="1" t="n">
        <v>44846</v>
      </c>
      <c r="C262" s="1" t="n">
        <v>46084</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46084</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46084</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46084</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46084</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46084</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46084</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46084</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46084</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46084</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46084</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46084</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46084</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46084</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46084</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46084</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46084</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46084</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46084</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46084</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46084</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46084</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46084</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46084</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46084</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46084</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46084</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46084</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46084</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46084</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46084</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46084</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46084</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46084</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46084</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46084</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46084</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46084</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46084</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46084</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46084</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46084</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46084</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46084</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46084</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46084</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46084</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46084</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46084</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46084</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46084</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46084</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46084</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46084</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46084</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46084</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46084</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46084</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46084</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46084</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46084</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46084</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46084</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46084</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46084</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46084</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46084</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46084</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46084</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46084</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46084</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46084</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46084</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19595-2021</t>
        </is>
      </c>
      <c r="B335" s="1" t="n">
        <v>44308</v>
      </c>
      <c r="C335" s="1" t="n">
        <v>46084</v>
      </c>
      <c r="D335" t="inlineStr">
        <is>
          <t>JÄMTLANDS LÄN</t>
        </is>
      </c>
      <c r="E335" t="inlineStr">
        <is>
          <t>RAGUNDA</t>
        </is>
      </c>
      <c r="G335" t="n">
        <v>5.4</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46084</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46084</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46084</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46084</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46084</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46084</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1858-2022</t>
        </is>
      </c>
      <c r="B342" s="1" t="n">
        <v>44574</v>
      </c>
      <c r="C342" s="1" t="n">
        <v>46084</v>
      </c>
      <c r="D342" t="inlineStr">
        <is>
          <t>JÄMTLANDS LÄN</t>
        </is>
      </c>
      <c r="E342" t="inlineStr">
        <is>
          <t>RAGUNDA</t>
        </is>
      </c>
      <c r="G342" t="n">
        <v>5.7</v>
      </c>
      <c r="H342" t="n">
        <v>0</v>
      </c>
      <c r="I342" t="n">
        <v>0</v>
      </c>
      <c r="J342" t="n">
        <v>0</v>
      </c>
      <c r="K342" t="n">
        <v>0</v>
      </c>
      <c r="L342" t="n">
        <v>0</v>
      </c>
      <c r="M342" t="n">
        <v>0</v>
      </c>
      <c r="N342" t="n">
        <v>0</v>
      </c>
      <c r="O342" t="n">
        <v>0</v>
      </c>
      <c r="P342" t="n">
        <v>0</v>
      </c>
      <c r="Q342" t="n">
        <v>0</v>
      </c>
      <c r="R342" s="2" t="inlineStr"/>
    </row>
    <row r="343" ht="15" customHeight="1">
      <c r="A343" t="inlineStr">
        <is>
          <t>A 54836-2022</t>
        </is>
      </c>
      <c r="B343" s="1" t="n">
        <v>44883.94918981481</v>
      </c>
      <c r="C343" s="1" t="n">
        <v>46084</v>
      </c>
      <c r="D343" t="inlineStr">
        <is>
          <t>JÄMTLANDS LÄN</t>
        </is>
      </c>
      <c r="E343" t="inlineStr">
        <is>
          <t>RAGUNDA</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46084</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46084</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46084</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46048-2022</t>
        </is>
      </c>
      <c r="B347" s="1" t="n">
        <v>44846</v>
      </c>
      <c r="C347" s="1" t="n">
        <v>46084</v>
      </c>
      <c r="D347" t="inlineStr">
        <is>
          <t>JÄMTLANDS LÄN</t>
        </is>
      </c>
      <c r="E347" t="inlineStr">
        <is>
          <t>RAGUNDA</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46084</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46084</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56193-2022</t>
        </is>
      </c>
      <c r="B350" s="1" t="n">
        <v>44889</v>
      </c>
      <c r="C350" s="1" t="n">
        <v>46084</v>
      </c>
      <c r="D350" t="inlineStr">
        <is>
          <t>JÄMTLANDS LÄN</t>
        </is>
      </c>
      <c r="E350" t="inlineStr">
        <is>
          <t>RAGUNDA</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41613-2021</t>
        </is>
      </c>
      <c r="B351" s="1" t="n">
        <v>44425</v>
      </c>
      <c r="C351" s="1" t="n">
        <v>46084</v>
      </c>
      <c r="D351" t="inlineStr">
        <is>
          <t>JÄMTLANDS LÄN</t>
        </is>
      </c>
      <c r="E351" t="inlineStr">
        <is>
          <t>RAGUNDA</t>
        </is>
      </c>
      <c r="F351" t="inlineStr">
        <is>
          <t>Kommuner</t>
        </is>
      </c>
      <c r="G351" t="n">
        <v>1.5</v>
      </c>
      <c r="H351" t="n">
        <v>0</v>
      </c>
      <c r="I351" t="n">
        <v>0</v>
      </c>
      <c r="J351" t="n">
        <v>0</v>
      </c>
      <c r="K351" t="n">
        <v>0</v>
      </c>
      <c r="L351" t="n">
        <v>0</v>
      </c>
      <c r="M351" t="n">
        <v>0</v>
      </c>
      <c r="N351" t="n">
        <v>0</v>
      </c>
      <c r="O351" t="n">
        <v>0</v>
      </c>
      <c r="P351" t="n">
        <v>0</v>
      </c>
      <c r="Q351" t="n">
        <v>0</v>
      </c>
      <c r="R351" s="2" t="inlineStr"/>
    </row>
    <row r="352" ht="15" customHeight="1">
      <c r="A352" t="inlineStr">
        <is>
          <t>A 5515-2022</t>
        </is>
      </c>
      <c r="B352" s="1" t="n">
        <v>44595</v>
      </c>
      <c r="C352" s="1" t="n">
        <v>46084</v>
      </c>
      <c r="D352" t="inlineStr">
        <is>
          <t>JÄMTLANDS LÄN</t>
        </is>
      </c>
      <c r="E352" t="inlineStr">
        <is>
          <t>RAGUNDA</t>
        </is>
      </c>
      <c r="G352" t="n">
        <v>1</v>
      </c>
      <c r="H352" t="n">
        <v>0</v>
      </c>
      <c r="I352" t="n">
        <v>0</v>
      </c>
      <c r="J352" t="n">
        <v>0</v>
      </c>
      <c r="K352" t="n">
        <v>0</v>
      </c>
      <c r="L352" t="n">
        <v>0</v>
      </c>
      <c r="M352" t="n">
        <v>0</v>
      </c>
      <c r="N352" t="n">
        <v>0</v>
      </c>
      <c r="O352" t="n">
        <v>0</v>
      </c>
      <c r="P352" t="n">
        <v>0</v>
      </c>
      <c r="Q352" t="n">
        <v>0</v>
      </c>
      <c r="R352" s="2" t="inlineStr"/>
    </row>
    <row r="353" ht="15" customHeight="1">
      <c r="A353" t="inlineStr">
        <is>
          <t>A 32288-2022</t>
        </is>
      </c>
      <c r="B353" s="1" t="n">
        <v>44781</v>
      </c>
      <c r="C353" s="1" t="n">
        <v>46084</v>
      </c>
      <c r="D353" t="inlineStr">
        <is>
          <t>JÄMTLANDS LÄN</t>
        </is>
      </c>
      <c r="E353" t="inlineStr">
        <is>
          <t>RAGUNDA</t>
        </is>
      </c>
      <c r="G353" t="n">
        <v>0.8</v>
      </c>
      <c r="H353" t="n">
        <v>0</v>
      </c>
      <c r="I353" t="n">
        <v>0</v>
      </c>
      <c r="J353" t="n">
        <v>0</v>
      </c>
      <c r="K353" t="n">
        <v>0</v>
      </c>
      <c r="L353" t="n">
        <v>0</v>
      </c>
      <c r="M353" t="n">
        <v>0</v>
      </c>
      <c r="N353" t="n">
        <v>0</v>
      </c>
      <c r="O353" t="n">
        <v>0</v>
      </c>
      <c r="P353" t="n">
        <v>0</v>
      </c>
      <c r="Q353" t="n">
        <v>0</v>
      </c>
      <c r="R353" s="2" t="inlineStr"/>
    </row>
    <row r="354" ht="15" customHeight="1">
      <c r="A354" t="inlineStr">
        <is>
          <t>A 47803-2022</t>
        </is>
      </c>
      <c r="B354" s="1" t="n">
        <v>44854.95390046296</v>
      </c>
      <c r="C354" s="1" t="n">
        <v>46084</v>
      </c>
      <c r="D354" t="inlineStr">
        <is>
          <t>JÄMTLANDS LÄN</t>
        </is>
      </c>
      <c r="E354" t="inlineStr">
        <is>
          <t>RAGUNDA</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42652-2022</t>
        </is>
      </c>
      <c r="B355" s="1" t="n">
        <v>44831.94846064815</v>
      </c>
      <c r="C355" s="1" t="n">
        <v>46084</v>
      </c>
      <c r="D355" t="inlineStr">
        <is>
          <t>JÄMTLANDS LÄN</t>
        </is>
      </c>
      <c r="E355" t="inlineStr">
        <is>
          <t>RAGUNDA</t>
        </is>
      </c>
      <c r="F355" t="inlineStr">
        <is>
          <t>SCA</t>
        </is>
      </c>
      <c r="G355" t="n">
        <v>5.6</v>
      </c>
      <c r="H355" t="n">
        <v>0</v>
      </c>
      <c r="I355" t="n">
        <v>0</v>
      </c>
      <c r="J355" t="n">
        <v>0</v>
      </c>
      <c r="K355" t="n">
        <v>0</v>
      </c>
      <c r="L355" t="n">
        <v>0</v>
      </c>
      <c r="M355" t="n">
        <v>0</v>
      </c>
      <c r="N355" t="n">
        <v>0</v>
      </c>
      <c r="O355" t="n">
        <v>0</v>
      </c>
      <c r="P355" t="n">
        <v>0</v>
      </c>
      <c r="Q355" t="n">
        <v>0</v>
      </c>
      <c r="R355" s="2" t="inlineStr"/>
    </row>
    <row r="356" ht="15" customHeight="1">
      <c r="A356" t="inlineStr">
        <is>
          <t>A 42653-2022</t>
        </is>
      </c>
      <c r="B356" s="1" t="n">
        <v>44831.9485300926</v>
      </c>
      <c r="C356" s="1" t="n">
        <v>46084</v>
      </c>
      <c r="D356" t="inlineStr">
        <is>
          <t>JÄMTLANDS LÄN</t>
        </is>
      </c>
      <c r="E356" t="inlineStr">
        <is>
          <t>RAGUNDA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60957-2021</t>
        </is>
      </c>
      <c r="B357" s="1" t="n">
        <v>44496</v>
      </c>
      <c r="C357" s="1" t="n">
        <v>46084</v>
      </c>
      <c r="D357" t="inlineStr">
        <is>
          <t>JÄMTLANDS LÄN</t>
        </is>
      </c>
      <c r="E357" t="inlineStr">
        <is>
          <t>RAGUNDA</t>
        </is>
      </c>
      <c r="G357" t="n">
        <v>1.6</v>
      </c>
      <c r="H357" t="n">
        <v>0</v>
      </c>
      <c r="I357" t="n">
        <v>0</v>
      </c>
      <c r="J357" t="n">
        <v>0</v>
      </c>
      <c r="K357" t="n">
        <v>0</v>
      </c>
      <c r="L357" t="n">
        <v>0</v>
      </c>
      <c r="M357" t="n">
        <v>0</v>
      </c>
      <c r="N357" t="n">
        <v>0</v>
      </c>
      <c r="O357" t="n">
        <v>0</v>
      </c>
      <c r="P357" t="n">
        <v>0</v>
      </c>
      <c r="Q357" t="n">
        <v>0</v>
      </c>
      <c r="R357" s="2" t="inlineStr"/>
    </row>
    <row r="358" ht="15" customHeight="1">
      <c r="A358" t="inlineStr">
        <is>
          <t>A 32986-2022</t>
        </is>
      </c>
      <c r="B358" s="1" t="n">
        <v>44784.94157407407</v>
      </c>
      <c r="C358" s="1" t="n">
        <v>46084</v>
      </c>
      <c r="D358" t="inlineStr">
        <is>
          <t>JÄMTLANDS LÄN</t>
        </is>
      </c>
      <c r="E358" t="inlineStr">
        <is>
          <t>RAGUNDA</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37806-2021</t>
        </is>
      </c>
      <c r="B359" s="1" t="n">
        <v>44402.42243055555</v>
      </c>
      <c r="C359" s="1" t="n">
        <v>46084</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26122-2022</t>
        </is>
      </c>
      <c r="B360" s="1" t="n">
        <v>44734.94193287037</v>
      </c>
      <c r="C360" s="1" t="n">
        <v>46084</v>
      </c>
      <c r="D360" t="inlineStr">
        <is>
          <t>JÄMTLANDS LÄN</t>
        </is>
      </c>
      <c r="E360" t="inlineStr">
        <is>
          <t>RAGUNDA</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29409-2021</t>
        </is>
      </c>
      <c r="B361" s="1" t="n">
        <v>44361.55445601852</v>
      </c>
      <c r="C361" s="1" t="n">
        <v>46084</v>
      </c>
      <c r="D361" t="inlineStr">
        <is>
          <t>JÄMTLANDS LÄN</t>
        </is>
      </c>
      <c r="E361" t="inlineStr">
        <is>
          <t>RAGUNDA</t>
        </is>
      </c>
      <c r="G361" t="n">
        <v>0.3</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46084</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46084</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31854-2022</t>
        </is>
      </c>
      <c r="B364" s="1" t="n">
        <v>44776</v>
      </c>
      <c r="C364" s="1" t="n">
        <v>46084</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21193-2022</t>
        </is>
      </c>
      <c r="B365" s="1" t="n">
        <v>44704.94217592593</v>
      </c>
      <c r="C365" s="1" t="n">
        <v>46084</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25027-2022</t>
        </is>
      </c>
      <c r="B366" s="1" t="n">
        <v>44728.94392361111</v>
      </c>
      <c r="C366" s="1" t="n">
        <v>46084</v>
      </c>
      <c r="D366" t="inlineStr">
        <is>
          <t>JÄMTLANDS LÄN</t>
        </is>
      </c>
      <c r="E366" t="inlineStr">
        <is>
          <t>RAGUNDA</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65017-2021</t>
        </is>
      </c>
      <c r="B367" s="1" t="n">
        <v>44512</v>
      </c>
      <c r="C367" s="1" t="n">
        <v>46084</v>
      </c>
      <c r="D367" t="inlineStr">
        <is>
          <t>JÄMTLANDS LÄN</t>
        </is>
      </c>
      <c r="E367" t="inlineStr">
        <is>
          <t>RAGUNDA</t>
        </is>
      </c>
      <c r="G367" t="n">
        <v>2.3</v>
      </c>
      <c r="H367" t="n">
        <v>0</v>
      </c>
      <c r="I367" t="n">
        <v>0</v>
      </c>
      <c r="J367" t="n">
        <v>0</v>
      </c>
      <c r="K367" t="n">
        <v>0</v>
      </c>
      <c r="L367" t="n">
        <v>0</v>
      </c>
      <c r="M367" t="n">
        <v>0</v>
      </c>
      <c r="N367" t="n">
        <v>0</v>
      </c>
      <c r="O367" t="n">
        <v>0</v>
      </c>
      <c r="P367" t="n">
        <v>0</v>
      </c>
      <c r="Q367" t="n">
        <v>0</v>
      </c>
      <c r="R367" s="2" t="inlineStr"/>
    </row>
    <row r="368" ht="15" customHeight="1">
      <c r="A368" t="inlineStr">
        <is>
          <t>A 26945-2021</t>
        </is>
      </c>
      <c r="B368" s="1" t="n">
        <v>44349.91995370371</v>
      </c>
      <c r="C368" s="1" t="n">
        <v>46084</v>
      </c>
      <c r="D368" t="inlineStr">
        <is>
          <t>JÄMTLANDS LÄN</t>
        </is>
      </c>
      <c r="E368" t="inlineStr">
        <is>
          <t>RAGUNDA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26948-2021</t>
        </is>
      </c>
      <c r="B369" s="1" t="n">
        <v>44349.92013888889</v>
      </c>
      <c r="C369" s="1" t="n">
        <v>46084</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19600-2021</t>
        </is>
      </c>
      <c r="B370" s="1" t="n">
        <v>44308</v>
      </c>
      <c r="C370" s="1" t="n">
        <v>46084</v>
      </c>
      <c r="D370" t="inlineStr">
        <is>
          <t>JÄMTLANDS LÄN</t>
        </is>
      </c>
      <c r="E370" t="inlineStr">
        <is>
          <t>RAGUNDA</t>
        </is>
      </c>
      <c r="G370" t="n">
        <v>4.3</v>
      </c>
      <c r="H370" t="n">
        <v>0</v>
      </c>
      <c r="I370" t="n">
        <v>0</v>
      </c>
      <c r="J370" t="n">
        <v>0</v>
      </c>
      <c r="K370" t="n">
        <v>0</v>
      </c>
      <c r="L370" t="n">
        <v>0</v>
      </c>
      <c r="M370" t="n">
        <v>0</v>
      </c>
      <c r="N370" t="n">
        <v>0</v>
      </c>
      <c r="O370" t="n">
        <v>0</v>
      </c>
      <c r="P370" t="n">
        <v>0</v>
      </c>
      <c r="Q370" t="n">
        <v>0</v>
      </c>
      <c r="R370" s="2" t="inlineStr"/>
    </row>
    <row r="371" ht="15" customHeight="1">
      <c r="A371" t="inlineStr">
        <is>
          <t>A 28597-2021</t>
        </is>
      </c>
      <c r="B371" s="1" t="n">
        <v>44356.91935185185</v>
      </c>
      <c r="C371" s="1" t="n">
        <v>46084</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16460-2022</t>
        </is>
      </c>
      <c r="B372" s="1" t="n">
        <v>44671</v>
      </c>
      <c r="C372" s="1" t="n">
        <v>46084</v>
      </c>
      <c r="D372" t="inlineStr">
        <is>
          <t>JÄMTLANDS LÄN</t>
        </is>
      </c>
      <c r="E372" t="inlineStr">
        <is>
          <t>RAGUNDA</t>
        </is>
      </c>
      <c r="G372" t="n">
        <v>1.7</v>
      </c>
      <c r="H372" t="n">
        <v>0</v>
      </c>
      <c r="I372" t="n">
        <v>0</v>
      </c>
      <c r="J372" t="n">
        <v>0</v>
      </c>
      <c r="K372" t="n">
        <v>0</v>
      </c>
      <c r="L372" t="n">
        <v>0</v>
      </c>
      <c r="M372" t="n">
        <v>0</v>
      </c>
      <c r="N372" t="n">
        <v>0</v>
      </c>
      <c r="O372" t="n">
        <v>0</v>
      </c>
      <c r="P372" t="n">
        <v>0</v>
      </c>
      <c r="Q372" t="n">
        <v>0</v>
      </c>
      <c r="R372" s="2" t="inlineStr"/>
    </row>
    <row r="373" ht="15" customHeight="1">
      <c r="A373" t="inlineStr">
        <is>
          <t>A 36941-2022</t>
        </is>
      </c>
      <c r="B373" s="1" t="n">
        <v>44805</v>
      </c>
      <c r="C373" s="1" t="n">
        <v>46084</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20548-2021</t>
        </is>
      </c>
      <c r="B374" s="1" t="n">
        <v>44315</v>
      </c>
      <c r="C374" s="1" t="n">
        <v>46084</v>
      </c>
      <c r="D374" t="inlineStr">
        <is>
          <t>JÄMTLANDS LÄN</t>
        </is>
      </c>
      <c r="E374" t="inlineStr">
        <is>
          <t>RAGUNDA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49530-2022</t>
        </is>
      </c>
      <c r="B375" s="1" t="n">
        <v>44861</v>
      </c>
      <c r="C375" s="1" t="n">
        <v>46084</v>
      </c>
      <c r="D375" t="inlineStr">
        <is>
          <t>JÄMTLANDS LÄN</t>
        </is>
      </c>
      <c r="E375" t="inlineStr">
        <is>
          <t>RAGUNDA</t>
        </is>
      </c>
      <c r="F375" t="inlineStr">
        <is>
          <t>SCA</t>
        </is>
      </c>
      <c r="G375" t="n">
        <v>13.4</v>
      </c>
      <c r="H375" t="n">
        <v>0</v>
      </c>
      <c r="I375" t="n">
        <v>0</v>
      </c>
      <c r="J375" t="n">
        <v>0</v>
      </c>
      <c r="K375" t="n">
        <v>0</v>
      </c>
      <c r="L375" t="n">
        <v>0</v>
      </c>
      <c r="M375" t="n">
        <v>0</v>
      </c>
      <c r="N375" t="n">
        <v>0</v>
      </c>
      <c r="O375" t="n">
        <v>0</v>
      </c>
      <c r="P375" t="n">
        <v>0</v>
      </c>
      <c r="Q375" t="n">
        <v>0</v>
      </c>
      <c r="R375" s="2" t="inlineStr"/>
    </row>
    <row r="376" ht="15" customHeight="1">
      <c r="A376" t="inlineStr">
        <is>
          <t>A 44241-2021</t>
        </is>
      </c>
      <c r="B376" s="1" t="n">
        <v>44434.94517361111</v>
      </c>
      <c r="C376" s="1" t="n">
        <v>46084</v>
      </c>
      <c r="D376" t="inlineStr">
        <is>
          <t>JÄMTLANDS LÄN</t>
        </is>
      </c>
      <c r="E376" t="inlineStr">
        <is>
          <t>RAGUNDA</t>
        </is>
      </c>
      <c r="G376" t="n">
        <v>0.8</v>
      </c>
      <c r="H376" t="n">
        <v>0</v>
      </c>
      <c r="I376" t="n">
        <v>0</v>
      </c>
      <c r="J376" t="n">
        <v>0</v>
      </c>
      <c r="K376" t="n">
        <v>0</v>
      </c>
      <c r="L376" t="n">
        <v>0</v>
      </c>
      <c r="M376" t="n">
        <v>0</v>
      </c>
      <c r="N376" t="n">
        <v>0</v>
      </c>
      <c r="O376" t="n">
        <v>0</v>
      </c>
      <c r="P376" t="n">
        <v>0</v>
      </c>
      <c r="Q376" t="n">
        <v>0</v>
      </c>
      <c r="R376" s="2" t="inlineStr"/>
    </row>
    <row r="377" ht="15" customHeight="1">
      <c r="A377" t="inlineStr">
        <is>
          <t>A 24197-2024</t>
        </is>
      </c>
      <c r="B377" s="1" t="n">
        <v>45456.96601851852</v>
      </c>
      <c r="C377" s="1" t="n">
        <v>46084</v>
      </c>
      <c r="D377" t="inlineStr">
        <is>
          <t>JÄMTLANDS LÄN</t>
        </is>
      </c>
      <c r="E377" t="inlineStr">
        <is>
          <t>RAGUNDA</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39698-2022</t>
        </is>
      </c>
      <c r="B378" s="1" t="n">
        <v>44818</v>
      </c>
      <c r="C378" s="1" t="n">
        <v>46084</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21195-2022</t>
        </is>
      </c>
      <c r="B379" s="1" t="n">
        <v>44704.94229166667</v>
      </c>
      <c r="C379" s="1" t="n">
        <v>46084</v>
      </c>
      <c r="D379" t="inlineStr">
        <is>
          <t>JÄMTLANDS LÄN</t>
        </is>
      </c>
      <c r="E379" t="inlineStr">
        <is>
          <t>RAGUNDA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49531-2022</t>
        </is>
      </c>
      <c r="B380" s="1" t="n">
        <v>44861</v>
      </c>
      <c r="C380" s="1" t="n">
        <v>46084</v>
      </c>
      <c r="D380" t="inlineStr">
        <is>
          <t>JÄMTLANDS LÄN</t>
        </is>
      </c>
      <c r="E380" t="inlineStr">
        <is>
          <t>RAGUNDA</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46084</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47568-2022</t>
        </is>
      </c>
      <c r="B382" s="1" t="n">
        <v>44853.9499537037</v>
      </c>
      <c r="C382" s="1" t="n">
        <v>46084</v>
      </c>
      <c r="D382" t="inlineStr">
        <is>
          <t>JÄMTLANDS LÄN</t>
        </is>
      </c>
      <c r="E382" t="inlineStr">
        <is>
          <t>RAGUNDA</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5175-2023</t>
        </is>
      </c>
      <c r="B383" s="1" t="n">
        <v>44958.94298611111</v>
      </c>
      <c r="C383" s="1" t="n">
        <v>46084</v>
      </c>
      <c r="D383" t="inlineStr">
        <is>
          <t>JÄMTLANDS LÄN</t>
        </is>
      </c>
      <c r="E383" t="inlineStr">
        <is>
          <t>RAGUNDA</t>
        </is>
      </c>
      <c r="F383" t="inlineStr">
        <is>
          <t>SCA</t>
        </is>
      </c>
      <c r="G383" t="n">
        <v>17.9</v>
      </c>
      <c r="H383" t="n">
        <v>0</v>
      </c>
      <c r="I383" t="n">
        <v>0</v>
      </c>
      <c r="J383" t="n">
        <v>0</v>
      </c>
      <c r="K383" t="n">
        <v>0</v>
      </c>
      <c r="L383" t="n">
        <v>0</v>
      </c>
      <c r="M383" t="n">
        <v>0</v>
      </c>
      <c r="N383" t="n">
        <v>0</v>
      </c>
      <c r="O383" t="n">
        <v>0</v>
      </c>
      <c r="P383" t="n">
        <v>0</v>
      </c>
      <c r="Q383" t="n">
        <v>0</v>
      </c>
      <c r="R383" s="2" t="inlineStr"/>
    </row>
    <row r="384" ht="15" customHeight="1">
      <c r="A384" t="inlineStr">
        <is>
          <t>A 14896-2022</t>
        </is>
      </c>
      <c r="B384" s="1" t="n">
        <v>44656</v>
      </c>
      <c r="C384" s="1" t="n">
        <v>46084</v>
      </c>
      <c r="D384" t="inlineStr">
        <is>
          <t>JÄMTLANDS LÄN</t>
        </is>
      </c>
      <c r="E384" t="inlineStr">
        <is>
          <t>RAGUNDA</t>
        </is>
      </c>
      <c r="F384" t="inlineStr">
        <is>
          <t>SCA</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52334-2021</t>
        </is>
      </c>
      <c r="B385" s="1" t="n">
        <v>44463.94077546296</v>
      </c>
      <c r="C385" s="1" t="n">
        <v>46084</v>
      </c>
      <c r="D385" t="inlineStr">
        <is>
          <t>JÄMTLANDS LÄN</t>
        </is>
      </c>
      <c r="E385" t="inlineStr">
        <is>
          <t>RAGUNDA</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20574-2025</t>
        </is>
      </c>
      <c r="B386" s="1" t="n">
        <v>45775.67747685185</v>
      </c>
      <c r="C386" s="1" t="n">
        <v>46084</v>
      </c>
      <c r="D386" t="inlineStr">
        <is>
          <t>JÄMTLANDS LÄN</t>
        </is>
      </c>
      <c r="E386" t="inlineStr">
        <is>
          <t>RAGUNDA</t>
        </is>
      </c>
      <c r="F386" t="inlineStr">
        <is>
          <t>SCA</t>
        </is>
      </c>
      <c r="G386" t="n">
        <v>5.1</v>
      </c>
      <c r="H386" t="n">
        <v>0</v>
      </c>
      <c r="I386" t="n">
        <v>0</v>
      </c>
      <c r="J386" t="n">
        <v>0</v>
      </c>
      <c r="K386" t="n">
        <v>0</v>
      </c>
      <c r="L386" t="n">
        <v>0</v>
      </c>
      <c r="M386" t="n">
        <v>0</v>
      </c>
      <c r="N386" t="n">
        <v>0</v>
      </c>
      <c r="O386" t="n">
        <v>0</v>
      </c>
      <c r="P386" t="n">
        <v>0</v>
      </c>
      <c r="Q386" t="n">
        <v>0</v>
      </c>
      <c r="R386" s="2" t="inlineStr"/>
    </row>
    <row r="387" ht="15" customHeight="1">
      <c r="A387" t="inlineStr">
        <is>
          <t>A 10120-2022</t>
        </is>
      </c>
      <c r="B387" s="1" t="n">
        <v>44621</v>
      </c>
      <c r="C387" s="1" t="n">
        <v>46084</v>
      </c>
      <c r="D387" t="inlineStr">
        <is>
          <t>JÄMTLANDS LÄN</t>
        </is>
      </c>
      <c r="E387" t="inlineStr">
        <is>
          <t>RAGUNDA</t>
        </is>
      </c>
      <c r="G387" t="n">
        <v>0.4</v>
      </c>
      <c r="H387" t="n">
        <v>0</v>
      </c>
      <c r="I387" t="n">
        <v>0</v>
      </c>
      <c r="J387" t="n">
        <v>0</v>
      </c>
      <c r="K387" t="n">
        <v>0</v>
      </c>
      <c r="L387" t="n">
        <v>0</v>
      </c>
      <c r="M387" t="n">
        <v>0</v>
      </c>
      <c r="N387" t="n">
        <v>0</v>
      </c>
      <c r="O387" t="n">
        <v>0</v>
      </c>
      <c r="P387" t="n">
        <v>0</v>
      </c>
      <c r="Q387" t="n">
        <v>0</v>
      </c>
      <c r="R387" s="2" t="inlineStr"/>
    </row>
    <row r="388" ht="15" customHeight="1">
      <c r="A388" t="inlineStr">
        <is>
          <t>A 13964-2022</t>
        </is>
      </c>
      <c r="B388" s="1" t="n">
        <v>44650</v>
      </c>
      <c r="C388" s="1" t="n">
        <v>46084</v>
      </c>
      <c r="D388" t="inlineStr">
        <is>
          <t>JÄMTLANDS LÄN</t>
        </is>
      </c>
      <c r="E388" t="inlineStr">
        <is>
          <t>RAGUNDA</t>
        </is>
      </c>
      <c r="G388" t="n">
        <v>2.6</v>
      </c>
      <c r="H388" t="n">
        <v>0</v>
      </c>
      <c r="I388" t="n">
        <v>0</v>
      </c>
      <c r="J388" t="n">
        <v>0</v>
      </c>
      <c r="K388" t="n">
        <v>0</v>
      </c>
      <c r="L388" t="n">
        <v>0</v>
      </c>
      <c r="M388" t="n">
        <v>0</v>
      </c>
      <c r="N388" t="n">
        <v>0</v>
      </c>
      <c r="O388" t="n">
        <v>0</v>
      </c>
      <c r="P388" t="n">
        <v>0</v>
      </c>
      <c r="Q388" t="n">
        <v>0</v>
      </c>
      <c r="R388" s="2" t="inlineStr"/>
    </row>
    <row r="389" ht="15" customHeight="1">
      <c r="A389" t="inlineStr">
        <is>
          <t>A 15664-2022</t>
        </is>
      </c>
      <c r="B389" s="1" t="n">
        <v>44662</v>
      </c>
      <c r="C389" s="1" t="n">
        <v>46084</v>
      </c>
      <c r="D389" t="inlineStr">
        <is>
          <t>JÄMTLANDS LÄN</t>
        </is>
      </c>
      <c r="E389" t="inlineStr">
        <is>
          <t>RAGUNDA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21984-2022</t>
        </is>
      </c>
      <c r="B390" s="1" t="n">
        <v>44704</v>
      </c>
      <c r="C390" s="1" t="n">
        <v>46084</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18341-2022</t>
        </is>
      </c>
      <c r="B391" s="1" t="n">
        <v>44685</v>
      </c>
      <c r="C391" s="1" t="n">
        <v>46084</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9185-2022</t>
        </is>
      </c>
      <c r="B392" s="1" t="n">
        <v>44615</v>
      </c>
      <c r="C392" s="1" t="n">
        <v>46084</v>
      </c>
      <c r="D392" t="inlineStr">
        <is>
          <t>JÄMTLANDS LÄN</t>
        </is>
      </c>
      <c r="E392" t="inlineStr">
        <is>
          <t>RAGUNDA</t>
        </is>
      </c>
      <c r="G392" t="n">
        <v>1.1</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46084</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59996-2021</t>
        </is>
      </c>
      <c r="B394" s="1" t="n">
        <v>44494.93930555556</v>
      </c>
      <c r="C394" s="1" t="n">
        <v>46084</v>
      </c>
      <c r="D394" t="inlineStr">
        <is>
          <t>JÄMTLANDS LÄN</t>
        </is>
      </c>
      <c r="E394" t="inlineStr">
        <is>
          <t>RAGUNDA</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46084</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51245-2024</t>
        </is>
      </c>
      <c r="B396" s="1" t="n">
        <v>45603.67850694444</v>
      </c>
      <c r="C396" s="1" t="n">
        <v>46084</v>
      </c>
      <c r="D396" t="inlineStr">
        <is>
          <t>JÄMTLANDS LÄN</t>
        </is>
      </c>
      <c r="E396" t="inlineStr">
        <is>
          <t>RAGUNDA</t>
        </is>
      </c>
      <c r="G396" t="n">
        <v>0.9</v>
      </c>
      <c r="H396" t="n">
        <v>0</v>
      </c>
      <c r="I396" t="n">
        <v>0</v>
      </c>
      <c r="J396" t="n">
        <v>0</v>
      </c>
      <c r="K396" t="n">
        <v>0</v>
      </c>
      <c r="L396" t="n">
        <v>0</v>
      </c>
      <c r="M396" t="n">
        <v>0</v>
      </c>
      <c r="N396" t="n">
        <v>0</v>
      </c>
      <c r="O396" t="n">
        <v>0</v>
      </c>
      <c r="P396" t="n">
        <v>0</v>
      </c>
      <c r="Q396" t="n">
        <v>0</v>
      </c>
      <c r="R396" s="2" t="inlineStr"/>
    </row>
    <row r="397" ht="15" customHeight="1">
      <c r="A397" t="inlineStr">
        <is>
          <t>A 58537-2022</t>
        </is>
      </c>
      <c r="B397" s="1" t="n">
        <v>44894</v>
      </c>
      <c r="C397" s="1" t="n">
        <v>46084</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22655-2021</t>
        </is>
      </c>
      <c r="B398" s="1" t="n">
        <v>44322</v>
      </c>
      <c r="C398" s="1" t="n">
        <v>46084</v>
      </c>
      <c r="D398" t="inlineStr">
        <is>
          <t>JÄMTLANDS LÄN</t>
        </is>
      </c>
      <c r="E398" t="inlineStr">
        <is>
          <t>RAGUNDA</t>
        </is>
      </c>
      <c r="G398" t="n">
        <v>5.8</v>
      </c>
      <c r="H398" t="n">
        <v>0</v>
      </c>
      <c r="I398" t="n">
        <v>0</v>
      </c>
      <c r="J398" t="n">
        <v>0</v>
      </c>
      <c r="K398" t="n">
        <v>0</v>
      </c>
      <c r="L398" t="n">
        <v>0</v>
      </c>
      <c r="M398" t="n">
        <v>0</v>
      </c>
      <c r="N398" t="n">
        <v>0</v>
      </c>
      <c r="O398" t="n">
        <v>0</v>
      </c>
      <c r="P398" t="n">
        <v>0</v>
      </c>
      <c r="Q398" t="n">
        <v>0</v>
      </c>
      <c r="R398" s="2" t="inlineStr"/>
    </row>
    <row r="399" ht="15" customHeight="1">
      <c r="A399" t="inlineStr">
        <is>
          <t>A 31972-2022</t>
        </is>
      </c>
      <c r="B399" s="1" t="n">
        <v>44777.95504629629</v>
      </c>
      <c r="C399" s="1" t="n">
        <v>46084</v>
      </c>
      <c r="D399" t="inlineStr">
        <is>
          <t>JÄMTLANDS LÄN</t>
        </is>
      </c>
      <c r="E399" t="inlineStr">
        <is>
          <t>RAGUNDA</t>
        </is>
      </c>
      <c r="F399" t="inlineStr">
        <is>
          <t>Naturvårdsverket</t>
        </is>
      </c>
      <c r="G399" t="n">
        <v>0.8</v>
      </c>
      <c r="H399" t="n">
        <v>0</v>
      </c>
      <c r="I399" t="n">
        <v>0</v>
      </c>
      <c r="J399" t="n">
        <v>0</v>
      </c>
      <c r="K399" t="n">
        <v>0</v>
      </c>
      <c r="L399" t="n">
        <v>0</v>
      </c>
      <c r="M399" t="n">
        <v>0</v>
      </c>
      <c r="N399" t="n">
        <v>0</v>
      </c>
      <c r="O399" t="n">
        <v>0</v>
      </c>
      <c r="P399" t="n">
        <v>0</v>
      </c>
      <c r="Q399" t="n">
        <v>0</v>
      </c>
      <c r="R399" s="2" t="inlineStr"/>
    </row>
    <row r="400" ht="15" customHeight="1">
      <c r="A400" t="inlineStr">
        <is>
          <t>A 48086-2022</t>
        </is>
      </c>
      <c r="B400" s="1" t="n">
        <v>44855.9471875</v>
      </c>
      <c r="C400" s="1" t="n">
        <v>46084</v>
      </c>
      <c r="D400" t="inlineStr">
        <is>
          <t>JÄMTLANDS LÄN</t>
        </is>
      </c>
      <c r="E400" t="inlineStr">
        <is>
          <t>RAGUNDA</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21194-2022</t>
        </is>
      </c>
      <c r="B401" s="1" t="n">
        <v>44704.9422337963</v>
      </c>
      <c r="C401" s="1" t="n">
        <v>46084</v>
      </c>
      <c r="D401" t="inlineStr">
        <is>
          <t>JÄMTLANDS LÄN</t>
        </is>
      </c>
      <c r="E401" t="inlineStr">
        <is>
          <t>RAGUNDA</t>
        </is>
      </c>
      <c r="F401" t="inlineStr">
        <is>
          <t>SCA</t>
        </is>
      </c>
      <c r="G401" t="n">
        <v>10.6</v>
      </c>
      <c r="H401" t="n">
        <v>0</v>
      </c>
      <c r="I401" t="n">
        <v>0</v>
      </c>
      <c r="J401" t="n">
        <v>0</v>
      </c>
      <c r="K401" t="n">
        <v>0</v>
      </c>
      <c r="L401" t="n">
        <v>0</v>
      </c>
      <c r="M401" t="n">
        <v>0</v>
      </c>
      <c r="N401" t="n">
        <v>0</v>
      </c>
      <c r="O401" t="n">
        <v>0</v>
      </c>
      <c r="P401" t="n">
        <v>0</v>
      </c>
      <c r="Q401" t="n">
        <v>0</v>
      </c>
      <c r="R401" s="2" t="inlineStr"/>
    </row>
    <row r="402" ht="15" customHeight="1">
      <c r="A402" t="inlineStr">
        <is>
          <t>A 53955-2022</t>
        </is>
      </c>
      <c r="B402" s="1" t="n">
        <v>44880.95741898148</v>
      </c>
      <c r="C402" s="1" t="n">
        <v>46084</v>
      </c>
      <c r="D402" t="inlineStr">
        <is>
          <t>JÄMTLANDS LÄN</t>
        </is>
      </c>
      <c r="E402" t="inlineStr">
        <is>
          <t>RAGUNDA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60313-2021</t>
        </is>
      </c>
      <c r="B403" s="1" t="n">
        <v>44495</v>
      </c>
      <c r="C403" s="1" t="n">
        <v>46084</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40213-2021</t>
        </is>
      </c>
      <c r="B404" s="1" t="n">
        <v>44418.9369212963</v>
      </c>
      <c r="C404" s="1" t="n">
        <v>46084</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35153-2024</t>
        </is>
      </c>
      <c r="B405" s="1" t="n">
        <v>45530</v>
      </c>
      <c r="C405" s="1" t="n">
        <v>46084</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33279-2022</t>
        </is>
      </c>
      <c r="B406" s="1" t="n">
        <v>44788</v>
      </c>
      <c r="C406" s="1" t="n">
        <v>46084</v>
      </c>
      <c r="D406" t="inlineStr">
        <is>
          <t>JÄMTLANDS LÄN</t>
        </is>
      </c>
      <c r="E406" t="inlineStr">
        <is>
          <t>RAGUNDA</t>
        </is>
      </c>
      <c r="G406" t="n">
        <v>17</v>
      </c>
      <c r="H406" t="n">
        <v>0</v>
      </c>
      <c r="I406" t="n">
        <v>0</v>
      </c>
      <c r="J406" t="n">
        <v>0</v>
      </c>
      <c r="K406" t="n">
        <v>0</v>
      </c>
      <c r="L406" t="n">
        <v>0</v>
      </c>
      <c r="M406" t="n">
        <v>0</v>
      </c>
      <c r="N406" t="n">
        <v>0</v>
      </c>
      <c r="O406" t="n">
        <v>0</v>
      </c>
      <c r="P406" t="n">
        <v>0</v>
      </c>
      <c r="Q406" t="n">
        <v>0</v>
      </c>
      <c r="R406" s="2" t="inlineStr"/>
    </row>
    <row r="407" ht="15" customHeight="1">
      <c r="A407" t="inlineStr">
        <is>
          <t>A 47567-2022</t>
        </is>
      </c>
      <c r="B407" s="1" t="n">
        <v>44853</v>
      </c>
      <c r="C407" s="1" t="n">
        <v>46084</v>
      </c>
      <c r="D407" t="inlineStr">
        <is>
          <t>JÄMTLANDS LÄN</t>
        </is>
      </c>
      <c r="E407" t="inlineStr">
        <is>
          <t>RAGUNDA</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16635-2025</t>
        </is>
      </c>
      <c r="B408" s="1" t="n">
        <v>45754</v>
      </c>
      <c r="C408" s="1" t="n">
        <v>46084</v>
      </c>
      <c r="D408" t="inlineStr">
        <is>
          <t>JÄMTLANDS LÄN</t>
        </is>
      </c>
      <c r="E408" t="inlineStr">
        <is>
          <t>RAGUNDA</t>
        </is>
      </c>
      <c r="F408" t="inlineStr">
        <is>
          <t>SCA</t>
        </is>
      </c>
      <c r="G408" t="n">
        <v>55.4</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46084</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4014-2022</t>
        </is>
      </c>
      <c r="B410" s="1" t="n">
        <v>44587.92144675926</v>
      </c>
      <c r="C410" s="1" t="n">
        <v>46084</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43040-2021</t>
        </is>
      </c>
      <c r="B411" s="1" t="n">
        <v>44431</v>
      </c>
      <c r="C411" s="1" t="n">
        <v>46084</v>
      </c>
      <c r="D411" t="inlineStr">
        <is>
          <t>JÄMTLANDS LÄN</t>
        </is>
      </c>
      <c r="E411" t="inlineStr">
        <is>
          <t>RAGUNDA</t>
        </is>
      </c>
      <c r="G411" t="n">
        <v>4.9</v>
      </c>
      <c r="H411" t="n">
        <v>0</v>
      </c>
      <c r="I411" t="n">
        <v>0</v>
      </c>
      <c r="J411" t="n">
        <v>0</v>
      </c>
      <c r="K411" t="n">
        <v>0</v>
      </c>
      <c r="L411" t="n">
        <v>0</v>
      </c>
      <c r="M411" t="n">
        <v>0</v>
      </c>
      <c r="N411" t="n">
        <v>0</v>
      </c>
      <c r="O411" t="n">
        <v>0</v>
      </c>
      <c r="P411" t="n">
        <v>0</v>
      </c>
      <c r="Q411" t="n">
        <v>0</v>
      </c>
      <c r="R411" s="2" t="inlineStr"/>
    </row>
    <row r="412" ht="15" customHeight="1">
      <c r="A412" t="inlineStr">
        <is>
          <t>A 41772-2024</t>
        </is>
      </c>
      <c r="B412" s="1" t="n">
        <v>45561.34663194444</v>
      </c>
      <c r="C412" s="1" t="n">
        <v>46084</v>
      </c>
      <c r="D412" t="inlineStr">
        <is>
          <t>JÄMTLANDS LÄN</t>
        </is>
      </c>
      <c r="E412" t="inlineStr">
        <is>
          <t>RAGUNDA</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38733-2022</t>
        </is>
      </c>
      <c r="B413" s="1" t="n">
        <v>44815</v>
      </c>
      <c r="C413" s="1" t="n">
        <v>46084</v>
      </c>
      <c r="D413" t="inlineStr">
        <is>
          <t>JÄMTLANDS LÄN</t>
        </is>
      </c>
      <c r="E413" t="inlineStr">
        <is>
          <t>RAGUNDA</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1554-2024</t>
        </is>
      </c>
      <c r="B414" s="1" t="n">
        <v>45306</v>
      </c>
      <c r="C414" s="1" t="n">
        <v>46084</v>
      </c>
      <c r="D414" t="inlineStr">
        <is>
          <t>JÄMTLANDS LÄN</t>
        </is>
      </c>
      <c r="E414" t="inlineStr">
        <is>
          <t>RAGUNDA</t>
        </is>
      </c>
      <c r="G414" t="n">
        <v>4.3</v>
      </c>
      <c r="H414" t="n">
        <v>0</v>
      </c>
      <c r="I414" t="n">
        <v>0</v>
      </c>
      <c r="J414" t="n">
        <v>0</v>
      </c>
      <c r="K414" t="n">
        <v>0</v>
      </c>
      <c r="L414" t="n">
        <v>0</v>
      </c>
      <c r="M414" t="n">
        <v>0</v>
      </c>
      <c r="N414" t="n">
        <v>0</v>
      </c>
      <c r="O414" t="n">
        <v>0</v>
      </c>
      <c r="P414" t="n">
        <v>0</v>
      </c>
      <c r="Q414" t="n">
        <v>0</v>
      </c>
      <c r="R414" s="2" t="inlineStr"/>
    </row>
    <row r="415" ht="15" customHeight="1">
      <c r="A415" t="inlineStr">
        <is>
          <t>A 10972-2022</t>
        </is>
      </c>
      <c r="B415" s="1" t="n">
        <v>44628</v>
      </c>
      <c r="C415" s="1" t="n">
        <v>46084</v>
      </c>
      <c r="D415" t="inlineStr">
        <is>
          <t>JÄMTLANDS LÄN</t>
        </is>
      </c>
      <c r="E415" t="inlineStr">
        <is>
          <t>RAGUNDA</t>
        </is>
      </c>
      <c r="G415" t="n">
        <v>9.5</v>
      </c>
      <c r="H415" t="n">
        <v>0</v>
      </c>
      <c r="I415" t="n">
        <v>0</v>
      </c>
      <c r="J415" t="n">
        <v>0</v>
      </c>
      <c r="K415" t="n">
        <v>0</v>
      </c>
      <c r="L415" t="n">
        <v>0</v>
      </c>
      <c r="M415" t="n">
        <v>0</v>
      </c>
      <c r="N415" t="n">
        <v>0</v>
      </c>
      <c r="O415" t="n">
        <v>0</v>
      </c>
      <c r="P415" t="n">
        <v>0</v>
      </c>
      <c r="Q415" t="n">
        <v>0</v>
      </c>
      <c r="R415" s="2" t="inlineStr"/>
    </row>
    <row r="416" ht="15" customHeight="1">
      <c r="A416" t="inlineStr">
        <is>
          <t>A 2336-2022</t>
        </is>
      </c>
      <c r="B416" s="1" t="n">
        <v>44578.92284722222</v>
      </c>
      <c r="C416" s="1" t="n">
        <v>46084</v>
      </c>
      <c r="D416" t="inlineStr">
        <is>
          <t>JÄMTLANDS LÄN</t>
        </is>
      </c>
      <c r="E416" t="inlineStr">
        <is>
          <t>RAGUNDA</t>
        </is>
      </c>
      <c r="G416" t="n">
        <v>0.5</v>
      </c>
      <c r="H416" t="n">
        <v>0</v>
      </c>
      <c r="I416" t="n">
        <v>0</v>
      </c>
      <c r="J416" t="n">
        <v>0</v>
      </c>
      <c r="K416" t="n">
        <v>0</v>
      </c>
      <c r="L416" t="n">
        <v>0</v>
      </c>
      <c r="M416" t="n">
        <v>0</v>
      </c>
      <c r="N416" t="n">
        <v>0</v>
      </c>
      <c r="O416" t="n">
        <v>0</v>
      </c>
      <c r="P416" t="n">
        <v>0</v>
      </c>
      <c r="Q416" t="n">
        <v>0</v>
      </c>
      <c r="R416" s="2" t="inlineStr"/>
    </row>
    <row r="417" ht="15" customHeight="1">
      <c r="A417" t="inlineStr">
        <is>
          <t>A 11834-2023</t>
        </is>
      </c>
      <c r="B417" s="1" t="n">
        <v>44994.94296296296</v>
      </c>
      <c r="C417" s="1" t="n">
        <v>46084</v>
      </c>
      <c r="D417" t="inlineStr">
        <is>
          <t>JÄMTLANDS LÄN</t>
        </is>
      </c>
      <c r="E417" t="inlineStr">
        <is>
          <t>RAGUNDA</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38782-2021</t>
        </is>
      </c>
      <c r="B418" s="1" t="n">
        <v>44410</v>
      </c>
      <c r="C418" s="1" t="n">
        <v>46084</v>
      </c>
      <c r="D418" t="inlineStr">
        <is>
          <t>JÄMTLANDS LÄN</t>
        </is>
      </c>
      <c r="E418" t="inlineStr">
        <is>
          <t>RAGUNDA</t>
        </is>
      </c>
      <c r="G418" t="n">
        <v>3.2</v>
      </c>
      <c r="H418" t="n">
        <v>0</v>
      </c>
      <c r="I418" t="n">
        <v>0</v>
      </c>
      <c r="J418" t="n">
        <v>0</v>
      </c>
      <c r="K418" t="n">
        <v>0</v>
      </c>
      <c r="L418" t="n">
        <v>0</v>
      </c>
      <c r="M418" t="n">
        <v>0</v>
      </c>
      <c r="N418" t="n">
        <v>0</v>
      </c>
      <c r="O418" t="n">
        <v>0</v>
      </c>
      <c r="P418" t="n">
        <v>0</v>
      </c>
      <c r="Q418" t="n">
        <v>0</v>
      </c>
      <c r="R418" s="2" t="inlineStr"/>
    </row>
    <row r="419" ht="15" customHeight="1">
      <c r="A419" t="inlineStr">
        <is>
          <t>A 17559-2023</t>
        </is>
      </c>
      <c r="B419" s="1" t="n">
        <v>45034</v>
      </c>
      <c r="C419" s="1" t="n">
        <v>46084</v>
      </c>
      <c r="D419" t="inlineStr">
        <is>
          <t>JÄMTLANDS LÄN</t>
        </is>
      </c>
      <c r="E419" t="inlineStr">
        <is>
          <t>RAGUNDA</t>
        </is>
      </c>
      <c r="G419" t="n">
        <v>7.5</v>
      </c>
      <c r="H419" t="n">
        <v>0</v>
      </c>
      <c r="I419" t="n">
        <v>0</v>
      </c>
      <c r="J419" t="n">
        <v>0</v>
      </c>
      <c r="K419" t="n">
        <v>0</v>
      </c>
      <c r="L419" t="n">
        <v>0</v>
      </c>
      <c r="M419" t="n">
        <v>0</v>
      </c>
      <c r="N419" t="n">
        <v>0</v>
      </c>
      <c r="O419" t="n">
        <v>0</v>
      </c>
      <c r="P419" t="n">
        <v>0</v>
      </c>
      <c r="Q419" t="n">
        <v>0</v>
      </c>
      <c r="R419" s="2" t="inlineStr"/>
    </row>
    <row r="420" ht="15" customHeight="1">
      <c r="A420" t="inlineStr">
        <is>
          <t>A 38312-2024</t>
        </is>
      </c>
      <c r="B420" s="1" t="n">
        <v>45545.64957175926</v>
      </c>
      <c r="C420" s="1" t="n">
        <v>46084</v>
      </c>
      <c r="D420" t="inlineStr">
        <is>
          <t>JÄMTLANDS LÄN</t>
        </is>
      </c>
      <c r="E420" t="inlineStr">
        <is>
          <t>RAGUNDA</t>
        </is>
      </c>
      <c r="G420" t="n">
        <v>1.2</v>
      </c>
      <c r="H420" t="n">
        <v>0</v>
      </c>
      <c r="I420" t="n">
        <v>0</v>
      </c>
      <c r="J420" t="n">
        <v>0</v>
      </c>
      <c r="K420" t="n">
        <v>0</v>
      </c>
      <c r="L420" t="n">
        <v>0</v>
      </c>
      <c r="M420" t="n">
        <v>0</v>
      </c>
      <c r="N420" t="n">
        <v>0</v>
      </c>
      <c r="O420" t="n">
        <v>0</v>
      </c>
      <c r="P420" t="n">
        <v>0</v>
      </c>
      <c r="Q420" t="n">
        <v>0</v>
      </c>
      <c r="R420" s="2" t="inlineStr"/>
    </row>
    <row r="421" ht="15" customHeight="1">
      <c r="A421" t="inlineStr">
        <is>
          <t>A 20728-2025</t>
        </is>
      </c>
      <c r="B421" s="1" t="n">
        <v>45776.51130787037</v>
      </c>
      <c r="C421" s="1" t="n">
        <v>46084</v>
      </c>
      <c r="D421" t="inlineStr">
        <is>
          <t>JÄMTLANDS LÄN</t>
        </is>
      </c>
      <c r="E421" t="inlineStr">
        <is>
          <t>RAGUNDA</t>
        </is>
      </c>
      <c r="F421" t="inlineStr">
        <is>
          <t>Kommuner</t>
        </is>
      </c>
      <c r="G421" t="n">
        <v>1.1</v>
      </c>
      <c r="H421" t="n">
        <v>0</v>
      </c>
      <c r="I421" t="n">
        <v>0</v>
      </c>
      <c r="J421" t="n">
        <v>0</v>
      </c>
      <c r="K421" t="n">
        <v>0</v>
      </c>
      <c r="L421" t="n">
        <v>0</v>
      </c>
      <c r="M421" t="n">
        <v>0</v>
      </c>
      <c r="N421" t="n">
        <v>0</v>
      </c>
      <c r="O421" t="n">
        <v>0</v>
      </c>
      <c r="P421" t="n">
        <v>0</v>
      </c>
      <c r="Q421" t="n">
        <v>0</v>
      </c>
      <c r="R421" s="2" t="inlineStr"/>
    </row>
    <row r="422" ht="15" customHeight="1">
      <c r="A422" t="inlineStr">
        <is>
          <t>A 32832-2021</t>
        </is>
      </c>
      <c r="B422" s="1" t="n">
        <v>44375</v>
      </c>
      <c r="C422" s="1" t="n">
        <v>46084</v>
      </c>
      <c r="D422" t="inlineStr">
        <is>
          <t>JÄMTLANDS LÄN</t>
        </is>
      </c>
      <c r="E422" t="inlineStr">
        <is>
          <t>RAGUNDA</t>
        </is>
      </c>
      <c r="G422" t="n">
        <v>3</v>
      </c>
      <c r="H422" t="n">
        <v>0</v>
      </c>
      <c r="I422" t="n">
        <v>0</v>
      </c>
      <c r="J422" t="n">
        <v>0</v>
      </c>
      <c r="K422" t="n">
        <v>0</v>
      </c>
      <c r="L422" t="n">
        <v>0</v>
      </c>
      <c r="M422" t="n">
        <v>0</v>
      </c>
      <c r="N422" t="n">
        <v>0</v>
      </c>
      <c r="O422" t="n">
        <v>0</v>
      </c>
      <c r="P422" t="n">
        <v>0</v>
      </c>
      <c r="Q422" t="n">
        <v>0</v>
      </c>
      <c r="R422" s="2" t="inlineStr"/>
    </row>
    <row r="423" ht="15" customHeight="1">
      <c r="A423" t="inlineStr">
        <is>
          <t>A 22011-2023</t>
        </is>
      </c>
      <c r="B423" s="1" t="n">
        <v>45068</v>
      </c>
      <c r="C423" s="1" t="n">
        <v>46084</v>
      </c>
      <c r="D423" t="inlineStr">
        <is>
          <t>JÄMTLANDS LÄN</t>
        </is>
      </c>
      <c r="E423" t="inlineStr">
        <is>
          <t>RAGUNDA</t>
        </is>
      </c>
      <c r="F423" t="inlineStr">
        <is>
          <t>SCA</t>
        </is>
      </c>
      <c r="G423" t="n">
        <v>12.2</v>
      </c>
      <c r="H423" t="n">
        <v>0</v>
      </c>
      <c r="I423" t="n">
        <v>0</v>
      </c>
      <c r="J423" t="n">
        <v>0</v>
      </c>
      <c r="K423" t="n">
        <v>0</v>
      </c>
      <c r="L423" t="n">
        <v>0</v>
      </c>
      <c r="M423" t="n">
        <v>0</v>
      </c>
      <c r="N423" t="n">
        <v>0</v>
      </c>
      <c r="O423" t="n">
        <v>0</v>
      </c>
      <c r="P423" t="n">
        <v>0</v>
      </c>
      <c r="Q423" t="n">
        <v>0</v>
      </c>
      <c r="R423" s="2" t="inlineStr"/>
    </row>
    <row r="424" ht="15" customHeight="1">
      <c r="A424" t="inlineStr">
        <is>
          <t>A 24196-2024</t>
        </is>
      </c>
      <c r="B424" s="1" t="n">
        <v>45456.96569444444</v>
      </c>
      <c r="C424" s="1" t="n">
        <v>46084</v>
      </c>
      <c r="D424" t="inlineStr">
        <is>
          <t>JÄMTLANDS LÄN</t>
        </is>
      </c>
      <c r="E424" t="inlineStr">
        <is>
          <t>RAGUNDA</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20653-2025</t>
        </is>
      </c>
      <c r="B425" s="1" t="n">
        <v>45776.40311342593</v>
      </c>
      <c r="C425" s="1" t="n">
        <v>46084</v>
      </c>
      <c r="D425" t="inlineStr">
        <is>
          <t>JÄMTLANDS LÄN</t>
        </is>
      </c>
      <c r="E425" t="inlineStr">
        <is>
          <t>RAGUNDA</t>
        </is>
      </c>
      <c r="G425" t="n">
        <v>10.8</v>
      </c>
      <c r="H425" t="n">
        <v>0</v>
      </c>
      <c r="I425" t="n">
        <v>0</v>
      </c>
      <c r="J425" t="n">
        <v>0</v>
      </c>
      <c r="K425" t="n">
        <v>0</v>
      </c>
      <c r="L425" t="n">
        <v>0</v>
      </c>
      <c r="M425" t="n">
        <v>0</v>
      </c>
      <c r="N425" t="n">
        <v>0</v>
      </c>
      <c r="O425" t="n">
        <v>0</v>
      </c>
      <c r="P425" t="n">
        <v>0</v>
      </c>
      <c r="Q425" t="n">
        <v>0</v>
      </c>
      <c r="R425" s="2" t="inlineStr"/>
    </row>
    <row r="426" ht="15" customHeight="1">
      <c r="A426" t="inlineStr">
        <is>
          <t>A 14158-2024</t>
        </is>
      </c>
      <c r="B426" s="1" t="n">
        <v>45392</v>
      </c>
      <c r="C426" s="1" t="n">
        <v>46084</v>
      </c>
      <c r="D426" t="inlineStr">
        <is>
          <t>JÄMTLANDS LÄN</t>
        </is>
      </c>
      <c r="E426" t="inlineStr">
        <is>
          <t>RAGUNDA</t>
        </is>
      </c>
      <c r="G426" t="n">
        <v>0.7</v>
      </c>
      <c r="H426" t="n">
        <v>0</v>
      </c>
      <c r="I426" t="n">
        <v>0</v>
      </c>
      <c r="J426" t="n">
        <v>0</v>
      </c>
      <c r="K426" t="n">
        <v>0</v>
      </c>
      <c r="L426" t="n">
        <v>0</v>
      </c>
      <c r="M426" t="n">
        <v>0</v>
      </c>
      <c r="N426" t="n">
        <v>0</v>
      </c>
      <c r="O426" t="n">
        <v>0</v>
      </c>
      <c r="P426" t="n">
        <v>0</v>
      </c>
      <c r="Q426" t="n">
        <v>0</v>
      </c>
      <c r="R426" s="2" t="inlineStr"/>
    </row>
    <row r="427" ht="15" customHeight="1">
      <c r="A427" t="inlineStr">
        <is>
          <t>A 20722-2025</t>
        </is>
      </c>
      <c r="B427" s="1" t="n">
        <v>45776.50651620371</v>
      </c>
      <c r="C427" s="1" t="n">
        <v>46084</v>
      </c>
      <c r="D427" t="inlineStr">
        <is>
          <t>JÄMTLANDS LÄN</t>
        </is>
      </c>
      <c r="E427" t="inlineStr">
        <is>
          <t>RAGUNDA</t>
        </is>
      </c>
      <c r="F427" t="inlineStr">
        <is>
          <t>Kommuner</t>
        </is>
      </c>
      <c r="G427" t="n">
        <v>0.8</v>
      </c>
      <c r="H427" t="n">
        <v>0</v>
      </c>
      <c r="I427" t="n">
        <v>0</v>
      </c>
      <c r="J427" t="n">
        <v>0</v>
      </c>
      <c r="K427" t="n">
        <v>0</v>
      </c>
      <c r="L427" t="n">
        <v>0</v>
      </c>
      <c r="M427" t="n">
        <v>0</v>
      </c>
      <c r="N427" t="n">
        <v>0</v>
      </c>
      <c r="O427" t="n">
        <v>0</v>
      </c>
      <c r="P427" t="n">
        <v>0</v>
      </c>
      <c r="Q427" t="n">
        <v>0</v>
      </c>
      <c r="R427" s="2" t="inlineStr"/>
    </row>
    <row r="428" ht="15" customHeight="1">
      <c r="A428" t="inlineStr">
        <is>
          <t>A 20777-2025</t>
        </is>
      </c>
      <c r="B428" s="1" t="n">
        <v>45776.59422453704</v>
      </c>
      <c r="C428" s="1" t="n">
        <v>46084</v>
      </c>
      <c r="D428" t="inlineStr">
        <is>
          <t>JÄMTLANDS LÄN</t>
        </is>
      </c>
      <c r="E428" t="inlineStr">
        <is>
          <t>RAGUNDA</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11558-2023</t>
        </is>
      </c>
      <c r="B429" s="1" t="n">
        <v>44993.94958333333</v>
      </c>
      <c r="C429" s="1" t="n">
        <v>46084</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21150-2025</t>
        </is>
      </c>
      <c r="B430" s="1" t="n">
        <v>45779.34417824074</v>
      </c>
      <c r="C430" s="1" t="n">
        <v>46084</v>
      </c>
      <c r="D430" t="inlineStr">
        <is>
          <t>JÄMTLANDS LÄN</t>
        </is>
      </c>
      <c r="E430" t="inlineStr">
        <is>
          <t>RAGUNDA</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42508-2023</t>
        </is>
      </c>
      <c r="B431" s="1" t="n">
        <v>45180.95907407408</v>
      </c>
      <c r="C431" s="1" t="n">
        <v>46084</v>
      </c>
      <c r="D431" t="inlineStr">
        <is>
          <t>JÄMTLANDS LÄN</t>
        </is>
      </c>
      <c r="E431" t="inlineStr">
        <is>
          <t>RAGUNDA</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21214-2025</t>
        </is>
      </c>
      <c r="B432" s="1" t="n">
        <v>45779.49025462963</v>
      </c>
      <c r="C432" s="1" t="n">
        <v>46084</v>
      </c>
      <c r="D432" t="inlineStr">
        <is>
          <t>JÄMTLANDS LÄN</t>
        </is>
      </c>
      <c r="E432" t="inlineStr">
        <is>
          <t>RAGUNDA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22941-2024</t>
        </is>
      </c>
      <c r="B433" s="1" t="n">
        <v>45448.94520833333</v>
      </c>
      <c r="C433" s="1" t="n">
        <v>46084</v>
      </c>
      <c r="D433" t="inlineStr">
        <is>
          <t>JÄMTLANDS LÄN</t>
        </is>
      </c>
      <c r="E433" t="inlineStr">
        <is>
          <t>RAGUNDA</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35274-2023</t>
        </is>
      </c>
      <c r="B434" s="1" t="n">
        <v>45145</v>
      </c>
      <c r="C434" s="1" t="n">
        <v>46084</v>
      </c>
      <c r="D434" t="inlineStr">
        <is>
          <t>JÄMTLANDS LÄN</t>
        </is>
      </c>
      <c r="E434" t="inlineStr">
        <is>
          <t>RAGUNDA</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21430-2025</t>
        </is>
      </c>
      <c r="B435" s="1" t="n">
        <v>45782.51099537037</v>
      </c>
      <c r="C435" s="1" t="n">
        <v>46084</v>
      </c>
      <c r="D435" t="inlineStr">
        <is>
          <t>JÄMTLANDS LÄN</t>
        </is>
      </c>
      <c r="E435" t="inlineStr">
        <is>
          <t>RAGUNDA</t>
        </is>
      </c>
      <c r="F435" t="inlineStr">
        <is>
          <t>SCA</t>
        </is>
      </c>
      <c r="G435" t="n">
        <v>7.1</v>
      </c>
      <c r="H435" t="n">
        <v>0</v>
      </c>
      <c r="I435" t="n">
        <v>0</v>
      </c>
      <c r="J435" t="n">
        <v>0</v>
      </c>
      <c r="K435" t="n">
        <v>0</v>
      </c>
      <c r="L435" t="n">
        <v>0</v>
      </c>
      <c r="M435" t="n">
        <v>0</v>
      </c>
      <c r="N435" t="n">
        <v>0</v>
      </c>
      <c r="O435" t="n">
        <v>0</v>
      </c>
      <c r="P435" t="n">
        <v>0</v>
      </c>
      <c r="Q435" t="n">
        <v>0</v>
      </c>
      <c r="R435" s="2" t="inlineStr"/>
    </row>
    <row r="436" ht="15" customHeight="1">
      <c r="A436" t="inlineStr">
        <is>
          <t>A 44881-2023</t>
        </is>
      </c>
      <c r="B436" s="1" t="n">
        <v>45187</v>
      </c>
      <c r="C436" s="1" t="n">
        <v>46084</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21451-2025</t>
        </is>
      </c>
      <c r="B437" s="1" t="n">
        <v>45782.55287037037</v>
      </c>
      <c r="C437" s="1" t="n">
        <v>46084</v>
      </c>
      <c r="D437" t="inlineStr">
        <is>
          <t>JÄMTLANDS LÄN</t>
        </is>
      </c>
      <c r="E437" t="inlineStr">
        <is>
          <t>RAGUNDA</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12983-2025</t>
        </is>
      </c>
      <c r="B438" s="1" t="n">
        <v>45734.4633912037</v>
      </c>
      <c r="C438" s="1" t="n">
        <v>46084</v>
      </c>
      <c r="D438" t="inlineStr">
        <is>
          <t>JÄMTLANDS LÄN</t>
        </is>
      </c>
      <c r="E438" t="inlineStr">
        <is>
          <t>RAGUNDA</t>
        </is>
      </c>
      <c r="G438" t="n">
        <v>5.2</v>
      </c>
      <c r="H438" t="n">
        <v>0</v>
      </c>
      <c r="I438" t="n">
        <v>0</v>
      </c>
      <c r="J438" t="n">
        <v>0</v>
      </c>
      <c r="K438" t="n">
        <v>0</v>
      </c>
      <c r="L438" t="n">
        <v>0</v>
      </c>
      <c r="M438" t="n">
        <v>0</v>
      </c>
      <c r="N438" t="n">
        <v>0</v>
      </c>
      <c r="O438" t="n">
        <v>0</v>
      </c>
      <c r="P438" t="n">
        <v>0</v>
      </c>
      <c r="Q438" t="n">
        <v>0</v>
      </c>
      <c r="R438" s="2" t="inlineStr"/>
    </row>
    <row r="439" ht="15" customHeight="1">
      <c r="A439" t="inlineStr">
        <is>
          <t>A 17598-2021</t>
        </is>
      </c>
      <c r="B439" s="1" t="n">
        <v>44299</v>
      </c>
      <c r="C439" s="1" t="n">
        <v>46084</v>
      </c>
      <c r="D439" t="inlineStr">
        <is>
          <t>JÄMTLANDS LÄN</t>
        </is>
      </c>
      <c r="E439" t="inlineStr">
        <is>
          <t>RAGUNDA</t>
        </is>
      </c>
      <c r="G439" t="n">
        <v>4.6</v>
      </c>
      <c r="H439" t="n">
        <v>0</v>
      </c>
      <c r="I439" t="n">
        <v>0</v>
      </c>
      <c r="J439" t="n">
        <v>0</v>
      </c>
      <c r="K439" t="n">
        <v>0</v>
      </c>
      <c r="L439" t="n">
        <v>0</v>
      </c>
      <c r="M439" t="n">
        <v>0</v>
      </c>
      <c r="N439" t="n">
        <v>0</v>
      </c>
      <c r="O439" t="n">
        <v>0</v>
      </c>
      <c r="P439" t="n">
        <v>0</v>
      </c>
      <c r="Q439" t="n">
        <v>0</v>
      </c>
      <c r="R439" s="2" t="inlineStr"/>
    </row>
    <row r="440" ht="15" customHeight="1">
      <c r="A440" t="inlineStr">
        <is>
          <t>A 21432-2025</t>
        </is>
      </c>
      <c r="B440" s="1" t="n">
        <v>45782.51109953703</v>
      </c>
      <c r="C440" s="1" t="n">
        <v>46084</v>
      </c>
      <c r="D440" t="inlineStr">
        <is>
          <t>JÄMTLANDS LÄN</t>
        </is>
      </c>
      <c r="E440" t="inlineStr">
        <is>
          <t>RAGUNDA</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21331-2025</t>
        </is>
      </c>
      <c r="B441" s="1" t="n">
        <v>45782.36494212963</v>
      </c>
      <c r="C441" s="1" t="n">
        <v>46084</v>
      </c>
      <c r="D441" t="inlineStr">
        <is>
          <t>JÄMTLANDS LÄN</t>
        </is>
      </c>
      <c r="E441" t="inlineStr">
        <is>
          <t>RAGUNDA</t>
        </is>
      </c>
      <c r="F441" t="inlineStr">
        <is>
          <t>SCA</t>
        </is>
      </c>
      <c r="G441" t="n">
        <v>23.1</v>
      </c>
      <c r="H441" t="n">
        <v>0</v>
      </c>
      <c r="I441" t="n">
        <v>0</v>
      </c>
      <c r="J441" t="n">
        <v>0</v>
      </c>
      <c r="K441" t="n">
        <v>0</v>
      </c>
      <c r="L441" t="n">
        <v>0</v>
      </c>
      <c r="M441" t="n">
        <v>0</v>
      </c>
      <c r="N441" t="n">
        <v>0</v>
      </c>
      <c r="O441" t="n">
        <v>0</v>
      </c>
      <c r="P441" t="n">
        <v>0</v>
      </c>
      <c r="Q441" t="n">
        <v>0</v>
      </c>
      <c r="R441" s="2" t="inlineStr"/>
      <c r="U441">
        <f>HYPERLINK("https://klasma.github.io/Logging_2303/knärot/A 21331-2025 karta knärot.png", "A 21331-2025")</f>
        <v/>
      </c>
      <c r="V441">
        <f>HYPERLINK("https://klasma.github.io/Logging_2303/klagomål/A 21331-2025 FSC-klagomål.docx", "A 21331-2025")</f>
        <v/>
      </c>
      <c r="W441">
        <f>HYPERLINK("https://klasma.github.io/Logging_2303/klagomålsmail/A 21331-2025 FSC-klagomål mail.docx", "A 21331-2025")</f>
        <v/>
      </c>
      <c r="X441">
        <f>HYPERLINK("https://klasma.github.io/Logging_2303/tillsyn/A 21331-2025 tillsynsbegäran.docx", "A 21331-2025")</f>
        <v/>
      </c>
      <c r="Y441">
        <f>HYPERLINK("https://klasma.github.io/Logging_2303/tillsynsmail/A 21331-2025 tillsynsbegäran mail.docx", "A 21331-2025")</f>
        <v/>
      </c>
    </row>
    <row r="442" ht="15" customHeight="1">
      <c r="A442" t="inlineStr">
        <is>
          <t>A 3938-2024</t>
        </is>
      </c>
      <c r="B442" s="1" t="n">
        <v>45322</v>
      </c>
      <c r="C442" s="1" t="n">
        <v>46084</v>
      </c>
      <c r="D442" t="inlineStr">
        <is>
          <t>JÄMTLANDS LÄN</t>
        </is>
      </c>
      <c r="E442" t="inlineStr">
        <is>
          <t>RAGUNDA</t>
        </is>
      </c>
      <c r="G442" t="n">
        <v>3.2</v>
      </c>
      <c r="H442" t="n">
        <v>0</v>
      </c>
      <c r="I442" t="n">
        <v>0</v>
      </c>
      <c r="J442" t="n">
        <v>0</v>
      </c>
      <c r="K442" t="n">
        <v>0</v>
      </c>
      <c r="L442" t="n">
        <v>0</v>
      </c>
      <c r="M442" t="n">
        <v>0</v>
      </c>
      <c r="N442" t="n">
        <v>0</v>
      </c>
      <c r="O442" t="n">
        <v>0</v>
      </c>
      <c r="P442" t="n">
        <v>0</v>
      </c>
      <c r="Q442" t="n">
        <v>0</v>
      </c>
      <c r="R442" s="2" t="inlineStr"/>
    </row>
    <row r="443" ht="15" customHeight="1">
      <c r="A443" t="inlineStr">
        <is>
          <t>A 21550-2025</t>
        </is>
      </c>
      <c r="B443" s="1" t="n">
        <v>45782.67758101852</v>
      </c>
      <c r="C443" s="1" t="n">
        <v>46084</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44630-2023</t>
        </is>
      </c>
      <c r="B444" s="1" t="n">
        <v>45184</v>
      </c>
      <c r="C444" s="1" t="n">
        <v>46084</v>
      </c>
      <c r="D444" t="inlineStr">
        <is>
          <t>JÄMTLANDS LÄN</t>
        </is>
      </c>
      <c r="E444" t="inlineStr">
        <is>
          <t>RAGUNDA</t>
        </is>
      </c>
      <c r="G444" t="n">
        <v>3.4</v>
      </c>
      <c r="H444" t="n">
        <v>0</v>
      </c>
      <c r="I444" t="n">
        <v>0</v>
      </c>
      <c r="J444" t="n">
        <v>0</v>
      </c>
      <c r="K444" t="n">
        <v>0</v>
      </c>
      <c r="L444" t="n">
        <v>0</v>
      </c>
      <c r="M444" t="n">
        <v>0</v>
      </c>
      <c r="N444" t="n">
        <v>0</v>
      </c>
      <c r="O444" t="n">
        <v>0</v>
      </c>
      <c r="P444" t="n">
        <v>0</v>
      </c>
      <c r="Q444" t="n">
        <v>0</v>
      </c>
      <c r="R444" s="2" t="inlineStr"/>
    </row>
    <row r="445" ht="15" customHeight="1">
      <c r="A445" t="inlineStr">
        <is>
          <t>A 53144-2024</t>
        </is>
      </c>
      <c r="B445" s="1" t="n">
        <v>45611</v>
      </c>
      <c r="C445" s="1" t="n">
        <v>46084</v>
      </c>
      <c r="D445" t="inlineStr">
        <is>
          <t>JÄMTLANDS LÄN</t>
        </is>
      </c>
      <c r="E445" t="inlineStr">
        <is>
          <t>RAGUNDA</t>
        </is>
      </c>
      <c r="F445" t="inlineStr">
        <is>
          <t>SCA</t>
        </is>
      </c>
      <c r="G445" t="n">
        <v>5.4</v>
      </c>
      <c r="H445" t="n">
        <v>0</v>
      </c>
      <c r="I445" t="n">
        <v>0</v>
      </c>
      <c r="J445" t="n">
        <v>0</v>
      </c>
      <c r="K445" t="n">
        <v>0</v>
      </c>
      <c r="L445" t="n">
        <v>0</v>
      </c>
      <c r="M445" t="n">
        <v>0</v>
      </c>
      <c r="N445" t="n">
        <v>0</v>
      </c>
      <c r="O445" t="n">
        <v>0</v>
      </c>
      <c r="P445" t="n">
        <v>0</v>
      </c>
      <c r="Q445" t="n">
        <v>0</v>
      </c>
      <c r="R445" s="2" t="inlineStr"/>
    </row>
    <row r="446" ht="15" customHeight="1">
      <c r="A446" t="inlineStr">
        <is>
          <t>A 22311-2024</t>
        </is>
      </c>
      <c r="B446" s="1" t="n">
        <v>45446.57052083333</v>
      </c>
      <c r="C446" s="1" t="n">
        <v>46084</v>
      </c>
      <c r="D446" t="inlineStr">
        <is>
          <t>JÄMTLANDS LÄN</t>
        </is>
      </c>
      <c r="E446" t="inlineStr">
        <is>
          <t>RAGUNDA</t>
        </is>
      </c>
      <c r="G446" t="n">
        <v>1.3</v>
      </c>
      <c r="H446" t="n">
        <v>0</v>
      </c>
      <c r="I446" t="n">
        <v>0</v>
      </c>
      <c r="J446" t="n">
        <v>0</v>
      </c>
      <c r="K446" t="n">
        <v>0</v>
      </c>
      <c r="L446" t="n">
        <v>0</v>
      </c>
      <c r="M446" t="n">
        <v>0</v>
      </c>
      <c r="N446" t="n">
        <v>0</v>
      </c>
      <c r="O446" t="n">
        <v>0</v>
      </c>
      <c r="P446" t="n">
        <v>0</v>
      </c>
      <c r="Q446" t="n">
        <v>0</v>
      </c>
      <c r="R446" s="2" t="inlineStr"/>
    </row>
    <row r="447" ht="15" customHeight="1">
      <c r="A447" t="inlineStr">
        <is>
          <t>A 57889-2024</t>
        </is>
      </c>
      <c r="B447" s="1" t="n">
        <v>45631.46665509259</v>
      </c>
      <c r="C447" s="1" t="n">
        <v>46084</v>
      </c>
      <c r="D447" t="inlineStr">
        <is>
          <t>JÄMTLANDS LÄN</t>
        </is>
      </c>
      <c r="E447" t="inlineStr">
        <is>
          <t>RAGUNDA</t>
        </is>
      </c>
      <c r="G447" t="n">
        <v>11.1</v>
      </c>
      <c r="H447" t="n">
        <v>0</v>
      </c>
      <c r="I447" t="n">
        <v>0</v>
      </c>
      <c r="J447" t="n">
        <v>0</v>
      </c>
      <c r="K447" t="n">
        <v>0</v>
      </c>
      <c r="L447" t="n">
        <v>0</v>
      </c>
      <c r="M447" t="n">
        <v>0</v>
      </c>
      <c r="N447" t="n">
        <v>0</v>
      </c>
      <c r="O447" t="n">
        <v>0</v>
      </c>
      <c r="P447" t="n">
        <v>0</v>
      </c>
      <c r="Q447" t="n">
        <v>0</v>
      </c>
      <c r="R447" s="2" t="inlineStr"/>
    </row>
    <row r="448" ht="15" customHeight="1">
      <c r="A448" t="inlineStr">
        <is>
          <t>A 19403-2025</t>
        </is>
      </c>
      <c r="B448" s="1" t="n">
        <v>45769.67790509259</v>
      </c>
      <c r="C448" s="1" t="n">
        <v>46084</v>
      </c>
      <c r="D448" t="inlineStr">
        <is>
          <t>JÄMTLANDS LÄN</t>
        </is>
      </c>
      <c r="E448" t="inlineStr">
        <is>
          <t>RAGUNDA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14156-2024</t>
        </is>
      </c>
      <c r="B449" s="1" t="n">
        <v>45392</v>
      </c>
      <c r="C449" s="1" t="n">
        <v>46084</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14157-2024</t>
        </is>
      </c>
      <c r="B450" s="1" t="n">
        <v>45392.92903935185</v>
      </c>
      <c r="C450" s="1" t="n">
        <v>46084</v>
      </c>
      <c r="D450" t="inlineStr">
        <is>
          <t>JÄMTLANDS LÄN</t>
        </is>
      </c>
      <c r="E450" t="inlineStr">
        <is>
          <t>RAGUNDA</t>
        </is>
      </c>
      <c r="G450" t="n">
        <v>1.7</v>
      </c>
      <c r="H450" t="n">
        <v>0</v>
      </c>
      <c r="I450" t="n">
        <v>0</v>
      </c>
      <c r="J450" t="n">
        <v>0</v>
      </c>
      <c r="K450" t="n">
        <v>0</v>
      </c>
      <c r="L450" t="n">
        <v>0</v>
      </c>
      <c r="M450" t="n">
        <v>0</v>
      </c>
      <c r="N450" t="n">
        <v>0</v>
      </c>
      <c r="O450" t="n">
        <v>0</v>
      </c>
      <c r="P450" t="n">
        <v>0</v>
      </c>
      <c r="Q450" t="n">
        <v>0</v>
      </c>
      <c r="R450" s="2" t="inlineStr"/>
    </row>
    <row r="451" ht="15" customHeight="1">
      <c r="A451" t="inlineStr">
        <is>
          <t>A 60629-2023</t>
        </is>
      </c>
      <c r="B451" s="1" t="n">
        <v>45259</v>
      </c>
      <c r="C451" s="1" t="n">
        <v>46084</v>
      </c>
      <c r="D451" t="inlineStr">
        <is>
          <t>JÄMTLANDS LÄN</t>
        </is>
      </c>
      <c r="E451" t="inlineStr">
        <is>
          <t>RAGUNDA</t>
        </is>
      </c>
      <c r="G451" t="n">
        <v>3.4</v>
      </c>
      <c r="H451" t="n">
        <v>0</v>
      </c>
      <c r="I451" t="n">
        <v>0</v>
      </c>
      <c r="J451" t="n">
        <v>0</v>
      </c>
      <c r="K451" t="n">
        <v>0</v>
      </c>
      <c r="L451" t="n">
        <v>0</v>
      </c>
      <c r="M451" t="n">
        <v>0</v>
      </c>
      <c r="N451" t="n">
        <v>0</v>
      </c>
      <c r="O451" t="n">
        <v>0</v>
      </c>
      <c r="P451" t="n">
        <v>0</v>
      </c>
      <c r="Q451" t="n">
        <v>0</v>
      </c>
      <c r="R451" s="2" t="inlineStr"/>
    </row>
    <row r="452" ht="15" customHeight="1">
      <c r="A452" t="inlineStr">
        <is>
          <t>A 11147-2025</t>
        </is>
      </c>
      <c r="B452" s="1" t="n">
        <v>45723.67777777778</v>
      </c>
      <c r="C452" s="1" t="n">
        <v>46084</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9847-2025</t>
        </is>
      </c>
      <c r="B453" s="1" t="n">
        <v>45716.61487268518</v>
      </c>
      <c r="C453" s="1" t="n">
        <v>46084</v>
      </c>
      <c r="D453" t="inlineStr">
        <is>
          <t>JÄMTLANDS LÄN</t>
        </is>
      </c>
      <c r="E453" t="inlineStr">
        <is>
          <t>RAGUNDA</t>
        </is>
      </c>
      <c r="F453" t="inlineStr">
        <is>
          <t>SCA</t>
        </is>
      </c>
      <c r="G453" t="n">
        <v>3.8</v>
      </c>
      <c r="H453" t="n">
        <v>0</v>
      </c>
      <c r="I453" t="n">
        <v>0</v>
      </c>
      <c r="J453" t="n">
        <v>0</v>
      </c>
      <c r="K453" t="n">
        <v>0</v>
      </c>
      <c r="L453" t="n">
        <v>0</v>
      </c>
      <c r="M453" t="n">
        <v>0</v>
      </c>
      <c r="N453" t="n">
        <v>0</v>
      </c>
      <c r="O453" t="n">
        <v>0</v>
      </c>
      <c r="P453" t="n">
        <v>0</v>
      </c>
      <c r="Q453" t="n">
        <v>0</v>
      </c>
      <c r="R453" s="2" t="inlineStr"/>
    </row>
    <row r="454" ht="15" customHeight="1">
      <c r="A454" t="inlineStr">
        <is>
          <t>A 28173-2024</t>
        </is>
      </c>
      <c r="B454" s="1" t="n">
        <v>45476.94533564815</v>
      </c>
      <c r="C454" s="1" t="n">
        <v>46084</v>
      </c>
      <c r="D454" t="inlineStr">
        <is>
          <t>JÄMTLANDS LÄN</t>
        </is>
      </c>
      <c r="E454" t="inlineStr">
        <is>
          <t>RAGUNDA</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22388-2025</t>
        </is>
      </c>
      <c r="B455" s="1" t="n">
        <v>45786.51077546296</v>
      </c>
      <c r="C455" s="1" t="n">
        <v>46084</v>
      </c>
      <c r="D455" t="inlineStr">
        <is>
          <t>JÄMTLANDS LÄN</t>
        </is>
      </c>
      <c r="E455" t="inlineStr">
        <is>
          <t>RAGUNDA</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23734-2024</t>
        </is>
      </c>
      <c r="B456" s="1" t="n">
        <v>45454.95960648148</v>
      </c>
      <c r="C456" s="1" t="n">
        <v>46084</v>
      </c>
      <c r="D456" t="inlineStr">
        <is>
          <t>JÄMTLANDS LÄN</t>
        </is>
      </c>
      <c r="E456" t="inlineStr">
        <is>
          <t>RAGUNDA</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38425-2022</t>
        </is>
      </c>
      <c r="B457" s="1" t="n">
        <v>44812.94709490741</v>
      </c>
      <c r="C457" s="1" t="n">
        <v>46084</v>
      </c>
      <c r="D457" t="inlineStr">
        <is>
          <t>JÄMTLANDS LÄN</t>
        </is>
      </c>
      <c r="E457" t="inlineStr">
        <is>
          <t>RAGUNDA</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20088-2023</t>
        </is>
      </c>
      <c r="B458" s="1" t="n">
        <v>45054</v>
      </c>
      <c r="C458" s="1" t="n">
        <v>46084</v>
      </c>
      <c r="D458" t="inlineStr">
        <is>
          <t>JÄMTLANDS LÄN</t>
        </is>
      </c>
      <c r="E458" t="inlineStr">
        <is>
          <t>RAGUNDA</t>
        </is>
      </c>
      <c r="F458" t="inlineStr">
        <is>
          <t>SCA</t>
        </is>
      </c>
      <c r="G458" t="n">
        <v>23.4</v>
      </c>
      <c r="H458" t="n">
        <v>0</v>
      </c>
      <c r="I458" t="n">
        <v>0</v>
      </c>
      <c r="J458" t="n">
        <v>0</v>
      </c>
      <c r="K458" t="n">
        <v>0</v>
      </c>
      <c r="L458" t="n">
        <v>0</v>
      </c>
      <c r="M458" t="n">
        <v>0</v>
      </c>
      <c r="N458" t="n">
        <v>0</v>
      </c>
      <c r="O458" t="n">
        <v>0</v>
      </c>
      <c r="P458" t="n">
        <v>0</v>
      </c>
      <c r="Q458" t="n">
        <v>0</v>
      </c>
      <c r="R458" s="2" t="inlineStr"/>
    </row>
    <row r="459" ht="15" customHeight="1">
      <c r="A459" t="inlineStr">
        <is>
          <t>A 12995-2023</t>
        </is>
      </c>
      <c r="B459" s="1" t="n">
        <v>45002.0328125</v>
      </c>
      <c r="C459" s="1" t="n">
        <v>46084</v>
      </c>
      <c r="D459" t="inlineStr">
        <is>
          <t>JÄMTLANDS LÄN</t>
        </is>
      </c>
      <c r="E459" t="inlineStr">
        <is>
          <t>RAGUNDA</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44755-2024</t>
        </is>
      </c>
      <c r="B460" s="1" t="n">
        <v>45574.61184027778</v>
      </c>
      <c r="C460" s="1" t="n">
        <v>46084</v>
      </c>
      <c r="D460" t="inlineStr">
        <is>
          <t>JÄMTLANDS LÄN</t>
        </is>
      </c>
      <c r="E460" t="inlineStr">
        <is>
          <t>RAGUNDA</t>
        </is>
      </c>
      <c r="G460" t="n">
        <v>4.4</v>
      </c>
      <c r="H460" t="n">
        <v>0</v>
      </c>
      <c r="I460" t="n">
        <v>0</v>
      </c>
      <c r="J460" t="n">
        <v>0</v>
      </c>
      <c r="K460" t="n">
        <v>0</v>
      </c>
      <c r="L460" t="n">
        <v>0</v>
      </c>
      <c r="M460" t="n">
        <v>0</v>
      </c>
      <c r="N460" t="n">
        <v>0</v>
      </c>
      <c r="O460" t="n">
        <v>0</v>
      </c>
      <c r="P460" t="n">
        <v>0</v>
      </c>
      <c r="Q460" t="n">
        <v>0</v>
      </c>
      <c r="R460" s="2" t="inlineStr"/>
    </row>
    <row r="461" ht="15" customHeight="1">
      <c r="A461" t="inlineStr">
        <is>
          <t>A 44766-2024</t>
        </is>
      </c>
      <c r="B461" s="1" t="n">
        <v>45574.62297453704</v>
      </c>
      <c r="C461" s="1" t="n">
        <v>46084</v>
      </c>
      <c r="D461" t="inlineStr">
        <is>
          <t>JÄMTLANDS LÄN</t>
        </is>
      </c>
      <c r="E461" t="inlineStr">
        <is>
          <t>RAGUNDA</t>
        </is>
      </c>
      <c r="G461" t="n">
        <v>3.2</v>
      </c>
      <c r="H461" t="n">
        <v>0</v>
      </c>
      <c r="I461" t="n">
        <v>0</v>
      </c>
      <c r="J461" t="n">
        <v>0</v>
      </c>
      <c r="K461" t="n">
        <v>0</v>
      </c>
      <c r="L461" t="n">
        <v>0</v>
      </c>
      <c r="M461" t="n">
        <v>0</v>
      </c>
      <c r="N461" t="n">
        <v>0</v>
      </c>
      <c r="O461" t="n">
        <v>0</v>
      </c>
      <c r="P461" t="n">
        <v>0</v>
      </c>
      <c r="Q461" t="n">
        <v>0</v>
      </c>
      <c r="R461" s="2" t="inlineStr"/>
    </row>
    <row r="462" ht="15" customHeight="1">
      <c r="A462" t="inlineStr">
        <is>
          <t>A 16676-2022</t>
        </is>
      </c>
      <c r="B462" s="1" t="n">
        <v>44672.94018518519</v>
      </c>
      <c r="C462" s="1" t="n">
        <v>46084</v>
      </c>
      <c r="D462" t="inlineStr">
        <is>
          <t>JÄMTLANDS LÄN</t>
        </is>
      </c>
      <c r="E462" t="inlineStr">
        <is>
          <t>RAGUNDA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55536-2024</t>
        </is>
      </c>
      <c r="B463" s="1" t="n">
        <v>45622</v>
      </c>
      <c r="C463" s="1" t="n">
        <v>46084</v>
      </c>
      <c r="D463" t="inlineStr">
        <is>
          <t>JÄMTLANDS LÄN</t>
        </is>
      </c>
      <c r="E463" t="inlineStr">
        <is>
          <t>RAGUNDA</t>
        </is>
      </c>
      <c r="G463" t="n">
        <v>0.8</v>
      </c>
      <c r="H463" t="n">
        <v>0</v>
      </c>
      <c r="I463" t="n">
        <v>0</v>
      </c>
      <c r="J463" t="n">
        <v>0</v>
      </c>
      <c r="K463" t="n">
        <v>0</v>
      </c>
      <c r="L463" t="n">
        <v>0</v>
      </c>
      <c r="M463" t="n">
        <v>0</v>
      </c>
      <c r="N463" t="n">
        <v>0</v>
      </c>
      <c r="O463" t="n">
        <v>0</v>
      </c>
      <c r="P463" t="n">
        <v>0</v>
      </c>
      <c r="Q463" t="n">
        <v>0</v>
      </c>
      <c r="R463" s="2" t="inlineStr"/>
    </row>
    <row r="464" ht="15" customHeight="1">
      <c r="A464" t="inlineStr">
        <is>
          <t>A 44597-2024</t>
        </is>
      </c>
      <c r="B464" s="1" t="n">
        <v>45574.51087962963</v>
      </c>
      <c r="C464" s="1" t="n">
        <v>46084</v>
      </c>
      <c r="D464" t="inlineStr">
        <is>
          <t>JÄMTLANDS LÄN</t>
        </is>
      </c>
      <c r="E464" t="inlineStr">
        <is>
          <t>RAGUNDA</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44598-2024</t>
        </is>
      </c>
      <c r="B465" s="1" t="n">
        <v>45574.51090277778</v>
      </c>
      <c r="C465" s="1" t="n">
        <v>46084</v>
      </c>
      <c r="D465" t="inlineStr">
        <is>
          <t>JÄMTLANDS LÄN</t>
        </is>
      </c>
      <c r="E465" t="inlineStr">
        <is>
          <t>RAGUNDA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22898-2025</t>
        </is>
      </c>
      <c r="B466" s="1" t="n">
        <v>45790.40670138889</v>
      </c>
      <c r="C466" s="1" t="n">
        <v>46084</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39192-2025</t>
        </is>
      </c>
      <c r="B467" s="1" t="n">
        <v>45888.6775</v>
      </c>
      <c r="C467" s="1" t="n">
        <v>46084</v>
      </c>
      <c r="D467" t="inlineStr">
        <is>
          <t>JÄMTLANDS LÄN</t>
        </is>
      </c>
      <c r="E467" t="inlineStr">
        <is>
          <t>RAGUNDA</t>
        </is>
      </c>
      <c r="F467" t="inlineStr">
        <is>
          <t>Naturvårdsverket</t>
        </is>
      </c>
      <c r="G467" t="n">
        <v>2.3</v>
      </c>
      <c r="H467" t="n">
        <v>0</v>
      </c>
      <c r="I467" t="n">
        <v>0</v>
      </c>
      <c r="J467" t="n">
        <v>0</v>
      </c>
      <c r="K467" t="n">
        <v>0</v>
      </c>
      <c r="L467" t="n">
        <v>0</v>
      </c>
      <c r="M467" t="n">
        <v>0</v>
      </c>
      <c r="N467" t="n">
        <v>0</v>
      </c>
      <c r="O467" t="n">
        <v>0</v>
      </c>
      <c r="P467" t="n">
        <v>0</v>
      </c>
      <c r="Q467" t="n">
        <v>0</v>
      </c>
      <c r="R467" s="2" t="inlineStr"/>
    </row>
    <row r="468" ht="15" customHeight="1">
      <c r="A468" t="inlineStr">
        <is>
          <t>A 4882-2023</t>
        </is>
      </c>
      <c r="B468" s="1" t="n">
        <v>44957.94075231482</v>
      </c>
      <c r="C468" s="1" t="n">
        <v>46084</v>
      </c>
      <c r="D468" t="inlineStr">
        <is>
          <t>JÄMTLANDS LÄN</t>
        </is>
      </c>
      <c r="E468" t="inlineStr">
        <is>
          <t>RAGUNDA</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23253-2025</t>
        </is>
      </c>
      <c r="B469" s="1" t="n">
        <v>45791.53238425926</v>
      </c>
      <c r="C469" s="1" t="n">
        <v>46084</v>
      </c>
      <c r="D469" t="inlineStr">
        <is>
          <t>JÄMTLANDS LÄN</t>
        </is>
      </c>
      <c r="E469" t="inlineStr">
        <is>
          <t>RAGUNDA</t>
        </is>
      </c>
      <c r="G469" t="n">
        <v>0.7</v>
      </c>
      <c r="H469" t="n">
        <v>0</v>
      </c>
      <c r="I469" t="n">
        <v>0</v>
      </c>
      <c r="J469" t="n">
        <v>0</v>
      </c>
      <c r="K469" t="n">
        <v>0</v>
      </c>
      <c r="L469" t="n">
        <v>0</v>
      </c>
      <c r="M469" t="n">
        <v>0</v>
      </c>
      <c r="N469" t="n">
        <v>0</v>
      </c>
      <c r="O469" t="n">
        <v>0</v>
      </c>
      <c r="P469" t="n">
        <v>0</v>
      </c>
      <c r="Q469" t="n">
        <v>0</v>
      </c>
      <c r="R469" s="2" t="inlineStr"/>
    </row>
    <row r="470" ht="15" customHeight="1">
      <c r="A470" t="inlineStr">
        <is>
          <t>A 23413-2025</t>
        </is>
      </c>
      <c r="B470" s="1" t="n">
        <v>45792.34606481482</v>
      </c>
      <c r="C470" s="1" t="n">
        <v>46084</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15554-2025</t>
        </is>
      </c>
      <c r="B471" s="1" t="n">
        <v>45747.67739583334</v>
      </c>
      <c r="C471" s="1" t="n">
        <v>46084</v>
      </c>
      <c r="D471" t="inlineStr">
        <is>
          <t>JÄMTLANDS LÄN</t>
        </is>
      </c>
      <c r="E471" t="inlineStr">
        <is>
          <t>RAGUNDA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23586-2025</t>
        </is>
      </c>
      <c r="B472" s="1" t="n">
        <v>45792.63584490741</v>
      </c>
      <c r="C472" s="1" t="n">
        <v>46084</v>
      </c>
      <c r="D472" t="inlineStr">
        <is>
          <t>JÄMTLANDS LÄN</t>
        </is>
      </c>
      <c r="E472" t="inlineStr">
        <is>
          <t>RAGUNDA</t>
        </is>
      </c>
      <c r="F472" t="inlineStr">
        <is>
          <t>SCA</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39384-2025</t>
        </is>
      </c>
      <c r="B473" s="1" t="n">
        <v>45889.61517361111</v>
      </c>
      <c r="C473" s="1" t="n">
        <v>46084</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23841-2025</t>
        </is>
      </c>
      <c r="B474" s="1" t="n">
        <v>45793.61523148148</v>
      </c>
      <c r="C474" s="1" t="n">
        <v>46084</v>
      </c>
      <c r="D474" t="inlineStr">
        <is>
          <t>JÄMTLANDS LÄN</t>
        </is>
      </c>
      <c r="E474" t="inlineStr">
        <is>
          <t>RAGUNDA</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28216-2025</t>
        </is>
      </c>
      <c r="B475" s="1" t="n">
        <v>45818.46898148148</v>
      </c>
      <c r="C475" s="1" t="n">
        <v>46084</v>
      </c>
      <c r="D475" t="inlineStr">
        <is>
          <t>JÄMTLANDS LÄN</t>
        </is>
      </c>
      <c r="E475" t="inlineStr">
        <is>
          <t>RAGUNDA</t>
        </is>
      </c>
      <c r="G475" t="n">
        <v>6.6</v>
      </c>
      <c r="H475" t="n">
        <v>0</v>
      </c>
      <c r="I475" t="n">
        <v>0</v>
      </c>
      <c r="J475" t="n">
        <v>0</v>
      </c>
      <c r="K475" t="n">
        <v>0</v>
      </c>
      <c r="L475" t="n">
        <v>0</v>
      </c>
      <c r="M475" t="n">
        <v>0</v>
      </c>
      <c r="N475" t="n">
        <v>0</v>
      </c>
      <c r="O475" t="n">
        <v>0</v>
      </c>
      <c r="P475" t="n">
        <v>0</v>
      </c>
      <c r="Q475" t="n">
        <v>0</v>
      </c>
      <c r="R475" s="2" t="inlineStr"/>
    </row>
    <row r="476" ht="15" customHeight="1">
      <c r="A476" t="inlineStr">
        <is>
          <t>A 23507-2025</t>
        </is>
      </c>
      <c r="B476" s="1" t="n">
        <v>45792.49023148148</v>
      </c>
      <c r="C476" s="1" t="n">
        <v>46084</v>
      </c>
      <c r="D476" t="inlineStr">
        <is>
          <t>JÄMTLANDS LÄN</t>
        </is>
      </c>
      <c r="E476" t="inlineStr">
        <is>
          <t>RAGUNDA</t>
        </is>
      </c>
      <c r="F476" t="inlineStr">
        <is>
          <t>SCA</t>
        </is>
      </c>
      <c r="G476" t="n">
        <v>16.4</v>
      </c>
      <c r="H476" t="n">
        <v>0</v>
      </c>
      <c r="I476" t="n">
        <v>0</v>
      </c>
      <c r="J476" t="n">
        <v>0</v>
      </c>
      <c r="K476" t="n">
        <v>0</v>
      </c>
      <c r="L476" t="n">
        <v>0</v>
      </c>
      <c r="M476" t="n">
        <v>0</v>
      </c>
      <c r="N476" t="n">
        <v>0</v>
      </c>
      <c r="O476" t="n">
        <v>0</v>
      </c>
      <c r="P476" t="n">
        <v>0</v>
      </c>
      <c r="Q476" t="n">
        <v>0</v>
      </c>
      <c r="R476" s="2" t="inlineStr"/>
    </row>
    <row r="477" ht="15" customHeight="1">
      <c r="A477" t="inlineStr">
        <is>
          <t>A 18610-2024</t>
        </is>
      </c>
      <c r="B477" s="1" t="n">
        <v>45425.96230324074</v>
      </c>
      <c r="C477" s="1" t="n">
        <v>46084</v>
      </c>
      <c r="D477" t="inlineStr">
        <is>
          <t>JÄMTLANDS LÄN</t>
        </is>
      </c>
      <c r="E477" t="inlineStr">
        <is>
          <t>RAGUNDA</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23840-2025</t>
        </is>
      </c>
      <c r="B478" s="1" t="n">
        <v>45793</v>
      </c>
      <c r="C478" s="1" t="n">
        <v>46084</v>
      </c>
      <c r="D478" t="inlineStr">
        <is>
          <t>JÄMTLANDS LÄN</t>
        </is>
      </c>
      <c r="E478" t="inlineStr">
        <is>
          <t>RAGUNDA</t>
        </is>
      </c>
      <c r="G478" t="n">
        <v>0.8</v>
      </c>
      <c r="H478" t="n">
        <v>0</v>
      </c>
      <c r="I478" t="n">
        <v>0</v>
      </c>
      <c r="J478" t="n">
        <v>0</v>
      </c>
      <c r="K478" t="n">
        <v>0</v>
      </c>
      <c r="L478" t="n">
        <v>0</v>
      </c>
      <c r="M478" t="n">
        <v>0</v>
      </c>
      <c r="N478" t="n">
        <v>0</v>
      </c>
      <c r="O478" t="n">
        <v>0</v>
      </c>
      <c r="P478" t="n">
        <v>0</v>
      </c>
      <c r="Q478" t="n">
        <v>0</v>
      </c>
      <c r="R478" s="2" t="inlineStr"/>
    </row>
    <row r="479" ht="15" customHeight="1">
      <c r="A479" t="inlineStr">
        <is>
          <t>A 23654-2025</t>
        </is>
      </c>
      <c r="B479" s="1" t="n">
        <v>45792.71905092592</v>
      </c>
      <c r="C479" s="1" t="n">
        <v>46084</v>
      </c>
      <c r="D479" t="inlineStr">
        <is>
          <t>JÄMTLANDS LÄN</t>
        </is>
      </c>
      <c r="E479" t="inlineStr">
        <is>
          <t>RAGUNDA</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57116-2024</t>
        </is>
      </c>
      <c r="B480" s="1" t="n">
        <v>45629.36513888889</v>
      </c>
      <c r="C480" s="1" t="n">
        <v>46084</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65216-2023</t>
        </is>
      </c>
      <c r="B481" s="1" t="n">
        <v>45289</v>
      </c>
      <c r="C481" s="1" t="n">
        <v>46084</v>
      </c>
      <c r="D481" t="inlineStr">
        <is>
          <t>JÄMTLANDS LÄN</t>
        </is>
      </c>
      <c r="E481" t="inlineStr">
        <is>
          <t>RAGUNDA</t>
        </is>
      </c>
      <c r="G481" t="n">
        <v>2.9</v>
      </c>
      <c r="H481" t="n">
        <v>0</v>
      </c>
      <c r="I481" t="n">
        <v>0</v>
      </c>
      <c r="J481" t="n">
        <v>0</v>
      </c>
      <c r="K481" t="n">
        <v>0</v>
      </c>
      <c r="L481" t="n">
        <v>0</v>
      </c>
      <c r="M481" t="n">
        <v>0</v>
      </c>
      <c r="N481" t="n">
        <v>0</v>
      </c>
      <c r="O481" t="n">
        <v>0</v>
      </c>
      <c r="P481" t="n">
        <v>0</v>
      </c>
      <c r="Q481" t="n">
        <v>0</v>
      </c>
      <c r="R481" s="2" t="inlineStr"/>
    </row>
    <row r="482" ht="15" customHeight="1">
      <c r="A482" t="inlineStr">
        <is>
          <t>A 3104-2025</t>
        </is>
      </c>
      <c r="B482" s="1" t="n">
        <v>45678.67761574074</v>
      </c>
      <c r="C482" s="1" t="n">
        <v>46084</v>
      </c>
      <c r="D482" t="inlineStr">
        <is>
          <t>JÄMTLANDS LÄN</t>
        </is>
      </c>
      <c r="E482" t="inlineStr">
        <is>
          <t>RAGUNDA</t>
        </is>
      </c>
      <c r="F482" t="inlineStr">
        <is>
          <t>SCA</t>
        </is>
      </c>
      <c r="G482" t="n">
        <v>46.2</v>
      </c>
      <c r="H482" t="n">
        <v>0</v>
      </c>
      <c r="I482" t="n">
        <v>0</v>
      </c>
      <c r="J482" t="n">
        <v>0</v>
      </c>
      <c r="K482" t="n">
        <v>0</v>
      </c>
      <c r="L482" t="n">
        <v>0</v>
      </c>
      <c r="M482" t="n">
        <v>0</v>
      </c>
      <c r="N482" t="n">
        <v>0</v>
      </c>
      <c r="O482" t="n">
        <v>0</v>
      </c>
      <c r="P482" t="n">
        <v>0</v>
      </c>
      <c r="Q482" t="n">
        <v>0</v>
      </c>
      <c r="R482" s="2" t="inlineStr"/>
    </row>
    <row r="483" ht="15" customHeight="1">
      <c r="A483" t="inlineStr">
        <is>
          <t>A 52148-2024</t>
        </is>
      </c>
      <c r="B483" s="1" t="n">
        <v>45608.52354166667</v>
      </c>
      <c r="C483" s="1" t="n">
        <v>46084</v>
      </c>
      <c r="D483" t="inlineStr">
        <is>
          <t>JÄMTLANDS LÄN</t>
        </is>
      </c>
      <c r="E483" t="inlineStr">
        <is>
          <t>RAGUNDA</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23405-2025</t>
        </is>
      </c>
      <c r="B484" s="1" t="n">
        <v>45792.34527777778</v>
      </c>
      <c r="C484" s="1" t="n">
        <v>46084</v>
      </c>
      <c r="D484" t="inlineStr">
        <is>
          <t>JÄMTLANDS LÄN</t>
        </is>
      </c>
      <c r="E484" t="inlineStr">
        <is>
          <t>RAGUNDA</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40246-2024</t>
        </is>
      </c>
      <c r="B485" s="1" t="n">
        <v>45554.61583333334</v>
      </c>
      <c r="C485" s="1" t="n">
        <v>46084</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18284-2025</t>
        </is>
      </c>
      <c r="B486" s="1" t="n">
        <v>45762.39876157408</v>
      </c>
      <c r="C486" s="1" t="n">
        <v>46084</v>
      </c>
      <c r="D486" t="inlineStr">
        <is>
          <t>JÄMTLANDS LÄN</t>
        </is>
      </c>
      <c r="E486" t="inlineStr">
        <is>
          <t>RAGUNDA</t>
        </is>
      </c>
      <c r="G486" t="n">
        <v>0.2</v>
      </c>
      <c r="H486" t="n">
        <v>0</v>
      </c>
      <c r="I486" t="n">
        <v>0</v>
      </c>
      <c r="J486" t="n">
        <v>0</v>
      </c>
      <c r="K486" t="n">
        <v>0</v>
      </c>
      <c r="L486" t="n">
        <v>0</v>
      </c>
      <c r="M486" t="n">
        <v>0</v>
      </c>
      <c r="N486" t="n">
        <v>0</v>
      </c>
      <c r="O486" t="n">
        <v>0</v>
      </c>
      <c r="P486" t="n">
        <v>0</v>
      </c>
      <c r="Q486" t="n">
        <v>0</v>
      </c>
      <c r="R486" s="2" t="inlineStr"/>
      <c r="U486">
        <f>HYPERLINK("https://klasma.github.io/Logging_2303/knärot/A 18284-2025 karta knärot.png", "A 18284-2025")</f>
        <v/>
      </c>
      <c r="V486">
        <f>HYPERLINK("https://klasma.github.io/Logging_2303/klagomål/A 18284-2025 FSC-klagomål.docx", "A 18284-2025")</f>
        <v/>
      </c>
      <c r="W486">
        <f>HYPERLINK("https://klasma.github.io/Logging_2303/klagomålsmail/A 18284-2025 FSC-klagomål mail.docx", "A 18284-2025")</f>
        <v/>
      </c>
      <c r="X486">
        <f>HYPERLINK("https://klasma.github.io/Logging_2303/tillsyn/A 18284-2025 tillsynsbegäran.docx", "A 18284-2025")</f>
        <v/>
      </c>
      <c r="Y486">
        <f>HYPERLINK("https://klasma.github.io/Logging_2303/tillsynsmail/A 18284-2025 tillsynsbegäran mail.docx", "A 18284-2025")</f>
        <v/>
      </c>
    </row>
    <row r="487" ht="15" customHeight="1">
      <c r="A487" t="inlineStr">
        <is>
          <t>A 4878-2022</t>
        </is>
      </c>
      <c r="B487" s="1" t="n">
        <v>44593</v>
      </c>
      <c r="C487" s="1" t="n">
        <v>46084</v>
      </c>
      <c r="D487" t="inlineStr">
        <is>
          <t>JÄMTLANDS LÄN</t>
        </is>
      </c>
      <c r="E487" t="inlineStr">
        <is>
          <t>RAGUNDA</t>
        </is>
      </c>
      <c r="G487" t="n">
        <v>21.7</v>
      </c>
      <c r="H487" t="n">
        <v>0</v>
      </c>
      <c r="I487" t="n">
        <v>0</v>
      </c>
      <c r="J487" t="n">
        <v>0</v>
      </c>
      <c r="K487" t="n">
        <v>0</v>
      </c>
      <c r="L487" t="n">
        <v>0</v>
      </c>
      <c r="M487" t="n">
        <v>0</v>
      </c>
      <c r="N487" t="n">
        <v>0</v>
      </c>
      <c r="O487" t="n">
        <v>0</v>
      </c>
      <c r="P487" t="n">
        <v>0</v>
      </c>
      <c r="Q487" t="n">
        <v>0</v>
      </c>
      <c r="R487" s="2" t="inlineStr"/>
    </row>
    <row r="488" ht="15" customHeight="1">
      <c r="A488" t="inlineStr">
        <is>
          <t>A 57237-2022</t>
        </is>
      </c>
      <c r="B488" s="1" t="n">
        <v>44889</v>
      </c>
      <c r="C488" s="1" t="n">
        <v>46084</v>
      </c>
      <c r="D488" t="inlineStr">
        <is>
          <t>JÄMTLANDS LÄN</t>
        </is>
      </c>
      <c r="E488" t="inlineStr">
        <is>
          <t>RAGUNDA</t>
        </is>
      </c>
      <c r="G488" t="n">
        <v>2.2</v>
      </c>
      <c r="H488" t="n">
        <v>0</v>
      </c>
      <c r="I488" t="n">
        <v>0</v>
      </c>
      <c r="J488" t="n">
        <v>0</v>
      </c>
      <c r="K488" t="n">
        <v>0</v>
      </c>
      <c r="L488" t="n">
        <v>0</v>
      </c>
      <c r="M488" t="n">
        <v>0</v>
      </c>
      <c r="N488" t="n">
        <v>0</v>
      </c>
      <c r="O488" t="n">
        <v>0</v>
      </c>
      <c r="P488" t="n">
        <v>0</v>
      </c>
      <c r="Q488" t="n">
        <v>0</v>
      </c>
      <c r="R488" s="2" t="inlineStr"/>
    </row>
    <row r="489" ht="15" customHeight="1">
      <c r="A489" t="inlineStr">
        <is>
          <t>A 19263-2025</t>
        </is>
      </c>
      <c r="B489" s="1" t="n">
        <v>45769.51075231482</v>
      </c>
      <c r="C489" s="1" t="n">
        <v>46084</v>
      </c>
      <c r="D489" t="inlineStr">
        <is>
          <t>JÄMTLANDS LÄN</t>
        </is>
      </c>
      <c r="E489" t="inlineStr">
        <is>
          <t>RAGUNDA</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24158-2025</t>
        </is>
      </c>
      <c r="B490" s="1" t="n">
        <v>45796</v>
      </c>
      <c r="C490" s="1" t="n">
        <v>46084</v>
      </c>
      <c r="D490" t="inlineStr">
        <is>
          <t>JÄMTLANDS LÄN</t>
        </is>
      </c>
      <c r="E490" t="inlineStr">
        <is>
          <t>RAGUNDA</t>
        </is>
      </c>
      <c r="G490" t="n">
        <v>2.9</v>
      </c>
      <c r="H490" t="n">
        <v>0</v>
      </c>
      <c r="I490" t="n">
        <v>0</v>
      </c>
      <c r="J490" t="n">
        <v>0</v>
      </c>
      <c r="K490" t="n">
        <v>0</v>
      </c>
      <c r="L490" t="n">
        <v>0</v>
      </c>
      <c r="M490" t="n">
        <v>0</v>
      </c>
      <c r="N490" t="n">
        <v>0</v>
      </c>
      <c r="O490" t="n">
        <v>0</v>
      </c>
      <c r="P490" t="n">
        <v>0</v>
      </c>
      <c r="Q490" t="n">
        <v>0</v>
      </c>
      <c r="R490" s="2" t="inlineStr"/>
      <c r="U490">
        <f>HYPERLINK("https://klasma.github.io/Logging_2303/knärot/A 24158-2025 karta knärot.png", "A 24158-2025")</f>
        <v/>
      </c>
      <c r="V490">
        <f>HYPERLINK("https://klasma.github.io/Logging_2303/klagomål/A 24158-2025 FSC-klagomål.docx", "A 24158-2025")</f>
        <v/>
      </c>
      <c r="W490">
        <f>HYPERLINK("https://klasma.github.io/Logging_2303/klagomålsmail/A 24158-2025 FSC-klagomål mail.docx", "A 24158-2025")</f>
        <v/>
      </c>
      <c r="X490">
        <f>HYPERLINK("https://klasma.github.io/Logging_2303/tillsyn/A 24158-2025 tillsynsbegäran.docx", "A 24158-2025")</f>
        <v/>
      </c>
      <c r="Y490">
        <f>HYPERLINK("https://klasma.github.io/Logging_2303/tillsynsmail/A 24158-2025 tillsynsbegäran mail.docx", "A 24158-2025")</f>
        <v/>
      </c>
    </row>
    <row r="491" ht="15" customHeight="1">
      <c r="A491" t="inlineStr">
        <is>
          <t>A 24161-2025</t>
        </is>
      </c>
      <c r="B491" s="1" t="n">
        <v>45796</v>
      </c>
      <c r="C491" s="1" t="n">
        <v>46084</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2133-2023</t>
        </is>
      </c>
      <c r="B492" s="1" t="n">
        <v>44939</v>
      </c>
      <c r="C492" s="1" t="n">
        <v>46084</v>
      </c>
      <c r="D492" t="inlineStr">
        <is>
          <t>JÄMTLANDS LÄN</t>
        </is>
      </c>
      <c r="E492" t="inlineStr">
        <is>
          <t>RAGUNDA</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19419-2024</t>
        </is>
      </c>
      <c r="B493" s="1" t="n">
        <v>45429</v>
      </c>
      <c r="C493" s="1" t="n">
        <v>46084</v>
      </c>
      <c r="D493" t="inlineStr">
        <is>
          <t>JÄMTLANDS LÄN</t>
        </is>
      </c>
      <c r="E493" t="inlineStr">
        <is>
          <t>RAGUNDA</t>
        </is>
      </c>
      <c r="G493" t="n">
        <v>3.5</v>
      </c>
      <c r="H493" t="n">
        <v>0</v>
      </c>
      <c r="I493" t="n">
        <v>0</v>
      </c>
      <c r="J493" t="n">
        <v>0</v>
      </c>
      <c r="K493" t="n">
        <v>0</v>
      </c>
      <c r="L493" t="n">
        <v>0</v>
      </c>
      <c r="M493" t="n">
        <v>0</v>
      </c>
      <c r="N493" t="n">
        <v>0</v>
      </c>
      <c r="O493" t="n">
        <v>0</v>
      </c>
      <c r="P493" t="n">
        <v>0</v>
      </c>
      <c r="Q493" t="n">
        <v>0</v>
      </c>
      <c r="R493" s="2" t="inlineStr"/>
    </row>
    <row r="494" ht="15" customHeight="1">
      <c r="A494" t="inlineStr">
        <is>
          <t>A 24159-2025</t>
        </is>
      </c>
      <c r="B494" s="1" t="n">
        <v>45796</v>
      </c>
      <c r="C494" s="1" t="n">
        <v>46084</v>
      </c>
      <c r="D494" t="inlineStr">
        <is>
          <t>JÄMTLANDS LÄN</t>
        </is>
      </c>
      <c r="E494" t="inlineStr">
        <is>
          <t>RAGUNDA</t>
        </is>
      </c>
      <c r="G494" t="n">
        <v>0.8</v>
      </c>
      <c r="H494" t="n">
        <v>0</v>
      </c>
      <c r="I494" t="n">
        <v>0</v>
      </c>
      <c r="J494" t="n">
        <v>0</v>
      </c>
      <c r="K494" t="n">
        <v>0</v>
      </c>
      <c r="L494" t="n">
        <v>0</v>
      </c>
      <c r="M494" t="n">
        <v>0</v>
      </c>
      <c r="N494" t="n">
        <v>0</v>
      </c>
      <c r="O494" t="n">
        <v>0</v>
      </c>
      <c r="P494" t="n">
        <v>0</v>
      </c>
      <c r="Q494" t="n">
        <v>0</v>
      </c>
      <c r="R494" s="2" t="inlineStr"/>
    </row>
    <row r="495" ht="15" customHeight="1">
      <c r="A495" t="inlineStr">
        <is>
          <t>A 39947-2025</t>
        </is>
      </c>
      <c r="B495" s="1" t="n">
        <v>45892.34438657408</v>
      </c>
      <c r="C495" s="1" t="n">
        <v>46084</v>
      </c>
      <c r="D495" t="inlineStr">
        <is>
          <t>JÄMTLANDS LÄN</t>
        </is>
      </c>
      <c r="E495" t="inlineStr">
        <is>
          <t>RAGUNDA</t>
        </is>
      </c>
      <c r="G495" t="n">
        <v>6.6</v>
      </c>
      <c r="H495" t="n">
        <v>0</v>
      </c>
      <c r="I495" t="n">
        <v>0</v>
      </c>
      <c r="J495" t="n">
        <v>0</v>
      </c>
      <c r="K495" t="n">
        <v>0</v>
      </c>
      <c r="L495" t="n">
        <v>0</v>
      </c>
      <c r="M495" t="n">
        <v>0</v>
      </c>
      <c r="N495" t="n">
        <v>0</v>
      </c>
      <c r="O495" t="n">
        <v>0</v>
      </c>
      <c r="P495" t="n">
        <v>0</v>
      </c>
      <c r="Q495" t="n">
        <v>0</v>
      </c>
      <c r="R495" s="2" t="inlineStr"/>
    </row>
    <row r="496" ht="15" customHeight="1">
      <c r="A496" t="inlineStr">
        <is>
          <t>A 39951-2025</t>
        </is>
      </c>
      <c r="B496" s="1" t="n">
        <v>45892.38657407407</v>
      </c>
      <c r="C496" s="1" t="n">
        <v>46084</v>
      </c>
      <c r="D496" t="inlineStr">
        <is>
          <t>JÄMTLANDS LÄN</t>
        </is>
      </c>
      <c r="E496" t="inlineStr">
        <is>
          <t>RAGUNDA</t>
        </is>
      </c>
      <c r="G496" t="n">
        <v>2.3</v>
      </c>
      <c r="H496" t="n">
        <v>0</v>
      </c>
      <c r="I496" t="n">
        <v>0</v>
      </c>
      <c r="J496" t="n">
        <v>0</v>
      </c>
      <c r="K496" t="n">
        <v>0</v>
      </c>
      <c r="L496" t="n">
        <v>0</v>
      </c>
      <c r="M496" t="n">
        <v>0</v>
      </c>
      <c r="N496" t="n">
        <v>0</v>
      </c>
      <c r="O496" t="n">
        <v>0</v>
      </c>
      <c r="P496" t="n">
        <v>0</v>
      </c>
      <c r="Q496" t="n">
        <v>0</v>
      </c>
      <c r="R496" s="2" t="inlineStr"/>
    </row>
    <row r="497" ht="15" customHeight="1">
      <c r="A497" t="inlineStr">
        <is>
          <t>A 39948-2025</t>
        </is>
      </c>
      <c r="B497" s="1" t="n">
        <v>45892.38591435185</v>
      </c>
      <c r="C497" s="1" t="n">
        <v>46084</v>
      </c>
      <c r="D497" t="inlineStr">
        <is>
          <t>JÄMTLANDS LÄN</t>
        </is>
      </c>
      <c r="E497" t="inlineStr">
        <is>
          <t>RAGUNDA</t>
        </is>
      </c>
      <c r="G497" t="n">
        <v>5</v>
      </c>
      <c r="H497" t="n">
        <v>0</v>
      </c>
      <c r="I497" t="n">
        <v>0</v>
      </c>
      <c r="J497" t="n">
        <v>0</v>
      </c>
      <c r="K497" t="n">
        <v>0</v>
      </c>
      <c r="L497" t="n">
        <v>0</v>
      </c>
      <c r="M497" t="n">
        <v>0</v>
      </c>
      <c r="N497" t="n">
        <v>0</v>
      </c>
      <c r="O497" t="n">
        <v>0</v>
      </c>
      <c r="P497" t="n">
        <v>0</v>
      </c>
      <c r="Q497" t="n">
        <v>0</v>
      </c>
      <c r="R497" s="2" t="inlineStr"/>
    </row>
    <row r="498" ht="15" customHeight="1">
      <c r="A498" t="inlineStr">
        <is>
          <t>A 39946-2025</t>
        </is>
      </c>
      <c r="B498" s="1" t="n">
        <v>45892.34423611111</v>
      </c>
      <c r="C498" s="1" t="n">
        <v>46084</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39950-2025</t>
        </is>
      </c>
      <c r="B499" s="1" t="n">
        <v>45892.38641203703</v>
      </c>
      <c r="C499" s="1" t="n">
        <v>46084</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39955-2025</t>
        </is>
      </c>
      <c r="B500" s="1" t="n">
        <v>45892.44824074074</v>
      </c>
      <c r="C500" s="1" t="n">
        <v>46084</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39956-2025</t>
        </is>
      </c>
      <c r="B501" s="1" t="n">
        <v>45892.44840277778</v>
      </c>
      <c r="C501" s="1" t="n">
        <v>46084</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24391-2025</t>
        </is>
      </c>
      <c r="B502" s="1" t="n">
        <v>45797.63627314815</v>
      </c>
      <c r="C502" s="1" t="n">
        <v>46084</v>
      </c>
      <c r="D502" t="inlineStr">
        <is>
          <t>JÄMTLANDS LÄN</t>
        </is>
      </c>
      <c r="E502" t="inlineStr">
        <is>
          <t>RAGUNDA</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39949-2025</t>
        </is>
      </c>
      <c r="B503" s="1" t="n">
        <v>45892.38619212963</v>
      </c>
      <c r="C503" s="1" t="n">
        <v>46084</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19383-2025</t>
        </is>
      </c>
      <c r="B504" s="1" t="n">
        <v>45769.65688657408</v>
      </c>
      <c r="C504" s="1" t="n">
        <v>46084</v>
      </c>
      <c r="D504" t="inlineStr">
        <is>
          <t>JÄMTLANDS LÄN</t>
        </is>
      </c>
      <c r="E504" t="inlineStr">
        <is>
          <t>RAGUNDA</t>
        </is>
      </c>
      <c r="F504" t="inlineStr">
        <is>
          <t>SCA</t>
        </is>
      </c>
      <c r="G504" t="n">
        <v>6</v>
      </c>
      <c r="H504" t="n">
        <v>0</v>
      </c>
      <c r="I504" t="n">
        <v>0</v>
      </c>
      <c r="J504" t="n">
        <v>0</v>
      </c>
      <c r="K504" t="n">
        <v>0</v>
      </c>
      <c r="L504" t="n">
        <v>0</v>
      </c>
      <c r="M504" t="n">
        <v>0</v>
      </c>
      <c r="N504" t="n">
        <v>0</v>
      </c>
      <c r="O504" t="n">
        <v>0</v>
      </c>
      <c r="P504" t="n">
        <v>0</v>
      </c>
      <c r="Q504" t="n">
        <v>0</v>
      </c>
      <c r="R504" s="2" t="inlineStr"/>
    </row>
    <row r="505" ht="15" customHeight="1">
      <c r="A505" t="inlineStr">
        <is>
          <t>A 62407-2023</t>
        </is>
      </c>
      <c r="B505" s="1" t="n">
        <v>45266</v>
      </c>
      <c r="C505" s="1" t="n">
        <v>46084</v>
      </c>
      <c r="D505" t="inlineStr">
        <is>
          <t>JÄMTLANDS LÄN</t>
        </is>
      </c>
      <c r="E505" t="inlineStr">
        <is>
          <t>RAGUNDA</t>
        </is>
      </c>
      <c r="G505" t="n">
        <v>1.6</v>
      </c>
      <c r="H505" t="n">
        <v>0</v>
      </c>
      <c r="I505" t="n">
        <v>0</v>
      </c>
      <c r="J505" t="n">
        <v>0</v>
      </c>
      <c r="K505" t="n">
        <v>0</v>
      </c>
      <c r="L505" t="n">
        <v>0</v>
      </c>
      <c r="M505" t="n">
        <v>0</v>
      </c>
      <c r="N505" t="n">
        <v>0</v>
      </c>
      <c r="O505" t="n">
        <v>0</v>
      </c>
      <c r="P505" t="n">
        <v>0</v>
      </c>
      <c r="Q505" t="n">
        <v>0</v>
      </c>
      <c r="R505" s="2" t="inlineStr"/>
    </row>
    <row r="506" ht="15" customHeight="1">
      <c r="A506" t="inlineStr">
        <is>
          <t>A 49229-2024</t>
        </is>
      </c>
      <c r="B506" s="1" t="n">
        <v>45595.42738425926</v>
      </c>
      <c r="C506" s="1" t="n">
        <v>46084</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13700-2023</t>
        </is>
      </c>
      <c r="B507" s="1" t="n">
        <v>45006</v>
      </c>
      <c r="C507" s="1" t="n">
        <v>46084</v>
      </c>
      <c r="D507" t="inlineStr">
        <is>
          <t>JÄMTLANDS LÄN</t>
        </is>
      </c>
      <c r="E507" t="inlineStr">
        <is>
          <t>RAGUNDA</t>
        </is>
      </c>
      <c r="F507" t="inlineStr">
        <is>
          <t>SCA</t>
        </is>
      </c>
      <c r="G507" t="n">
        <v>50.3</v>
      </c>
      <c r="H507" t="n">
        <v>0</v>
      </c>
      <c r="I507" t="n">
        <v>0</v>
      </c>
      <c r="J507" t="n">
        <v>0</v>
      </c>
      <c r="K507" t="n">
        <v>0</v>
      </c>
      <c r="L507" t="n">
        <v>0</v>
      </c>
      <c r="M507" t="n">
        <v>0</v>
      </c>
      <c r="N507" t="n">
        <v>0</v>
      </c>
      <c r="O507" t="n">
        <v>0</v>
      </c>
      <c r="P507" t="n">
        <v>0</v>
      </c>
      <c r="Q507" t="n">
        <v>0</v>
      </c>
      <c r="R507" s="2" t="inlineStr"/>
    </row>
    <row r="508" ht="15" customHeight="1">
      <c r="A508" t="inlineStr">
        <is>
          <t>A 51389-2024</t>
        </is>
      </c>
      <c r="B508" s="1" t="n">
        <v>45604.40540509259</v>
      </c>
      <c r="C508" s="1" t="n">
        <v>46084</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51393-2024</t>
        </is>
      </c>
      <c r="B509" s="1" t="n">
        <v>45604.41625</v>
      </c>
      <c r="C509" s="1" t="n">
        <v>46084</v>
      </c>
      <c r="D509" t="inlineStr">
        <is>
          <t>JÄMTLANDS LÄN</t>
        </is>
      </c>
      <c r="E509" t="inlineStr">
        <is>
          <t>RAGUNDA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21524-2024</t>
        </is>
      </c>
      <c r="B510" s="1" t="n">
        <v>45441</v>
      </c>
      <c r="C510" s="1" t="n">
        <v>46084</v>
      </c>
      <c r="D510" t="inlineStr">
        <is>
          <t>JÄMTLANDS LÄN</t>
        </is>
      </c>
      <c r="E510" t="inlineStr">
        <is>
          <t>RAGUNDA</t>
        </is>
      </c>
      <c r="G510" t="n">
        <v>1.6</v>
      </c>
      <c r="H510" t="n">
        <v>0</v>
      </c>
      <c r="I510" t="n">
        <v>0</v>
      </c>
      <c r="J510" t="n">
        <v>0</v>
      </c>
      <c r="K510" t="n">
        <v>0</v>
      </c>
      <c r="L510" t="n">
        <v>0</v>
      </c>
      <c r="M510" t="n">
        <v>0</v>
      </c>
      <c r="N510" t="n">
        <v>0</v>
      </c>
      <c r="O510" t="n">
        <v>0</v>
      </c>
      <c r="P510" t="n">
        <v>0</v>
      </c>
      <c r="Q510" t="n">
        <v>0</v>
      </c>
      <c r="R510" s="2" t="inlineStr"/>
    </row>
    <row r="511" ht="15" customHeight="1">
      <c r="A511" t="inlineStr">
        <is>
          <t>A 40586-2025</t>
        </is>
      </c>
      <c r="B511" s="1" t="n">
        <v>45896.52478009259</v>
      </c>
      <c r="C511" s="1" t="n">
        <v>46084</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38191-2024</t>
        </is>
      </c>
      <c r="B512" s="1" t="n">
        <v>45545.49078703704</v>
      </c>
      <c r="C512" s="1" t="n">
        <v>46084</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20987-2023</t>
        </is>
      </c>
      <c r="B513" s="1" t="n">
        <v>45056</v>
      </c>
      <c r="C513" s="1" t="n">
        <v>46084</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20994-2023</t>
        </is>
      </c>
      <c r="B514" s="1" t="n">
        <v>45056</v>
      </c>
      <c r="C514" s="1" t="n">
        <v>46084</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41161-2025</t>
        </is>
      </c>
      <c r="B515" s="1" t="n">
        <v>45898.53193287037</v>
      </c>
      <c r="C515" s="1" t="n">
        <v>46084</v>
      </c>
      <c r="D515" t="inlineStr">
        <is>
          <t>JÄMTLANDS LÄN</t>
        </is>
      </c>
      <c r="E515" t="inlineStr">
        <is>
          <t>RAGUNDA</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55669-2023</t>
        </is>
      </c>
      <c r="B516" s="1" t="n">
        <v>45238.96797453704</v>
      </c>
      <c r="C516" s="1" t="n">
        <v>46084</v>
      </c>
      <c r="D516" t="inlineStr">
        <is>
          <t>JÄMTLANDS LÄN</t>
        </is>
      </c>
      <c r="E516" t="inlineStr">
        <is>
          <t>RAGUNDA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41233-2025</t>
        </is>
      </c>
      <c r="B517" s="1" t="n">
        <v>45898.59295138889</v>
      </c>
      <c r="C517" s="1" t="n">
        <v>46084</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25631-2025</t>
        </is>
      </c>
      <c r="B518" s="1" t="n">
        <v>45803.5946875</v>
      </c>
      <c r="C518" s="1" t="n">
        <v>46084</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32063-2024</t>
        </is>
      </c>
      <c r="B519" s="1" t="n">
        <v>45510</v>
      </c>
      <c r="C519" s="1" t="n">
        <v>46084</v>
      </c>
      <c r="D519" t="inlineStr">
        <is>
          <t>JÄMTLANDS LÄN</t>
        </is>
      </c>
      <c r="E519" t="inlineStr">
        <is>
          <t>RAGUNDA</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10641-2024</t>
        </is>
      </c>
      <c r="B520" s="1" t="n">
        <v>45367.69850694444</v>
      </c>
      <c r="C520" s="1" t="n">
        <v>46084</v>
      </c>
      <c r="D520" t="inlineStr">
        <is>
          <t>JÄMTLANDS LÄN</t>
        </is>
      </c>
      <c r="E520" t="inlineStr">
        <is>
          <t>RAGUNDA</t>
        </is>
      </c>
      <c r="G520" t="n">
        <v>0.9</v>
      </c>
      <c r="H520" t="n">
        <v>0</v>
      </c>
      <c r="I520" t="n">
        <v>0</v>
      </c>
      <c r="J520" t="n">
        <v>0</v>
      </c>
      <c r="K520" t="n">
        <v>0</v>
      </c>
      <c r="L520" t="n">
        <v>0</v>
      </c>
      <c r="M520" t="n">
        <v>0</v>
      </c>
      <c r="N520" t="n">
        <v>0</v>
      </c>
      <c r="O520" t="n">
        <v>0</v>
      </c>
      <c r="P520" t="n">
        <v>0</v>
      </c>
      <c r="Q520" t="n">
        <v>0</v>
      </c>
      <c r="R520" s="2" t="inlineStr"/>
    </row>
    <row r="521" ht="15" customHeight="1">
      <c r="A521" t="inlineStr">
        <is>
          <t>A 10644-2024</t>
        </is>
      </c>
      <c r="B521" s="1" t="n">
        <v>45367.71348379629</v>
      </c>
      <c r="C521" s="1" t="n">
        <v>46084</v>
      </c>
      <c r="D521" t="inlineStr">
        <is>
          <t>JÄMTLANDS LÄN</t>
        </is>
      </c>
      <c r="E521" t="inlineStr">
        <is>
          <t>RAGUNDA</t>
        </is>
      </c>
      <c r="G521" t="n">
        <v>2</v>
      </c>
      <c r="H521" t="n">
        <v>0</v>
      </c>
      <c r="I521" t="n">
        <v>0</v>
      </c>
      <c r="J521" t="n">
        <v>0</v>
      </c>
      <c r="K521" t="n">
        <v>0</v>
      </c>
      <c r="L521" t="n">
        <v>0</v>
      </c>
      <c r="M521" t="n">
        <v>0</v>
      </c>
      <c r="N521" t="n">
        <v>0</v>
      </c>
      <c r="O521" t="n">
        <v>0</v>
      </c>
      <c r="P521" t="n">
        <v>0</v>
      </c>
      <c r="Q521" t="n">
        <v>0</v>
      </c>
      <c r="R521" s="2" t="inlineStr"/>
    </row>
    <row r="522" ht="15" customHeight="1">
      <c r="A522" t="inlineStr">
        <is>
          <t>A 20426-2024</t>
        </is>
      </c>
      <c r="B522" s="1" t="n">
        <v>45435</v>
      </c>
      <c r="C522" s="1" t="n">
        <v>46084</v>
      </c>
      <c r="D522" t="inlineStr">
        <is>
          <t>JÄMTLANDS LÄN</t>
        </is>
      </c>
      <c r="E522" t="inlineStr">
        <is>
          <t>RAGUNDA</t>
        </is>
      </c>
      <c r="G522" t="n">
        <v>2.1</v>
      </c>
      <c r="H522" t="n">
        <v>0</v>
      </c>
      <c r="I522" t="n">
        <v>0</v>
      </c>
      <c r="J522" t="n">
        <v>0</v>
      </c>
      <c r="K522" t="n">
        <v>0</v>
      </c>
      <c r="L522" t="n">
        <v>0</v>
      </c>
      <c r="M522" t="n">
        <v>0</v>
      </c>
      <c r="N522" t="n">
        <v>0</v>
      </c>
      <c r="O522" t="n">
        <v>0</v>
      </c>
      <c r="P522" t="n">
        <v>0</v>
      </c>
      <c r="Q522" t="n">
        <v>0</v>
      </c>
      <c r="R522" s="2" t="inlineStr"/>
    </row>
    <row r="523" ht="15" customHeight="1">
      <c r="A523" t="inlineStr">
        <is>
          <t>A 41262-2025</t>
        </is>
      </c>
      <c r="B523" s="1" t="n">
        <v>45898.61502314815</v>
      </c>
      <c r="C523" s="1" t="n">
        <v>46084</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25376-2025</t>
        </is>
      </c>
      <c r="B524" s="1" t="n">
        <v>45800.63619212963</v>
      </c>
      <c r="C524" s="1" t="n">
        <v>46084</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17742-2022</t>
        </is>
      </c>
      <c r="B525" s="1" t="n">
        <v>44680.95246527778</v>
      </c>
      <c r="C525" s="1" t="n">
        <v>46084</v>
      </c>
      <c r="D525" t="inlineStr">
        <is>
          <t>JÄMTLANDS LÄN</t>
        </is>
      </c>
      <c r="E525" t="inlineStr">
        <is>
          <t>RAGUNDA</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41423-2025</t>
        </is>
      </c>
      <c r="B526" s="1" t="n">
        <v>45901.38578703703</v>
      </c>
      <c r="C526" s="1" t="n">
        <v>46084</v>
      </c>
      <c r="D526" t="inlineStr">
        <is>
          <t>JÄMTLANDS LÄN</t>
        </is>
      </c>
      <c r="E526" t="inlineStr">
        <is>
          <t>RAGUNDA</t>
        </is>
      </c>
      <c r="G526" t="n">
        <v>0.7</v>
      </c>
      <c r="H526" t="n">
        <v>0</v>
      </c>
      <c r="I526" t="n">
        <v>0</v>
      </c>
      <c r="J526" t="n">
        <v>0</v>
      </c>
      <c r="K526" t="n">
        <v>0</v>
      </c>
      <c r="L526" t="n">
        <v>0</v>
      </c>
      <c r="M526" t="n">
        <v>0</v>
      </c>
      <c r="N526" t="n">
        <v>0</v>
      </c>
      <c r="O526" t="n">
        <v>0</v>
      </c>
      <c r="P526" t="n">
        <v>0</v>
      </c>
      <c r="Q526" t="n">
        <v>0</v>
      </c>
      <c r="R526" s="2" t="inlineStr"/>
    </row>
    <row r="527" ht="15" customHeight="1">
      <c r="A527" t="inlineStr">
        <is>
          <t>A 25175-2025</t>
        </is>
      </c>
      <c r="B527" s="1" t="n">
        <v>45800.44822916666</v>
      </c>
      <c r="C527" s="1" t="n">
        <v>46084</v>
      </c>
      <c r="D527" t="inlineStr">
        <is>
          <t>JÄMTLANDS LÄN</t>
        </is>
      </c>
      <c r="E527" t="inlineStr">
        <is>
          <t>RAGUNDA</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25177-2025</t>
        </is>
      </c>
      <c r="B528" s="1" t="n">
        <v>45800.44862268519</v>
      </c>
      <c r="C528" s="1" t="n">
        <v>46084</v>
      </c>
      <c r="D528" t="inlineStr">
        <is>
          <t>JÄMTLANDS LÄN</t>
        </is>
      </c>
      <c r="E528" t="inlineStr">
        <is>
          <t>RAGUNDA</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25659-2025</t>
        </is>
      </c>
      <c r="B529" s="1" t="n">
        <v>45803.61552083334</v>
      </c>
      <c r="C529" s="1" t="n">
        <v>46084</v>
      </c>
      <c r="D529" t="inlineStr">
        <is>
          <t>JÄMTLANDS LÄN</t>
        </is>
      </c>
      <c r="E529" t="inlineStr">
        <is>
          <t>RAGUNDA</t>
        </is>
      </c>
      <c r="G529" t="n">
        <v>1.5</v>
      </c>
      <c r="H529" t="n">
        <v>0</v>
      </c>
      <c r="I529" t="n">
        <v>0</v>
      </c>
      <c r="J529" t="n">
        <v>0</v>
      </c>
      <c r="K529" t="n">
        <v>0</v>
      </c>
      <c r="L529" t="n">
        <v>0</v>
      </c>
      <c r="M529" t="n">
        <v>0</v>
      </c>
      <c r="N529" t="n">
        <v>0</v>
      </c>
      <c r="O529" t="n">
        <v>0</v>
      </c>
      <c r="P529" t="n">
        <v>0</v>
      </c>
      <c r="Q529" t="n">
        <v>0</v>
      </c>
      <c r="R529" s="2" t="inlineStr"/>
    </row>
    <row r="530" ht="15" customHeight="1">
      <c r="A530" t="inlineStr">
        <is>
          <t>A 25661-2025</t>
        </is>
      </c>
      <c r="B530" s="1" t="n">
        <v>45803.61557870371</v>
      </c>
      <c r="C530" s="1" t="n">
        <v>46084</v>
      </c>
      <c r="D530" t="inlineStr">
        <is>
          <t>JÄMTLANDS LÄN</t>
        </is>
      </c>
      <c r="E530" t="inlineStr">
        <is>
          <t>RAGUNDA</t>
        </is>
      </c>
      <c r="G530" t="n">
        <v>1.4</v>
      </c>
      <c r="H530" t="n">
        <v>0</v>
      </c>
      <c r="I530" t="n">
        <v>0</v>
      </c>
      <c r="J530" t="n">
        <v>0</v>
      </c>
      <c r="K530" t="n">
        <v>0</v>
      </c>
      <c r="L530" t="n">
        <v>0</v>
      </c>
      <c r="M530" t="n">
        <v>0</v>
      </c>
      <c r="N530" t="n">
        <v>0</v>
      </c>
      <c r="O530" t="n">
        <v>0</v>
      </c>
      <c r="P530" t="n">
        <v>0</v>
      </c>
      <c r="Q530" t="n">
        <v>0</v>
      </c>
      <c r="R530" s="2" t="inlineStr"/>
    </row>
    <row r="531" ht="15" customHeight="1">
      <c r="A531" t="inlineStr">
        <is>
          <t>A 30825-2023</t>
        </is>
      </c>
      <c r="B531" s="1" t="n">
        <v>45112.94310185185</v>
      </c>
      <c r="C531" s="1" t="n">
        <v>46084</v>
      </c>
      <c r="D531" t="inlineStr">
        <is>
          <t>JÄMTLANDS LÄN</t>
        </is>
      </c>
      <c r="E531" t="inlineStr">
        <is>
          <t>RAGUNDA</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41424-2025</t>
        </is>
      </c>
      <c r="B532" s="1" t="n">
        <v>45901.38584490741</v>
      </c>
      <c r="C532" s="1" t="n">
        <v>46084</v>
      </c>
      <c r="D532" t="inlineStr">
        <is>
          <t>JÄMTLANDS LÄN</t>
        </is>
      </c>
      <c r="E532" t="inlineStr">
        <is>
          <t>RAGUNDA</t>
        </is>
      </c>
      <c r="G532" t="n">
        <v>3</v>
      </c>
      <c r="H532" t="n">
        <v>0</v>
      </c>
      <c r="I532" t="n">
        <v>0</v>
      </c>
      <c r="J532" t="n">
        <v>0</v>
      </c>
      <c r="K532" t="n">
        <v>0</v>
      </c>
      <c r="L532" t="n">
        <v>0</v>
      </c>
      <c r="M532" t="n">
        <v>0</v>
      </c>
      <c r="N532" t="n">
        <v>0</v>
      </c>
      <c r="O532" t="n">
        <v>0</v>
      </c>
      <c r="P532" t="n">
        <v>0</v>
      </c>
      <c r="Q532" t="n">
        <v>0</v>
      </c>
      <c r="R532" s="2" t="inlineStr"/>
    </row>
    <row r="533" ht="15" customHeight="1">
      <c r="A533" t="inlineStr">
        <is>
          <t>A 25350-2025</t>
        </is>
      </c>
      <c r="B533" s="1" t="n">
        <v>45800</v>
      </c>
      <c r="C533" s="1" t="n">
        <v>46084</v>
      </c>
      <c r="D533" t="inlineStr">
        <is>
          <t>JÄMTLANDS LÄN</t>
        </is>
      </c>
      <c r="E533" t="inlineStr">
        <is>
          <t>RAGUNDA</t>
        </is>
      </c>
      <c r="G533" t="n">
        <v>2.4</v>
      </c>
      <c r="H533" t="n">
        <v>0</v>
      </c>
      <c r="I533" t="n">
        <v>0</v>
      </c>
      <c r="J533" t="n">
        <v>0</v>
      </c>
      <c r="K533" t="n">
        <v>0</v>
      </c>
      <c r="L533" t="n">
        <v>0</v>
      </c>
      <c r="M533" t="n">
        <v>0</v>
      </c>
      <c r="N533" t="n">
        <v>0</v>
      </c>
      <c r="O533" t="n">
        <v>0</v>
      </c>
      <c r="P533" t="n">
        <v>0</v>
      </c>
      <c r="Q533" t="n">
        <v>0</v>
      </c>
      <c r="R533" s="2" t="inlineStr"/>
    </row>
    <row r="534" ht="15" customHeight="1">
      <c r="A534" t="inlineStr">
        <is>
          <t>A 25152-2025</t>
        </is>
      </c>
      <c r="B534" s="1" t="n">
        <v>45800.42743055556</v>
      </c>
      <c r="C534" s="1" t="n">
        <v>46084</v>
      </c>
      <c r="D534" t="inlineStr">
        <is>
          <t>JÄMTLANDS LÄN</t>
        </is>
      </c>
      <c r="E534" t="inlineStr">
        <is>
          <t>RAGUNDA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41140-2025</t>
        </is>
      </c>
      <c r="B535" s="1" t="n">
        <v>45898.49012731481</v>
      </c>
      <c r="C535" s="1" t="n">
        <v>46084</v>
      </c>
      <c r="D535" t="inlineStr">
        <is>
          <t>JÄMTLANDS LÄN</t>
        </is>
      </c>
      <c r="E535" t="inlineStr">
        <is>
          <t>RAGUNDA</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41422-2025</t>
        </is>
      </c>
      <c r="B536" s="1" t="n">
        <v>45901.38572916666</v>
      </c>
      <c r="C536" s="1" t="n">
        <v>46084</v>
      </c>
      <c r="D536" t="inlineStr">
        <is>
          <t>JÄMTLANDS LÄN</t>
        </is>
      </c>
      <c r="E536" t="inlineStr">
        <is>
          <t>RAGUNDA</t>
        </is>
      </c>
      <c r="G536" t="n">
        <v>4.3</v>
      </c>
      <c r="H536" t="n">
        <v>0</v>
      </c>
      <c r="I536" t="n">
        <v>0</v>
      </c>
      <c r="J536" t="n">
        <v>0</v>
      </c>
      <c r="K536" t="n">
        <v>0</v>
      </c>
      <c r="L536" t="n">
        <v>0</v>
      </c>
      <c r="M536" t="n">
        <v>0</v>
      </c>
      <c r="N536" t="n">
        <v>0</v>
      </c>
      <c r="O536" t="n">
        <v>0</v>
      </c>
      <c r="P536" t="n">
        <v>0</v>
      </c>
      <c r="Q536" t="n">
        <v>0</v>
      </c>
      <c r="R536" s="2" t="inlineStr"/>
    </row>
    <row r="537" ht="15" customHeight="1">
      <c r="A537" t="inlineStr">
        <is>
          <t>A 19613-2023</t>
        </is>
      </c>
      <c r="B537" s="1" t="n">
        <v>45050.94020833333</v>
      </c>
      <c r="C537" s="1" t="n">
        <v>46084</v>
      </c>
      <c r="D537" t="inlineStr">
        <is>
          <t>JÄMTLANDS LÄN</t>
        </is>
      </c>
      <c r="E537" t="inlineStr">
        <is>
          <t>RAGUNDA</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41876-2025</t>
        </is>
      </c>
      <c r="B538" s="1" t="n">
        <v>45903.34555555556</v>
      </c>
      <c r="C538" s="1" t="n">
        <v>46084</v>
      </c>
      <c r="D538" t="inlineStr">
        <is>
          <t>JÄMTLANDS LÄN</t>
        </is>
      </c>
      <c r="E538" t="inlineStr">
        <is>
          <t>RAGUNDA</t>
        </is>
      </c>
      <c r="G538" t="n">
        <v>2</v>
      </c>
      <c r="H538" t="n">
        <v>0</v>
      </c>
      <c r="I538" t="n">
        <v>0</v>
      </c>
      <c r="J538" t="n">
        <v>0</v>
      </c>
      <c r="K538" t="n">
        <v>0</v>
      </c>
      <c r="L538" t="n">
        <v>0</v>
      </c>
      <c r="M538" t="n">
        <v>0</v>
      </c>
      <c r="N538" t="n">
        <v>0</v>
      </c>
      <c r="O538" t="n">
        <v>0</v>
      </c>
      <c r="P538" t="n">
        <v>0</v>
      </c>
      <c r="Q538" t="n">
        <v>0</v>
      </c>
      <c r="R538" s="2" t="inlineStr"/>
    </row>
    <row r="539" ht="15" customHeight="1">
      <c r="A539" t="inlineStr">
        <is>
          <t>A 25814-2025</t>
        </is>
      </c>
      <c r="B539" s="1" t="n">
        <v>45804.42642361111</v>
      </c>
      <c r="C539" s="1" t="n">
        <v>46084</v>
      </c>
      <c r="D539" t="inlineStr">
        <is>
          <t>JÄMTLANDS LÄN</t>
        </is>
      </c>
      <c r="E539" t="inlineStr">
        <is>
          <t>RAGUNDA</t>
        </is>
      </c>
      <c r="G539" t="n">
        <v>0.8</v>
      </c>
      <c r="H539" t="n">
        <v>0</v>
      </c>
      <c r="I539" t="n">
        <v>0</v>
      </c>
      <c r="J539" t="n">
        <v>0</v>
      </c>
      <c r="K539" t="n">
        <v>0</v>
      </c>
      <c r="L539" t="n">
        <v>0</v>
      </c>
      <c r="M539" t="n">
        <v>0</v>
      </c>
      <c r="N539" t="n">
        <v>0</v>
      </c>
      <c r="O539" t="n">
        <v>0</v>
      </c>
      <c r="P539" t="n">
        <v>0</v>
      </c>
      <c r="Q539" t="n">
        <v>0</v>
      </c>
      <c r="R539" s="2" t="inlineStr"/>
    </row>
    <row r="540" ht="15" customHeight="1">
      <c r="A540" t="inlineStr">
        <is>
          <t>A 25944-2025</t>
        </is>
      </c>
      <c r="B540" s="1" t="n">
        <v>45804.59487268519</v>
      </c>
      <c r="C540" s="1" t="n">
        <v>46084</v>
      </c>
      <c r="D540" t="inlineStr">
        <is>
          <t>JÄMTLANDS LÄN</t>
        </is>
      </c>
      <c r="E540" t="inlineStr">
        <is>
          <t>RAGUNDA</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26283-2025</t>
        </is>
      </c>
      <c r="B541" s="1" t="n">
        <v>45805.61495370371</v>
      </c>
      <c r="C541" s="1" t="n">
        <v>46084</v>
      </c>
      <c r="D541" t="inlineStr">
        <is>
          <t>JÄMTLANDS LÄN</t>
        </is>
      </c>
      <c r="E541" t="inlineStr">
        <is>
          <t>RAGUNDA</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9084-2023</t>
        </is>
      </c>
      <c r="B542" s="1" t="n">
        <v>44979</v>
      </c>
      <c r="C542" s="1" t="n">
        <v>46084</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10788-2025</t>
        </is>
      </c>
      <c r="B543" s="1" t="n">
        <v>45722.48982638889</v>
      </c>
      <c r="C543" s="1" t="n">
        <v>46084</v>
      </c>
      <c r="D543" t="inlineStr">
        <is>
          <t>JÄMTLANDS LÄN</t>
        </is>
      </c>
      <c r="E543" t="inlineStr">
        <is>
          <t>RAGUNDA</t>
        </is>
      </c>
      <c r="G543" t="n">
        <v>3.5</v>
      </c>
      <c r="H543" t="n">
        <v>0</v>
      </c>
      <c r="I543" t="n">
        <v>0</v>
      </c>
      <c r="J543" t="n">
        <v>0</v>
      </c>
      <c r="K543" t="n">
        <v>0</v>
      </c>
      <c r="L543" t="n">
        <v>0</v>
      </c>
      <c r="M543" t="n">
        <v>0</v>
      </c>
      <c r="N543" t="n">
        <v>0</v>
      </c>
      <c r="O543" t="n">
        <v>0</v>
      </c>
      <c r="P543" t="n">
        <v>0</v>
      </c>
      <c r="Q543" t="n">
        <v>0</v>
      </c>
      <c r="R543" s="2" t="inlineStr"/>
    </row>
    <row r="544" ht="15" customHeight="1">
      <c r="A544" t="inlineStr">
        <is>
          <t>A 13276-2025</t>
        </is>
      </c>
      <c r="B544" s="1" t="n">
        <v>45735.5517824074</v>
      </c>
      <c r="C544" s="1" t="n">
        <v>46084</v>
      </c>
      <c r="D544" t="inlineStr">
        <is>
          <t>JÄMTLANDS LÄN</t>
        </is>
      </c>
      <c r="E544" t="inlineStr">
        <is>
          <t>RAGUNDA</t>
        </is>
      </c>
      <c r="G544" t="n">
        <v>16.6</v>
      </c>
      <c r="H544" t="n">
        <v>0</v>
      </c>
      <c r="I544" t="n">
        <v>0</v>
      </c>
      <c r="J544" t="n">
        <v>0</v>
      </c>
      <c r="K544" t="n">
        <v>0</v>
      </c>
      <c r="L544" t="n">
        <v>0</v>
      </c>
      <c r="M544" t="n">
        <v>0</v>
      </c>
      <c r="N544" t="n">
        <v>0</v>
      </c>
      <c r="O544" t="n">
        <v>0</v>
      </c>
      <c r="P544" t="n">
        <v>0</v>
      </c>
      <c r="Q544" t="n">
        <v>0</v>
      </c>
      <c r="R544" s="2" t="inlineStr"/>
    </row>
    <row r="545" ht="15" customHeight="1">
      <c r="A545" t="inlineStr">
        <is>
          <t>A 24258-2025</t>
        </is>
      </c>
      <c r="B545" s="1" t="n">
        <v>45797.40800925926</v>
      </c>
      <c r="C545" s="1" t="n">
        <v>46084</v>
      </c>
      <c r="D545" t="inlineStr">
        <is>
          <t>JÄMTLANDS LÄN</t>
        </is>
      </c>
      <c r="E545" t="inlineStr">
        <is>
          <t>RAGUNDA</t>
        </is>
      </c>
      <c r="G545" t="n">
        <v>1.2</v>
      </c>
      <c r="H545" t="n">
        <v>0</v>
      </c>
      <c r="I545" t="n">
        <v>0</v>
      </c>
      <c r="J545" t="n">
        <v>0</v>
      </c>
      <c r="K545" t="n">
        <v>0</v>
      </c>
      <c r="L545" t="n">
        <v>0</v>
      </c>
      <c r="M545" t="n">
        <v>0</v>
      </c>
      <c r="N545" t="n">
        <v>0</v>
      </c>
      <c r="O545" t="n">
        <v>0</v>
      </c>
      <c r="P545" t="n">
        <v>0</v>
      </c>
      <c r="Q545" t="n">
        <v>0</v>
      </c>
      <c r="R545" s="2" t="inlineStr"/>
    </row>
    <row r="546" ht="15" customHeight="1">
      <c r="A546" t="inlineStr">
        <is>
          <t>A 25994-2025</t>
        </is>
      </c>
      <c r="B546" s="1" t="n">
        <v>45804.65672453704</v>
      </c>
      <c r="C546" s="1" t="n">
        <v>46084</v>
      </c>
      <c r="D546" t="inlineStr">
        <is>
          <t>JÄMTLANDS LÄN</t>
        </is>
      </c>
      <c r="E546" t="inlineStr">
        <is>
          <t>RAGUNDA</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9326-2024</t>
        </is>
      </c>
      <c r="B547" s="1" t="n">
        <v>45358.95818287037</v>
      </c>
      <c r="C547" s="1" t="n">
        <v>46084</v>
      </c>
      <c r="D547" t="inlineStr">
        <is>
          <t>JÄMTLANDS LÄN</t>
        </is>
      </c>
      <c r="E547" t="inlineStr">
        <is>
          <t>RAGUNDA</t>
        </is>
      </c>
      <c r="G547" t="n">
        <v>0.7</v>
      </c>
      <c r="H547" t="n">
        <v>0</v>
      </c>
      <c r="I547" t="n">
        <v>0</v>
      </c>
      <c r="J547" t="n">
        <v>0</v>
      </c>
      <c r="K547" t="n">
        <v>0</v>
      </c>
      <c r="L547" t="n">
        <v>0</v>
      </c>
      <c r="M547" t="n">
        <v>0</v>
      </c>
      <c r="N547" t="n">
        <v>0</v>
      </c>
      <c r="O547" t="n">
        <v>0</v>
      </c>
      <c r="P547" t="n">
        <v>0</v>
      </c>
      <c r="Q547" t="n">
        <v>0</v>
      </c>
      <c r="R547" s="2" t="inlineStr"/>
    </row>
    <row r="548" ht="15" customHeight="1">
      <c r="A548" t="inlineStr">
        <is>
          <t>A 41656-2025</t>
        </is>
      </c>
      <c r="B548" s="1" t="n">
        <v>45902.34423611111</v>
      </c>
      <c r="C548" s="1" t="n">
        <v>46084</v>
      </c>
      <c r="D548" t="inlineStr">
        <is>
          <t>JÄMTLANDS LÄN</t>
        </is>
      </c>
      <c r="E548" t="inlineStr">
        <is>
          <t>RAGUNDA</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26172-2025</t>
        </is>
      </c>
      <c r="B549" s="1" t="n">
        <v>45805.46613425926</v>
      </c>
      <c r="C549" s="1" t="n">
        <v>46084</v>
      </c>
      <c r="D549" t="inlineStr">
        <is>
          <t>JÄMTLANDS LÄN</t>
        </is>
      </c>
      <c r="E549" t="inlineStr">
        <is>
          <t>RAGUNDA</t>
        </is>
      </c>
      <c r="G549" t="n">
        <v>2.1</v>
      </c>
      <c r="H549" t="n">
        <v>0</v>
      </c>
      <c r="I549" t="n">
        <v>0</v>
      </c>
      <c r="J549" t="n">
        <v>0</v>
      </c>
      <c r="K549" t="n">
        <v>0</v>
      </c>
      <c r="L549" t="n">
        <v>0</v>
      </c>
      <c r="M549" t="n">
        <v>0</v>
      </c>
      <c r="N549" t="n">
        <v>0</v>
      </c>
      <c r="O549" t="n">
        <v>0</v>
      </c>
      <c r="P549" t="n">
        <v>0</v>
      </c>
      <c r="Q549" t="n">
        <v>0</v>
      </c>
      <c r="R549" s="2" t="inlineStr"/>
    </row>
    <row r="550" ht="15" customHeight="1">
      <c r="A550" t="inlineStr">
        <is>
          <t>A 7520-2023</t>
        </is>
      </c>
      <c r="B550" s="1" t="n">
        <v>44971</v>
      </c>
      <c r="C550" s="1" t="n">
        <v>46084</v>
      </c>
      <c r="D550" t="inlineStr">
        <is>
          <t>JÄMTLANDS LÄN</t>
        </is>
      </c>
      <c r="E550" t="inlineStr">
        <is>
          <t>RAGUNDA</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26246-2025</t>
        </is>
      </c>
      <c r="B551" s="1" t="n">
        <v>45805.57390046296</v>
      </c>
      <c r="C551" s="1" t="n">
        <v>46084</v>
      </c>
      <c r="D551" t="inlineStr">
        <is>
          <t>JÄMTLANDS LÄN</t>
        </is>
      </c>
      <c r="E551" t="inlineStr">
        <is>
          <t>RAGUNDA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45335-2023</t>
        </is>
      </c>
      <c r="B552" s="1" t="n">
        <v>45191</v>
      </c>
      <c r="C552" s="1" t="n">
        <v>46084</v>
      </c>
      <c r="D552" t="inlineStr">
        <is>
          <t>JÄMTLANDS LÄN</t>
        </is>
      </c>
      <c r="E552" t="inlineStr">
        <is>
          <t>RAGUNDA</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21662-2023</t>
        </is>
      </c>
      <c r="B553" s="1" t="n">
        <v>45063</v>
      </c>
      <c r="C553" s="1" t="n">
        <v>46084</v>
      </c>
      <c r="D553" t="inlineStr">
        <is>
          <t>JÄMTLANDS LÄN</t>
        </is>
      </c>
      <c r="E553" t="inlineStr">
        <is>
          <t>RAGUNDA</t>
        </is>
      </c>
      <c r="G553" t="n">
        <v>1.8</v>
      </c>
      <c r="H553" t="n">
        <v>0</v>
      </c>
      <c r="I553" t="n">
        <v>0</v>
      </c>
      <c r="J553" t="n">
        <v>0</v>
      </c>
      <c r="K553" t="n">
        <v>0</v>
      </c>
      <c r="L553" t="n">
        <v>0</v>
      </c>
      <c r="M553" t="n">
        <v>0</v>
      </c>
      <c r="N553" t="n">
        <v>0</v>
      </c>
      <c r="O553" t="n">
        <v>0</v>
      </c>
      <c r="P553" t="n">
        <v>0</v>
      </c>
      <c r="Q553" t="n">
        <v>0</v>
      </c>
      <c r="R553" s="2" t="inlineStr"/>
    </row>
    <row r="554" ht="15" customHeight="1">
      <c r="A554" t="inlineStr">
        <is>
          <t>A 44727-2024</t>
        </is>
      </c>
      <c r="B554" s="1" t="n">
        <v>45574.57967592592</v>
      </c>
      <c r="C554" s="1" t="n">
        <v>46084</v>
      </c>
      <c r="D554" t="inlineStr">
        <is>
          <t>JÄMTLANDS LÄN</t>
        </is>
      </c>
      <c r="E554" t="inlineStr">
        <is>
          <t>RAGUNDA</t>
        </is>
      </c>
      <c r="G554" t="n">
        <v>4.7</v>
      </c>
      <c r="H554" t="n">
        <v>0</v>
      </c>
      <c r="I554" t="n">
        <v>0</v>
      </c>
      <c r="J554" t="n">
        <v>0</v>
      </c>
      <c r="K554" t="n">
        <v>0</v>
      </c>
      <c r="L554" t="n">
        <v>0</v>
      </c>
      <c r="M554" t="n">
        <v>0</v>
      </c>
      <c r="N554" t="n">
        <v>0</v>
      </c>
      <c r="O554" t="n">
        <v>0</v>
      </c>
      <c r="P554" t="n">
        <v>0</v>
      </c>
      <c r="Q554" t="n">
        <v>0</v>
      </c>
      <c r="R554" s="2" t="inlineStr"/>
    </row>
    <row r="555" ht="15" customHeight="1">
      <c r="A555" t="inlineStr">
        <is>
          <t>A 73278-2021</t>
        </is>
      </c>
      <c r="B555" s="1" t="n">
        <v>44550.92168981482</v>
      </c>
      <c r="C555" s="1" t="n">
        <v>46084</v>
      </c>
      <c r="D555" t="inlineStr">
        <is>
          <t>JÄMTLANDS LÄN</t>
        </is>
      </c>
      <c r="E555" t="inlineStr">
        <is>
          <t>RAGUNDA</t>
        </is>
      </c>
      <c r="G555" t="n">
        <v>4.4</v>
      </c>
      <c r="H555" t="n">
        <v>0</v>
      </c>
      <c r="I555" t="n">
        <v>0</v>
      </c>
      <c r="J555" t="n">
        <v>0</v>
      </c>
      <c r="K555" t="n">
        <v>0</v>
      </c>
      <c r="L555" t="n">
        <v>0</v>
      </c>
      <c r="M555" t="n">
        <v>0</v>
      </c>
      <c r="N555" t="n">
        <v>0</v>
      </c>
      <c r="O555" t="n">
        <v>0</v>
      </c>
      <c r="P555" t="n">
        <v>0</v>
      </c>
      <c r="Q555" t="n">
        <v>0</v>
      </c>
      <c r="R555" s="2" t="inlineStr"/>
    </row>
    <row r="556" ht="15" customHeight="1">
      <c r="A556" t="inlineStr">
        <is>
          <t>A 51396-2024</t>
        </is>
      </c>
      <c r="B556" s="1" t="n">
        <v>45604.4190625</v>
      </c>
      <c r="C556" s="1" t="n">
        <v>46084</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55487-2023</t>
        </is>
      </c>
      <c r="B557" s="1" t="n">
        <v>45238</v>
      </c>
      <c r="C557" s="1" t="n">
        <v>46084</v>
      </c>
      <c r="D557" t="inlineStr">
        <is>
          <t>JÄMTLANDS LÄN</t>
        </is>
      </c>
      <c r="E557" t="inlineStr">
        <is>
          <t>RAGUNDA</t>
        </is>
      </c>
      <c r="G557" t="n">
        <v>3</v>
      </c>
      <c r="H557" t="n">
        <v>0</v>
      </c>
      <c r="I557" t="n">
        <v>0</v>
      </c>
      <c r="J557" t="n">
        <v>0</v>
      </c>
      <c r="K557" t="n">
        <v>0</v>
      </c>
      <c r="L557" t="n">
        <v>0</v>
      </c>
      <c r="M557" t="n">
        <v>0</v>
      </c>
      <c r="N557" t="n">
        <v>0</v>
      </c>
      <c r="O557" t="n">
        <v>0</v>
      </c>
      <c r="P557" t="n">
        <v>0</v>
      </c>
      <c r="Q557" t="n">
        <v>0</v>
      </c>
      <c r="R557" s="2" t="inlineStr"/>
    </row>
    <row r="558" ht="15" customHeight="1">
      <c r="A558" t="inlineStr">
        <is>
          <t>A 26640-2025</t>
        </is>
      </c>
      <c r="B558" s="1" t="n">
        <v>45810.36495370371</v>
      </c>
      <c r="C558" s="1" t="n">
        <v>46084</v>
      </c>
      <c r="D558" t="inlineStr">
        <is>
          <t>JÄMTLANDS LÄN</t>
        </is>
      </c>
      <c r="E558" t="inlineStr">
        <is>
          <t>RAGUNDA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18454-2021</t>
        </is>
      </c>
      <c r="B559" s="1" t="n">
        <v>44305.92047453704</v>
      </c>
      <c r="C559" s="1" t="n">
        <v>46084</v>
      </c>
      <c r="D559" t="inlineStr">
        <is>
          <t>JÄMTLANDS LÄN</t>
        </is>
      </c>
      <c r="E559" t="inlineStr">
        <is>
          <t>RAGUNDA</t>
        </is>
      </c>
      <c r="G559" t="n">
        <v>1.3</v>
      </c>
      <c r="H559" t="n">
        <v>0</v>
      </c>
      <c r="I559" t="n">
        <v>0</v>
      </c>
      <c r="J559" t="n">
        <v>0</v>
      </c>
      <c r="K559" t="n">
        <v>0</v>
      </c>
      <c r="L559" t="n">
        <v>0</v>
      </c>
      <c r="M559" t="n">
        <v>0</v>
      </c>
      <c r="N559" t="n">
        <v>0</v>
      </c>
      <c r="O559" t="n">
        <v>0</v>
      </c>
      <c r="P559" t="n">
        <v>0</v>
      </c>
      <c r="Q559" t="n">
        <v>0</v>
      </c>
      <c r="R559" s="2" t="inlineStr"/>
    </row>
    <row r="560" ht="15" customHeight="1">
      <c r="A560" t="inlineStr">
        <is>
          <t>A 21083-2024</t>
        </is>
      </c>
      <c r="B560" s="1" t="n">
        <v>45439.92752314815</v>
      </c>
      <c r="C560" s="1" t="n">
        <v>46084</v>
      </c>
      <c r="D560" t="inlineStr">
        <is>
          <t>JÄMTLANDS LÄN</t>
        </is>
      </c>
      <c r="E560" t="inlineStr">
        <is>
          <t>RAGUNDA</t>
        </is>
      </c>
      <c r="G560" t="n">
        <v>1.5</v>
      </c>
      <c r="H560" t="n">
        <v>0</v>
      </c>
      <c r="I560" t="n">
        <v>0</v>
      </c>
      <c r="J560" t="n">
        <v>0</v>
      </c>
      <c r="K560" t="n">
        <v>0</v>
      </c>
      <c r="L560" t="n">
        <v>0</v>
      </c>
      <c r="M560" t="n">
        <v>0</v>
      </c>
      <c r="N560" t="n">
        <v>0</v>
      </c>
      <c r="O560" t="n">
        <v>0</v>
      </c>
      <c r="P560" t="n">
        <v>0</v>
      </c>
      <c r="Q560" t="n">
        <v>0</v>
      </c>
      <c r="R560" s="2" t="inlineStr"/>
    </row>
    <row r="561" ht="15" customHeight="1">
      <c r="A561" t="inlineStr">
        <is>
          <t>A 462-2023</t>
        </is>
      </c>
      <c r="B561" s="1" t="n">
        <v>44929</v>
      </c>
      <c r="C561" s="1" t="n">
        <v>46084</v>
      </c>
      <c r="D561" t="inlineStr">
        <is>
          <t>JÄMTLANDS LÄN</t>
        </is>
      </c>
      <c r="E561" t="inlineStr">
        <is>
          <t>RAGUNDA</t>
        </is>
      </c>
      <c r="G561" t="n">
        <v>4.5</v>
      </c>
      <c r="H561" t="n">
        <v>0</v>
      </c>
      <c r="I561" t="n">
        <v>0</v>
      </c>
      <c r="J561" t="n">
        <v>0</v>
      </c>
      <c r="K561" t="n">
        <v>0</v>
      </c>
      <c r="L561" t="n">
        <v>0</v>
      </c>
      <c r="M561" t="n">
        <v>0</v>
      </c>
      <c r="N561" t="n">
        <v>0</v>
      </c>
      <c r="O561" t="n">
        <v>0</v>
      </c>
      <c r="P561" t="n">
        <v>0</v>
      </c>
      <c r="Q561" t="n">
        <v>0</v>
      </c>
      <c r="R561" s="2" t="inlineStr"/>
    </row>
    <row r="562" ht="15" customHeight="1">
      <c r="A562" t="inlineStr">
        <is>
          <t>A 42269-2025</t>
        </is>
      </c>
      <c r="B562" s="1" t="n">
        <v>45904.60431712963</v>
      </c>
      <c r="C562" s="1" t="n">
        <v>46084</v>
      </c>
      <c r="D562" t="inlineStr">
        <is>
          <t>JÄMTLANDS LÄN</t>
        </is>
      </c>
      <c r="E562" t="inlineStr">
        <is>
          <t>RAGUNDA</t>
        </is>
      </c>
      <c r="G562" t="n">
        <v>4.3</v>
      </c>
      <c r="H562" t="n">
        <v>0</v>
      </c>
      <c r="I562" t="n">
        <v>0</v>
      </c>
      <c r="J562" t="n">
        <v>0</v>
      </c>
      <c r="K562" t="n">
        <v>0</v>
      </c>
      <c r="L562" t="n">
        <v>0</v>
      </c>
      <c r="M562" t="n">
        <v>0</v>
      </c>
      <c r="N562" t="n">
        <v>0</v>
      </c>
      <c r="O562" t="n">
        <v>0</v>
      </c>
      <c r="P562" t="n">
        <v>0</v>
      </c>
      <c r="Q562" t="n">
        <v>0</v>
      </c>
      <c r="R562" s="2" t="inlineStr"/>
    </row>
    <row r="563" ht="15" customHeight="1">
      <c r="A563" t="inlineStr">
        <is>
          <t>A 12050-2023</t>
        </is>
      </c>
      <c r="B563" s="1" t="n">
        <v>44995.98644675926</v>
      </c>
      <c r="C563" s="1" t="n">
        <v>46084</v>
      </c>
      <c r="D563" t="inlineStr">
        <is>
          <t>JÄMTLANDS LÄN</t>
        </is>
      </c>
      <c r="E563" t="inlineStr">
        <is>
          <t>RAGUNDA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2001-2025</t>
        </is>
      </c>
      <c r="B564" s="1" t="n">
        <v>45672.44898148148</v>
      </c>
      <c r="C564" s="1" t="n">
        <v>46084</v>
      </c>
      <c r="D564" t="inlineStr">
        <is>
          <t>JÄMTLANDS LÄN</t>
        </is>
      </c>
      <c r="E564" t="inlineStr">
        <is>
          <t>RAGUNDA</t>
        </is>
      </c>
      <c r="F564" t="inlineStr">
        <is>
          <t>SCA</t>
        </is>
      </c>
      <c r="G564" t="n">
        <v>16.2</v>
      </c>
      <c r="H564" t="n">
        <v>0</v>
      </c>
      <c r="I564" t="n">
        <v>0</v>
      </c>
      <c r="J564" t="n">
        <v>0</v>
      </c>
      <c r="K564" t="n">
        <v>0</v>
      </c>
      <c r="L564" t="n">
        <v>0</v>
      </c>
      <c r="M564" t="n">
        <v>0</v>
      </c>
      <c r="N564" t="n">
        <v>0</v>
      </c>
      <c r="O564" t="n">
        <v>0</v>
      </c>
      <c r="P564" t="n">
        <v>0</v>
      </c>
      <c r="Q564" t="n">
        <v>0</v>
      </c>
      <c r="R564" s="2" t="inlineStr"/>
    </row>
    <row r="565" ht="15" customHeight="1">
      <c r="A565" t="inlineStr">
        <is>
          <t>A 53762-2023</t>
        </is>
      </c>
      <c r="B565" s="1" t="n">
        <v>45230.96376157407</v>
      </c>
      <c r="C565" s="1" t="n">
        <v>46084</v>
      </c>
      <c r="D565" t="inlineStr">
        <is>
          <t>JÄMTLANDS LÄN</t>
        </is>
      </c>
      <c r="E565" t="inlineStr">
        <is>
          <t>RAGUNDA</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62358-2023</t>
        </is>
      </c>
      <c r="B566" s="1" t="n">
        <v>45267</v>
      </c>
      <c r="C566" s="1" t="n">
        <v>46084</v>
      </c>
      <c r="D566" t="inlineStr">
        <is>
          <t>JÄMTLANDS LÄN</t>
        </is>
      </c>
      <c r="E566" t="inlineStr">
        <is>
          <t>RAGUNDA</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18820-2023</t>
        </is>
      </c>
      <c r="B567" s="1" t="n">
        <v>45042</v>
      </c>
      <c r="C567" s="1" t="n">
        <v>46084</v>
      </c>
      <c r="D567" t="inlineStr">
        <is>
          <t>JÄMTLANDS LÄN</t>
        </is>
      </c>
      <c r="E567" t="inlineStr">
        <is>
          <t>RAGUNDA</t>
        </is>
      </c>
      <c r="G567" t="n">
        <v>18.8</v>
      </c>
      <c r="H567" t="n">
        <v>0</v>
      </c>
      <c r="I567" t="n">
        <v>0</v>
      </c>
      <c r="J567" t="n">
        <v>0</v>
      </c>
      <c r="K567" t="n">
        <v>0</v>
      </c>
      <c r="L567" t="n">
        <v>0</v>
      </c>
      <c r="M567" t="n">
        <v>0</v>
      </c>
      <c r="N567" t="n">
        <v>0</v>
      </c>
      <c r="O567" t="n">
        <v>0</v>
      </c>
      <c r="P567" t="n">
        <v>0</v>
      </c>
      <c r="Q567" t="n">
        <v>0</v>
      </c>
      <c r="R567" s="2" t="inlineStr"/>
    </row>
    <row r="568" ht="15" customHeight="1">
      <c r="A568" t="inlineStr">
        <is>
          <t>A 9360-2023</t>
        </is>
      </c>
      <c r="B568" s="1" t="n">
        <v>44980.93865740741</v>
      </c>
      <c r="C568" s="1" t="n">
        <v>46084</v>
      </c>
      <c r="D568" t="inlineStr">
        <is>
          <t>JÄMTLANDS LÄN</t>
        </is>
      </c>
      <c r="E568" t="inlineStr">
        <is>
          <t>RAGUNDA</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19089-2024</t>
        </is>
      </c>
      <c r="B569" s="1" t="n">
        <v>45428.00471064815</v>
      </c>
      <c r="C569" s="1" t="n">
        <v>46084</v>
      </c>
      <c r="D569" t="inlineStr">
        <is>
          <t>JÄMTLANDS LÄN</t>
        </is>
      </c>
      <c r="E569" t="inlineStr">
        <is>
          <t>RAGUNDA</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13767-2022</t>
        </is>
      </c>
      <c r="B570" s="1" t="n">
        <v>44649.47048611111</v>
      </c>
      <c r="C570" s="1" t="n">
        <v>46084</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49648-2023</t>
        </is>
      </c>
      <c r="B571" s="1" t="n">
        <v>45211.95061342593</v>
      </c>
      <c r="C571" s="1" t="n">
        <v>46084</v>
      </c>
      <c r="D571" t="inlineStr">
        <is>
          <t>JÄMTLANDS LÄN</t>
        </is>
      </c>
      <c r="E571" t="inlineStr">
        <is>
          <t>RAGUNDA</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1308-2025</t>
        </is>
      </c>
      <c r="B572" s="1" t="n">
        <v>45667.55239583334</v>
      </c>
      <c r="C572" s="1" t="n">
        <v>46084</v>
      </c>
      <c r="D572" t="inlineStr">
        <is>
          <t>JÄMTLANDS LÄN</t>
        </is>
      </c>
      <c r="E572" t="inlineStr">
        <is>
          <t>RAGUNDA</t>
        </is>
      </c>
      <c r="F572" t="inlineStr">
        <is>
          <t>SCA</t>
        </is>
      </c>
      <c r="G572" t="n">
        <v>6.4</v>
      </c>
      <c r="H572" t="n">
        <v>0</v>
      </c>
      <c r="I572" t="n">
        <v>0</v>
      </c>
      <c r="J572" t="n">
        <v>0</v>
      </c>
      <c r="K572" t="n">
        <v>0</v>
      </c>
      <c r="L572" t="n">
        <v>0</v>
      </c>
      <c r="M572" t="n">
        <v>0</v>
      </c>
      <c r="N572" t="n">
        <v>0</v>
      </c>
      <c r="O572" t="n">
        <v>0</v>
      </c>
      <c r="P572" t="n">
        <v>0</v>
      </c>
      <c r="Q572" t="n">
        <v>0</v>
      </c>
      <c r="R572" s="2" t="inlineStr"/>
    </row>
    <row r="573" ht="15" customHeight="1">
      <c r="A573" t="inlineStr">
        <is>
          <t>A 51537-2022</t>
        </is>
      </c>
      <c r="B573" s="1" t="n">
        <v>44869</v>
      </c>
      <c r="C573" s="1" t="n">
        <v>46084</v>
      </c>
      <c r="D573" t="inlineStr">
        <is>
          <t>JÄMTLANDS LÄN</t>
        </is>
      </c>
      <c r="E573" t="inlineStr">
        <is>
          <t>RAGUNDA</t>
        </is>
      </c>
      <c r="G573" t="n">
        <v>1.8</v>
      </c>
      <c r="H573" t="n">
        <v>0</v>
      </c>
      <c r="I573" t="n">
        <v>0</v>
      </c>
      <c r="J573" t="n">
        <v>0</v>
      </c>
      <c r="K573" t="n">
        <v>0</v>
      </c>
      <c r="L573" t="n">
        <v>0</v>
      </c>
      <c r="M573" t="n">
        <v>0</v>
      </c>
      <c r="N573" t="n">
        <v>0</v>
      </c>
      <c r="O573" t="n">
        <v>0</v>
      </c>
      <c r="P573" t="n">
        <v>0</v>
      </c>
      <c r="Q573" t="n">
        <v>0</v>
      </c>
      <c r="R573" s="2" t="inlineStr"/>
    </row>
    <row r="574" ht="15" customHeight="1">
      <c r="A574" t="inlineStr">
        <is>
          <t>A 59044-2022</t>
        </is>
      </c>
      <c r="B574" s="1" t="n">
        <v>44903</v>
      </c>
      <c r="C574" s="1" t="n">
        <v>46084</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33763-2025</t>
        </is>
      </c>
      <c r="B575" s="1" t="n">
        <v>45842.38579861111</v>
      </c>
      <c r="C575" s="1" t="n">
        <v>46084</v>
      </c>
      <c r="D575" t="inlineStr">
        <is>
          <t>JÄMTLANDS LÄN</t>
        </is>
      </c>
      <c r="E575" t="inlineStr">
        <is>
          <t>RAGUNDA</t>
        </is>
      </c>
      <c r="F575" t="inlineStr">
        <is>
          <t>SCA</t>
        </is>
      </c>
      <c r="G575" t="n">
        <v>13.4</v>
      </c>
      <c r="H575" t="n">
        <v>0</v>
      </c>
      <c r="I575" t="n">
        <v>0</v>
      </c>
      <c r="J575" t="n">
        <v>0</v>
      </c>
      <c r="K575" t="n">
        <v>0</v>
      </c>
      <c r="L575" t="n">
        <v>0</v>
      </c>
      <c r="M575" t="n">
        <v>0</v>
      </c>
      <c r="N575" t="n">
        <v>0</v>
      </c>
      <c r="O575" t="n">
        <v>0</v>
      </c>
      <c r="P575" t="n">
        <v>0</v>
      </c>
      <c r="Q575" t="n">
        <v>0</v>
      </c>
      <c r="R575" s="2" t="inlineStr"/>
    </row>
    <row r="576" ht="15" customHeight="1">
      <c r="A576" t="inlineStr">
        <is>
          <t>A 27510-2025</t>
        </is>
      </c>
      <c r="B576" s="1" t="n">
        <v>45813.42790509259</v>
      </c>
      <c r="C576" s="1" t="n">
        <v>46084</v>
      </c>
      <c r="D576" t="inlineStr">
        <is>
          <t>JÄMTLANDS LÄN</t>
        </is>
      </c>
      <c r="E576" t="inlineStr">
        <is>
          <t>RAGUNDA</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5958-2023</t>
        </is>
      </c>
      <c r="B577" s="1" t="n">
        <v>44963</v>
      </c>
      <c r="C577" s="1" t="n">
        <v>46084</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11252-2025</t>
        </is>
      </c>
      <c r="B578" s="1" t="n">
        <v>45726.38615740741</v>
      </c>
      <c r="C578" s="1" t="n">
        <v>46084</v>
      </c>
      <c r="D578" t="inlineStr">
        <is>
          <t>JÄMTLANDS LÄN</t>
        </is>
      </c>
      <c r="E578" t="inlineStr">
        <is>
          <t>RAGUNDA</t>
        </is>
      </c>
      <c r="G578" t="n">
        <v>1.9</v>
      </c>
      <c r="H578" t="n">
        <v>0</v>
      </c>
      <c r="I578" t="n">
        <v>0</v>
      </c>
      <c r="J578" t="n">
        <v>0</v>
      </c>
      <c r="K578" t="n">
        <v>0</v>
      </c>
      <c r="L578" t="n">
        <v>0</v>
      </c>
      <c r="M578" t="n">
        <v>0</v>
      </c>
      <c r="N578" t="n">
        <v>0</v>
      </c>
      <c r="O578" t="n">
        <v>0</v>
      </c>
      <c r="P578" t="n">
        <v>0</v>
      </c>
      <c r="Q578" t="n">
        <v>0</v>
      </c>
      <c r="R578" s="2" t="inlineStr"/>
    </row>
    <row r="579" ht="15" customHeight="1">
      <c r="A579" t="inlineStr">
        <is>
          <t>A 19404-2025</t>
        </is>
      </c>
      <c r="B579" s="1" t="n">
        <v>45769.67802083334</v>
      </c>
      <c r="C579" s="1" t="n">
        <v>46084</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c r="U579">
        <f>HYPERLINK("https://klasma.github.io/Logging_2303/knärot/A 19404-2025 karta knärot.png", "A 19404-2025")</f>
        <v/>
      </c>
      <c r="V579">
        <f>HYPERLINK("https://klasma.github.io/Logging_2303/klagomål/A 19404-2025 FSC-klagomål.docx", "A 19404-2025")</f>
        <v/>
      </c>
      <c r="W579">
        <f>HYPERLINK("https://klasma.github.io/Logging_2303/klagomålsmail/A 19404-2025 FSC-klagomål mail.docx", "A 19404-2025")</f>
        <v/>
      </c>
      <c r="X579">
        <f>HYPERLINK("https://klasma.github.io/Logging_2303/tillsyn/A 19404-2025 tillsynsbegäran.docx", "A 19404-2025")</f>
        <v/>
      </c>
      <c r="Y579">
        <f>HYPERLINK("https://klasma.github.io/Logging_2303/tillsynsmail/A 19404-2025 tillsynsbegäran mail.docx", "A 19404-2025")</f>
        <v/>
      </c>
    </row>
    <row r="580" ht="15" customHeight="1">
      <c r="A580" t="inlineStr">
        <is>
          <t>A 22569-2023</t>
        </is>
      </c>
      <c r="B580" s="1" t="n">
        <v>45069</v>
      </c>
      <c r="C580" s="1" t="n">
        <v>46084</v>
      </c>
      <c r="D580" t="inlineStr">
        <is>
          <t>JÄMTLANDS LÄN</t>
        </is>
      </c>
      <c r="E580" t="inlineStr">
        <is>
          <t>RAGUNDA</t>
        </is>
      </c>
      <c r="G580" t="n">
        <v>6.6</v>
      </c>
      <c r="H580" t="n">
        <v>0</v>
      </c>
      <c r="I580" t="n">
        <v>0</v>
      </c>
      <c r="J580" t="n">
        <v>0</v>
      </c>
      <c r="K580" t="n">
        <v>0</v>
      </c>
      <c r="L580" t="n">
        <v>0</v>
      </c>
      <c r="M580" t="n">
        <v>0</v>
      </c>
      <c r="N580" t="n">
        <v>0</v>
      </c>
      <c r="O580" t="n">
        <v>0</v>
      </c>
      <c r="P580" t="n">
        <v>0</v>
      </c>
      <c r="Q580" t="n">
        <v>0</v>
      </c>
      <c r="R580" s="2" t="inlineStr"/>
    </row>
    <row r="581" ht="15" customHeight="1">
      <c r="A581" t="inlineStr">
        <is>
          <t>A 8779-2025</t>
        </is>
      </c>
      <c r="B581" s="1" t="n">
        <v>45712.61552083334</v>
      </c>
      <c r="C581" s="1" t="n">
        <v>46084</v>
      </c>
      <c r="D581" t="inlineStr">
        <is>
          <t>JÄMTLANDS LÄN</t>
        </is>
      </c>
      <c r="E581" t="inlineStr">
        <is>
          <t>RAGUNDA</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61400-2022</t>
        </is>
      </c>
      <c r="B582" s="1" t="n">
        <v>44915</v>
      </c>
      <c r="C582" s="1" t="n">
        <v>46084</v>
      </c>
      <c r="D582" t="inlineStr">
        <is>
          <t>JÄMTLANDS LÄN</t>
        </is>
      </c>
      <c r="E582" t="inlineStr">
        <is>
          <t>RAGUNDA</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43177-2025</t>
        </is>
      </c>
      <c r="B583" s="1" t="n">
        <v>45910.40667824074</v>
      </c>
      <c r="C583" s="1" t="n">
        <v>46084</v>
      </c>
      <c r="D583" t="inlineStr">
        <is>
          <t>JÄMTLANDS LÄN</t>
        </is>
      </c>
      <c r="E583" t="inlineStr">
        <is>
          <t>RAGUNDA</t>
        </is>
      </c>
      <c r="F583" t="inlineStr">
        <is>
          <t>SCA</t>
        </is>
      </c>
      <c r="G583" t="n">
        <v>4.9</v>
      </c>
      <c r="H583" t="n">
        <v>0</v>
      </c>
      <c r="I583" t="n">
        <v>0</v>
      </c>
      <c r="J583" t="n">
        <v>0</v>
      </c>
      <c r="K583" t="n">
        <v>0</v>
      </c>
      <c r="L583" t="n">
        <v>0</v>
      </c>
      <c r="M583" t="n">
        <v>0</v>
      </c>
      <c r="N583" t="n">
        <v>0</v>
      </c>
      <c r="O583" t="n">
        <v>0</v>
      </c>
      <c r="P583" t="n">
        <v>0</v>
      </c>
      <c r="Q583" t="n">
        <v>0</v>
      </c>
      <c r="R583" s="2" t="inlineStr"/>
    </row>
    <row r="584" ht="15" customHeight="1">
      <c r="A584" t="inlineStr">
        <is>
          <t>A 43181-2025</t>
        </is>
      </c>
      <c r="B584" s="1" t="n">
        <v>45910.40721064815</v>
      </c>
      <c r="C584" s="1" t="n">
        <v>46084</v>
      </c>
      <c r="D584" t="inlineStr">
        <is>
          <t>JÄMTLANDS LÄN</t>
        </is>
      </c>
      <c r="E584" t="inlineStr">
        <is>
          <t>RAGUNDA</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4348-2023</t>
        </is>
      </c>
      <c r="B585" s="1" t="n">
        <v>44953</v>
      </c>
      <c r="C585" s="1" t="n">
        <v>46084</v>
      </c>
      <c r="D585" t="inlineStr">
        <is>
          <t>JÄMTLANDS LÄN</t>
        </is>
      </c>
      <c r="E585" t="inlineStr">
        <is>
          <t>RAGUNDA</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56286-2023</t>
        </is>
      </c>
      <c r="B586" s="1" t="n">
        <v>45241.95741898148</v>
      </c>
      <c r="C586" s="1" t="n">
        <v>46084</v>
      </c>
      <c r="D586" t="inlineStr">
        <is>
          <t>JÄMTLANDS LÄN</t>
        </is>
      </c>
      <c r="E586" t="inlineStr">
        <is>
          <t>RAGUNDA</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56287-2023</t>
        </is>
      </c>
      <c r="B587" s="1" t="n">
        <v>45241</v>
      </c>
      <c r="C587" s="1" t="n">
        <v>46084</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11048-2023</t>
        </is>
      </c>
      <c r="B588" s="1" t="n">
        <v>44991</v>
      </c>
      <c r="C588" s="1" t="n">
        <v>46084</v>
      </c>
      <c r="D588" t="inlineStr">
        <is>
          <t>JÄMTLANDS LÄN</t>
        </is>
      </c>
      <c r="E588" t="inlineStr">
        <is>
          <t>RAGUNDA</t>
        </is>
      </c>
      <c r="F588" t="inlineStr">
        <is>
          <t>SCA</t>
        </is>
      </c>
      <c r="G588" t="n">
        <v>13.5</v>
      </c>
      <c r="H588" t="n">
        <v>0</v>
      </c>
      <c r="I588" t="n">
        <v>0</v>
      </c>
      <c r="J588" t="n">
        <v>0</v>
      </c>
      <c r="K588" t="n">
        <v>0</v>
      </c>
      <c r="L588" t="n">
        <v>0</v>
      </c>
      <c r="M588" t="n">
        <v>0</v>
      </c>
      <c r="N588" t="n">
        <v>0</v>
      </c>
      <c r="O588" t="n">
        <v>0</v>
      </c>
      <c r="P588" t="n">
        <v>0</v>
      </c>
      <c r="Q588" t="n">
        <v>0</v>
      </c>
      <c r="R588" s="2" t="inlineStr"/>
    </row>
    <row r="589" ht="15" customHeight="1">
      <c r="A589" t="inlineStr">
        <is>
          <t>A 11062-2023</t>
        </is>
      </c>
      <c r="B589" s="1" t="n">
        <v>44991</v>
      </c>
      <c r="C589" s="1" t="n">
        <v>46084</v>
      </c>
      <c r="D589" t="inlineStr">
        <is>
          <t>JÄMTLANDS LÄN</t>
        </is>
      </c>
      <c r="E589" t="inlineStr">
        <is>
          <t>RAGUNDA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43330-2025</t>
        </is>
      </c>
      <c r="B590" s="1" t="n">
        <v>45910.67766203704</v>
      </c>
      <c r="C590" s="1" t="n">
        <v>46084</v>
      </c>
      <c r="D590" t="inlineStr">
        <is>
          <t>JÄMTLANDS LÄN</t>
        </is>
      </c>
      <c r="E590" t="inlineStr">
        <is>
          <t>RAGUNDA</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18989-2025</t>
        </is>
      </c>
      <c r="B591" s="1" t="n">
        <v>45764</v>
      </c>
      <c r="C591" s="1" t="n">
        <v>46084</v>
      </c>
      <c r="D591" t="inlineStr">
        <is>
          <t>JÄMTLANDS LÄN</t>
        </is>
      </c>
      <c r="E591" t="inlineStr">
        <is>
          <t>RAGUNDA</t>
        </is>
      </c>
      <c r="G591" t="n">
        <v>0.9</v>
      </c>
      <c r="H591" t="n">
        <v>0</v>
      </c>
      <c r="I591" t="n">
        <v>0</v>
      </c>
      <c r="J591" t="n">
        <v>0</v>
      </c>
      <c r="K591" t="n">
        <v>0</v>
      </c>
      <c r="L591" t="n">
        <v>0</v>
      </c>
      <c r="M591" t="n">
        <v>0</v>
      </c>
      <c r="N591" t="n">
        <v>0</v>
      </c>
      <c r="O591" t="n">
        <v>0</v>
      </c>
      <c r="P591" t="n">
        <v>0</v>
      </c>
      <c r="Q591" t="n">
        <v>0</v>
      </c>
      <c r="R591" s="2" t="inlineStr"/>
    </row>
    <row r="592" ht="15" customHeight="1">
      <c r="A592" t="inlineStr">
        <is>
          <t>A 62135-2024</t>
        </is>
      </c>
      <c r="B592" s="1" t="n">
        <v>45656.64223379629</v>
      </c>
      <c r="C592" s="1" t="n">
        <v>46084</v>
      </c>
      <c r="D592" t="inlineStr">
        <is>
          <t>JÄMTLANDS LÄN</t>
        </is>
      </c>
      <c r="E592" t="inlineStr">
        <is>
          <t>RAGUNDA</t>
        </is>
      </c>
      <c r="G592" t="n">
        <v>1.5</v>
      </c>
      <c r="H592" t="n">
        <v>0</v>
      </c>
      <c r="I592" t="n">
        <v>0</v>
      </c>
      <c r="J592" t="n">
        <v>0</v>
      </c>
      <c r="K592" t="n">
        <v>0</v>
      </c>
      <c r="L592" t="n">
        <v>0</v>
      </c>
      <c r="M592" t="n">
        <v>0</v>
      </c>
      <c r="N592" t="n">
        <v>0</v>
      </c>
      <c r="O592" t="n">
        <v>0</v>
      </c>
      <c r="P592" t="n">
        <v>0</v>
      </c>
      <c r="Q592" t="n">
        <v>0</v>
      </c>
      <c r="R592" s="2" t="inlineStr"/>
    </row>
    <row r="593" ht="15" customHeight="1">
      <c r="A593" t="inlineStr">
        <is>
          <t>A 18248-2023</t>
        </is>
      </c>
      <c r="B593" s="1" t="n">
        <v>45040</v>
      </c>
      <c r="C593" s="1" t="n">
        <v>46084</v>
      </c>
      <c r="D593" t="inlineStr">
        <is>
          <t>JÄMTLANDS LÄN</t>
        </is>
      </c>
      <c r="E593" t="inlineStr">
        <is>
          <t>RAGUNDA</t>
        </is>
      </c>
      <c r="G593" t="n">
        <v>4.3</v>
      </c>
      <c r="H593" t="n">
        <v>0</v>
      </c>
      <c r="I593" t="n">
        <v>0</v>
      </c>
      <c r="J593" t="n">
        <v>0</v>
      </c>
      <c r="K593" t="n">
        <v>0</v>
      </c>
      <c r="L593" t="n">
        <v>0</v>
      </c>
      <c r="M593" t="n">
        <v>0</v>
      </c>
      <c r="N593" t="n">
        <v>0</v>
      </c>
      <c r="O593" t="n">
        <v>0</v>
      </c>
      <c r="P593" t="n">
        <v>0</v>
      </c>
      <c r="Q593" t="n">
        <v>0</v>
      </c>
      <c r="R593" s="2" t="inlineStr"/>
    </row>
    <row r="594" ht="15" customHeight="1">
      <c r="A594" t="inlineStr">
        <is>
          <t>A 8802-2022</t>
        </is>
      </c>
      <c r="B594" s="1" t="n">
        <v>44614</v>
      </c>
      <c r="C594" s="1" t="n">
        <v>46084</v>
      </c>
      <c r="D594" t="inlineStr">
        <is>
          <t>JÄMTLANDS LÄN</t>
        </is>
      </c>
      <c r="E594" t="inlineStr">
        <is>
          <t>RAGUNDA</t>
        </is>
      </c>
      <c r="G594" t="n">
        <v>2.8</v>
      </c>
      <c r="H594" t="n">
        <v>0</v>
      </c>
      <c r="I594" t="n">
        <v>0</v>
      </c>
      <c r="J594" t="n">
        <v>0</v>
      </c>
      <c r="K594" t="n">
        <v>0</v>
      </c>
      <c r="L594" t="n">
        <v>0</v>
      </c>
      <c r="M594" t="n">
        <v>0</v>
      </c>
      <c r="N594" t="n">
        <v>0</v>
      </c>
      <c r="O594" t="n">
        <v>0</v>
      </c>
      <c r="P594" t="n">
        <v>0</v>
      </c>
      <c r="Q594" t="n">
        <v>0</v>
      </c>
      <c r="R594" s="2" t="inlineStr"/>
    </row>
    <row r="595" ht="15" customHeight="1">
      <c r="A595" t="inlineStr">
        <is>
          <t>A 57064-2024</t>
        </is>
      </c>
      <c r="B595" s="1" t="n">
        <v>45629.35326388889</v>
      </c>
      <c r="C595" s="1" t="n">
        <v>46084</v>
      </c>
      <c r="D595" t="inlineStr">
        <is>
          <t>JÄMTLANDS LÄN</t>
        </is>
      </c>
      <c r="E595" t="inlineStr">
        <is>
          <t>RAGUNDA</t>
        </is>
      </c>
      <c r="F595" t="inlineStr">
        <is>
          <t>Naturvårdsverket</t>
        </is>
      </c>
      <c r="G595" t="n">
        <v>0.5</v>
      </c>
      <c r="H595" t="n">
        <v>0</v>
      </c>
      <c r="I595" t="n">
        <v>0</v>
      </c>
      <c r="J595" t="n">
        <v>0</v>
      </c>
      <c r="K595" t="n">
        <v>0</v>
      </c>
      <c r="L595" t="n">
        <v>0</v>
      </c>
      <c r="M595" t="n">
        <v>0</v>
      </c>
      <c r="N595" t="n">
        <v>0</v>
      </c>
      <c r="O595" t="n">
        <v>0</v>
      </c>
      <c r="P595" t="n">
        <v>0</v>
      </c>
      <c r="Q595" t="n">
        <v>0</v>
      </c>
      <c r="R595" s="2" t="inlineStr"/>
    </row>
    <row r="596" ht="15" customHeight="1">
      <c r="A596" t="inlineStr">
        <is>
          <t>A 39489-2023</t>
        </is>
      </c>
      <c r="B596" s="1" t="n">
        <v>45166</v>
      </c>
      <c r="C596" s="1" t="n">
        <v>46084</v>
      </c>
      <c r="D596" t="inlineStr">
        <is>
          <t>JÄMTLANDS LÄN</t>
        </is>
      </c>
      <c r="E596" t="inlineStr">
        <is>
          <t>RAGUNDA</t>
        </is>
      </c>
      <c r="G596" t="n">
        <v>5</v>
      </c>
      <c r="H596" t="n">
        <v>0</v>
      </c>
      <c r="I596" t="n">
        <v>0</v>
      </c>
      <c r="J596" t="n">
        <v>0</v>
      </c>
      <c r="K596" t="n">
        <v>0</v>
      </c>
      <c r="L596" t="n">
        <v>0</v>
      </c>
      <c r="M596" t="n">
        <v>0</v>
      </c>
      <c r="N596" t="n">
        <v>0</v>
      </c>
      <c r="O596" t="n">
        <v>0</v>
      </c>
      <c r="P596" t="n">
        <v>0</v>
      </c>
      <c r="Q596" t="n">
        <v>0</v>
      </c>
      <c r="R596" s="2" t="inlineStr"/>
    </row>
    <row r="597" ht="15" customHeight="1">
      <c r="A597" t="inlineStr">
        <is>
          <t>A 55214-2022</t>
        </is>
      </c>
      <c r="B597" s="1" t="n">
        <v>44886</v>
      </c>
      <c r="C597" s="1" t="n">
        <v>46084</v>
      </c>
      <c r="D597" t="inlineStr">
        <is>
          <t>JÄMTLANDS LÄN</t>
        </is>
      </c>
      <c r="E597" t="inlineStr">
        <is>
          <t>RAGUNDA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43776-2025</t>
        </is>
      </c>
      <c r="B598" s="1" t="n">
        <v>45912.51086805556</v>
      </c>
      <c r="C598" s="1" t="n">
        <v>46084</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43971-2025</t>
        </is>
      </c>
      <c r="B599" s="1" t="n">
        <v>45915.40694444445</v>
      </c>
      <c r="C599" s="1" t="n">
        <v>46084</v>
      </c>
      <c r="D599" t="inlineStr">
        <is>
          <t>JÄMTLANDS LÄN</t>
        </is>
      </c>
      <c r="E599" t="inlineStr">
        <is>
          <t>RAGUNDA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43804-2025</t>
        </is>
      </c>
      <c r="B600" s="1" t="n">
        <v>45912.57373842593</v>
      </c>
      <c r="C600" s="1" t="n">
        <v>46084</v>
      </c>
      <c r="D600" t="inlineStr">
        <is>
          <t>JÄMTLANDS LÄN</t>
        </is>
      </c>
      <c r="E600" t="inlineStr">
        <is>
          <t>RAGUNDA</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55524-2024</t>
        </is>
      </c>
      <c r="B601" s="1" t="n">
        <v>45622.47435185185</v>
      </c>
      <c r="C601" s="1" t="n">
        <v>46084</v>
      </c>
      <c r="D601" t="inlineStr">
        <is>
          <t>JÄMTLANDS LÄN</t>
        </is>
      </c>
      <c r="E601" t="inlineStr">
        <is>
          <t>RAGUNDA</t>
        </is>
      </c>
      <c r="G601" t="n">
        <v>1.4</v>
      </c>
      <c r="H601" t="n">
        <v>0</v>
      </c>
      <c r="I601" t="n">
        <v>0</v>
      </c>
      <c r="J601" t="n">
        <v>0</v>
      </c>
      <c r="K601" t="n">
        <v>0</v>
      </c>
      <c r="L601" t="n">
        <v>0</v>
      </c>
      <c r="M601" t="n">
        <v>0</v>
      </c>
      <c r="N601" t="n">
        <v>0</v>
      </c>
      <c r="O601" t="n">
        <v>0</v>
      </c>
      <c r="P601" t="n">
        <v>0</v>
      </c>
      <c r="Q601" t="n">
        <v>0</v>
      </c>
      <c r="R601" s="2" t="inlineStr"/>
    </row>
    <row r="602" ht="15" customHeight="1">
      <c r="A602" t="inlineStr">
        <is>
          <t>A 25332-2023</t>
        </is>
      </c>
      <c r="B602" s="1" t="n">
        <v>45086.94010416666</v>
      </c>
      <c r="C602" s="1" t="n">
        <v>46084</v>
      </c>
      <c r="D602" t="inlineStr">
        <is>
          <t>JÄMTLANDS LÄN</t>
        </is>
      </c>
      <c r="E602" t="inlineStr">
        <is>
          <t>RAGUNDA</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28637-2025</t>
        </is>
      </c>
      <c r="B603" s="1" t="n">
        <v>45819.6359375</v>
      </c>
      <c r="C603" s="1" t="n">
        <v>46084</v>
      </c>
      <c r="D603" t="inlineStr">
        <is>
          <t>JÄMTLANDS LÄN</t>
        </is>
      </c>
      <c r="E603" t="inlineStr">
        <is>
          <t>RAGUNDA</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29920-2024</t>
        </is>
      </c>
      <c r="B604" s="1" t="n">
        <v>45487.92856481481</v>
      </c>
      <c r="C604" s="1" t="n">
        <v>46084</v>
      </c>
      <c r="D604" t="inlineStr">
        <is>
          <t>JÄMTLANDS LÄN</t>
        </is>
      </c>
      <c r="E604" t="inlineStr">
        <is>
          <t>RAGUNDA</t>
        </is>
      </c>
      <c r="G604" t="n">
        <v>3.4</v>
      </c>
      <c r="H604" t="n">
        <v>0</v>
      </c>
      <c r="I604" t="n">
        <v>0</v>
      </c>
      <c r="J604" t="n">
        <v>0</v>
      </c>
      <c r="K604" t="n">
        <v>0</v>
      </c>
      <c r="L604" t="n">
        <v>0</v>
      </c>
      <c r="M604" t="n">
        <v>0</v>
      </c>
      <c r="N604" t="n">
        <v>0</v>
      </c>
      <c r="O604" t="n">
        <v>0</v>
      </c>
      <c r="P604" t="n">
        <v>0</v>
      </c>
      <c r="Q604" t="n">
        <v>0</v>
      </c>
      <c r="R604" s="2" t="inlineStr"/>
    </row>
    <row r="605" ht="15" customHeight="1">
      <c r="A605" t="inlineStr">
        <is>
          <t>A 28973-2025</t>
        </is>
      </c>
      <c r="B605" s="1" t="n">
        <v>45821.34513888889</v>
      </c>
      <c r="C605" s="1" t="n">
        <v>46084</v>
      </c>
      <c r="D605" t="inlineStr">
        <is>
          <t>JÄMTLANDS LÄN</t>
        </is>
      </c>
      <c r="E605" t="inlineStr">
        <is>
          <t>RAGUNDA</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3767-2025</t>
        </is>
      </c>
      <c r="B606" s="1" t="n">
        <v>45681.60203703704</v>
      </c>
      <c r="C606" s="1" t="n">
        <v>46084</v>
      </c>
      <c r="D606" t="inlineStr">
        <is>
          <t>JÄMTLANDS LÄN</t>
        </is>
      </c>
      <c r="E606" t="inlineStr">
        <is>
          <t>RAGUNDA</t>
        </is>
      </c>
      <c r="G606" t="n">
        <v>4.9</v>
      </c>
      <c r="H606" t="n">
        <v>0</v>
      </c>
      <c r="I606" t="n">
        <v>0</v>
      </c>
      <c r="J606" t="n">
        <v>0</v>
      </c>
      <c r="K606" t="n">
        <v>0</v>
      </c>
      <c r="L606" t="n">
        <v>0</v>
      </c>
      <c r="M606" t="n">
        <v>0</v>
      </c>
      <c r="N606" t="n">
        <v>0</v>
      </c>
      <c r="O606" t="n">
        <v>0</v>
      </c>
      <c r="P606" t="n">
        <v>0</v>
      </c>
      <c r="Q606" t="n">
        <v>0</v>
      </c>
      <c r="R606" s="2" t="inlineStr"/>
    </row>
    <row r="607" ht="15" customHeight="1">
      <c r="A607" t="inlineStr">
        <is>
          <t>A 7280-2024</t>
        </is>
      </c>
      <c r="B607" s="1" t="n">
        <v>45344</v>
      </c>
      <c r="C607" s="1" t="n">
        <v>46084</v>
      </c>
      <c r="D607" t="inlineStr">
        <is>
          <t>JÄMTLANDS LÄN</t>
        </is>
      </c>
      <c r="E607" t="inlineStr">
        <is>
          <t>RAGUNDA</t>
        </is>
      </c>
      <c r="G607" t="n">
        <v>1.6</v>
      </c>
      <c r="H607" t="n">
        <v>0</v>
      </c>
      <c r="I607" t="n">
        <v>0</v>
      </c>
      <c r="J607" t="n">
        <v>0</v>
      </c>
      <c r="K607" t="n">
        <v>0</v>
      </c>
      <c r="L607" t="n">
        <v>0</v>
      </c>
      <c r="M607" t="n">
        <v>0</v>
      </c>
      <c r="N607" t="n">
        <v>0</v>
      </c>
      <c r="O607" t="n">
        <v>0</v>
      </c>
      <c r="P607" t="n">
        <v>0</v>
      </c>
      <c r="Q607" t="n">
        <v>0</v>
      </c>
      <c r="R607" s="2" t="inlineStr"/>
    </row>
    <row r="608" ht="15" customHeight="1">
      <c r="A608" t="inlineStr">
        <is>
          <t>A 7722-2023</t>
        </is>
      </c>
      <c r="B608" s="1" t="n">
        <v>44972.94140046297</v>
      </c>
      <c r="C608" s="1" t="n">
        <v>46084</v>
      </c>
      <c r="D608" t="inlineStr">
        <is>
          <t>JÄMTLANDS LÄN</t>
        </is>
      </c>
      <c r="E608" t="inlineStr">
        <is>
          <t>RAGUNDA</t>
        </is>
      </c>
      <c r="F608" t="inlineStr">
        <is>
          <t>SCA</t>
        </is>
      </c>
      <c r="G608" t="n">
        <v>5.4</v>
      </c>
      <c r="H608" t="n">
        <v>0</v>
      </c>
      <c r="I608" t="n">
        <v>0</v>
      </c>
      <c r="J608" t="n">
        <v>0</v>
      </c>
      <c r="K608" t="n">
        <v>0</v>
      </c>
      <c r="L608" t="n">
        <v>0</v>
      </c>
      <c r="M608" t="n">
        <v>0</v>
      </c>
      <c r="N608" t="n">
        <v>0</v>
      </c>
      <c r="O608" t="n">
        <v>0</v>
      </c>
      <c r="P608" t="n">
        <v>0</v>
      </c>
      <c r="Q608" t="n">
        <v>0</v>
      </c>
      <c r="R608" s="2" t="inlineStr"/>
    </row>
    <row r="609" ht="15" customHeight="1">
      <c r="A609" t="inlineStr">
        <is>
          <t>A 12204-2025</t>
        </is>
      </c>
      <c r="B609" s="1" t="n">
        <v>45729.51074074074</v>
      </c>
      <c r="C609" s="1" t="n">
        <v>46084</v>
      </c>
      <c r="D609" t="inlineStr">
        <is>
          <t>JÄMTLANDS LÄN</t>
        </is>
      </c>
      <c r="E609" t="inlineStr">
        <is>
          <t>RAGUNDA</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29731-2025</t>
        </is>
      </c>
      <c r="B610" s="1" t="n">
        <v>45825.58252314815</v>
      </c>
      <c r="C610" s="1" t="n">
        <v>46084</v>
      </c>
      <c r="D610" t="inlineStr">
        <is>
          <t>JÄMTLANDS LÄN</t>
        </is>
      </c>
      <c r="E610" t="inlineStr">
        <is>
          <t>RAGUNDA</t>
        </is>
      </c>
      <c r="G610" t="n">
        <v>2.3</v>
      </c>
      <c r="H610" t="n">
        <v>0</v>
      </c>
      <c r="I610" t="n">
        <v>0</v>
      </c>
      <c r="J610" t="n">
        <v>0</v>
      </c>
      <c r="K610" t="n">
        <v>0</v>
      </c>
      <c r="L610" t="n">
        <v>0</v>
      </c>
      <c r="M610" t="n">
        <v>0</v>
      </c>
      <c r="N610" t="n">
        <v>0</v>
      </c>
      <c r="O610" t="n">
        <v>0</v>
      </c>
      <c r="P610" t="n">
        <v>0</v>
      </c>
      <c r="Q610" t="n">
        <v>0</v>
      </c>
      <c r="R610" s="2" t="inlineStr"/>
    </row>
    <row r="611" ht="15" customHeight="1">
      <c r="A611" t="inlineStr">
        <is>
          <t>A 29723-2025</t>
        </is>
      </c>
      <c r="B611" s="1" t="n">
        <v>45825.57675925926</v>
      </c>
      <c r="C611" s="1" t="n">
        <v>46084</v>
      </c>
      <c r="D611" t="inlineStr">
        <is>
          <t>JÄMTLANDS LÄN</t>
        </is>
      </c>
      <c r="E611" t="inlineStr">
        <is>
          <t>RAGUNDA</t>
        </is>
      </c>
      <c r="G611" t="n">
        <v>3.1</v>
      </c>
      <c r="H611" t="n">
        <v>0</v>
      </c>
      <c r="I611" t="n">
        <v>0</v>
      </c>
      <c r="J611" t="n">
        <v>0</v>
      </c>
      <c r="K611" t="n">
        <v>0</v>
      </c>
      <c r="L611" t="n">
        <v>0</v>
      </c>
      <c r="M611" t="n">
        <v>0</v>
      </c>
      <c r="N611" t="n">
        <v>0</v>
      </c>
      <c r="O611" t="n">
        <v>0</v>
      </c>
      <c r="P611" t="n">
        <v>0</v>
      </c>
      <c r="Q611" t="n">
        <v>0</v>
      </c>
      <c r="R611" s="2" t="inlineStr"/>
    </row>
    <row r="612" ht="15" customHeight="1">
      <c r="A612" t="inlineStr">
        <is>
          <t>A 44778-2024</t>
        </is>
      </c>
      <c r="B612" s="1" t="n">
        <v>45574.63355324074</v>
      </c>
      <c r="C612" s="1" t="n">
        <v>46084</v>
      </c>
      <c r="D612" t="inlineStr">
        <is>
          <t>JÄMTLANDS LÄN</t>
        </is>
      </c>
      <c r="E612" t="inlineStr">
        <is>
          <t>RAGUNDA</t>
        </is>
      </c>
      <c r="G612" t="n">
        <v>5.5</v>
      </c>
      <c r="H612" t="n">
        <v>0</v>
      </c>
      <c r="I612" t="n">
        <v>0</v>
      </c>
      <c r="J612" t="n">
        <v>0</v>
      </c>
      <c r="K612" t="n">
        <v>0</v>
      </c>
      <c r="L612" t="n">
        <v>0</v>
      </c>
      <c r="M612" t="n">
        <v>0</v>
      </c>
      <c r="N612" t="n">
        <v>0</v>
      </c>
      <c r="O612" t="n">
        <v>0</v>
      </c>
      <c r="P612" t="n">
        <v>0</v>
      </c>
      <c r="Q612" t="n">
        <v>0</v>
      </c>
      <c r="R612" s="2" t="inlineStr"/>
    </row>
    <row r="613" ht="15" customHeight="1">
      <c r="A613" t="inlineStr">
        <is>
          <t>A 45279-2025</t>
        </is>
      </c>
      <c r="B613" s="1" t="n">
        <v>45919.71912037037</v>
      </c>
      <c r="C613" s="1" t="n">
        <v>46084</v>
      </c>
      <c r="D613" t="inlineStr">
        <is>
          <t>JÄMTLANDS LÄN</t>
        </is>
      </c>
      <c r="E613" t="inlineStr">
        <is>
          <t>RAGUNDA</t>
        </is>
      </c>
      <c r="F613" t="inlineStr">
        <is>
          <t>SCA</t>
        </is>
      </c>
      <c r="G613" t="n">
        <v>11.5</v>
      </c>
      <c r="H613" t="n">
        <v>0</v>
      </c>
      <c r="I613" t="n">
        <v>0</v>
      </c>
      <c r="J613" t="n">
        <v>0</v>
      </c>
      <c r="K613" t="n">
        <v>0</v>
      </c>
      <c r="L613" t="n">
        <v>0</v>
      </c>
      <c r="M613" t="n">
        <v>0</v>
      </c>
      <c r="N613" t="n">
        <v>0</v>
      </c>
      <c r="O613" t="n">
        <v>0</v>
      </c>
      <c r="P613" t="n">
        <v>0</v>
      </c>
      <c r="Q613" t="n">
        <v>0</v>
      </c>
      <c r="R613" s="2" t="inlineStr"/>
    </row>
    <row r="614" ht="15" customHeight="1">
      <c r="A614" t="inlineStr">
        <is>
          <t>A 2673-2024</t>
        </is>
      </c>
      <c r="B614" s="1" t="n">
        <v>45314</v>
      </c>
      <c r="C614" s="1" t="n">
        <v>46084</v>
      </c>
      <c r="D614" t="inlineStr">
        <is>
          <t>JÄMTLANDS LÄN</t>
        </is>
      </c>
      <c r="E614" t="inlineStr">
        <is>
          <t>RAGUNDA</t>
        </is>
      </c>
      <c r="G614" t="n">
        <v>0.9</v>
      </c>
      <c r="H614" t="n">
        <v>0</v>
      </c>
      <c r="I614" t="n">
        <v>0</v>
      </c>
      <c r="J614" t="n">
        <v>0</v>
      </c>
      <c r="K614" t="n">
        <v>0</v>
      </c>
      <c r="L614" t="n">
        <v>0</v>
      </c>
      <c r="M614" t="n">
        <v>0</v>
      </c>
      <c r="N614" t="n">
        <v>0</v>
      </c>
      <c r="O614" t="n">
        <v>0</v>
      </c>
      <c r="P614" t="n">
        <v>0</v>
      </c>
      <c r="Q614" t="n">
        <v>0</v>
      </c>
      <c r="R614" s="2" t="inlineStr"/>
    </row>
    <row r="615" ht="15" customHeight="1">
      <c r="A615" t="inlineStr">
        <is>
          <t>A 64492-2023</t>
        </is>
      </c>
      <c r="B615" s="1" t="n">
        <v>45280.92645833334</v>
      </c>
      <c r="C615" s="1" t="n">
        <v>46084</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13299-2024</t>
        </is>
      </c>
      <c r="B616" s="1" t="n">
        <v>45386.68003472222</v>
      </c>
      <c r="C616" s="1" t="n">
        <v>46084</v>
      </c>
      <c r="D616" t="inlineStr">
        <is>
          <t>JÄMTLANDS LÄN</t>
        </is>
      </c>
      <c r="E616" t="inlineStr">
        <is>
          <t>RAGUNDA</t>
        </is>
      </c>
      <c r="G616" t="n">
        <v>1.9</v>
      </c>
      <c r="H616" t="n">
        <v>0</v>
      </c>
      <c r="I616" t="n">
        <v>0</v>
      </c>
      <c r="J616" t="n">
        <v>0</v>
      </c>
      <c r="K616" t="n">
        <v>0</v>
      </c>
      <c r="L616" t="n">
        <v>0</v>
      </c>
      <c r="M616" t="n">
        <v>0</v>
      </c>
      <c r="N616" t="n">
        <v>0</v>
      </c>
      <c r="O616" t="n">
        <v>0</v>
      </c>
      <c r="P616" t="n">
        <v>0</v>
      </c>
      <c r="Q616" t="n">
        <v>0</v>
      </c>
      <c r="R616" s="2" t="inlineStr"/>
    </row>
    <row r="617" ht="15" customHeight="1">
      <c r="A617" t="inlineStr">
        <is>
          <t>A 15024-2022</t>
        </is>
      </c>
      <c r="B617" s="1" t="n">
        <v>44657</v>
      </c>
      <c r="C617" s="1" t="n">
        <v>46084</v>
      </c>
      <c r="D617" t="inlineStr">
        <is>
          <t>JÄMTLANDS LÄN</t>
        </is>
      </c>
      <c r="E617" t="inlineStr">
        <is>
          <t>RAGUNDA</t>
        </is>
      </c>
      <c r="G617" t="n">
        <v>1.8</v>
      </c>
      <c r="H617" t="n">
        <v>0</v>
      </c>
      <c r="I617" t="n">
        <v>0</v>
      </c>
      <c r="J617" t="n">
        <v>0</v>
      </c>
      <c r="K617" t="n">
        <v>0</v>
      </c>
      <c r="L617" t="n">
        <v>0</v>
      </c>
      <c r="M617" t="n">
        <v>0</v>
      </c>
      <c r="N617" t="n">
        <v>0</v>
      </c>
      <c r="O617" t="n">
        <v>0</v>
      </c>
      <c r="P617" t="n">
        <v>0</v>
      </c>
      <c r="Q617" t="n">
        <v>0</v>
      </c>
      <c r="R617" s="2" t="inlineStr"/>
    </row>
    <row r="618" ht="15" customHeight="1">
      <c r="A618" t="inlineStr">
        <is>
          <t>A 891-2022</t>
        </is>
      </c>
      <c r="B618" s="1" t="n">
        <v>44571</v>
      </c>
      <c r="C618" s="1" t="n">
        <v>46084</v>
      </c>
      <c r="D618" t="inlineStr">
        <is>
          <t>JÄMTLANDS LÄN</t>
        </is>
      </c>
      <c r="E618" t="inlineStr">
        <is>
          <t>RAGUNDA</t>
        </is>
      </c>
      <c r="G618" t="n">
        <v>1.7</v>
      </c>
      <c r="H618" t="n">
        <v>0</v>
      </c>
      <c r="I618" t="n">
        <v>0</v>
      </c>
      <c r="J618" t="n">
        <v>0</v>
      </c>
      <c r="K618" t="n">
        <v>0</v>
      </c>
      <c r="L618" t="n">
        <v>0</v>
      </c>
      <c r="M618" t="n">
        <v>0</v>
      </c>
      <c r="N618" t="n">
        <v>0</v>
      </c>
      <c r="O618" t="n">
        <v>0</v>
      </c>
      <c r="P618" t="n">
        <v>0</v>
      </c>
      <c r="Q618" t="n">
        <v>0</v>
      </c>
      <c r="R618" s="2" t="inlineStr"/>
    </row>
    <row r="619" ht="15" customHeight="1">
      <c r="A619" t="inlineStr">
        <is>
          <t>A 44954-2025</t>
        </is>
      </c>
      <c r="B619" s="1" t="n">
        <v>45918.61203703703</v>
      </c>
      <c r="C619" s="1" t="n">
        <v>46084</v>
      </c>
      <c r="D619" t="inlineStr">
        <is>
          <t>JÄMTLANDS LÄN</t>
        </is>
      </c>
      <c r="E619" t="inlineStr">
        <is>
          <t>RAGUNDA</t>
        </is>
      </c>
      <c r="G619" t="n">
        <v>3</v>
      </c>
      <c r="H619" t="n">
        <v>0</v>
      </c>
      <c r="I619" t="n">
        <v>0</v>
      </c>
      <c r="J619" t="n">
        <v>0</v>
      </c>
      <c r="K619" t="n">
        <v>0</v>
      </c>
      <c r="L619" t="n">
        <v>0</v>
      </c>
      <c r="M619" t="n">
        <v>0</v>
      </c>
      <c r="N619" t="n">
        <v>0</v>
      </c>
      <c r="O619" t="n">
        <v>0</v>
      </c>
      <c r="P619" t="n">
        <v>0</v>
      </c>
      <c r="Q619" t="n">
        <v>0</v>
      </c>
      <c r="R619" s="2" t="inlineStr"/>
    </row>
    <row r="620" ht="15" customHeight="1">
      <c r="A620" t="inlineStr">
        <is>
          <t>A 30088-2025</t>
        </is>
      </c>
      <c r="B620" s="1" t="n">
        <v>45826.65759259259</v>
      </c>
      <c r="C620" s="1" t="n">
        <v>46084</v>
      </c>
      <c r="D620" t="inlineStr">
        <is>
          <t>JÄMTLANDS LÄN</t>
        </is>
      </c>
      <c r="E620" t="inlineStr">
        <is>
          <t>RAGUNDA</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30348-2025</t>
        </is>
      </c>
      <c r="B621" s="1" t="n">
        <v>45827.53178240741</v>
      </c>
      <c r="C621" s="1" t="n">
        <v>46084</v>
      </c>
      <c r="D621" t="inlineStr">
        <is>
          <t>JÄMTLANDS LÄN</t>
        </is>
      </c>
      <c r="E621" t="inlineStr">
        <is>
          <t>RAGUNDA</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36371-2023</t>
        </is>
      </c>
      <c r="B622" s="1" t="n">
        <v>45149</v>
      </c>
      <c r="C622" s="1" t="n">
        <v>46084</v>
      </c>
      <c r="D622" t="inlineStr">
        <is>
          <t>JÄMTLANDS LÄN</t>
        </is>
      </c>
      <c r="E622" t="inlineStr">
        <is>
          <t>RAGUNDA</t>
        </is>
      </c>
      <c r="G622" t="n">
        <v>25.7</v>
      </c>
      <c r="H622" t="n">
        <v>0</v>
      </c>
      <c r="I622" t="n">
        <v>0</v>
      </c>
      <c r="J622" t="n">
        <v>0</v>
      </c>
      <c r="K622" t="n">
        <v>0</v>
      </c>
      <c r="L622" t="n">
        <v>0</v>
      </c>
      <c r="M622" t="n">
        <v>0</v>
      </c>
      <c r="N622" t="n">
        <v>0</v>
      </c>
      <c r="O622" t="n">
        <v>0</v>
      </c>
      <c r="P622" t="n">
        <v>0</v>
      </c>
      <c r="Q622" t="n">
        <v>0</v>
      </c>
      <c r="R622" s="2" t="inlineStr"/>
    </row>
    <row r="623" ht="15" customHeight="1">
      <c r="A623" t="inlineStr">
        <is>
          <t>A 56702-2023</t>
        </is>
      </c>
      <c r="B623" s="1" t="n">
        <v>45243</v>
      </c>
      <c r="C623" s="1" t="n">
        <v>46084</v>
      </c>
      <c r="D623" t="inlineStr">
        <is>
          <t>JÄMTLANDS LÄN</t>
        </is>
      </c>
      <c r="E623" t="inlineStr">
        <is>
          <t>RAGUNDA</t>
        </is>
      </c>
      <c r="F623" t="inlineStr">
        <is>
          <t>SCA</t>
        </is>
      </c>
      <c r="G623" t="n">
        <v>10.3</v>
      </c>
      <c r="H623" t="n">
        <v>0</v>
      </c>
      <c r="I623" t="n">
        <v>0</v>
      </c>
      <c r="J623" t="n">
        <v>0</v>
      </c>
      <c r="K623" t="n">
        <v>0</v>
      </c>
      <c r="L623" t="n">
        <v>0</v>
      </c>
      <c r="M623" t="n">
        <v>0</v>
      </c>
      <c r="N623" t="n">
        <v>0</v>
      </c>
      <c r="O623" t="n">
        <v>0</v>
      </c>
      <c r="P623" t="n">
        <v>0</v>
      </c>
      <c r="Q623" t="n">
        <v>0</v>
      </c>
      <c r="R623" s="2" t="inlineStr"/>
    </row>
    <row r="624" ht="15" customHeight="1">
      <c r="A624" t="inlineStr">
        <is>
          <t>A 30434-2025</t>
        </is>
      </c>
      <c r="B624" s="1" t="n">
        <v>45827.63582175926</v>
      </c>
      <c r="C624" s="1" t="n">
        <v>46084</v>
      </c>
      <c r="D624" t="inlineStr">
        <is>
          <t>JÄMTLANDS LÄN</t>
        </is>
      </c>
      <c r="E624" t="inlineStr">
        <is>
          <t>RAGUNDA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32259-2024</t>
        </is>
      </c>
      <c r="B625" s="1" t="n">
        <v>45511</v>
      </c>
      <c r="C625" s="1" t="n">
        <v>46084</v>
      </c>
      <c r="D625" t="inlineStr">
        <is>
          <t>JÄMTLANDS LÄN</t>
        </is>
      </c>
      <c r="E625" t="inlineStr">
        <is>
          <t>RAGUNDA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31463-2024</t>
        </is>
      </c>
      <c r="B626" s="1" t="n">
        <v>45505</v>
      </c>
      <c r="C626" s="1" t="n">
        <v>46084</v>
      </c>
      <c r="D626" t="inlineStr">
        <is>
          <t>JÄMTLANDS LÄN</t>
        </is>
      </c>
      <c r="E626" t="inlineStr">
        <is>
          <t>RAGUNDA</t>
        </is>
      </c>
      <c r="F626" t="inlineStr">
        <is>
          <t>SCA</t>
        </is>
      </c>
      <c r="G626" t="n">
        <v>20.3</v>
      </c>
      <c r="H626" t="n">
        <v>0</v>
      </c>
      <c r="I626" t="n">
        <v>0</v>
      </c>
      <c r="J626" t="n">
        <v>0</v>
      </c>
      <c r="K626" t="n">
        <v>0</v>
      </c>
      <c r="L626" t="n">
        <v>0</v>
      </c>
      <c r="M626" t="n">
        <v>0</v>
      </c>
      <c r="N626" t="n">
        <v>0</v>
      </c>
      <c r="O626" t="n">
        <v>0</v>
      </c>
      <c r="P626" t="n">
        <v>0</v>
      </c>
      <c r="Q626" t="n">
        <v>0</v>
      </c>
      <c r="R626" s="2" t="inlineStr"/>
    </row>
    <row r="627" ht="15" customHeight="1">
      <c r="A627" t="inlineStr">
        <is>
          <t>A 14368-2024</t>
        </is>
      </c>
      <c r="B627" s="1" t="n">
        <v>45393.94431712963</v>
      </c>
      <c r="C627" s="1" t="n">
        <v>46084</v>
      </c>
      <c r="D627" t="inlineStr">
        <is>
          <t>JÄMTLANDS LÄN</t>
        </is>
      </c>
      <c r="E627" t="inlineStr">
        <is>
          <t>RAGUNDA</t>
        </is>
      </c>
      <c r="F627" t="inlineStr">
        <is>
          <t>Naturvårdsverket</t>
        </is>
      </c>
      <c r="G627" t="n">
        <v>1.6</v>
      </c>
      <c r="H627" t="n">
        <v>0</v>
      </c>
      <c r="I627" t="n">
        <v>0</v>
      </c>
      <c r="J627" t="n">
        <v>0</v>
      </c>
      <c r="K627" t="n">
        <v>0</v>
      </c>
      <c r="L627" t="n">
        <v>0</v>
      </c>
      <c r="M627" t="n">
        <v>0</v>
      </c>
      <c r="N627" t="n">
        <v>0</v>
      </c>
      <c r="O627" t="n">
        <v>0</v>
      </c>
      <c r="P627" t="n">
        <v>0</v>
      </c>
      <c r="Q627" t="n">
        <v>0</v>
      </c>
      <c r="R627" s="2" t="inlineStr"/>
    </row>
    <row r="628" ht="15" customHeight="1">
      <c r="A628" t="inlineStr">
        <is>
          <t>A 5313-2025</t>
        </is>
      </c>
      <c r="B628" s="1" t="n">
        <v>45692.51069444444</v>
      </c>
      <c r="C628" s="1" t="n">
        <v>46084</v>
      </c>
      <c r="D628" t="inlineStr">
        <is>
          <t>JÄMTLANDS LÄN</t>
        </is>
      </c>
      <c r="E628" t="inlineStr">
        <is>
          <t>RAGUNDA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5357-2025</t>
        </is>
      </c>
      <c r="B629" s="1" t="n">
        <v>45692.57326388889</v>
      </c>
      <c r="C629" s="1" t="n">
        <v>46084</v>
      </c>
      <c r="D629" t="inlineStr">
        <is>
          <t>JÄMTLANDS LÄN</t>
        </is>
      </c>
      <c r="E629" t="inlineStr">
        <is>
          <t>RAGUNDA</t>
        </is>
      </c>
      <c r="F629" t="inlineStr">
        <is>
          <t>SCA</t>
        </is>
      </c>
      <c r="G629" t="n">
        <v>5.4</v>
      </c>
      <c r="H629" t="n">
        <v>0</v>
      </c>
      <c r="I629" t="n">
        <v>0</v>
      </c>
      <c r="J629" t="n">
        <v>0</v>
      </c>
      <c r="K629" t="n">
        <v>0</v>
      </c>
      <c r="L629" t="n">
        <v>0</v>
      </c>
      <c r="M629" t="n">
        <v>0</v>
      </c>
      <c r="N629" t="n">
        <v>0</v>
      </c>
      <c r="O629" t="n">
        <v>0</v>
      </c>
      <c r="P629" t="n">
        <v>0</v>
      </c>
      <c r="Q629" t="n">
        <v>0</v>
      </c>
      <c r="R629" s="2" t="inlineStr"/>
    </row>
    <row r="630" ht="15" customHeight="1">
      <c r="A630" t="inlineStr">
        <is>
          <t>A 45894-2025</t>
        </is>
      </c>
      <c r="B630" s="1" t="n">
        <v>45923.67765046296</v>
      </c>
      <c r="C630" s="1" t="n">
        <v>46084</v>
      </c>
      <c r="D630" t="inlineStr">
        <is>
          <t>JÄMTLANDS LÄN</t>
        </is>
      </c>
      <c r="E630" t="inlineStr">
        <is>
          <t>RAGUNDA</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3018-2024</t>
        </is>
      </c>
      <c r="B631" s="1" t="n">
        <v>45315.9492824074</v>
      </c>
      <c r="C631" s="1" t="n">
        <v>46084</v>
      </c>
      <c r="D631" t="inlineStr">
        <is>
          <t>JÄMTLANDS LÄN</t>
        </is>
      </c>
      <c r="E631" t="inlineStr">
        <is>
          <t>RAGUNDA</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30887-2025</t>
        </is>
      </c>
      <c r="B632" s="1" t="n">
        <v>45832.3459375</v>
      </c>
      <c r="C632" s="1" t="n">
        <v>46084</v>
      </c>
      <c r="D632" t="inlineStr">
        <is>
          <t>JÄMTLANDS LÄN</t>
        </is>
      </c>
      <c r="E632" t="inlineStr">
        <is>
          <t>RAGUNDA</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30883-2025</t>
        </is>
      </c>
      <c r="B633" s="1" t="n">
        <v>45832.34552083333</v>
      </c>
      <c r="C633" s="1" t="n">
        <v>46084</v>
      </c>
      <c r="D633" t="inlineStr">
        <is>
          <t>JÄMTLANDS LÄN</t>
        </is>
      </c>
      <c r="E633" t="inlineStr">
        <is>
          <t>RAGUNDA</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44605-2024</t>
        </is>
      </c>
      <c r="B634" s="1" t="n">
        <v>45574.51185185185</v>
      </c>
      <c r="C634" s="1" t="n">
        <v>46084</v>
      </c>
      <c r="D634" t="inlineStr">
        <is>
          <t>JÄMTLANDS LÄN</t>
        </is>
      </c>
      <c r="E634" t="inlineStr">
        <is>
          <t>RAGUNDA</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46192-2025</t>
        </is>
      </c>
      <c r="B635" s="1" t="n">
        <v>45924.67789351852</v>
      </c>
      <c r="C635" s="1" t="n">
        <v>46084</v>
      </c>
      <c r="D635" t="inlineStr">
        <is>
          <t>JÄMTLANDS LÄN</t>
        </is>
      </c>
      <c r="E635" t="inlineStr">
        <is>
          <t>RAGUNDA</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20773-2024</t>
        </is>
      </c>
      <c r="B636" s="1" t="n">
        <v>45436.94636574074</v>
      </c>
      <c r="C636" s="1" t="n">
        <v>46084</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34323-2023</t>
        </is>
      </c>
      <c r="B637" s="1" t="n">
        <v>45138.94925925926</v>
      </c>
      <c r="C637" s="1" t="n">
        <v>46084</v>
      </c>
      <c r="D637" t="inlineStr">
        <is>
          <t>JÄMTLANDS LÄN</t>
        </is>
      </c>
      <c r="E637" t="inlineStr">
        <is>
          <t>RAGUNDA</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50486-2023</t>
        </is>
      </c>
      <c r="B638" s="1" t="n">
        <v>45216.92424768519</v>
      </c>
      <c r="C638" s="1" t="n">
        <v>46084</v>
      </c>
      <c r="D638" t="inlineStr">
        <is>
          <t>JÄMTLANDS LÄN</t>
        </is>
      </c>
      <c r="E638" t="inlineStr">
        <is>
          <t>RAGUNDA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51538-2022</t>
        </is>
      </c>
      <c r="B639" s="1" t="n">
        <v>44869</v>
      </c>
      <c r="C639" s="1" t="n">
        <v>46084</v>
      </c>
      <c r="D639" t="inlineStr">
        <is>
          <t>JÄMTLANDS LÄN</t>
        </is>
      </c>
      <c r="E639" t="inlineStr">
        <is>
          <t>RAGUNDA</t>
        </is>
      </c>
      <c r="G639" t="n">
        <v>6.8</v>
      </c>
      <c r="H639" t="n">
        <v>0</v>
      </c>
      <c r="I639" t="n">
        <v>0</v>
      </c>
      <c r="J639" t="n">
        <v>0</v>
      </c>
      <c r="K639" t="n">
        <v>0</v>
      </c>
      <c r="L639" t="n">
        <v>0</v>
      </c>
      <c r="M639" t="n">
        <v>0</v>
      </c>
      <c r="N639" t="n">
        <v>0</v>
      </c>
      <c r="O639" t="n">
        <v>0</v>
      </c>
      <c r="P639" t="n">
        <v>0</v>
      </c>
      <c r="Q639" t="n">
        <v>0</v>
      </c>
      <c r="R639" s="2" t="inlineStr"/>
    </row>
    <row r="640" ht="15" customHeight="1">
      <c r="A640" t="inlineStr">
        <is>
          <t>A 30880-2025</t>
        </is>
      </c>
      <c r="B640" s="1" t="n">
        <v>45832.34524305556</v>
      </c>
      <c r="C640" s="1" t="n">
        <v>46084</v>
      </c>
      <c r="D640" t="inlineStr">
        <is>
          <t>JÄMTLANDS LÄN</t>
        </is>
      </c>
      <c r="E640" t="inlineStr">
        <is>
          <t>RAGUNDA</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46275-2025</t>
        </is>
      </c>
      <c r="B641" s="1" t="n">
        <v>45925.3711574074</v>
      </c>
      <c r="C641" s="1" t="n">
        <v>46084</v>
      </c>
      <c r="D641" t="inlineStr">
        <is>
          <t>JÄMTLANDS LÄN</t>
        </is>
      </c>
      <c r="E641" t="inlineStr">
        <is>
          <t>RAGUNDA</t>
        </is>
      </c>
      <c r="G641" t="n">
        <v>2.7</v>
      </c>
      <c r="H641" t="n">
        <v>0</v>
      </c>
      <c r="I641" t="n">
        <v>0</v>
      </c>
      <c r="J641" t="n">
        <v>0</v>
      </c>
      <c r="K641" t="n">
        <v>0</v>
      </c>
      <c r="L641" t="n">
        <v>0</v>
      </c>
      <c r="M641" t="n">
        <v>0</v>
      </c>
      <c r="N641" t="n">
        <v>0</v>
      </c>
      <c r="O641" t="n">
        <v>0</v>
      </c>
      <c r="P641" t="n">
        <v>0</v>
      </c>
      <c r="Q641" t="n">
        <v>0</v>
      </c>
      <c r="R641" s="2" t="inlineStr"/>
    </row>
    <row r="642" ht="15" customHeight="1">
      <c r="A642" t="inlineStr">
        <is>
          <t>A 19854-2025</t>
        </is>
      </c>
      <c r="B642" s="1" t="n">
        <v>45771.51074074074</v>
      </c>
      <c r="C642" s="1" t="n">
        <v>46084</v>
      </c>
      <c r="D642" t="inlineStr">
        <is>
          <t>JÄMTLANDS LÄN</t>
        </is>
      </c>
      <c r="E642" t="inlineStr">
        <is>
          <t>RAGUNDA</t>
        </is>
      </c>
      <c r="F642" t="inlineStr">
        <is>
          <t>SCA</t>
        </is>
      </c>
      <c r="G642" t="n">
        <v>8.4</v>
      </c>
      <c r="H642" t="n">
        <v>0</v>
      </c>
      <c r="I642" t="n">
        <v>0</v>
      </c>
      <c r="J642" t="n">
        <v>0</v>
      </c>
      <c r="K642" t="n">
        <v>0</v>
      </c>
      <c r="L642" t="n">
        <v>0</v>
      </c>
      <c r="M642" t="n">
        <v>0</v>
      </c>
      <c r="N642" t="n">
        <v>0</v>
      </c>
      <c r="O642" t="n">
        <v>0</v>
      </c>
      <c r="P642" t="n">
        <v>0</v>
      </c>
      <c r="Q642" t="n">
        <v>0</v>
      </c>
      <c r="R642" s="2" t="inlineStr"/>
    </row>
    <row r="643" ht="15" customHeight="1">
      <c r="A643" t="inlineStr">
        <is>
          <t>A 12783-2023</t>
        </is>
      </c>
      <c r="B643" s="1" t="n">
        <v>45000</v>
      </c>
      <c r="C643" s="1" t="n">
        <v>46084</v>
      </c>
      <c r="D643" t="inlineStr">
        <is>
          <t>JÄMTLANDS LÄN</t>
        </is>
      </c>
      <c r="E643" t="inlineStr">
        <is>
          <t>RAGUNDA</t>
        </is>
      </c>
      <c r="G643" t="n">
        <v>0.9</v>
      </c>
      <c r="H643" t="n">
        <v>0</v>
      </c>
      <c r="I643" t="n">
        <v>0</v>
      </c>
      <c r="J643" t="n">
        <v>0</v>
      </c>
      <c r="K643" t="n">
        <v>0</v>
      </c>
      <c r="L643" t="n">
        <v>0</v>
      </c>
      <c r="M643" t="n">
        <v>0</v>
      </c>
      <c r="N643" t="n">
        <v>0</v>
      </c>
      <c r="O643" t="n">
        <v>0</v>
      </c>
      <c r="P643" t="n">
        <v>0</v>
      </c>
      <c r="Q643" t="n">
        <v>0</v>
      </c>
      <c r="R643" s="2" t="inlineStr"/>
    </row>
    <row r="644" ht="15" customHeight="1">
      <c r="A644" t="inlineStr">
        <is>
          <t>A 53171-2024</t>
        </is>
      </c>
      <c r="B644" s="1" t="n">
        <v>45611.65679398148</v>
      </c>
      <c r="C644" s="1" t="n">
        <v>46084</v>
      </c>
      <c r="D644" t="inlineStr">
        <is>
          <t>JÄMTLANDS LÄN</t>
        </is>
      </c>
      <c r="E644" t="inlineStr">
        <is>
          <t>RAGUNDA</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50503-2024</t>
        </is>
      </c>
      <c r="B645" s="1" t="n">
        <v>45601.5315625</v>
      </c>
      <c r="C645" s="1" t="n">
        <v>46084</v>
      </c>
      <c r="D645" t="inlineStr">
        <is>
          <t>JÄMTLANDS LÄN</t>
        </is>
      </c>
      <c r="E645" t="inlineStr">
        <is>
          <t>RAGUNDA</t>
        </is>
      </c>
      <c r="F645" t="inlineStr">
        <is>
          <t>SCA</t>
        </is>
      </c>
      <c r="G645" t="n">
        <v>5.2</v>
      </c>
      <c r="H645" t="n">
        <v>0</v>
      </c>
      <c r="I645" t="n">
        <v>0</v>
      </c>
      <c r="J645" t="n">
        <v>0</v>
      </c>
      <c r="K645" t="n">
        <v>0</v>
      </c>
      <c r="L645" t="n">
        <v>0</v>
      </c>
      <c r="M645" t="n">
        <v>0</v>
      </c>
      <c r="N645" t="n">
        <v>0</v>
      </c>
      <c r="O645" t="n">
        <v>0</v>
      </c>
      <c r="P645" t="n">
        <v>0</v>
      </c>
      <c r="Q645" t="n">
        <v>0</v>
      </c>
      <c r="R645" s="2" t="inlineStr"/>
    </row>
    <row r="646" ht="15" customHeight="1">
      <c r="A646" t="inlineStr">
        <is>
          <t>A 32096-2025</t>
        </is>
      </c>
      <c r="B646" s="1" t="n">
        <v>45835.46334490741</v>
      </c>
      <c r="C646" s="1" t="n">
        <v>46084</v>
      </c>
      <c r="D646" t="inlineStr">
        <is>
          <t>JÄMTLANDS LÄN</t>
        </is>
      </c>
      <c r="E646" t="inlineStr">
        <is>
          <t>RAGUNDA</t>
        </is>
      </c>
      <c r="G646" t="n">
        <v>0.9</v>
      </c>
      <c r="H646" t="n">
        <v>0</v>
      </c>
      <c r="I646" t="n">
        <v>0</v>
      </c>
      <c r="J646" t="n">
        <v>0</v>
      </c>
      <c r="K646" t="n">
        <v>0</v>
      </c>
      <c r="L646" t="n">
        <v>0</v>
      </c>
      <c r="M646" t="n">
        <v>0</v>
      </c>
      <c r="N646" t="n">
        <v>0</v>
      </c>
      <c r="O646" t="n">
        <v>0</v>
      </c>
      <c r="P646" t="n">
        <v>0</v>
      </c>
      <c r="Q646" t="n">
        <v>0</v>
      </c>
      <c r="R646" s="2" t="inlineStr"/>
    </row>
    <row r="647" ht="15" customHeight="1">
      <c r="A647" t="inlineStr">
        <is>
          <t>A 10610-2024</t>
        </is>
      </c>
      <c r="B647" s="1" t="n">
        <v>45367.04693287037</v>
      </c>
      <c r="C647" s="1" t="n">
        <v>46084</v>
      </c>
      <c r="D647" t="inlineStr">
        <is>
          <t>JÄMTLANDS LÄN</t>
        </is>
      </c>
      <c r="E647" t="inlineStr">
        <is>
          <t>RAGUNDA</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32151-2025</t>
        </is>
      </c>
      <c r="B648" s="1" t="n">
        <v>45835.53166666667</v>
      </c>
      <c r="C648" s="1" t="n">
        <v>46084</v>
      </c>
      <c r="D648" t="inlineStr">
        <is>
          <t>JÄMTLANDS LÄN</t>
        </is>
      </c>
      <c r="E648" t="inlineStr">
        <is>
          <t>RAGUNDA</t>
        </is>
      </c>
      <c r="F648" t="inlineStr">
        <is>
          <t>SCA</t>
        </is>
      </c>
      <c r="G648" t="n">
        <v>12.3</v>
      </c>
      <c r="H648" t="n">
        <v>0</v>
      </c>
      <c r="I648" t="n">
        <v>0</v>
      </c>
      <c r="J648" t="n">
        <v>0</v>
      </c>
      <c r="K648" t="n">
        <v>0</v>
      </c>
      <c r="L648" t="n">
        <v>0</v>
      </c>
      <c r="M648" t="n">
        <v>0</v>
      </c>
      <c r="N648" t="n">
        <v>0</v>
      </c>
      <c r="O648" t="n">
        <v>0</v>
      </c>
      <c r="P648" t="n">
        <v>0</v>
      </c>
      <c r="Q648" t="n">
        <v>0</v>
      </c>
      <c r="R648" s="2" t="inlineStr"/>
    </row>
    <row r="649" ht="15" customHeight="1">
      <c r="A649" t="inlineStr">
        <is>
          <t>A 32306-2025</t>
        </is>
      </c>
      <c r="B649" s="1" t="n">
        <v>45835.72046296296</v>
      </c>
      <c r="C649" s="1" t="n">
        <v>46084</v>
      </c>
      <c r="D649" t="inlineStr">
        <is>
          <t>JÄMTLANDS LÄN</t>
        </is>
      </c>
      <c r="E649" t="inlineStr">
        <is>
          <t>RAGUNDA</t>
        </is>
      </c>
      <c r="G649" t="n">
        <v>10.2</v>
      </c>
      <c r="H649" t="n">
        <v>0</v>
      </c>
      <c r="I649" t="n">
        <v>0</v>
      </c>
      <c r="J649" t="n">
        <v>0</v>
      </c>
      <c r="K649" t="n">
        <v>0</v>
      </c>
      <c r="L649" t="n">
        <v>0</v>
      </c>
      <c r="M649" t="n">
        <v>0</v>
      </c>
      <c r="N649" t="n">
        <v>0</v>
      </c>
      <c r="O649" t="n">
        <v>0</v>
      </c>
      <c r="P649" t="n">
        <v>0</v>
      </c>
      <c r="Q649" t="n">
        <v>0</v>
      </c>
      <c r="R649" s="2" t="inlineStr"/>
    </row>
    <row r="650" ht="15" customHeight="1">
      <c r="A650" t="inlineStr">
        <is>
          <t>A 7279-2024</t>
        </is>
      </c>
      <c r="B650" s="1" t="n">
        <v>45344.92822916667</v>
      </c>
      <c r="C650" s="1" t="n">
        <v>46084</v>
      </c>
      <c r="D650" t="inlineStr">
        <is>
          <t>JÄMTLANDS LÄN</t>
        </is>
      </c>
      <c r="E650" t="inlineStr">
        <is>
          <t>RAGUNDA</t>
        </is>
      </c>
      <c r="G650" t="n">
        <v>2.1</v>
      </c>
      <c r="H650" t="n">
        <v>0</v>
      </c>
      <c r="I650" t="n">
        <v>0</v>
      </c>
      <c r="J650" t="n">
        <v>0</v>
      </c>
      <c r="K650" t="n">
        <v>0</v>
      </c>
      <c r="L650" t="n">
        <v>0</v>
      </c>
      <c r="M650" t="n">
        <v>0</v>
      </c>
      <c r="N650" t="n">
        <v>0</v>
      </c>
      <c r="O650" t="n">
        <v>0</v>
      </c>
      <c r="P650" t="n">
        <v>0</v>
      </c>
      <c r="Q650" t="n">
        <v>0</v>
      </c>
      <c r="R650" s="2" t="inlineStr"/>
    </row>
    <row r="651" ht="15" customHeight="1">
      <c r="A651" t="inlineStr">
        <is>
          <t>A 46825-2025</t>
        </is>
      </c>
      <c r="B651" s="1" t="n">
        <v>45926.92506944444</v>
      </c>
      <c r="C651" s="1" t="n">
        <v>46084</v>
      </c>
      <c r="D651" t="inlineStr">
        <is>
          <t>JÄMTLANDS LÄN</t>
        </is>
      </c>
      <c r="E651" t="inlineStr">
        <is>
          <t>RAGUNDA</t>
        </is>
      </c>
      <c r="G651" t="n">
        <v>1.4</v>
      </c>
      <c r="H651" t="n">
        <v>0</v>
      </c>
      <c r="I651" t="n">
        <v>0</v>
      </c>
      <c r="J651" t="n">
        <v>0</v>
      </c>
      <c r="K651" t="n">
        <v>0</v>
      </c>
      <c r="L651" t="n">
        <v>0</v>
      </c>
      <c r="M651" t="n">
        <v>0</v>
      </c>
      <c r="N651" t="n">
        <v>0</v>
      </c>
      <c r="O651" t="n">
        <v>0</v>
      </c>
      <c r="P651" t="n">
        <v>0</v>
      </c>
      <c r="Q651" t="n">
        <v>0</v>
      </c>
      <c r="R651" s="2" t="inlineStr"/>
    </row>
    <row r="652" ht="15" customHeight="1">
      <c r="A652" t="inlineStr">
        <is>
          <t>A 46710-2025</t>
        </is>
      </c>
      <c r="B652" s="1" t="n">
        <v>45926.57337962963</v>
      </c>
      <c r="C652" s="1" t="n">
        <v>46084</v>
      </c>
      <c r="D652" t="inlineStr">
        <is>
          <t>JÄMTLANDS LÄN</t>
        </is>
      </c>
      <c r="E652" t="inlineStr">
        <is>
          <t>RAGUNDA</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47075-2025</t>
        </is>
      </c>
      <c r="B653" s="1" t="n">
        <v>45929.63728009259</v>
      </c>
      <c r="C653" s="1" t="n">
        <v>46084</v>
      </c>
      <c r="D653" t="inlineStr">
        <is>
          <t>JÄMTLANDS LÄN</t>
        </is>
      </c>
      <c r="E653" t="inlineStr">
        <is>
          <t>RAGUNDA</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32021-2025</t>
        </is>
      </c>
      <c r="B654" s="1" t="n">
        <v>45835.40668981482</v>
      </c>
      <c r="C654" s="1" t="n">
        <v>46084</v>
      </c>
      <c r="D654" t="inlineStr">
        <is>
          <t>JÄMTLANDS LÄN</t>
        </is>
      </c>
      <c r="E654" t="inlineStr">
        <is>
          <t>RAGUNDA</t>
        </is>
      </c>
      <c r="F654" t="inlineStr">
        <is>
          <t>SCA</t>
        </is>
      </c>
      <c r="G654" t="n">
        <v>3.2</v>
      </c>
      <c r="H654" t="n">
        <v>0</v>
      </c>
      <c r="I654" t="n">
        <v>0</v>
      </c>
      <c r="J654" t="n">
        <v>0</v>
      </c>
      <c r="K654" t="n">
        <v>0</v>
      </c>
      <c r="L654" t="n">
        <v>0</v>
      </c>
      <c r="M654" t="n">
        <v>0</v>
      </c>
      <c r="N654" t="n">
        <v>0</v>
      </c>
      <c r="O654" t="n">
        <v>0</v>
      </c>
      <c r="P654" t="n">
        <v>0</v>
      </c>
      <c r="Q654" t="n">
        <v>0</v>
      </c>
      <c r="R654" s="2" t="inlineStr"/>
    </row>
    <row r="655" ht="15" customHeight="1">
      <c r="A655" t="inlineStr">
        <is>
          <t>A 31882-2025</t>
        </is>
      </c>
      <c r="B655" s="1" t="n">
        <v>45834.65662037037</v>
      </c>
      <c r="C655" s="1" t="n">
        <v>46084</v>
      </c>
      <c r="D655" t="inlineStr">
        <is>
          <t>JÄMTLANDS LÄN</t>
        </is>
      </c>
      <c r="E655" t="inlineStr">
        <is>
          <t>RAGUNDA</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47119-2025</t>
        </is>
      </c>
      <c r="B656" s="1" t="n">
        <v>45929.67795138889</v>
      </c>
      <c r="C656" s="1" t="n">
        <v>46084</v>
      </c>
      <c r="D656" t="inlineStr">
        <is>
          <t>JÄMTLANDS LÄN</t>
        </is>
      </c>
      <c r="E656" t="inlineStr">
        <is>
          <t>RAGUNDA</t>
        </is>
      </c>
      <c r="F656" t="inlineStr">
        <is>
          <t>SCA</t>
        </is>
      </c>
      <c r="G656" t="n">
        <v>22.7</v>
      </c>
      <c r="H656" t="n">
        <v>0</v>
      </c>
      <c r="I656" t="n">
        <v>0</v>
      </c>
      <c r="J656" t="n">
        <v>0</v>
      </c>
      <c r="K656" t="n">
        <v>0</v>
      </c>
      <c r="L656" t="n">
        <v>0</v>
      </c>
      <c r="M656" t="n">
        <v>0</v>
      </c>
      <c r="N656" t="n">
        <v>0</v>
      </c>
      <c r="O656" t="n">
        <v>0</v>
      </c>
      <c r="P656" t="n">
        <v>0</v>
      </c>
      <c r="Q656" t="n">
        <v>0</v>
      </c>
      <c r="R656" s="2" t="inlineStr"/>
    </row>
    <row r="657" ht="15" customHeight="1">
      <c r="A657" t="inlineStr">
        <is>
          <t>A 10706-2023</t>
        </is>
      </c>
      <c r="B657" s="1" t="n">
        <v>44984</v>
      </c>
      <c r="C657" s="1" t="n">
        <v>46084</v>
      </c>
      <c r="D657" t="inlineStr">
        <is>
          <t>JÄMTLANDS LÄN</t>
        </is>
      </c>
      <c r="E657" t="inlineStr">
        <is>
          <t>RAGUNDA</t>
        </is>
      </c>
      <c r="G657" t="n">
        <v>7.7</v>
      </c>
      <c r="H657" t="n">
        <v>0</v>
      </c>
      <c r="I657" t="n">
        <v>0</v>
      </c>
      <c r="J657" t="n">
        <v>0</v>
      </c>
      <c r="K657" t="n">
        <v>0</v>
      </c>
      <c r="L657" t="n">
        <v>0</v>
      </c>
      <c r="M657" t="n">
        <v>0</v>
      </c>
      <c r="N657" t="n">
        <v>0</v>
      </c>
      <c r="O657" t="n">
        <v>0</v>
      </c>
      <c r="P657" t="n">
        <v>0</v>
      </c>
      <c r="Q657" t="n">
        <v>0</v>
      </c>
      <c r="R657" s="2" t="inlineStr"/>
    </row>
    <row r="658" ht="15" customHeight="1">
      <c r="A658" t="inlineStr">
        <is>
          <t>A 46689-2025</t>
        </is>
      </c>
      <c r="B658" s="1" t="n">
        <v>45926.55307870371</v>
      </c>
      <c r="C658" s="1" t="n">
        <v>46084</v>
      </c>
      <c r="D658" t="inlineStr">
        <is>
          <t>JÄMTLANDS LÄN</t>
        </is>
      </c>
      <c r="E658" t="inlineStr">
        <is>
          <t>RAGUNDA</t>
        </is>
      </c>
      <c r="F658" t="inlineStr">
        <is>
          <t>SCA</t>
        </is>
      </c>
      <c r="G658" t="n">
        <v>8</v>
      </c>
      <c r="H658" t="n">
        <v>0</v>
      </c>
      <c r="I658" t="n">
        <v>0</v>
      </c>
      <c r="J658" t="n">
        <v>0</v>
      </c>
      <c r="K658" t="n">
        <v>0</v>
      </c>
      <c r="L658" t="n">
        <v>0</v>
      </c>
      <c r="M658" t="n">
        <v>0</v>
      </c>
      <c r="N658" t="n">
        <v>0</v>
      </c>
      <c r="O658" t="n">
        <v>0</v>
      </c>
      <c r="P658" t="n">
        <v>0</v>
      </c>
      <c r="Q658" t="n">
        <v>0</v>
      </c>
      <c r="R658" s="2" t="inlineStr"/>
    </row>
    <row r="659" ht="15" customHeight="1">
      <c r="A659" t="inlineStr">
        <is>
          <t>A 46909-2025</t>
        </is>
      </c>
      <c r="B659" s="1" t="n">
        <v>45929.40673611111</v>
      </c>
      <c r="C659" s="1" t="n">
        <v>46084</v>
      </c>
      <c r="D659" t="inlineStr">
        <is>
          <t>JÄMTLANDS LÄN</t>
        </is>
      </c>
      <c r="E659" t="inlineStr">
        <is>
          <t>RAGUNDA</t>
        </is>
      </c>
      <c r="G659" t="n">
        <v>5.7</v>
      </c>
      <c r="H659" t="n">
        <v>0</v>
      </c>
      <c r="I659" t="n">
        <v>0</v>
      </c>
      <c r="J659" t="n">
        <v>0</v>
      </c>
      <c r="K659" t="n">
        <v>0</v>
      </c>
      <c r="L659" t="n">
        <v>0</v>
      </c>
      <c r="M659" t="n">
        <v>0</v>
      </c>
      <c r="N659" t="n">
        <v>0</v>
      </c>
      <c r="O659" t="n">
        <v>0</v>
      </c>
      <c r="P659" t="n">
        <v>0</v>
      </c>
      <c r="Q659" t="n">
        <v>0</v>
      </c>
      <c r="R659" s="2" t="inlineStr"/>
    </row>
    <row r="660" ht="15" customHeight="1">
      <c r="A660" t="inlineStr">
        <is>
          <t>A 63708-2023</t>
        </is>
      </c>
      <c r="B660" s="1" t="n">
        <v>45275.95060185185</v>
      </c>
      <c r="C660" s="1" t="n">
        <v>46084</v>
      </c>
      <c r="D660" t="inlineStr">
        <is>
          <t>JÄMTLANDS LÄN</t>
        </is>
      </c>
      <c r="E660" t="inlineStr">
        <is>
          <t>RAGUNDA</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47122-2025</t>
        </is>
      </c>
      <c r="B661" s="1" t="n">
        <v>45929.67878472222</v>
      </c>
      <c r="C661" s="1" t="n">
        <v>46084</v>
      </c>
      <c r="D661" t="inlineStr">
        <is>
          <t>JÄMTLANDS LÄN</t>
        </is>
      </c>
      <c r="E661" t="inlineStr">
        <is>
          <t>RAGUNDA</t>
        </is>
      </c>
      <c r="F661" t="inlineStr">
        <is>
          <t>SCA</t>
        </is>
      </c>
      <c r="G661" t="n">
        <v>31.1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46084</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46974-2025</t>
        </is>
      </c>
      <c r="B663" s="1" t="n">
        <v>45929.51104166666</v>
      </c>
      <c r="C663" s="1" t="n">
        <v>46084</v>
      </c>
      <c r="D663" t="inlineStr">
        <is>
          <t>JÄMTLANDS LÄN</t>
        </is>
      </c>
      <c r="E663" t="inlineStr">
        <is>
          <t>RAGUNDA</t>
        </is>
      </c>
      <c r="F663" t="inlineStr">
        <is>
          <t>SCA</t>
        </is>
      </c>
      <c r="G663" t="n">
        <v>12.1</v>
      </c>
      <c r="H663" t="n">
        <v>0</v>
      </c>
      <c r="I663" t="n">
        <v>0</v>
      </c>
      <c r="J663" t="n">
        <v>0</v>
      </c>
      <c r="K663" t="n">
        <v>0</v>
      </c>
      <c r="L663" t="n">
        <v>0</v>
      </c>
      <c r="M663" t="n">
        <v>0</v>
      </c>
      <c r="N663" t="n">
        <v>0</v>
      </c>
      <c r="O663" t="n">
        <v>0</v>
      </c>
      <c r="P663" t="n">
        <v>0</v>
      </c>
      <c r="Q663" t="n">
        <v>0</v>
      </c>
      <c r="R663" s="2" t="inlineStr"/>
    </row>
    <row r="664" ht="15" customHeight="1">
      <c r="A664" t="inlineStr">
        <is>
          <t>A 60663-2022</t>
        </is>
      </c>
      <c r="B664" s="1" t="n">
        <v>44911.93846064815</v>
      </c>
      <c r="C664" s="1" t="n">
        <v>46084</v>
      </c>
      <c r="D664" t="inlineStr">
        <is>
          <t>JÄMTLANDS LÄN</t>
        </is>
      </c>
      <c r="E664" t="inlineStr">
        <is>
          <t>RAGUNDA</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46751-2025</t>
        </is>
      </c>
      <c r="B665" s="1" t="n">
        <v>45926.6153125</v>
      </c>
      <c r="C665" s="1" t="n">
        <v>46084</v>
      </c>
      <c r="D665" t="inlineStr">
        <is>
          <t>JÄMTLANDS LÄN</t>
        </is>
      </c>
      <c r="E665" t="inlineStr">
        <is>
          <t>RAGUNDA</t>
        </is>
      </c>
      <c r="F665" t="inlineStr">
        <is>
          <t>SCA</t>
        </is>
      </c>
      <c r="G665" t="n">
        <v>7.8</v>
      </c>
      <c r="H665" t="n">
        <v>0</v>
      </c>
      <c r="I665" t="n">
        <v>0</v>
      </c>
      <c r="J665" t="n">
        <v>0</v>
      </c>
      <c r="K665" t="n">
        <v>0</v>
      </c>
      <c r="L665" t="n">
        <v>0</v>
      </c>
      <c r="M665" t="n">
        <v>0</v>
      </c>
      <c r="N665" t="n">
        <v>0</v>
      </c>
      <c r="O665" t="n">
        <v>0</v>
      </c>
      <c r="P665" t="n">
        <v>0</v>
      </c>
      <c r="Q665" t="n">
        <v>0</v>
      </c>
      <c r="R665" s="2" t="inlineStr"/>
    </row>
    <row r="666" ht="15" customHeight="1">
      <c r="A666" t="inlineStr">
        <is>
          <t>A 46753-2025</t>
        </is>
      </c>
      <c r="B666" s="1" t="n">
        <v>45926.61552083334</v>
      </c>
      <c r="C666" s="1" t="n">
        <v>46084</v>
      </c>
      <c r="D666" t="inlineStr">
        <is>
          <t>JÄMTLANDS LÄN</t>
        </is>
      </c>
      <c r="E666" t="inlineStr">
        <is>
          <t>RAGUNDA</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32796-2025</t>
        </is>
      </c>
      <c r="B667" s="1" t="n">
        <v>45839.49082175926</v>
      </c>
      <c r="C667" s="1" t="n">
        <v>46084</v>
      </c>
      <c r="D667" t="inlineStr">
        <is>
          <t>JÄMTLANDS LÄN</t>
        </is>
      </c>
      <c r="E667" t="inlineStr">
        <is>
          <t>RAGUNDA</t>
        </is>
      </c>
      <c r="G667" t="n">
        <v>1.7</v>
      </c>
      <c r="H667" t="n">
        <v>0</v>
      </c>
      <c r="I667" t="n">
        <v>0</v>
      </c>
      <c r="J667" t="n">
        <v>0</v>
      </c>
      <c r="K667" t="n">
        <v>0</v>
      </c>
      <c r="L667" t="n">
        <v>0</v>
      </c>
      <c r="M667" t="n">
        <v>0</v>
      </c>
      <c r="N667" t="n">
        <v>0</v>
      </c>
      <c r="O667" t="n">
        <v>0</v>
      </c>
      <c r="P667" t="n">
        <v>0</v>
      </c>
      <c r="Q667" t="n">
        <v>0</v>
      </c>
      <c r="R667" s="2" t="inlineStr"/>
    </row>
    <row r="668" ht="15" customHeight="1">
      <c r="A668" t="inlineStr">
        <is>
          <t>A 58847-2024</t>
        </is>
      </c>
      <c r="B668" s="1" t="n">
        <v>45636.3864699074</v>
      </c>
      <c r="C668" s="1" t="n">
        <v>46084</v>
      </c>
      <c r="D668" t="inlineStr">
        <is>
          <t>JÄMTLANDS LÄN</t>
        </is>
      </c>
      <c r="E668" t="inlineStr">
        <is>
          <t>RAGUNDA</t>
        </is>
      </c>
      <c r="F668" t="inlineStr">
        <is>
          <t>SCA</t>
        </is>
      </c>
      <c r="G668" t="n">
        <v>8</v>
      </c>
      <c r="H668" t="n">
        <v>0</v>
      </c>
      <c r="I668" t="n">
        <v>0</v>
      </c>
      <c r="J668" t="n">
        <v>0</v>
      </c>
      <c r="K668" t="n">
        <v>0</v>
      </c>
      <c r="L668" t="n">
        <v>0</v>
      </c>
      <c r="M668" t="n">
        <v>0</v>
      </c>
      <c r="N668" t="n">
        <v>0</v>
      </c>
      <c r="O668" t="n">
        <v>0</v>
      </c>
      <c r="P668" t="n">
        <v>0</v>
      </c>
      <c r="Q668" t="n">
        <v>0</v>
      </c>
      <c r="R668" s="2" t="inlineStr"/>
    </row>
    <row r="669" ht="15" customHeight="1">
      <c r="A669" t="inlineStr">
        <is>
          <t>A 32655-2025</t>
        </is>
      </c>
      <c r="B669" s="1" t="n">
        <v>45838.67800925926</v>
      </c>
      <c r="C669" s="1" t="n">
        <v>46084</v>
      </c>
      <c r="D669" t="inlineStr">
        <is>
          <t>JÄMTLANDS LÄN</t>
        </is>
      </c>
      <c r="E669" t="inlineStr">
        <is>
          <t>RAGUNDA</t>
        </is>
      </c>
      <c r="G669" t="n">
        <v>2.8</v>
      </c>
      <c r="H669" t="n">
        <v>0</v>
      </c>
      <c r="I669" t="n">
        <v>0</v>
      </c>
      <c r="J669" t="n">
        <v>0</v>
      </c>
      <c r="K669" t="n">
        <v>0</v>
      </c>
      <c r="L669" t="n">
        <v>0</v>
      </c>
      <c r="M669" t="n">
        <v>0</v>
      </c>
      <c r="N669" t="n">
        <v>0</v>
      </c>
      <c r="O669" t="n">
        <v>0</v>
      </c>
      <c r="P669" t="n">
        <v>0</v>
      </c>
      <c r="Q669" t="n">
        <v>0</v>
      </c>
      <c r="R669" s="2" t="inlineStr"/>
    </row>
    <row r="670" ht="15" customHeight="1">
      <c r="A670" t="inlineStr">
        <is>
          <t>A 32751-2025</t>
        </is>
      </c>
      <c r="B670" s="1" t="n">
        <v>45839.42864583333</v>
      </c>
      <c r="C670" s="1" t="n">
        <v>46084</v>
      </c>
      <c r="D670" t="inlineStr">
        <is>
          <t>JÄMTLANDS LÄN</t>
        </is>
      </c>
      <c r="E670" t="inlineStr">
        <is>
          <t>RAGUNDA</t>
        </is>
      </c>
      <c r="F670" t="inlineStr">
        <is>
          <t>SCA</t>
        </is>
      </c>
      <c r="G670" t="n">
        <v>10</v>
      </c>
      <c r="H670" t="n">
        <v>0</v>
      </c>
      <c r="I670" t="n">
        <v>0</v>
      </c>
      <c r="J670" t="n">
        <v>0</v>
      </c>
      <c r="K670" t="n">
        <v>0</v>
      </c>
      <c r="L670" t="n">
        <v>0</v>
      </c>
      <c r="M670" t="n">
        <v>0</v>
      </c>
      <c r="N670" t="n">
        <v>0</v>
      </c>
      <c r="O670" t="n">
        <v>0</v>
      </c>
      <c r="P670" t="n">
        <v>0</v>
      </c>
      <c r="Q670" t="n">
        <v>0</v>
      </c>
      <c r="R670" s="2" t="inlineStr"/>
    </row>
    <row r="671" ht="15" customHeight="1">
      <c r="A671" t="inlineStr">
        <is>
          <t>A 27777-2022</t>
        </is>
      </c>
      <c r="B671" s="1" t="n">
        <v>44743</v>
      </c>
      <c r="C671" s="1" t="n">
        <v>46084</v>
      </c>
      <c r="D671" t="inlineStr">
        <is>
          <t>JÄMTLANDS LÄN</t>
        </is>
      </c>
      <c r="E671" t="inlineStr">
        <is>
          <t>RAGUNDA</t>
        </is>
      </c>
      <c r="G671" t="n">
        <v>1.5</v>
      </c>
      <c r="H671" t="n">
        <v>0</v>
      </c>
      <c r="I671" t="n">
        <v>0</v>
      </c>
      <c r="J671" t="n">
        <v>0</v>
      </c>
      <c r="K671" t="n">
        <v>0</v>
      </c>
      <c r="L671" t="n">
        <v>0</v>
      </c>
      <c r="M671" t="n">
        <v>0</v>
      </c>
      <c r="N671" t="n">
        <v>0</v>
      </c>
      <c r="O671" t="n">
        <v>0</v>
      </c>
      <c r="P671" t="n">
        <v>0</v>
      </c>
      <c r="Q671" t="n">
        <v>0</v>
      </c>
      <c r="R671" s="2" t="inlineStr"/>
    </row>
    <row r="672" ht="15" customHeight="1">
      <c r="A672" t="inlineStr">
        <is>
          <t>A 47037-2025</t>
        </is>
      </c>
      <c r="B672" s="1" t="n">
        <v>45929.59456018519</v>
      </c>
      <c r="C672" s="1" t="n">
        <v>46084</v>
      </c>
      <c r="D672" t="inlineStr">
        <is>
          <t>JÄMTLANDS LÄN</t>
        </is>
      </c>
      <c r="E672" t="inlineStr">
        <is>
          <t>RAGUNDA</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32777-2025</t>
        </is>
      </c>
      <c r="B673" s="1" t="n">
        <v>45839.46915509259</v>
      </c>
      <c r="C673" s="1" t="n">
        <v>46084</v>
      </c>
      <c r="D673" t="inlineStr">
        <is>
          <t>JÄMTLANDS LÄN</t>
        </is>
      </c>
      <c r="E673" t="inlineStr">
        <is>
          <t>RAGUNDA</t>
        </is>
      </c>
      <c r="F673" t="inlineStr">
        <is>
          <t>SCA</t>
        </is>
      </c>
      <c r="G673" t="n">
        <v>21.7</v>
      </c>
      <c r="H673" t="n">
        <v>0</v>
      </c>
      <c r="I673" t="n">
        <v>0</v>
      </c>
      <c r="J673" t="n">
        <v>0</v>
      </c>
      <c r="K673" t="n">
        <v>0</v>
      </c>
      <c r="L673" t="n">
        <v>0</v>
      </c>
      <c r="M673" t="n">
        <v>0</v>
      </c>
      <c r="N673" t="n">
        <v>0</v>
      </c>
      <c r="O673" t="n">
        <v>0</v>
      </c>
      <c r="P673" t="n">
        <v>0</v>
      </c>
      <c r="Q673" t="n">
        <v>0</v>
      </c>
      <c r="R673" s="2" t="inlineStr"/>
    </row>
    <row r="674" ht="15" customHeight="1">
      <c r="A674" t="inlineStr">
        <is>
          <t>A 32430-2025</t>
        </is>
      </c>
      <c r="B674" s="1" t="n">
        <v>45838.36532407408</v>
      </c>
      <c r="C674" s="1" t="n">
        <v>46084</v>
      </c>
      <c r="D674" t="inlineStr">
        <is>
          <t>JÄMTLANDS LÄN</t>
        </is>
      </c>
      <c r="E674" t="inlineStr">
        <is>
          <t>RAGUNDA</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32747-2025</t>
        </is>
      </c>
      <c r="B675" s="1" t="n">
        <v>45839.42810185185</v>
      </c>
      <c r="C675" s="1" t="n">
        <v>46084</v>
      </c>
      <c r="D675" t="inlineStr">
        <is>
          <t>JÄMTLANDS LÄN</t>
        </is>
      </c>
      <c r="E675" t="inlineStr">
        <is>
          <t>RAGUNDA</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32757-2025</t>
        </is>
      </c>
      <c r="B676" s="1" t="n">
        <v>45838</v>
      </c>
      <c r="C676" s="1" t="n">
        <v>46084</v>
      </c>
      <c r="D676" t="inlineStr">
        <is>
          <t>JÄMTLANDS LÄN</t>
        </is>
      </c>
      <c r="E676" t="inlineStr">
        <is>
          <t>RAGUNDA</t>
        </is>
      </c>
      <c r="G676" t="n">
        <v>4.5</v>
      </c>
      <c r="H676" t="n">
        <v>0</v>
      </c>
      <c r="I676" t="n">
        <v>0</v>
      </c>
      <c r="J676" t="n">
        <v>0</v>
      </c>
      <c r="K676" t="n">
        <v>0</v>
      </c>
      <c r="L676" t="n">
        <v>0</v>
      </c>
      <c r="M676" t="n">
        <v>0</v>
      </c>
      <c r="N676" t="n">
        <v>0</v>
      </c>
      <c r="O676" t="n">
        <v>0</v>
      </c>
      <c r="P676" t="n">
        <v>0</v>
      </c>
      <c r="Q676" t="n">
        <v>0</v>
      </c>
      <c r="R676" s="2" t="inlineStr"/>
    </row>
    <row r="677" ht="15" customHeight="1">
      <c r="A677" t="inlineStr">
        <is>
          <t>A 42875-2024</t>
        </is>
      </c>
      <c r="B677" s="1" t="n">
        <v>45566.68125</v>
      </c>
      <c r="C677" s="1" t="n">
        <v>46084</v>
      </c>
      <c r="D677" t="inlineStr">
        <is>
          <t>JÄMTLANDS LÄN</t>
        </is>
      </c>
      <c r="E677" t="inlineStr">
        <is>
          <t>RAGUNDA</t>
        </is>
      </c>
      <c r="G677" t="n">
        <v>0.5</v>
      </c>
      <c r="H677" t="n">
        <v>0</v>
      </c>
      <c r="I677" t="n">
        <v>0</v>
      </c>
      <c r="J677" t="n">
        <v>0</v>
      </c>
      <c r="K677" t="n">
        <v>0</v>
      </c>
      <c r="L677" t="n">
        <v>0</v>
      </c>
      <c r="M677" t="n">
        <v>0</v>
      </c>
      <c r="N677" t="n">
        <v>0</v>
      </c>
      <c r="O677" t="n">
        <v>0</v>
      </c>
      <c r="P677" t="n">
        <v>0</v>
      </c>
      <c r="Q677" t="n">
        <v>0</v>
      </c>
      <c r="R677" s="2" t="inlineStr"/>
    </row>
    <row r="678" ht="15" customHeight="1">
      <c r="A678" t="inlineStr">
        <is>
          <t>A 19438-2023</t>
        </is>
      </c>
      <c r="B678" s="1" t="n">
        <v>45049</v>
      </c>
      <c r="C678" s="1" t="n">
        <v>46084</v>
      </c>
      <c r="D678" t="inlineStr">
        <is>
          <t>JÄMTLANDS LÄN</t>
        </is>
      </c>
      <c r="E678" t="inlineStr">
        <is>
          <t>RAGUNDA</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47749-2025</t>
        </is>
      </c>
      <c r="B679" s="1" t="n">
        <v>45931.65711805555</v>
      </c>
      <c r="C679" s="1" t="n">
        <v>46084</v>
      </c>
      <c r="D679" t="inlineStr">
        <is>
          <t>JÄMTLANDS LÄN</t>
        </is>
      </c>
      <c r="E679" t="inlineStr">
        <is>
          <t>RAGUNDA</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32846-2025</t>
        </is>
      </c>
      <c r="B680" s="1" t="n">
        <v>45839.57331018519</v>
      </c>
      <c r="C680" s="1" t="n">
        <v>46084</v>
      </c>
      <c r="D680" t="inlineStr">
        <is>
          <t>JÄMTLANDS LÄN</t>
        </is>
      </c>
      <c r="E680" t="inlineStr">
        <is>
          <t>RAGUNDA</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47228-2025</t>
        </is>
      </c>
      <c r="B681" s="1" t="n">
        <v>45930.3990162037</v>
      </c>
      <c r="C681" s="1" t="n">
        <v>46084</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54599-2023</t>
        </is>
      </c>
      <c r="B682" s="1" t="n">
        <v>45233.92591435185</v>
      </c>
      <c r="C682" s="1" t="n">
        <v>46084</v>
      </c>
      <c r="D682" t="inlineStr">
        <is>
          <t>JÄMTLANDS LÄN</t>
        </is>
      </c>
      <c r="E682" t="inlineStr">
        <is>
          <t>RAGUNDA</t>
        </is>
      </c>
      <c r="G682" t="n">
        <v>3.7</v>
      </c>
      <c r="H682" t="n">
        <v>0</v>
      </c>
      <c r="I682" t="n">
        <v>0</v>
      </c>
      <c r="J682" t="n">
        <v>0</v>
      </c>
      <c r="K682" t="n">
        <v>0</v>
      </c>
      <c r="L682" t="n">
        <v>0</v>
      </c>
      <c r="M682" t="n">
        <v>0</v>
      </c>
      <c r="N682" t="n">
        <v>0</v>
      </c>
      <c r="O682" t="n">
        <v>0</v>
      </c>
      <c r="P682" t="n">
        <v>0</v>
      </c>
      <c r="Q682" t="n">
        <v>0</v>
      </c>
      <c r="R682" s="2" t="inlineStr"/>
    </row>
    <row r="683" ht="15" customHeight="1">
      <c r="A683" t="inlineStr">
        <is>
          <t>A 32748-2025</t>
        </is>
      </c>
      <c r="B683" s="1" t="n">
        <v>45839.42822916667</v>
      </c>
      <c r="C683" s="1" t="n">
        <v>46084</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32762-2025</t>
        </is>
      </c>
      <c r="B684" s="1" t="n">
        <v>45838</v>
      </c>
      <c r="C684" s="1" t="n">
        <v>46084</v>
      </c>
      <c r="D684" t="inlineStr">
        <is>
          <t>JÄMTLANDS LÄN</t>
        </is>
      </c>
      <c r="E684" t="inlineStr">
        <is>
          <t>RAGUNDA</t>
        </is>
      </c>
      <c r="G684" t="n">
        <v>0.6</v>
      </c>
      <c r="H684" t="n">
        <v>0</v>
      </c>
      <c r="I684" t="n">
        <v>0</v>
      </c>
      <c r="J684" t="n">
        <v>0</v>
      </c>
      <c r="K684" t="n">
        <v>0</v>
      </c>
      <c r="L684" t="n">
        <v>0</v>
      </c>
      <c r="M684" t="n">
        <v>0</v>
      </c>
      <c r="N684" t="n">
        <v>0</v>
      </c>
      <c r="O684" t="n">
        <v>0</v>
      </c>
      <c r="P684" t="n">
        <v>0</v>
      </c>
      <c r="Q684" t="n">
        <v>0</v>
      </c>
      <c r="R684" s="2" t="inlineStr"/>
    </row>
    <row r="685" ht="15" customHeight="1">
      <c r="A685" t="inlineStr">
        <is>
          <t>A 53935-2022</t>
        </is>
      </c>
      <c r="B685" s="1" t="n">
        <v>44880</v>
      </c>
      <c r="C685" s="1" t="n">
        <v>46084</v>
      </c>
      <c r="D685" t="inlineStr">
        <is>
          <t>JÄMTLANDS LÄN</t>
        </is>
      </c>
      <c r="E685" t="inlineStr">
        <is>
          <t>RAGUNDA</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32660-2025</t>
        </is>
      </c>
      <c r="B686" s="1" t="n">
        <v>45838.67887731481</v>
      </c>
      <c r="C686" s="1" t="n">
        <v>46084</v>
      </c>
      <c r="D686" t="inlineStr">
        <is>
          <t>JÄMTLANDS LÄN</t>
        </is>
      </c>
      <c r="E686" t="inlineStr">
        <is>
          <t>RAGUNDA</t>
        </is>
      </c>
      <c r="F686" t="inlineStr">
        <is>
          <t>SCA</t>
        </is>
      </c>
      <c r="G686" t="n">
        <v>10.3</v>
      </c>
      <c r="H686" t="n">
        <v>0</v>
      </c>
      <c r="I686" t="n">
        <v>0</v>
      </c>
      <c r="J686" t="n">
        <v>0</v>
      </c>
      <c r="K686" t="n">
        <v>0</v>
      </c>
      <c r="L686" t="n">
        <v>0</v>
      </c>
      <c r="M686" t="n">
        <v>0</v>
      </c>
      <c r="N686" t="n">
        <v>0</v>
      </c>
      <c r="O686" t="n">
        <v>0</v>
      </c>
      <c r="P686" t="n">
        <v>0</v>
      </c>
      <c r="Q686" t="n">
        <v>0</v>
      </c>
      <c r="R686" s="2" t="inlineStr"/>
    </row>
    <row r="687" ht="15" customHeight="1">
      <c r="A687" t="inlineStr">
        <is>
          <t>A 47229-2025</t>
        </is>
      </c>
      <c r="B687" s="1" t="n">
        <v>45930.40166666666</v>
      </c>
      <c r="C687" s="1" t="n">
        <v>46084</v>
      </c>
      <c r="D687" t="inlineStr">
        <is>
          <t>JÄMTLANDS LÄN</t>
        </is>
      </c>
      <c r="E687" t="inlineStr">
        <is>
          <t>RAGUNDA</t>
        </is>
      </c>
      <c r="G687" t="n">
        <v>1.8</v>
      </c>
      <c r="H687" t="n">
        <v>0</v>
      </c>
      <c r="I687" t="n">
        <v>0</v>
      </c>
      <c r="J687" t="n">
        <v>0</v>
      </c>
      <c r="K687" t="n">
        <v>0</v>
      </c>
      <c r="L687" t="n">
        <v>0</v>
      </c>
      <c r="M687" t="n">
        <v>0</v>
      </c>
      <c r="N687" t="n">
        <v>0</v>
      </c>
      <c r="O687" t="n">
        <v>0</v>
      </c>
      <c r="P687" t="n">
        <v>0</v>
      </c>
      <c r="Q687" t="n">
        <v>0</v>
      </c>
      <c r="R687" s="2" t="inlineStr"/>
    </row>
    <row r="688" ht="15" customHeight="1">
      <c r="A688" t="inlineStr">
        <is>
          <t>A 32527-2025</t>
        </is>
      </c>
      <c r="B688" s="1" t="n">
        <v>45838.48996527777</v>
      </c>
      <c r="C688" s="1" t="n">
        <v>46084</v>
      </c>
      <c r="D688" t="inlineStr">
        <is>
          <t>JÄMTLANDS LÄN</t>
        </is>
      </c>
      <c r="E688" t="inlineStr">
        <is>
          <t>RAGUNDA</t>
        </is>
      </c>
      <c r="G688" t="n">
        <v>5</v>
      </c>
      <c r="H688" t="n">
        <v>0</v>
      </c>
      <c r="I688" t="n">
        <v>0</v>
      </c>
      <c r="J688" t="n">
        <v>0</v>
      </c>
      <c r="K688" t="n">
        <v>0</v>
      </c>
      <c r="L688" t="n">
        <v>0</v>
      </c>
      <c r="M688" t="n">
        <v>0</v>
      </c>
      <c r="N688" t="n">
        <v>0</v>
      </c>
      <c r="O688" t="n">
        <v>0</v>
      </c>
      <c r="P688" t="n">
        <v>0</v>
      </c>
      <c r="Q688" t="n">
        <v>0</v>
      </c>
      <c r="R688" s="2" t="inlineStr"/>
    </row>
    <row r="689" ht="15" customHeight="1">
      <c r="A689" t="inlineStr">
        <is>
          <t>A 47748-2025</t>
        </is>
      </c>
      <c r="B689" s="1" t="n">
        <v>45931.65693287037</v>
      </c>
      <c r="C689" s="1" t="n">
        <v>46084</v>
      </c>
      <c r="D689" t="inlineStr">
        <is>
          <t>JÄMTLANDS LÄN</t>
        </is>
      </c>
      <c r="E689" t="inlineStr">
        <is>
          <t>RAGUNDA</t>
        </is>
      </c>
      <c r="F689" t="inlineStr">
        <is>
          <t>SCA</t>
        </is>
      </c>
      <c r="G689" t="n">
        <v>8.6</v>
      </c>
      <c r="H689" t="n">
        <v>0</v>
      </c>
      <c r="I689" t="n">
        <v>0</v>
      </c>
      <c r="J689" t="n">
        <v>0</v>
      </c>
      <c r="K689" t="n">
        <v>0</v>
      </c>
      <c r="L689" t="n">
        <v>0</v>
      </c>
      <c r="M689" t="n">
        <v>0</v>
      </c>
      <c r="N689" t="n">
        <v>0</v>
      </c>
      <c r="O689" t="n">
        <v>0</v>
      </c>
      <c r="P689" t="n">
        <v>0</v>
      </c>
      <c r="Q689" t="n">
        <v>0</v>
      </c>
      <c r="R689" s="2" t="inlineStr"/>
    </row>
    <row r="690" ht="15" customHeight="1">
      <c r="A690" t="inlineStr">
        <is>
          <t>A 21332-2025</t>
        </is>
      </c>
      <c r="B690" s="1" t="n">
        <v>45782.36506944444</v>
      </c>
      <c r="C690" s="1" t="n">
        <v>46084</v>
      </c>
      <c r="D690" t="inlineStr">
        <is>
          <t>JÄMTLANDS LÄN</t>
        </is>
      </c>
      <c r="E690" t="inlineStr">
        <is>
          <t>RAGUNDA</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41262-2021</t>
        </is>
      </c>
      <c r="B691" s="1" t="n">
        <v>44424</v>
      </c>
      <c r="C691" s="1" t="n">
        <v>46084</v>
      </c>
      <c r="D691" t="inlineStr">
        <is>
          <t>JÄMTLANDS LÄN</t>
        </is>
      </c>
      <c r="E691" t="inlineStr">
        <is>
          <t>RAGUNDA</t>
        </is>
      </c>
      <c r="G691" t="n">
        <v>2.6</v>
      </c>
      <c r="H691" t="n">
        <v>0</v>
      </c>
      <c r="I691" t="n">
        <v>0</v>
      </c>
      <c r="J691" t="n">
        <v>0</v>
      </c>
      <c r="K691" t="n">
        <v>0</v>
      </c>
      <c r="L691" t="n">
        <v>0</v>
      </c>
      <c r="M691" t="n">
        <v>0</v>
      </c>
      <c r="N691" t="n">
        <v>0</v>
      </c>
      <c r="O691" t="n">
        <v>0</v>
      </c>
      <c r="P691" t="n">
        <v>0</v>
      </c>
      <c r="Q691" t="n">
        <v>0</v>
      </c>
      <c r="R691" s="2" t="inlineStr"/>
    </row>
    <row r="692" ht="15" customHeight="1">
      <c r="A692" t="inlineStr">
        <is>
          <t>A 33140-2025</t>
        </is>
      </c>
      <c r="B692" s="1" t="n">
        <v>45840.52225694444</v>
      </c>
      <c r="C692" s="1" t="n">
        <v>46084</v>
      </c>
      <c r="D692" t="inlineStr">
        <is>
          <t>JÄMTLANDS LÄN</t>
        </is>
      </c>
      <c r="E692" t="inlineStr">
        <is>
          <t>RAGUNDA</t>
        </is>
      </c>
      <c r="G692" t="n">
        <v>2</v>
      </c>
      <c r="H692" t="n">
        <v>0</v>
      </c>
      <c r="I692" t="n">
        <v>0</v>
      </c>
      <c r="J692" t="n">
        <v>0</v>
      </c>
      <c r="K692" t="n">
        <v>0</v>
      </c>
      <c r="L692" t="n">
        <v>0</v>
      </c>
      <c r="M692" t="n">
        <v>0</v>
      </c>
      <c r="N692" t="n">
        <v>0</v>
      </c>
      <c r="O692" t="n">
        <v>0</v>
      </c>
      <c r="P692" t="n">
        <v>0</v>
      </c>
      <c r="Q692" t="n">
        <v>0</v>
      </c>
      <c r="R692" s="2" t="inlineStr"/>
    </row>
    <row r="693" ht="15" customHeight="1">
      <c r="A693" t="inlineStr">
        <is>
          <t>A 20221-2025</t>
        </is>
      </c>
      <c r="B693" s="1" t="n">
        <v>45772.6565625</v>
      </c>
      <c r="C693" s="1" t="n">
        <v>46084</v>
      </c>
      <c r="D693" t="inlineStr">
        <is>
          <t>JÄMTLANDS LÄN</t>
        </is>
      </c>
      <c r="E693" t="inlineStr">
        <is>
          <t>RAGUNDA</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33556-2025</t>
        </is>
      </c>
      <c r="B694" s="1" t="n">
        <v>45841.57427083333</v>
      </c>
      <c r="C694" s="1" t="n">
        <v>46084</v>
      </c>
      <c r="D694" t="inlineStr">
        <is>
          <t>JÄMTLANDS LÄN</t>
        </is>
      </c>
      <c r="E694" t="inlineStr">
        <is>
          <t>RAGUNDA</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4015-2022</t>
        </is>
      </c>
      <c r="B695" s="1" t="n">
        <v>44587.92149305555</v>
      </c>
      <c r="C695" s="1" t="n">
        <v>46084</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8416-2023</t>
        </is>
      </c>
      <c r="B696" s="1" t="n">
        <v>44977.44373842593</v>
      </c>
      <c r="C696" s="1" t="n">
        <v>46084</v>
      </c>
      <c r="D696" t="inlineStr">
        <is>
          <t>JÄMTLANDS LÄN</t>
        </is>
      </c>
      <c r="E696" t="inlineStr">
        <is>
          <t>RAGUNDA</t>
        </is>
      </c>
      <c r="G696" t="n">
        <v>0.7</v>
      </c>
      <c r="H696" t="n">
        <v>0</v>
      </c>
      <c r="I696" t="n">
        <v>0</v>
      </c>
      <c r="J696" t="n">
        <v>0</v>
      </c>
      <c r="K696" t="n">
        <v>0</v>
      </c>
      <c r="L696" t="n">
        <v>0</v>
      </c>
      <c r="M696" t="n">
        <v>0</v>
      </c>
      <c r="N696" t="n">
        <v>0</v>
      </c>
      <c r="O696" t="n">
        <v>0</v>
      </c>
      <c r="P696" t="n">
        <v>0</v>
      </c>
      <c r="Q696" t="n">
        <v>0</v>
      </c>
      <c r="R696" s="2" t="inlineStr"/>
    </row>
    <row r="697" ht="15" customHeight="1">
      <c r="A697" t="inlineStr">
        <is>
          <t>A 45253-2023</t>
        </is>
      </c>
      <c r="B697" s="1" t="n">
        <v>45187</v>
      </c>
      <c r="C697" s="1" t="n">
        <v>46084</v>
      </c>
      <c r="D697" t="inlineStr">
        <is>
          <t>JÄMTLANDS LÄN</t>
        </is>
      </c>
      <c r="E697" t="inlineStr">
        <is>
          <t>RAGUNDA</t>
        </is>
      </c>
      <c r="G697" t="n">
        <v>3.3</v>
      </c>
      <c r="H697" t="n">
        <v>0</v>
      </c>
      <c r="I697" t="n">
        <v>0</v>
      </c>
      <c r="J697" t="n">
        <v>0</v>
      </c>
      <c r="K697" t="n">
        <v>0</v>
      </c>
      <c r="L697" t="n">
        <v>0</v>
      </c>
      <c r="M697" t="n">
        <v>0</v>
      </c>
      <c r="N697" t="n">
        <v>0</v>
      </c>
      <c r="O697" t="n">
        <v>0</v>
      </c>
      <c r="P697" t="n">
        <v>0</v>
      </c>
      <c r="Q697" t="n">
        <v>0</v>
      </c>
      <c r="R697" s="2" t="inlineStr"/>
    </row>
    <row r="698" ht="15" customHeight="1">
      <c r="A698" t="inlineStr">
        <is>
          <t>A 14369-2024</t>
        </is>
      </c>
      <c r="B698" s="1" t="n">
        <v>45393.94459490741</v>
      </c>
      <c r="C698" s="1" t="n">
        <v>46084</v>
      </c>
      <c r="D698" t="inlineStr">
        <is>
          <t>JÄMTLANDS LÄN</t>
        </is>
      </c>
      <c r="E698" t="inlineStr">
        <is>
          <t>RAGUNDA</t>
        </is>
      </c>
      <c r="F698" t="inlineStr">
        <is>
          <t>Naturvårdsverket</t>
        </is>
      </c>
      <c r="G698" t="n">
        <v>1.8</v>
      </c>
      <c r="H698" t="n">
        <v>0</v>
      </c>
      <c r="I698" t="n">
        <v>0</v>
      </c>
      <c r="J698" t="n">
        <v>0</v>
      </c>
      <c r="K698" t="n">
        <v>0</v>
      </c>
      <c r="L698" t="n">
        <v>0</v>
      </c>
      <c r="M698" t="n">
        <v>0</v>
      </c>
      <c r="N698" t="n">
        <v>0</v>
      </c>
      <c r="O698" t="n">
        <v>0</v>
      </c>
      <c r="P698" t="n">
        <v>0</v>
      </c>
      <c r="Q698" t="n">
        <v>0</v>
      </c>
      <c r="R698" s="2" t="inlineStr"/>
    </row>
    <row r="699" ht="15" customHeight="1">
      <c r="A699" t="inlineStr">
        <is>
          <t>A 48748-2025</t>
        </is>
      </c>
      <c r="B699" s="1" t="n">
        <v>45936.67912037037</v>
      </c>
      <c r="C699" s="1" t="n">
        <v>46084</v>
      </c>
      <c r="D699" t="inlineStr">
        <is>
          <t>JÄMTLANDS LÄN</t>
        </is>
      </c>
      <c r="E699" t="inlineStr">
        <is>
          <t>RAGUNDA</t>
        </is>
      </c>
      <c r="F699" t="inlineStr">
        <is>
          <t>SCA</t>
        </is>
      </c>
      <c r="G699" t="n">
        <v>11.1</v>
      </c>
      <c r="H699" t="n">
        <v>0</v>
      </c>
      <c r="I699" t="n">
        <v>0</v>
      </c>
      <c r="J699" t="n">
        <v>0</v>
      </c>
      <c r="K699" t="n">
        <v>0</v>
      </c>
      <c r="L699" t="n">
        <v>0</v>
      </c>
      <c r="M699" t="n">
        <v>0</v>
      </c>
      <c r="N699" t="n">
        <v>0</v>
      </c>
      <c r="O699" t="n">
        <v>0</v>
      </c>
      <c r="P699" t="n">
        <v>0</v>
      </c>
      <c r="Q699" t="n">
        <v>0</v>
      </c>
      <c r="R699" s="2" t="inlineStr"/>
    </row>
    <row r="700" ht="15" customHeight="1">
      <c r="A700" t="inlineStr">
        <is>
          <t>A 48528-2025</t>
        </is>
      </c>
      <c r="B700" s="1" t="n">
        <v>45936.40758101852</v>
      </c>
      <c r="C700" s="1" t="n">
        <v>46084</v>
      </c>
      <c r="D700" t="inlineStr">
        <is>
          <t>JÄMTLANDS LÄN</t>
        </is>
      </c>
      <c r="E700" t="inlineStr">
        <is>
          <t>RAGUNDA</t>
        </is>
      </c>
      <c r="F700" t="inlineStr">
        <is>
          <t>SCA</t>
        </is>
      </c>
      <c r="G700" t="n">
        <v>6.8</v>
      </c>
      <c r="H700" t="n">
        <v>0</v>
      </c>
      <c r="I700" t="n">
        <v>0</v>
      </c>
      <c r="J700" t="n">
        <v>0</v>
      </c>
      <c r="K700" t="n">
        <v>0</v>
      </c>
      <c r="L700" t="n">
        <v>0</v>
      </c>
      <c r="M700" t="n">
        <v>0</v>
      </c>
      <c r="N700" t="n">
        <v>0</v>
      </c>
      <c r="O700" t="n">
        <v>0</v>
      </c>
      <c r="P700" t="n">
        <v>0</v>
      </c>
      <c r="Q700" t="n">
        <v>0</v>
      </c>
      <c r="R700" s="2" t="inlineStr"/>
    </row>
    <row r="701" ht="15" customHeight="1">
      <c r="A701" t="inlineStr">
        <is>
          <t>A 48742-2025</t>
        </is>
      </c>
      <c r="B701" s="1" t="n">
        <v>45936.67810185185</v>
      </c>
      <c r="C701" s="1" t="n">
        <v>46084</v>
      </c>
      <c r="D701" t="inlineStr">
        <is>
          <t>JÄMTLANDS LÄN</t>
        </is>
      </c>
      <c r="E701" t="inlineStr">
        <is>
          <t>RAGUNDA</t>
        </is>
      </c>
      <c r="F701" t="inlineStr">
        <is>
          <t>SCA</t>
        </is>
      </c>
      <c r="G701" t="n">
        <v>8.9</v>
      </c>
      <c r="H701" t="n">
        <v>0</v>
      </c>
      <c r="I701" t="n">
        <v>0</v>
      </c>
      <c r="J701" t="n">
        <v>0</v>
      </c>
      <c r="K701" t="n">
        <v>0</v>
      </c>
      <c r="L701" t="n">
        <v>0</v>
      </c>
      <c r="M701" t="n">
        <v>0</v>
      </c>
      <c r="N701" t="n">
        <v>0</v>
      </c>
      <c r="O701" t="n">
        <v>0</v>
      </c>
      <c r="P701" t="n">
        <v>0</v>
      </c>
      <c r="Q701" t="n">
        <v>0</v>
      </c>
      <c r="R701" s="2" t="inlineStr"/>
    </row>
    <row r="702" ht="15" customHeight="1">
      <c r="A702" t="inlineStr">
        <is>
          <t>A 48746-2025</t>
        </is>
      </c>
      <c r="B702" s="1" t="n">
        <v>45936.67878472222</v>
      </c>
      <c r="C702" s="1" t="n">
        <v>46084</v>
      </c>
      <c r="D702" t="inlineStr">
        <is>
          <t>JÄMTLANDS LÄN</t>
        </is>
      </c>
      <c r="E702" t="inlineStr">
        <is>
          <t>RAGUNDA</t>
        </is>
      </c>
      <c r="F702" t="inlineStr">
        <is>
          <t>SCA</t>
        </is>
      </c>
      <c r="G702" t="n">
        <v>6.5</v>
      </c>
      <c r="H702" t="n">
        <v>0</v>
      </c>
      <c r="I702" t="n">
        <v>0</v>
      </c>
      <c r="J702" t="n">
        <v>0</v>
      </c>
      <c r="K702" t="n">
        <v>0</v>
      </c>
      <c r="L702" t="n">
        <v>0</v>
      </c>
      <c r="M702" t="n">
        <v>0</v>
      </c>
      <c r="N702" t="n">
        <v>0</v>
      </c>
      <c r="O702" t="n">
        <v>0</v>
      </c>
      <c r="P702" t="n">
        <v>0</v>
      </c>
      <c r="Q702" t="n">
        <v>0</v>
      </c>
      <c r="R702" s="2" t="inlineStr"/>
    </row>
    <row r="703" ht="15" customHeight="1">
      <c r="A703" t="inlineStr">
        <is>
          <t>A 182-2023</t>
        </is>
      </c>
      <c r="B703" s="1" t="n">
        <v>44922</v>
      </c>
      <c r="C703" s="1" t="n">
        <v>46084</v>
      </c>
      <c r="D703" t="inlineStr">
        <is>
          <t>JÄMTLANDS LÄN</t>
        </is>
      </c>
      <c r="E703" t="inlineStr">
        <is>
          <t>RAGUNDA</t>
        </is>
      </c>
      <c r="G703" t="n">
        <v>1.4</v>
      </c>
      <c r="H703" t="n">
        <v>0</v>
      </c>
      <c r="I703" t="n">
        <v>0</v>
      </c>
      <c r="J703" t="n">
        <v>0</v>
      </c>
      <c r="K703" t="n">
        <v>0</v>
      </c>
      <c r="L703" t="n">
        <v>0</v>
      </c>
      <c r="M703" t="n">
        <v>0</v>
      </c>
      <c r="N703" t="n">
        <v>0</v>
      </c>
      <c r="O703" t="n">
        <v>0</v>
      </c>
      <c r="P703" t="n">
        <v>0</v>
      </c>
      <c r="Q703" t="n">
        <v>0</v>
      </c>
      <c r="R703" s="2" t="inlineStr"/>
    </row>
    <row r="704" ht="15" customHeight="1">
      <c r="A704" t="inlineStr">
        <is>
          <t>A 12660-2024</t>
        </is>
      </c>
      <c r="B704" s="1" t="n">
        <v>45384</v>
      </c>
      <c r="C704" s="1" t="n">
        <v>46084</v>
      </c>
      <c r="D704" t="inlineStr">
        <is>
          <t>JÄMTLANDS LÄN</t>
        </is>
      </c>
      <c r="E704" t="inlineStr">
        <is>
          <t>RAGUNDA</t>
        </is>
      </c>
      <c r="G704" t="n">
        <v>1.3</v>
      </c>
      <c r="H704" t="n">
        <v>0</v>
      </c>
      <c r="I704" t="n">
        <v>0</v>
      </c>
      <c r="J704" t="n">
        <v>0</v>
      </c>
      <c r="K704" t="n">
        <v>0</v>
      </c>
      <c r="L704" t="n">
        <v>0</v>
      </c>
      <c r="M704" t="n">
        <v>0</v>
      </c>
      <c r="N704" t="n">
        <v>0</v>
      </c>
      <c r="O704" t="n">
        <v>0</v>
      </c>
      <c r="P704" t="n">
        <v>0</v>
      </c>
      <c r="Q704" t="n">
        <v>0</v>
      </c>
      <c r="R704" s="2" t="inlineStr"/>
    </row>
    <row r="705" ht="15" customHeight="1">
      <c r="A705" t="inlineStr">
        <is>
          <t>A 6490-2022</t>
        </is>
      </c>
      <c r="B705" s="1" t="n">
        <v>44601</v>
      </c>
      <c r="C705" s="1" t="n">
        <v>46084</v>
      </c>
      <c r="D705" t="inlineStr">
        <is>
          <t>JÄMTLANDS LÄN</t>
        </is>
      </c>
      <c r="E705" t="inlineStr">
        <is>
          <t>RAGUNDA</t>
        </is>
      </c>
      <c r="G705" t="n">
        <v>3.8</v>
      </c>
      <c r="H705" t="n">
        <v>0</v>
      </c>
      <c r="I705" t="n">
        <v>0</v>
      </c>
      <c r="J705" t="n">
        <v>0</v>
      </c>
      <c r="K705" t="n">
        <v>0</v>
      </c>
      <c r="L705" t="n">
        <v>0</v>
      </c>
      <c r="M705" t="n">
        <v>0</v>
      </c>
      <c r="N705" t="n">
        <v>0</v>
      </c>
      <c r="O705" t="n">
        <v>0</v>
      </c>
      <c r="P705" t="n">
        <v>0</v>
      </c>
      <c r="Q705" t="n">
        <v>0</v>
      </c>
      <c r="R705" s="2" t="inlineStr"/>
    </row>
    <row r="706" ht="15" customHeight="1">
      <c r="A706" t="inlineStr">
        <is>
          <t>A 6477-2024</t>
        </is>
      </c>
      <c r="B706" s="1" t="n">
        <v>45338.95405092592</v>
      </c>
      <c r="C706" s="1" t="n">
        <v>46084</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49639-2025</t>
        </is>
      </c>
      <c r="B707" s="1" t="n">
        <v>45939.61253472222</v>
      </c>
      <c r="C707" s="1" t="n">
        <v>46084</v>
      </c>
      <c r="D707" t="inlineStr">
        <is>
          <t>JÄMTLANDS LÄN</t>
        </is>
      </c>
      <c r="E707" t="inlineStr">
        <is>
          <t>RAGUNDA</t>
        </is>
      </c>
      <c r="F707" t="inlineStr">
        <is>
          <t>Kommuner</t>
        </is>
      </c>
      <c r="G707" t="n">
        <v>13.6</v>
      </c>
      <c r="H707" t="n">
        <v>0</v>
      </c>
      <c r="I707" t="n">
        <v>0</v>
      </c>
      <c r="J707" t="n">
        <v>0</v>
      </c>
      <c r="K707" t="n">
        <v>0</v>
      </c>
      <c r="L707" t="n">
        <v>0</v>
      </c>
      <c r="M707" t="n">
        <v>0</v>
      </c>
      <c r="N707" t="n">
        <v>0</v>
      </c>
      <c r="O707" t="n">
        <v>0</v>
      </c>
      <c r="P707" t="n">
        <v>0</v>
      </c>
      <c r="Q707" t="n">
        <v>0</v>
      </c>
      <c r="R707" s="2" t="inlineStr"/>
    </row>
    <row r="708" ht="15" customHeight="1">
      <c r="A708" t="inlineStr">
        <is>
          <t>A 33790-2025</t>
        </is>
      </c>
      <c r="B708" s="1" t="n">
        <v>45842.42608796297</v>
      </c>
      <c r="C708" s="1" t="n">
        <v>46084</v>
      </c>
      <c r="D708" t="inlineStr">
        <is>
          <t>JÄMTLANDS LÄN</t>
        </is>
      </c>
      <c r="E708" t="inlineStr">
        <is>
          <t>RAGUNDA</t>
        </is>
      </c>
      <c r="G708" t="n">
        <v>0.3</v>
      </c>
      <c r="H708" t="n">
        <v>0</v>
      </c>
      <c r="I708" t="n">
        <v>0</v>
      </c>
      <c r="J708" t="n">
        <v>0</v>
      </c>
      <c r="K708" t="n">
        <v>0</v>
      </c>
      <c r="L708" t="n">
        <v>0</v>
      </c>
      <c r="M708" t="n">
        <v>0</v>
      </c>
      <c r="N708" t="n">
        <v>0</v>
      </c>
      <c r="O708" t="n">
        <v>0</v>
      </c>
      <c r="P708" t="n">
        <v>0</v>
      </c>
      <c r="Q708" t="n">
        <v>0</v>
      </c>
      <c r="R708" s="2" t="inlineStr"/>
    </row>
    <row r="709" ht="15" customHeight="1">
      <c r="A709" t="inlineStr">
        <is>
          <t>A 49059-2025</t>
        </is>
      </c>
      <c r="B709" s="1" t="n">
        <v>45937.64123842592</v>
      </c>
      <c r="C709" s="1" t="n">
        <v>46084</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49193-2025</t>
        </is>
      </c>
      <c r="B710" s="1" t="n">
        <v>45938.40831018519</v>
      </c>
      <c r="C710" s="1" t="n">
        <v>46084</v>
      </c>
      <c r="D710" t="inlineStr">
        <is>
          <t>JÄMTLANDS LÄN</t>
        </is>
      </c>
      <c r="E710" t="inlineStr">
        <is>
          <t>RAGUNDA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34607-2025</t>
        </is>
      </c>
      <c r="B711" s="1" t="n">
        <v>45847.65703703704</v>
      </c>
      <c r="C711" s="1" t="n">
        <v>46084</v>
      </c>
      <c r="D711" t="inlineStr">
        <is>
          <t>JÄMTLANDS LÄN</t>
        </is>
      </c>
      <c r="E711" t="inlineStr">
        <is>
          <t>RAGUNDA</t>
        </is>
      </c>
      <c r="F711" t="inlineStr">
        <is>
          <t>SCA</t>
        </is>
      </c>
      <c r="G711" t="n">
        <v>31.4</v>
      </c>
      <c r="H711" t="n">
        <v>0</v>
      </c>
      <c r="I711" t="n">
        <v>0</v>
      </c>
      <c r="J711" t="n">
        <v>0</v>
      </c>
      <c r="K711" t="n">
        <v>0</v>
      </c>
      <c r="L711" t="n">
        <v>0</v>
      </c>
      <c r="M711" t="n">
        <v>0</v>
      </c>
      <c r="N711" t="n">
        <v>0</v>
      </c>
      <c r="O711" t="n">
        <v>0</v>
      </c>
      <c r="P711" t="n">
        <v>0</v>
      </c>
      <c r="Q711" t="n">
        <v>0</v>
      </c>
      <c r="R711" s="2" t="inlineStr"/>
    </row>
    <row r="712" ht="15" customHeight="1">
      <c r="A712" t="inlineStr">
        <is>
          <t>A 34461-2025</t>
        </is>
      </c>
      <c r="B712" s="1" t="n">
        <v>45847.34474537037</v>
      </c>
      <c r="C712" s="1" t="n">
        <v>46084</v>
      </c>
      <c r="D712" t="inlineStr">
        <is>
          <t>JÄMTLANDS LÄN</t>
        </is>
      </c>
      <c r="E712" t="inlineStr">
        <is>
          <t>RAGUNDA</t>
        </is>
      </c>
      <c r="F712" t="inlineStr">
        <is>
          <t>SCA</t>
        </is>
      </c>
      <c r="G712" t="n">
        <v>44.8</v>
      </c>
      <c r="H712" t="n">
        <v>0</v>
      </c>
      <c r="I712" t="n">
        <v>0</v>
      </c>
      <c r="J712" t="n">
        <v>0</v>
      </c>
      <c r="K712" t="n">
        <v>0</v>
      </c>
      <c r="L712" t="n">
        <v>0</v>
      </c>
      <c r="M712" t="n">
        <v>0</v>
      </c>
      <c r="N712" t="n">
        <v>0</v>
      </c>
      <c r="O712" t="n">
        <v>0</v>
      </c>
      <c r="P712" t="n">
        <v>0</v>
      </c>
      <c r="Q712" t="n">
        <v>0</v>
      </c>
      <c r="R712" s="2" t="inlineStr"/>
    </row>
    <row r="713" ht="15" customHeight="1">
      <c r="A713" t="inlineStr">
        <is>
          <t>A 34464-2025</t>
        </is>
      </c>
      <c r="B713" s="1" t="n">
        <v>45847.34528935186</v>
      </c>
      <c r="C713" s="1" t="n">
        <v>46084</v>
      </c>
      <c r="D713" t="inlineStr">
        <is>
          <t>JÄMTLANDS LÄN</t>
        </is>
      </c>
      <c r="E713" t="inlineStr">
        <is>
          <t>RAGUNDA</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18193-2022</t>
        </is>
      </c>
      <c r="B714" s="1" t="n">
        <v>44684.94032407407</v>
      </c>
      <c r="C714" s="1" t="n">
        <v>46084</v>
      </c>
      <c r="D714" t="inlineStr">
        <is>
          <t>JÄMTLANDS LÄN</t>
        </is>
      </c>
      <c r="E714" t="inlineStr">
        <is>
          <t>RAGUNDA</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34468-2025</t>
        </is>
      </c>
      <c r="B715" s="1" t="n">
        <v>45847.34597222223</v>
      </c>
      <c r="C715" s="1" t="n">
        <v>46084</v>
      </c>
      <c r="D715" t="inlineStr">
        <is>
          <t>JÄMTLANDS LÄN</t>
        </is>
      </c>
      <c r="E715" t="inlineStr">
        <is>
          <t>RAGUNDA</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34466-2025</t>
        </is>
      </c>
      <c r="B716" s="1" t="n">
        <v>45847.34565972222</v>
      </c>
      <c r="C716" s="1" t="n">
        <v>46084</v>
      </c>
      <c r="D716" t="inlineStr">
        <is>
          <t>JÄMTLANDS LÄN</t>
        </is>
      </c>
      <c r="E716" t="inlineStr">
        <is>
          <t>RAGUNDA</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11551-2024</t>
        </is>
      </c>
      <c r="B717" s="1" t="n">
        <v>45372.95762731481</v>
      </c>
      <c r="C717" s="1" t="n">
        <v>46084</v>
      </c>
      <c r="D717" t="inlineStr">
        <is>
          <t>JÄMTLANDS LÄN</t>
        </is>
      </c>
      <c r="E717" t="inlineStr">
        <is>
          <t>RAGUNDA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34463-2025</t>
        </is>
      </c>
      <c r="B718" s="1" t="n">
        <v>45847.34515046296</v>
      </c>
      <c r="C718" s="1" t="n">
        <v>46084</v>
      </c>
      <c r="D718" t="inlineStr">
        <is>
          <t>JÄMTLANDS LÄN</t>
        </is>
      </c>
      <c r="E718" t="inlineStr">
        <is>
          <t>RAGUNDA</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49647-2024</t>
        </is>
      </c>
      <c r="B719" s="1" t="n">
        <v>45596.61533564814</v>
      </c>
      <c r="C719" s="1" t="n">
        <v>46084</v>
      </c>
      <c r="D719" t="inlineStr">
        <is>
          <t>JÄMTLANDS LÄN</t>
        </is>
      </c>
      <c r="E719" t="inlineStr">
        <is>
          <t>RAGUNDA</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53264-2024</t>
        </is>
      </c>
      <c r="B720" s="1" t="n">
        <v>45614.34545138889</v>
      </c>
      <c r="C720" s="1" t="n">
        <v>46084</v>
      </c>
      <c r="D720" t="inlineStr">
        <is>
          <t>JÄMTLANDS LÄN</t>
        </is>
      </c>
      <c r="E720" t="inlineStr">
        <is>
          <t>RAGUNDA</t>
        </is>
      </c>
      <c r="G720" t="n">
        <v>1.4</v>
      </c>
      <c r="H720" t="n">
        <v>0</v>
      </c>
      <c r="I720" t="n">
        <v>0</v>
      </c>
      <c r="J720" t="n">
        <v>0</v>
      </c>
      <c r="K720" t="n">
        <v>0</v>
      </c>
      <c r="L720" t="n">
        <v>0</v>
      </c>
      <c r="M720" t="n">
        <v>0</v>
      </c>
      <c r="N720" t="n">
        <v>0</v>
      </c>
      <c r="O720" t="n">
        <v>0</v>
      </c>
      <c r="P720" t="n">
        <v>0</v>
      </c>
      <c r="Q720" t="n">
        <v>0</v>
      </c>
      <c r="R720" s="2" t="inlineStr"/>
    </row>
    <row r="721" ht="15" customHeight="1">
      <c r="A721" t="inlineStr">
        <is>
          <t>A 34586-2025</t>
        </is>
      </c>
      <c r="B721" s="1" t="n">
        <v>45847.61513888889</v>
      </c>
      <c r="C721" s="1" t="n">
        <v>46084</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34588-2025</t>
        </is>
      </c>
      <c r="B722" s="1" t="n">
        <v>45847.61548611111</v>
      </c>
      <c r="C722" s="1" t="n">
        <v>46084</v>
      </c>
      <c r="D722" t="inlineStr">
        <is>
          <t>JÄMTLANDS LÄN</t>
        </is>
      </c>
      <c r="E722" t="inlineStr">
        <is>
          <t>RAGUNDA</t>
        </is>
      </c>
      <c r="G722" t="n">
        <v>32.3</v>
      </c>
      <c r="H722" t="n">
        <v>0</v>
      </c>
      <c r="I722" t="n">
        <v>0</v>
      </c>
      <c r="J722" t="n">
        <v>0</v>
      </c>
      <c r="K722" t="n">
        <v>0</v>
      </c>
      <c r="L722" t="n">
        <v>0</v>
      </c>
      <c r="M722" t="n">
        <v>0</v>
      </c>
      <c r="N722" t="n">
        <v>0</v>
      </c>
      <c r="O722" t="n">
        <v>0</v>
      </c>
      <c r="P722" t="n">
        <v>0</v>
      </c>
      <c r="Q722" t="n">
        <v>0</v>
      </c>
      <c r="R722" s="2" t="inlineStr"/>
    </row>
    <row r="723" ht="15" customHeight="1">
      <c r="A723" t="inlineStr">
        <is>
          <t>A 49238-2025</t>
        </is>
      </c>
      <c r="B723" s="1" t="n">
        <v>45938.48231481481</v>
      </c>
      <c r="C723" s="1" t="n">
        <v>46084</v>
      </c>
      <c r="D723" t="inlineStr">
        <is>
          <t>JÄMTLANDS LÄN</t>
        </is>
      </c>
      <c r="E723" t="inlineStr">
        <is>
          <t>RAGUNDA</t>
        </is>
      </c>
      <c r="G723" t="n">
        <v>4.7</v>
      </c>
      <c r="H723" t="n">
        <v>0</v>
      </c>
      <c r="I723" t="n">
        <v>0</v>
      </c>
      <c r="J723" t="n">
        <v>0</v>
      </c>
      <c r="K723" t="n">
        <v>0</v>
      </c>
      <c r="L723" t="n">
        <v>0</v>
      </c>
      <c r="M723" t="n">
        <v>0</v>
      </c>
      <c r="N723" t="n">
        <v>0</v>
      </c>
      <c r="O723" t="n">
        <v>0</v>
      </c>
      <c r="P723" t="n">
        <v>0</v>
      </c>
      <c r="Q723" t="n">
        <v>0</v>
      </c>
      <c r="R723" s="2" t="inlineStr"/>
    </row>
    <row r="724" ht="15" customHeight="1">
      <c r="A724" t="inlineStr">
        <is>
          <t>A 55649-2023</t>
        </is>
      </c>
      <c r="B724" s="1" t="n">
        <v>45238</v>
      </c>
      <c r="C724" s="1" t="n">
        <v>46084</v>
      </c>
      <c r="D724" t="inlineStr">
        <is>
          <t>JÄMTLANDS LÄN</t>
        </is>
      </c>
      <c r="E724" t="inlineStr">
        <is>
          <t>RAGUNDA</t>
        </is>
      </c>
      <c r="F724" t="inlineStr">
        <is>
          <t>SCA</t>
        </is>
      </c>
      <c r="G724" t="n">
        <v>6</v>
      </c>
      <c r="H724" t="n">
        <v>0</v>
      </c>
      <c r="I724" t="n">
        <v>0</v>
      </c>
      <c r="J724" t="n">
        <v>0</v>
      </c>
      <c r="K724" t="n">
        <v>0</v>
      </c>
      <c r="L724" t="n">
        <v>0</v>
      </c>
      <c r="M724" t="n">
        <v>0</v>
      </c>
      <c r="N724" t="n">
        <v>0</v>
      </c>
      <c r="O724" t="n">
        <v>0</v>
      </c>
      <c r="P724" t="n">
        <v>0</v>
      </c>
      <c r="Q724" t="n">
        <v>0</v>
      </c>
      <c r="R724" s="2" t="inlineStr"/>
    </row>
    <row r="725" ht="15" customHeight="1">
      <c r="A725" t="inlineStr">
        <is>
          <t>A 49290-2025</t>
        </is>
      </c>
      <c r="B725" s="1" t="n">
        <v>45938.53168981482</v>
      </c>
      <c r="C725" s="1" t="n">
        <v>46084</v>
      </c>
      <c r="D725" t="inlineStr">
        <is>
          <t>JÄMTLANDS LÄN</t>
        </is>
      </c>
      <c r="E725" t="inlineStr">
        <is>
          <t>RAGUNDA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34296-2025</t>
        </is>
      </c>
      <c r="B726" s="1" t="n">
        <v>45846.34454861111</v>
      </c>
      <c r="C726" s="1" t="n">
        <v>46084</v>
      </c>
      <c r="D726" t="inlineStr">
        <is>
          <t>JÄMTLANDS LÄN</t>
        </is>
      </c>
      <c r="E726" t="inlineStr">
        <is>
          <t>RAGUNDA</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49092-2025</t>
        </is>
      </c>
      <c r="B727" s="1" t="n">
        <v>45937.67792824074</v>
      </c>
      <c r="C727" s="1" t="n">
        <v>46084</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34088-2025</t>
        </is>
      </c>
      <c r="B728" s="1" t="n">
        <v>45845</v>
      </c>
      <c r="C728" s="1" t="n">
        <v>46084</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13389-2025</t>
        </is>
      </c>
      <c r="B729" s="1" t="n">
        <v>45735.69842592593</v>
      </c>
      <c r="C729" s="1" t="n">
        <v>46084</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50215-2025</t>
        </is>
      </c>
      <c r="B730" s="1" t="n">
        <v>45943.67842592593</v>
      </c>
      <c r="C730" s="1" t="n">
        <v>46084</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34709-2025</t>
        </is>
      </c>
      <c r="B731" s="1" t="n">
        <v>45848.49761574074</v>
      </c>
      <c r="C731" s="1" t="n">
        <v>46084</v>
      </c>
      <c r="D731" t="inlineStr">
        <is>
          <t>JÄMTLANDS LÄN</t>
        </is>
      </c>
      <c r="E731" t="inlineStr">
        <is>
          <t>RAGUNDA</t>
        </is>
      </c>
      <c r="G731" t="n">
        <v>3.1</v>
      </c>
      <c r="H731" t="n">
        <v>0</v>
      </c>
      <c r="I731" t="n">
        <v>0</v>
      </c>
      <c r="J731" t="n">
        <v>0</v>
      </c>
      <c r="K731" t="n">
        <v>0</v>
      </c>
      <c r="L731" t="n">
        <v>0</v>
      </c>
      <c r="M731" t="n">
        <v>0</v>
      </c>
      <c r="N731" t="n">
        <v>0</v>
      </c>
      <c r="O731" t="n">
        <v>0</v>
      </c>
      <c r="P731" t="n">
        <v>0</v>
      </c>
      <c r="Q731" t="n">
        <v>0</v>
      </c>
      <c r="R731" s="2" t="inlineStr"/>
    </row>
    <row r="732" ht="15" customHeight="1">
      <c r="A732" t="inlineStr">
        <is>
          <t>A 34772-2025</t>
        </is>
      </c>
      <c r="B732" s="1" t="n">
        <v>45848.65658564815</v>
      </c>
      <c r="C732" s="1" t="n">
        <v>46084</v>
      </c>
      <c r="D732" t="inlineStr">
        <is>
          <t>JÄMTLANDS LÄN</t>
        </is>
      </c>
      <c r="E732" t="inlineStr">
        <is>
          <t>RAGUNDA</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49991-2025</t>
        </is>
      </c>
      <c r="B733" s="1" t="n">
        <v>45942.91568287037</v>
      </c>
      <c r="C733" s="1" t="n">
        <v>46084</v>
      </c>
      <c r="D733" t="inlineStr">
        <is>
          <t>JÄMTLANDS LÄN</t>
        </is>
      </c>
      <c r="E733" t="inlineStr">
        <is>
          <t>RAGUNDA</t>
        </is>
      </c>
      <c r="G733" t="n">
        <v>9</v>
      </c>
      <c r="H733" t="n">
        <v>0</v>
      </c>
      <c r="I733" t="n">
        <v>0</v>
      </c>
      <c r="J733" t="n">
        <v>0</v>
      </c>
      <c r="K733" t="n">
        <v>0</v>
      </c>
      <c r="L733" t="n">
        <v>0</v>
      </c>
      <c r="M733" t="n">
        <v>0</v>
      </c>
      <c r="N733" t="n">
        <v>0</v>
      </c>
      <c r="O733" t="n">
        <v>0</v>
      </c>
      <c r="P733" t="n">
        <v>0</v>
      </c>
      <c r="Q733" t="n">
        <v>0</v>
      </c>
      <c r="R733" s="2" t="inlineStr"/>
    </row>
    <row r="734" ht="15" customHeight="1">
      <c r="A734" t="inlineStr">
        <is>
          <t>A 49993-2025</t>
        </is>
      </c>
      <c r="B734" s="1" t="n">
        <v>45942.94371527778</v>
      </c>
      <c r="C734" s="1" t="n">
        <v>46084</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34710-2025</t>
        </is>
      </c>
      <c r="B735" s="1" t="n">
        <v>45848.49774305556</v>
      </c>
      <c r="C735" s="1" t="n">
        <v>46084</v>
      </c>
      <c r="D735" t="inlineStr">
        <is>
          <t>JÄMTLANDS LÄN</t>
        </is>
      </c>
      <c r="E735" t="inlineStr">
        <is>
          <t>RAGUNDA</t>
        </is>
      </c>
      <c r="G735" t="n">
        <v>4.1</v>
      </c>
      <c r="H735" t="n">
        <v>0</v>
      </c>
      <c r="I735" t="n">
        <v>0</v>
      </c>
      <c r="J735" t="n">
        <v>0</v>
      </c>
      <c r="K735" t="n">
        <v>0</v>
      </c>
      <c r="L735" t="n">
        <v>0</v>
      </c>
      <c r="M735" t="n">
        <v>0</v>
      </c>
      <c r="N735" t="n">
        <v>0</v>
      </c>
      <c r="O735" t="n">
        <v>0</v>
      </c>
      <c r="P735" t="n">
        <v>0</v>
      </c>
      <c r="Q735" t="n">
        <v>0</v>
      </c>
      <c r="R735" s="2" t="inlineStr"/>
    </row>
    <row r="736" ht="15" customHeight="1">
      <c r="A736" t="inlineStr">
        <is>
          <t>A 45631-2024</t>
        </is>
      </c>
      <c r="B736" s="1" t="n">
        <v>45579.47052083333</v>
      </c>
      <c r="C736" s="1" t="n">
        <v>46084</v>
      </c>
      <c r="D736" t="inlineStr">
        <is>
          <t>JÄMTLANDS LÄN</t>
        </is>
      </c>
      <c r="E736" t="inlineStr">
        <is>
          <t>RAGUNDA</t>
        </is>
      </c>
      <c r="G736" t="n">
        <v>15.1</v>
      </c>
      <c r="H736" t="n">
        <v>0</v>
      </c>
      <c r="I736" t="n">
        <v>0</v>
      </c>
      <c r="J736" t="n">
        <v>0</v>
      </c>
      <c r="K736" t="n">
        <v>0</v>
      </c>
      <c r="L736" t="n">
        <v>0</v>
      </c>
      <c r="M736" t="n">
        <v>0</v>
      </c>
      <c r="N736" t="n">
        <v>0</v>
      </c>
      <c r="O736" t="n">
        <v>0</v>
      </c>
      <c r="P736" t="n">
        <v>0</v>
      </c>
      <c r="Q736" t="n">
        <v>0</v>
      </c>
      <c r="R736" s="2" t="inlineStr"/>
    </row>
    <row r="737" ht="15" customHeight="1">
      <c r="A737" t="inlineStr">
        <is>
          <t>A 49994-2025</t>
        </is>
      </c>
      <c r="B737" s="1" t="n">
        <v>45942.96922453704</v>
      </c>
      <c r="C737" s="1" t="n">
        <v>46084</v>
      </c>
      <c r="D737" t="inlineStr">
        <is>
          <t>JÄMTLANDS LÄN</t>
        </is>
      </c>
      <c r="E737" t="inlineStr">
        <is>
          <t>RAGUNDA</t>
        </is>
      </c>
      <c r="G737" t="n">
        <v>4.5</v>
      </c>
      <c r="H737" t="n">
        <v>0</v>
      </c>
      <c r="I737" t="n">
        <v>0</v>
      </c>
      <c r="J737" t="n">
        <v>0</v>
      </c>
      <c r="K737" t="n">
        <v>0</v>
      </c>
      <c r="L737" t="n">
        <v>0</v>
      </c>
      <c r="M737" t="n">
        <v>0</v>
      </c>
      <c r="N737" t="n">
        <v>0</v>
      </c>
      <c r="O737" t="n">
        <v>0</v>
      </c>
      <c r="P737" t="n">
        <v>0</v>
      </c>
      <c r="Q737" t="n">
        <v>0</v>
      </c>
      <c r="R737" s="2" t="inlineStr"/>
    </row>
    <row r="738" ht="15" customHeight="1">
      <c r="A738" t="inlineStr">
        <is>
          <t>A 49995-2025</t>
        </is>
      </c>
      <c r="B738" s="1" t="n">
        <v>45943.00986111111</v>
      </c>
      <c r="C738" s="1" t="n">
        <v>46084</v>
      </c>
      <c r="D738" t="inlineStr">
        <is>
          <t>JÄMTLANDS LÄN</t>
        </is>
      </c>
      <c r="E738" t="inlineStr">
        <is>
          <t>RAGUNDA</t>
        </is>
      </c>
      <c r="G738" t="n">
        <v>2.5</v>
      </c>
      <c r="H738" t="n">
        <v>0</v>
      </c>
      <c r="I738" t="n">
        <v>0</v>
      </c>
      <c r="J738" t="n">
        <v>0</v>
      </c>
      <c r="K738" t="n">
        <v>0</v>
      </c>
      <c r="L738" t="n">
        <v>0</v>
      </c>
      <c r="M738" t="n">
        <v>0</v>
      </c>
      <c r="N738" t="n">
        <v>0</v>
      </c>
      <c r="O738" t="n">
        <v>0</v>
      </c>
      <c r="P738" t="n">
        <v>0</v>
      </c>
      <c r="Q738" t="n">
        <v>0</v>
      </c>
      <c r="R738" s="2" t="inlineStr"/>
    </row>
    <row r="739" ht="15" customHeight="1">
      <c r="A739" t="inlineStr">
        <is>
          <t>A 50126-2025</t>
        </is>
      </c>
      <c r="B739" s="1" t="n">
        <v>45943.55271990741</v>
      </c>
      <c r="C739" s="1" t="n">
        <v>46084</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50098-2025</t>
        </is>
      </c>
      <c r="B740" s="1" t="n">
        <v>45943.51086805556</v>
      </c>
      <c r="C740" s="1" t="n">
        <v>46084</v>
      </c>
      <c r="D740" t="inlineStr">
        <is>
          <t>JÄMTLANDS LÄN</t>
        </is>
      </c>
      <c r="E740" t="inlineStr">
        <is>
          <t>RAGUNDA</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50125-2025</t>
        </is>
      </c>
      <c r="B741" s="1" t="n">
        <v>45943.55262731481</v>
      </c>
      <c r="C741" s="1" t="n">
        <v>46084</v>
      </c>
      <c r="D741" t="inlineStr">
        <is>
          <t>JÄMTLANDS LÄN</t>
        </is>
      </c>
      <c r="E741" t="inlineStr">
        <is>
          <t>RAGUNDA</t>
        </is>
      </c>
      <c r="F741" t="inlineStr">
        <is>
          <t>Sveaskog</t>
        </is>
      </c>
      <c r="G741" t="n">
        <v>23.2</v>
      </c>
      <c r="H741" t="n">
        <v>0</v>
      </c>
      <c r="I741" t="n">
        <v>0</v>
      </c>
      <c r="J741" t="n">
        <v>0</v>
      </c>
      <c r="K741" t="n">
        <v>0</v>
      </c>
      <c r="L741" t="n">
        <v>0</v>
      </c>
      <c r="M741" t="n">
        <v>0</v>
      </c>
      <c r="N741" t="n">
        <v>0</v>
      </c>
      <c r="O741" t="n">
        <v>0</v>
      </c>
      <c r="P741" t="n">
        <v>0</v>
      </c>
      <c r="Q741" t="n">
        <v>0</v>
      </c>
      <c r="R741" s="2" t="inlineStr"/>
    </row>
    <row r="742" ht="15" customHeight="1">
      <c r="A742" t="inlineStr">
        <is>
          <t>A 34968-2025</t>
        </is>
      </c>
      <c r="B742" s="1" t="n">
        <v>45849.65663194445</v>
      </c>
      <c r="C742" s="1" t="n">
        <v>46084</v>
      </c>
      <c r="D742" t="inlineStr">
        <is>
          <t>JÄMTLANDS LÄN</t>
        </is>
      </c>
      <c r="E742" t="inlineStr">
        <is>
          <t>RAGUNDA</t>
        </is>
      </c>
      <c r="F742" t="inlineStr">
        <is>
          <t>SCA</t>
        </is>
      </c>
      <c r="G742" t="n">
        <v>20.2</v>
      </c>
      <c r="H742" t="n">
        <v>0</v>
      </c>
      <c r="I742" t="n">
        <v>0</v>
      </c>
      <c r="J742" t="n">
        <v>0</v>
      </c>
      <c r="K742" t="n">
        <v>0</v>
      </c>
      <c r="L742" t="n">
        <v>0</v>
      </c>
      <c r="M742" t="n">
        <v>0</v>
      </c>
      <c r="N742" t="n">
        <v>0</v>
      </c>
      <c r="O742" t="n">
        <v>0</v>
      </c>
      <c r="P742" t="n">
        <v>0</v>
      </c>
      <c r="Q742" t="n">
        <v>0</v>
      </c>
      <c r="R742" s="2" t="inlineStr"/>
    </row>
    <row r="743" ht="15" customHeight="1">
      <c r="A743" t="inlineStr">
        <is>
          <t>A 50081-2025</t>
        </is>
      </c>
      <c r="B743" s="1" t="n">
        <v>45943.46954861111</v>
      </c>
      <c r="C743" s="1" t="n">
        <v>46084</v>
      </c>
      <c r="D743" t="inlineStr">
        <is>
          <t>JÄMTLANDS LÄN</t>
        </is>
      </c>
      <c r="E743" t="inlineStr">
        <is>
          <t>RAGUNDA</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50080-2025</t>
        </is>
      </c>
      <c r="B744" s="1" t="n">
        <v>45943.469375</v>
      </c>
      <c r="C744" s="1" t="n">
        <v>46084</v>
      </c>
      <c r="D744" t="inlineStr">
        <is>
          <t>JÄMTLANDS LÄN</t>
        </is>
      </c>
      <c r="E744" t="inlineStr">
        <is>
          <t>RAGUNDA</t>
        </is>
      </c>
      <c r="F744" t="inlineStr">
        <is>
          <t>Naturvårdsverket</t>
        </is>
      </c>
      <c r="G744" t="n">
        <v>6.1</v>
      </c>
      <c r="H744" t="n">
        <v>0</v>
      </c>
      <c r="I744" t="n">
        <v>0</v>
      </c>
      <c r="J744" t="n">
        <v>0</v>
      </c>
      <c r="K744" t="n">
        <v>0</v>
      </c>
      <c r="L744" t="n">
        <v>0</v>
      </c>
      <c r="M744" t="n">
        <v>0</v>
      </c>
      <c r="N744" t="n">
        <v>0</v>
      </c>
      <c r="O744" t="n">
        <v>0</v>
      </c>
      <c r="P744" t="n">
        <v>0</v>
      </c>
      <c r="Q744" t="n">
        <v>0</v>
      </c>
      <c r="R744" s="2" t="inlineStr"/>
    </row>
    <row r="745" ht="15" customHeight="1">
      <c r="A745" t="inlineStr">
        <is>
          <t>A 34998-2025</t>
        </is>
      </c>
      <c r="B745" s="1" t="n">
        <v>45850.34434027778</v>
      </c>
      <c r="C745" s="1" t="n">
        <v>46084</v>
      </c>
      <c r="D745" t="inlineStr">
        <is>
          <t>JÄMTLANDS LÄN</t>
        </is>
      </c>
      <c r="E745" t="inlineStr">
        <is>
          <t>RAGUNDA</t>
        </is>
      </c>
      <c r="G745" t="n">
        <v>1.4</v>
      </c>
      <c r="H745" t="n">
        <v>0</v>
      </c>
      <c r="I745" t="n">
        <v>0</v>
      </c>
      <c r="J745" t="n">
        <v>0</v>
      </c>
      <c r="K745" t="n">
        <v>0</v>
      </c>
      <c r="L745" t="n">
        <v>0</v>
      </c>
      <c r="M745" t="n">
        <v>0</v>
      </c>
      <c r="N745" t="n">
        <v>0</v>
      </c>
      <c r="O745" t="n">
        <v>0</v>
      </c>
      <c r="P745" t="n">
        <v>0</v>
      </c>
      <c r="Q745" t="n">
        <v>0</v>
      </c>
      <c r="R745" s="2" t="inlineStr"/>
    </row>
    <row r="746" ht="15" customHeight="1">
      <c r="A746" t="inlineStr">
        <is>
          <t>A 34999-2025</t>
        </is>
      </c>
      <c r="B746" s="1" t="n">
        <v>45850.34450231482</v>
      </c>
      <c r="C746" s="1" t="n">
        <v>46084</v>
      </c>
      <c r="D746" t="inlineStr">
        <is>
          <t>JÄMTLANDS LÄN</t>
        </is>
      </c>
      <c r="E746" t="inlineStr">
        <is>
          <t>RAGUNDA</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55701-2021</t>
        </is>
      </c>
      <c r="B747" s="1" t="n">
        <v>44475</v>
      </c>
      <c r="C747" s="1" t="n">
        <v>46084</v>
      </c>
      <c r="D747" t="inlineStr">
        <is>
          <t>JÄMTLANDS LÄN</t>
        </is>
      </c>
      <c r="E747" t="inlineStr">
        <is>
          <t>RAGUNDA</t>
        </is>
      </c>
      <c r="G747" t="n">
        <v>5.6</v>
      </c>
      <c r="H747" t="n">
        <v>0</v>
      </c>
      <c r="I747" t="n">
        <v>0</v>
      </c>
      <c r="J747" t="n">
        <v>0</v>
      </c>
      <c r="K747" t="n">
        <v>0</v>
      </c>
      <c r="L747" t="n">
        <v>0</v>
      </c>
      <c r="M747" t="n">
        <v>0</v>
      </c>
      <c r="N747" t="n">
        <v>0</v>
      </c>
      <c r="O747" t="n">
        <v>0</v>
      </c>
      <c r="P747" t="n">
        <v>0</v>
      </c>
      <c r="Q747" t="n">
        <v>0</v>
      </c>
      <c r="R747" s="2" t="inlineStr"/>
    </row>
    <row r="748" ht="15" customHeight="1">
      <c r="A748" t="inlineStr">
        <is>
          <t>A 50260-2025</t>
        </is>
      </c>
      <c r="B748" s="1" t="n">
        <v>45944.34515046296</v>
      </c>
      <c r="C748" s="1" t="n">
        <v>46084</v>
      </c>
      <c r="D748" t="inlineStr">
        <is>
          <t>JÄMTLANDS LÄN</t>
        </is>
      </c>
      <c r="E748" t="inlineStr">
        <is>
          <t>RAGUNDA</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35092-2025</t>
        </is>
      </c>
      <c r="B749" s="1" t="n">
        <v>45852.53185185185</v>
      </c>
      <c r="C749" s="1" t="n">
        <v>46084</v>
      </c>
      <c r="D749" t="inlineStr">
        <is>
          <t>JÄMTLANDS LÄN</t>
        </is>
      </c>
      <c r="E749" t="inlineStr">
        <is>
          <t>RAGUNDA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50473-2025</t>
        </is>
      </c>
      <c r="B750" s="1" t="n">
        <v>45945.36520833334</v>
      </c>
      <c r="C750" s="1" t="n">
        <v>46084</v>
      </c>
      <c r="D750" t="inlineStr">
        <is>
          <t>JÄMTLANDS LÄN</t>
        </is>
      </c>
      <c r="E750" t="inlineStr">
        <is>
          <t>RAGUNDA</t>
        </is>
      </c>
      <c r="F750" t="inlineStr">
        <is>
          <t>SCA</t>
        </is>
      </c>
      <c r="G750" t="n">
        <v>11.2</v>
      </c>
      <c r="H750" t="n">
        <v>0</v>
      </c>
      <c r="I750" t="n">
        <v>0</v>
      </c>
      <c r="J750" t="n">
        <v>0</v>
      </c>
      <c r="K750" t="n">
        <v>0</v>
      </c>
      <c r="L750" t="n">
        <v>0</v>
      </c>
      <c r="M750" t="n">
        <v>0</v>
      </c>
      <c r="N750" t="n">
        <v>0</v>
      </c>
      <c r="O750" t="n">
        <v>0</v>
      </c>
      <c r="P750" t="n">
        <v>0</v>
      </c>
      <c r="Q750" t="n">
        <v>0</v>
      </c>
      <c r="R750" s="2" t="inlineStr"/>
    </row>
    <row r="751" ht="15" customHeight="1">
      <c r="A751" t="inlineStr">
        <is>
          <t>A 35091-2025</t>
        </is>
      </c>
      <c r="B751" s="1" t="n">
        <v>45852.53168981482</v>
      </c>
      <c r="C751" s="1" t="n">
        <v>46084</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50504-2025</t>
        </is>
      </c>
      <c r="B752" s="1" t="n">
        <v>45945.4284837963</v>
      </c>
      <c r="C752" s="1" t="n">
        <v>46084</v>
      </c>
      <c r="D752" t="inlineStr">
        <is>
          <t>JÄMTLANDS LÄN</t>
        </is>
      </c>
      <c r="E752" t="inlineStr">
        <is>
          <t>RAGUNDA</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30484-2024</t>
        </is>
      </c>
      <c r="B753" s="1" t="n">
        <v>45491</v>
      </c>
      <c r="C753" s="1" t="n">
        <v>46084</v>
      </c>
      <c r="D753" t="inlineStr">
        <is>
          <t>JÄMTLANDS LÄN</t>
        </is>
      </c>
      <c r="E753" t="inlineStr">
        <is>
          <t>RAGUNDA</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12521-2023</t>
        </is>
      </c>
      <c r="B754" s="1" t="n">
        <v>45000</v>
      </c>
      <c r="C754" s="1" t="n">
        <v>46084</v>
      </c>
      <c r="D754" t="inlineStr">
        <is>
          <t>JÄMTLANDS LÄN</t>
        </is>
      </c>
      <c r="E754" t="inlineStr">
        <is>
          <t>RAGUNDA</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50503-2025</t>
        </is>
      </c>
      <c r="B755" s="1" t="n">
        <v>45945.42746527777</v>
      </c>
      <c r="C755" s="1" t="n">
        <v>46084</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35462-2025</t>
        </is>
      </c>
      <c r="B756" s="1" t="n">
        <v>45855.61523148148</v>
      </c>
      <c r="C756" s="1" t="n">
        <v>46084</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35355-2025</t>
        </is>
      </c>
      <c r="B757" s="1" t="n">
        <v>45854.65663194445</v>
      </c>
      <c r="C757" s="1" t="n">
        <v>46084</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50711-2025</t>
        </is>
      </c>
      <c r="B758" s="1" t="n">
        <v>45946.34431712963</v>
      </c>
      <c r="C758" s="1" t="n">
        <v>46084</v>
      </c>
      <c r="D758" t="inlineStr">
        <is>
          <t>JÄMTLANDS LÄN</t>
        </is>
      </c>
      <c r="E758" t="inlineStr">
        <is>
          <t>RAGUNDA</t>
        </is>
      </c>
      <c r="F758" t="inlineStr">
        <is>
          <t>SCA</t>
        </is>
      </c>
      <c r="G758" t="n">
        <v>8</v>
      </c>
      <c r="H758" t="n">
        <v>0</v>
      </c>
      <c r="I758" t="n">
        <v>0</v>
      </c>
      <c r="J758" t="n">
        <v>0</v>
      </c>
      <c r="K758" t="n">
        <v>0</v>
      </c>
      <c r="L758" t="n">
        <v>0</v>
      </c>
      <c r="M758" t="n">
        <v>0</v>
      </c>
      <c r="N758" t="n">
        <v>0</v>
      </c>
      <c r="O758" t="n">
        <v>0</v>
      </c>
      <c r="P758" t="n">
        <v>0</v>
      </c>
      <c r="Q758" t="n">
        <v>0</v>
      </c>
      <c r="R758" s="2" t="inlineStr"/>
    </row>
    <row r="759" ht="15" customHeight="1">
      <c r="A759" t="inlineStr">
        <is>
          <t>A 50716-2025</t>
        </is>
      </c>
      <c r="B759" s="1" t="n">
        <v>45946.34572916666</v>
      </c>
      <c r="C759" s="1" t="n">
        <v>46084</v>
      </c>
      <c r="D759" t="inlineStr">
        <is>
          <t>JÄMTLANDS LÄN</t>
        </is>
      </c>
      <c r="E759" t="inlineStr">
        <is>
          <t>RAGUNDA</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35477-2025</t>
        </is>
      </c>
      <c r="B760" s="1" t="n">
        <v>45855.67899305555</v>
      </c>
      <c r="C760" s="1" t="n">
        <v>46084</v>
      </c>
      <c r="D760" t="inlineStr">
        <is>
          <t>JÄMTLANDS LÄN</t>
        </is>
      </c>
      <c r="E760" t="inlineStr">
        <is>
          <t>RAGUNDA</t>
        </is>
      </c>
      <c r="G760" t="n">
        <v>3.6</v>
      </c>
      <c r="H760" t="n">
        <v>0</v>
      </c>
      <c r="I760" t="n">
        <v>0</v>
      </c>
      <c r="J760" t="n">
        <v>0</v>
      </c>
      <c r="K760" t="n">
        <v>0</v>
      </c>
      <c r="L760" t="n">
        <v>0</v>
      </c>
      <c r="M760" t="n">
        <v>0</v>
      </c>
      <c r="N760" t="n">
        <v>0</v>
      </c>
      <c r="O760" t="n">
        <v>0</v>
      </c>
      <c r="P760" t="n">
        <v>0</v>
      </c>
      <c r="Q760" t="n">
        <v>0</v>
      </c>
      <c r="R760" s="2" t="inlineStr"/>
    </row>
    <row r="761" ht="15" customHeight="1">
      <c r="A761" t="inlineStr">
        <is>
          <t>A 29319-2023</t>
        </is>
      </c>
      <c r="B761" s="1" t="n">
        <v>45105</v>
      </c>
      <c r="C761" s="1" t="n">
        <v>46084</v>
      </c>
      <c r="D761" t="inlineStr">
        <is>
          <t>JÄMTLANDS LÄN</t>
        </is>
      </c>
      <c r="E761" t="inlineStr">
        <is>
          <t>RAGUNDA</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50719-2025</t>
        </is>
      </c>
      <c r="B762" s="1" t="n">
        <v>45946.34642361111</v>
      </c>
      <c r="C762" s="1" t="n">
        <v>46084</v>
      </c>
      <c r="D762" t="inlineStr">
        <is>
          <t>JÄMTLANDS LÄN</t>
        </is>
      </c>
      <c r="E762" t="inlineStr">
        <is>
          <t>RAGUNDA</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14513-2025</t>
        </is>
      </c>
      <c r="B763" s="1" t="n">
        <v>45741.63675925926</v>
      </c>
      <c r="C763" s="1" t="n">
        <v>46084</v>
      </c>
      <c r="D763" t="inlineStr">
        <is>
          <t>JÄMTLANDS LÄN</t>
        </is>
      </c>
      <c r="E763" t="inlineStr">
        <is>
          <t>RAGUNDA</t>
        </is>
      </c>
      <c r="F763" t="inlineStr">
        <is>
          <t>SCA</t>
        </is>
      </c>
      <c r="G763" t="n">
        <v>6.8</v>
      </c>
      <c r="H763" t="n">
        <v>0</v>
      </c>
      <c r="I763" t="n">
        <v>0</v>
      </c>
      <c r="J763" t="n">
        <v>0</v>
      </c>
      <c r="K763" t="n">
        <v>0</v>
      </c>
      <c r="L763" t="n">
        <v>0</v>
      </c>
      <c r="M763" t="n">
        <v>0</v>
      </c>
      <c r="N763" t="n">
        <v>0</v>
      </c>
      <c r="O763" t="n">
        <v>0</v>
      </c>
      <c r="P763" t="n">
        <v>0</v>
      </c>
      <c r="Q763" t="n">
        <v>0</v>
      </c>
      <c r="R763" s="2" t="inlineStr"/>
    </row>
    <row r="764" ht="15" customHeight="1">
      <c r="A764" t="inlineStr">
        <is>
          <t>A 35541-2025</t>
        </is>
      </c>
      <c r="B764" s="1" t="n">
        <v>45856.46931712963</v>
      </c>
      <c r="C764" s="1" t="n">
        <v>46084</v>
      </c>
      <c r="D764" t="inlineStr">
        <is>
          <t>JÄMTLANDS LÄN</t>
        </is>
      </c>
      <c r="E764" t="inlineStr">
        <is>
          <t>RAGUNDA</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51019-2025</t>
        </is>
      </c>
      <c r="B765" s="1" t="n">
        <v>45947.38623842593</v>
      </c>
      <c r="C765" s="1" t="n">
        <v>46084</v>
      </c>
      <c r="D765" t="inlineStr">
        <is>
          <t>JÄMTLANDS LÄN</t>
        </is>
      </c>
      <c r="E765" t="inlineStr">
        <is>
          <t>RAGUNDA</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55904-2022</t>
        </is>
      </c>
      <c r="B766" s="1" t="n">
        <v>44888</v>
      </c>
      <c r="C766" s="1" t="n">
        <v>46084</v>
      </c>
      <c r="D766" t="inlineStr">
        <is>
          <t>JÄMTLANDS LÄN</t>
        </is>
      </c>
      <c r="E766" t="inlineStr">
        <is>
          <t>RAGUNDA</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50985-2025</t>
        </is>
      </c>
      <c r="B767" s="1" t="n">
        <v>45947.34506944445</v>
      </c>
      <c r="C767" s="1" t="n">
        <v>46084</v>
      </c>
      <c r="D767" t="inlineStr">
        <is>
          <t>JÄMTLANDS LÄN</t>
        </is>
      </c>
      <c r="E767" t="inlineStr">
        <is>
          <t>RAGUNDA</t>
        </is>
      </c>
      <c r="F767" t="inlineStr">
        <is>
          <t>SCA</t>
        </is>
      </c>
      <c r="G767" t="n">
        <v>8</v>
      </c>
      <c r="H767" t="n">
        <v>0</v>
      </c>
      <c r="I767" t="n">
        <v>0</v>
      </c>
      <c r="J767" t="n">
        <v>0</v>
      </c>
      <c r="K767" t="n">
        <v>0</v>
      </c>
      <c r="L767" t="n">
        <v>0</v>
      </c>
      <c r="M767" t="n">
        <v>0</v>
      </c>
      <c r="N767" t="n">
        <v>0</v>
      </c>
      <c r="O767" t="n">
        <v>0</v>
      </c>
      <c r="P767" t="n">
        <v>0</v>
      </c>
      <c r="Q767" t="n">
        <v>0</v>
      </c>
      <c r="R767" s="2" t="inlineStr"/>
    </row>
    <row r="768" ht="15" customHeight="1">
      <c r="A768" t="inlineStr">
        <is>
          <t>A 51034-2025</t>
        </is>
      </c>
      <c r="B768" s="1" t="n">
        <v>45947.40670138889</v>
      </c>
      <c r="C768" s="1" t="n">
        <v>46084</v>
      </c>
      <c r="D768" t="inlineStr">
        <is>
          <t>JÄMTLANDS LÄN</t>
        </is>
      </c>
      <c r="E768" t="inlineStr">
        <is>
          <t>RAGUNDA</t>
        </is>
      </c>
      <c r="F768" t="inlineStr">
        <is>
          <t>SCA</t>
        </is>
      </c>
      <c r="G768" t="n">
        <v>44.1</v>
      </c>
      <c r="H768" t="n">
        <v>0</v>
      </c>
      <c r="I768" t="n">
        <v>0</v>
      </c>
      <c r="J768" t="n">
        <v>0</v>
      </c>
      <c r="K768" t="n">
        <v>0</v>
      </c>
      <c r="L768" t="n">
        <v>0</v>
      </c>
      <c r="M768" t="n">
        <v>0</v>
      </c>
      <c r="N768" t="n">
        <v>0</v>
      </c>
      <c r="O768" t="n">
        <v>0</v>
      </c>
      <c r="P768" t="n">
        <v>0</v>
      </c>
      <c r="Q768" t="n">
        <v>0</v>
      </c>
      <c r="R768" s="2" t="inlineStr"/>
    </row>
    <row r="769" ht="15" customHeight="1">
      <c r="A769" t="inlineStr">
        <is>
          <t>A 35658-2025</t>
        </is>
      </c>
      <c r="B769" s="1" t="n">
        <v>45859.594375</v>
      </c>
      <c r="C769" s="1" t="n">
        <v>46084</v>
      </c>
      <c r="D769" t="inlineStr">
        <is>
          <t>JÄMTLANDS LÄN</t>
        </is>
      </c>
      <c r="E769" t="inlineStr">
        <is>
          <t>RAGUNDA</t>
        </is>
      </c>
      <c r="F769" t="inlineStr">
        <is>
          <t>SCA</t>
        </is>
      </c>
      <c r="G769" t="n">
        <v>6</v>
      </c>
      <c r="H769" t="n">
        <v>0</v>
      </c>
      <c r="I769" t="n">
        <v>0</v>
      </c>
      <c r="J769" t="n">
        <v>0</v>
      </c>
      <c r="K769" t="n">
        <v>0</v>
      </c>
      <c r="L769" t="n">
        <v>0</v>
      </c>
      <c r="M769" t="n">
        <v>0</v>
      </c>
      <c r="N769" t="n">
        <v>0</v>
      </c>
      <c r="O769" t="n">
        <v>0</v>
      </c>
      <c r="P769" t="n">
        <v>0</v>
      </c>
      <c r="Q769" t="n">
        <v>0</v>
      </c>
      <c r="R769" s="2" t="inlineStr"/>
    </row>
    <row r="770" ht="15" customHeight="1">
      <c r="A770" t="inlineStr">
        <is>
          <t>A 18612-2024</t>
        </is>
      </c>
      <c r="B770" s="1" t="n">
        <v>45425.96239583333</v>
      </c>
      <c r="C770" s="1" t="n">
        <v>46084</v>
      </c>
      <c r="D770" t="inlineStr">
        <is>
          <t>JÄMTLANDS LÄN</t>
        </is>
      </c>
      <c r="E770" t="inlineStr">
        <is>
          <t>RAGUNDA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7281-2025</t>
        </is>
      </c>
      <c r="B771" s="1" t="n">
        <v>45702.63572916666</v>
      </c>
      <c r="C771" s="1" t="n">
        <v>46084</v>
      </c>
      <c r="D771" t="inlineStr">
        <is>
          <t>JÄMTLANDS LÄN</t>
        </is>
      </c>
      <c r="E771" t="inlineStr">
        <is>
          <t>RAGUNDA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51592-2025</t>
        </is>
      </c>
      <c r="B772" s="1" t="n">
        <v>45951.36541666667</v>
      </c>
      <c r="C772" s="1" t="n">
        <v>46084</v>
      </c>
      <c r="D772" t="inlineStr">
        <is>
          <t>JÄMTLANDS LÄN</t>
        </is>
      </c>
      <c r="E772" t="inlineStr">
        <is>
          <t>RAGUNDA</t>
        </is>
      </c>
      <c r="G772" t="n">
        <v>1.3</v>
      </c>
      <c r="H772" t="n">
        <v>0</v>
      </c>
      <c r="I772" t="n">
        <v>0</v>
      </c>
      <c r="J772" t="n">
        <v>0</v>
      </c>
      <c r="K772" t="n">
        <v>0</v>
      </c>
      <c r="L772" t="n">
        <v>0</v>
      </c>
      <c r="M772" t="n">
        <v>0</v>
      </c>
      <c r="N772" t="n">
        <v>0</v>
      </c>
      <c r="O772" t="n">
        <v>0</v>
      </c>
      <c r="P772" t="n">
        <v>0</v>
      </c>
      <c r="Q772" t="n">
        <v>0</v>
      </c>
      <c r="R772" s="2" t="inlineStr"/>
    </row>
    <row r="773" ht="15" customHeight="1">
      <c r="A773" t="inlineStr">
        <is>
          <t>A 48192-2024</t>
        </is>
      </c>
      <c r="B773" s="1" t="n">
        <v>45590</v>
      </c>
      <c r="C773" s="1" t="n">
        <v>46084</v>
      </c>
      <c r="D773" t="inlineStr">
        <is>
          <t>JÄMTLANDS LÄN</t>
        </is>
      </c>
      <c r="E773" t="inlineStr">
        <is>
          <t>RAGUNDA</t>
        </is>
      </c>
      <c r="G773" t="n">
        <v>2.3</v>
      </c>
      <c r="H773" t="n">
        <v>0</v>
      </c>
      <c r="I773" t="n">
        <v>0</v>
      </c>
      <c r="J773" t="n">
        <v>0</v>
      </c>
      <c r="K773" t="n">
        <v>0</v>
      </c>
      <c r="L773" t="n">
        <v>0</v>
      </c>
      <c r="M773" t="n">
        <v>0</v>
      </c>
      <c r="N773" t="n">
        <v>0</v>
      </c>
      <c r="O773" t="n">
        <v>0</v>
      </c>
      <c r="P773" t="n">
        <v>0</v>
      </c>
      <c r="Q773" t="n">
        <v>0</v>
      </c>
      <c r="R773" s="2" t="inlineStr"/>
    </row>
    <row r="774" ht="15" customHeight="1">
      <c r="A774" t="inlineStr">
        <is>
          <t>A 51395-2025</t>
        </is>
      </c>
      <c r="B774" s="1" t="n">
        <v>45950.46989583333</v>
      </c>
      <c r="C774" s="1" t="n">
        <v>46084</v>
      </c>
      <c r="D774" t="inlineStr">
        <is>
          <t>JÄMTLANDS LÄN</t>
        </is>
      </c>
      <c r="E774" t="inlineStr">
        <is>
          <t>RAGUNDA</t>
        </is>
      </c>
      <c r="F774" t="inlineStr">
        <is>
          <t>SCA</t>
        </is>
      </c>
      <c r="G774" t="n">
        <v>30.7</v>
      </c>
      <c r="H774" t="n">
        <v>0</v>
      </c>
      <c r="I774" t="n">
        <v>0</v>
      </c>
      <c r="J774" t="n">
        <v>0</v>
      </c>
      <c r="K774" t="n">
        <v>0</v>
      </c>
      <c r="L774" t="n">
        <v>0</v>
      </c>
      <c r="M774" t="n">
        <v>0</v>
      </c>
      <c r="N774" t="n">
        <v>0</v>
      </c>
      <c r="O774" t="n">
        <v>0</v>
      </c>
      <c r="P774" t="n">
        <v>0</v>
      </c>
      <c r="Q774" t="n">
        <v>0</v>
      </c>
      <c r="R774" s="2" t="inlineStr"/>
    </row>
    <row r="775" ht="15" customHeight="1">
      <c r="A775" t="inlineStr">
        <is>
          <t>A 2599-2023</t>
        </is>
      </c>
      <c r="B775" s="1" t="n">
        <v>44943.94802083333</v>
      </c>
      <c r="C775" s="1" t="n">
        <v>46084</v>
      </c>
      <c r="D775" t="inlineStr">
        <is>
          <t>JÄMTLANDS LÄN</t>
        </is>
      </c>
      <c r="E775" t="inlineStr">
        <is>
          <t>RAGUNDA</t>
        </is>
      </c>
      <c r="F775" t="inlineStr">
        <is>
          <t>SCA</t>
        </is>
      </c>
      <c r="G775" t="n">
        <v>5.9</v>
      </c>
      <c r="H775" t="n">
        <v>0</v>
      </c>
      <c r="I775" t="n">
        <v>0</v>
      </c>
      <c r="J775" t="n">
        <v>0</v>
      </c>
      <c r="K775" t="n">
        <v>0</v>
      </c>
      <c r="L775" t="n">
        <v>0</v>
      </c>
      <c r="M775" t="n">
        <v>0</v>
      </c>
      <c r="N775" t="n">
        <v>0</v>
      </c>
      <c r="O775" t="n">
        <v>0</v>
      </c>
      <c r="P775" t="n">
        <v>0</v>
      </c>
      <c r="Q775" t="n">
        <v>0</v>
      </c>
      <c r="R775" s="2" t="inlineStr"/>
    </row>
    <row r="776" ht="15" customHeight="1">
      <c r="A776" t="inlineStr">
        <is>
          <t>A 51678-2025</t>
        </is>
      </c>
      <c r="B776" s="1" t="n">
        <v>45951.51106481482</v>
      </c>
      <c r="C776" s="1" t="n">
        <v>46084</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464-2023</t>
        </is>
      </c>
      <c r="B777" s="1" t="n">
        <v>44929.92489583333</v>
      </c>
      <c r="C777" s="1" t="n">
        <v>46084</v>
      </c>
      <c r="D777" t="inlineStr">
        <is>
          <t>JÄMTLANDS LÄN</t>
        </is>
      </c>
      <c r="E777" t="inlineStr">
        <is>
          <t>RAGUNDA</t>
        </is>
      </c>
      <c r="G777" t="n">
        <v>1.4</v>
      </c>
      <c r="H777" t="n">
        <v>0</v>
      </c>
      <c r="I777" t="n">
        <v>0</v>
      </c>
      <c r="J777" t="n">
        <v>0</v>
      </c>
      <c r="K777" t="n">
        <v>0</v>
      </c>
      <c r="L777" t="n">
        <v>0</v>
      </c>
      <c r="M777" t="n">
        <v>0</v>
      </c>
      <c r="N777" t="n">
        <v>0</v>
      </c>
      <c r="O777" t="n">
        <v>0</v>
      </c>
      <c r="P777" t="n">
        <v>0</v>
      </c>
      <c r="Q777" t="n">
        <v>0</v>
      </c>
      <c r="R777" s="2" t="inlineStr"/>
    </row>
    <row r="778" ht="15" customHeight="1">
      <c r="A778" t="inlineStr">
        <is>
          <t>A 53769-2023</t>
        </is>
      </c>
      <c r="B778" s="1" t="n">
        <v>45230</v>
      </c>
      <c r="C778" s="1" t="n">
        <v>46084</v>
      </c>
      <c r="D778" t="inlineStr">
        <is>
          <t>JÄMTLANDS LÄN</t>
        </is>
      </c>
      <c r="E778" t="inlineStr">
        <is>
          <t>RAGUNDA</t>
        </is>
      </c>
      <c r="F778" t="inlineStr">
        <is>
          <t>SCA</t>
        </is>
      </c>
      <c r="G778" t="n">
        <v>11.6</v>
      </c>
      <c r="H778" t="n">
        <v>0</v>
      </c>
      <c r="I778" t="n">
        <v>0</v>
      </c>
      <c r="J778" t="n">
        <v>0</v>
      </c>
      <c r="K778" t="n">
        <v>0</v>
      </c>
      <c r="L778" t="n">
        <v>0</v>
      </c>
      <c r="M778" t="n">
        <v>0</v>
      </c>
      <c r="N778" t="n">
        <v>0</v>
      </c>
      <c r="O778" t="n">
        <v>0</v>
      </c>
      <c r="P778" t="n">
        <v>0</v>
      </c>
      <c r="Q778" t="n">
        <v>0</v>
      </c>
      <c r="R778" s="2" t="inlineStr"/>
    </row>
    <row r="779" ht="15" customHeight="1">
      <c r="A779" t="inlineStr">
        <is>
          <t>A 52228-2024</t>
        </is>
      </c>
      <c r="B779" s="1" t="n">
        <v>45608.6078587963</v>
      </c>
      <c r="C779" s="1" t="n">
        <v>46084</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48249-2024</t>
        </is>
      </c>
      <c r="B780" s="1" t="n">
        <v>45590.40675925926</v>
      </c>
      <c r="C780" s="1" t="n">
        <v>46084</v>
      </c>
      <c r="D780" t="inlineStr">
        <is>
          <t>JÄMTLANDS LÄN</t>
        </is>
      </c>
      <c r="E780" t="inlineStr">
        <is>
          <t>RAGUNDA</t>
        </is>
      </c>
      <c r="F780" t="inlineStr">
        <is>
          <t>SCA</t>
        </is>
      </c>
      <c r="G780" t="n">
        <v>14.4</v>
      </c>
      <c r="H780" t="n">
        <v>0</v>
      </c>
      <c r="I780" t="n">
        <v>0</v>
      </c>
      <c r="J780" t="n">
        <v>0</v>
      </c>
      <c r="K780" t="n">
        <v>0</v>
      </c>
      <c r="L780" t="n">
        <v>0</v>
      </c>
      <c r="M780" t="n">
        <v>0</v>
      </c>
      <c r="N780" t="n">
        <v>0</v>
      </c>
      <c r="O780" t="n">
        <v>0</v>
      </c>
      <c r="P780" t="n">
        <v>0</v>
      </c>
      <c r="Q780" t="n">
        <v>0</v>
      </c>
      <c r="R780" s="2" t="inlineStr"/>
    </row>
    <row r="781" ht="15" customHeight="1">
      <c r="A781" t="inlineStr">
        <is>
          <t>A 35689-2025</t>
        </is>
      </c>
      <c r="B781" s="1" t="n">
        <v>45860.30229166667</v>
      </c>
      <c r="C781" s="1" t="n">
        <v>46084</v>
      </c>
      <c r="D781" t="inlineStr">
        <is>
          <t>JÄMTLANDS LÄN</t>
        </is>
      </c>
      <c r="E781" t="inlineStr">
        <is>
          <t>RAGUNDA</t>
        </is>
      </c>
      <c r="G781" t="n">
        <v>1.9</v>
      </c>
      <c r="H781" t="n">
        <v>0</v>
      </c>
      <c r="I781" t="n">
        <v>0</v>
      </c>
      <c r="J781" t="n">
        <v>0</v>
      </c>
      <c r="K781" t="n">
        <v>0</v>
      </c>
      <c r="L781" t="n">
        <v>0</v>
      </c>
      <c r="M781" t="n">
        <v>0</v>
      </c>
      <c r="N781" t="n">
        <v>0</v>
      </c>
      <c r="O781" t="n">
        <v>0</v>
      </c>
      <c r="P781" t="n">
        <v>0</v>
      </c>
      <c r="Q781" t="n">
        <v>0</v>
      </c>
      <c r="R781" s="2" t="inlineStr"/>
    </row>
    <row r="782" ht="15" customHeight="1">
      <c r="A782" t="inlineStr">
        <is>
          <t>A 64265-2023</t>
        </is>
      </c>
      <c r="B782" s="1" t="n">
        <v>45279.94572916667</v>
      </c>
      <c r="C782" s="1" t="n">
        <v>46084</v>
      </c>
      <c r="D782" t="inlineStr">
        <is>
          <t>JÄMTLANDS LÄN</t>
        </is>
      </c>
      <c r="E782" t="inlineStr">
        <is>
          <t>RAGUNDA</t>
        </is>
      </c>
      <c r="F782" t="inlineStr">
        <is>
          <t>SCA</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51593-2025</t>
        </is>
      </c>
      <c r="B783" s="1" t="n">
        <v>45951.36548611111</v>
      </c>
      <c r="C783" s="1" t="n">
        <v>46084</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51484-2025</t>
        </is>
      </c>
      <c r="B784" s="1" t="n">
        <v>45950.62196759259</v>
      </c>
      <c r="C784" s="1" t="n">
        <v>46084</v>
      </c>
      <c r="D784" t="inlineStr">
        <is>
          <t>JÄMTLANDS LÄN</t>
        </is>
      </c>
      <c r="E784" t="inlineStr">
        <is>
          <t>RAGUNDA</t>
        </is>
      </c>
      <c r="F784" t="inlineStr">
        <is>
          <t>SCA</t>
        </is>
      </c>
      <c r="G784" t="n">
        <v>23.1</v>
      </c>
      <c r="H784" t="n">
        <v>0</v>
      </c>
      <c r="I784" t="n">
        <v>0</v>
      </c>
      <c r="J784" t="n">
        <v>0</v>
      </c>
      <c r="K784" t="n">
        <v>0</v>
      </c>
      <c r="L784" t="n">
        <v>0</v>
      </c>
      <c r="M784" t="n">
        <v>0</v>
      </c>
      <c r="N784" t="n">
        <v>0</v>
      </c>
      <c r="O784" t="n">
        <v>0</v>
      </c>
      <c r="P784" t="n">
        <v>0</v>
      </c>
      <c r="Q784" t="n">
        <v>0</v>
      </c>
      <c r="R784" s="2" t="inlineStr"/>
    </row>
    <row r="785" ht="15" customHeight="1">
      <c r="A785" t="inlineStr">
        <is>
          <t>A 51491-2025</t>
        </is>
      </c>
      <c r="B785" s="1" t="n">
        <v>45950.63362268519</v>
      </c>
      <c r="C785" s="1" t="n">
        <v>46084</v>
      </c>
      <c r="D785" t="inlineStr">
        <is>
          <t>JÄMTLANDS LÄN</t>
        </is>
      </c>
      <c r="E785" t="inlineStr">
        <is>
          <t>RAGUNDA</t>
        </is>
      </c>
      <c r="G785" t="n">
        <v>1.1</v>
      </c>
      <c r="H785" t="n">
        <v>0</v>
      </c>
      <c r="I785" t="n">
        <v>0</v>
      </c>
      <c r="J785" t="n">
        <v>0</v>
      </c>
      <c r="K785" t="n">
        <v>0</v>
      </c>
      <c r="L785" t="n">
        <v>0</v>
      </c>
      <c r="M785" t="n">
        <v>0</v>
      </c>
      <c r="N785" t="n">
        <v>0</v>
      </c>
      <c r="O785" t="n">
        <v>0</v>
      </c>
      <c r="P785" t="n">
        <v>0</v>
      </c>
      <c r="Q785" t="n">
        <v>0</v>
      </c>
      <c r="R785" s="2" t="inlineStr"/>
    </row>
    <row r="786" ht="15" customHeight="1">
      <c r="A786" t="inlineStr">
        <is>
          <t>A 51791-2025</t>
        </is>
      </c>
      <c r="B786" s="1" t="n">
        <v>45951.69833333333</v>
      </c>
      <c r="C786" s="1" t="n">
        <v>46084</v>
      </c>
      <c r="D786" t="inlineStr">
        <is>
          <t>JÄMTLANDS LÄN</t>
        </is>
      </c>
      <c r="E786" t="inlineStr">
        <is>
          <t>RAGUNDA</t>
        </is>
      </c>
      <c r="F786" t="inlineStr">
        <is>
          <t>SCA</t>
        </is>
      </c>
      <c r="G786" t="n">
        <v>43.3</v>
      </c>
      <c r="H786" t="n">
        <v>0</v>
      </c>
      <c r="I786" t="n">
        <v>0</v>
      </c>
      <c r="J786" t="n">
        <v>0</v>
      </c>
      <c r="K786" t="n">
        <v>0</v>
      </c>
      <c r="L786" t="n">
        <v>0</v>
      </c>
      <c r="M786" t="n">
        <v>0</v>
      </c>
      <c r="N786" t="n">
        <v>0</v>
      </c>
      <c r="O786" t="n">
        <v>0</v>
      </c>
      <c r="P786" t="n">
        <v>0</v>
      </c>
      <c r="Q786" t="n">
        <v>0</v>
      </c>
      <c r="R786" s="2" t="inlineStr"/>
    </row>
    <row r="787" ht="15" customHeight="1">
      <c r="A787" t="inlineStr">
        <is>
          <t>A 66706-2021</t>
        </is>
      </c>
      <c r="B787" s="1" t="n">
        <v>44519.94440972222</v>
      </c>
      <c r="C787" s="1" t="n">
        <v>46084</v>
      </c>
      <c r="D787" t="inlineStr">
        <is>
          <t>JÄMTLANDS LÄN</t>
        </is>
      </c>
      <c r="E787" t="inlineStr">
        <is>
          <t>RAGUNDA</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51702-2025</t>
        </is>
      </c>
      <c r="B788" s="1" t="n">
        <v>45951.55305555555</v>
      </c>
      <c r="C788" s="1" t="n">
        <v>46084</v>
      </c>
      <c r="D788" t="inlineStr">
        <is>
          <t>JÄMTLANDS LÄN</t>
        </is>
      </c>
      <c r="E788" t="inlineStr">
        <is>
          <t>RAGUNDA</t>
        </is>
      </c>
      <c r="G788" t="n">
        <v>11.4</v>
      </c>
      <c r="H788" t="n">
        <v>0</v>
      </c>
      <c r="I788" t="n">
        <v>0</v>
      </c>
      <c r="J788" t="n">
        <v>0</v>
      </c>
      <c r="K788" t="n">
        <v>0</v>
      </c>
      <c r="L788" t="n">
        <v>0</v>
      </c>
      <c r="M788" t="n">
        <v>0</v>
      </c>
      <c r="N788" t="n">
        <v>0</v>
      </c>
      <c r="O788" t="n">
        <v>0</v>
      </c>
      <c r="P788" t="n">
        <v>0</v>
      </c>
      <c r="Q788" t="n">
        <v>0</v>
      </c>
      <c r="R788" s="2" t="inlineStr"/>
    </row>
    <row r="789" ht="15" customHeight="1">
      <c r="A789" t="inlineStr">
        <is>
          <t>A 51394-2025</t>
        </is>
      </c>
      <c r="B789" s="1" t="n">
        <v>45950.46972222222</v>
      </c>
      <c r="C789" s="1" t="n">
        <v>46084</v>
      </c>
      <c r="D789" t="inlineStr">
        <is>
          <t>JÄMTLANDS LÄN</t>
        </is>
      </c>
      <c r="E789" t="inlineStr">
        <is>
          <t>RAGUNDA</t>
        </is>
      </c>
      <c r="F789" t="inlineStr">
        <is>
          <t>SCA</t>
        </is>
      </c>
      <c r="G789" t="n">
        <v>36.5</v>
      </c>
      <c r="H789" t="n">
        <v>0</v>
      </c>
      <c r="I789" t="n">
        <v>0</v>
      </c>
      <c r="J789" t="n">
        <v>0</v>
      </c>
      <c r="K789" t="n">
        <v>0</v>
      </c>
      <c r="L789" t="n">
        <v>0</v>
      </c>
      <c r="M789" t="n">
        <v>0</v>
      </c>
      <c r="N789" t="n">
        <v>0</v>
      </c>
      <c r="O789" t="n">
        <v>0</v>
      </c>
      <c r="P789" t="n">
        <v>0</v>
      </c>
      <c r="Q789" t="n">
        <v>0</v>
      </c>
      <c r="R789" s="2" t="inlineStr"/>
    </row>
    <row r="790" ht="15" customHeight="1">
      <c r="A790" t="inlineStr">
        <is>
          <t>A 52317-2025</t>
        </is>
      </c>
      <c r="B790" s="1" t="n">
        <v>45953.65675925926</v>
      </c>
      <c r="C790" s="1" t="n">
        <v>46084</v>
      </c>
      <c r="D790" t="inlineStr">
        <is>
          <t>JÄMTLANDS LÄN</t>
        </is>
      </c>
      <c r="E790" t="inlineStr">
        <is>
          <t>RAGUNDA</t>
        </is>
      </c>
      <c r="F790" t="inlineStr">
        <is>
          <t>SCA</t>
        </is>
      </c>
      <c r="G790" t="n">
        <v>27.2</v>
      </c>
      <c r="H790" t="n">
        <v>0</v>
      </c>
      <c r="I790" t="n">
        <v>0</v>
      </c>
      <c r="J790" t="n">
        <v>0</v>
      </c>
      <c r="K790" t="n">
        <v>0</v>
      </c>
      <c r="L790" t="n">
        <v>0</v>
      </c>
      <c r="M790" t="n">
        <v>0</v>
      </c>
      <c r="N790" t="n">
        <v>0</v>
      </c>
      <c r="O790" t="n">
        <v>0</v>
      </c>
      <c r="P790" t="n">
        <v>0</v>
      </c>
      <c r="Q790" t="n">
        <v>0</v>
      </c>
      <c r="R790" s="2" t="inlineStr"/>
    </row>
    <row r="791" ht="15" customHeight="1">
      <c r="A791" t="inlineStr">
        <is>
          <t>A 2242-2024</t>
        </is>
      </c>
      <c r="B791" s="1" t="n">
        <v>45309</v>
      </c>
      <c r="C791" s="1" t="n">
        <v>46084</v>
      </c>
      <c r="D791" t="inlineStr">
        <is>
          <t>JÄMTLANDS LÄN</t>
        </is>
      </c>
      <c r="E791" t="inlineStr">
        <is>
          <t>RAGUNDA</t>
        </is>
      </c>
      <c r="G791" t="n">
        <v>0.9</v>
      </c>
      <c r="H791" t="n">
        <v>0</v>
      </c>
      <c r="I791" t="n">
        <v>0</v>
      </c>
      <c r="J791" t="n">
        <v>0</v>
      </c>
      <c r="K791" t="n">
        <v>0</v>
      </c>
      <c r="L791" t="n">
        <v>0</v>
      </c>
      <c r="M791" t="n">
        <v>0</v>
      </c>
      <c r="N791" t="n">
        <v>0</v>
      </c>
      <c r="O791" t="n">
        <v>0</v>
      </c>
      <c r="P791" t="n">
        <v>0</v>
      </c>
      <c r="Q791" t="n">
        <v>0</v>
      </c>
      <c r="R791" s="2" t="inlineStr"/>
    </row>
    <row r="792" ht="15" customHeight="1">
      <c r="A792" t="inlineStr">
        <is>
          <t>A 2248-2024</t>
        </is>
      </c>
      <c r="B792" s="1" t="n">
        <v>45309</v>
      </c>
      <c r="C792" s="1" t="n">
        <v>46084</v>
      </c>
      <c r="D792" t="inlineStr">
        <is>
          <t>JÄMTLANDS LÄN</t>
        </is>
      </c>
      <c r="E792" t="inlineStr">
        <is>
          <t>RAGUNDA</t>
        </is>
      </c>
      <c r="G792" t="n">
        <v>4.2</v>
      </c>
      <c r="H792" t="n">
        <v>0</v>
      </c>
      <c r="I792" t="n">
        <v>0</v>
      </c>
      <c r="J792" t="n">
        <v>0</v>
      </c>
      <c r="K792" t="n">
        <v>0</v>
      </c>
      <c r="L792" t="n">
        <v>0</v>
      </c>
      <c r="M792" t="n">
        <v>0</v>
      </c>
      <c r="N792" t="n">
        <v>0</v>
      </c>
      <c r="O792" t="n">
        <v>0</v>
      </c>
      <c r="P792" t="n">
        <v>0</v>
      </c>
      <c r="Q792" t="n">
        <v>0</v>
      </c>
      <c r="R792" s="2" t="inlineStr"/>
    </row>
    <row r="793" ht="15" customHeight="1">
      <c r="A793" t="inlineStr">
        <is>
          <t>A 52122-2025</t>
        </is>
      </c>
      <c r="B793" s="1" t="n">
        <v>45952.71946759259</v>
      </c>
      <c r="C793" s="1" t="n">
        <v>46084</v>
      </c>
      <c r="D793" t="inlineStr">
        <is>
          <t>JÄMTLANDS LÄN</t>
        </is>
      </c>
      <c r="E793" t="inlineStr">
        <is>
          <t>RAGUNDA</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54092-2024</t>
        </is>
      </c>
      <c r="B794" s="1" t="n">
        <v>45616.5108912037</v>
      </c>
      <c r="C794" s="1" t="n">
        <v>46084</v>
      </c>
      <c r="D794" t="inlineStr">
        <is>
          <t>JÄMTLANDS LÄN</t>
        </is>
      </c>
      <c r="E794" t="inlineStr">
        <is>
          <t>RAGUNDA</t>
        </is>
      </c>
      <c r="F794" t="inlineStr">
        <is>
          <t>Naturvårdsverket</t>
        </is>
      </c>
      <c r="G794" t="n">
        <v>1.3</v>
      </c>
      <c r="H794" t="n">
        <v>0</v>
      </c>
      <c r="I794" t="n">
        <v>0</v>
      </c>
      <c r="J794" t="n">
        <v>0</v>
      </c>
      <c r="K794" t="n">
        <v>0</v>
      </c>
      <c r="L794" t="n">
        <v>0</v>
      </c>
      <c r="M794" t="n">
        <v>0</v>
      </c>
      <c r="N794" t="n">
        <v>0</v>
      </c>
      <c r="O794" t="n">
        <v>0</v>
      </c>
      <c r="P794" t="n">
        <v>0</v>
      </c>
      <c r="Q794" t="n">
        <v>0</v>
      </c>
      <c r="R794" s="2" t="inlineStr"/>
    </row>
    <row r="795" ht="15" customHeight="1">
      <c r="A795" t="inlineStr">
        <is>
          <t>A 55222-2024</t>
        </is>
      </c>
      <c r="B795" s="1" t="n">
        <v>45621.57395833333</v>
      </c>
      <c r="C795" s="1" t="n">
        <v>46084</v>
      </c>
      <c r="D795" t="inlineStr">
        <is>
          <t>JÄMTLANDS LÄN</t>
        </is>
      </c>
      <c r="E795" t="inlineStr">
        <is>
          <t>RAGUNDA</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46211-2024</t>
        </is>
      </c>
      <c r="B796" s="1" t="n">
        <v>45581.55260416667</v>
      </c>
      <c r="C796" s="1" t="n">
        <v>46084</v>
      </c>
      <c r="D796" t="inlineStr">
        <is>
          <t>JÄMTLANDS LÄN</t>
        </is>
      </c>
      <c r="E796" t="inlineStr">
        <is>
          <t>RAGUNDA</t>
        </is>
      </c>
      <c r="G796" t="n">
        <v>7.3</v>
      </c>
      <c r="H796" t="n">
        <v>0</v>
      </c>
      <c r="I796" t="n">
        <v>0</v>
      </c>
      <c r="J796" t="n">
        <v>0</v>
      </c>
      <c r="K796" t="n">
        <v>0</v>
      </c>
      <c r="L796" t="n">
        <v>0</v>
      </c>
      <c r="M796" t="n">
        <v>0</v>
      </c>
      <c r="N796" t="n">
        <v>0</v>
      </c>
      <c r="O796" t="n">
        <v>0</v>
      </c>
      <c r="P796" t="n">
        <v>0</v>
      </c>
      <c r="Q796" t="n">
        <v>0</v>
      </c>
      <c r="R796" s="2" t="inlineStr"/>
    </row>
    <row r="797" ht="15" customHeight="1">
      <c r="A797" t="inlineStr">
        <is>
          <t>A 31435-2022</t>
        </is>
      </c>
      <c r="B797" s="1" t="n">
        <v>44774</v>
      </c>
      <c r="C797" s="1" t="n">
        <v>46084</v>
      </c>
      <c r="D797" t="inlineStr">
        <is>
          <t>JÄMTLANDS LÄN</t>
        </is>
      </c>
      <c r="E797" t="inlineStr">
        <is>
          <t>RAGUNDA</t>
        </is>
      </c>
      <c r="G797" t="n">
        <v>1.6</v>
      </c>
      <c r="H797" t="n">
        <v>0</v>
      </c>
      <c r="I797" t="n">
        <v>0</v>
      </c>
      <c r="J797" t="n">
        <v>0</v>
      </c>
      <c r="K797" t="n">
        <v>0</v>
      </c>
      <c r="L797" t="n">
        <v>0</v>
      </c>
      <c r="M797" t="n">
        <v>0</v>
      </c>
      <c r="N797" t="n">
        <v>0</v>
      </c>
      <c r="O797" t="n">
        <v>0</v>
      </c>
      <c r="P797" t="n">
        <v>0</v>
      </c>
      <c r="Q797" t="n">
        <v>0</v>
      </c>
      <c r="R797" s="2" t="inlineStr"/>
    </row>
    <row r="798" ht="15" customHeight="1">
      <c r="A798" t="inlineStr">
        <is>
          <t>A 39608-2024</t>
        </is>
      </c>
      <c r="B798" s="1" t="n">
        <v>45552.39113425926</v>
      </c>
      <c r="C798" s="1" t="n">
        <v>46084</v>
      </c>
      <c r="D798" t="inlineStr">
        <is>
          <t>JÄMTLANDS LÄN</t>
        </is>
      </c>
      <c r="E798" t="inlineStr">
        <is>
          <t>RAGUNDA</t>
        </is>
      </c>
      <c r="G798" t="n">
        <v>3.2</v>
      </c>
      <c r="H798" t="n">
        <v>0</v>
      </c>
      <c r="I798" t="n">
        <v>0</v>
      </c>
      <c r="J798" t="n">
        <v>0</v>
      </c>
      <c r="K798" t="n">
        <v>0</v>
      </c>
      <c r="L798" t="n">
        <v>0</v>
      </c>
      <c r="M798" t="n">
        <v>0</v>
      </c>
      <c r="N798" t="n">
        <v>0</v>
      </c>
      <c r="O798" t="n">
        <v>0</v>
      </c>
      <c r="P798" t="n">
        <v>0</v>
      </c>
      <c r="Q798" t="n">
        <v>0</v>
      </c>
      <c r="R798" s="2" t="inlineStr"/>
    </row>
    <row r="799" ht="15" customHeight="1">
      <c r="A799" t="inlineStr">
        <is>
          <t>A 39626-2024</t>
        </is>
      </c>
      <c r="B799" s="1" t="n">
        <v>45552.44096064815</v>
      </c>
      <c r="C799" s="1" t="n">
        <v>46084</v>
      </c>
      <c r="D799" t="inlineStr">
        <is>
          <t>JÄMTLANDS LÄN</t>
        </is>
      </c>
      <c r="E799" t="inlineStr">
        <is>
          <t>RAGUNDA</t>
        </is>
      </c>
      <c r="G799" t="n">
        <v>23.5</v>
      </c>
      <c r="H799" t="n">
        <v>0</v>
      </c>
      <c r="I799" t="n">
        <v>0</v>
      </c>
      <c r="J799" t="n">
        <v>0</v>
      </c>
      <c r="K799" t="n">
        <v>0</v>
      </c>
      <c r="L799" t="n">
        <v>0</v>
      </c>
      <c r="M799" t="n">
        <v>0</v>
      </c>
      <c r="N799" t="n">
        <v>0</v>
      </c>
      <c r="O799" t="n">
        <v>0</v>
      </c>
      <c r="P799" t="n">
        <v>0</v>
      </c>
      <c r="Q799" t="n">
        <v>0</v>
      </c>
      <c r="R799" s="2" t="inlineStr"/>
    </row>
    <row r="800" ht="15" customHeight="1">
      <c r="A800" t="inlineStr">
        <is>
          <t>A 52330-2025</t>
        </is>
      </c>
      <c r="B800" s="1" t="n">
        <v>45953.67752314815</v>
      </c>
      <c r="C800" s="1" t="n">
        <v>46084</v>
      </c>
      <c r="D800" t="inlineStr">
        <is>
          <t>JÄMTLANDS LÄN</t>
        </is>
      </c>
      <c r="E800" t="inlineStr">
        <is>
          <t>RAGUNDA</t>
        </is>
      </c>
      <c r="F800" t="inlineStr">
        <is>
          <t>SCA</t>
        </is>
      </c>
      <c r="G800" t="n">
        <v>10.1</v>
      </c>
      <c r="H800" t="n">
        <v>0</v>
      </c>
      <c r="I800" t="n">
        <v>0</v>
      </c>
      <c r="J800" t="n">
        <v>0</v>
      </c>
      <c r="K800" t="n">
        <v>0</v>
      </c>
      <c r="L800" t="n">
        <v>0</v>
      </c>
      <c r="M800" t="n">
        <v>0</v>
      </c>
      <c r="N800" t="n">
        <v>0</v>
      </c>
      <c r="O800" t="n">
        <v>0</v>
      </c>
      <c r="P800" t="n">
        <v>0</v>
      </c>
      <c r="Q800" t="n">
        <v>0</v>
      </c>
      <c r="R800" s="2" t="inlineStr"/>
    </row>
    <row r="801" ht="15" customHeight="1">
      <c r="A801" t="inlineStr">
        <is>
          <t>A 36541-2025</t>
        </is>
      </c>
      <c r="B801" s="1" t="n">
        <v>45869.65666666667</v>
      </c>
      <c r="C801" s="1" t="n">
        <v>46084</v>
      </c>
      <c r="D801" t="inlineStr">
        <is>
          <t>JÄMTLANDS LÄN</t>
        </is>
      </c>
      <c r="E801" t="inlineStr">
        <is>
          <t>RAGUNDA</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36544-2025</t>
        </is>
      </c>
      <c r="B802" s="1" t="n">
        <v>45869.67744212963</v>
      </c>
      <c r="C802" s="1" t="n">
        <v>46084</v>
      </c>
      <c r="D802" t="inlineStr">
        <is>
          <t>JÄMTLANDS LÄN</t>
        </is>
      </c>
      <c r="E802" t="inlineStr">
        <is>
          <t>RAGUNDA</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56984-2022</t>
        </is>
      </c>
      <c r="B803" s="1" t="n">
        <v>44894.79018518519</v>
      </c>
      <c r="C803" s="1" t="n">
        <v>46084</v>
      </c>
      <c r="D803" t="inlineStr">
        <is>
          <t>JÄMTLANDS LÄN</t>
        </is>
      </c>
      <c r="E803" t="inlineStr">
        <is>
          <t>RAGUNDA</t>
        </is>
      </c>
      <c r="G803" t="n">
        <v>1.4</v>
      </c>
      <c r="H803" t="n">
        <v>0</v>
      </c>
      <c r="I803" t="n">
        <v>0</v>
      </c>
      <c r="J803" t="n">
        <v>0</v>
      </c>
      <c r="K803" t="n">
        <v>0</v>
      </c>
      <c r="L803" t="n">
        <v>0</v>
      </c>
      <c r="M803" t="n">
        <v>0</v>
      </c>
      <c r="N803" t="n">
        <v>0</v>
      </c>
      <c r="O803" t="n">
        <v>0</v>
      </c>
      <c r="P803" t="n">
        <v>0</v>
      </c>
      <c r="Q803" t="n">
        <v>0</v>
      </c>
      <c r="R803" s="2" t="inlineStr"/>
    </row>
    <row r="804" ht="15" customHeight="1">
      <c r="A804" t="inlineStr">
        <is>
          <t>A 52093-2025</t>
        </is>
      </c>
      <c r="B804" s="1" t="n">
        <v>45952.67865740741</v>
      </c>
      <c r="C804" s="1" t="n">
        <v>46084</v>
      </c>
      <c r="D804" t="inlineStr">
        <is>
          <t>JÄMTLANDS LÄN</t>
        </is>
      </c>
      <c r="E804" t="inlineStr">
        <is>
          <t>RAGUNDA</t>
        </is>
      </c>
      <c r="F804" t="inlineStr">
        <is>
          <t>SCA</t>
        </is>
      </c>
      <c r="G804" t="n">
        <v>22.7</v>
      </c>
      <c r="H804" t="n">
        <v>0</v>
      </c>
      <c r="I804" t="n">
        <v>0</v>
      </c>
      <c r="J804" t="n">
        <v>0</v>
      </c>
      <c r="K804" t="n">
        <v>0</v>
      </c>
      <c r="L804" t="n">
        <v>0</v>
      </c>
      <c r="M804" t="n">
        <v>0</v>
      </c>
      <c r="N804" t="n">
        <v>0</v>
      </c>
      <c r="O804" t="n">
        <v>0</v>
      </c>
      <c r="P804" t="n">
        <v>0</v>
      </c>
      <c r="Q804" t="n">
        <v>0</v>
      </c>
      <c r="R804" s="2" t="inlineStr"/>
    </row>
    <row r="805" ht="15" customHeight="1">
      <c r="A805" t="inlineStr">
        <is>
          <t>A 51882-2025</t>
        </is>
      </c>
      <c r="B805" s="1" t="n">
        <v>45952.40685185185</v>
      </c>
      <c r="C805" s="1" t="n">
        <v>46084</v>
      </c>
      <c r="D805" t="inlineStr">
        <is>
          <t>JÄMTLANDS LÄN</t>
        </is>
      </c>
      <c r="E805" t="inlineStr">
        <is>
          <t>RAGUNDA</t>
        </is>
      </c>
      <c r="F805" t="inlineStr">
        <is>
          <t>SCA</t>
        </is>
      </c>
      <c r="G805" t="n">
        <v>11.9</v>
      </c>
      <c r="H805" t="n">
        <v>0</v>
      </c>
      <c r="I805" t="n">
        <v>0</v>
      </c>
      <c r="J805" t="n">
        <v>0</v>
      </c>
      <c r="K805" t="n">
        <v>0</v>
      </c>
      <c r="L805" t="n">
        <v>0</v>
      </c>
      <c r="M805" t="n">
        <v>0</v>
      </c>
      <c r="N805" t="n">
        <v>0</v>
      </c>
      <c r="O805" t="n">
        <v>0</v>
      </c>
      <c r="P805" t="n">
        <v>0</v>
      </c>
      <c r="Q805" t="n">
        <v>0</v>
      </c>
      <c r="R805" s="2" t="inlineStr"/>
    </row>
    <row r="806" ht="15" customHeight="1">
      <c r="A806" t="inlineStr">
        <is>
          <t>A 51903-2025</t>
        </is>
      </c>
      <c r="B806" s="1" t="n">
        <v>45952.44857638889</v>
      </c>
      <c r="C806" s="1" t="n">
        <v>46084</v>
      </c>
      <c r="D806" t="inlineStr">
        <is>
          <t>JÄMTLANDS LÄN</t>
        </is>
      </c>
      <c r="E806" t="inlineStr">
        <is>
          <t>RAGUNDA</t>
        </is>
      </c>
      <c r="F806" t="inlineStr">
        <is>
          <t>SCA</t>
        </is>
      </c>
      <c r="G806" t="n">
        <v>20.8</v>
      </c>
      <c r="H806" t="n">
        <v>0</v>
      </c>
      <c r="I806" t="n">
        <v>0</v>
      </c>
      <c r="J806" t="n">
        <v>0</v>
      </c>
      <c r="K806" t="n">
        <v>0</v>
      </c>
      <c r="L806" t="n">
        <v>0</v>
      </c>
      <c r="M806" t="n">
        <v>0</v>
      </c>
      <c r="N806" t="n">
        <v>0</v>
      </c>
      <c r="O806" t="n">
        <v>0</v>
      </c>
      <c r="P806" t="n">
        <v>0</v>
      </c>
      <c r="Q806" t="n">
        <v>0</v>
      </c>
      <c r="R806" s="2" t="inlineStr"/>
    </row>
    <row r="807" ht="15" customHeight="1">
      <c r="A807" t="inlineStr">
        <is>
          <t>A 51932-2025</t>
        </is>
      </c>
      <c r="B807" s="1" t="n">
        <v>45952.51094907407</v>
      </c>
      <c r="C807" s="1" t="n">
        <v>46084</v>
      </c>
      <c r="D807" t="inlineStr">
        <is>
          <t>JÄMTLANDS LÄN</t>
        </is>
      </c>
      <c r="E807" t="inlineStr">
        <is>
          <t>RAGUNDA</t>
        </is>
      </c>
      <c r="F807" t="inlineStr">
        <is>
          <t>SCA</t>
        </is>
      </c>
      <c r="G807" t="n">
        <v>39.2</v>
      </c>
      <c r="H807" t="n">
        <v>0</v>
      </c>
      <c r="I807" t="n">
        <v>0</v>
      </c>
      <c r="J807" t="n">
        <v>0</v>
      </c>
      <c r="K807" t="n">
        <v>0</v>
      </c>
      <c r="L807" t="n">
        <v>0</v>
      </c>
      <c r="M807" t="n">
        <v>0</v>
      </c>
      <c r="N807" t="n">
        <v>0</v>
      </c>
      <c r="O807" t="n">
        <v>0</v>
      </c>
      <c r="P807" t="n">
        <v>0</v>
      </c>
      <c r="Q807" t="n">
        <v>0</v>
      </c>
      <c r="R807" s="2" t="inlineStr"/>
    </row>
    <row r="808" ht="15" customHeight="1">
      <c r="A808" t="inlineStr">
        <is>
          <t>A 51906-2025</t>
        </is>
      </c>
      <c r="B808" s="1" t="n">
        <v>45952.4615162037</v>
      </c>
      <c r="C808" s="1" t="n">
        <v>46084</v>
      </c>
      <c r="D808" t="inlineStr">
        <is>
          <t>JÄMTLANDS LÄN</t>
        </is>
      </c>
      <c r="E808" t="inlineStr">
        <is>
          <t>RAGUNDA</t>
        </is>
      </c>
      <c r="G808" t="n">
        <v>4.5</v>
      </c>
      <c r="H808" t="n">
        <v>0</v>
      </c>
      <c r="I808" t="n">
        <v>0</v>
      </c>
      <c r="J808" t="n">
        <v>0</v>
      </c>
      <c r="K808" t="n">
        <v>0</v>
      </c>
      <c r="L808" t="n">
        <v>0</v>
      </c>
      <c r="M808" t="n">
        <v>0</v>
      </c>
      <c r="N808" t="n">
        <v>0</v>
      </c>
      <c r="O808" t="n">
        <v>0</v>
      </c>
      <c r="P808" t="n">
        <v>0</v>
      </c>
      <c r="Q808" t="n">
        <v>0</v>
      </c>
      <c r="R808" s="2" t="inlineStr"/>
    </row>
    <row r="809" ht="15" customHeight="1">
      <c r="A809" t="inlineStr">
        <is>
          <t>A 13264-2025</t>
        </is>
      </c>
      <c r="B809" s="1" t="n">
        <v>45735</v>
      </c>
      <c r="C809" s="1" t="n">
        <v>46084</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19264-2025</t>
        </is>
      </c>
      <c r="B810" s="1" t="n">
        <v>45769.51087962963</v>
      </c>
      <c r="C810" s="1" t="n">
        <v>46084</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52972-2025</t>
        </is>
      </c>
      <c r="B811" s="1" t="n">
        <v>45957.67783564814</v>
      </c>
      <c r="C811" s="1" t="n">
        <v>46084</v>
      </c>
      <c r="D811" t="inlineStr">
        <is>
          <t>JÄMTLANDS LÄN</t>
        </is>
      </c>
      <c r="E811" t="inlineStr">
        <is>
          <t>RAGUNDA</t>
        </is>
      </c>
      <c r="F811" t="inlineStr">
        <is>
          <t>SCA</t>
        </is>
      </c>
      <c r="G811" t="n">
        <v>53.4</v>
      </c>
      <c r="H811" t="n">
        <v>0</v>
      </c>
      <c r="I811" t="n">
        <v>0</v>
      </c>
      <c r="J811" t="n">
        <v>0</v>
      </c>
      <c r="K811" t="n">
        <v>0</v>
      </c>
      <c r="L811" t="n">
        <v>0</v>
      </c>
      <c r="M811" t="n">
        <v>0</v>
      </c>
      <c r="N811" t="n">
        <v>0</v>
      </c>
      <c r="O811" t="n">
        <v>0</v>
      </c>
      <c r="P811" t="n">
        <v>0</v>
      </c>
      <c r="Q811" t="n">
        <v>0</v>
      </c>
      <c r="R811" s="2" t="inlineStr"/>
    </row>
    <row r="812" ht="15" customHeight="1">
      <c r="A812" t="inlineStr">
        <is>
          <t>A 36553-2025</t>
        </is>
      </c>
      <c r="B812" s="1" t="n">
        <v>45870.34439814815</v>
      </c>
      <c r="C812" s="1" t="n">
        <v>46084</v>
      </c>
      <c r="D812" t="inlineStr">
        <is>
          <t>JÄMTLANDS LÄN</t>
        </is>
      </c>
      <c r="E812" t="inlineStr">
        <is>
          <t>RAGUNDA</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52430-2025</t>
        </is>
      </c>
      <c r="B813" s="1" t="n">
        <v>45954.38592592593</v>
      </c>
      <c r="C813" s="1" t="n">
        <v>46084</v>
      </c>
      <c r="D813" t="inlineStr">
        <is>
          <t>JÄMTLANDS LÄN</t>
        </is>
      </c>
      <c r="E813" t="inlineStr">
        <is>
          <t>RAGUNDA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5307-2025</t>
        </is>
      </c>
      <c r="B814" s="1" t="n">
        <v>45692.48993055556</v>
      </c>
      <c r="C814" s="1" t="n">
        <v>46084</v>
      </c>
      <c r="D814" t="inlineStr">
        <is>
          <t>JÄMTLANDS LÄN</t>
        </is>
      </c>
      <c r="E814" t="inlineStr">
        <is>
          <t>RAGUNDA</t>
        </is>
      </c>
      <c r="F814" t="inlineStr">
        <is>
          <t>SCA</t>
        </is>
      </c>
      <c r="G814" t="n">
        <v>20.9</v>
      </c>
      <c r="H814" t="n">
        <v>0</v>
      </c>
      <c r="I814" t="n">
        <v>0</v>
      </c>
      <c r="J814" t="n">
        <v>0</v>
      </c>
      <c r="K814" t="n">
        <v>0</v>
      </c>
      <c r="L814" t="n">
        <v>0</v>
      </c>
      <c r="M814" t="n">
        <v>0</v>
      </c>
      <c r="N814" t="n">
        <v>0</v>
      </c>
      <c r="O814" t="n">
        <v>0</v>
      </c>
      <c r="P814" t="n">
        <v>0</v>
      </c>
      <c r="Q814" t="n">
        <v>0</v>
      </c>
      <c r="R814" s="2" t="inlineStr"/>
    </row>
    <row r="815" ht="15" customHeight="1">
      <c r="A815" t="inlineStr">
        <is>
          <t>A 38548-2024</t>
        </is>
      </c>
      <c r="B815" s="1" t="n">
        <v>45546</v>
      </c>
      <c r="C815" s="1" t="n">
        <v>46084</v>
      </c>
      <c r="D815" t="inlineStr">
        <is>
          <t>JÄMTLANDS LÄN</t>
        </is>
      </c>
      <c r="E815" t="inlineStr">
        <is>
          <t>RAGUNDA</t>
        </is>
      </c>
      <c r="G815" t="n">
        <v>1.4</v>
      </c>
      <c r="H815" t="n">
        <v>0</v>
      </c>
      <c r="I815" t="n">
        <v>0</v>
      </c>
      <c r="J815" t="n">
        <v>0</v>
      </c>
      <c r="K815" t="n">
        <v>0</v>
      </c>
      <c r="L815" t="n">
        <v>0</v>
      </c>
      <c r="M815" t="n">
        <v>0</v>
      </c>
      <c r="N815" t="n">
        <v>0</v>
      </c>
      <c r="O815" t="n">
        <v>0</v>
      </c>
      <c r="P815" t="n">
        <v>0</v>
      </c>
      <c r="Q815" t="n">
        <v>0</v>
      </c>
      <c r="R815" s="2" t="inlineStr"/>
    </row>
    <row r="816" ht="15" customHeight="1">
      <c r="A816" t="inlineStr">
        <is>
          <t>A 52875-2025</t>
        </is>
      </c>
      <c r="B816" s="1" t="n">
        <v>45957.53211805555</v>
      </c>
      <c r="C816" s="1" t="n">
        <v>46084</v>
      </c>
      <c r="D816" t="inlineStr">
        <is>
          <t>JÄMTLANDS LÄN</t>
        </is>
      </c>
      <c r="E816" t="inlineStr">
        <is>
          <t>RAGUNDA</t>
        </is>
      </c>
      <c r="F816" t="inlineStr">
        <is>
          <t>SCA</t>
        </is>
      </c>
      <c r="G816" t="n">
        <v>34.3</v>
      </c>
      <c r="H816" t="n">
        <v>0</v>
      </c>
      <c r="I816" t="n">
        <v>0</v>
      </c>
      <c r="J816" t="n">
        <v>0</v>
      </c>
      <c r="K816" t="n">
        <v>0</v>
      </c>
      <c r="L816" t="n">
        <v>0</v>
      </c>
      <c r="M816" t="n">
        <v>0</v>
      </c>
      <c r="N816" t="n">
        <v>0</v>
      </c>
      <c r="O816" t="n">
        <v>0</v>
      </c>
      <c r="P816" t="n">
        <v>0</v>
      </c>
      <c r="Q816" t="n">
        <v>0</v>
      </c>
      <c r="R816" s="2" t="inlineStr"/>
    </row>
    <row r="817" ht="15" customHeight="1">
      <c r="A817" t="inlineStr">
        <is>
          <t>A 2411-2023</t>
        </is>
      </c>
      <c r="B817" s="1" t="n">
        <v>44942</v>
      </c>
      <c r="C817" s="1" t="n">
        <v>46084</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13935-2024</t>
        </is>
      </c>
      <c r="B818" s="1" t="n">
        <v>45391.95329861111</v>
      </c>
      <c r="C818" s="1" t="n">
        <v>46084</v>
      </c>
      <c r="D818" t="inlineStr">
        <is>
          <t>JÄMTLANDS LÄN</t>
        </is>
      </c>
      <c r="E818" t="inlineStr">
        <is>
          <t>RAGUNDA</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5308-2025</t>
        </is>
      </c>
      <c r="B819" s="1" t="n">
        <v>45692.49008101852</v>
      </c>
      <c r="C819" s="1" t="n">
        <v>46084</v>
      </c>
      <c r="D819" t="inlineStr">
        <is>
          <t>JÄMTLANDS LÄN</t>
        </is>
      </c>
      <c r="E819" t="inlineStr">
        <is>
          <t>RAGUNDA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58194-2022</t>
        </is>
      </c>
      <c r="B820" s="1" t="n">
        <v>44900</v>
      </c>
      <c r="C820" s="1" t="n">
        <v>46084</v>
      </c>
      <c r="D820" t="inlineStr">
        <is>
          <t>JÄMTLANDS LÄN</t>
        </is>
      </c>
      <c r="E820" t="inlineStr">
        <is>
          <t>RAGUNDA</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52394-2025</t>
        </is>
      </c>
      <c r="B821" s="1" t="n">
        <v>45954.34466435185</v>
      </c>
      <c r="C821" s="1" t="n">
        <v>46084</v>
      </c>
      <c r="D821" t="inlineStr">
        <is>
          <t>JÄMTLANDS LÄN</t>
        </is>
      </c>
      <c r="E821" t="inlineStr">
        <is>
          <t>RAGUNDA</t>
        </is>
      </c>
      <c r="F821" t="inlineStr">
        <is>
          <t>SCA</t>
        </is>
      </c>
      <c r="G821" t="n">
        <v>53.8</v>
      </c>
      <c r="H821" t="n">
        <v>0</v>
      </c>
      <c r="I821" t="n">
        <v>0</v>
      </c>
      <c r="J821" t="n">
        <v>0</v>
      </c>
      <c r="K821" t="n">
        <v>0</v>
      </c>
      <c r="L821" t="n">
        <v>0</v>
      </c>
      <c r="M821" t="n">
        <v>0</v>
      </c>
      <c r="N821" t="n">
        <v>0</v>
      </c>
      <c r="O821" t="n">
        <v>0</v>
      </c>
      <c r="P821" t="n">
        <v>0</v>
      </c>
      <c r="Q821" t="n">
        <v>0</v>
      </c>
      <c r="R821" s="2" t="inlineStr"/>
    </row>
    <row r="822" ht="15" customHeight="1">
      <c r="A822" t="inlineStr">
        <is>
          <t>A 52395-2025</t>
        </is>
      </c>
      <c r="B822" s="1" t="n">
        <v>45954.34487268519</v>
      </c>
      <c r="C822" s="1" t="n">
        <v>46084</v>
      </c>
      <c r="D822" t="inlineStr">
        <is>
          <t>JÄMTLANDS LÄN</t>
        </is>
      </c>
      <c r="E822" t="inlineStr">
        <is>
          <t>RAGUNDA</t>
        </is>
      </c>
      <c r="F822" t="inlineStr">
        <is>
          <t>SCA</t>
        </is>
      </c>
      <c r="G822" t="n">
        <v>14.2</v>
      </c>
      <c r="H822" t="n">
        <v>0</v>
      </c>
      <c r="I822" t="n">
        <v>0</v>
      </c>
      <c r="J822" t="n">
        <v>0</v>
      </c>
      <c r="K822" t="n">
        <v>0</v>
      </c>
      <c r="L822" t="n">
        <v>0</v>
      </c>
      <c r="M822" t="n">
        <v>0</v>
      </c>
      <c r="N822" t="n">
        <v>0</v>
      </c>
      <c r="O822" t="n">
        <v>0</v>
      </c>
      <c r="P822" t="n">
        <v>0</v>
      </c>
      <c r="Q822" t="n">
        <v>0</v>
      </c>
      <c r="R822" s="2" t="inlineStr"/>
    </row>
    <row r="823" ht="15" customHeight="1">
      <c r="A823" t="inlineStr">
        <is>
          <t>A 29263-2024</t>
        </is>
      </c>
      <c r="B823" s="1" t="n">
        <v>45482.94891203703</v>
      </c>
      <c r="C823" s="1" t="n">
        <v>46084</v>
      </c>
      <c r="D823" t="inlineStr">
        <is>
          <t>JÄMTLANDS LÄN</t>
        </is>
      </c>
      <c r="E823" t="inlineStr">
        <is>
          <t>RAGUNDA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53211-2025</t>
        </is>
      </c>
      <c r="B824" s="1" t="n">
        <v>45958.59490740741</v>
      </c>
      <c r="C824" s="1" t="n">
        <v>46084</v>
      </c>
      <c r="D824" t="inlineStr">
        <is>
          <t>JÄMTLANDS LÄN</t>
        </is>
      </c>
      <c r="E824" t="inlineStr">
        <is>
          <t>RAGUNDA</t>
        </is>
      </c>
      <c r="F824" t="inlineStr">
        <is>
          <t>SCA</t>
        </is>
      </c>
      <c r="G824" t="n">
        <v>7.4</v>
      </c>
      <c r="H824" t="n">
        <v>0</v>
      </c>
      <c r="I824" t="n">
        <v>0</v>
      </c>
      <c r="J824" t="n">
        <v>0</v>
      </c>
      <c r="K824" t="n">
        <v>0</v>
      </c>
      <c r="L824" t="n">
        <v>0</v>
      </c>
      <c r="M824" t="n">
        <v>0</v>
      </c>
      <c r="N824" t="n">
        <v>0</v>
      </c>
      <c r="O824" t="n">
        <v>0</v>
      </c>
      <c r="P824" t="n">
        <v>0</v>
      </c>
      <c r="Q824" t="n">
        <v>0</v>
      </c>
      <c r="R824" s="2" t="inlineStr"/>
    </row>
    <row r="825" ht="15" customHeight="1">
      <c r="A825" t="inlineStr">
        <is>
          <t>A 53032-2025</t>
        </is>
      </c>
      <c r="B825" s="1" t="n">
        <v>45958.34462962963</v>
      </c>
      <c r="C825" s="1" t="n">
        <v>46084</v>
      </c>
      <c r="D825" t="inlineStr">
        <is>
          <t>JÄMTLANDS LÄN</t>
        </is>
      </c>
      <c r="E825" t="inlineStr">
        <is>
          <t>RAGUNDA</t>
        </is>
      </c>
      <c r="G825" t="n">
        <v>2.6</v>
      </c>
      <c r="H825" t="n">
        <v>0</v>
      </c>
      <c r="I825" t="n">
        <v>0</v>
      </c>
      <c r="J825" t="n">
        <v>0</v>
      </c>
      <c r="K825" t="n">
        <v>0</v>
      </c>
      <c r="L825" t="n">
        <v>0</v>
      </c>
      <c r="M825" t="n">
        <v>0</v>
      </c>
      <c r="N825" t="n">
        <v>0</v>
      </c>
      <c r="O825" t="n">
        <v>0</v>
      </c>
      <c r="P825" t="n">
        <v>0</v>
      </c>
      <c r="Q825" t="n">
        <v>0</v>
      </c>
      <c r="R825" s="2" t="inlineStr"/>
    </row>
    <row r="826" ht="15" customHeight="1">
      <c r="A826" t="inlineStr">
        <is>
          <t>A 53075-2025</t>
        </is>
      </c>
      <c r="B826" s="1" t="n">
        <v>45958.38584490741</v>
      </c>
      <c r="C826" s="1" t="n">
        <v>46084</v>
      </c>
      <c r="D826" t="inlineStr">
        <is>
          <t>JÄMTLANDS LÄN</t>
        </is>
      </c>
      <c r="E826" t="inlineStr">
        <is>
          <t>RAGUNDA</t>
        </is>
      </c>
      <c r="F826" t="inlineStr">
        <is>
          <t>SCA</t>
        </is>
      </c>
      <c r="G826" t="n">
        <v>28.9</v>
      </c>
      <c r="H826" t="n">
        <v>0</v>
      </c>
      <c r="I826" t="n">
        <v>0</v>
      </c>
      <c r="J826" t="n">
        <v>0</v>
      </c>
      <c r="K826" t="n">
        <v>0</v>
      </c>
      <c r="L826" t="n">
        <v>0</v>
      </c>
      <c r="M826" t="n">
        <v>0</v>
      </c>
      <c r="N826" t="n">
        <v>0</v>
      </c>
      <c r="O826" t="n">
        <v>0</v>
      </c>
      <c r="P826" t="n">
        <v>0</v>
      </c>
      <c r="Q826" t="n">
        <v>0</v>
      </c>
      <c r="R826" s="2" t="inlineStr"/>
    </row>
    <row r="827" ht="15" customHeight="1">
      <c r="A827" t="inlineStr">
        <is>
          <t>A 24171-2021</t>
        </is>
      </c>
      <c r="B827" s="1" t="n">
        <v>44336</v>
      </c>
      <c r="C827" s="1" t="n">
        <v>46084</v>
      </c>
      <c r="D827" t="inlineStr">
        <is>
          <t>JÄMTLANDS LÄN</t>
        </is>
      </c>
      <c r="E827" t="inlineStr">
        <is>
          <t>RAGUNDA</t>
        </is>
      </c>
      <c r="G827" t="n">
        <v>3.6</v>
      </c>
      <c r="H827" t="n">
        <v>0</v>
      </c>
      <c r="I827" t="n">
        <v>0</v>
      </c>
      <c r="J827" t="n">
        <v>0</v>
      </c>
      <c r="K827" t="n">
        <v>0</v>
      </c>
      <c r="L827" t="n">
        <v>0</v>
      </c>
      <c r="M827" t="n">
        <v>0</v>
      </c>
      <c r="N827" t="n">
        <v>0</v>
      </c>
      <c r="O827" t="n">
        <v>0</v>
      </c>
      <c r="P827" t="n">
        <v>0</v>
      </c>
      <c r="Q827" t="n">
        <v>0</v>
      </c>
      <c r="R827" s="2" t="inlineStr"/>
    </row>
    <row r="828" ht="15" customHeight="1">
      <c r="A828" t="inlineStr">
        <is>
          <t>A 58843-2024</t>
        </is>
      </c>
      <c r="B828" s="1" t="n">
        <v>45636.38599537037</v>
      </c>
      <c r="C828" s="1" t="n">
        <v>46084</v>
      </c>
      <c r="D828" t="inlineStr">
        <is>
          <t>JÄMTLANDS LÄN</t>
        </is>
      </c>
      <c r="E828" t="inlineStr">
        <is>
          <t>RAGUNDA</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52578-2025</t>
        </is>
      </c>
      <c r="B829" s="1" t="n">
        <v>45954.61508101852</v>
      </c>
      <c r="C829" s="1" t="n">
        <v>46084</v>
      </c>
      <c r="D829" t="inlineStr">
        <is>
          <t>JÄMTLANDS LÄN</t>
        </is>
      </c>
      <c r="E829" t="inlineStr">
        <is>
          <t>RAGUNDA</t>
        </is>
      </c>
      <c r="F829" t="inlineStr">
        <is>
          <t>SCA</t>
        </is>
      </c>
      <c r="G829" t="n">
        <v>25.2</v>
      </c>
      <c r="H829" t="n">
        <v>0</v>
      </c>
      <c r="I829" t="n">
        <v>0</v>
      </c>
      <c r="J829" t="n">
        <v>0</v>
      </c>
      <c r="K829" t="n">
        <v>0</v>
      </c>
      <c r="L829" t="n">
        <v>0</v>
      </c>
      <c r="M829" t="n">
        <v>0</v>
      </c>
      <c r="N829" t="n">
        <v>0</v>
      </c>
      <c r="O829" t="n">
        <v>0</v>
      </c>
      <c r="P829" t="n">
        <v>0</v>
      </c>
      <c r="Q829" t="n">
        <v>0</v>
      </c>
      <c r="R829" s="2" t="inlineStr"/>
    </row>
    <row r="830" ht="15" customHeight="1">
      <c r="A830" t="inlineStr">
        <is>
          <t>A 32075-2025</t>
        </is>
      </c>
      <c r="B830" s="1" t="n">
        <v>45835.4506712963</v>
      </c>
      <c r="C830" s="1" t="n">
        <v>46084</v>
      </c>
      <c r="D830" t="inlineStr">
        <is>
          <t>JÄMTLANDS LÄN</t>
        </is>
      </c>
      <c r="E830" t="inlineStr">
        <is>
          <t>RAGUNDA</t>
        </is>
      </c>
      <c r="G830" t="n">
        <v>1.1</v>
      </c>
      <c r="H830" t="n">
        <v>0</v>
      </c>
      <c r="I830" t="n">
        <v>0</v>
      </c>
      <c r="J830" t="n">
        <v>0</v>
      </c>
      <c r="K830" t="n">
        <v>0</v>
      </c>
      <c r="L830" t="n">
        <v>0</v>
      </c>
      <c r="M830" t="n">
        <v>0</v>
      </c>
      <c r="N830" t="n">
        <v>0</v>
      </c>
      <c r="O830" t="n">
        <v>0</v>
      </c>
      <c r="P830" t="n">
        <v>0</v>
      </c>
      <c r="Q830" t="n">
        <v>0</v>
      </c>
      <c r="R830" s="2" t="inlineStr"/>
    </row>
    <row r="831" ht="15" customHeight="1">
      <c r="A831" t="inlineStr">
        <is>
          <t>A 8800-2025</t>
        </is>
      </c>
      <c r="B831" s="1" t="n">
        <v>45712.65671296296</v>
      </c>
      <c r="C831" s="1" t="n">
        <v>46084</v>
      </c>
      <c r="D831" t="inlineStr">
        <is>
          <t>JÄMTLANDS LÄN</t>
        </is>
      </c>
      <c r="E831" t="inlineStr">
        <is>
          <t>RAGUNDA</t>
        </is>
      </c>
      <c r="G831" t="n">
        <v>2.6</v>
      </c>
      <c r="H831" t="n">
        <v>0</v>
      </c>
      <c r="I831" t="n">
        <v>0</v>
      </c>
      <c r="J831" t="n">
        <v>0</v>
      </c>
      <c r="K831" t="n">
        <v>0</v>
      </c>
      <c r="L831" t="n">
        <v>0</v>
      </c>
      <c r="M831" t="n">
        <v>0</v>
      </c>
      <c r="N831" t="n">
        <v>0</v>
      </c>
      <c r="O831" t="n">
        <v>0</v>
      </c>
      <c r="P831" t="n">
        <v>0</v>
      </c>
      <c r="Q831" t="n">
        <v>0</v>
      </c>
      <c r="R831" s="2" t="inlineStr"/>
    </row>
    <row r="832" ht="15" customHeight="1">
      <c r="A832" t="inlineStr">
        <is>
          <t>A 53076-2025</t>
        </is>
      </c>
      <c r="B832" s="1" t="n">
        <v>45958.38604166666</v>
      </c>
      <c r="C832" s="1" t="n">
        <v>46084</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25304-2023</t>
        </is>
      </c>
      <c r="B833" s="1" t="n">
        <v>45086</v>
      </c>
      <c r="C833" s="1" t="n">
        <v>46084</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53986-2025</t>
        </is>
      </c>
      <c r="B834" s="1" t="n">
        <v>45961.57381944444</v>
      </c>
      <c r="C834" s="1" t="n">
        <v>46084</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53973-2025</t>
        </is>
      </c>
      <c r="B835" s="1" t="n">
        <v>45961.55246527777</v>
      </c>
      <c r="C835" s="1" t="n">
        <v>46084</v>
      </c>
      <c r="D835" t="inlineStr">
        <is>
          <t>JÄMTLANDS LÄN</t>
        </is>
      </c>
      <c r="E835" t="inlineStr">
        <is>
          <t>RAGUNDA</t>
        </is>
      </c>
      <c r="G835" t="n">
        <v>2.4</v>
      </c>
      <c r="H835" t="n">
        <v>0</v>
      </c>
      <c r="I835" t="n">
        <v>0</v>
      </c>
      <c r="J835" t="n">
        <v>0</v>
      </c>
      <c r="K835" t="n">
        <v>0</v>
      </c>
      <c r="L835" t="n">
        <v>0</v>
      </c>
      <c r="M835" t="n">
        <v>0</v>
      </c>
      <c r="N835" t="n">
        <v>0</v>
      </c>
      <c r="O835" t="n">
        <v>0</v>
      </c>
      <c r="P835" t="n">
        <v>0</v>
      </c>
      <c r="Q835" t="n">
        <v>0</v>
      </c>
      <c r="R835" s="2" t="inlineStr"/>
    </row>
    <row r="836" ht="15" customHeight="1">
      <c r="A836" t="inlineStr">
        <is>
          <t>A 53287-2022</t>
        </is>
      </c>
      <c r="B836" s="1" t="n">
        <v>44876</v>
      </c>
      <c r="C836" s="1" t="n">
        <v>46084</v>
      </c>
      <c r="D836" t="inlineStr">
        <is>
          <t>JÄMTLANDS LÄN</t>
        </is>
      </c>
      <c r="E836" t="inlineStr">
        <is>
          <t>RAGUNDA</t>
        </is>
      </c>
      <c r="F836" t="inlineStr">
        <is>
          <t>SCA</t>
        </is>
      </c>
      <c r="G836" t="n">
        <v>6.2</v>
      </c>
      <c r="H836" t="n">
        <v>0</v>
      </c>
      <c r="I836" t="n">
        <v>0</v>
      </c>
      <c r="J836" t="n">
        <v>0</v>
      </c>
      <c r="K836" t="n">
        <v>0</v>
      </c>
      <c r="L836" t="n">
        <v>0</v>
      </c>
      <c r="M836" t="n">
        <v>0</v>
      </c>
      <c r="N836" t="n">
        <v>0</v>
      </c>
      <c r="O836" t="n">
        <v>0</v>
      </c>
      <c r="P836" t="n">
        <v>0</v>
      </c>
      <c r="Q836" t="n">
        <v>0</v>
      </c>
      <c r="R836" s="2" t="inlineStr"/>
    </row>
    <row r="837" ht="15" customHeight="1">
      <c r="A837" t="inlineStr">
        <is>
          <t>A 32874-2025</t>
        </is>
      </c>
      <c r="B837" s="1" t="n">
        <v>45839</v>
      </c>
      <c r="C837" s="1" t="n">
        <v>46084</v>
      </c>
      <c r="D837" t="inlineStr">
        <is>
          <t>JÄMTLANDS LÄN</t>
        </is>
      </c>
      <c r="E837" t="inlineStr">
        <is>
          <t>RAGUNDA</t>
        </is>
      </c>
      <c r="G837" t="n">
        <v>2.3</v>
      </c>
      <c r="H837" t="n">
        <v>0</v>
      </c>
      <c r="I837" t="n">
        <v>0</v>
      </c>
      <c r="J837" t="n">
        <v>0</v>
      </c>
      <c r="K837" t="n">
        <v>0</v>
      </c>
      <c r="L837" t="n">
        <v>0</v>
      </c>
      <c r="M837" t="n">
        <v>0</v>
      </c>
      <c r="N837" t="n">
        <v>0</v>
      </c>
      <c r="O837" t="n">
        <v>0</v>
      </c>
      <c r="P837" t="n">
        <v>0</v>
      </c>
      <c r="Q837" t="n">
        <v>0</v>
      </c>
      <c r="R837" s="2" t="inlineStr"/>
    </row>
    <row r="838" ht="15" customHeight="1">
      <c r="A838" t="inlineStr">
        <is>
          <t>A 53549-2025</t>
        </is>
      </c>
      <c r="B838" s="1" t="n">
        <v>45960.38576388889</v>
      </c>
      <c r="C838" s="1" t="n">
        <v>46084</v>
      </c>
      <c r="D838" t="inlineStr">
        <is>
          <t>JÄMTLANDS LÄN</t>
        </is>
      </c>
      <c r="E838" t="inlineStr">
        <is>
          <t>RAGUNDA</t>
        </is>
      </c>
      <c r="G838" t="n">
        <v>5.4</v>
      </c>
      <c r="H838" t="n">
        <v>0</v>
      </c>
      <c r="I838" t="n">
        <v>0</v>
      </c>
      <c r="J838" t="n">
        <v>0</v>
      </c>
      <c r="K838" t="n">
        <v>0</v>
      </c>
      <c r="L838" t="n">
        <v>0</v>
      </c>
      <c r="M838" t="n">
        <v>0</v>
      </c>
      <c r="N838" t="n">
        <v>0</v>
      </c>
      <c r="O838" t="n">
        <v>0</v>
      </c>
      <c r="P838" t="n">
        <v>0</v>
      </c>
      <c r="Q838" t="n">
        <v>0</v>
      </c>
      <c r="R838" s="2" t="inlineStr"/>
    </row>
    <row r="839" ht="15" customHeight="1">
      <c r="A839" t="inlineStr">
        <is>
          <t>A 36994-2025</t>
        </is>
      </c>
      <c r="B839" s="1" t="n">
        <v>45874.67746527777</v>
      </c>
      <c r="C839" s="1" t="n">
        <v>46084</v>
      </c>
      <c r="D839" t="inlineStr">
        <is>
          <t>JÄMTLANDS LÄN</t>
        </is>
      </c>
      <c r="E839" t="inlineStr">
        <is>
          <t>RAGUNDA</t>
        </is>
      </c>
      <c r="F839" t="inlineStr">
        <is>
          <t>SCA</t>
        </is>
      </c>
      <c r="G839" t="n">
        <v>7.2</v>
      </c>
      <c r="H839" t="n">
        <v>0</v>
      </c>
      <c r="I839" t="n">
        <v>0</v>
      </c>
      <c r="J839" t="n">
        <v>0</v>
      </c>
      <c r="K839" t="n">
        <v>0</v>
      </c>
      <c r="L839" t="n">
        <v>0</v>
      </c>
      <c r="M839" t="n">
        <v>0</v>
      </c>
      <c r="N839" t="n">
        <v>0</v>
      </c>
      <c r="O839" t="n">
        <v>0</v>
      </c>
      <c r="P839" t="n">
        <v>0</v>
      </c>
      <c r="Q839" t="n">
        <v>0</v>
      </c>
      <c r="R839" s="2" t="inlineStr"/>
    </row>
    <row r="840" ht="15" customHeight="1">
      <c r="A840" t="inlineStr">
        <is>
          <t>A 53975-2025</t>
        </is>
      </c>
      <c r="B840" s="1" t="n">
        <v>45961.55277777778</v>
      </c>
      <c r="C840" s="1" t="n">
        <v>46084</v>
      </c>
      <c r="D840" t="inlineStr">
        <is>
          <t>JÄMTLANDS LÄN</t>
        </is>
      </c>
      <c r="E840" t="inlineStr">
        <is>
          <t>RAGUNDA</t>
        </is>
      </c>
      <c r="F840" t="inlineStr">
        <is>
          <t>SCA</t>
        </is>
      </c>
      <c r="G840" t="n">
        <v>21.9</v>
      </c>
      <c r="H840" t="n">
        <v>0</v>
      </c>
      <c r="I840" t="n">
        <v>0</v>
      </c>
      <c r="J840" t="n">
        <v>0</v>
      </c>
      <c r="K840" t="n">
        <v>0</v>
      </c>
      <c r="L840" t="n">
        <v>0</v>
      </c>
      <c r="M840" t="n">
        <v>0</v>
      </c>
      <c r="N840" t="n">
        <v>0</v>
      </c>
      <c r="O840" t="n">
        <v>0</v>
      </c>
      <c r="P840" t="n">
        <v>0</v>
      </c>
      <c r="Q840" t="n">
        <v>0</v>
      </c>
      <c r="R840" s="2" t="inlineStr"/>
    </row>
    <row r="841" ht="15" customHeight="1">
      <c r="A841" t="inlineStr">
        <is>
          <t>A 53726-2025</t>
        </is>
      </c>
      <c r="B841" s="1" t="n">
        <v>45960.63597222222</v>
      </c>
      <c r="C841" s="1" t="n">
        <v>46084</v>
      </c>
      <c r="D841" t="inlineStr">
        <is>
          <t>JÄMTLANDS LÄN</t>
        </is>
      </c>
      <c r="E841" t="inlineStr">
        <is>
          <t>RAGUNDA</t>
        </is>
      </c>
      <c r="F841" t="inlineStr">
        <is>
          <t>SCA</t>
        </is>
      </c>
      <c r="G841" t="n">
        <v>10.9</v>
      </c>
      <c r="H841" t="n">
        <v>0</v>
      </c>
      <c r="I841" t="n">
        <v>0</v>
      </c>
      <c r="J841" t="n">
        <v>0</v>
      </c>
      <c r="K841" t="n">
        <v>0</v>
      </c>
      <c r="L841" t="n">
        <v>0</v>
      </c>
      <c r="M841" t="n">
        <v>0</v>
      </c>
      <c r="N841" t="n">
        <v>0</v>
      </c>
      <c r="O841" t="n">
        <v>0</v>
      </c>
      <c r="P841" t="n">
        <v>0</v>
      </c>
      <c r="Q841" t="n">
        <v>0</v>
      </c>
      <c r="R841" s="2" t="inlineStr"/>
    </row>
    <row r="842" ht="15" customHeight="1">
      <c r="A842" t="inlineStr">
        <is>
          <t>A 29265-2024</t>
        </is>
      </c>
      <c r="B842" s="1" t="n">
        <v>45482.9491087963</v>
      </c>
      <c r="C842" s="1" t="n">
        <v>46084</v>
      </c>
      <c r="D842" t="inlineStr">
        <is>
          <t>JÄMTLANDS LÄN</t>
        </is>
      </c>
      <c r="E842" t="inlineStr">
        <is>
          <t>RAGUNDA</t>
        </is>
      </c>
      <c r="F842" t="inlineStr">
        <is>
          <t>SCA</t>
        </is>
      </c>
      <c r="G842" t="n">
        <v>11.6</v>
      </c>
      <c r="H842" t="n">
        <v>0</v>
      </c>
      <c r="I842" t="n">
        <v>0</v>
      </c>
      <c r="J842" t="n">
        <v>0</v>
      </c>
      <c r="K842" t="n">
        <v>0</v>
      </c>
      <c r="L842" t="n">
        <v>0</v>
      </c>
      <c r="M842" t="n">
        <v>0</v>
      </c>
      <c r="N842" t="n">
        <v>0</v>
      </c>
      <c r="O842" t="n">
        <v>0</v>
      </c>
      <c r="P842" t="n">
        <v>0</v>
      </c>
      <c r="Q842" t="n">
        <v>0</v>
      </c>
      <c r="R842" s="2" t="inlineStr"/>
    </row>
    <row r="843" ht="15" customHeight="1">
      <c r="A843" t="inlineStr">
        <is>
          <t>A 16320-2025</t>
        </is>
      </c>
      <c r="B843" s="1" t="n">
        <v>45751.34859953704</v>
      </c>
      <c r="C843" s="1" t="n">
        <v>46084</v>
      </c>
      <c r="D843" t="inlineStr">
        <is>
          <t>JÄMTLANDS LÄN</t>
        </is>
      </c>
      <c r="E843" t="inlineStr">
        <is>
          <t>RAGUNDA</t>
        </is>
      </c>
      <c r="F843" t="inlineStr">
        <is>
          <t>SCA</t>
        </is>
      </c>
      <c r="G843" t="n">
        <v>16.2</v>
      </c>
      <c r="H843" t="n">
        <v>0</v>
      </c>
      <c r="I843" t="n">
        <v>0</v>
      </c>
      <c r="J843" t="n">
        <v>0</v>
      </c>
      <c r="K843" t="n">
        <v>0</v>
      </c>
      <c r="L843" t="n">
        <v>0</v>
      </c>
      <c r="M843" t="n">
        <v>0</v>
      </c>
      <c r="N843" t="n">
        <v>0</v>
      </c>
      <c r="O843" t="n">
        <v>0</v>
      </c>
      <c r="P843" t="n">
        <v>0</v>
      </c>
      <c r="Q843" t="n">
        <v>0</v>
      </c>
      <c r="R843" s="2" t="inlineStr"/>
    </row>
    <row r="844" ht="15" customHeight="1">
      <c r="A844" t="inlineStr">
        <is>
          <t>A 53748-2025</t>
        </is>
      </c>
      <c r="B844" s="1" t="n">
        <v>45960.65673611111</v>
      </c>
      <c r="C844" s="1" t="n">
        <v>46084</v>
      </c>
      <c r="D844" t="inlineStr">
        <is>
          <t>JÄMTLANDS LÄN</t>
        </is>
      </c>
      <c r="E844" t="inlineStr">
        <is>
          <t>RAGUNDA</t>
        </is>
      </c>
      <c r="F844" t="inlineStr">
        <is>
          <t>SCA</t>
        </is>
      </c>
      <c r="G844" t="n">
        <v>14.9</v>
      </c>
      <c r="H844" t="n">
        <v>0</v>
      </c>
      <c r="I844" t="n">
        <v>0</v>
      </c>
      <c r="J844" t="n">
        <v>0</v>
      </c>
      <c r="K844" t="n">
        <v>0</v>
      </c>
      <c r="L844" t="n">
        <v>0</v>
      </c>
      <c r="M844" t="n">
        <v>0</v>
      </c>
      <c r="N844" t="n">
        <v>0</v>
      </c>
      <c r="O844" t="n">
        <v>0</v>
      </c>
      <c r="P844" t="n">
        <v>0</v>
      </c>
      <c r="Q844" t="n">
        <v>0</v>
      </c>
      <c r="R844" s="2" t="inlineStr"/>
    </row>
    <row r="845" ht="15" customHeight="1">
      <c r="A845" t="inlineStr">
        <is>
          <t>A 16321-2025</t>
        </is>
      </c>
      <c r="B845" s="1" t="n">
        <v>45751.34873842593</v>
      </c>
      <c r="C845" s="1" t="n">
        <v>46084</v>
      </c>
      <c r="D845" t="inlineStr">
        <is>
          <t>JÄMTLANDS LÄN</t>
        </is>
      </c>
      <c r="E845" t="inlineStr">
        <is>
          <t>RAGUNDA</t>
        </is>
      </c>
      <c r="F845" t="inlineStr">
        <is>
          <t>SCA</t>
        </is>
      </c>
      <c r="G845" t="n">
        <v>63.3</v>
      </c>
      <c r="H845" t="n">
        <v>0</v>
      </c>
      <c r="I845" t="n">
        <v>0</v>
      </c>
      <c r="J845" t="n">
        <v>0</v>
      </c>
      <c r="K845" t="n">
        <v>0</v>
      </c>
      <c r="L845" t="n">
        <v>0</v>
      </c>
      <c r="M845" t="n">
        <v>0</v>
      </c>
      <c r="N845" t="n">
        <v>0</v>
      </c>
      <c r="O845" t="n">
        <v>0</v>
      </c>
      <c r="P845" t="n">
        <v>0</v>
      </c>
      <c r="Q845" t="n">
        <v>0</v>
      </c>
      <c r="R845" s="2" t="inlineStr"/>
    </row>
    <row r="846" ht="15" customHeight="1">
      <c r="A846" t="inlineStr">
        <is>
          <t>A 14696-2022</t>
        </is>
      </c>
      <c r="B846" s="1" t="n">
        <v>44655</v>
      </c>
      <c r="C846" s="1" t="n">
        <v>46084</v>
      </c>
      <c r="D846" t="inlineStr">
        <is>
          <t>JÄMTLANDS LÄN</t>
        </is>
      </c>
      <c r="E846" t="inlineStr">
        <is>
          <t>RAGUNDA</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27291-2022</t>
        </is>
      </c>
      <c r="B847" s="1" t="n">
        <v>44741.94070601852</v>
      </c>
      <c r="C847" s="1" t="n">
        <v>46084</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37008-2025</t>
        </is>
      </c>
      <c r="B848" s="1" t="n">
        <v>45874.69844907407</v>
      </c>
      <c r="C848" s="1" t="n">
        <v>46084</v>
      </c>
      <c r="D848" t="inlineStr">
        <is>
          <t>JÄMTLANDS LÄN</t>
        </is>
      </c>
      <c r="E848" t="inlineStr">
        <is>
          <t>RAGUNDA</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55514-2024</t>
        </is>
      </c>
      <c r="B849" s="1" t="n">
        <v>45622.46910879629</v>
      </c>
      <c r="C849" s="1" t="n">
        <v>46084</v>
      </c>
      <c r="D849" t="inlineStr">
        <is>
          <t>JÄMTLANDS LÄN</t>
        </is>
      </c>
      <c r="E849" t="inlineStr">
        <is>
          <t>RAGUNDA</t>
        </is>
      </c>
      <c r="G849" t="n">
        <v>0.9</v>
      </c>
      <c r="H849" t="n">
        <v>0</v>
      </c>
      <c r="I849" t="n">
        <v>0</v>
      </c>
      <c r="J849" t="n">
        <v>0</v>
      </c>
      <c r="K849" t="n">
        <v>0</v>
      </c>
      <c r="L849" t="n">
        <v>0</v>
      </c>
      <c r="M849" t="n">
        <v>0</v>
      </c>
      <c r="N849" t="n">
        <v>0</v>
      </c>
      <c r="O849" t="n">
        <v>0</v>
      </c>
      <c r="P849" t="n">
        <v>0</v>
      </c>
      <c r="Q849" t="n">
        <v>0</v>
      </c>
      <c r="R849" s="2" t="inlineStr"/>
    </row>
    <row r="850" ht="15" customHeight="1">
      <c r="A850" t="inlineStr">
        <is>
          <t>A 18375-2022</t>
        </is>
      </c>
      <c r="B850" s="1" t="n">
        <v>44685</v>
      </c>
      <c r="C850" s="1" t="n">
        <v>46084</v>
      </c>
      <c r="D850" t="inlineStr">
        <is>
          <t>JÄMTLANDS LÄN</t>
        </is>
      </c>
      <c r="E850" t="inlineStr">
        <is>
          <t>RAGUNDA</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17248-2023</t>
        </is>
      </c>
      <c r="B851" s="1" t="n">
        <v>45033</v>
      </c>
      <c r="C851" s="1" t="n">
        <v>46084</v>
      </c>
      <c r="D851" t="inlineStr">
        <is>
          <t>JÄMTLANDS LÄN</t>
        </is>
      </c>
      <c r="E851" t="inlineStr">
        <is>
          <t>RAGUNDA</t>
        </is>
      </c>
      <c r="G851" t="n">
        <v>3</v>
      </c>
      <c r="H851" t="n">
        <v>0</v>
      </c>
      <c r="I851" t="n">
        <v>0</v>
      </c>
      <c r="J851" t="n">
        <v>0</v>
      </c>
      <c r="K851" t="n">
        <v>0</v>
      </c>
      <c r="L851" t="n">
        <v>0</v>
      </c>
      <c r="M851" t="n">
        <v>0</v>
      </c>
      <c r="N851" t="n">
        <v>0</v>
      </c>
      <c r="O851" t="n">
        <v>0</v>
      </c>
      <c r="P851" t="n">
        <v>0</v>
      </c>
      <c r="Q851" t="n">
        <v>0</v>
      </c>
      <c r="R851" s="2" t="inlineStr"/>
    </row>
    <row r="852" ht="15" customHeight="1">
      <c r="A852" t="inlineStr">
        <is>
          <t>A 62011-2022</t>
        </is>
      </c>
      <c r="B852" s="1" t="n">
        <v>44914</v>
      </c>
      <c r="C852" s="1" t="n">
        <v>46084</v>
      </c>
      <c r="D852" t="inlineStr">
        <is>
          <t>JÄMTLANDS LÄN</t>
        </is>
      </c>
      <c r="E852" t="inlineStr">
        <is>
          <t>RAGUNDA</t>
        </is>
      </c>
      <c r="G852" t="n">
        <v>0.3</v>
      </c>
      <c r="H852" t="n">
        <v>0</v>
      </c>
      <c r="I852" t="n">
        <v>0</v>
      </c>
      <c r="J852" t="n">
        <v>0</v>
      </c>
      <c r="K852" t="n">
        <v>0</v>
      </c>
      <c r="L852" t="n">
        <v>0</v>
      </c>
      <c r="M852" t="n">
        <v>0</v>
      </c>
      <c r="N852" t="n">
        <v>0</v>
      </c>
      <c r="O852" t="n">
        <v>0</v>
      </c>
      <c r="P852" t="n">
        <v>0</v>
      </c>
      <c r="Q852" t="n">
        <v>0</v>
      </c>
      <c r="R852" s="2" t="inlineStr"/>
    </row>
    <row r="853" ht="15" customHeight="1">
      <c r="A853" t="inlineStr">
        <is>
          <t>A 36947-2025</t>
        </is>
      </c>
      <c r="B853" s="1" t="n">
        <v>45874.59496527778</v>
      </c>
      <c r="C853" s="1" t="n">
        <v>46084</v>
      </c>
      <c r="D853" t="inlineStr">
        <is>
          <t>JÄMTLANDS LÄN</t>
        </is>
      </c>
      <c r="E853" t="inlineStr">
        <is>
          <t>RAGUNDA</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11557-2023</t>
        </is>
      </c>
      <c r="B854" s="1" t="n">
        <v>44993.94950231481</v>
      </c>
      <c r="C854" s="1" t="n">
        <v>46084</v>
      </c>
      <c r="D854" t="inlineStr">
        <is>
          <t>JÄMTLANDS LÄN</t>
        </is>
      </c>
      <c r="E854" t="inlineStr">
        <is>
          <t>RAGUNDA</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11562-2023</t>
        </is>
      </c>
      <c r="B855" s="1" t="n">
        <v>44993</v>
      </c>
      <c r="C855" s="1" t="n">
        <v>46084</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53765-2025</t>
        </is>
      </c>
      <c r="B856" s="1" t="n">
        <v>45960.67753472222</v>
      </c>
      <c r="C856" s="1" t="n">
        <v>46084</v>
      </c>
      <c r="D856" t="inlineStr">
        <is>
          <t>JÄMTLANDS LÄN</t>
        </is>
      </c>
      <c r="E856" t="inlineStr">
        <is>
          <t>RAGUNDA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22131-2021</t>
        </is>
      </c>
      <c r="B857" s="1" t="n">
        <v>44323</v>
      </c>
      <c r="C857" s="1" t="n">
        <v>46084</v>
      </c>
      <c r="D857" t="inlineStr">
        <is>
          <t>JÄMTLANDS LÄN</t>
        </is>
      </c>
      <c r="E857" t="inlineStr">
        <is>
          <t>RAGUNDA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53951-2025</t>
        </is>
      </c>
      <c r="B858" s="1" t="n">
        <v>45961.50200231482</v>
      </c>
      <c r="C858" s="1" t="n">
        <v>46084</v>
      </c>
      <c r="D858" t="inlineStr">
        <is>
          <t>JÄMTLANDS LÄN</t>
        </is>
      </c>
      <c r="E858" t="inlineStr">
        <is>
          <t>RAGUNDA</t>
        </is>
      </c>
      <c r="G858" t="n">
        <v>1.8</v>
      </c>
      <c r="H858" t="n">
        <v>0</v>
      </c>
      <c r="I858" t="n">
        <v>0</v>
      </c>
      <c r="J858" t="n">
        <v>0</v>
      </c>
      <c r="K858" t="n">
        <v>0</v>
      </c>
      <c r="L858" t="n">
        <v>0</v>
      </c>
      <c r="M858" t="n">
        <v>0</v>
      </c>
      <c r="N858" t="n">
        <v>0</v>
      </c>
      <c r="O858" t="n">
        <v>0</v>
      </c>
      <c r="P858" t="n">
        <v>0</v>
      </c>
      <c r="Q858" t="n">
        <v>0</v>
      </c>
      <c r="R858" s="2" t="inlineStr"/>
    </row>
    <row r="859" ht="15" customHeight="1">
      <c r="A859" t="inlineStr">
        <is>
          <t>A 53948-2025</t>
        </is>
      </c>
      <c r="B859" s="1" t="n">
        <v>45961.50033564815</v>
      </c>
      <c r="C859" s="1" t="n">
        <v>46084</v>
      </c>
      <c r="D859" t="inlineStr">
        <is>
          <t>JÄMTLANDS LÄN</t>
        </is>
      </c>
      <c r="E859" t="inlineStr">
        <is>
          <t>RAGUNDA</t>
        </is>
      </c>
      <c r="G859" t="n">
        <v>7.9</v>
      </c>
      <c r="H859" t="n">
        <v>0</v>
      </c>
      <c r="I859" t="n">
        <v>0</v>
      </c>
      <c r="J859" t="n">
        <v>0</v>
      </c>
      <c r="K859" t="n">
        <v>0</v>
      </c>
      <c r="L859" t="n">
        <v>0</v>
      </c>
      <c r="M859" t="n">
        <v>0</v>
      </c>
      <c r="N859" t="n">
        <v>0</v>
      </c>
      <c r="O859" t="n">
        <v>0</v>
      </c>
      <c r="P859" t="n">
        <v>0</v>
      </c>
      <c r="Q859" t="n">
        <v>0</v>
      </c>
      <c r="R859" s="2" t="inlineStr"/>
    </row>
    <row r="860" ht="15" customHeight="1">
      <c r="A860" t="inlineStr">
        <is>
          <t>A 8776-2025</t>
        </is>
      </c>
      <c r="B860" s="1" t="n">
        <v>45712.61510416667</v>
      </c>
      <c r="C860" s="1" t="n">
        <v>46084</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5971-2025</t>
        </is>
      </c>
      <c r="B861" s="1" t="n">
        <v>45695.51070601852</v>
      </c>
      <c r="C861" s="1" t="n">
        <v>46084</v>
      </c>
      <c r="D861" t="inlineStr">
        <is>
          <t>JÄMTLANDS LÄN</t>
        </is>
      </c>
      <c r="E861" t="inlineStr">
        <is>
          <t>RAGUNDA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30563-2023</t>
        </is>
      </c>
      <c r="B862" s="1" t="n">
        <v>45111.92793981481</v>
      </c>
      <c r="C862" s="1" t="n">
        <v>46084</v>
      </c>
      <c r="D862" t="inlineStr">
        <is>
          <t>JÄMTLANDS LÄN</t>
        </is>
      </c>
      <c r="E862" t="inlineStr">
        <is>
          <t>RAGUNDA</t>
        </is>
      </c>
      <c r="F862" t="inlineStr">
        <is>
          <t>Övriga Aktiebolag</t>
        </is>
      </c>
      <c r="G862" t="n">
        <v>2.3</v>
      </c>
      <c r="H862" t="n">
        <v>0</v>
      </c>
      <c r="I862" t="n">
        <v>0</v>
      </c>
      <c r="J862" t="n">
        <v>0</v>
      </c>
      <c r="K862" t="n">
        <v>0</v>
      </c>
      <c r="L862" t="n">
        <v>0</v>
      </c>
      <c r="M862" t="n">
        <v>0</v>
      </c>
      <c r="N862" t="n">
        <v>0</v>
      </c>
      <c r="O862" t="n">
        <v>0</v>
      </c>
      <c r="P862" t="n">
        <v>0</v>
      </c>
      <c r="Q862" t="n">
        <v>0</v>
      </c>
      <c r="R862" s="2" t="inlineStr"/>
    </row>
    <row r="863" ht="15" customHeight="1">
      <c r="A863" t="inlineStr">
        <is>
          <t>A 54195-2025</t>
        </is>
      </c>
      <c r="B863" s="1" t="n">
        <v>45964.57413194444</v>
      </c>
      <c r="C863" s="1" t="n">
        <v>46084</v>
      </c>
      <c r="D863" t="inlineStr">
        <is>
          <t>JÄMTLANDS LÄN</t>
        </is>
      </c>
      <c r="E863" t="inlineStr">
        <is>
          <t>RAGUNDA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36212-2023</t>
        </is>
      </c>
      <c r="B864" s="1" t="n">
        <v>45149.95241898148</v>
      </c>
      <c r="C864" s="1" t="n">
        <v>46084</v>
      </c>
      <c r="D864" t="inlineStr">
        <is>
          <t>JÄMTLANDS LÄN</t>
        </is>
      </c>
      <c r="E864" t="inlineStr">
        <is>
          <t>RAGUNDA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54396-2025</t>
        </is>
      </c>
      <c r="B865" s="1" t="n">
        <v>45965.44849537037</v>
      </c>
      <c r="C865" s="1" t="n">
        <v>46084</v>
      </c>
      <c r="D865" t="inlineStr">
        <is>
          <t>JÄMTLANDS LÄN</t>
        </is>
      </c>
      <c r="E865" t="inlineStr">
        <is>
          <t>RAGUNDA</t>
        </is>
      </c>
      <c r="F865" t="inlineStr">
        <is>
          <t>SCA</t>
        </is>
      </c>
      <c r="G865" t="n">
        <v>35.2</v>
      </c>
      <c r="H865" t="n">
        <v>0</v>
      </c>
      <c r="I865" t="n">
        <v>0</v>
      </c>
      <c r="J865" t="n">
        <v>0</v>
      </c>
      <c r="K865" t="n">
        <v>0</v>
      </c>
      <c r="L865" t="n">
        <v>0</v>
      </c>
      <c r="M865" t="n">
        <v>0</v>
      </c>
      <c r="N865" t="n">
        <v>0</v>
      </c>
      <c r="O865" t="n">
        <v>0</v>
      </c>
      <c r="P865" t="n">
        <v>0</v>
      </c>
      <c r="Q865" t="n">
        <v>0</v>
      </c>
      <c r="R865" s="2" t="inlineStr"/>
    </row>
    <row r="866" ht="15" customHeight="1">
      <c r="A866" t="inlineStr">
        <is>
          <t>A 37292-2025</t>
        </is>
      </c>
      <c r="B866" s="1" t="n">
        <v>45876.53188657408</v>
      </c>
      <c r="C866" s="1" t="n">
        <v>46084</v>
      </c>
      <c r="D866" t="inlineStr">
        <is>
          <t>JÄMTLANDS LÄN</t>
        </is>
      </c>
      <c r="E866" t="inlineStr">
        <is>
          <t>RAGUNDA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12768-2022</t>
        </is>
      </c>
      <c r="B867" s="1" t="n">
        <v>44641</v>
      </c>
      <c r="C867" s="1" t="n">
        <v>46084</v>
      </c>
      <c r="D867" t="inlineStr">
        <is>
          <t>JÄMTLANDS LÄN</t>
        </is>
      </c>
      <c r="E867" t="inlineStr">
        <is>
          <t>RAGUNDA</t>
        </is>
      </c>
      <c r="F867" t="inlineStr">
        <is>
          <t>SCA</t>
        </is>
      </c>
      <c r="G867" t="n">
        <v>8</v>
      </c>
      <c r="H867" t="n">
        <v>0</v>
      </c>
      <c r="I867" t="n">
        <v>0</v>
      </c>
      <c r="J867" t="n">
        <v>0</v>
      </c>
      <c r="K867" t="n">
        <v>0</v>
      </c>
      <c r="L867" t="n">
        <v>0</v>
      </c>
      <c r="M867" t="n">
        <v>0</v>
      </c>
      <c r="N867" t="n">
        <v>0</v>
      </c>
      <c r="O867" t="n">
        <v>0</v>
      </c>
      <c r="P867" t="n">
        <v>0</v>
      </c>
      <c r="Q867" t="n">
        <v>0</v>
      </c>
      <c r="R867" s="2" t="inlineStr"/>
    </row>
    <row r="868" ht="15" customHeight="1">
      <c r="A868" t="inlineStr">
        <is>
          <t>A 12773-2022</t>
        </is>
      </c>
      <c r="B868" s="1" t="n">
        <v>44641</v>
      </c>
      <c r="C868" s="1" t="n">
        <v>46084</v>
      </c>
      <c r="D868" t="inlineStr">
        <is>
          <t>JÄMTLANDS LÄN</t>
        </is>
      </c>
      <c r="E868" t="inlineStr">
        <is>
          <t>RAGUNDA</t>
        </is>
      </c>
      <c r="F868" t="inlineStr">
        <is>
          <t>SCA</t>
        </is>
      </c>
      <c r="G868" t="n">
        <v>14.7</v>
      </c>
      <c r="H868" t="n">
        <v>0</v>
      </c>
      <c r="I868" t="n">
        <v>0</v>
      </c>
      <c r="J868" t="n">
        <v>0</v>
      </c>
      <c r="K868" t="n">
        <v>0</v>
      </c>
      <c r="L868" t="n">
        <v>0</v>
      </c>
      <c r="M868" t="n">
        <v>0</v>
      </c>
      <c r="N868" t="n">
        <v>0</v>
      </c>
      <c r="O868" t="n">
        <v>0</v>
      </c>
      <c r="P868" t="n">
        <v>0</v>
      </c>
      <c r="Q868" t="n">
        <v>0</v>
      </c>
      <c r="R868" s="2" t="inlineStr"/>
    </row>
    <row r="869" ht="15" customHeight="1">
      <c r="A869" t="inlineStr">
        <is>
          <t>A 5067-2024</t>
        </is>
      </c>
      <c r="B869" s="1" t="n">
        <v>45329.95806712963</v>
      </c>
      <c r="C869" s="1" t="n">
        <v>46084</v>
      </c>
      <c r="D869" t="inlineStr">
        <is>
          <t>JÄMTLANDS LÄN</t>
        </is>
      </c>
      <c r="E869" t="inlineStr">
        <is>
          <t>RAGUNDA</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14821-2025</t>
        </is>
      </c>
      <c r="B870" s="1" t="n">
        <v>45743.36</v>
      </c>
      <c r="C870" s="1" t="n">
        <v>46084</v>
      </c>
      <c r="D870" t="inlineStr">
        <is>
          <t>JÄMTLANDS LÄN</t>
        </is>
      </c>
      <c r="E870" t="inlineStr">
        <is>
          <t>RAGUNDA</t>
        </is>
      </c>
      <c r="F870" t="inlineStr">
        <is>
          <t>Kyrkan</t>
        </is>
      </c>
      <c r="G870" t="n">
        <v>6.4</v>
      </c>
      <c r="H870" t="n">
        <v>0</v>
      </c>
      <c r="I870" t="n">
        <v>0</v>
      </c>
      <c r="J870" t="n">
        <v>0</v>
      </c>
      <c r="K870" t="n">
        <v>0</v>
      </c>
      <c r="L870" t="n">
        <v>0</v>
      </c>
      <c r="M870" t="n">
        <v>0</v>
      </c>
      <c r="N870" t="n">
        <v>0</v>
      </c>
      <c r="O870" t="n">
        <v>0</v>
      </c>
      <c r="P870" t="n">
        <v>0</v>
      </c>
      <c r="Q870" t="n">
        <v>0</v>
      </c>
      <c r="R870" s="2" t="inlineStr"/>
    </row>
    <row r="871" ht="15" customHeight="1">
      <c r="A871" t="inlineStr">
        <is>
          <t>A 54794-2025</t>
        </is>
      </c>
      <c r="B871" s="1" t="n">
        <v>45966.63592592593</v>
      </c>
      <c r="C871" s="1" t="n">
        <v>46084</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54820-2025</t>
        </is>
      </c>
      <c r="B872" s="1" t="n">
        <v>45966.65728009259</v>
      </c>
      <c r="C872" s="1" t="n">
        <v>46084</v>
      </c>
      <c r="D872" t="inlineStr">
        <is>
          <t>JÄMTLANDS LÄN</t>
        </is>
      </c>
      <c r="E872" t="inlineStr">
        <is>
          <t>RAGUNDA</t>
        </is>
      </c>
      <c r="G872" t="n">
        <v>15.3</v>
      </c>
      <c r="H872" t="n">
        <v>0</v>
      </c>
      <c r="I872" t="n">
        <v>0</v>
      </c>
      <c r="J872" t="n">
        <v>0</v>
      </c>
      <c r="K872" t="n">
        <v>0</v>
      </c>
      <c r="L872" t="n">
        <v>0</v>
      </c>
      <c r="M872" t="n">
        <v>0</v>
      </c>
      <c r="N872" t="n">
        <v>0</v>
      </c>
      <c r="O872" t="n">
        <v>0</v>
      </c>
      <c r="P872" t="n">
        <v>0</v>
      </c>
      <c r="Q872" t="n">
        <v>0</v>
      </c>
      <c r="R872" s="2" t="inlineStr"/>
    </row>
    <row r="873" ht="15" customHeight="1">
      <c r="A873" t="inlineStr">
        <is>
          <t>A 14905-2022</t>
        </is>
      </c>
      <c r="B873" s="1" t="n">
        <v>44656.94708333333</v>
      </c>
      <c r="C873" s="1" t="n">
        <v>46084</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58909-2025</t>
        </is>
      </c>
      <c r="B874" s="1" t="n">
        <v>45987</v>
      </c>
      <c r="C874" s="1" t="n">
        <v>46084</v>
      </c>
      <c r="D874" t="inlineStr">
        <is>
          <t>JÄMTLANDS LÄN</t>
        </is>
      </c>
      <c r="E874" t="inlineStr">
        <is>
          <t>RAGUNDA</t>
        </is>
      </c>
      <c r="G874" t="n">
        <v>9.5</v>
      </c>
      <c r="H874" t="n">
        <v>0</v>
      </c>
      <c r="I874" t="n">
        <v>0</v>
      </c>
      <c r="J874" t="n">
        <v>0</v>
      </c>
      <c r="K874" t="n">
        <v>0</v>
      </c>
      <c r="L874" t="n">
        <v>0</v>
      </c>
      <c r="M874" t="n">
        <v>0</v>
      </c>
      <c r="N874" t="n">
        <v>0</v>
      </c>
      <c r="O874" t="n">
        <v>0</v>
      </c>
      <c r="P874" t="n">
        <v>0</v>
      </c>
      <c r="Q874" t="n">
        <v>0</v>
      </c>
      <c r="R874" s="2" t="inlineStr"/>
    </row>
    <row r="875" ht="15" customHeight="1">
      <c r="A875" t="inlineStr">
        <is>
          <t>A 36375-2022</t>
        </is>
      </c>
      <c r="B875" s="1" t="n">
        <v>44803.94351851852</v>
      </c>
      <c r="C875" s="1" t="n">
        <v>46084</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29766-2023</t>
        </is>
      </c>
      <c r="B876" s="1" t="n">
        <v>45098</v>
      </c>
      <c r="C876" s="1" t="n">
        <v>46084</v>
      </c>
      <c r="D876" t="inlineStr">
        <is>
          <t>JÄMTLANDS LÄN</t>
        </is>
      </c>
      <c r="E876" t="inlineStr">
        <is>
          <t>RAGUNDA</t>
        </is>
      </c>
      <c r="G876" t="n">
        <v>2.7</v>
      </c>
      <c r="H876" t="n">
        <v>0</v>
      </c>
      <c r="I876" t="n">
        <v>0</v>
      </c>
      <c r="J876" t="n">
        <v>0</v>
      </c>
      <c r="K876" t="n">
        <v>0</v>
      </c>
      <c r="L876" t="n">
        <v>0</v>
      </c>
      <c r="M876" t="n">
        <v>0</v>
      </c>
      <c r="N876" t="n">
        <v>0</v>
      </c>
      <c r="O876" t="n">
        <v>0</v>
      </c>
      <c r="P876" t="n">
        <v>0</v>
      </c>
      <c r="Q876" t="n">
        <v>0</v>
      </c>
      <c r="R876" s="2" t="inlineStr"/>
    </row>
    <row r="877" ht="15" customHeight="1">
      <c r="A877" t="inlineStr">
        <is>
          <t>A 61107-2024</t>
        </is>
      </c>
      <c r="B877" s="1" t="n">
        <v>45645.55665509259</v>
      </c>
      <c r="C877" s="1" t="n">
        <v>46084</v>
      </c>
      <c r="D877" t="inlineStr">
        <is>
          <t>JÄMTLANDS LÄN</t>
        </is>
      </c>
      <c r="E877" t="inlineStr">
        <is>
          <t>RAGUNDA</t>
        </is>
      </c>
      <c r="G877" t="n">
        <v>3.2</v>
      </c>
      <c r="H877" t="n">
        <v>0</v>
      </c>
      <c r="I877" t="n">
        <v>0</v>
      </c>
      <c r="J877" t="n">
        <v>0</v>
      </c>
      <c r="K877" t="n">
        <v>0</v>
      </c>
      <c r="L877" t="n">
        <v>0</v>
      </c>
      <c r="M877" t="n">
        <v>0</v>
      </c>
      <c r="N877" t="n">
        <v>0</v>
      </c>
      <c r="O877" t="n">
        <v>0</v>
      </c>
      <c r="P877" t="n">
        <v>0</v>
      </c>
      <c r="Q877" t="n">
        <v>0</v>
      </c>
      <c r="R877" s="2" t="inlineStr"/>
    </row>
    <row r="878" ht="15" customHeight="1">
      <c r="A878" t="inlineStr">
        <is>
          <t>A 8679-2023</t>
        </is>
      </c>
      <c r="B878" s="1" t="n">
        <v>44977.98670138889</v>
      </c>
      <c r="C878" s="1" t="n">
        <v>46084</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23287-2024</t>
        </is>
      </c>
      <c r="B879" s="1" t="n">
        <v>45453.42041666667</v>
      </c>
      <c r="C879" s="1" t="n">
        <v>46084</v>
      </c>
      <c r="D879" t="inlineStr">
        <is>
          <t>JÄMTLANDS LÄN</t>
        </is>
      </c>
      <c r="E879" t="inlineStr">
        <is>
          <t>RAGUNDA</t>
        </is>
      </c>
      <c r="G879" t="n">
        <v>3.1</v>
      </c>
      <c r="H879" t="n">
        <v>0</v>
      </c>
      <c r="I879" t="n">
        <v>0</v>
      </c>
      <c r="J879" t="n">
        <v>0</v>
      </c>
      <c r="K879" t="n">
        <v>0</v>
      </c>
      <c r="L879" t="n">
        <v>0</v>
      </c>
      <c r="M879" t="n">
        <v>0</v>
      </c>
      <c r="N879" t="n">
        <v>0</v>
      </c>
      <c r="O879" t="n">
        <v>0</v>
      </c>
      <c r="P879" t="n">
        <v>0</v>
      </c>
      <c r="Q879" t="n">
        <v>0</v>
      </c>
      <c r="R879" s="2" t="inlineStr"/>
    </row>
    <row r="880" ht="15" customHeight="1">
      <c r="A880" t="inlineStr">
        <is>
          <t>A 36922-2022</t>
        </is>
      </c>
      <c r="B880" s="1" t="n">
        <v>44805.94592592592</v>
      </c>
      <c r="C880" s="1" t="n">
        <v>46084</v>
      </c>
      <c r="D880" t="inlineStr">
        <is>
          <t>JÄMTLANDS LÄN</t>
        </is>
      </c>
      <c r="E880" t="inlineStr">
        <is>
          <t>RAGUNDA</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26347-2023</t>
        </is>
      </c>
      <c r="B881" s="1" t="n">
        <v>45091</v>
      </c>
      <c r="C881" s="1" t="n">
        <v>46084</v>
      </c>
      <c r="D881" t="inlineStr">
        <is>
          <t>JÄMTLANDS LÄN</t>
        </is>
      </c>
      <c r="E881" t="inlineStr">
        <is>
          <t>RAGUNDA</t>
        </is>
      </c>
      <c r="F881" t="inlineStr">
        <is>
          <t>SCA</t>
        </is>
      </c>
      <c r="G881" t="n">
        <v>6.6</v>
      </c>
      <c r="H881" t="n">
        <v>0</v>
      </c>
      <c r="I881" t="n">
        <v>0</v>
      </c>
      <c r="J881" t="n">
        <v>0</v>
      </c>
      <c r="K881" t="n">
        <v>0</v>
      </c>
      <c r="L881" t="n">
        <v>0</v>
      </c>
      <c r="M881" t="n">
        <v>0</v>
      </c>
      <c r="N881" t="n">
        <v>0</v>
      </c>
      <c r="O881" t="n">
        <v>0</v>
      </c>
      <c r="P881" t="n">
        <v>0</v>
      </c>
      <c r="Q881" t="n">
        <v>0</v>
      </c>
      <c r="R881" s="2" t="inlineStr"/>
    </row>
    <row r="882" ht="15" customHeight="1">
      <c r="A882" t="inlineStr">
        <is>
          <t>A 9504-2025</t>
        </is>
      </c>
      <c r="B882" s="1" t="n">
        <v>45714</v>
      </c>
      <c r="C882" s="1" t="n">
        <v>46084</v>
      </c>
      <c r="D882" t="inlineStr">
        <is>
          <t>JÄMTLANDS LÄN</t>
        </is>
      </c>
      <c r="E882" t="inlineStr">
        <is>
          <t>RAGUNDA</t>
        </is>
      </c>
      <c r="G882" t="n">
        <v>6</v>
      </c>
      <c r="H882" t="n">
        <v>0</v>
      </c>
      <c r="I882" t="n">
        <v>0</v>
      </c>
      <c r="J882" t="n">
        <v>0</v>
      </c>
      <c r="K882" t="n">
        <v>0</v>
      </c>
      <c r="L882" t="n">
        <v>0</v>
      </c>
      <c r="M882" t="n">
        <v>0</v>
      </c>
      <c r="N882" t="n">
        <v>0</v>
      </c>
      <c r="O882" t="n">
        <v>0</v>
      </c>
      <c r="P882" t="n">
        <v>0</v>
      </c>
      <c r="Q882" t="n">
        <v>0</v>
      </c>
      <c r="R882" s="2" t="inlineStr"/>
    </row>
    <row r="883" ht="15" customHeight="1">
      <c r="A883" t="inlineStr">
        <is>
          <t>A 34483-2023</t>
        </is>
      </c>
      <c r="B883" s="1" t="n">
        <v>45139.94681712963</v>
      </c>
      <c r="C883" s="1" t="n">
        <v>46084</v>
      </c>
      <c r="D883" t="inlineStr">
        <is>
          <t>JÄMTLANDS LÄN</t>
        </is>
      </c>
      <c r="E883" t="inlineStr">
        <is>
          <t>RAGUNDA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9325-2024</t>
        </is>
      </c>
      <c r="B884" s="1" t="n">
        <v>45358.95813657407</v>
      </c>
      <c r="C884" s="1" t="n">
        <v>46084</v>
      </c>
      <c r="D884" t="inlineStr">
        <is>
          <t>JÄMTLANDS LÄN</t>
        </is>
      </c>
      <c r="E884" t="inlineStr">
        <is>
          <t>RAGUNDA</t>
        </is>
      </c>
      <c r="G884" t="n">
        <v>3.1</v>
      </c>
      <c r="H884" t="n">
        <v>0</v>
      </c>
      <c r="I884" t="n">
        <v>0</v>
      </c>
      <c r="J884" t="n">
        <v>0</v>
      </c>
      <c r="K884" t="n">
        <v>0</v>
      </c>
      <c r="L884" t="n">
        <v>0</v>
      </c>
      <c r="M884" t="n">
        <v>0</v>
      </c>
      <c r="N884" t="n">
        <v>0</v>
      </c>
      <c r="O884" t="n">
        <v>0</v>
      </c>
      <c r="P884" t="n">
        <v>0</v>
      </c>
      <c r="Q884" t="n">
        <v>0</v>
      </c>
      <c r="R884" s="2" t="inlineStr"/>
    </row>
    <row r="885" ht="15" customHeight="1">
      <c r="A885" t="inlineStr">
        <is>
          <t>A 5930-2025</t>
        </is>
      </c>
      <c r="B885" s="1" t="n">
        <v>45695.44724537037</v>
      </c>
      <c r="C885" s="1" t="n">
        <v>46084</v>
      </c>
      <c r="D885" t="inlineStr">
        <is>
          <t>JÄMTLANDS LÄN</t>
        </is>
      </c>
      <c r="E885" t="inlineStr">
        <is>
          <t>RAGUNDA</t>
        </is>
      </c>
      <c r="G885" t="n">
        <v>0.7</v>
      </c>
      <c r="H885" t="n">
        <v>0</v>
      </c>
      <c r="I885" t="n">
        <v>0</v>
      </c>
      <c r="J885" t="n">
        <v>0</v>
      </c>
      <c r="K885" t="n">
        <v>0</v>
      </c>
      <c r="L885" t="n">
        <v>0</v>
      </c>
      <c r="M885" t="n">
        <v>0</v>
      </c>
      <c r="N885" t="n">
        <v>0</v>
      </c>
      <c r="O885" t="n">
        <v>0</v>
      </c>
      <c r="P885" t="n">
        <v>0</v>
      </c>
      <c r="Q885" t="n">
        <v>0</v>
      </c>
      <c r="R885" s="2" t="inlineStr"/>
    </row>
    <row r="886" ht="15" customHeight="1">
      <c r="A886" t="inlineStr">
        <is>
          <t>A 57170-2024</t>
        </is>
      </c>
      <c r="B886" s="1" t="n">
        <v>45629.42759259259</v>
      </c>
      <c r="C886" s="1" t="n">
        <v>46084</v>
      </c>
      <c r="D886" t="inlineStr">
        <is>
          <t>JÄMTLANDS LÄN</t>
        </is>
      </c>
      <c r="E886" t="inlineStr">
        <is>
          <t>RAGUNDA</t>
        </is>
      </c>
      <c r="F886" t="inlineStr">
        <is>
          <t>SCA</t>
        </is>
      </c>
      <c r="G886" t="n">
        <v>4.4</v>
      </c>
      <c r="H886" t="n">
        <v>0</v>
      </c>
      <c r="I886" t="n">
        <v>0</v>
      </c>
      <c r="J886" t="n">
        <v>0</v>
      </c>
      <c r="K886" t="n">
        <v>0</v>
      </c>
      <c r="L886" t="n">
        <v>0</v>
      </c>
      <c r="M886" t="n">
        <v>0</v>
      </c>
      <c r="N886" t="n">
        <v>0</v>
      </c>
      <c r="O886" t="n">
        <v>0</v>
      </c>
      <c r="P886" t="n">
        <v>0</v>
      </c>
      <c r="Q886" t="n">
        <v>0</v>
      </c>
      <c r="R886" s="2" t="inlineStr"/>
    </row>
    <row r="887" ht="15" customHeight="1">
      <c r="A887" t="inlineStr">
        <is>
          <t>A 22948-2024</t>
        </is>
      </c>
      <c r="B887" s="1" t="n">
        <v>45448.94600694445</v>
      </c>
      <c r="C887" s="1" t="n">
        <v>46084</v>
      </c>
      <c r="D887" t="inlineStr">
        <is>
          <t>JÄMTLANDS LÄN</t>
        </is>
      </c>
      <c r="E887" t="inlineStr">
        <is>
          <t>RAGUNDA</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55897-2025</t>
        </is>
      </c>
      <c r="B888" s="1" t="n">
        <v>45973.38600694444</v>
      </c>
      <c r="C888" s="1" t="n">
        <v>46084</v>
      </c>
      <c r="D888" t="inlineStr">
        <is>
          <t>JÄMTLANDS LÄN</t>
        </is>
      </c>
      <c r="E888" t="inlineStr">
        <is>
          <t>RAGUNDA</t>
        </is>
      </c>
      <c r="F888" t="inlineStr">
        <is>
          <t>SCA</t>
        </is>
      </c>
      <c r="G888" t="n">
        <v>14.1</v>
      </c>
      <c r="H888" t="n">
        <v>0</v>
      </c>
      <c r="I888" t="n">
        <v>0</v>
      </c>
      <c r="J888" t="n">
        <v>0</v>
      </c>
      <c r="K888" t="n">
        <v>0</v>
      </c>
      <c r="L888" t="n">
        <v>0</v>
      </c>
      <c r="M888" t="n">
        <v>0</v>
      </c>
      <c r="N888" t="n">
        <v>0</v>
      </c>
      <c r="O888" t="n">
        <v>0</v>
      </c>
      <c r="P888" t="n">
        <v>0</v>
      </c>
      <c r="Q888" t="n">
        <v>0</v>
      </c>
      <c r="R888" s="2" t="inlineStr"/>
    </row>
    <row r="889" ht="15" customHeight="1">
      <c r="A889" t="inlineStr">
        <is>
          <t>A 23304-2023</t>
        </is>
      </c>
      <c r="B889" s="1" t="n">
        <v>45075.945</v>
      </c>
      <c r="C889" s="1" t="n">
        <v>46084</v>
      </c>
      <c r="D889" t="inlineStr">
        <is>
          <t>JÄMTLANDS LÄN</t>
        </is>
      </c>
      <c r="E889" t="inlineStr">
        <is>
          <t>RAGUNDA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56435-2025</t>
        </is>
      </c>
      <c r="B890" s="1" t="n">
        <v>45975.34679398148</v>
      </c>
      <c r="C890" s="1" t="n">
        <v>46084</v>
      </c>
      <c r="D890" t="inlineStr">
        <is>
          <t>JÄMTLANDS LÄN</t>
        </is>
      </c>
      <c r="E890" t="inlineStr">
        <is>
          <t>RAGUNDA</t>
        </is>
      </c>
      <c r="F890" t="inlineStr">
        <is>
          <t>SCA</t>
        </is>
      </c>
      <c r="G890" t="n">
        <v>9.199999999999999</v>
      </c>
      <c r="H890" t="n">
        <v>0</v>
      </c>
      <c r="I890" t="n">
        <v>0</v>
      </c>
      <c r="J890" t="n">
        <v>0</v>
      </c>
      <c r="K890" t="n">
        <v>0</v>
      </c>
      <c r="L890" t="n">
        <v>0</v>
      </c>
      <c r="M890" t="n">
        <v>0</v>
      </c>
      <c r="N890" t="n">
        <v>0</v>
      </c>
      <c r="O890" t="n">
        <v>0</v>
      </c>
      <c r="P890" t="n">
        <v>0</v>
      </c>
      <c r="Q890" t="n">
        <v>0</v>
      </c>
      <c r="R890" s="2" t="inlineStr"/>
      <c r="U890">
        <f>HYPERLINK("https://klasma.github.io/Logging_2303/knärot/A 56435-2025 karta knärot.png", "A 56435-2025")</f>
        <v/>
      </c>
      <c r="V890">
        <f>HYPERLINK("https://klasma.github.io/Logging_2303/klagomål/A 56435-2025 FSC-klagomål.docx", "A 56435-2025")</f>
        <v/>
      </c>
      <c r="W890">
        <f>HYPERLINK("https://klasma.github.io/Logging_2303/klagomålsmail/A 56435-2025 FSC-klagomål mail.docx", "A 56435-2025")</f>
        <v/>
      </c>
      <c r="X890">
        <f>HYPERLINK("https://klasma.github.io/Logging_2303/tillsyn/A 56435-2025 tillsynsbegäran.docx", "A 56435-2025")</f>
        <v/>
      </c>
      <c r="Y890">
        <f>HYPERLINK("https://klasma.github.io/Logging_2303/tillsynsmail/A 56435-2025 tillsynsbegäran mail.docx", "A 56435-2025")</f>
        <v/>
      </c>
    </row>
    <row r="891" ht="15" customHeight="1">
      <c r="A891" t="inlineStr">
        <is>
          <t>A 56170-2025</t>
        </is>
      </c>
      <c r="B891" s="1" t="n">
        <v>45974.39398148148</v>
      </c>
      <c r="C891" s="1" t="n">
        <v>46084</v>
      </c>
      <c r="D891" t="inlineStr">
        <is>
          <t>JÄMTLANDS LÄN</t>
        </is>
      </c>
      <c r="E891" t="inlineStr">
        <is>
          <t>RAGUNDA</t>
        </is>
      </c>
      <c r="G891" t="n">
        <v>2</v>
      </c>
      <c r="H891" t="n">
        <v>0</v>
      </c>
      <c r="I891" t="n">
        <v>0</v>
      </c>
      <c r="J891" t="n">
        <v>0</v>
      </c>
      <c r="K891" t="n">
        <v>0</v>
      </c>
      <c r="L891" t="n">
        <v>0</v>
      </c>
      <c r="M891" t="n">
        <v>0</v>
      </c>
      <c r="N891" t="n">
        <v>0</v>
      </c>
      <c r="O891" t="n">
        <v>0</v>
      </c>
      <c r="P891" t="n">
        <v>0</v>
      </c>
      <c r="Q891" t="n">
        <v>0</v>
      </c>
      <c r="R891" s="2" t="inlineStr"/>
    </row>
    <row r="892" ht="15" customHeight="1">
      <c r="A892" t="inlineStr">
        <is>
          <t>A 36226-2023</t>
        </is>
      </c>
      <c r="B892" s="1" t="n">
        <v>45149.95372685185</v>
      </c>
      <c r="C892" s="1" t="n">
        <v>46084</v>
      </c>
      <c r="D892" t="inlineStr">
        <is>
          <t>JÄMTLANDS LÄN</t>
        </is>
      </c>
      <c r="E892" t="inlineStr">
        <is>
          <t>RAGUNDA</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18615-2024</t>
        </is>
      </c>
      <c r="B893" s="1" t="n">
        <v>45425.96275462963</v>
      </c>
      <c r="C893" s="1" t="n">
        <v>46084</v>
      </c>
      <c r="D893" t="inlineStr">
        <is>
          <t>JÄMTLANDS LÄN</t>
        </is>
      </c>
      <c r="E893" t="inlineStr">
        <is>
          <t>RAGUNDA</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40269-2022</t>
        </is>
      </c>
      <c r="B894" s="1" t="n">
        <v>44820</v>
      </c>
      <c r="C894" s="1" t="n">
        <v>46084</v>
      </c>
      <c r="D894" t="inlineStr">
        <is>
          <t>JÄMTLANDS LÄN</t>
        </is>
      </c>
      <c r="E894" t="inlineStr">
        <is>
          <t>RAGUNDA</t>
        </is>
      </c>
      <c r="F894" t="inlineStr">
        <is>
          <t>SCA</t>
        </is>
      </c>
      <c r="G894" t="n">
        <v>77.8</v>
      </c>
      <c r="H894" t="n">
        <v>0</v>
      </c>
      <c r="I894" t="n">
        <v>0</v>
      </c>
      <c r="J894" t="n">
        <v>0</v>
      </c>
      <c r="K894" t="n">
        <v>0</v>
      </c>
      <c r="L894" t="n">
        <v>0</v>
      </c>
      <c r="M894" t="n">
        <v>0</v>
      </c>
      <c r="N894" t="n">
        <v>0</v>
      </c>
      <c r="O894" t="n">
        <v>0</v>
      </c>
      <c r="P894" t="n">
        <v>0</v>
      </c>
      <c r="Q894" t="n">
        <v>0</v>
      </c>
      <c r="R894" s="2" t="inlineStr"/>
    </row>
    <row r="895" ht="15" customHeight="1">
      <c r="A895" t="inlineStr">
        <is>
          <t>A 37242-2024</t>
        </is>
      </c>
      <c r="B895" s="1" t="n">
        <v>45540.34428240741</v>
      </c>
      <c r="C895" s="1" t="n">
        <v>46084</v>
      </c>
      <c r="D895" t="inlineStr">
        <is>
          <t>JÄMTLANDS LÄN</t>
        </is>
      </c>
      <c r="E895" t="inlineStr">
        <is>
          <t>RAGUNDA</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222-2026</t>
        </is>
      </c>
      <c r="B896" s="1" t="n">
        <v>46026.84054398148</v>
      </c>
      <c r="C896" s="1" t="n">
        <v>46084</v>
      </c>
      <c r="D896" t="inlineStr">
        <is>
          <t>JÄMTLANDS LÄN</t>
        </is>
      </c>
      <c r="E896" t="inlineStr">
        <is>
          <t>RAGUNDA</t>
        </is>
      </c>
      <c r="G896" t="n">
        <v>10.6</v>
      </c>
      <c r="H896" t="n">
        <v>0</v>
      </c>
      <c r="I896" t="n">
        <v>0</v>
      </c>
      <c r="J896" t="n">
        <v>0</v>
      </c>
      <c r="K896" t="n">
        <v>0</v>
      </c>
      <c r="L896" t="n">
        <v>0</v>
      </c>
      <c r="M896" t="n">
        <v>0</v>
      </c>
      <c r="N896" t="n">
        <v>0</v>
      </c>
      <c r="O896" t="n">
        <v>0</v>
      </c>
      <c r="P896" t="n">
        <v>0</v>
      </c>
      <c r="Q896" t="n">
        <v>0</v>
      </c>
      <c r="R896" s="2" t="inlineStr"/>
    </row>
    <row r="897" ht="15" customHeight="1">
      <c r="A897" t="inlineStr">
        <is>
          <t>A 265-2026</t>
        </is>
      </c>
      <c r="B897" s="1" t="n">
        <v>46027.44956018519</v>
      </c>
      <c r="C897" s="1" t="n">
        <v>46084</v>
      </c>
      <c r="D897" t="inlineStr">
        <is>
          <t>JÄMTLANDS LÄN</t>
        </is>
      </c>
      <c r="E897" t="inlineStr">
        <is>
          <t>RAGUNDA</t>
        </is>
      </c>
      <c r="G897" t="n">
        <v>3.8</v>
      </c>
      <c r="H897" t="n">
        <v>0</v>
      </c>
      <c r="I897" t="n">
        <v>0</v>
      </c>
      <c r="J897" t="n">
        <v>0</v>
      </c>
      <c r="K897" t="n">
        <v>0</v>
      </c>
      <c r="L897" t="n">
        <v>0</v>
      </c>
      <c r="M897" t="n">
        <v>0</v>
      </c>
      <c r="N897" t="n">
        <v>0</v>
      </c>
      <c r="O897" t="n">
        <v>0</v>
      </c>
      <c r="P897" t="n">
        <v>0</v>
      </c>
      <c r="Q897" t="n">
        <v>0</v>
      </c>
      <c r="R897" s="2" t="inlineStr"/>
    </row>
    <row r="898" ht="15" customHeight="1">
      <c r="A898" t="inlineStr">
        <is>
          <t>A 57111-2025</t>
        </is>
      </c>
      <c r="B898" s="1" t="n">
        <v>45978</v>
      </c>
      <c r="C898" s="1" t="n">
        <v>46084</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57117-2025</t>
        </is>
      </c>
      <c r="B899" s="1" t="n">
        <v>45978</v>
      </c>
      <c r="C899" s="1" t="n">
        <v>46084</v>
      </c>
      <c r="D899" t="inlineStr">
        <is>
          <t>JÄMTLANDS LÄN</t>
        </is>
      </c>
      <c r="E899" t="inlineStr">
        <is>
          <t>RAGUNDA</t>
        </is>
      </c>
      <c r="G899" t="n">
        <v>4.2</v>
      </c>
      <c r="H899" t="n">
        <v>0</v>
      </c>
      <c r="I899" t="n">
        <v>0</v>
      </c>
      <c r="J899" t="n">
        <v>0</v>
      </c>
      <c r="K899" t="n">
        <v>0</v>
      </c>
      <c r="L899" t="n">
        <v>0</v>
      </c>
      <c r="M899" t="n">
        <v>0</v>
      </c>
      <c r="N899" t="n">
        <v>0</v>
      </c>
      <c r="O899" t="n">
        <v>0</v>
      </c>
      <c r="P899" t="n">
        <v>0</v>
      </c>
      <c r="Q899" t="n">
        <v>0</v>
      </c>
      <c r="R899" s="2" t="inlineStr"/>
    </row>
    <row r="900" ht="15" customHeight="1">
      <c r="A900" t="inlineStr">
        <is>
          <t>A 56751-2025</t>
        </is>
      </c>
      <c r="B900" s="1" t="n">
        <v>45978.36538194444</v>
      </c>
      <c r="C900" s="1" t="n">
        <v>46084</v>
      </c>
      <c r="D900" t="inlineStr">
        <is>
          <t>JÄMTLANDS LÄN</t>
        </is>
      </c>
      <c r="E900" t="inlineStr">
        <is>
          <t>RAGUNDA</t>
        </is>
      </c>
      <c r="F900" t="inlineStr">
        <is>
          <t>SCA</t>
        </is>
      </c>
      <c r="G900" t="n">
        <v>34.5</v>
      </c>
      <c r="H900" t="n">
        <v>0</v>
      </c>
      <c r="I900" t="n">
        <v>0</v>
      </c>
      <c r="J900" t="n">
        <v>0</v>
      </c>
      <c r="K900" t="n">
        <v>0</v>
      </c>
      <c r="L900" t="n">
        <v>0</v>
      </c>
      <c r="M900" t="n">
        <v>0</v>
      </c>
      <c r="N900" t="n">
        <v>0</v>
      </c>
      <c r="O900" t="n">
        <v>0</v>
      </c>
      <c r="P900" t="n">
        <v>0</v>
      </c>
      <c r="Q900" t="n">
        <v>0</v>
      </c>
      <c r="R900" s="2" t="inlineStr"/>
    </row>
    <row r="901" ht="15" customHeight="1">
      <c r="A901" t="inlineStr">
        <is>
          <t>A 56806-2025</t>
        </is>
      </c>
      <c r="B901" s="1" t="n">
        <v>45978.44842592593</v>
      </c>
      <c r="C901" s="1" t="n">
        <v>46084</v>
      </c>
      <c r="D901" t="inlineStr">
        <is>
          <t>JÄMTLANDS LÄN</t>
        </is>
      </c>
      <c r="E901" t="inlineStr">
        <is>
          <t>RAGUNDA</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45438-2022</t>
        </is>
      </c>
      <c r="B902" s="1" t="n">
        <v>44844.95368055555</v>
      </c>
      <c r="C902" s="1" t="n">
        <v>46084</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44889.95015046297</v>
      </c>
      <c r="C903" s="1" t="n">
        <v>46084</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122-2026</t>
        </is>
      </c>
      <c r="B904" s="1" t="n">
        <v>46024.57335648148</v>
      </c>
      <c r="C904" s="1" t="n">
        <v>46084</v>
      </c>
      <c r="D904" t="inlineStr">
        <is>
          <t>JÄMTLANDS LÄN</t>
        </is>
      </c>
      <c r="E904" t="inlineStr">
        <is>
          <t>RAGUNDA</t>
        </is>
      </c>
      <c r="F904" t="inlineStr">
        <is>
          <t>SCA</t>
        </is>
      </c>
      <c r="G904" t="n">
        <v>15.3</v>
      </c>
      <c r="H904" t="n">
        <v>0</v>
      </c>
      <c r="I904" t="n">
        <v>0</v>
      </c>
      <c r="J904" t="n">
        <v>0</v>
      </c>
      <c r="K904" t="n">
        <v>0</v>
      </c>
      <c r="L904" t="n">
        <v>0</v>
      </c>
      <c r="M904" t="n">
        <v>0</v>
      </c>
      <c r="N904" t="n">
        <v>0</v>
      </c>
      <c r="O904" t="n">
        <v>0</v>
      </c>
      <c r="P904" t="n">
        <v>0</v>
      </c>
      <c r="Q904" t="n">
        <v>0</v>
      </c>
      <c r="R904" s="2" t="inlineStr"/>
    </row>
    <row r="905" ht="15" customHeight="1">
      <c r="A905" t="inlineStr">
        <is>
          <t>A 9042-2026</t>
        </is>
      </c>
      <c r="B905" s="1" t="n">
        <v>46069.54721064815</v>
      </c>
      <c r="C905" s="1" t="n">
        <v>46084</v>
      </c>
      <c r="D905" t="inlineStr">
        <is>
          <t>JÄMTLANDS LÄN</t>
        </is>
      </c>
      <c r="E905" t="inlineStr">
        <is>
          <t>RAGUNDA</t>
        </is>
      </c>
      <c r="G905" t="n">
        <v>1.7</v>
      </c>
      <c r="H905" t="n">
        <v>0</v>
      </c>
      <c r="I905" t="n">
        <v>0</v>
      </c>
      <c r="J905" t="n">
        <v>0</v>
      </c>
      <c r="K905" t="n">
        <v>0</v>
      </c>
      <c r="L905" t="n">
        <v>0</v>
      </c>
      <c r="M905" t="n">
        <v>0</v>
      </c>
      <c r="N905" t="n">
        <v>0</v>
      </c>
      <c r="O905" t="n">
        <v>0</v>
      </c>
      <c r="P905" t="n">
        <v>0</v>
      </c>
      <c r="Q905" t="n">
        <v>0</v>
      </c>
      <c r="R905" s="2" t="inlineStr"/>
    </row>
    <row r="906" ht="15" customHeight="1">
      <c r="A906" t="inlineStr">
        <is>
          <t>A 30823-2023</t>
        </is>
      </c>
      <c r="B906" s="1" t="n">
        <v>45112</v>
      </c>
      <c r="C906" s="1" t="n">
        <v>46084</v>
      </c>
      <c r="D906" t="inlineStr">
        <is>
          <t>JÄMTLANDS LÄN</t>
        </is>
      </c>
      <c r="E906" t="inlineStr">
        <is>
          <t>RAGUNDA</t>
        </is>
      </c>
      <c r="F906" t="inlineStr">
        <is>
          <t>SCA</t>
        </is>
      </c>
      <c r="G906" t="n">
        <v>9</v>
      </c>
      <c r="H906" t="n">
        <v>0</v>
      </c>
      <c r="I906" t="n">
        <v>0</v>
      </c>
      <c r="J906" t="n">
        <v>0</v>
      </c>
      <c r="K906" t="n">
        <v>0</v>
      </c>
      <c r="L906" t="n">
        <v>0</v>
      </c>
      <c r="M906" t="n">
        <v>0</v>
      </c>
      <c r="N906" t="n">
        <v>0</v>
      </c>
      <c r="O906" t="n">
        <v>0</v>
      </c>
      <c r="P906" t="n">
        <v>0</v>
      </c>
      <c r="Q906" t="n">
        <v>0</v>
      </c>
      <c r="R906" s="2" t="inlineStr"/>
    </row>
    <row r="907" ht="15" customHeight="1">
      <c r="A907" t="inlineStr">
        <is>
          <t>A 9097-2026</t>
        </is>
      </c>
      <c r="B907" s="1" t="n">
        <v>46069.63592592593</v>
      </c>
      <c r="C907" s="1" t="n">
        <v>46084</v>
      </c>
      <c r="D907" t="inlineStr">
        <is>
          <t>JÄMTLANDS LÄN</t>
        </is>
      </c>
      <c r="E907" t="inlineStr">
        <is>
          <t>RAGUNDA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8795-2022</t>
        </is>
      </c>
      <c r="B908" s="1" t="n">
        <v>44614</v>
      </c>
      <c r="C908" s="1" t="n">
        <v>46084</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57184-2025</t>
        </is>
      </c>
      <c r="B909" s="1" t="n">
        <v>45979.57361111111</v>
      </c>
      <c r="C909" s="1" t="n">
        <v>46084</v>
      </c>
      <c r="D909" t="inlineStr">
        <is>
          <t>JÄMTLANDS LÄN</t>
        </is>
      </c>
      <c r="E909" t="inlineStr">
        <is>
          <t>RAGUNDA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57561-2025</t>
        </is>
      </c>
      <c r="B910" s="1" t="n">
        <v>45980.69885416667</v>
      </c>
      <c r="C910" s="1" t="n">
        <v>46084</v>
      </c>
      <c r="D910" t="inlineStr">
        <is>
          <t>JÄMTLANDS LÄN</t>
        </is>
      </c>
      <c r="E910" t="inlineStr">
        <is>
          <t>RAGUNDA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43339-2024</t>
        </is>
      </c>
      <c r="B911" s="1" t="n">
        <v>45568.51075231482</v>
      </c>
      <c r="C911" s="1" t="n">
        <v>46084</v>
      </c>
      <c r="D911" t="inlineStr">
        <is>
          <t>JÄMTLANDS LÄN</t>
        </is>
      </c>
      <c r="E911" t="inlineStr">
        <is>
          <t>RAGUNDA</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43102-2023</t>
        </is>
      </c>
      <c r="B912" s="1" t="n">
        <v>45182</v>
      </c>
      <c r="C912" s="1" t="n">
        <v>46084</v>
      </c>
      <c r="D912" t="inlineStr">
        <is>
          <t>JÄMTLANDS LÄN</t>
        </is>
      </c>
      <c r="E912" t="inlineStr">
        <is>
          <t>RAGUNDA</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57332-2025</t>
        </is>
      </c>
      <c r="B913" s="1" t="n">
        <v>45980.34467592592</v>
      </c>
      <c r="C913" s="1" t="n">
        <v>46084</v>
      </c>
      <c r="D913" t="inlineStr">
        <is>
          <t>JÄMTLANDS LÄN</t>
        </is>
      </c>
      <c r="E913" t="inlineStr">
        <is>
          <t>RAGUNDA</t>
        </is>
      </c>
      <c r="F913" t="inlineStr">
        <is>
          <t>SCA</t>
        </is>
      </c>
      <c r="G913" t="n">
        <v>22.6</v>
      </c>
      <c r="H913" t="n">
        <v>0</v>
      </c>
      <c r="I913" t="n">
        <v>0</v>
      </c>
      <c r="J913" t="n">
        <v>0</v>
      </c>
      <c r="K913" t="n">
        <v>0</v>
      </c>
      <c r="L913" t="n">
        <v>0</v>
      </c>
      <c r="M913" t="n">
        <v>0</v>
      </c>
      <c r="N913" t="n">
        <v>0</v>
      </c>
      <c r="O913" t="n">
        <v>0</v>
      </c>
      <c r="P913" t="n">
        <v>0</v>
      </c>
      <c r="Q913" t="n">
        <v>0</v>
      </c>
      <c r="R913" s="2" t="inlineStr"/>
    </row>
    <row r="914" ht="15" customHeight="1">
      <c r="A914" t="inlineStr">
        <is>
          <t>A 57560-2025</t>
        </is>
      </c>
      <c r="B914" s="1" t="n">
        <v>45980.6987962963</v>
      </c>
      <c r="C914" s="1" t="n">
        <v>46084</v>
      </c>
      <c r="D914" t="inlineStr">
        <is>
          <t>JÄMTLANDS LÄN</t>
        </is>
      </c>
      <c r="E914" t="inlineStr">
        <is>
          <t>RAGUNDA</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57916-2025</t>
        </is>
      </c>
      <c r="B915" s="1" t="n">
        <v>45981</v>
      </c>
      <c r="C915" s="1" t="n">
        <v>46084</v>
      </c>
      <c r="D915" t="inlineStr">
        <is>
          <t>JÄMTLANDS LÄN</t>
        </is>
      </c>
      <c r="E915" t="inlineStr">
        <is>
          <t>RAGUNDA</t>
        </is>
      </c>
      <c r="G915" t="n">
        <v>5.3</v>
      </c>
      <c r="H915" t="n">
        <v>0</v>
      </c>
      <c r="I915" t="n">
        <v>0</v>
      </c>
      <c r="J915" t="n">
        <v>0</v>
      </c>
      <c r="K915" t="n">
        <v>0</v>
      </c>
      <c r="L915" t="n">
        <v>0</v>
      </c>
      <c r="M915" t="n">
        <v>0</v>
      </c>
      <c r="N915" t="n">
        <v>0</v>
      </c>
      <c r="O915" t="n">
        <v>0</v>
      </c>
      <c r="P915" t="n">
        <v>0</v>
      </c>
      <c r="Q915" t="n">
        <v>0</v>
      </c>
      <c r="R915" s="2" t="inlineStr"/>
    </row>
    <row r="916" ht="15" customHeight="1">
      <c r="A916" t="inlineStr">
        <is>
          <t>A 57914-2025</t>
        </is>
      </c>
      <c r="B916" s="1" t="n">
        <v>45981</v>
      </c>
      <c r="C916" s="1" t="n">
        <v>46084</v>
      </c>
      <c r="D916" t="inlineStr">
        <is>
          <t>JÄMTLANDS LÄN</t>
        </is>
      </c>
      <c r="E916" t="inlineStr">
        <is>
          <t>RAGUNDA</t>
        </is>
      </c>
      <c r="G916" t="n">
        <v>3.2</v>
      </c>
      <c r="H916" t="n">
        <v>0</v>
      </c>
      <c r="I916" t="n">
        <v>0</v>
      </c>
      <c r="J916" t="n">
        <v>0</v>
      </c>
      <c r="K916" t="n">
        <v>0</v>
      </c>
      <c r="L916" t="n">
        <v>0</v>
      </c>
      <c r="M916" t="n">
        <v>0</v>
      </c>
      <c r="N916" t="n">
        <v>0</v>
      </c>
      <c r="O916" t="n">
        <v>0</v>
      </c>
      <c r="P916" t="n">
        <v>0</v>
      </c>
      <c r="Q916" t="n">
        <v>0</v>
      </c>
      <c r="R916" s="2" t="inlineStr"/>
    </row>
    <row r="917" ht="15" customHeight="1">
      <c r="A917" t="inlineStr">
        <is>
          <t>A 35265-2023</t>
        </is>
      </c>
      <c r="B917" s="1" t="n">
        <v>45145.95326388889</v>
      </c>
      <c r="C917" s="1" t="n">
        <v>46084</v>
      </c>
      <c r="D917" t="inlineStr">
        <is>
          <t>JÄMTLANDS LÄN</t>
        </is>
      </c>
      <c r="E917" t="inlineStr">
        <is>
          <t>RAGUNDA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9823-2025</t>
        </is>
      </c>
      <c r="B918" s="1" t="n">
        <v>45716</v>
      </c>
      <c r="C918" s="1" t="n">
        <v>46084</v>
      </c>
      <c r="D918" t="inlineStr">
        <is>
          <t>JÄMTLANDS LÄN</t>
        </is>
      </c>
      <c r="E918" t="inlineStr">
        <is>
          <t>RAGUNDA</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57915-2025</t>
        </is>
      </c>
      <c r="B919" s="1" t="n">
        <v>45981</v>
      </c>
      <c r="C919" s="1" t="n">
        <v>46084</v>
      </c>
      <c r="D919" t="inlineStr">
        <is>
          <t>JÄMTLANDS LÄN</t>
        </is>
      </c>
      <c r="E919" t="inlineStr">
        <is>
          <t>RAGUNDA</t>
        </is>
      </c>
      <c r="G919" t="n">
        <v>6.4</v>
      </c>
      <c r="H919" t="n">
        <v>0</v>
      </c>
      <c r="I919" t="n">
        <v>0</v>
      </c>
      <c r="J919" t="n">
        <v>0</v>
      </c>
      <c r="K919" t="n">
        <v>0</v>
      </c>
      <c r="L919" t="n">
        <v>0</v>
      </c>
      <c r="M919" t="n">
        <v>0</v>
      </c>
      <c r="N919" t="n">
        <v>0</v>
      </c>
      <c r="O919" t="n">
        <v>0</v>
      </c>
      <c r="P919" t="n">
        <v>0</v>
      </c>
      <c r="Q919" t="n">
        <v>0</v>
      </c>
      <c r="R919" s="2" t="inlineStr"/>
    </row>
    <row r="920" ht="15" customHeight="1">
      <c r="A920" t="inlineStr">
        <is>
          <t>A 8312-2026</t>
        </is>
      </c>
      <c r="B920" s="1" t="n">
        <v>46064</v>
      </c>
      <c r="C920" s="1" t="n">
        <v>46084</v>
      </c>
      <c r="D920" t="inlineStr">
        <is>
          <t>JÄMTLANDS LÄN</t>
        </is>
      </c>
      <c r="E920" t="inlineStr">
        <is>
          <t>RAGUNDA</t>
        </is>
      </c>
      <c r="G920" t="n">
        <v>4.8</v>
      </c>
      <c r="H920" t="n">
        <v>0</v>
      </c>
      <c r="I920" t="n">
        <v>0</v>
      </c>
      <c r="J920" t="n">
        <v>0</v>
      </c>
      <c r="K920" t="n">
        <v>0</v>
      </c>
      <c r="L920" t="n">
        <v>0</v>
      </c>
      <c r="M920" t="n">
        <v>0</v>
      </c>
      <c r="N920" t="n">
        <v>0</v>
      </c>
      <c r="O920" t="n">
        <v>0</v>
      </c>
      <c r="P920" t="n">
        <v>0</v>
      </c>
      <c r="Q920" t="n">
        <v>0</v>
      </c>
      <c r="R920" s="2" t="inlineStr"/>
    </row>
    <row r="921" ht="15" customHeight="1">
      <c r="A921" t="inlineStr">
        <is>
          <t>A 13917-2023</t>
        </is>
      </c>
      <c r="B921" s="1" t="n">
        <v>45007</v>
      </c>
      <c r="C921" s="1" t="n">
        <v>46084</v>
      </c>
      <c r="D921" t="inlineStr">
        <is>
          <t>JÄMTLANDS LÄN</t>
        </is>
      </c>
      <c r="E921" t="inlineStr">
        <is>
          <t>RAGUNDA</t>
        </is>
      </c>
      <c r="G921" t="n">
        <v>1</v>
      </c>
      <c r="H921" t="n">
        <v>0</v>
      </c>
      <c r="I921" t="n">
        <v>0</v>
      </c>
      <c r="J921" t="n">
        <v>0</v>
      </c>
      <c r="K921" t="n">
        <v>0</v>
      </c>
      <c r="L921" t="n">
        <v>0</v>
      </c>
      <c r="M921" t="n">
        <v>0</v>
      </c>
      <c r="N921" t="n">
        <v>0</v>
      </c>
      <c r="O921" t="n">
        <v>0</v>
      </c>
      <c r="P921" t="n">
        <v>0</v>
      </c>
      <c r="Q921" t="n">
        <v>0</v>
      </c>
      <c r="R921" s="2" t="inlineStr"/>
    </row>
    <row r="922" ht="15" customHeight="1">
      <c r="A922" t="inlineStr">
        <is>
          <t>A 57833-2025</t>
        </is>
      </c>
      <c r="B922" s="1" t="n">
        <v>45981.61541666667</v>
      </c>
      <c r="C922" s="1" t="n">
        <v>46084</v>
      </c>
      <c r="D922" t="inlineStr">
        <is>
          <t>JÄMTLANDS LÄN</t>
        </is>
      </c>
      <c r="E922" t="inlineStr">
        <is>
          <t>RAGUNDA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64108-2025</t>
        </is>
      </c>
      <c r="B923" s="1" t="n">
        <v>46013</v>
      </c>
      <c r="C923" s="1" t="n">
        <v>46084</v>
      </c>
      <c r="D923" t="inlineStr">
        <is>
          <t>JÄMTLANDS LÄN</t>
        </is>
      </c>
      <c r="E923" t="inlineStr">
        <is>
          <t>RAGUNDA</t>
        </is>
      </c>
      <c r="F923" t="inlineStr">
        <is>
          <t>Kyrkan</t>
        </is>
      </c>
      <c r="G923" t="n">
        <v>1.6</v>
      </c>
      <c r="H923" t="n">
        <v>0</v>
      </c>
      <c r="I923" t="n">
        <v>0</v>
      </c>
      <c r="J923" t="n">
        <v>0</v>
      </c>
      <c r="K923" t="n">
        <v>0</v>
      </c>
      <c r="L923" t="n">
        <v>0</v>
      </c>
      <c r="M923" t="n">
        <v>0</v>
      </c>
      <c r="N923" t="n">
        <v>0</v>
      </c>
      <c r="O923" t="n">
        <v>0</v>
      </c>
      <c r="P923" t="n">
        <v>0</v>
      </c>
      <c r="Q923" t="n">
        <v>0</v>
      </c>
      <c r="R923" s="2" t="inlineStr"/>
    </row>
    <row r="924" ht="15" customHeight="1">
      <c r="A924" t="inlineStr">
        <is>
          <t>A 57785-2025</t>
        </is>
      </c>
      <c r="B924" s="1" t="n">
        <v>45981.57393518519</v>
      </c>
      <c r="C924" s="1" t="n">
        <v>46084</v>
      </c>
      <c r="D924" t="inlineStr">
        <is>
          <t>JÄMTLANDS LÄN</t>
        </is>
      </c>
      <c r="E924" t="inlineStr">
        <is>
          <t>RAGUNDA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5148-2023</t>
        </is>
      </c>
      <c r="B925" s="1" t="n">
        <v>44958</v>
      </c>
      <c r="C925" s="1" t="n">
        <v>46084</v>
      </c>
      <c r="D925" t="inlineStr">
        <is>
          <t>JÄMTLANDS LÄN</t>
        </is>
      </c>
      <c r="E925" t="inlineStr">
        <is>
          <t>RAGUNDA</t>
        </is>
      </c>
      <c r="G925" t="n">
        <v>2.9</v>
      </c>
      <c r="H925" t="n">
        <v>0</v>
      </c>
      <c r="I925" t="n">
        <v>0</v>
      </c>
      <c r="J925" t="n">
        <v>0</v>
      </c>
      <c r="K925" t="n">
        <v>0</v>
      </c>
      <c r="L925" t="n">
        <v>0</v>
      </c>
      <c r="M925" t="n">
        <v>0</v>
      </c>
      <c r="N925" t="n">
        <v>0</v>
      </c>
      <c r="O925" t="n">
        <v>0</v>
      </c>
      <c r="P925" t="n">
        <v>0</v>
      </c>
      <c r="Q925" t="n">
        <v>0</v>
      </c>
      <c r="R925" s="2" t="inlineStr"/>
    </row>
    <row r="926" ht="15" customHeight="1">
      <c r="A926" t="inlineStr">
        <is>
          <t>A 58093-2025</t>
        </is>
      </c>
      <c r="B926" s="1" t="n">
        <v>45982.5741087963</v>
      </c>
      <c r="C926" s="1" t="n">
        <v>46084</v>
      </c>
      <c r="D926" t="inlineStr">
        <is>
          <t>JÄMTLANDS LÄN</t>
        </is>
      </c>
      <c r="E926" t="inlineStr">
        <is>
          <t>RAGUNDA</t>
        </is>
      </c>
      <c r="G926" t="n">
        <v>22.2</v>
      </c>
      <c r="H926" t="n">
        <v>0</v>
      </c>
      <c r="I926" t="n">
        <v>0</v>
      </c>
      <c r="J926" t="n">
        <v>0</v>
      </c>
      <c r="K926" t="n">
        <v>0</v>
      </c>
      <c r="L926" t="n">
        <v>0</v>
      </c>
      <c r="M926" t="n">
        <v>0</v>
      </c>
      <c r="N926" t="n">
        <v>0</v>
      </c>
      <c r="O926" t="n">
        <v>0</v>
      </c>
      <c r="P926" t="n">
        <v>0</v>
      </c>
      <c r="Q926" t="n">
        <v>0</v>
      </c>
      <c r="R926" s="2" t="inlineStr"/>
    </row>
    <row r="927" ht="15" customHeight="1">
      <c r="A927" t="inlineStr">
        <is>
          <t>A 53019-2023</t>
        </is>
      </c>
      <c r="B927" s="1" t="n">
        <v>45222</v>
      </c>
      <c r="C927" s="1" t="n">
        <v>46084</v>
      </c>
      <c r="D927" t="inlineStr">
        <is>
          <t>JÄMTLANDS LÄN</t>
        </is>
      </c>
      <c r="E927" t="inlineStr">
        <is>
          <t>RAGUNDA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9566-2026</t>
        </is>
      </c>
      <c r="B928" s="1" t="n">
        <v>46071.65679398148</v>
      </c>
      <c r="C928" s="1" t="n">
        <v>46084</v>
      </c>
      <c r="D928" t="inlineStr">
        <is>
          <t>JÄMTLANDS LÄN</t>
        </is>
      </c>
      <c r="E928" t="inlineStr">
        <is>
          <t>RAGUNDA</t>
        </is>
      </c>
      <c r="F928" t="inlineStr">
        <is>
          <t>SCA</t>
        </is>
      </c>
      <c r="G928" t="n">
        <v>18.9</v>
      </c>
      <c r="H928" t="n">
        <v>0</v>
      </c>
      <c r="I928" t="n">
        <v>0</v>
      </c>
      <c r="J928" t="n">
        <v>0</v>
      </c>
      <c r="K928" t="n">
        <v>0</v>
      </c>
      <c r="L928" t="n">
        <v>0</v>
      </c>
      <c r="M928" t="n">
        <v>0</v>
      </c>
      <c r="N928" t="n">
        <v>0</v>
      </c>
      <c r="O928" t="n">
        <v>0</v>
      </c>
      <c r="P928" t="n">
        <v>0</v>
      </c>
      <c r="Q928" t="n">
        <v>0</v>
      </c>
      <c r="R928" s="2" t="inlineStr"/>
    </row>
    <row r="929" ht="15" customHeight="1">
      <c r="A929" t="inlineStr">
        <is>
          <t>A 9538-2026</t>
        </is>
      </c>
      <c r="B929" s="1" t="n">
        <v>46071.61511574074</v>
      </c>
      <c r="C929" s="1" t="n">
        <v>46084</v>
      </c>
      <c r="D929" t="inlineStr">
        <is>
          <t>JÄMTLANDS LÄN</t>
        </is>
      </c>
      <c r="E929" t="inlineStr">
        <is>
          <t>RAGUNDA</t>
        </is>
      </c>
      <c r="G929" t="n">
        <v>1.7</v>
      </c>
      <c r="H929" t="n">
        <v>0</v>
      </c>
      <c r="I929" t="n">
        <v>0</v>
      </c>
      <c r="J929" t="n">
        <v>0</v>
      </c>
      <c r="K929" t="n">
        <v>0</v>
      </c>
      <c r="L929" t="n">
        <v>0</v>
      </c>
      <c r="M929" t="n">
        <v>0</v>
      </c>
      <c r="N929" t="n">
        <v>0</v>
      </c>
      <c r="O929" t="n">
        <v>0</v>
      </c>
      <c r="P929" t="n">
        <v>0</v>
      </c>
      <c r="Q929" t="n">
        <v>0</v>
      </c>
      <c r="R929" s="2" t="inlineStr"/>
    </row>
    <row r="930" ht="15" customHeight="1">
      <c r="A930" t="inlineStr">
        <is>
          <t>A 57970-2025</t>
        </is>
      </c>
      <c r="B930" s="1" t="n">
        <v>45982.38582175926</v>
      </c>
      <c r="C930" s="1" t="n">
        <v>46084</v>
      </c>
      <c r="D930" t="inlineStr">
        <is>
          <t>JÄMTLANDS LÄN</t>
        </is>
      </c>
      <c r="E930" t="inlineStr">
        <is>
          <t>RAGUNDA</t>
        </is>
      </c>
      <c r="G930" t="n">
        <v>4.9</v>
      </c>
      <c r="H930" t="n">
        <v>0</v>
      </c>
      <c r="I930" t="n">
        <v>0</v>
      </c>
      <c r="J930" t="n">
        <v>0</v>
      </c>
      <c r="K930" t="n">
        <v>0</v>
      </c>
      <c r="L930" t="n">
        <v>0</v>
      </c>
      <c r="M930" t="n">
        <v>0</v>
      </c>
      <c r="N930" t="n">
        <v>0</v>
      </c>
      <c r="O930" t="n">
        <v>0</v>
      </c>
      <c r="P930" t="n">
        <v>0</v>
      </c>
      <c r="Q930" t="n">
        <v>0</v>
      </c>
      <c r="R930" s="2" t="inlineStr"/>
    </row>
    <row r="931" ht="15" customHeight="1">
      <c r="A931" t="inlineStr">
        <is>
          <t>A 14212-2023</t>
        </is>
      </c>
      <c r="B931" s="1" t="n">
        <v>45009</v>
      </c>
      <c r="C931" s="1" t="n">
        <v>46084</v>
      </c>
      <c r="D931" t="inlineStr">
        <is>
          <t>JÄMTLANDS LÄN</t>
        </is>
      </c>
      <c r="E931" t="inlineStr">
        <is>
          <t>RAGUNDA</t>
        </is>
      </c>
      <c r="G931" t="n">
        <v>0.8</v>
      </c>
      <c r="H931" t="n">
        <v>0</v>
      </c>
      <c r="I931" t="n">
        <v>0</v>
      </c>
      <c r="J931" t="n">
        <v>0</v>
      </c>
      <c r="K931" t="n">
        <v>0</v>
      </c>
      <c r="L931" t="n">
        <v>0</v>
      </c>
      <c r="M931" t="n">
        <v>0</v>
      </c>
      <c r="N931" t="n">
        <v>0</v>
      </c>
      <c r="O931" t="n">
        <v>0</v>
      </c>
      <c r="P931" t="n">
        <v>0</v>
      </c>
      <c r="Q931" t="n">
        <v>0</v>
      </c>
      <c r="R931" s="2" t="inlineStr"/>
    </row>
    <row r="932" ht="15" customHeight="1">
      <c r="A932" t="inlineStr">
        <is>
          <t>A 58076-2025</t>
        </is>
      </c>
      <c r="B932" s="1" t="n">
        <v>45982.55273148148</v>
      </c>
      <c r="C932" s="1" t="n">
        <v>46084</v>
      </c>
      <c r="D932" t="inlineStr">
        <is>
          <t>JÄMTLANDS LÄN</t>
        </is>
      </c>
      <c r="E932" t="inlineStr">
        <is>
          <t>RAGUNDA</t>
        </is>
      </c>
      <c r="G932" t="n">
        <v>0.1</v>
      </c>
      <c r="H932" t="n">
        <v>0</v>
      </c>
      <c r="I932" t="n">
        <v>0</v>
      </c>
      <c r="J932" t="n">
        <v>0</v>
      </c>
      <c r="K932" t="n">
        <v>0</v>
      </c>
      <c r="L932" t="n">
        <v>0</v>
      </c>
      <c r="M932" t="n">
        <v>0</v>
      </c>
      <c r="N932" t="n">
        <v>0</v>
      </c>
      <c r="O932" t="n">
        <v>0</v>
      </c>
      <c r="P932" t="n">
        <v>0</v>
      </c>
      <c r="Q932" t="n">
        <v>0</v>
      </c>
      <c r="R932" s="2" t="inlineStr"/>
    </row>
    <row r="933" ht="15" customHeight="1">
      <c r="A933" t="inlineStr">
        <is>
          <t>A 57963-2025</t>
        </is>
      </c>
      <c r="B933" s="1" t="n">
        <v>45982.37800925926</v>
      </c>
      <c r="C933" s="1" t="n">
        <v>46084</v>
      </c>
      <c r="D933" t="inlineStr">
        <is>
          <t>JÄMTLANDS LÄN</t>
        </is>
      </c>
      <c r="E933" t="inlineStr">
        <is>
          <t>RAGUNDA</t>
        </is>
      </c>
      <c r="G933" t="n">
        <v>1.7</v>
      </c>
      <c r="H933" t="n">
        <v>0</v>
      </c>
      <c r="I933" t="n">
        <v>0</v>
      </c>
      <c r="J933" t="n">
        <v>0</v>
      </c>
      <c r="K933" t="n">
        <v>0</v>
      </c>
      <c r="L933" t="n">
        <v>0</v>
      </c>
      <c r="M933" t="n">
        <v>0</v>
      </c>
      <c r="N933" t="n">
        <v>0</v>
      </c>
      <c r="O933" t="n">
        <v>0</v>
      </c>
      <c r="P933" t="n">
        <v>0</v>
      </c>
      <c r="Q933" t="n">
        <v>0</v>
      </c>
      <c r="R933" s="2" t="inlineStr"/>
    </row>
    <row r="934" ht="15" customHeight="1">
      <c r="A934" t="inlineStr">
        <is>
          <t>A 647-2026</t>
        </is>
      </c>
      <c r="B934" s="1" t="n">
        <v>46029.57357638889</v>
      </c>
      <c r="C934" s="1" t="n">
        <v>46084</v>
      </c>
      <c r="D934" t="inlineStr">
        <is>
          <t>JÄMTLANDS LÄN</t>
        </is>
      </c>
      <c r="E934" t="inlineStr">
        <is>
          <t>RAGUNDA</t>
        </is>
      </c>
      <c r="F934" t="inlineStr">
        <is>
          <t>SCA</t>
        </is>
      </c>
      <c r="G934" t="n">
        <v>6</v>
      </c>
      <c r="H934" t="n">
        <v>0</v>
      </c>
      <c r="I934" t="n">
        <v>0</v>
      </c>
      <c r="J934" t="n">
        <v>0</v>
      </c>
      <c r="K934" t="n">
        <v>0</v>
      </c>
      <c r="L934" t="n">
        <v>0</v>
      </c>
      <c r="M934" t="n">
        <v>0</v>
      </c>
      <c r="N934" t="n">
        <v>0</v>
      </c>
      <c r="O934" t="n">
        <v>0</v>
      </c>
      <c r="P934" t="n">
        <v>0</v>
      </c>
      <c r="Q934" t="n">
        <v>0</v>
      </c>
      <c r="R934" s="2" t="inlineStr"/>
    </row>
    <row r="935" ht="15" customHeight="1">
      <c r="A935" t="inlineStr">
        <is>
          <t>A 59996-2023</t>
        </is>
      </c>
      <c r="B935" s="1" t="n">
        <v>45257.92826388889</v>
      </c>
      <c r="C935" s="1" t="n">
        <v>46084</v>
      </c>
      <c r="D935" t="inlineStr">
        <is>
          <t>JÄMTLANDS LÄN</t>
        </is>
      </c>
      <c r="E935" t="inlineStr">
        <is>
          <t>RAGUNDA</t>
        </is>
      </c>
      <c r="G935" t="n">
        <v>2.7</v>
      </c>
      <c r="H935" t="n">
        <v>0</v>
      </c>
      <c r="I935" t="n">
        <v>0</v>
      </c>
      <c r="J935" t="n">
        <v>0</v>
      </c>
      <c r="K935" t="n">
        <v>0</v>
      </c>
      <c r="L935" t="n">
        <v>0</v>
      </c>
      <c r="M935" t="n">
        <v>0</v>
      </c>
      <c r="N935" t="n">
        <v>0</v>
      </c>
      <c r="O935" t="n">
        <v>0</v>
      </c>
      <c r="P935" t="n">
        <v>0</v>
      </c>
      <c r="Q935" t="n">
        <v>0</v>
      </c>
      <c r="R935" s="2" t="inlineStr"/>
    </row>
    <row r="936" ht="15" customHeight="1">
      <c r="A936" t="inlineStr">
        <is>
          <t>A 66471-2021</t>
        </is>
      </c>
      <c r="B936" s="1" t="n">
        <v>44518</v>
      </c>
      <c r="C936" s="1" t="n">
        <v>46084</v>
      </c>
      <c r="D936" t="inlineStr">
        <is>
          <t>JÄMTLANDS LÄN</t>
        </is>
      </c>
      <c r="E936" t="inlineStr">
        <is>
          <t>RAGUNDA</t>
        </is>
      </c>
      <c r="G936" t="n">
        <v>13.4</v>
      </c>
      <c r="H936" t="n">
        <v>0</v>
      </c>
      <c r="I936" t="n">
        <v>0</v>
      </c>
      <c r="J936" t="n">
        <v>0</v>
      </c>
      <c r="K936" t="n">
        <v>0</v>
      </c>
      <c r="L936" t="n">
        <v>0</v>
      </c>
      <c r="M936" t="n">
        <v>0</v>
      </c>
      <c r="N936" t="n">
        <v>0</v>
      </c>
      <c r="O936" t="n">
        <v>0</v>
      </c>
      <c r="P936" t="n">
        <v>0</v>
      </c>
      <c r="Q936" t="n">
        <v>0</v>
      </c>
      <c r="R936" s="2" t="inlineStr"/>
    </row>
    <row r="937" ht="15" customHeight="1">
      <c r="A937" t="inlineStr">
        <is>
          <t>A 18778-2024</t>
        </is>
      </c>
      <c r="B937" s="1" t="n">
        <v>45426</v>
      </c>
      <c r="C937" s="1" t="n">
        <v>46084</v>
      </c>
      <c r="D937" t="inlineStr">
        <is>
          <t>JÄMTLANDS LÄN</t>
        </is>
      </c>
      <c r="E937" t="inlineStr">
        <is>
          <t>RAGUNDA</t>
        </is>
      </c>
      <c r="G937" t="n">
        <v>0.9</v>
      </c>
      <c r="H937" t="n">
        <v>0</v>
      </c>
      <c r="I937" t="n">
        <v>0</v>
      </c>
      <c r="J937" t="n">
        <v>0</v>
      </c>
      <c r="K937" t="n">
        <v>0</v>
      </c>
      <c r="L937" t="n">
        <v>0</v>
      </c>
      <c r="M937" t="n">
        <v>0</v>
      </c>
      <c r="N937" t="n">
        <v>0</v>
      </c>
      <c r="O937" t="n">
        <v>0</v>
      </c>
      <c r="P937" t="n">
        <v>0</v>
      </c>
      <c r="Q937" t="n">
        <v>0</v>
      </c>
      <c r="R937" s="2" t="inlineStr"/>
    </row>
    <row r="938" ht="15" customHeight="1">
      <c r="A938" t="inlineStr">
        <is>
          <t>A 59556-2024</t>
        </is>
      </c>
      <c r="B938" s="1" t="n">
        <v>45638.63600694444</v>
      </c>
      <c r="C938" s="1" t="n">
        <v>46084</v>
      </c>
      <c r="D938" t="inlineStr">
        <is>
          <t>JÄMTLANDS LÄN</t>
        </is>
      </c>
      <c r="E938" t="inlineStr">
        <is>
          <t>RAGUNDA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9316-2026</t>
        </is>
      </c>
      <c r="B939" s="1" t="n">
        <v>46070.62200231481</v>
      </c>
      <c r="C939" s="1" t="n">
        <v>46084</v>
      </c>
      <c r="D939" t="inlineStr">
        <is>
          <t>JÄMTLANDS LÄN</t>
        </is>
      </c>
      <c r="E939" t="inlineStr">
        <is>
          <t>RAGUNDA</t>
        </is>
      </c>
      <c r="G939" t="n">
        <v>3</v>
      </c>
      <c r="H939" t="n">
        <v>0</v>
      </c>
      <c r="I939" t="n">
        <v>0</v>
      </c>
      <c r="J939" t="n">
        <v>0</v>
      </c>
      <c r="K939" t="n">
        <v>0</v>
      </c>
      <c r="L939" t="n">
        <v>0</v>
      </c>
      <c r="M939" t="n">
        <v>0</v>
      </c>
      <c r="N939" t="n">
        <v>0</v>
      </c>
      <c r="O939" t="n">
        <v>0</v>
      </c>
      <c r="P939" t="n">
        <v>0</v>
      </c>
      <c r="Q939" t="n">
        <v>0</v>
      </c>
      <c r="R939" s="2" t="inlineStr"/>
    </row>
    <row r="940" ht="15" customHeight="1">
      <c r="A940" t="inlineStr">
        <is>
          <t>A 44980-2023</t>
        </is>
      </c>
      <c r="B940" s="1" t="n">
        <v>45190</v>
      </c>
      <c r="C940" s="1" t="n">
        <v>46084</v>
      </c>
      <c r="D940" t="inlineStr">
        <is>
          <t>JÄMTLANDS LÄN</t>
        </is>
      </c>
      <c r="E940" t="inlineStr">
        <is>
          <t>RAGUNDA</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14076-2023</t>
        </is>
      </c>
      <c r="B941" s="1" t="n">
        <v>45009.0897337963</v>
      </c>
      <c r="C941" s="1" t="n">
        <v>46084</v>
      </c>
      <c r="D941" t="inlineStr">
        <is>
          <t>JÄMTLANDS LÄN</t>
        </is>
      </c>
      <c r="E941" t="inlineStr">
        <is>
          <t>RAGUNDA</t>
        </is>
      </c>
      <c r="F941" t="inlineStr">
        <is>
          <t>SCA</t>
        </is>
      </c>
      <c r="G941" t="n">
        <v>6.4</v>
      </c>
      <c r="H941" t="n">
        <v>0</v>
      </c>
      <c r="I941" t="n">
        <v>0</v>
      </c>
      <c r="J941" t="n">
        <v>0</v>
      </c>
      <c r="K941" t="n">
        <v>0</v>
      </c>
      <c r="L941" t="n">
        <v>0</v>
      </c>
      <c r="M941" t="n">
        <v>0</v>
      </c>
      <c r="N941" t="n">
        <v>0</v>
      </c>
      <c r="O941" t="n">
        <v>0</v>
      </c>
      <c r="P941" t="n">
        <v>0</v>
      </c>
      <c r="Q941" t="n">
        <v>0</v>
      </c>
      <c r="R941" s="2" t="inlineStr"/>
    </row>
    <row r="942" ht="15" customHeight="1">
      <c r="A942" t="inlineStr">
        <is>
          <t>A 53109-2025</t>
        </is>
      </c>
      <c r="B942" s="1" t="n">
        <v>45958</v>
      </c>
      <c r="C942" s="1" t="n">
        <v>46084</v>
      </c>
      <c r="D942" t="inlineStr">
        <is>
          <t>JÄMTLANDS LÄN</t>
        </is>
      </c>
      <c r="E942" t="inlineStr">
        <is>
          <t>RAGUNDA</t>
        </is>
      </c>
      <c r="G942" t="n">
        <v>2.1</v>
      </c>
      <c r="H942" t="n">
        <v>0</v>
      </c>
      <c r="I942" t="n">
        <v>0</v>
      </c>
      <c r="J942" t="n">
        <v>0</v>
      </c>
      <c r="K942" t="n">
        <v>0</v>
      </c>
      <c r="L942" t="n">
        <v>0</v>
      </c>
      <c r="M942" t="n">
        <v>0</v>
      </c>
      <c r="N942" t="n">
        <v>0</v>
      </c>
      <c r="O942" t="n">
        <v>0</v>
      </c>
      <c r="P942" t="n">
        <v>0</v>
      </c>
      <c r="Q942" t="n">
        <v>0</v>
      </c>
      <c r="R942" s="2" t="inlineStr"/>
    </row>
    <row r="943" ht="15" customHeight="1">
      <c r="A943" t="inlineStr">
        <is>
          <t>A 58918-2025</t>
        </is>
      </c>
      <c r="B943" s="1" t="n">
        <v>45987.52952546296</v>
      </c>
      <c r="C943" s="1" t="n">
        <v>46084</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9513-2026</t>
        </is>
      </c>
      <c r="B944" s="1" t="n">
        <v>46071.59444444445</v>
      </c>
      <c r="C944" s="1" t="n">
        <v>46084</v>
      </c>
      <c r="D944" t="inlineStr">
        <is>
          <t>JÄMTLANDS LÄN</t>
        </is>
      </c>
      <c r="E944" t="inlineStr">
        <is>
          <t>RAGUNDA</t>
        </is>
      </c>
      <c r="F944" t="inlineStr">
        <is>
          <t>SCA</t>
        </is>
      </c>
      <c r="G944" t="n">
        <v>26.1</v>
      </c>
      <c r="H944" t="n">
        <v>0</v>
      </c>
      <c r="I944" t="n">
        <v>0</v>
      </c>
      <c r="J944" t="n">
        <v>0</v>
      </c>
      <c r="K944" t="n">
        <v>0</v>
      </c>
      <c r="L944" t="n">
        <v>0</v>
      </c>
      <c r="M944" t="n">
        <v>0</v>
      </c>
      <c r="N944" t="n">
        <v>0</v>
      </c>
      <c r="O944" t="n">
        <v>0</v>
      </c>
      <c r="P944" t="n">
        <v>0</v>
      </c>
      <c r="Q944" t="n">
        <v>0</v>
      </c>
      <c r="R944" s="2" t="inlineStr"/>
    </row>
    <row r="945" ht="15" customHeight="1">
      <c r="A945" t="inlineStr">
        <is>
          <t>A 12805-2025</t>
        </is>
      </c>
      <c r="B945" s="1" t="n">
        <v>45733.61497685185</v>
      </c>
      <c r="C945" s="1" t="n">
        <v>46084</v>
      </c>
      <c r="D945" t="inlineStr">
        <is>
          <t>JÄMTLANDS LÄN</t>
        </is>
      </c>
      <c r="E945" t="inlineStr">
        <is>
          <t>RAGUNDA</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12808-2025</t>
        </is>
      </c>
      <c r="B946" s="1" t="n">
        <v>45733.61554398148</v>
      </c>
      <c r="C946" s="1" t="n">
        <v>46084</v>
      </c>
      <c r="D946" t="inlineStr">
        <is>
          <t>JÄMTLANDS LÄN</t>
        </is>
      </c>
      <c r="E946" t="inlineStr">
        <is>
          <t>RAGUNDA</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58638-2025</t>
        </is>
      </c>
      <c r="B947" s="1" t="n">
        <v>45986.49016203704</v>
      </c>
      <c r="C947" s="1" t="n">
        <v>46084</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4615-2023</t>
        </is>
      </c>
      <c r="B948" s="1" t="n">
        <v>44956.93924768519</v>
      </c>
      <c r="C948" s="1" t="n">
        <v>46084</v>
      </c>
      <c r="D948" t="inlineStr">
        <is>
          <t>JÄMTLANDS LÄN</t>
        </is>
      </c>
      <c r="E948" t="inlineStr">
        <is>
          <t>RAGUNDA</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9537-2026</t>
        </is>
      </c>
      <c r="B949" s="1" t="n">
        <v>46071.61503472222</v>
      </c>
      <c r="C949" s="1" t="n">
        <v>46084</v>
      </c>
      <c r="D949" t="inlineStr">
        <is>
          <t>JÄMTLANDS LÄN</t>
        </is>
      </c>
      <c r="E949" t="inlineStr">
        <is>
          <t>RAGUNDA</t>
        </is>
      </c>
      <c r="G949" t="n">
        <v>0.7</v>
      </c>
      <c r="H949" t="n">
        <v>0</v>
      </c>
      <c r="I949" t="n">
        <v>0</v>
      </c>
      <c r="J949" t="n">
        <v>0</v>
      </c>
      <c r="K949" t="n">
        <v>0</v>
      </c>
      <c r="L949" t="n">
        <v>0</v>
      </c>
      <c r="M949" t="n">
        <v>0</v>
      </c>
      <c r="N949" t="n">
        <v>0</v>
      </c>
      <c r="O949" t="n">
        <v>0</v>
      </c>
      <c r="P949" t="n">
        <v>0</v>
      </c>
      <c r="Q949" t="n">
        <v>0</v>
      </c>
      <c r="R949" s="2" t="inlineStr"/>
    </row>
    <row r="950" ht="15" customHeight="1">
      <c r="A950" t="inlineStr">
        <is>
          <t>A 5938-2025</t>
        </is>
      </c>
      <c r="B950" s="1" t="n">
        <v>45695.45868055556</v>
      </c>
      <c r="C950" s="1" t="n">
        <v>46084</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16529-2022</t>
        </is>
      </c>
      <c r="B951" s="1" t="n">
        <v>44671</v>
      </c>
      <c r="C951" s="1" t="n">
        <v>46084</v>
      </c>
      <c r="D951" t="inlineStr">
        <is>
          <t>JÄMTLANDS LÄN</t>
        </is>
      </c>
      <c r="E951" t="inlineStr">
        <is>
          <t>RAGUNDA</t>
        </is>
      </c>
      <c r="G951" t="n">
        <v>1.5</v>
      </c>
      <c r="H951" t="n">
        <v>0</v>
      </c>
      <c r="I951" t="n">
        <v>0</v>
      </c>
      <c r="J951" t="n">
        <v>0</v>
      </c>
      <c r="K951" t="n">
        <v>0</v>
      </c>
      <c r="L951" t="n">
        <v>0</v>
      </c>
      <c r="M951" t="n">
        <v>0</v>
      </c>
      <c r="N951" t="n">
        <v>0</v>
      </c>
      <c r="O951" t="n">
        <v>0</v>
      </c>
      <c r="P951" t="n">
        <v>0</v>
      </c>
      <c r="Q951" t="n">
        <v>0</v>
      </c>
      <c r="R951" s="2" t="inlineStr"/>
    </row>
    <row r="952" ht="15" customHeight="1">
      <c r="A952" t="inlineStr">
        <is>
          <t>A 4125-2024</t>
        </is>
      </c>
      <c r="B952" s="1" t="n">
        <v>45323</v>
      </c>
      <c r="C952" s="1" t="n">
        <v>46084</v>
      </c>
      <c r="D952" t="inlineStr">
        <is>
          <t>JÄMTLANDS LÄN</t>
        </is>
      </c>
      <c r="E952" t="inlineStr">
        <is>
          <t>RAGUNDA</t>
        </is>
      </c>
      <c r="G952" t="n">
        <v>1</v>
      </c>
      <c r="H952" t="n">
        <v>0</v>
      </c>
      <c r="I952" t="n">
        <v>0</v>
      </c>
      <c r="J952" t="n">
        <v>0</v>
      </c>
      <c r="K952" t="n">
        <v>0</v>
      </c>
      <c r="L952" t="n">
        <v>0</v>
      </c>
      <c r="M952" t="n">
        <v>0</v>
      </c>
      <c r="N952" t="n">
        <v>0</v>
      </c>
      <c r="O952" t="n">
        <v>0</v>
      </c>
      <c r="P952" t="n">
        <v>0</v>
      </c>
      <c r="Q952" t="n">
        <v>0</v>
      </c>
      <c r="R952" s="2" t="inlineStr"/>
    </row>
    <row r="953" ht="15" customHeight="1">
      <c r="A953" t="inlineStr">
        <is>
          <t>A 53549-2024</t>
        </is>
      </c>
      <c r="B953" s="1" t="n">
        <v>45614.63869212963</v>
      </c>
      <c r="C953" s="1" t="n">
        <v>46084</v>
      </c>
      <c r="D953" t="inlineStr">
        <is>
          <t>JÄMTLANDS LÄN</t>
        </is>
      </c>
      <c r="E953" t="inlineStr">
        <is>
          <t>RAGUNDA</t>
        </is>
      </c>
      <c r="F953" t="inlineStr">
        <is>
          <t>Kyrkan</t>
        </is>
      </c>
      <c r="G953" t="n">
        <v>1.7</v>
      </c>
      <c r="H953" t="n">
        <v>0</v>
      </c>
      <c r="I953" t="n">
        <v>0</v>
      </c>
      <c r="J953" t="n">
        <v>0</v>
      </c>
      <c r="K953" t="n">
        <v>0</v>
      </c>
      <c r="L953" t="n">
        <v>0</v>
      </c>
      <c r="M953" t="n">
        <v>0</v>
      </c>
      <c r="N953" t="n">
        <v>0</v>
      </c>
      <c r="O953" t="n">
        <v>0</v>
      </c>
      <c r="P953" t="n">
        <v>0</v>
      </c>
      <c r="Q953" t="n">
        <v>0</v>
      </c>
      <c r="R953" s="2" t="inlineStr"/>
    </row>
    <row r="954" ht="15" customHeight="1">
      <c r="A954" t="inlineStr">
        <is>
          <t>A 10090-2026</t>
        </is>
      </c>
      <c r="B954" s="1" t="n">
        <v>46073.69875</v>
      </c>
      <c r="C954" s="1" t="n">
        <v>46084</v>
      </c>
      <c r="D954" t="inlineStr">
        <is>
          <t>JÄMTLANDS LÄN</t>
        </is>
      </c>
      <c r="E954" t="inlineStr">
        <is>
          <t>RAGUNDA</t>
        </is>
      </c>
      <c r="G954" t="n">
        <v>0.8</v>
      </c>
      <c r="H954" t="n">
        <v>0</v>
      </c>
      <c r="I954" t="n">
        <v>0</v>
      </c>
      <c r="J954" t="n">
        <v>0</v>
      </c>
      <c r="K954" t="n">
        <v>0</v>
      </c>
      <c r="L954" t="n">
        <v>0</v>
      </c>
      <c r="M954" t="n">
        <v>0</v>
      </c>
      <c r="N954" t="n">
        <v>0</v>
      </c>
      <c r="O954" t="n">
        <v>0</v>
      </c>
      <c r="P954" t="n">
        <v>0</v>
      </c>
      <c r="Q954" t="n">
        <v>0</v>
      </c>
      <c r="R954" s="2" t="inlineStr"/>
    </row>
    <row r="955" ht="15" customHeight="1">
      <c r="A955" t="inlineStr">
        <is>
          <t>A 58559-2025</t>
        </is>
      </c>
      <c r="B955" s="1" t="n">
        <v>45986.34475694445</v>
      </c>
      <c r="C955" s="1" t="n">
        <v>46084</v>
      </c>
      <c r="D955" t="inlineStr">
        <is>
          <t>JÄMTLANDS LÄN</t>
        </is>
      </c>
      <c r="E955" t="inlineStr">
        <is>
          <t>RAGUNDA</t>
        </is>
      </c>
      <c r="F955" t="inlineStr">
        <is>
          <t>SCA</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7284-2025</t>
        </is>
      </c>
      <c r="B956" s="1" t="n">
        <v>45702.63604166666</v>
      </c>
      <c r="C956" s="1" t="n">
        <v>46084</v>
      </c>
      <c r="D956" t="inlineStr">
        <is>
          <t>JÄMTLANDS LÄN</t>
        </is>
      </c>
      <c r="E956" t="inlineStr">
        <is>
          <t>RAGUNDA</t>
        </is>
      </c>
      <c r="F956" t="inlineStr">
        <is>
          <t>SCA</t>
        </is>
      </c>
      <c r="G956" t="n">
        <v>0.3</v>
      </c>
      <c r="H956" t="n">
        <v>0</v>
      </c>
      <c r="I956" t="n">
        <v>0</v>
      </c>
      <c r="J956" t="n">
        <v>0</v>
      </c>
      <c r="K956" t="n">
        <v>0</v>
      </c>
      <c r="L956" t="n">
        <v>0</v>
      </c>
      <c r="M956" t="n">
        <v>0</v>
      </c>
      <c r="N956" t="n">
        <v>0</v>
      </c>
      <c r="O956" t="n">
        <v>0</v>
      </c>
      <c r="P956" t="n">
        <v>0</v>
      </c>
      <c r="Q956" t="n">
        <v>0</v>
      </c>
      <c r="R956" s="2" t="inlineStr"/>
    </row>
    <row r="957" ht="15" customHeight="1">
      <c r="A957" t="inlineStr">
        <is>
          <t>A 31506-2024</t>
        </is>
      </c>
      <c r="B957" s="1" t="n">
        <v>45505</v>
      </c>
      <c r="C957" s="1" t="n">
        <v>46084</v>
      </c>
      <c r="D957" t="inlineStr">
        <is>
          <t>JÄMTLANDS LÄN</t>
        </is>
      </c>
      <c r="E957" t="inlineStr">
        <is>
          <t>RAGUNDA</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59214-2025</t>
        </is>
      </c>
      <c r="B958" s="1" t="n">
        <v>45988.61623842592</v>
      </c>
      <c r="C958" s="1" t="n">
        <v>46084</v>
      </c>
      <c r="D958" t="inlineStr">
        <is>
          <t>JÄMTLANDS LÄN</t>
        </is>
      </c>
      <c r="E958" t="inlineStr">
        <is>
          <t>RAGUNDA</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59499-2025</t>
        </is>
      </c>
      <c r="B959" s="1" t="n">
        <v>45989.61846064815</v>
      </c>
      <c r="C959" s="1" t="n">
        <v>46084</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61934-2022</t>
        </is>
      </c>
      <c r="B960" s="1" t="n">
        <v>44917</v>
      </c>
      <c r="C960" s="1" t="n">
        <v>46084</v>
      </c>
      <c r="D960" t="inlineStr">
        <is>
          <t>JÄMTLANDS LÄN</t>
        </is>
      </c>
      <c r="E960" t="inlineStr">
        <is>
          <t>RAGUNDA</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59491-2025</t>
        </is>
      </c>
      <c r="B961" s="1" t="n">
        <v>45989.60376157407</v>
      </c>
      <c r="C961" s="1" t="n">
        <v>46084</v>
      </c>
      <c r="D961" t="inlineStr">
        <is>
          <t>JÄMTLANDS LÄN</t>
        </is>
      </c>
      <c r="E961" t="inlineStr">
        <is>
          <t>RAGUNDA</t>
        </is>
      </c>
      <c r="G961" t="n">
        <v>0.9</v>
      </c>
      <c r="H961" t="n">
        <v>0</v>
      </c>
      <c r="I961" t="n">
        <v>0</v>
      </c>
      <c r="J961" t="n">
        <v>0</v>
      </c>
      <c r="K961" t="n">
        <v>0</v>
      </c>
      <c r="L961" t="n">
        <v>0</v>
      </c>
      <c r="M961" t="n">
        <v>0</v>
      </c>
      <c r="N961" t="n">
        <v>0</v>
      </c>
      <c r="O961" t="n">
        <v>0</v>
      </c>
      <c r="P961" t="n">
        <v>0</v>
      </c>
      <c r="Q961" t="n">
        <v>0</v>
      </c>
      <c r="R961" s="2" t="inlineStr"/>
    </row>
    <row r="962" ht="15" customHeight="1">
      <c r="A962" t="inlineStr">
        <is>
          <t>A 19382-2025</t>
        </is>
      </c>
      <c r="B962" s="1" t="n">
        <v>45769.65659722222</v>
      </c>
      <c r="C962" s="1" t="n">
        <v>46084</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8678-2023</t>
        </is>
      </c>
      <c r="B963" s="1" t="n">
        <v>44977.98660879629</v>
      </c>
      <c r="C963" s="1" t="n">
        <v>46084</v>
      </c>
      <c r="D963" t="inlineStr">
        <is>
          <t>JÄMTLANDS LÄN</t>
        </is>
      </c>
      <c r="E963" t="inlineStr">
        <is>
          <t>RAGUNDA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37479-2023</t>
        </is>
      </c>
      <c r="B964" s="1" t="n">
        <v>45156</v>
      </c>
      <c r="C964" s="1" t="n">
        <v>46084</v>
      </c>
      <c r="D964" t="inlineStr">
        <is>
          <t>JÄMTLANDS LÄN</t>
        </is>
      </c>
      <c r="E964" t="inlineStr">
        <is>
          <t>RAGUNDA</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59503-2025</t>
        </is>
      </c>
      <c r="B965" s="1" t="n">
        <v>45989.62703703704</v>
      </c>
      <c r="C965" s="1" t="n">
        <v>46084</v>
      </c>
      <c r="D965" t="inlineStr">
        <is>
          <t>JÄMTLANDS LÄN</t>
        </is>
      </c>
      <c r="E965" t="inlineStr">
        <is>
          <t>RAGUNDA</t>
        </is>
      </c>
      <c r="G965" t="n">
        <v>0.6</v>
      </c>
      <c r="H965" t="n">
        <v>0</v>
      </c>
      <c r="I965" t="n">
        <v>0</v>
      </c>
      <c r="J965" t="n">
        <v>0</v>
      </c>
      <c r="K965" t="n">
        <v>0</v>
      </c>
      <c r="L965" t="n">
        <v>0</v>
      </c>
      <c r="M965" t="n">
        <v>0</v>
      </c>
      <c r="N965" t="n">
        <v>0</v>
      </c>
      <c r="O965" t="n">
        <v>0</v>
      </c>
      <c r="P965" t="n">
        <v>0</v>
      </c>
      <c r="Q965" t="n">
        <v>0</v>
      </c>
      <c r="R965" s="2" t="inlineStr"/>
    </row>
    <row r="966" ht="15" customHeight="1">
      <c r="A966" t="inlineStr">
        <is>
          <t>A 59692-2025</t>
        </is>
      </c>
      <c r="B966" s="1" t="n">
        <v>45992.49001157407</v>
      </c>
      <c r="C966" s="1" t="n">
        <v>46084</v>
      </c>
      <c r="D966" t="inlineStr">
        <is>
          <t>JÄMTLANDS LÄN</t>
        </is>
      </c>
      <c r="E966" t="inlineStr">
        <is>
          <t>RAGUNDA</t>
        </is>
      </c>
      <c r="G966" t="n">
        <v>2.7</v>
      </c>
      <c r="H966" t="n">
        <v>0</v>
      </c>
      <c r="I966" t="n">
        <v>0</v>
      </c>
      <c r="J966" t="n">
        <v>0</v>
      </c>
      <c r="K966" t="n">
        <v>0</v>
      </c>
      <c r="L966" t="n">
        <v>0</v>
      </c>
      <c r="M966" t="n">
        <v>0</v>
      </c>
      <c r="N966" t="n">
        <v>0</v>
      </c>
      <c r="O966" t="n">
        <v>0</v>
      </c>
      <c r="P966" t="n">
        <v>0</v>
      </c>
      <c r="Q966" t="n">
        <v>0</v>
      </c>
      <c r="R966" s="2" t="inlineStr"/>
    </row>
    <row r="967" ht="15" customHeight="1">
      <c r="A967" t="inlineStr">
        <is>
          <t>A 9736-2026</t>
        </is>
      </c>
      <c r="B967" s="1" t="n">
        <v>46072.49005787037</v>
      </c>
      <c r="C967" s="1" t="n">
        <v>46084</v>
      </c>
      <c r="D967" t="inlineStr">
        <is>
          <t>JÄMTLANDS LÄN</t>
        </is>
      </c>
      <c r="E967" t="inlineStr">
        <is>
          <t>RAGUNDA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4866-2025</t>
        </is>
      </c>
      <c r="B968" s="1" t="n">
        <v>45688.67542824074</v>
      </c>
      <c r="C968" s="1" t="n">
        <v>46084</v>
      </c>
      <c r="D968" t="inlineStr">
        <is>
          <t>JÄMTLANDS LÄN</t>
        </is>
      </c>
      <c r="E968" t="inlineStr">
        <is>
          <t>RAGUNDA</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59738-2025</t>
        </is>
      </c>
      <c r="B969" s="1" t="n">
        <v>45992.57408564815</v>
      </c>
      <c r="C969" s="1" t="n">
        <v>46084</v>
      </c>
      <c r="D969" t="inlineStr">
        <is>
          <t>JÄMTLANDS LÄN</t>
        </is>
      </c>
      <c r="E969" t="inlineStr">
        <is>
          <t>RAGUNDA</t>
        </is>
      </c>
      <c r="F969" t="inlineStr">
        <is>
          <t>SCA</t>
        </is>
      </c>
      <c r="G969" t="n">
        <v>12.5</v>
      </c>
      <c r="H969" t="n">
        <v>0</v>
      </c>
      <c r="I969" t="n">
        <v>0</v>
      </c>
      <c r="J969" t="n">
        <v>0</v>
      </c>
      <c r="K969" t="n">
        <v>0</v>
      </c>
      <c r="L969" t="n">
        <v>0</v>
      </c>
      <c r="M969" t="n">
        <v>0</v>
      </c>
      <c r="N969" t="n">
        <v>0</v>
      </c>
      <c r="O969" t="n">
        <v>0</v>
      </c>
      <c r="P969" t="n">
        <v>0</v>
      </c>
      <c r="Q969" t="n">
        <v>0</v>
      </c>
      <c r="R969" s="2" t="inlineStr"/>
    </row>
    <row r="970" ht="15" customHeight="1">
      <c r="A970" t="inlineStr">
        <is>
          <t>A 59739-2025</t>
        </is>
      </c>
      <c r="B970" s="1" t="n">
        <v>45992.57417824074</v>
      </c>
      <c r="C970" s="1" t="n">
        <v>46084</v>
      </c>
      <c r="D970" t="inlineStr">
        <is>
          <t>JÄMTLANDS LÄN</t>
        </is>
      </c>
      <c r="E970" t="inlineStr">
        <is>
          <t>RAGUNDA</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59740-2025</t>
        </is>
      </c>
      <c r="B971" s="1" t="n">
        <v>45992.5743287037</v>
      </c>
      <c r="C971" s="1" t="n">
        <v>46084</v>
      </c>
      <c r="D971" t="inlineStr">
        <is>
          <t>JÄMTLANDS LÄN</t>
        </is>
      </c>
      <c r="E971" t="inlineStr">
        <is>
          <t>RAGUNDA</t>
        </is>
      </c>
      <c r="F971" t="inlineStr">
        <is>
          <t>SCA</t>
        </is>
      </c>
      <c r="G971" t="n">
        <v>14.1</v>
      </c>
      <c r="H971" t="n">
        <v>0</v>
      </c>
      <c r="I971" t="n">
        <v>0</v>
      </c>
      <c r="J971" t="n">
        <v>0</v>
      </c>
      <c r="K971" t="n">
        <v>0</v>
      </c>
      <c r="L971" t="n">
        <v>0</v>
      </c>
      <c r="M971" t="n">
        <v>0</v>
      </c>
      <c r="N971" t="n">
        <v>0</v>
      </c>
      <c r="O971" t="n">
        <v>0</v>
      </c>
      <c r="P971" t="n">
        <v>0</v>
      </c>
      <c r="Q971" t="n">
        <v>0</v>
      </c>
      <c r="R971" s="2" t="inlineStr"/>
    </row>
    <row r="972" ht="15" customHeight="1">
      <c r="A972" t="inlineStr">
        <is>
          <t>A 59931-2025</t>
        </is>
      </c>
      <c r="B972" s="1" t="n">
        <v>45993.40177083333</v>
      </c>
      <c r="C972" s="1" t="n">
        <v>46084</v>
      </c>
      <c r="D972" t="inlineStr">
        <is>
          <t>JÄMTLANDS LÄN</t>
        </is>
      </c>
      <c r="E972" t="inlineStr">
        <is>
          <t>RAGUNDA</t>
        </is>
      </c>
      <c r="G972" t="n">
        <v>4</v>
      </c>
      <c r="H972" t="n">
        <v>0</v>
      </c>
      <c r="I972" t="n">
        <v>0</v>
      </c>
      <c r="J972" t="n">
        <v>0</v>
      </c>
      <c r="K972" t="n">
        <v>0</v>
      </c>
      <c r="L972" t="n">
        <v>0</v>
      </c>
      <c r="M972" t="n">
        <v>0</v>
      </c>
      <c r="N972" t="n">
        <v>0</v>
      </c>
      <c r="O972" t="n">
        <v>0</v>
      </c>
      <c r="P972" t="n">
        <v>0</v>
      </c>
      <c r="Q972" t="n">
        <v>0</v>
      </c>
      <c r="R972" s="2" t="inlineStr"/>
    </row>
    <row r="973" ht="15" customHeight="1">
      <c r="A973" t="inlineStr">
        <is>
          <t>A 1333-2026</t>
        </is>
      </c>
      <c r="B973" s="1" t="n">
        <v>46031.57340277778</v>
      </c>
      <c r="C973" s="1" t="n">
        <v>46084</v>
      </c>
      <c r="D973" t="inlineStr">
        <is>
          <t>JÄMTLANDS LÄN</t>
        </is>
      </c>
      <c r="E973" t="inlineStr">
        <is>
          <t>RAGUNDA</t>
        </is>
      </c>
      <c r="F973" t="inlineStr">
        <is>
          <t>SCA</t>
        </is>
      </c>
      <c r="G973" t="n">
        <v>6.2</v>
      </c>
      <c r="H973" t="n">
        <v>0</v>
      </c>
      <c r="I973" t="n">
        <v>0</v>
      </c>
      <c r="J973" t="n">
        <v>0</v>
      </c>
      <c r="K973" t="n">
        <v>0</v>
      </c>
      <c r="L973" t="n">
        <v>0</v>
      </c>
      <c r="M973" t="n">
        <v>0</v>
      </c>
      <c r="N973" t="n">
        <v>0</v>
      </c>
      <c r="O973" t="n">
        <v>0</v>
      </c>
      <c r="P973" t="n">
        <v>0</v>
      </c>
      <c r="Q973" t="n">
        <v>0</v>
      </c>
      <c r="R973" s="2" t="inlineStr"/>
    </row>
    <row r="974" ht="15" customHeight="1">
      <c r="A974" t="inlineStr">
        <is>
          <t>A 59693-2025</t>
        </is>
      </c>
      <c r="B974" s="1" t="n">
        <v>45992.49009259259</v>
      </c>
      <c r="C974" s="1" t="n">
        <v>46084</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10344-2026</t>
        </is>
      </c>
      <c r="B975" s="1" t="n">
        <v>46076.68523148148</v>
      </c>
      <c r="C975" s="1" t="n">
        <v>46084</v>
      </c>
      <c r="D975" t="inlineStr">
        <is>
          <t>JÄMTLANDS LÄN</t>
        </is>
      </c>
      <c r="E975" t="inlineStr">
        <is>
          <t>RAGUNDA</t>
        </is>
      </c>
      <c r="G975" t="n">
        <v>2.6</v>
      </c>
      <c r="H975" t="n">
        <v>0</v>
      </c>
      <c r="I975" t="n">
        <v>0</v>
      </c>
      <c r="J975" t="n">
        <v>0</v>
      </c>
      <c r="K975" t="n">
        <v>0</v>
      </c>
      <c r="L975" t="n">
        <v>0</v>
      </c>
      <c r="M975" t="n">
        <v>0</v>
      </c>
      <c r="N975" t="n">
        <v>0</v>
      </c>
      <c r="O975" t="n">
        <v>0</v>
      </c>
      <c r="P975" t="n">
        <v>0</v>
      </c>
      <c r="Q975" t="n">
        <v>0</v>
      </c>
      <c r="R975" s="2" t="inlineStr"/>
    </row>
    <row r="976" ht="15" customHeight="1">
      <c r="A976" t="inlineStr">
        <is>
          <t>A 11780-2024</t>
        </is>
      </c>
      <c r="B976" s="1" t="n">
        <v>45374</v>
      </c>
      <c r="C976" s="1" t="n">
        <v>46084</v>
      </c>
      <c r="D976" t="inlineStr">
        <is>
          <t>JÄMTLANDS LÄN</t>
        </is>
      </c>
      <c r="E976" t="inlineStr">
        <is>
          <t>RAGUNDA</t>
        </is>
      </c>
      <c r="G976" t="n">
        <v>14.6</v>
      </c>
      <c r="H976" t="n">
        <v>0</v>
      </c>
      <c r="I976" t="n">
        <v>0</v>
      </c>
      <c r="J976" t="n">
        <v>0</v>
      </c>
      <c r="K976" t="n">
        <v>0</v>
      </c>
      <c r="L976" t="n">
        <v>0</v>
      </c>
      <c r="M976" t="n">
        <v>0</v>
      </c>
      <c r="N976" t="n">
        <v>0</v>
      </c>
      <c r="O976" t="n">
        <v>0</v>
      </c>
      <c r="P976" t="n">
        <v>0</v>
      </c>
      <c r="Q976" t="n">
        <v>0</v>
      </c>
      <c r="R976" s="2" t="inlineStr"/>
    </row>
    <row r="977" ht="15" customHeight="1">
      <c r="A977" t="inlineStr">
        <is>
          <t>A 60062-2025</t>
        </is>
      </c>
      <c r="B977" s="1" t="n">
        <v>45993.65694444445</v>
      </c>
      <c r="C977" s="1" t="n">
        <v>46084</v>
      </c>
      <c r="D977" t="inlineStr">
        <is>
          <t>JÄMTLANDS LÄN</t>
        </is>
      </c>
      <c r="E977" t="inlineStr">
        <is>
          <t>RAGUNDA</t>
        </is>
      </c>
      <c r="F977" t="inlineStr">
        <is>
          <t>SCA</t>
        </is>
      </c>
      <c r="G977" t="n">
        <v>5.8</v>
      </c>
      <c r="H977" t="n">
        <v>0</v>
      </c>
      <c r="I977" t="n">
        <v>0</v>
      </c>
      <c r="J977" t="n">
        <v>0</v>
      </c>
      <c r="K977" t="n">
        <v>0</v>
      </c>
      <c r="L977" t="n">
        <v>0</v>
      </c>
      <c r="M977" t="n">
        <v>0</v>
      </c>
      <c r="N977" t="n">
        <v>0</v>
      </c>
      <c r="O977" t="n">
        <v>0</v>
      </c>
      <c r="P977" t="n">
        <v>0</v>
      </c>
      <c r="Q977" t="n">
        <v>0</v>
      </c>
      <c r="R977" s="2" t="inlineStr"/>
    </row>
    <row r="978" ht="15" customHeight="1">
      <c r="A978" t="inlineStr">
        <is>
          <t>A 28742-2023</t>
        </is>
      </c>
      <c r="B978" s="1" t="n">
        <v>45103</v>
      </c>
      <c r="C978" s="1" t="n">
        <v>46084</v>
      </c>
      <c r="D978" t="inlineStr">
        <is>
          <t>JÄMTLANDS LÄN</t>
        </is>
      </c>
      <c r="E978" t="inlineStr">
        <is>
          <t>RAGUNDA</t>
        </is>
      </c>
      <c r="G978" t="n">
        <v>1.8</v>
      </c>
      <c r="H978" t="n">
        <v>0</v>
      </c>
      <c r="I978" t="n">
        <v>0</v>
      </c>
      <c r="J978" t="n">
        <v>0</v>
      </c>
      <c r="K978" t="n">
        <v>0</v>
      </c>
      <c r="L978" t="n">
        <v>0</v>
      </c>
      <c r="M978" t="n">
        <v>0</v>
      </c>
      <c r="N978" t="n">
        <v>0</v>
      </c>
      <c r="O978" t="n">
        <v>0</v>
      </c>
      <c r="P978" t="n">
        <v>0</v>
      </c>
      <c r="Q978" t="n">
        <v>0</v>
      </c>
      <c r="R978" s="2" t="inlineStr"/>
    </row>
    <row r="979" ht="15" customHeight="1">
      <c r="A979" t="inlineStr">
        <is>
          <t>A 17323-2025</t>
        </is>
      </c>
      <c r="B979" s="1" t="n">
        <v>45756.63601851852</v>
      </c>
      <c r="C979" s="1" t="n">
        <v>46084</v>
      </c>
      <c r="D979" t="inlineStr">
        <is>
          <t>JÄMTLANDS LÄN</t>
        </is>
      </c>
      <c r="E979" t="inlineStr">
        <is>
          <t>RAGUNDA</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50160-2023</t>
        </is>
      </c>
      <c r="B980" s="1" t="n">
        <v>45208</v>
      </c>
      <c r="C980" s="1" t="n">
        <v>46084</v>
      </c>
      <c r="D980" t="inlineStr">
        <is>
          <t>JÄMTLANDS LÄN</t>
        </is>
      </c>
      <c r="E980" t="inlineStr">
        <is>
          <t>RAGUNDA</t>
        </is>
      </c>
      <c r="G980" t="n">
        <v>4.6</v>
      </c>
      <c r="H980" t="n">
        <v>0</v>
      </c>
      <c r="I980" t="n">
        <v>0</v>
      </c>
      <c r="J980" t="n">
        <v>0</v>
      </c>
      <c r="K980" t="n">
        <v>0</v>
      </c>
      <c r="L980" t="n">
        <v>0</v>
      </c>
      <c r="M980" t="n">
        <v>0</v>
      </c>
      <c r="N980" t="n">
        <v>0</v>
      </c>
      <c r="O980" t="n">
        <v>0</v>
      </c>
      <c r="P980" t="n">
        <v>0</v>
      </c>
      <c r="Q980" t="n">
        <v>0</v>
      </c>
      <c r="R980" s="2" t="inlineStr"/>
    </row>
    <row r="981" ht="15" customHeight="1">
      <c r="A981" t="inlineStr">
        <is>
          <t>A 11288-2022</t>
        </is>
      </c>
      <c r="B981" s="1" t="n">
        <v>44629</v>
      </c>
      <c r="C981" s="1" t="n">
        <v>46084</v>
      </c>
      <c r="D981" t="inlineStr">
        <is>
          <t>JÄMTLANDS LÄN</t>
        </is>
      </c>
      <c r="E981" t="inlineStr">
        <is>
          <t>RAGUNDA</t>
        </is>
      </c>
      <c r="G981" t="n">
        <v>4.9</v>
      </c>
      <c r="H981" t="n">
        <v>0</v>
      </c>
      <c r="I981" t="n">
        <v>0</v>
      </c>
      <c r="J981" t="n">
        <v>0</v>
      </c>
      <c r="K981" t="n">
        <v>0</v>
      </c>
      <c r="L981" t="n">
        <v>0</v>
      </c>
      <c r="M981" t="n">
        <v>0</v>
      </c>
      <c r="N981" t="n">
        <v>0</v>
      </c>
      <c r="O981" t="n">
        <v>0</v>
      </c>
      <c r="P981" t="n">
        <v>0</v>
      </c>
      <c r="Q981" t="n">
        <v>0</v>
      </c>
      <c r="R981" s="2" t="inlineStr"/>
    </row>
    <row r="982" ht="15" customHeight="1">
      <c r="A982" t="inlineStr">
        <is>
          <t>A 18984-2023</t>
        </is>
      </c>
      <c r="B982" s="1" t="n">
        <v>45044</v>
      </c>
      <c r="C982" s="1" t="n">
        <v>46084</v>
      </c>
      <c r="D982" t="inlineStr">
        <is>
          <t>JÄMTLANDS LÄN</t>
        </is>
      </c>
      <c r="E982" t="inlineStr">
        <is>
          <t>RAGUNDA</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66011-2021</t>
        </is>
      </c>
      <c r="B983" s="1" t="n">
        <v>44517.58137731482</v>
      </c>
      <c r="C983" s="1" t="n">
        <v>46084</v>
      </c>
      <c r="D983" t="inlineStr">
        <is>
          <t>JÄMTLANDS LÄN</t>
        </is>
      </c>
      <c r="E983" t="inlineStr">
        <is>
          <t>RAGUNDA</t>
        </is>
      </c>
      <c r="G983" t="n">
        <v>1.1</v>
      </c>
      <c r="H983" t="n">
        <v>0</v>
      </c>
      <c r="I983" t="n">
        <v>0</v>
      </c>
      <c r="J983" t="n">
        <v>0</v>
      </c>
      <c r="K983" t="n">
        <v>0</v>
      </c>
      <c r="L983" t="n">
        <v>0</v>
      </c>
      <c r="M983" t="n">
        <v>0</v>
      </c>
      <c r="N983" t="n">
        <v>0</v>
      </c>
      <c r="O983" t="n">
        <v>0</v>
      </c>
      <c r="P983" t="n">
        <v>0</v>
      </c>
      <c r="Q983" t="n">
        <v>0</v>
      </c>
      <c r="R983" s="2" t="inlineStr"/>
    </row>
    <row r="984" ht="15" customHeight="1">
      <c r="A984" t="inlineStr">
        <is>
          <t>A 60128-2025</t>
        </is>
      </c>
      <c r="B984" s="1" t="n">
        <v>45994.34456018519</v>
      </c>
      <c r="C984" s="1" t="n">
        <v>46084</v>
      </c>
      <c r="D984" t="inlineStr">
        <is>
          <t>JÄMTLANDS LÄN</t>
        </is>
      </c>
      <c r="E984" t="inlineStr">
        <is>
          <t>RAGUNDA</t>
        </is>
      </c>
      <c r="G984" t="n">
        <v>7.1</v>
      </c>
      <c r="H984" t="n">
        <v>0</v>
      </c>
      <c r="I984" t="n">
        <v>0</v>
      </c>
      <c r="J984" t="n">
        <v>0</v>
      </c>
      <c r="K984" t="n">
        <v>0</v>
      </c>
      <c r="L984" t="n">
        <v>0</v>
      </c>
      <c r="M984" t="n">
        <v>0</v>
      </c>
      <c r="N984" t="n">
        <v>0</v>
      </c>
      <c r="O984" t="n">
        <v>0</v>
      </c>
      <c r="P984" t="n">
        <v>0</v>
      </c>
      <c r="Q984" t="n">
        <v>0</v>
      </c>
      <c r="R984" s="2" t="inlineStr"/>
    </row>
    <row r="985" ht="15" customHeight="1">
      <c r="A985" t="inlineStr">
        <is>
          <t>A 50157-2023</t>
        </is>
      </c>
      <c r="B985" s="1" t="n">
        <v>45208</v>
      </c>
      <c r="C985" s="1" t="n">
        <v>46084</v>
      </c>
      <c r="D985" t="inlineStr">
        <is>
          <t>JÄMTLANDS LÄN</t>
        </is>
      </c>
      <c r="E985" t="inlineStr">
        <is>
          <t>RAGUNDA</t>
        </is>
      </c>
      <c r="G985" t="n">
        <v>0.9</v>
      </c>
      <c r="H985" t="n">
        <v>0</v>
      </c>
      <c r="I985" t="n">
        <v>0</v>
      </c>
      <c r="J985" t="n">
        <v>0</v>
      </c>
      <c r="K985" t="n">
        <v>0</v>
      </c>
      <c r="L985" t="n">
        <v>0</v>
      </c>
      <c r="M985" t="n">
        <v>0</v>
      </c>
      <c r="N985" t="n">
        <v>0</v>
      </c>
      <c r="O985" t="n">
        <v>0</v>
      </c>
      <c r="P985" t="n">
        <v>0</v>
      </c>
      <c r="Q985" t="n">
        <v>0</v>
      </c>
      <c r="R985" s="2" t="inlineStr"/>
    </row>
    <row r="986" ht="15" customHeight="1">
      <c r="A986" t="inlineStr">
        <is>
          <t>A 60389-2025</t>
        </is>
      </c>
      <c r="B986" s="1" t="n">
        <v>45995.38628472222</v>
      </c>
      <c r="C986" s="1" t="n">
        <v>46084</v>
      </c>
      <c r="D986" t="inlineStr">
        <is>
          <t>JÄMTLANDS LÄN</t>
        </is>
      </c>
      <c r="E986" t="inlineStr">
        <is>
          <t>RAGUNDA</t>
        </is>
      </c>
      <c r="G986" t="n">
        <v>3.3</v>
      </c>
      <c r="H986" t="n">
        <v>0</v>
      </c>
      <c r="I986" t="n">
        <v>0</v>
      </c>
      <c r="J986" t="n">
        <v>0</v>
      </c>
      <c r="K986" t="n">
        <v>0</v>
      </c>
      <c r="L986" t="n">
        <v>0</v>
      </c>
      <c r="M986" t="n">
        <v>0</v>
      </c>
      <c r="N986" t="n">
        <v>0</v>
      </c>
      <c r="O986" t="n">
        <v>0</v>
      </c>
      <c r="P986" t="n">
        <v>0</v>
      </c>
      <c r="Q986" t="n">
        <v>0</v>
      </c>
      <c r="R986" s="2" t="inlineStr"/>
    </row>
    <row r="987" ht="15" customHeight="1">
      <c r="A987" t="inlineStr">
        <is>
          <t>A 42509-2023</t>
        </is>
      </c>
      <c r="B987" s="1" t="n">
        <v>45180</v>
      </c>
      <c r="C987" s="1" t="n">
        <v>46084</v>
      </c>
      <c r="D987" t="inlineStr">
        <is>
          <t>JÄMTLANDS LÄN</t>
        </is>
      </c>
      <c r="E987" t="inlineStr">
        <is>
          <t>RAGUNDA</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33615-2023</t>
        </is>
      </c>
      <c r="B988" s="1" t="n">
        <v>45119</v>
      </c>
      <c r="C988" s="1" t="n">
        <v>46084</v>
      </c>
      <c r="D988" t="inlineStr">
        <is>
          <t>JÄMTLANDS LÄN</t>
        </is>
      </c>
      <c r="E988" t="inlineStr">
        <is>
          <t>RAGUNDA</t>
        </is>
      </c>
      <c r="G988" t="n">
        <v>0.9</v>
      </c>
      <c r="H988" t="n">
        <v>0</v>
      </c>
      <c r="I988" t="n">
        <v>0</v>
      </c>
      <c r="J988" t="n">
        <v>0</v>
      </c>
      <c r="K988" t="n">
        <v>0</v>
      </c>
      <c r="L988" t="n">
        <v>0</v>
      </c>
      <c r="M988" t="n">
        <v>0</v>
      </c>
      <c r="N988" t="n">
        <v>0</v>
      </c>
      <c r="O988" t="n">
        <v>0</v>
      </c>
      <c r="P988" t="n">
        <v>0</v>
      </c>
      <c r="Q988" t="n">
        <v>0</v>
      </c>
      <c r="R988" s="2" t="inlineStr"/>
    </row>
    <row r="989" ht="15" customHeight="1">
      <c r="A989" t="inlineStr">
        <is>
          <t>A 60387-2025</t>
        </is>
      </c>
      <c r="B989" s="1" t="n">
        <v>45995.38611111111</v>
      </c>
      <c r="C989" s="1" t="n">
        <v>46084</v>
      </c>
      <c r="D989" t="inlineStr">
        <is>
          <t>JÄMTLANDS LÄN</t>
        </is>
      </c>
      <c r="E989" t="inlineStr">
        <is>
          <t>RAGUNDA</t>
        </is>
      </c>
      <c r="G989" t="n">
        <v>8.5</v>
      </c>
      <c r="H989" t="n">
        <v>0</v>
      </c>
      <c r="I989" t="n">
        <v>0</v>
      </c>
      <c r="J989" t="n">
        <v>0</v>
      </c>
      <c r="K989" t="n">
        <v>0</v>
      </c>
      <c r="L989" t="n">
        <v>0</v>
      </c>
      <c r="M989" t="n">
        <v>0</v>
      </c>
      <c r="N989" t="n">
        <v>0</v>
      </c>
      <c r="O989" t="n">
        <v>0</v>
      </c>
      <c r="P989" t="n">
        <v>0</v>
      </c>
      <c r="Q989" t="n">
        <v>0</v>
      </c>
      <c r="R989" s="2" t="inlineStr"/>
    </row>
    <row r="990" ht="15" customHeight="1">
      <c r="A990" t="inlineStr">
        <is>
          <t>A 42510-2023</t>
        </is>
      </c>
      <c r="B990" s="1" t="n">
        <v>45180.95927083334</v>
      </c>
      <c r="C990" s="1" t="n">
        <v>46084</v>
      </c>
      <c r="D990" t="inlineStr">
        <is>
          <t>JÄMTLANDS LÄN</t>
        </is>
      </c>
      <c r="E990" t="inlineStr">
        <is>
          <t>RAGUNDA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10410-2026</t>
        </is>
      </c>
      <c r="B991" s="1" t="n">
        <v>46077.34527777778</v>
      </c>
      <c r="C991" s="1" t="n">
        <v>46084</v>
      </c>
      <c r="D991" t="inlineStr">
        <is>
          <t>JÄMTLANDS LÄN</t>
        </is>
      </c>
      <c r="E991" t="inlineStr">
        <is>
          <t>RAGUNDA</t>
        </is>
      </c>
      <c r="F991" t="inlineStr">
        <is>
          <t>SCA</t>
        </is>
      </c>
      <c r="G991" t="n">
        <v>46.5</v>
      </c>
      <c r="H991" t="n">
        <v>0</v>
      </c>
      <c r="I991" t="n">
        <v>0</v>
      </c>
      <c r="J991" t="n">
        <v>0</v>
      </c>
      <c r="K991" t="n">
        <v>0</v>
      </c>
      <c r="L991" t="n">
        <v>0</v>
      </c>
      <c r="M991" t="n">
        <v>0</v>
      </c>
      <c r="N991" t="n">
        <v>0</v>
      </c>
      <c r="O991" t="n">
        <v>0</v>
      </c>
      <c r="P991" t="n">
        <v>0</v>
      </c>
      <c r="Q991" t="n">
        <v>0</v>
      </c>
      <c r="R991" s="2" t="inlineStr"/>
    </row>
    <row r="992" ht="15" customHeight="1">
      <c r="A992" t="inlineStr">
        <is>
          <t>A 16364-2023</t>
        </is>
      </c>
      <c r="B992" s="1" t="n">
        <v>45028</v>
      </c>
      <c r="C992" s="1" t="n">
        <v>46084</v>
      </c>
      <c r="D992" t="inlineStr">
        <is>
          <t>JÄMTLANDS LÄN</t>
        </is>
      </c>
      <c r="E992" t="inlineStr">
        <is>
          <t>RAGUNDA</t>
        </is>
      </c>
      <c r="G992" t="n">
        <v>0.5</v>
      </c>
      <c r="H992" t="n">
        <v>0</v>
      </c>
      <c r="I992" t="n">
        <v>0</v>
      </c>
      <c r="J992" t="n">
        <v>0</v>
      </c>
      <c r="K992" t="n">
        <v>0</v>
      </c>
      <c r="L992" t="n">
        <v>0</v>
      </c>
      <c r="M992" t="n">
        <v>0</v>
      </c>
      <c r="N992" t="n">
        <v>0</v>
      </c>
      <c r="O992" t="n">
        <v>0</v>
      </c>
      <c r="P992" t="n">
        <v>0</v>
      </c>
      <c r="Q992" t="n">
        <v>0</v>
      </c>
      <c r="R992" s="2" t="inlineStr"/>
    </row>
    <row r="993" ht="15" customHeight="1">
      <c r="A993" t="inlineStr">
        <is>
          <t>A 60307-2025</t>
        </is>
      </c>
      <c r="B993" s="1" t="n">
        <v>45994.6842824074</v>
      </c>
      <c r="C993" s="1" t="n">
        <v>46084</v>
      </c>
      <c r="D993" t="inlineStr">
        <is>
          <t>JÄMTLANDS LÄN</t>
        </is>
      </c>
      <c r="E993" t="inlineStr">
        <is>
          <t>RAGUNDA</t>
        </is>
      </c>
      <c r="G993" t="n">
        <v>4</v>
      </c>
      <c r="H993" t="n">
        <v>0</v>
      </c>
      <c r="I993" t="n">
        <v>0</v>
      </c>
      <c r="J993" t="n">
        <v>0</v>
      </c>
      <c r="K993" t="n">
        <v>0</v>
      </c>
      <c r="L993" t="n">
        <v>0</v>
      </c>
      <c r="M993" t="n">
        <v>0</v>
      </c>
      <c r="N993" t="n">
        <v>0</v>
      </c>
      <c r="O993" t="n">
        <v>0</v>
      </c>
      <c r="P993" t="n">
        <v>0</v>
      </c>
      <c r="Q993" t="n">
        <v>0</v>
      </c>
      <c r="R993" s="2" t="inlineStr"/>
    </row>
    <row r="994" ht="15" customHeight="1">
      <c r="A994" t="inlineStr">
        <is>
          <t>A 10570-2026</t>
        </is>
      </c>
      <c r="B994" s="1" t="n">
        <v>46077.6568287037</v>
      </c>
      <c r="C994" s="1" t="n">
        <v>46084</v>
      </c>
      <c r="D994" t="inlineStr">
        <is>
          <t>JÄMTLANDS LÄN</t>
        </is>
      </c>
      <c r="E994" t="inlineStr">
        <is>
          <t>RAGUNDA</t>
        </is>
      </c>
      <c r="F994" t="inlineStr">
        <is>
          <t>SCA</t>
        </is>
      </c>
      <c r="G994" t="n">
        <v>22.9</v>
      </c>
      <c r="H994" t="n">
        <v>0</v>
      </c>
      <c r="I994" t="n">
        <v>0</v>
      </c>
      <c r="J994" t="n">
        <v>0</v>
      </c>
      <c r="K994" t="n">
        <v>0</v>
      </c>
      <c r="L994" t="n">
        <v>0</v>
      </c>
      <c r="M994" t="n">
        <v>0</v>
      </c>
      <c r="N994" t="n">
        <v>0</v>
      </c>
      <c r="O994" t="n">
        <v>0</v>
      </c>
      <c r="P994" t="n">
        <v>0</v>
      </c>
      <c r="Q994" t="n">
        <v>0</v>
      </c>
      <c r="R994" s="2" t="inlineStr"/>
    </row>
    <row r="995" ht="15" customHeight="1">
      <c r="A995" t="inlineStr">
        <is>
          <t>A 53860-2023</t>
        </is>
      </c>
      <c r="B995" s="1" t="n">
        <v>45224</v>
      </c>
      <c r="C995" s="1" t="n">
        <v>46084</v>
      </c>
      <c r="D995" t="inlineStr">
        <is>
          <t>JÄMTLANDS LÄN</t>
        </is>
      </c>
      <c r="E995" t="inlineStr">
        <is>
          <t>RAGUNDA</t>
        </is>
      </c>
      <c r="G995" t="n">
        <v>3.3</v>
      </c>
      <c r="H995" t="n">
        <v>0</v>
      </c>
      <c r="I995" t="n">
        <v>0</v>
      </c>
      <c r="J995" t="n">
        <v>0</v>
      </c>
      <c r="K995" t="n">
        <v>0</v>
      </c>
      <c r="L995" t="n">
        <v>0</v>
      </c>
      <c r="M995" t="n">
        <v>0</v>
      </c>
      <c r="N995" t="n">
        <v>0</v>
      </c>
      <c r="O995" t="n">
        <v>0</v>
      </c>
      <c r="P995" t="n">
        <v>0</v>
      </c>
      <c r="Q995" t="n">
        <v>0</v>
      </c>
      <c r="R995" s="2" t="inlineStr"/>
    </row>
    <row r="996" ht="15" customHeight="1">
      <c r="A996" t="inlineStr">
        <is>
          <t>A 12039-2023</t>
        </is>
      </c>
      <c r="B996" s="1" t="n">
        <v>44995.98341435185</v>
      </c>
      <c r="C996" s="1" t="n">
        <v>46084</v>
      </c>
      <c r="D996" t="inlineStr">
        <is>
          <t>JÄMTLANDS LÄN</t>
        </is>
      </c>
      <c r="E996" t="inlineStr">
        <is>
          <t>RAGUNDA</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60130-2025</t>
        </is>
      </c>
      <c r="B997" s="1" t="n">
        <v>45994.34467592592</v>
      </c>
      <c r="C997" s="1" t="n">
        <v>46084</v>
      </c>
      <c r="D997" t="inlineStr">
        <is>
          <t>JÄMTLANDS LÄN</t>
        </is>
      </c>
      <c r="E997" t="inlineStr">
        <is>
          <t>RAGUNDA</t>
        </is>
      </c>
      <c r="G997" t="n">
        <v>4.9</v>
      </c>
      <c r="H997" t="n">
        <v>0</v>
      </c>
      <c r="I997" t="n">
        <v>0</v>
      </c>
      <c r="J997" t="n">
        <v>0</v>
      </c>
      <c r="K997" t="n">
        <v>0</v>
      </c>
      <c r="L997" t="n">
        <v>0</v>
      </c>
      <c r="M997" t="n">
        <v>0</v>
      </c>
      <c r="N997" t="n">
        <v>0</v>
      </c>
      <c r="O997" t="n">
        <v>0</v>
      </c>
      <c r="P997" t="n">
        <v>0</v>
      </c>
      <c r="Q997" t="n">
        <v>0</v>
      </c>
      <c r="R997" s="2" t="inlineStr"/>
    </row>
    <row r="998" ht="15" customHeight="1">
      <c r="A998" t="inlineStr">
        <is>
          <t>A 60775-2025</t>
        </is>
      </c>
      <c r="B998" s="1" t="n">
        <v>45999.3905787037</v>
      </c>
      <c r="C998" s="1" t="n">
        <v>46084</v>
      </c>
      <c r="D998" t="inlineStr">
        <is>
          <t>JÄMTLANDS LÄN</t>
        </is>
      </c>
      <c r="E998" t="inlineStr">
        <is>
          <t>RAGUNDA</t>
        </is>
      </c>
      <c r="G998" t="n">
        <v>15.7</v>
      </c>
      <c r="H998" t="n">
        <v>0</v>
      </c>
      <c r="I998" t="n">
        <v>0</v>
      </c>
      <c r="J998" t="n">
        <v>0</v>
      </c>
      <c r="K998" t="n">
        <v>0</v>
      </c>
      <c r="L998" t="n">
        <v>0</v>
      </c>
      <c r="M998" t="n">
        <v>0</v>
      </c>
      <c r="N998" t="n">
        <v>0</v>
      </c>
      <c r="O998" t="n">
        <v>0</v>
      </c>
      <c r="P998" t="n">
        <v>0</v>
      </c>
      <c r="Q998" t="n">
        <v>0</v>
      </c>
      <c r="R998" s="2" t="inlineStr"/>
    </row>
    <row r="999" ht="15" customHeight="1">
      <c r="A999" t="inlineStr">
        <is>
          <t>A 59136-2023</t>
        </is>
      </c>
      <c r="B999" s="1" t="n">
        <v>45251</v>
      </c>
      <c r="C999" s="1" t="n">
        <v>46084</v>
      </c>
      <c r="D999" t="inlineStr">
        <is>
          <t>JÄMTLANDS LÄN</t>
        </is>
      </c>
      <c r="E999" t="inlineStr">
        <is>
          <t>RAGUNDA</t>
        </is>
      </c>
      <c r="G999" t="n">
        <v>1.7</v>
      </c>
      <c r="H999" t="n">
        <v>0</v>
      </c>
      <c r="I999" t="n">
        <v>0</v>
      </c>
      <c r="J999" t="n">
        <v>0</v>
      </c>
      <c r="K999" t="n">
        <v>0</v>
      </c>
      <c r="L999" t="n">
        <v>0</v>
      </c>
      <c r="M999" t="n">
        <v>0</v>
      </c>
      <c r="N999" t="n">
        <v>0</v>
      </c>
      <c r="O999" t="n">
        <v>0</v>
      </c>
      <c r="P999" t="n">
        <v>0</v>
      </c>
      <c r="Q999" t="n">
        <v>0</v>
      </c>
      <c r="R999" s="2" t="inlineStr"/>
    </row>
    <row r="1000" ht="15" customHeight="1">
      <c r="A1000" t="inlineStr">
        <is>
          <t>A 26991-2023</t>
        </is>
      </c>
      <c r="B1000" s="1" t="n">
        <v>45093.92207175926</v>
      </c>
      <c r="C1000" s="1" t="n">
        <v>46084</v>
      </c>
      <c r="D1000" t="inlineStr">
        <is>
          <t>JÄMTLANDS LÄN</t>
        </is>
      </c>
      <c r="E1000" t="inlineStr">
        <is>
          <t>RAGUNDA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60760-2025</t>
        </is>
      </c>
      <c r="B1001" s="1" t="n">
        <v>45999.38597222222</v>
      </c>
      <c r="C1001" s="1" t="n">
        <v>46084</v>
      </c>
      <c r="D1001" t="inlineStr">
        <is>
          <t>JÄMTLANDS LÄN</t>
        </is>
      </c>
      <c r="E1001" t="inlineStr">
        <is>
          <t>RAGUNDA</t>
        </is>
      </c>
      <c r="F1001" t="inlineStr">
        <is>
          <t>SCA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13302-2022</t>
        </is>
      </c>
      <c r="B1002" s="1" t="n">
        <v>44644</v>
      </c>
      <c r="C1002" s="1" t="n">
        <v>46084</v>
      </c>
      <c r="D1002" t="inlineStr">
        <is>
          <t>JÄMTLANDS LÄN</t>
        </is>
      </c>
      <c r="E1002" t="inlineStr">
        <is>
          <t>RAGUNDA</t>
        </is>
      </c>
      <c r="F1002" t="inlineStr">
        <is>
          <t>SCA</t>
        </is>
      </c>
      <c r="G1002" t="n">
        <v>35.6</v>
      </c>
      <c r="H1002" t="n">
        <v>0</v>
      </c>
      <c r="I1002" t="n">
        <v>0</v>
      </c>
      <c r="J1002" t="n">
        <v>0</v>
      </c>
      <c r="K1002" t="n">
        <v>0</v>
      </c>
      <c r="L1002" t="n">
        <v>0</v>
      </c>
      <c r="M1002" t="n">
        <v>0</v>
      </c>
      <c r="N1002" t="n">
        <v>0</v>
      </c>
      <c r="O1002" t="n">
        <v>0</v>
      </c>
      <c r="P1002" t="n">
        <v>0</v>
      </c>
      <c r="Q1002" t="n">
        <v>0</v>
      </c>
      <c r="R1002" s="2" t="inlineStr"/>
    </row>
    <row r="1003" ht="15" customHeight="1">
      <c r="A1003" t="inlineStr">
        <is>
          <t>A 60630-2025</t>
        </is>
      </c>
      <c r="B1003" s="1" t="n">
        <v>45996.42120370371</v>
      </c>
      <c r="C1003" s="1" t="n">
        <v>46084</v>
      </c>
      <c r="D1003" t="inlineStr">
        <is>
          <t>JÄMTLANDS LÄN</t>
        </is>
      </c>
      <c r="E1003" t="inlineStr">
        <is>
          <t>RAGUNDA</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26651-2024</t>
        </is>
      </c>
      <c r="B1004" s="1" t="n">
        <v>45469.94876157407</v>
      </c>
      <c r="C1004" s="1" t="n">
        <v>46084</v>
      </c>
      <c r="D1004" t="inlineStr">
        <is>
          <t>JÄMTLANDS LÄN</t>
        </is>
      </c>
      <c r="E1004" t="inlineStr">
        <is>
          <t>RAGUNDA</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40919-2024</t>
        </is>
      </c>
      <c r="B1005" s="1" t="n">
        <v>45558.63575231482</v>
      </c>
      <c r="C1005" s="1" t="n">
        <v>46084</v>
      </c>
      <c r="D1005" t="inlineStr">
        <is>
          <t>JÄMTLANDS LÄN</t>
        </is>
      </c>
      <c r="E1005" t="inlineStr">
        <is>
          <t>RAGUNDA</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3186-2025</t>
        </is>
      </c>
      <c r="B1006" s="1" t="n">
        <v>45679.40362268518</v>
      </c>
      <c r="C1006" s="1" t="n">
        <v>46084</v>
      </c>
      <c r="D1006" t="inlineStr">
        <is>
          <t>JÄMTLANDS LÄN</t>
        </is>
      </c>
      <c r="E1006" t="inlineStr">
        <is>
          <t>RAGUNDA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465-2023</t>
        </is>
      </c>
      <c r="B1007" s="1" t="n">
        <v>44929</v>
      </c>
      <c r="C1007" s="1" t="n">
        <v>46084</v>
      </c>
      <c r="D1007" t="inlineStr">
        <is>
          <t>JÄMTLANDS LÄN</t>
        </is>
      </c>
      <c r="E1007" t="inlineStr">
        <is>
          <t>RAGUNDA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61233-2025</t>
        </is>
      </c>
      <c r="B1008" s="1" t="n">
        <v>46000.6359837963</v>
      </c>
      <c r="C1008" s="1" t="n">
        <v>46084</v>
      </c>
      <c r="D1008" t="inlineStr">
        <is>
          <t>JÄMTLANDS LÄN</t>
        </is>
      </c>
      <c r="E1008" t="inlineStr">
        <is>
          <t>RAGUNDA</t>
        </is>
      </c>
      <c r="F1008" t="inlineStr">
        <is>
          <t>SCA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26455-2023</t>
        </is>
      </c>
      <c r="B1009" s="1" t="n">
        <v>45092</v>
      </c>
      <c r="C1009" s="1" t="n">
        <v>46084</v>
      </c>
      <c r="D1009" t="inlineStr">
        <is>
          <t>JÄMTLANDS LÄN</t>
        </is>
      </c>
      <c r="E1009" t="inlineStr">
        <is>
          <t>RAGUNDA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10639-2024</t>
        </is>
      </c>
      <c r="B1010" s="1" t="n">
        <v>45367.67256944445</v>
      </c>
      <c r="C1010" s="1" t="n">
        <v>46084</v>
      </c>
      <c r="D1010" t="inlineStr">
        <is>
          <t>JÄMTLANDS LÄN</t>
        </is>
      </c>
      <c r="E1010" t="inlineStr">
        <is>
          <t>RAGUNDA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3561-2026</t>
        </is>
      </c>
      <c r="B1011" s="1" t="n">
        <v>46042.67142361111</v>
      </c>
      <c r="C1011" s="1" t="n">
        <v>46084</v>
      </c>
      <c r="D1011" t="inlineStr">
        <is>
          <t>JÄMTLANDS LÄN</t>
        </is>
      </c>
      <c r="E1011" t="inlineStr">
        <is>
          <t>RAGUNDA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2751-2024</t>
        </is>
      </c>
      <c r="B1012" s="1" t="n">
        <v>45314</v>
      </c>
      <c r="C1012" s="1" t="n">
        <v>46084</v>
      </c>
      <c r="D1012" t="inlineStr">
        <is>
          <t>JÄMTLANDS LÄN</t>
        </is>
      </c>
      <c r="E1012" t="inlineStr">
        <is>
          <t>RAGUNDA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2123-2026</t>
        </is>
      </c>
      <c r="B1013" s="1" t="n">
        <v>46036.38618055556</v>
      </c>
      <c r="C1013" s="1" t="n">
        <v>46084</v>
      </c>
      <c r="D1013" t="inlineStr">
        <is>
          <t>JÄMTLANDS LÄN</t>
        </is>
      </c>
      <c r="E1013" t="inlineStr">
        <is>
          <t>RAGUNDA</t>
        </is>
      </c>
      <c r="F1013" t="inlineStr">
        <is>
          <t>SCA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61509-2025</t>
        </is>
      </c>
      <c r="B1014" s="1" t="n">
        <v>46001.68189814815</v>
      </c>
      <c r="C1014" s="1" t="n">
        <v>46084</v>
      </c>
      <c r="D1014" t="inlineStr">
        <is>
          <t>JÄMTLANDS LÄN</t>
        </is>
      </c>
      <c r="E1014" t="inlineStr">
        <is>
          <t>RAGUNDA</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36317-2024</t>
        </is>
      </c>
      <c r="B1015" s="1" t="n">
        <v>45534.63537037037</v>
      </c>
      <c r="C1015" s="1" t="n">
        <v>46084</v>
      </c>
      <c r="D1015" t="inlineStr">
        <is>
          <t>JÄMTLANDS LÄN</t>
        </is>
      </c>
      <c r="E1015" t="inlineStr">
        <is>
          <t>RAGUNDA</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18614-2024</t>
        </is>
      </c>
      <c r="B1016" s="1" t="n">
        <v>45425.96263888889</v>
      </c>
      <c r="C1016" s="1" t="n">
        <v>46084</v>
      </c>
      <c r="D1016" t="inlineStr">
        <is>
          <t>JÄMTLANDS LÄN</t>
        </is>
      </c>
      <c r="E1016" t="inlineStr">
        <is>
          <t>RAGUNDA</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2233-2026</t>
        </is>
      </c>
      <c r="B1017" s="1" t="n">
        <v>46036.53207175926</v>
      </c>
      <c r="C1017" s="1" t="n">
        <v>46084</v>
      </c>
      <c r="D1017" t="inlineStr">
        <is>
          <t>JÄMTLANDS LÄN</t>
        </is>
      </c>
      <c r="E1017" t="inlineStr">
        <is>
          <t>RAGUNDA</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61266-2025</t>
        </is>
      </c>
      <c r="B1018" s="1" t="n">
        <v>46000.67784722222</v>
      </c>
      <c r="C1018" s="1" t="n">
        <v>46084</v>
      </c>
      <c r="D1018" t="inlineStr">
        <is>
          <t>JÄMTLANDS LÄN</t>
        </is>
      </c>
      <c r="E1018" t="inlineStr">
        <is>
          <t>RAGUNDA</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49659-2023</t>
        </is>
      </c>
      <c r="B1019" s="1" t="n">
        <v>45211.95134259259</v>
      </c>
      <c r="C1019" s="1" t="n">
        <v>46084</v>
      </c>
      <c r="D1019" t="inlineStr">
        <is>
          <t>JÄMTLANDS LÄN</t>
        </is>
      </c>
      <c r="E1019" t="inlineStr">
        <is>
          <t>RAGUNDA</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8787-2022</t>
        </is>
      </c>
      <c r="B1020" s="1" t="n">
        <v>44614</v>
      </c>
      <c r="C1020" s="1" t="n">
        <v>46084</v>
      </c>
      <c r="D1020" t="inlineStr">
        <is>
          <t>JÄMTLANDS LÄN</t>
        </is>
      </c>
      <c r="E1020" t="inlineStr">
        <is>
          <t>RAGUNDA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2156-2026</t>
        </is>
      </c>
      <c r="B1021" s="1" t="n">
        <v>46036.42771990741</v>
      </c>
      <c r="C1021" s="1" t="n">
        <v>46084</v>
      </c>
      <c r="D1021" t="inlineStr">
        <is>
          <t>JÄMTLANDS LÄN</t>
        </is>
      </c>
      <c r="E1021" t="inlineStr">
        <is>
          <t>RAGUNDA</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50431-2024</t>
        </is>
      </c>
      <c r="B1022" s="1" t="n">
        <v>45601.40686342592</v>
      </c>
      <c r="C1022" s="1" t="n">
        <v>46084</v>
      </c>
      <c r="D1022" t="inlineStr">
        <is>
          <t>JÄMTLANDS LÄN</t>
        </is>
      </c>
      <c r="E1022" t="inlineStr">
        <is>
          <t>RAGUNDA</t>
        </is>
      </c>
      <c r="F1022" t="inlineStr">
        <is>
          <t>SCA</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3813-2026</t>
        </is>
      </c>
      <c r="B1023" s="1" t="n">
        <v>46043.58447916667</v>
      </c>
      <c r="C1023" s="1" t="n">
        <v>46084</v>
      </c>
      <c r="D1023" t="inlineStr">
        <is>
          <t>JÄMTLANDS LÄN</t>
        </is>
      </c>
      <c r="E1023" t="inlineStr">
        <is>
          <t>RAGUNDA</t>
        </is>
      </c>
      <c r="F1023" t="inlineStr">
        <is>
          <t>SCA</t>
        </is>
      </c>
      <c r="G1023" t="n">
        <v>23.2</v>
      </c>
      <c r="H1023" t="n">
        <v>0</v>
      </c>
      <c r="I1023" t="n">
        <v>0</v>
      </c>
      <c r="J1023" t="n">
        <v>0</v>
      </c>
      <c r="K1023" t="n">
        <v>0</v>
      </c>
      <c r="L1023" t="n">
        <v>0</v>
      </c>
      <c r="M1023" t="n">
        <v>0</v>
      </c>
      <c r="N1023" t="n">
        <v>0</v>
      </c>
      <c r="O1023" t="n">
        <v>0</v>
      </c>
      <c r="P1023" t="n">
        <v>0</v>
      </c>
      <c r="Q1023" t="n">
        <v>0</v>
      </c>
      <c r="R1023" s="2" t="inlineStr"/>
    </row>
    <row r="1024" ht="15" customHeight="1">
      <c r="A1024" t="inlineStr">
        <is>
          <t>A 60936-2024</t>
        </is>
      </c>
      <c r="B1024" s="1" t="n">
        <v>45645.36743055555</v>
      </c>
      <c r="C1024" s="1" t="n">
        <v>46084</v>
      </c>
      <c r="D1024" t="inlineStr">
        <is>
          <t>JÄMTLANDS LÄN</t>
        </is>
      </c>
      <c r="E1024" t="inlineStr">
        <is>
          <t>RAGUNDA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10649-2026</t>
        </is>
      </c>
      <c r="B1025" s="1" t="n">
        <v>46078.34486111111</v>
      </c>
      <c r="C1025" s="1" t="n">
        <v>46084</v>
      </c>
      <c r="D1025" t="inlineStr">
        <is>
          <t>JÄMTLANDS LÄN</t>
        </is>
      </c>
      <c r="E1025" t="inlineStr">
        <is>
          <t>RAGUNDA</t>
        </is>
      </c>
      <c r="F1025" t="inlineStr">
        <is>
          <t>SCA</t>
        </is>
      </c>
      <c r="G1025" t="n">
        <v>45.5</v>
      </c>
      <c r="H1025" t="n">
        <v>0</v>
      </c>
      <c r="I1025" t="n">
        <v>0</v>
      </c>
      <c r="J1025" t="n">
        <v>0</v>
      </c>
      <c r="K1025" t="n">
        <v>0</v>
      </c>
      <c r="L1025" t="n">
        <v>0</v>
      </c>
      <c r="M1025" t="n">
        <v>0</v>
      </c>
      <c r="N1025" t="n">
        <v>0</v>
      </c>
      <c r="O1025" t="n">
        <v>0</v>
      </c>
      <c r="P1025" t="n">
        <v>0</v>
      </c>
      <c r="Q1025" t="n">
        <v>0</v>
      </c>
      <c r="R1025" s="2" t="inlineStr"/>
    </row>
    <row r="1026" ht="15" customHeight="1">
      <c r="A1026" t="inlineStr">
        <is>
          <t>A 4212-2024</t>
        </is>
      </c>
      <c r="B1026" s="1" t="n">
        <v>45324</v>
      </c>
      <c r="C1026" s="1" t="n">
        <v>46084</v>
      </c>
      <c r="D1026" t="inlineStr">
        <is>
          <t>JÄMTLANDS LÄN</t>
        </is>
      </c>
      <c r="E1026" t="inlineStr">
        <is>
          <t>RAGUNDA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2271-2026</t>
        </is>
      </c>
      <c r="B1027" s="1" t="n">
        <v>46036.57347222222</v>
      </c>
      <c r="C1027" s="1" t="n">
        <v>46084</v>
      </c>
      <c r="D1027" t="inlineStr">
        <is>
          <t>JÄMTLANDS LÄN</t>
        </is>
      </c>
      <c r="E1027" t="inlineStr">
        <is>
          <t>RAGUNDA</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9262-2025</t>
        </is>
      </c>
      <c r="B1028" s="1" t="n">
        <v>45714.60649305556</v>
      </c>
      <c r="C1028" s="1" t="n">
        <v>46084</v>
      </c>
      <c r="D1028" t="inlineStr">
        <is>
          <t>JÄMTLANDS LÄN</t>
        </is>
      </c>
      <c r="E1028" t="inlineStr">
        <is>
          <t>RAGUNDA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61755-2025</t>
        </is>
      </c>
      <c r="B1029" s="1" t="n">
        <v>46002</v>
      </c>
      <c r="C1029" s="1" t="n">
        <v>46084</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50521-2024</t>
        </is>
      </c>
      <c r="B1030" s="1" t="n">
        <v>45601.55331018518</v>
      </c>
      <c r="C1030" s="1" t="n">
        <v>46084</v>
      </c>
      <c r="D1030" t="inlineStr">
        <is>
          <t>JÄMTLANDS LÄN</t>
        </is>
      </c>
      <c r="E1030" t="inlineStr">
        <is>
          <t>RAGUNDA</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4047-2026</t>
        </is>
      </c>
      <c r="B1031" s="1" t="n">
        <v>46044.46944444445</v>
      </c>
      <c r="C1031" s="1" t="n">
        <v>46084</v>
      </c>
      <c r="D1031" t="inlineStr">
        <is>
          <t>JÄMTLANDS LÄN</t>
        </is>
      </c>
      <c r="E1031" t="inlineStr">
        <is>
          <t>RAGUNDA</t>
        </is>
      </c>
      <c r="F1031" t="inlineStr">
        <is>
          <t>SCA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4073-2026</t>
        </is>
      </c>
      <c r="B1032" s="1" t="n">
        <v>46044.53168981482</v>
      </c>
      <c r="C1032" s="1" t="n">
        <v>46084</v>
      </c>
      <c r="D1032" t="inlineStr">
        <is>
          <t>JÄMTLANDS LÄN</t>
        </is>
      </c>
      <c r="E1032" t="inlineStr">
        <is>
          <t>RAGUNDA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2173-2026</t>
        </is>
      </c>
      <c r="B1033" s="1" t="n">
        <v>46036.44984953704</v>
      </c>
      <c r="C1033" s="1" t="n">
        <v>46084</v>
      </c>
      <c r="D1033" t="inlineStr">
        <is>
          <t>JÄMTLANDS LÄN</t>
        </is>
      </c>
      <c r="E1033" t="inlineStr">
        <is>
          <t>RAGUNDA</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10740-2026</t>
        </is>
      </c>
      <c r="B1034" s="1" t="n">
        <v>46078.5109375</v>
      </c>
      <c r="C1034" s="1" t="n">
        <v>46084</v>
      </c>
      <c r="D1034" t="inlineStr">
        <is>
          <t>JÄMTLANDS LÄN</t>
        </is>
      </c>
      <c r="E1034" t="inlineStr">
        <is>
          <t>RAGUNDA</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60012-2023</t>
        </is>
      </c>
      <c r="B1035" s="1" t="n">
        <v>45257</v>
      </c>
      <c r="C1035" s="1" t="n">
        <v>46084</v>
      </c>
      <c r="D1035" t="inlineStr">
        <is>
          <t>JÄMTLANDS LÄN</t>
        </is>
      </c>
      <c r="E1035" t="inlineStr">
        <is>
          <t>RAGUNDA</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4916-2025</t>
        </is>
      </c>
      <c r="B1036" s="1" t="n">
        <v>45688.68196759259</v>
      </c>
      <c r="C1036" s="1" t="n">
        <v>46084</v>
      </c>
      <c r="D1036" t="inlineStr">
        <is>
          <t>JÄMTLANDS LÄN</t>
        </is>
      </c>
      <c r="E1036" t="inlineStr">
        <is>
          <t>RAGUNDA</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3841-2026</t>
        </is>
      </c>
      <c r="B1037" s="1" t="n">
        <v>46043</v>
      </c>
      <c r="C1037" s="1" t="n">
        <v>46084</v>
      </c>
      <c r="D1037" t="inlineStr">
        <is>
          <t>JÄMTLANDS LÄN</t>
        </is>
      </c>
      <c r="E1037" t="inlineStr">
        <is>
          <t>RAGUNDA</t>
        </is>
      </c>
      <c r="F1037" t="inlineStr">
        <is>
          <t>Kommuner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53676-2022</t>
        </is>
      </c>
      <c r="B1038" s="1" t="n">
        <v>44879</v>
      </c>
      <c r="C1038" s="1" t="n">
        <v>46084</v>
      </c>
      <c r="D1038" t="inlineStr">
        <is>
          <t>JÄMTLANDS LÄN</t>
        </is>
      </c>
      <c r="E1038" t="inlineStr">
        <is>
          <t>RAGUNDA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4142-2026</t>
        </is>
      </c>
      <c r="B1039" s="1" t="n">
        <v>46044.63607638889</v>
      </c>
      <c r="C1039" s="1" t="n">
        <v>46084</v>
      </c>
      <c r="D1039" t="inlineStr">
        <is>
          <t>JÄMTLANDS LÄN</t>
        </is>
      </c>
      <c r="E1039" t="inlineStr">
        <is>
          <t>RAGUNDA</t>
        </is>
      </c>
      <c r="F1039" t="inlineStr">
        <is>
          <t>SCA</t>
        </is>
      </c>
      <c r="G1039" t="n">
        <v>19.3</v>
      </c>
      <c r="H1039" t="n">
        <v>0</v>
      </c>
      <c r="I1039" t="n">
        <v>0</v>
      </c>
      <c r="J1039" t="n">
        <v>0</v>
      </c>
      <c r="K1039" t="n">
        <v>0</v>
      </c>
      <c r="L1039" t="n">
        <v>0</v>
      </c>
      <c r="M1039" t="n">
        <v>0</v>
      </c>
      <c r="N1039" t="n">
        <v>0</v>
      </c>
      <c r="O1039" t="n">
        <v>0</v>
      </c>
      <c r="P1039" t="n">
        <v>0</v>
      </c>
      <c r="Q1039" t="n">
        <v>0</v>
      </c>
      <c r="R1039" s="2" t="inlineStr"/>
    </row>
    <row r="1040" ht="15" customHeight="1">
      <c r="A1040" t="inlineStr">
        <is>
          <t>A 11243-2026</t>
        </is>
      </c>
      <c r="B1040" s="1" t="n">
        <v>46080.53181712963</v>
      </c>
      <c r="C1040" s="1" t="n">
        <v>46084</v>
      </c>
      <c r="D1040" t="inlineStr">
        <is>
          <t>JÄMTLANDS LÄN</t>
        </is>
      </c>
      <c r="E1040" t="inlineStr">
        <is>
          <t>RAGUNDA</t>
        </is>
      </c>
      <c r="F1040" t="inlineStr">
        <is>
          <t>SCA</t>
        </is>
      </c>
      <c r="G1040" t="n">
        <v>52.9</v>
      </c>
      <c r="H1040" t="n">
        <v>0</v>
      </c>
      <c r="I1040" t="n">
        <v>0</v>
      </c>
      <c r="J1040" t="n">
        <v>0</v>
      </c>
      <c r="K1040" t="n">
        <v>0</v>
      </c>
      <c r="L1040" t="n">
        <v>0</v>
      </c>
      <c r="M1040" t="n">
        <v>0</v>
      </c>
      <c r="N1040" t="n">
        <v>0</v>
      </c>
      <c r="O1040" t="n">
        <v>0</v>
      </c>
      <c r="P1040" t="n">
        <v>0</v>
      </c>
      <c r="Q1040" t="n">
        <v>0</v>
      </c>
      <c r="R1040" s="2" t="inlineStr"/>
    </row>
    <row r="1041" ht="15" customHeight="1">
      <c r="A1041" t="inlineStr">
        <is>
          <t>A 4099-2026</t>
        </is>
      </c>
      <c r="B1041" s="1" t="n">
        <v>46044.57357638889</v>
      </c>
      <c r="C1041" s="1" t="n">
        <v>46084</v>
      </c>
      <c r="D1041" t="inlineStr">
        <is>
          <t>JÄMTLANDS LÄN</t>
        </is>
      </c>
      <c r="E1041" t="inlineStr">
        <is>
          <t>RAGUNDA</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56504-2024</t>
        </is>
      </c>
      <c r="B1042" s="1" t="n">
        <v>45625.51068287037</v>
      </c>
      <c r="C1042" s="1" t="n">
        <v>46084</v>
      </c>
      <c r="D1042" t="inlineStr">
        <is>
          <t>JÄMTLANDS LÄN</t>
        </is>
      </c>
      <c r="E1042" t="inlineStr">
        <is>
          <t>RAGUNDA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61697-2025</t>
        </is>
      </c>
      <c r="B1043" s="1" t="n">
        <v>46002</v>
      </c>
      <c r="C1043" s="1" t="n">
        <v>46084</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4237-2026</t>
        </is>
      </c>
      <c r="B1044" s="1" t="n">
        <v>46044.92743055556</v>
      </c>
      <c r="C1044" s="1" t="n">
        <v>46084</v>
      </c>
      <c r="D1044" t="inlineStr">
        <is>
          <t>JÄMTLANDS LÄN</t>
        </is>
      </c>
      <c r="E1044" t="inlineStr">
        <is>
          <t>RAGUNDA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59557-2023</t>
        </is>
      </c>
      <c r="B1045" s="1" t="n">
        <v>45253</v>
      </c>
      <c r="C1045" s="1" t="n">
        <v>46084</v>
      </c>
      <c r="D1045" t="inlineStr">
        <is>
          <t>JÄMTLANDS LÄN</t>
        </is>
      </c>
      <c r="E1045" t="inlineStr">
        <is>
          <t>RAGUNDA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934-2023</t>
        </is>
      </c>
      <c r="B1046" s="1" t="n">
        <v>44932.93927083333</v>
      </c>
      <c r="C1046" s="1" t="n">
        <v>46084</v>
      </c>
      <c r="D1046" t="inlineStr">
        <is>
          <t>JÄMTLANDS LÄN</t>
        </is>
      </c>
      <c r="E1046" t="inlineStr">
        <is>
          <t>RAGUNDA</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4046-2026</t>
        </is>
      </c>
      <c r="B1047" s="1" t="n">
        <v>46044.46921296296</v>
      </c>
      <c r="C1047" s="1" t="n">
        <v>46084</v>
      </c>
      <c r="D1047" t="inlineStr">
        <is>
          <t>JÄMTLANDS LÄN</t>
        </is>
      </c>
      <c r="E1047" t="inlineStr">
        <is>
          <t>RAGUNDA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36106-2022</t>
        </is>
      </c>
      <c r="B1048" s="1" t="n">
        <v>44802.94811342593</v>
      </c>
      <c r="C1048" s="1" t="n">
        <v>46084</v>
      </c>
      <c r="D1048" t="inlineStr">
        <is>
          <t>JÄMTLANDS LÄN</t>
        </is>
      </c>
      <c r="E1048" t="inlineStr">
        <is>
          <t>RAGUNDA</t>
        </is>
      </c>
      <c r="F1048" t="inlineStr">
        <is>
          <t>SCA</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57839-2022</t>
        </is>
      </c>
      <c r="B1049" s="1" t="n">
        <v>44897</v>
      </c>
      <c r="C1049" s="1" t="n">
        <v>46084</v>
      </c>
      <c r="D1049" t="inlineStr">
        <is>
          <t>JÄMTLANDS LÄN</t>
        </is>
      </c>
      <c r="E1049" t="inlineStr">
        <is>
          <t>RAGUNDA</t>
        </is>
      </c>
      <c r="F1049" t="inlineStr">
        <is>
          <t>SCA</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41693-2023</t>
        </is>
      </c>
      <c r="B1050" s="1" t="n">
        <v>45176</v>
      </c>
      <c r="C1050" s="1" t="n">
        <v>46084</v>
      </c>
      <c r="D1050" t="inlineStr">
        <is>
          <t>JÄMTLANDS LÄN</t>
        </is>
      </c>
      <c r="E1050" t="inlineStr">
        <is>
          <t>RAGUNDA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5073-2026</t>
        </is>
      </c>
      <c r="B1051" s="1" t="n">
        <v>46049.51126157407</v>
      </c>
      <c r="C1051" s="1" t="n">
        <v>46084</v>
      </c>
      <c r="D1051" t="inlineStr">
        <is>
          <t>JÄMTLANDS LÄN</t>
        </is>
      </c>
      <c r="E1051" t="inlineStr">
        <is>
          <t>RAGUNDA</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5009-2026</t>
        </is>
      </c>
      <c r="B1052" s="1" t="n">
        <v>46049.42839120371</v>
      </c>
      <c r="C1052" s="1" t="n">
        <v>46084</v>
      </c>
      <c r="D1052" t="inlineStr">
        <is>
          <t>JÄMTLANDS LÄN</t>
        </is>
      </c>
      <c r="E1052" t="inlineStr">
        <is>
          <t>RAGUNDA</t>
        </is>
      </c>
      <c r="F1052" t="inlineStr">
        <is>
          <t>SCA</t>
        </is>
      </c>
      <c r="G1052" t="n">
        <v>37.4</v>
      </c>
      <c r="H1052" t="n">
        <v>0</v>
      </c>
      <c r="I1052" t="n">
        <v>0</v>
      </c>
      <c r="J1052" t="n">
        <v>0</v>
      </c>
      <c r="K1052" t="n">
        <v>0</v>
      </c>
      <c r="L1052" t="n">
        <v>0</v>
      </c>
      <c r="M1052" t="n">
        <v>0</v>
      </c>
      <c r="N1052" t="n">
        <v>0</v>
      </c>
      <c r="O1052" t="n">
        <v>0</v>
      </c>
      <c r="P1052" t="n">
        <v>0</v>
      </c>
      <c r="Q1052" t="n">
        <v>0</v>
      </c>
      <c r="R1052" s="2" t="inlineStr"/>
    </row>
    <row r="1053" ht="15" customHeight="1">
      <c r="A1053" t="inlineStr">
        <is>
          <t>A 62490-2025</t>
        </is>
      </c>
      <c r="B1053" s="1" t="n">
        <v>46007.5697337963</v>
      </c>
      <c r="C1053" s="1" t="n">
        <v>46084</v>
      </c>
      <c r="D1053" t="inlineStr">
        <is>
          <t>JÄMTLANDS LÄN</t>
        </is>
      </c>
      <c r="E1053" t="inlineStr">
        <is>
          <t>RAGUNDA</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53678-2022</t>
        </is>
      </c>
      <c r="B1054" s="1" t="n">
        <v>44879.95768518518</v>
      </c>
      <c r="C1054" s="1" t="n">
        <v>46084</v>
      </c>
      <c r="D1054" t="inlineStr">
        <is>
          <t>JÄMTLANDS LÄN</t>
        </is>
      </c>
      <c r="E1054" t="inlineStr">
        <is>
          <t>RAGUNDA</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4616-2026</t>
        </is>
      </c>
      <c r="B1055" s="1" t="n">
        <v>46048.37070601852</v>
      </c>
      <c r="C1055" s="1" t="n">
        <v>46084</v>
      </c>
      <c r="D1055" t="inlineStr">
        <is>
          <t>JÄMTLANDS LÄN</t>
        </is>
      </c>
      <c r="E1055" t="inlineStr">
        <is>
          <t>RAGUNDA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4628-2026</t>
        </is>
      </c>
      <c r="B1056" s="1" t="n">
        <v>46048.3862037037</v>
      </c>
      <c r="C1056" s="1" t="n">
        <v>46084</v>
      </c>
      <c r="D1056" t="inlineStr">
        <is>
          <t>JÄMTLANDS LÄN</t>
        </is>
      </c>
      <c r="E1056" t="inlineStr">
        <is>
          <t>RAGUNDA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62436-2025</t>
        </is>
      </c>
      <c r="B1057" s="1" t="n">
        <v>46007</v>
      </c>
      <c r="C1057" s="1" t="n">
        <v>46084</v>
      </c>
      <c r="D1057" t="inlineStr">
        <is>
          <t>JÄMTLANDS LÄN</t>
        </is>
      </c>
      <c r="E1057" t="inlineStr">
        <is>
          <t>RAGUNDA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57112-2024</t>
        </is>
      </c>
      <c r="B1058" s="1" t="n">
        <v>45629.36486111111</v>
      </c>
      <c r="C1058" s="1" t="n">
        <v>46084</v>
      </c>
      <c r="D1058" t="inlineStr">
        <is>
          <t>JÄMTLANDS LÄN</t>
        </is>
      </c>
      <c r="E1058" t="inlineStr">
        <is>
          <t>RAGUNDA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53136-2024</t>
        </is>
      </c>
      <c r="B1059" s="1" t="n">
        <v>45611.5953125</v>
      </c>
      <c r="C1059" s="1" t="n">
        <v>46084</v>
      </c>
      <c r="D1059" t="inlineStr">
        <is>
          <t>JÄMTLANDS LÄN</t>
        </is>
      </c>
      <c r="E1059" t="inlineStr">
        <is>
          <t>RAGUNDA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4839-2026</t>
        </is>
      </c>
      <c r="B1060" s="1" t="n">
        <v>46048.61520833334</v>
      </c>
      <c r="C1060" s="1" t="n">
        <v>46084</v>
      </c>
      <c r="D1060" t="inlineStr">
        <is>
          <t>JÄMTLANDS LÄN</t>
        </is>
      </c>
      <c r="E1060" t="inlineStr">
        <is>
          <t>RAGUNDA</t>
        </is>
      </c>
      <c r="F1060" t="inlineStr">
        <is>
          <t>SCA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4841-2026</t>
        </is>
      </c>
      <c r="B1061" s="1" t="n">
        <v>46048.61550925926</v>
      </c>
      <c r="C1061" s="1" t="n">
        <v>46084</v>
      </c>
      <c r="D1061" t="inlineStr">
        <is>
          <t>JÄMTLANDS LÄN</t>
        </is>
      </c>
      <c r="E1061" t="inlineStr">
        <is>
          <t>RAGUNDA</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4629-2026</t>
        </is>
      </c>
      <c r="B1062" s="1" t="n">
        <v>46048.38622685185</v>
      </c>
      <c r="C1062" s="1" t="n">
        <v>46084</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23305-2023</t>
        </is>
      </c>
      <c r="B1063" s="1" t="n">
        <v>45075.94506944445</v>
      </c>
      <c r="C1063" s="1" t="n">
        <v>46084</v>
      </c>
      <c r="D1063" t="inlineStr">
        <is>
          <t>JÄMTLANDS LÄN</t>
        </is>
      </c>
      <c r="E1063" t="inlineStr">
        <is>
          <t>RAGUNDA</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62432-2025</t>
        </is>
      </c>
      <c r="B1064" s="1" t="n">
        <v>46007</v>
      </c>
      <c r="C1064" s="1" t="n">
        <v>46084</v>
      </c>
      <c r="D1064" t="inlineStr">
        <is>
          <t>JÄMTLANDS LÄN</t>
        </is>
      </c>
      <c r="E1064" t="inlineStr">
        <is>
          <t>RAGUNDA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3065-2026</t>
        </is>
      </c>
      <c r="B1065" s="1" t="n">
        <v>46040.47866898148</v>
      </c>
      <c r="C1065" s="1" t="n">
        <v>46084</v>
      </c>
      <c r="D1065" t="inlineStr">
        <is>
          <t>JÄMTLANDS LÄN</t>
        </is>
      </c>
      <c r="E1065" t="inlineStr">
        <is>
          <t>RAGUNDA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18194-2025</t>
        </is>
      </c>
      <c r="B1066" s="1" t="n">
        <v>45761.67744212963</v>
      </c>
      <c r="C1066" s="1" t="n">
        <v>46084</v>
      </c>
      <c r="D1066" t="inlineStr">
        <is>
          <t>JÄMTLANDS LÄN</t>
        </is>
      </c>
      <c r="E1066" t="inlineStr">
        <is>
          <t>RAGUNDA</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18225-2024</t>
        </is>
      </c>
      <c r="B1067" s="1" t="n">
        <v>45420</v>
      </c>
      <c r="C1067" s="1" t="n">
        <v>46084</v>
      </c>
      <c r="D1067" t="inlineStr">
        <is>
          <t>JÄMTLANDS LÄN</t>
        </is>
      </c>
      <c r="E1067" t="inlineStr">
        <is>
          <t>RAGUNDA</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33621-2023</t>
        </is>
      </c>
      <c r="B1068" s="1" t="n">
        <v>45119</v>
      </c>
      <c r="C1068" s="1" t="n">
        <v>46084</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54764-2024</t>
        </is>
      </c>
      <c r="B1069" s="1" t="n">
        <v>45618.46921296296</v>
      </c>
      <c r="C1069" s="1" t="n">
        <v>46084</v>
      </c>
      <c r="D1069" t="inlineStr">
        <is>
          <t>JÄMTLANDS LÄN</t>
        </is>
      </c>
      <c r="E1069" t="inlineStr">
        <is>
          <t>RAGUNDA</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6694-2024</t>
        </is>
      </c>
      <c r="B1070" s="1" t="n">
        <v>45341.95381944445</v>
      </c>
      <c r="C1070" s="1" t="n">
        <v>46084</v>
      </c>
      <c r="D1070" t="inlineStr">
        <is>
          <t>JÄMTLANDS LÄN</t>
        </is>
      </c>
      <c r="E1070" t="inlineStr">
        <is>
          <t>RAGUNDA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62467-2025</t>
        </is>
      </c>
      <c r="B1071" s="1" t="n">
        <v>46007.5108912037</v>
      </c>
      <c r="C1071" s="1" t="n">
        <v>46084</v>
      </c>
      <c r="D1071" t="inlineStr">
        <is>
          <t>JÄMTLANDS LÄN</t>
        </is>
      </c>
      <c r="E1071" t="inlineStr">
        <is>
          <t>RAGUNDA</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4627-2026</t>
        </is>
      </c>
      <c r="B1072" s="1" t="n">
        <v>46048.3860300926</v>
      </c>
      <c r="C1072" s="1" t="n">
        <v>46084</v>
      </c>
      <c r="D1072" t="inlineStr">
        <is>
          <t>JÄMTLANDS LÄN</t>
        </is>
      </c>
      <c r="E1072" t="inlineStr">
        <is>
          <t>RAGUNDA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63057-2025</t>
        </is>
      </c>
      <c r="B1073" s="1" t="n">
        <v>46009.63837962963</v>
      </c>
      <c r="C1073" s="1" t="n">
        <v>46084</v>
      </c>
      <c r="D1073" t="inlineStr">
        <is>
          <t>JÄMTLANDS LÄN</t>
        </is>
      </c>
      <c r="E1073" t="inlineStr">
        <is>
          <t>RAGUNDA</t>
        </is>
      </c>
      <c r="G1073" t="n">
        <v>13.7</v>
      </c>
      <c r="H1073" t="n">
        <v>0</v>
      </c>
      <c r="I1073" t="n">
        <v>0</v>
      </c>
      <c r="J1073" t="n">
        <v>0</v>
      </c>
      <c r="K1073" t="n">
        <v>0</v>
      </c>
      <c r="L1073" t="n">
        <v>0</v>
      </c>
      <c r="M1073" t="n">
        <v>0</v>
      </c>
      <c r="N1073" t="n">
        <v>0</v>
      </c>
      <c r="O1073" t="n">
        <v>0</v>
      </c>
      <c r="P1073" t="n">
        <v>0</v>
      </c>
      <c r="Q1073" t="n">
        <v>0</v>
      </c>
      <c r="R1073" s="2" t="inlineStr"/>
    </row>
    <row r="1074" ht="15" customHeight="1">
      <c r="A1074" t="inlineStr">
        <is>
          <t>A 32904-2024</t>
        </is>
      </c>
      <c r="B1074" s="1" t="n">
        <v>45516.94732638889</v>
      </c>
      <c r="C1074" s="1" t="n">
        <v>46084</v>
      </c>
      <c r="D1074" t="inlineStr">
        <is>
          <t>JÄMTLANDS LÄN</t>
        </is>
      </c>
      <c r="E1074" t="inlineStr">
        <is>
          <t>RAGUNDA</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12976-2025</t>
        </is>
      </c>
      <c r="B1075" s="1" t="n">
        <v>45734.45268518518</v>
      </c>
      <c r="C1075" s="1" t="n">
        <v>46084</v>
      </c>
      <c r="D1075" t="inlineStr">
        <is>
          <t>JÄMTLANDS LÄN</t>
        </is>
      </c>
      <c r="E1075" t="inlineStr">
        <is>
          <t>RAGUNDA</t>
        </is>
      </c>
      <c r="G1075" t="n">
        <v>24.2</v>
      </c>
      <c r="H1075" t="n">
        <v>0</v>
      </c>
      <c r="I1075" t="n">
        <v>0</v>
      </c>
      <c r="J1075" t="n">
        <v>0</v>
      </c>
      <c r="K1075" t="n">
        <v>0</v>
      </c>
      <c r="L1075" t="n">
        <v>0</v>
      </c>
      <c r="M1075" t="n">
        <v>0</v>
      </c>
      <c r="N1075" t="n">
        <v>0</v>
      </c>
      <c r="O1075" t="n">
        <v>0</v>
      </c>
      <c r="P1075" t="n">
        <v>0</v>
      </c>
      <c r="Q1075" t="n">
        <v>0</v>
      </c>
      <c r="R1075" s="2" t="inlineStr"/>
    </row>
    <row r="1076" ht="15" customHeight="1">
      <c r="A1076" t="inlineStr">
        <is>
          <t>A 59286-2023</t>
        </is>
      </c>
      <c r="B1076" s="1" t="n">
        <v>45253</v>
      </c>
      <c r="C1076" s="1" t="n">
        <v>46084</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15672-2021</t>
        </is>
      </c>
      <c r="B1077" s="1" t="n">
        <v>44286</v>
      </c>
      <c r="C1077" s="1" t="n">
        <v>46084</v>
      </c>
      <c r="D1077" t="inlineStr">
        <is>
          <t>JÄMTLANDS LÄN</t>
        </is>
      </c>
      <c r="E1077" t="inlineStr">
        <is>
          <t>RAGUNDA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5359-2026</t>
        </is>
      </c>
      <c r="B1078" s="1" t="n">
        <v>46050.4484837963</v>
      </c>
      <c r="C1078" s="1" t="n">
        <v>46084</v>
      </c>
      <c r="D1078" t="inlineStr">
        <is>
          <t>JÄMTLANDS LÄN</t>
        </is>
      </c>
      <c r="E1078" t="inlineStr">
        <is>
          <t>RAGUNDA</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6688-2024</t>
        </is>
      </c>
      <c r="B1079" s="1" t="n">
        <v>45341</v>
      </c>
      <c r="C1079" s="1" t="n">
        <v>46084</v>
      </c>
      <c r="D1079" t="inlineStr">
        <is>
          <t>JÄMTLANDS LÄN</t>
        </is>
      </c>
      <c r="E1079" t="inlineStr">
        <is>
          <t>RAGUNDA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62691-2025</t>
        </is>
      </c>
      <c r="B1080" s="1" t="n">
        <v>46008.4759837963</v>
      </c>
      <c r="C1080" s="1" t="n">
        <v>46084</v>
      </c>
      <c r="D1080" t="inlineStr">
        <is>
          <t>JÄMTLANDS LÄN</t>
        </is>
      </c>
      <c r="E1080" t="inlineStr">
        <is>
          <t>RAGUNDA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1537-2024</t>
        </is>
      </c>
      <c r="B1081" s="1" t="n">
        <v>45306</v>
      </c>
      <c r="C1081" s="1" t="n">
        <v>46084</v>
      </c>
      <c r="D1081" t="inlineStr">
        <is>
          <t>JÄMTLANDS LÄN</t>
        </is>
      </c>
      <c r="E1081" t="inlineStr">
        <is>
          <t>RAGUNDA</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62927-2025</t>
        </is>
      </c>
      <c r="B1082" s="1" t="n">
        <v>46009.38609953703</v>
      </c>
      <c r="C1082" s="1" t="n">
        <v>46084</v>
      </c>
      <c r="D1082" t="inlineStr">
        <is>
          <t>JÄMTLANDS LÄN</t>
        </is>
      </c>
      <c r="E1082" t="inlineStr">
        <is>
          <t>RAGUNDA</t>
        </is>
      </c>
      <c r="G1082" t="n">
        <v>6.3</v>
      </c>
      <c r="H1082" t="n">
        <v>0</v>
      </c>
      <c r="I1082" t="n">
        <v>0</v>
      </c>
      <c r="J1082" t="n">
        <v>0</v>
      </c>
      <c r="K1082" t="n">
        <v>0</v>
      </c>
      <c r="L1082" t="n">
        <v>0</v>
      </c>
      <c r="M1082" t="n">
        <v>0</v>
      </c>
      <c r="N1082" t="n">
        <v>0</v>
      </c>
      <c r="O1082" t="n">
        <v>0</v>
      </c>
      <c r="P1082" t="n">
        <v>0</v>
      </c>
      <c r="Q1082" t="n">
        <v>0</v>
      </c>
      <c r="R1082" s="2" t="inlineStr"/>
      <c r="U1082">
        <f>HYPERLINK("https://klasma.github.io/Logging_2303/knärot/A 62927-2025 karta knärot.png", "A 62927-2025")</f>
        <v/>
      </c>
      <c r="V1082">
        <f>HYPERLINK("https://klasma.github.io/Logging_2303/klagomål/A 62927-2025 FSC-klagomål.docx", "A 62927-2025")</f>
        <v/>
      </c>
      <c r="W1082">
        <f>HYPERLINK("https://klasma.github.io/Logging_2303/klagomålsmail/A 62927-2025 FSC-klagomål mail.docx", "A 62927-2025")</f>
        <v/>
      </c>
      <c r="X1082">
        <f>HYPERLINK("https://klasma.github.io/Logging_2303/tillsyn/A 62927-2025 tillsynsbegäran.docx", "A 62927-2025")</f>
        <v/>
      </c>
      <c r="Y1082">
        <f>HYPERLINK("https://klasma.github.io/Logging_2303/tillsynsmail/A 62927-2025 tillsynsbegäran mail.docx", "A 62927-2025")</f>
        <v/>
      </c>
    </row>
    <row r="1083" ht="15" customHeight="1">
      <c r="A1083" t="inlineStr">
        <is>
          <t>A 60935-2024</t>
        </is>
      </c>
      <c r="B1083" s="1" t="n">
        <v>45645.36740740741</v>
      </c>
      <c r="C1083" s="1" t="n">
        <v>46084</v>
      </c>
      <c r="D1083" t="inlineStr">
        <is>
          <t>JÄMTLANDS LÄN</t>
        </is>
      </c>
      <c r="E1083" t="inlineStr">
        <is>
          <t>RAGUNDA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50650-2023</t>
        </is>
      </c>
      <c r="B1084" s="1" t="n">
        <v>45210</v>
      </c>
      <c r="C1084" s="1" t="n">
        <v>46084</v>
      </c>
      <c r="D1084" t="inlineStr">
        <is>
          <t>JÄMTLANDS LÄN</t>
        </is>
      </c>
      <c r="E1084" t="inlineStr">
        <is>
          <t>RAGUNDA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41344-2024</t>
        </is>
      </c>
      <c r="B1085" s="1" t="n">
        <v>45559.67759259259</v>
      </c>
      <c r="C1085" s="1" t="n">
        <v>46084</v>
      </c>
      <c r="D1085" t="inlineStr">
        <is>
          <t>JÄMTLANDS LÄN</t>
        </is>
      </c>
      <c r="E1085" t="inlineStr">
        <is>
          <t>RAGUNDA</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62638-2025</t>
        </is>
      </c>
      <c r="B1086" s="1" t="n">
        <v>46008.36564814814</v>
      </c>
      <c r="C1086" s="1" t="n">
        <v>46084</v>
      </c>
      <c r="D1086" t="inlineStr">
        <is>
          <t>JÄMTLANDS LÄN</t>
        </is>
      </c>
      <c r="E1086" t="inlineStr">
        <is>
          <t>RAGUNDA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6257-2025</t>
        </is>
      </c>
      <c r="B1087" s="1" t="n">
        <v>45698.59409722222</v>
      </c>
      <c r="C1087" s="1" t="n">
        <v>46084</v>
      </c>
      <c r="D1087" t="inlineStr">
        <is>
          <t>JÄMTLANDS LÄN</t>
        </is>
      </c>
      <c r="E1087" t="inlineStr">
        <is>
          <t>RAGUNDA</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63060-2025</t>
        </is>
      </c>
      <c r="B1088" s="1" t="n">
        <v>46009.64414351852</v>
      </c>
      <c r="C1088" s="1" t="n">
        <v>46084</v>
      </c>
      <c r="D1088" t="inlineStr">
        <is>
          <t>JÄMTLANDS LÄN</t>
        </is>
      </c>
      <c r="E1088" t="inlineStr">
        <is>
          <t>RAGUNDA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14074-2023</t>
        </is>
      </c>
      <c r="B1089" s="1" t="n">
        <v>45009.089375</v>
      </c>
      <c r="C1089" s="1" t="n">
        <v>46084</v>
      </c>
      <c r="D1089" t="inlineStr">
        <is>
          <t>JÄMTLANDS LÄN</t>
        </is>
      </c>
      <c r="E1089" t="inlineStr">
        <is>
          <t>RAGUNDA</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59670-2023</t>
        </is>
      </c>
      <c r="B1090" s="1" t="n">
        <v>45254.96516203704</v>
      </c>
      <c r="C1090" s="1" t="n">
        <v>46084</v>
      </c>
      <c r="D1090" t="inlineStr">
        <is>
          <t>JÄMTLANDS LÄN</t>
        </is>
      </c>
      <c r="E1090" t="inlineStr">
        <is>
          <t>RAGUNDA</t>
        </is>
      </c>
      <c r="F1090" t="inlineStr">
        <is>
          <t>SCA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37265-2024</t>
        </is>
      </c>
      <c r="B1091" s="1" t="n">
        <v>45540.38564814815</v>
      </c>
      <c r="C1091" s="1" t="n">
        <v>46084</v>
      </c>
      <c r="D1091" t="inlineStr">
        <is>
          <t>JÄMTLANDS LÄN</t>
        </is>
      </c>
      <c r="E1091" t="inlineStr">
        <is>
          <t>RAGUNDA</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62819-2025</t>
        </is>
      </c>
      <c r="B1092" s="1" t="n">
        <v>46008</v>
      </c>
      <c r="C1092" s="1" t="n">
        <v>46084</v>
      </c>
      <c r="D1092" t="inlineStr">
        <is>
          <t>JÄMTLANDS LÄN</t>
        </is>
      </c>
      <c r="E1092" t="inlineStr">
        <is>
          <t>RAGUNDA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55508-2024</t>
        </is>
      </c>
      <c r="B1093" s="1" t="n">
        <v>45622.46200231482</v>
      </c>
      <c r="C1093" s="1" t="n">
        <v>46084</v>
      </c>
      <c r="D1093" t="inlineStr">
        <is>
          <t>JÄMTLANDS LÄN</t>
        </is>
      </c>
      <c r="E1093" t="inlineStr">
        <is>
          <t>RAGUNDA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59492-2024</t>
        </is>
      </c>
      <c r="B1094" s="1" t="n">
        <v>45638</v>
      </c>
      <c r="C1094" s="1" t="n">
        <v>46084</v>
      </c>
      <c r="D1094" t="inlineStr">
        <is>
          <t>JÄMTLANDS LÄN</t>
        </is>
      </c>
      <c r="E1094" t="inlineStr">
        <is>
          <t>RAGUNDA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20772-2024</t>
        </is>
      </c>
      <c r="B1095" s="1" t="n">
        <v>45436.94628472222</v>
      </c>
      <c r="C1095" s="1" t="n">
        <v>46084</v>
      </c>
      <c r="D1095" t="inlineStr">
        <is>
          <t>JÄMTLANDS LÄN</t>
        </is>
      </c>
      <c r="E1095" t="inlineStr">
        <is>
          <t>RAGUNDA</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53757-2024</t>
        </is>
      </c>
      <c r="B1096" s="1" t="n">
        <v>45615.50034722222</v>
      </c>
      <c r="C1096" s="1" t="n">
        <v>46084</v>
      </c>
      <c r="D1096" t="inlineStr">
        <is>
          <t>JÄMTLANDS LÄN</t>
        </is>
      </c>
      <c r="E1096" t="inlineStr">
        <is>
          <t>RAGUNDA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18777-2024</t>
        </is>
      </c>
      <c r="B1097" s="1" t="n">
        <v>45426</v>
      </c>
      <c r="C1097" s="1" t="n">
        <v>46084</v>
      </c>
      <c r="D1097" t="inlineStr">
        <is>
          <t>JÄMTLANDS LÄN</t>
        </is>
      </c>
      <c r="E1097" t="inlineStr">
        <is>
          <t>RAGUNDA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63578-2025</t>
        </is>
      </c>
      <c r="B1098" s="1" t="n">
        <v>46013.67690972222</v>
      </c>
      <c r="C1098" s="1" t="n">
        <v>46084</v>
      </c>
      <c r="D1098" t="inlineStr">
        <is>
          <t>JÄMTLANDS LÄN</t>
        </is>
      </c>
      <c r="E1098" t="inlineStr">
        <is>
          <t>RAGUNDA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6716-2025</t>
        </is>
      </c>
      <c r="B1099" s="1" t="n">
        <v>45700.57324074074</v>
      </c>
      <c r="C1099" s="1" t="n">
        <v>46084</v>
      </c>
      <c r="D1099" t="inlineStr">
        <is>
          <t>JÄMTLANDS LÄN</t>
        </is>
      </c>
      <c r="E1099" t="inlineStr">
        <is>
          <t>RAGUNDA</t>
        </is>
      </c>
      <c r="F1099" t="inlineStr">
        <is>
          <t>SCA</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58564-2024</t>
        </is>
      </c>
      <c r="B1100" s="1" t="n">
        <v>45635.47243055556</v>
      </c>
      <c r="C1100" s="1" t="n">
        <v>46084</v>
      </c>
      <c r="D1100" t="inlineStr">
        <is>
          <t>JÄMTLANDS LÄN</t>
        </is>
      </c>
      <c r="E1100" t="inlineStr">
        <is>
          <t>RAGUNDA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19866-2023</t>
        </is>
      </c>
      <c r="B1101" s="1" t="n">
        <v>45053.94313657407</v>
      </c>
      <c r="C1101" s="1" t="n">
        <v>46084</v>
      </c>
      <c r="D1101" t="inlineStr">
        <is>
          <t>JÄMTLANDS LÄN</t>
        </is>
      </c>
      <c r="E1101" t="inlineStr">
        <is>
          <t>RAGUNDA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21853-2024</t>
        </is>
      </c>
      <c r="B1102" s="1" t="n">
        <v>45442.96296296296</v>
      </c>
      <c r="C1102" s="1" t="n">
        <v>46084</v>
      </c>
      <c r="D1102" t="inlineStr">
        <is>
          <t>JÄMTLANDS LÄN</t>
        </is>
      </c>
      <c r="E1102" t="inlineStr">
        <is>
          <t>RAGUNDA</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8241-2024</t>
        </is>
      </c>
      <c r="B1103" s="1" t="n">
        <v>45351.98496527778</v>
      </c>
      <c r="C1103" s="1" t="n">
        <v>46084</v>
      </c>
      <c r="D1103" t="inlineStr">
        <is>
          <t>JÄMTLANDS LÄN</t>
        </is>
      </c>
      <c r="E1103" t="inlineStr">
        <is>
          <t>RAGUNDA</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40365-2024</t>
        </is>
      </c>
      <c r="B1104" s="1" t="n">
        <v>45555.38509259259</v>
      </c>
      <c r="C1104" s="1" t="n">
        <v>46084</v>
      </c>
      <c r="D1104" t="inlineStr">
        <is>
          <t>JÄMTLANDS LÄN</t>
        </is>
      </c>
      <c r="E1104" t="inlineStr">
        <is>
          <t>RAGUNDA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20770-2024</t>
        </is>
      </c>
      <c r="B1105" s="1" t="n">
        <v>45436.94613425926</v>
      </c>
      <c r="C1105" s="1" t="n">
        <v>46084</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8243-2024</t>
        </is>
      </c>
      <c r="B1106" s="1" t="n">
        <v>45351.98532407408</v>
      </c>
      <c r="C1106" s="1" t="n">
        <v>46084</v>
      </c>
      <c r="D1106" t="inlineStr">
        <is>
          <t>JÄMTLANDS LÄN</t>
        </is>
      </c>
      <c r="E1106" t="inlineStr">
        <is>
          <t>RAGUNDA</t>
        </is>
      </c>
      <c r="F1106" t="inlineStr">
        <is>
          <t>SCA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63141-2025</t>
        </is>
      </c>
      <c r="B1107" s="1" t="n">
        <v>46010.34440972222</v>
      </c>
      <c r="C1107" s="1" t="n">
        <v>46084</v>
      </c>
      <c r="D1107" t="inlineStr">
        <is>
          <t>JÄMTLANDS LÄN</t>
        </is>
      </c>
      <c r="E1107" t="inlineStr">
        <is>
          <t>RAGUNDA</t>
        </is>
      </c>
      <c r="F1107" t="inlineStr">
        <is>
          <t>SCA</t>
        </is>
      </c>
      <c r="G1107" t="n">
        <v>24.4</v>
      </c>
      <c r="H1107" t="n">
        <v>0</v>
      </c>
      <c r="I1107" t="n">
        <v>0</v>
      </c>
      <c r="J1107" t="n">
        <v>0</v>
      </c>
      <c r="K1107" t="n">
        <v>0</v>
      </c>
      <c r="L1107" t="n">
        <v>0</v>
      </c>
      <c r="M1107" t="n">
        <v>0</v>
      </c>
      <c r="N1107" t="n">
        <v>0</v>
      </c>
      <c r="O1107" t="n">
        <v>0</v>
      </c>
      <c r="P1107" t="n">
        <v>0</v>
      </c>
      <c r="Q1107" t="n">
        <v>0</v>
      </c>
      <c r="R1107" s="2" t="inlineStr"/>
    </row>
    <row r="1108" ht="15" customHeight="1">
      <c r="A1108" t="inlineStr">
        <is>
          <t>A 1325-2025</t>
        </is>
      </c>
      <c r="B1108" s="1" t="n">
        <v>45667.57342592593</v>
      </c>
      <c r="C1108" s="1" t="n">
        <v>46084</v>
      </c>
      <c r="D1108" t="inlineStr">
        <is>
          <t>JÄMTLANDS LÄN</t>
        </is>
      </c>
      <c r="E1108" t="inlineStr">
        <is>
          <t>RAGUNDA</t>
        </is>
      </c>
      <c r="F1108" t="inlineStr">
        <is>
          <t>SCA</t>
        </is>
      </c>
      <c r="G1108" t="n">
        <v>20.2</v>
      </c>
      <c r="H1108" t="n">
        <v>0</v>
      </c>
      <c r="I1108" t="n">
        <v>0</v>
      </c>
      <c r="J1108" t="n">
        <v>0</v>
      </c>
      <c r="K1108" t="n">
        <v>0</v>
      </c>
      <c r="L1108" t="n">
        <v>0</v>
      </c>
      <c r="M1108" t="n">
        <v>0</v>
      </c>
      <c r="N1108" t="n">
        <v>0</v>
      </c>
      <c r="O1108" t="n">
        <v>0</v>
      </c>
      <c r="P1108" t="n">
        <v>0</v>
      </c>
      <c r="Q1108" t="n">
        <v>0</v>
      </c>
      <c r="R1108" s="2" t="inlineStr"/>
    </row>
    <row r="1109" ht="15" customHeight="1">
      <c r="A1109" t="inlineStr">
        <is>
          <t>A 7281-2024</t>
        </is>
      </c>
      <c r="B1109" s="1" t="n">
        <v>45344</v>
      </c>
      <c r="C1109" s="1" t="n">
        <v>46084</v>
      </c>
      <c r="D1109" t="inlineStr">
        <is>
          <t>JÄMTLANDS LÄN</t>
        </is>
      </c>
      <c r="E1109" t="inlineStr">
        <is>
          <t>RAGUNDA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7284-2024</t>
        </is>
      </c>
      <c r="B1110" s="1" t="n">
        <v>45344.92865740741</v>
      </c>
      <c r="C1110" s="1" t="n">
        <v>46084</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7285-2024</t>
        </is>
      </c>
      <c r="B1111" s="1" t="n">
        <v>45344.92873842592</v>
      </c>
      <c r="C1111" s="1" t="n">
        <v>46084</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6174-2026</t>
        </is>
      </c>
      <c r="B1112" s="1" t="n">
        <v>46055.34457175926</v>
      </c>
      <c r="C1112" s="1" t="n">
        <v>46084</v>
      </c>
      <c r="D1112" t="inlineStr">
        <is>
          <t>JÄMTLANDS LÄN</t>
        </is>
      </c>
      <c r="E1112" t="inlineStr">
        <is>
          <t>RAGUNDA</t>
        </is>
      </c>
      <c r="F1112" t="inlineStr">
        <is>
          <t>SCA</t>
        </is>
      </c>
      <c r="G1112" t="n">
        <v>24.3</v>
      </c>
      <c r="H1112" t="n">
        <v>0</v>
      </c>
      <c r="I1112" t="n">
        <v>0</v>
      </c>
      <c r="J1112" t="n">
        <v>0</v>
      </c>
      <c r="K1112" t="n">
        <v>0</v>
      </c>
      <c r="L1112" t="n">
        <v>0</v>
      </c>
      <c r="M1112" t="n">
        <v>0</v>
      </c>
      <c r="N1112" t="n">
        <v>0</v>
      </c>
      <c r="O1112" t="n">
        <v>0</v>
      </c>
      <c r="P1112" t="n">
        <v>0</v>
      </c>
      <c r="Q1112" t="n">
        <v>0</v>
      </c>
      <c r="R1112" s="2" t="inlineStr"/>
    </row>
    <row r="1113" ht="15" customHeight="1">
      <c r="A1113" t="inlineStr">
        <is>
          <t>A 18159-2023</t>
        </is>
      </c>
      <c r="B1113" s="1" t="n">
        <v>45040.94277777777</v>
      </c>
      <c r="C1113" s="1" t="n">
        <v>46084</v>
      </c>
      <c r="D1113" t="inlineStr">
        <is>
          <t>JÄMTLANDS LÄN</t>
        </is>
      </c>
      <c r="E1113" t="inlineStr">
        <is>
          <t>RAGUNDA</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53347-2023</t>
        </is>
      </c>
      <c r="B1114" s="1" t="n">
        <v>45223</v>
      </c>
      <c r="C1114" s="1" t="n">
        <v>46084</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60838-2023</t>
        </is>
      </c>
      <c r="B1115" s="1" t="n">
        <v>45260.92561342593</v>
      </c>
      <c r="C1115" s="1" t="n">
        <v>46084</v>
      </c>
      <c r="D1115" t="inlineStr">
        <is>
          <t>JÄMTLANDS LÄN</t>
        </is>
      </c>
      <c r="E1115" t="inlineStr">
        <is>
          <t>RAGUNDA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19486-2024</t>
        </is>
      </c>
      <c r="B1116" s="1" t="n">
        <v>45429</v>
      </c>
      <c r="C1116" s="1" t="n">
        <v>46084</v>
      </c>
      <c r="D1116" t="inlineStr">
        <is>
          <t>JÄMTLANDS LÄN</t>
        </is>
      </c>
      <c r="E1116" t="inlineStr">
        <is>
          <t>RAGUNDA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6693-2026</t>
        </is>
      </c>
      <c r="B1117" s="1" t="n">
        <v>46056.63649305556</v>
      </c>
      <c r="C1117" s="1" t="n">
        <v>46084</v>
      </c>
      <c r="D1117" t="inlineStr">
        <is>
          <t>JÄMTLANDS LÄN</t>
        </is>
      </c>
      <c r="E1117" t="inlineStr">
        <is>
          <t>RAGUNDA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1326-2025</t>
        </is>
      </c>
      <c r="B1118" s="1" t="n">
        <v>45667.57347222222</v>
      </c>
      <c r="C1118" s="1" t="n">
        <v>46084</v>
      </c>
      <c r="D1118" t="inlineStr">
        <is>
          <t>JÄMTLANDS LÄN</t>
        </is>
      </c>
      <c r="E1118" t="inlineStr">
        <is>
          <t>RAGUNDA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9548-2025</t>
        </is>
      </c>
      <c r="B1119" s="1" t="n">
        <v>45715.59405092592</v>
      </c>
      <c r="C1119" s="1" t="n">
        <v>46084</v>
      </c>
      <c r="D1119" t="inlineStr">
        <is>
          <t>JÄMTLANDS LÄN</t>
        </is>
      </c>
      <c r="E1119" t="inlineStr">
        <is>
          <t>RAGUNDA</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30642-2024</t>
        </is>
      </c>
      <c r="B1120" s="1" t="n">
        <v>45495.57677083334</v>
      </c>
      <c r="C1120" s="1" t="n">
        <v>46084</v>
      </c>
      <c r="D1120" t="inlineStr">
        <is>
          <t>JÄMTLANDS LÄN</t>
        </is>
      </c>
      <c r="E1120" t="inlineStr">
        <is>
          <t>RAGUNDA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53989-2024</t>
        </is>
      </c>
      <c r="B1121" s="1" t="n">
        <v>45616.34479166667</v>
      </c>
      <c r="C1121" s="1" t="n">
        <v>46084</v>
      </c>
      <c r="D1121" t="inlineStr">
        <is>
          <t>JÄMTLANDS LÄN</t>
        </is>
      </c>
      <c r="E1121" t="inlineStr">
        <is>
          <t>RAGUNDA</t>
        </is>
      </c>
      <c r="F1121" t="inlineStr">
        <is>
          <t>SCA</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993-2025</t>
        </is>
      </c>
      <c r="B1122" s="1" t="n">
        <v>45666.44943287037</v>
      </c>
      <c r="C1122" s="1" t="n">
        <v>46084</v>
      </c>
      <c r="D1122" t="inlineStr">
        <is>
          <t>JÄMTLANDS LÄN</t>
        </is>
      </c>
      <c r="E1122" t="inlineStr">
        <is>
          <t>RAGUNDA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15581-2024</t>
        </is>
      </c>
      <c r="B1123" s="1" t="n">
        <v>45401</v>
      </c>
      <c r="C1123" s="1" t="n">
        <v>46084</v>
      </c>
      <c r="D1123" t="inlineStr">
        <is>
          <t>JÄMTLANDS LÄN</t>
        </is>
      </c>
      <c r="E1123" t="inlineStr">
        <is>
          <t>RAGUNDA</t>
        </is>
      </c>
      <c r="F1123" t="inlineStr">
        <is>
          <t>Kommuner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15611-2024</t>
        </is>
      </c>
      <c r="B1124" s="1" t="n">
        <v>45401</v>
      </c>
      <c r="C1124" s="1" t="n">
        <v>46084</v>
      </c>
      <c r="D1124" t="inlineStr">
        <is>
          <t>JÄMTLANDS LÄN</t>
        </is>
      </c>
      <c r="E1124" t="inlineStr">
        <is>
          <t>RAGUNDA</t>
        </is>
      </c>
      <c r="F1124" t="inlineStr">
        <is>
          <t>SCA</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58193-2022</t>
        </is>
      </c>
      <c r="B1125" s="1" t="n">
        <v>44900.95700231481</v>
      </c>
      <c r="C1125" s="1" t="n">
        <v>46084</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23528-2024</t>
        </is>
      </c>
      <c r="B1126" s="1" t="n">
        <v>45453.95016203704</v>
      </c>
      <c r="C1126" s="1" t="n">
        <v>46084</v>
      </c>
      <c r="D1126" t="inlineStr">
        <is>
          <t>JÄMTLANDS LÄN</t>
        </is>
      </c>
      <c r="E1126" t="inlineStr">
        <is>
          <t>RAGUNDA</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4594-2024</t>
        </is>
      </c>
      <c r="B1127" s="1" t="n">
        <v>45327.94459490741</v>
      </c>
      <c r="C1127" s="1" t="n">
        <v>46084</v>
      </c>
      <c r="D1127" t="inlineStr">
        <is>
          <t>JÄMTLANDS LÄN</t>
        </is>
      </c>
      <c r="E1127" t="inlineStr">
        <is>
          <t>RAGUNDA</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63672-2025</t>
        </is>
      </c>
      <c r="B1128" s="1" t="n">
        <v>46014.47575231481</v>
      </c>
      <c r="C1128" s="1" t="n">
        <v>46084</v>
      </c>
      <c r="D1128" t="inlineStr">
        <is>
          <t>JÄMTLANDS LÄN</t>
        </is>
      </c>
      <c r="E1128" t="inlineStr">
        <is>
          <t>RAGUNDA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63714-2025</t>
        </is>
      </c>
      <c r="B1129" s="1" t="n">
        <v>46014</v>
      </c>
      <c r="C1129" s="1" t="n">
        <v>46084</v>
      </c>
      <c r="D1129" t="inlineStr">
        <is>
          <t>JÄMTLANDS LÄN</t>
        </is>
      </c>
      <c r="E1129" t="inlineStr">
        <is>
          <t>RAGUNDA</t>
        </is>
      </c>
      <c r="F1129" t="inlineStr">
        <is>
          <t>Sveaskog</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63671-2025</t>
        </is>
      </c>
      <c r="B1130" s="1" t="n">
        <v>46014.46555555556</v>
      </c>
      <c r="C1130" s="1" t="n">
        <v>46084</v>
      </c>
      <c r="D1130" t="inlineStr">
        <is>
          <t>JÄMTLANDS LÄN</t>
        </is>
      </c>
      <c r="E1130" t="inlineStr">
        <is>
          <t>RAGUNDA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28081-2022</t>
        </is>
      </c>
      <c r="B1131" s="1" t="n">
        <v>44746</v>
      </c>
      <c r="C1131" s="1" t="n">
        <v>46084</v>
      </c>
      <c r="D1131" t="inlineStr">
        <is>
          <t>JÄMTLANDS LÄN</t>
        </is>
      </c>
      <c r="E1131" t="inlineStr">
        <is>
          <t>RAGUNDA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30824-2023</t>
        </is>
      </c>
      <c r="B1132" s="1" t="n">
        <v>45112.94303240741</v>
      </c>
      <c r="C1132" s="1" t="n">
        <v>46084</v>
      </c>
      <c r="D1132" t="inlineStr">
        <is>
          <t>JÄMTLANDS LÄN</t>
        </is>
      </c>
      <c r="E1132" t="inlineStr">
        <is>
          <t>RAGUNDA</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6569-2026</t>
        </is>
      </c>
      <c r="B1133" s="1" t="n">
        <v>46052</v>
      </c>
      <c r="C1133" s="1" t="n">
        <v>46084</v>
      </c>
      <c r="D1133" t="inlineStr">
        <is>
          <t>JÄMTLANDS LÄN</t>
        </is>
      </c>
      <c r="E1133" t="inlineStr">
        <is>
          <t>RAGUNDA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55547-2025</t>
        </is>
      </c>
      <c r="B1134" s="1" t="n">
        <v>45971</v>
      </c>
      <c r="C1134" s="1" t="n">
        <v>46084</v>
      </c>
      <c r="D1134" t="inlineStr">
        <is>
          <t>JÄMTLANDS LÄN</t>
        </is>
      </c>
      <c r="E1134" t="inlineStr">
        <is>
          <t>RAGUNDA</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51049-2024</t>
        </is>
      </c>
      <c r="B1135" s="1" t="n">
        <v>45603.44644675926</v>
      </c>
      <c r="C1135" s="1" t="n">
        <v>46084</v>
      </c>
      <c r="D1135" t="inlineStr">
        <is>
          <t>JÄMTLANDS LÄN</t>
        </is>
      </c>
      <c r="E1135" t="inlineStr">
        <is>
          <t>RAGUNDA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44759-2024</t>
        </is>
      </c>
      <c r="B1136" s="1" t="n">
        <v>45574.61634259259</v>
      </c>
      <c r="C1136" s="1" t="n">
        <v>46084</v>
      </c>
      <c r="D1136" t="inlineStr">
        <is>
          <t>JÄMTLANDS LÄN</t>
        </is>
      </c>
      <c r="E1136" t="inlineStr">
        <is>
          <t>RAGUNDA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37324-2022</t>
        </is>
      </c>
      <c r="B1137" s="1" t="n">
        <v>44806</v>
      </c>
      <c r="C1137" s="1" t="n">
        <v>46084</v>
      </c>
      <c r="D1137" t="inlineStr">
        <is>
          <t>JÄMTLANDS LÄN</t>
        </is>
      </c>
      <c r="E1137" t="inlineStr">
        <is>
          <t>RAGUNDA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41343-2024</t>
        </is>
      </c>
      <c r="B1138" s="1" t="n">
        <v>45559.67745370371</v>
      </c>
      <c r="C1138" s="1" t="n">
        <v>46084</v>
      </c>
      <c r="D1138" t="inlineStr">
        <is>
          <t>JÄMTLANDS LÄN</t>
        </is>
      </c>
      <c r="E1138" t="inlineStr">
        <is>
          <t>RAGUNDA</t>
        </is>
      </c>
      <c r="F1138" t="inlineStr">
        <is>
          <t>SCA</t>
        </is>
      </c>
      <c r="G1138" t="n">
        <v>25.1</v>
      </c>
      <c r="H1138" t="n">
        <v>0</v>
      </c>
      <c r="I1138" t="n">
        <v>0</v>
      </c>
      <c r="J1138" t="n">
        <v>0</v>
      </c>
      <c r="K1138" t="n">
        <v>0</v>
      </c>
      <c r="L1138" t="n">
        <v>0</v>
      </c>
      <c r="M1138" t="n">
        <v>0</v>
      </c>
      <c r="N1138" t="n">
        <v>0</v>
      </c>
      <c r="O1138" t="n">
        <v>0</v>
      </c>
      <c r="P1138" t="n">
        <v>0</v>
      </c>
      <c r="Q1138" t="n">
        <v>0</v>
      </c>
      <c r="R1138" s="2" t="inlineStr"/>
    </row>
    <row r="1139" ht="15" customHeight="1">
      <c r="A1139" t="inlineStr">
        <is>
          <t>A 55633-2025</t>
        </is>
      </c>
      <c r="B1139" s="1" t="n">
        <v>45972</v>
      </c>
      <c r="C1139" s="1" t="n">
        <v>46084</v>
      </c>
      <c r="D1139" t="inlineStr">
        <is>
          <t>JÄMTLANDS LÄN</t>
        </is>
      </c>
      <c r="E1139" t="inlineStr">
        <is>
          <t>RAGUNDA</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55671-2025</t>
        </is>
      </c>
      <c r="B1140" s="1" t="n">
        <v>45972</v>
      </c>
      <c r="C1140" s="1" t="n">
        <v>46084</v>
      </c>
      <c r="D1140" t="inlineStr">
        <is>
          <t>JÄMTLANDS LÄN</t>
        </is>
      </c>
      <c r="E1140" t="inlineStr">
        <is>
          <t>RAGUNDA</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55797-2025</t>
        </is>
      </c>
      <c r="B1141" s="1" t="n">
        <v>45972.65693287037</v>
      </c>
      <c r="C1141" s="1" t="n">
        <v>46084</v>
      </c>
      <c r="D1141" t="inlineStr">
        <is>
          <t>JÄMTLANDS LÄN</t>
        </is>
      </c>
      <c r="E1141" t="inlineStr">
        <is>
          <t>RAGUNDA</t>
        </is>
      </c>
      <c r="F1141" t="inlineStr">
        <is>
          <t>SCA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45953-2023</t>
        </is>
      </c>
      <c r="B1142" s="1" t="n">
        <v>45195.94672453704</v>
      </c>
      <c r="C1142" s="1" t="n">
        <v>46084</v>
      </c>
      <c r="D1142" t="inlineStr">
        <is>
          <t>JÄMTLANDS LÄN</t>
        </is>
      </c>
      <c r="E1142" t="inlineStr">
        <is>
          <t>RAGUNDA</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16982-2024</t>
        </is>
      </c>
      <c r="B1143" s="1" t="n">
        <v>45412.02506944445</v>
      </c>
      <c r="C1143" s="1" t="n">
        <v>46084</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53727-2025</t>
        </is>
      </c>
      <c r="B1144" s="1" t="n">
        <v>45960.63630787037</v>
      </c>
      <c r="C1144" s="1" t="n">
        <v>46084</v>
      </c>
      <c r="D1144" t="inlineStr">
        <is>
          <t>JÄMTLANDS LÄN</t>
        </is>
      </c>
      <c r="E1144" t="inlineStr">
        <is>
          <t>RAGUNDA</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49650-2024</t>
        </is>
      </c>
      <c r="B1145" s="1" t="n">
        <v>45596.61569444444</v>
      </c>
      <c r="C1145" s="1" t="n">
        <v>46084</v>
      </c>
      <c r="D1145" t="inlineStr">
        <is>
          <t>JÄMTLANDS LÄN</t>
        </is>
      </c>
      <c r="E1145" t="inlineStr">
        <is>
          <t>RAGUNDA</t>
        </is>
      </c>
      <c r="F1145" t="inlineStr">
        <is>
          <t>Naturvårdsverket</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49651-2024</t>
        </is>
      </c>
      <c r="B1146" s="1" t="n">
        <v>45596.61582175926</v>
      </c>
      <c r="C1146" s="1" t="n">
        <v>46084</v>
      </c>
      <c r="D1146" t="inlineStr">
        <is>
          <t>JÄMTLANDS LÄN</t>
        </is>
      </c>
      <c r="E1146" t="inlineStr">
        <is>
          <t>RAGUNDA</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33650-2025</t>
        </is>
      </c>
      <c r="B1147" s="1" t="n">
        <v>45841</v>
      </c>
      <c r="C1147" s="1" t="n">
        <v>46084</v>
      </c>
      <c r="D1147" t="inlineStr">
        <is>
          <t>JÄMTLANDS LÄN</t>
        </is>
      </c>
      <c r="E1147" t="inlineStr">
        <is>
          <t>RAGUNDA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63828-2025</t>
        </is>
      </c>
      <c r="B1148" s="1" t="n">
        <v>46020.37814814815</v>
      </c>
      <c r="C1148" s="1" t="n">
        <v>46084</v>
      </c>
      <c r="D1148" t="inlineStr">
        <is>
          <t>JÄMTLANDS LÄN</t>
        </is>
      </c>
      <c r="E1148" t="inlineStr">
        <is>
          <t>RAGUNDA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64264-2023</t>
        </is>
      </c>
      <c r="B1149" s="1" t="n">
        <v>45279.94564814815</v>
      </c>
      <c r="C1149" s="1" t="n">
        <v>46084</v>
      </c>
      <c r="D1149" t="inlineStr">
        <is>
          <t>JÄMTLANDS LÄN</t>
        </is>
      </c>
      <c r="E1149" t="inlineStr">
        <is>
          <t>RAGUNDA</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557-2026</t>
        </is>
      </c>
      <c r="B1150" s="1" t="n">
        <v>46021</v>
      </c>
      <c r="C1150" s="1" t="n">
        <v>46084</v>
      </c>
      <c r="D1150" t="inlineStr">
        <is>
          <t>JÄMTLANDS LÄN</t>
        </is>
      </c>
      <c r="E1150" t="inlineStr">
        <is>
          <t>RAGUNDA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7777-2026</t>
        </is>
      </c>
      <c r="B1151" s="1" t="n">
        <v>46062.57324074074</v>
      </c>
      <c r="C1151" s="1" t="n">
        <v>46084</v>
      </c>
      <c r="D1151" t="inlineStr">
        <is>
          <t>JÄMTLANDS LÄN</t>
        </is>
      </c>
      <c r="E1151" t="inlineStr">
        <is>
          <t>RAGUNDA</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42893-2022</t>
        </is>
      </c>
      <c r="B1152" s="1" t="n">
        <v>44832</v>
      </c>
      <c r="C1152" s="1" t="n">
        <v>46084</v>
      </c>
      <c r="D1152" t="inlineStr">
        <is>
          <t>JÄMTLANDS LÄN</t>
        </is>
      </c>
      <c r="E1152" t="inlineStr">
        <is>
          <t>RAGUNDA</t>
        </is>
      </c>
      <c r="F1152" t="inlineStr">
        <is>
          <t>SCA</t>
        </is>
      </c>
      <c r="G1152" t="n">
        <v>28.4</v>
      </c>
      <c r="H1152" t="n">
        <v>0</v>
      </c>
      <c r="I1152" t="n">
        <v>0</v>
      </c>
      <c r="J1152" t="n">
        <v>0</v>
      </c>
      <c r="K1152" t="n">
        <v>0</v>
      </c>
      <c r="L1152" t="n">
        <v>0</v>
      </c>
      <c r="M1152" t="n">
        <v>0</v>
      </c>
      <c r="N1152" t="n">
        <v>0</v>
      </c>
      <c r="O1152" t="n">
        <v>0</v>
      </c>
      <c r="P1152" t="n">
        <v>0</v>
      </c>
      <c r="Q1152" t="n">
        <v>0</v>
      </c>
      <c r="R1152" s="2" t="inlineStr"/>
    </row>
    <row r="1153" ht="15" customHeight="1">
      <c r="A1153" t="inlineStr">
        <is>
          <t>A 8067-2026</t>
        </is>
      </c>
      <c r="B1153" s="1" t="n">
        <v>46063.6358912037</v>
      </c>
      <c r="C1153" s="1" t="n">
        <v>46084</v>
      </c>
      <c r="D1153" t="inlineStr">
        <is>
          <t>JÄMTLANDS LÄN</t>
        </is>
      </c>
      <c r="E1153" t="inlineStr">
        <is>
          <t>RAGUNDA</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29940-2023</t>
        </is>
      </c>
      <c r="B1154" s="1" t="n">
        <v>45107</v>
      </c>
      <c r="C1154" s="1" t="n">
        <v>46084</v>
      </c>
      <c r="D1154" t="inlineStr">
        <is>
          <t>JÄMTLANDS LÄN</t>
        </is>
      </c>
      <c r="E1154" t="inlineStr">
        <is>
          <t>RAGUNDA</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23303-2024</t>
        </is>
      </c>
      <c r="B1155" s="1" t="n">
        <v>45453.4444212963</v>
      </c>
      <c r="C1155" s="1" t="n">
        <v>46084</v>
      </c>
      <c r="D1155" t="inlineStr">
        <is>
          <t>JÄMTLANDS LÄN</t>
        </is>
      </c>
      <c r="E1155" t="inlineStr">
        <is>
          <t>RAGUNDA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179-2025</t>
        </is>
      </c>
      <c r="B1156" s="1" t="n">
        <v>45659.69822916666</v>
      </c>
      <c r="C1156" s="1" t="n">
        <v>46084</v>
      </c>
      <c r="D1156" t="inlineStr">
        <is>
          <t>JÄMTLANDS LÄN</t>
        </is>
      </c>
      <c r="E1156" t="inlineStr">
        <is>
          <t>RAGUNDA</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22412-2024</t>
        </is>
      </c>
      <c r="B1157" s="1" t="n">
        <v>45446.68947916666</v>
      </c>
      <c r="C1157" s="1" t="n">
        <v>46084</v>
      </c>
      <c r="D1157" t="inlineStr">
        <is>
          <t>JÄMTLANDS LÄN</t>
        </is>
      </c>
      <c r="E1157" t="inlineStr">
        <is>
          <t>RAGUNDA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13334-2024</t>
        </is>
      </c>
      <c r="B1158" s="1" t="n">
        <v>45386</v>
      </c>
      <c r="C1158" s="1" t="n">
        <v>46084</v>
      </c>
      <c r="D1158" t="inlineStr">
        <is>
          <t>JÄMTLANDS LÄN</t>
        </is>
      </c>
      <c r="E1158" t="inlineStr">
        <is>
          <t>RAGUNDA</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60443-2023</t>
        </is>
      </c>
      <c r="B1159" s="1" t="n">
        <v>45258</v>
      </c>
      <c r="C1159" s="1" t="n">
        <v>46084</v>
      </c>
      <c r="D1159" t="inlineStr">
        <is>
          <t>JÄMTLANDS LÄN</t>
        </is>
      </c>
      <c r="E1159" t="inlineStr">
        <is>
          <t>RAGUNDA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21726-2023</t>
        </is>
      </c>
      <c r="B1160" s="1" t="n">
        <v>45065.42894675926</v>
      </c>
      <c r="C1160" s="1" t="n">
        <v>46084</v>
      </c>
      <c r="D1160" t="inlineStr">
        <is>
          <t>JÄMTLANDS LÄN</t>
        </is>
      </c>
      <c r="E1160" t="inlineStr">
        <is>
          <t>RAGUNDA</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45952-2023</t>
        </is>
      </c>
      <c r="B1161" s="1" t="n">
        <v>45195</v>
      </c>
      <c r="C1161" s="1" t="n">
        <v>46084</v>
      </c>
      <c r="D1161" t="inlineStr">
        <is>
          <t>JÄMTLANDS LÄN</t>
        </is>
      </c>
      <c r="E1161" t="inlineStr">
        <is>
          <t>RAGUNDA</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45954-2023</t>
        </is>
      </c>
      <c r="B1162" s="1" t="n">
        <v>45195.94679398148</v>
      </c>
      <c r="C1162" s="1" t="n">
        <v>46084</v>
      </c>
      <c r="D1162" t="inlineStr">
        <is>
          <t>JÄMTLANDS LÄN</t>
        </is>
      </c>
      <c r="E1162" t="inlineStr">
        <is>
          <t>RAGUNDA</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45955-2023</t>
        </is>
      </c>
      <c r="B1163" s="1" t="n">
        <v>45195.94685185186</v>
      </c>
      <c r="C1163" s="1" t="n">
        <v>46084</v>
      </c>
      <c r="D1163" t="inlineStr">
        <is>
          <t>JÄMTLANDS LÄN</t>
        </is>
      </c>
      <c r="E1163" t="inlineStr">
        <is>
          <t>RAGUNDA</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60456-2023</t>
        </is>
      </c>
      <c r="B1164" s="1" t="n">
        <v>45258</v>
      </c>
      <c r="C1164" s="1" t="n">
        <v>46084</v>
      </c>
      <c r="D1164" t="inlineStr">
        <is>
          <t>JÄMTLANDS LÄN</t>
        </is>
      </c>
      <c r="E1164" t="inlineStr">
        <is>
          <t>RAGUNDA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16334-2025</t>
        </is>
      </c>
      <c r="B1165" s="1" t="n">
        <v>45751.36490740741</v>
      </c>
      <c r="C1165" s="1" t="n">
        <v>46084</v>
      </c>
      <c r="D1165" t="inlineStr">
        <is>
          <t>JÄMTLANDS LÄN</t>
        </is>
      </c>
      <c r="E1165" t="inlineStr">
        <is>
          <t>RAGUNDA</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58438-2022</t>
        </is>
      </c>
      <c r="B1166" s="1" t="n">
        <v>44901</v>
      </c>
      <c r="C1166" s="1" t="n">
        <v>46084</v>
      </c>
      <c r="D1166" t="inlineStr">
        <is>
          <t>JÄMTLANDS LÄN</t>
        </is>
      </c>
      <c r="E1166" t="inlineStr">
        <is>
          <t>RAGUNDA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58442-2022</t>
        </is>
      </c>
      <c r="B1167" s="1" t="n">
        <v>44901</v>
      </c>
      <c r="C1167" s="1" t="n">
        <v>46084</v>
      </c>
      <c r="D1167" t="inlineStr">
        <is>
          <t>JÄMTLANDS LÄN</t>
        </is>
      </c>
      <c r="E1167" t="inlineStr">
        <is>
          <t>RAGUNDA</t>
        </is>
      </c>
      <c r="F1167" t="inlineStr">
        <is>
          <t>SCA</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5806-2025</t>
        </is>
      </c>
      <c r="B1168" s="1" t="n">
        <v>45694.69826388889</v>
      </c>
      <c r="C1168" s="1" t="n">
        <v>46084</v>
      </c>
      <c r="D1168" t="inlineStr">
        <is>
          <t>JÄMTLANDS LÄN</t>
        </is>
      </c>
      <c r="E1168" t="inlineStr">
        <is>
          <t>RAGUNDA</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41179-2022</t>
        </is>
      </c>
      <c r="B1169" s="1" t="n">
        <v>44825</v>
      </c>
      <c r="C1169" s="1" t="n">
        <v>46084</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61598-2024</t>
        </is>
      </c>
      <c r="B1170" s="1" t="n">
        <v>45646.63605324074</v>
      </c>
      <c r="C1170" s="1" t="n">
        <v>46084</v>
      </c>
      <c r="D1170" t="inlineStr">
        <is>
          <t>JÄMTLANDS LÄN</t>
        </is>
      </c>
      <c r="E1170" t="inlineStr">
        <is>
          <t>RAGUNDA</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17667-2025</t>
        </is>
      </c>
      <c r="B1171" s="1" t="n">
        <v>45758.36487268518</v>
      </c>
      <c r="C1171" s="1" t="n">
        <v>46084</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12405-2025</t>
        </is>
      </c>
      <c r="B1172" s="1" t="n">
        <v>45730.42738425926</v>
      </c>
      <c r="C1172" s="1" t="n">
        <v>46084</v>
      </c>
      <c r="D1172" t="inlineStr">
        <is>
          <t>JÄMTLANDS LÄN</t>
        </is>
      </c>
      <c r="E1172" t="inlineStr">
        <is>
          <t>RAGUNDA</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36986-2023</t>
        </is>
      </c>
      <c r="B1173" s="1" t="n">
        <v>45154.95525462963</v>
      </c>
      <c r="C1173" s="1" t="n">
        <v>46084</v>
      </c>
      <c r="D1173" t="inlineStr">
        <is>
          <t>JÄMTLANDS LÄN</t>
        </is>
      </c>
      <c r="E1173" t="inlineStr">
        <is>
          <t>RAGUNDA</t>
        </is>
      </c>
      <c r="F1173" t="inlineStr">
        <is>
          <t>SCA</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2224-2024</t>
        </is>
      </c>
      <c r="B1174" s="1" t="n">
        <v>45309.92524305556</v>
      </c>
      <c r="C1174" s="1" t="n">
        <v>46084</v>
      </c>
      <c r="D1174" t="inlineStr">
        <is>
          <t>JÄMTLANDS LÄN</t>
        </is>
      </c>
      <c r="E1174" t="inlineStr">
        <is>
          <t>RAGUNDA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1523-2024</t>
        </is>
      </c>
      <c r="B1175" s="1" t="n">
        <v>45306</v>
      </c>
      <c r="C1175" s="1" t="n">
        <v>46084</v>
      </c>
      <c r="D1175" t="inlineStr">
        <is>
          <t>JÄMTLANDS LÄN</t>
        </is>
      </c>
      <c r="E1175" t="inlineStr">
        <is>
          <t>RAGUNDA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58630-2024</t>
        </is>
      </c>
      <c r="B1176" s="1" t="n">
        <v>45635.57331018519</v>
      </c>
      <c r="C1176" s="1" t="n">
        <v>46084</v>
      </c>
      <c r="D1176" t="inlineStr">
        <is>
          <t>JÄMTLANDS LÄN</t>
        </is>
      </c>
      <c r="E1176" t="inlineStr">
        <is>
          <t>RAGUNDA</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46549-2023</t>
        </is>
      </c>
      <c r="B1177" s="1" t="n">
        <v>45197.94171296297</v>
      </c>
      <c r="C1177" s="1" t="n">
        <v>46084</v>
      </c>
      <c r="D1177" t="inlineStr">
        <is>
          <t>JÄMTLANDS LÄN</t>
        </is>
      </c>
      <c r="E1177" t="inlineStr">
        <is>
          <t>RAGUNDA</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32258-2024</t>
        </is>
      </c>
      <c r="B1178" s="1" t="n">
        <v>45511</v>
      </c>
      <c r="C1178" s="1" t="n">
        <v>46084</v>
      </c>
      <c r="D1178" t="inlineStr">
        <is>
          <t>JÄMTLANDS LÄN</t>
        </is>
      </c>
      <c r="E1178" t="inlineStr">
        <is>
          <t>RAGUNDA</t>
        </is>
      </c>
      <c r="F1178" t="inlineStr">
        <is>
          <t>SCA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38270-2021</t>
        </is>
      </c>
      <c r="B1179" s="1" t="n">
        <v>44405.92065972222</v>
      </c>
      <c r="C1179" s="1" t="n">
        <v>46084</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29257-2024</t>
        </is>
      </c>
      <c r="B1180" s="1" t="n">
        <v>45482.94815972223</v>
      </c>
      <c r="C1180" s="1" t="n">
        <v>46084</v>
      </c>
      <c r="D1180" t="inlineStr">
        <is>
          <t>JÄMTLANDS LÄN</t>
        </is>
      </c>
      <c r="E1180" t="inlineStr">
        <is>
          <t>RAGUNDA</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27373-2023</t>
        </is>
      </c>
      <c r="B1181" s="1" t="n">
        <v>45096.93866898148</v>
      </c>
      <c r="C1181" s="1" t="n">
        <v>46084</v>
      </c>
      <c r="D1181" t="inlineStr">
        <is>
          <t>JÄMTLANDS LÄN</t>
        </is>
      </c>
      <c r="E1181" t="inlineStr">
        <is>
          <t>RAGUNDA</t>
        </is>
      </c>
      <c r="F1181" t="inlineStr">
        <is>
          <t>SCA</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62115-2024</t>
        </is>
      </c>
      <c r="B1182" s="1" t="n">
        <v>45656</v>
      </c>
      <c r="C1182" s="1" t="n">
        <v>46084</v>
      </c>
      <c r="D1182" t="inlineStr">
        <is>
          <t>JÄMTLANDS LÄN</t>
        </is>
      </c>
      <c r="E1182" t="inlineStr">
        <is>
          <t>RAGUNDA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12653-2024</t>
        </is>
      </c>
      <c r="B1183" s="1" t="n">
        <v>45384</v>
      </c>
      <c r="C1183" s="1" t="n">
        <v>46084</v>
      </c>
      <c r="D1183" t="inlineStr">
        <is>
          <t>JÄMTLANDS LÄN</t>
        </is>
      </c>
      <c r="E1183" t="inlineStr">
        <is>
          <t>RAGUNDA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50211-2023</t>
        </is>
      </c>
      <c r="B1184" s="1" t="n">
        <v>45215.94657407407</v>
      </c>
      <c r="C1184" s="1" t="n">
        <v>46084</v>
      </c>
      <c r="D1184" t="inlineStr">
        <is>
          <t>JÄMTLANDS LÄN</t>
        </is>
      </c>
      <c r="E1184" t="inlineStr">
        <is>
          <t>RAGUNDA</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9232-2025</t>
        </is>
      </c>
      <c r="B1185" s="1" t="n">
        <v>45714.55064814815</v>
      </c>
      <c r="C1185" s="1" t="n">
        <v>46084</v>
      </c>
      <c r="D1185" t="inlineStr">
        <is>
          <t>JÄMTLANDS LÄN</t>
        </is>
      </c>
      <c r="E1185" t="inlineStr">
        <is>
          <t>RAGUNDA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29775-2023</t>
        </is>
      </c>
      <c r="B1186" s="1" t="n">
        <v>45098</v>
      </c>
      <c r="C1186" s="1" t="n">
        <v>46084</v>
      </c>
      <c r="D1186" t="inlineStr">
        <is>
          <t>JÄMTLANDS LÄN</t>
        </is>
      </c>
      <c r="E1186" t="inlineStr">
        <is>
          <t>RAGUNDA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44494-2024</t>
        </is>
      </c>
      <c r="B1187" s="1" t="n">
        <v>45574.39081018518</v>
      </c>
      <c r="C1187" s="1" t="n">
        <v>46084</v>
      </c>
      <c r="D1187" t="inlineStr">
        <is>
          <t>JÄMTLANDS LÄN</t>
        </is>
      </c>
      <c r="E1187" t="inlineStr">
        <is>
          <t>RAGUNDA</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13898-2023</t>
        </is>
      </c>
      <c r="B1188" s="1" t="n">
        <v>45008.01408564814</v>
      </c>
      <c r="C1188" s="1" t="n">
        <v>46084</v>
      </c>
      <c r="D1188" t="inlineStr">
        <is>
          <t>JÄMTLANDS LÄN</t>
        </is>
      </c>
      <c r="E1188" t="inlineStr">
        <is>
          <t>RAGUNDA</t>
        </is>
      </c>
      <c r="F1188" t="inlineStr">
        <is>
          <t>SCA</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26026-2024</t>
        </is>
      </c>
      <c r="B1189" s="1" t="n">
        <v>45467.96207175926</v>
      </c>
      <c r="C1189" s="1" t="n">
        <v>46084</v>
      </c>
      <c r="D1189" t="inlineStr">
        <is>
          <t>JÄMTLANDS LÄN</t>
        </is>
      </c>
      <c r="E1189" t="inlineStr">
        <is>
          <t>RAGUNDA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5429-2024</t>
        </is>
      </c>
      <c r="B1190" s="1" t="n">
        <v>45331.92746527777</v>
      </c>
      <c r="C1190" s="1" t="n">
        <v>46084</v>
      </c>
      <c r="D1190" t="inlineStr">
        <is>
          <t>JÄMTLANDS LÄN</t>
        </is>
      </c>
      <c r="E1190" t="inlineStr">
        <is>
          <t>RAGUNDA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3720-2025</t>
        </is>
      </c>
      <c r="B1191" s="1" t="n">
        <v>45681.5315625</v>
      </c>
      <c r="C1191" s="1" t="n">
        <v>46084</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3770-2025</t>
        </is>
      </c>
      <c r="B1192" s="1" t="n">
        <v>45681.6050925926</v>
      </c>
      <c r="C1192" s="1" t="n">
        <v>46084</v>
      </c>
      <c r="D1192" t="inlineStr">
        <is>
          <t>JÄMTLANDS LÄN</t>
        </is>
      </c>
      <c r="E1192" t="inlineStr">
        <is>
          <t>RAGUNDA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51579-2024</t>
        </is>
      </c>
      <c r="B1193" s="1" t="n">
        <v>45604.63575231482</v>
      </c>
      <c r="C1193" s="1" t="n">
        <v>46084</v>
      </c>
      <c r="D1193" t="inlineStr">
        <is>
          <t>JÄMTLANDS LÄN</t>
        </is>
      </c>
      <c r="E1193" t="inlineStr">
        <is>
          <t>RAGUNDA</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8775-2025</t>
        </is>
      </c>
      <c r="B1194" s="1" t="n">
        <v>45712.61502314815</v>
      </c>
      <c r="C1194" s="1" t="n">
        <v>46084</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2339-2025</t>
        </is>
      </c>
      <c r="B1195" s="1" t="n">
        <v>45673.66358796296</v>
      </c>
      <c r="C1195" s="1" t="n">
        <v>46084</v>
      </c>
      <c r="D1195" t="inlineStr">
        <is>
          <t>JÄMTLANDS LÄN</t>
        </is>
      </c>
      <c r="E1195" t="inlineStr">
        <is>
          <t>RAGUNDA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27499-2024</t>
        </is>
      </c>
      <c r="B1196" s="1" t="n">
        <v>45474.50608796296</v>
      </c>
      <c r="C1196" s="1" t="n">
        <v>46084</v>
      </c>
      <c r="D1196" t="inlineStr">
        <is>
          <t>JÄMTLANDS LÄN</t>
        </is>
      </c>
      <c r="E1196" t="inlineStr">
        <is>
          <t>RAGUNDA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57078-2023</t>
        </is>
      </c>
      <c r="B1197" s="1" t="n">
        <v>45244.96774305555</v>
      </c>
      <c r="C1197" s="1" t="n">
        <v>46084</v>
      </c>
      <c r="D1197" t="inlineStr">
        <is>
          <t>JÄMTLANDS LÄN</t>
        </is>
      </c>
      <c r="E1197" t="inlineStr">
        <is>
          <t>RAGUNDA</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59368-2022</t>
        </is>
      </c>
      <c r="B1198" s="1" t="n">
        <v>44904.94824074074</v>
      </c>
      <c r="C1198" s="1" t="n">
        <v>46084</v>
      </c>
      <c r="D1198" t="inlineStr">
        <is>
          <t>JÄMTLANDS LÄN</t>
        </is>
      </c>
      <c r="E1198" t="inlineStr">
        <is>
          <t>RAGUNDA</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6801-2023</t>
        </is>
      </c>
      <c r="B1199" s="1" t="n">
        <v>44966.95328703704</v>
      </c>
      <c r="C1199" s="1" t="n">
        <v>46084</v>
      </c>
      <c r="D1199" t="inlineStr">
        <is>
          <t>JÄMTLANDS LÄN</t>
        </is>
      </c>
      <c r="E1199" t="inlineStr">
        <is>
          <t>RAGUNDA</t>
        </is>
      </c>
      <c r="F1199" t="inlineStr">
        <is>
          <t>SCA</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41656-2023</t>
        </is>
      </c>
      <c r="B1200" s="1" t="n">
        <v>45175</v>
      </c>
      <c r="C1200" s="1" t="n">
        <v>46084</v>
      </c>
      <c r="D1200" t="inlineStr">
        <is>
          <t>JÄMTLANDS LÄN</t>
        </is>
      </c>
      <c r="E1200" t="inlineStr">
        <is>
          <t>RAGUNDA</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51646-2023</t>
        </is>
      </c>
      <c r="B1201" s="1" t="n">
        <v>45215</v>
      </c>
      <c r="C1201" s="1" t="n">
        <v>46084</v>
      </c>
      <c r="D1201" t="inlineStr">
        <is>
          <t>JÄMTLANDS LÄN</t>
        </is>
      </c>
      <c r="E1201" t="inlineStr">
        <is>
          <t>RAGUNDA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37268-2024</t>
        </is>
      </c>
      <c r="B1202" s="1" t="n">
        <v>45540.38586805556</v>
      </c>
      <c r="C1202" s="1" t="n">
        <v>46084</v>
      </c>
      <c r="D1202" t="inlineStr">
        <is>
          <t>JÄMTLANDS LÄN</t>
        </is>
      </c>
      <c r="E1202" t="inlineStr">
        <is>
          <t>RAGUNDA</t>
        </is>
      </c>
      <c r="F1202" t="inlineStr">
        <is>
          <t>SCA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14512-2025</t>
        </is>
      </c>
      <c r="B1203" s="1" t="n">
        <v>45741.63659722222</v>
      </c>
      <c r="C1203" s="1" t="n">
        <v>46084</v>
      </c>
      <c r="D1203" t="inlineStr">
        <is>
          <t>JÄMTLANDS LÄN</t>
        </is>
      </c>
      <c r="E1203" t="inlineStr">
        <is>
          <t>RAGUNDA</t>
        </is>
      </c>
      <c r="F1203" t="inlineStr">
        <is>
          <t>SCA</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50649-2022</t>
        </is>
      </c>
      <c r="B1204" s="1" t="n">
        <v>44866</v>
      </c>
      <c r="C1204" s="1" t="n">
        <v>46084</v>
      </c>
      <c r="D1204" t="inlineStr">
        <is>
          <t>JÄMTLANDS LÄN</t>
        </is>
      </c>
      <c r="E1204" t="inlineStr">
        <is>
          <t>RAGUNDA</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59759-2024</t>
        </is>
      </c>
      <c r="B1205" s="1" t="n">
        <v>45639.55240740741</v>
      </c>
      <c r="C1205" s="1" t="n">
        <v>46084</v>
      </c>
      <c r="D1205" t="inlineStr">
        <is>
          <t>JÄMTLANDS LÄN</t>
        </is>
      </c>
      <c r="E1205" t="inlineStr">
        <is>
          <t>RAGUNDA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35537-2021</t>
        </is>
      </c>
      <c r="B1206" s="1" t="n">
        <v>44384</v>
      </c>
      <c r="C1206" s="1" t="n">
        <v>46084</v>
      </c>
      <c r="D1206" t="inlineStr">
        <is>
          <t>JÄMTLANDS LÄN</t>
        </is>
      </c>
      <c r="E1206" t="inlineStr">
        <is>
          <t>RAGUNDA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2819-2023</t>
        </is>
      </c>
      <c r="B1207" s="1" t="n">
        <v>44944</v>
      </c>
      <c r="C1207" s="1" t="n">
        <v>46084</v>
      </c>
      <c r="D1207" t="inlineStr">
        <is>
          <t>JÄMTLANDS LÄN</t>
        </is>
      </c>
      <c r="E1207" t="inlineStr">
        <is>
          <t>RAGUNDA</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44536-2022</t>
        </is>
      </c>
      <c r="B1208" s="1" t="n">
        <v>44839</v>
      </c>
      <c r="C1208" s="1" t="n">
        <v>46084</v>
      </c>
      <c r="D1208" t="inlineStr">
        <is>
          <t>JÄMTLANDS LÄN</t>
        </is>
      </c>
      <c r="E1208" t="inlineStr">
        <is>
          <t>RAGUNDA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30459-2021</t>
        </is>
      </c>
      <c r="B1209" s="1" t="n">
        <v>44362</v>
      </c>
      <c r="C1209" s="1" t="n">
        <v>46084</v>
      </c>
      <c r="D1209" t="inlineStr">
        <is>
          <t>JÄMTLANDS LÄN</t>
        </is>
      </c>
      <c r="E1209" t="inlineStr">
        <is>
          <t>RAGUNDA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37543-2023</t>
        </is>
      </c>
      <c r="B1210" s="1" t="n">
        <v>45158.94231481481</v>
      </c>
      <c r="C1210" s="1" t="n">
        <v>46084</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7668-2025</t>
        </is>
      </c>
      <c r="B1211" s="1" t="n">
        <v>45706.34450231482</v>
      </c>
      <c r="C1211" s="1" t="n">
        <v>46084</v>
      </c>
      <c r="D1211" t="inlineStr">
        <is>
          <t>JÄMTLANDS LÄN</t>
        </is>
      </c>
      <c r="E1211" t="inlineStr">
        <is>
          <t>RAGUNDA</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36046-2023</t>
        </is>
      </c>
      <c r="B1212" s="1" t="n">
        <v>45148</v>
      </c>
      <c r="C1212" s="1" t="n">
        <v>46084</v>
      </c>
      <c r="D1212" t="inlineStr">
        <is>
          <t>JÄMTLANDS LÄN</t>
        </is>
      </c>
      <c r="E1212" t="inlineStr">
        <is>
          <t>RAGUNDA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8654-2024</t>
        </is>
      </c>
      <c r="B1213" s="1" t="n">
        <v>45356.03784722222</v>
      </c>
      <c r="C1213" s="1" t="n">
        <v>46084</v>
      </c>
      <c r="D1213" t="inlineStr">
        <is>
          <t>JÄMTLANDS LÄN</t>
        </is>
      </c>
      <c r="E1213" t="inlineStr">
        <is>
          <t>RAGUNDA</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6902-2024</t>
        </is>
      </c>
      <c r="B1214" s="1" t="n">
        <v>45342</v>
      </c>
      <c r="C1214" s="1" t="n">
        <v>46084</v>
      </c>
      <c r="D1214" t="inlineStr">
        <is>
          <t>JÄMTLANDS LÄN</t>
        </is>
      </c>
      <c r="E1214" t="inlineStr">
        <is>
          <t>RAGUNDA</t>
        </is>
      </c>
      <c r="F1214" t="inlineStr">
        <is>
          <t>SCA</t>
        </is>
      </c>
      <c r="G1214" t="n">
        <v>18.7</v>
      </c>
      <c r="H1214" t="n">
        <v>0</v>
      </c>
      <c r="I1214" t="n">
        <v>0</v>
      </c>
      <c r="J1214" t="n">
        <v>0</v>
      </c>
      <c r="K1214" t="n">
        <v>0</v>
      </c>
      <c r="L1214" t="n">
        <v>0</v>
      </c>
      <c r="M1214" t="n">
        <v>0</v>
      </c>
      <c r="N1214" t="n">
        <v>0</v>
      </c>
      <c r="O1214" t="n">
        <v>0</v>
      </c>
      <c r="P1214" t="n">
        <v>0</v>
      </c>
      <c r="Q1214" t="n">
        <v>0</v>
      </c>
      <c r="R1214" s="2" t="inlineStr"/>
    </row>
    <row r="1215" ht="15" customHeight="1">
      <c r="A1215" t="inlineStr">
        <is>
          <t>A 6905-2024</t>
        </is>
      </c>
      <c r="B1215" s="1" t="n">
        <v>45342.9462037037</v>
      </c>
      <c r="C1215" s="1" t="n">
        <v>46084</v>
      </c>
      <c r="D1215" t="inlineStr">
        <is>
          <t>JÄMTLANDS LÄN</t>
        </is>
      </c>
      <c r="E1215" t="inlineStr">
        <is>
          <t>RAGUNDA</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22731-2023</t>
        </is>
      </c>
      <c r="B1216" s="1" t="n">
        <v>45071</v>
      </c>
      <c r="C1216" s="1" t="n">
        <v>46084</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11245-2025</t>
        </is>
      </c>
      <c r="B1217" s="1" t="n">
        <v>45726.38575231482</v>
      </c>
      <c r="C1217" s="1" t="n">
        <v>46084</v>
      </c>
      <c r="D1217" t="inlineStr">
        <is>
          <t>JÄMTLANDS LÄN</t>
        </is>
      </c>
      <c r="E1217" t="inlineStr">
        <is>
          <t>RAGUNDA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61923-2024</t>
        </is>
      </c>
      <c r="B1218" s="1" t="n">
        <v>45653.44836805556</v>
      </c>
      <c r="C1218" s="1" t="n">
        <v>46084</v>
      </c>
      <c r="D1218" t="inlineStr">
        <is>
          <t>JÄMTLANDS LÄN</t>
        </is>
      </c>
      <c r="E1218" t="inlineStr">
        <is>
          <t>RAGUNDA</t>
        </is>
      </c>
      <c r="F1218" t="inlineStr">
        <is>
          <t>SCA</t>
        </is>
      </c>
      <c r="G1218" t="n">
        <v>11.1</v>
      </c>
      <c r="H1218" t="n">
        <v>0</v>
      </c>
      <c r="I1218" t="n">
        <v>0</v>
      </c>
      <c r="J1218" t="n">
        <v>0</v>
      </c>
      <c r="K1218" t="n">
        <v>0</v>
      </c>
      <c r="L1218" t="n">
        <v>0</v>
      </c>
      <c r="M1218" t="n">
        <v>0</v>
      </c>
      <c r="N1218" t="n">
        <v>0</v>
      </c>
      <c r="O1218" t="n">
        <v>0</v>
      </c>
      <c r="P1218" t="n">
        <v>0</v>
      </c>
      <c r="Q1218" t="n">
        <v>0</v>
      </c>
      <c r="R1218" s="2" t="inlineStr"/>
    </row>
    <row r="1219" ht="15" customHeight="1">
      <c r="A1219" t="inlineStr">
        <is>
          <t>A 23567-2024</t>
        </is>
      </c>
      <c r="B1219" s="1" t="n">
        <v>45453.95538194444</v>
      </c>
      <c r="C1219" s="1" t="n">
        <v>46084</v>
      </c>
      <c r="D1219" t="inlineStr">
        <is>
          <t>JÄMTLANDS LÄN</t>
        </is>
      </c>
      <c r="E1219" t="inlineStr">
        <is>
          <t>RAGUNDA</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19246-2023</t>
        </is>
      </c>
      <c r="B1220" s="1" t="n">
        <v>45048.94340277778</v>
      </c>
      <c r="C1220" s="1" t="n">
        <v>46084</v>
      </c>
      <c r="D1220" t="inlineStr">
        <is>
          <t>JÄMTLANDS LÄN</t>
        </is>
      </c>
      <c r="E1220" t="inlineStr">
        <is>
          <t>RAGUNDA</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61109-2024</t>
        </is>
      </c>
      <c r="B1221" s="1" t="n">
        <v>45645.55672453704</v>
      </c>
      <c r="C1221" s="1" t="n">
        <v>46084</v>
      </c>
      <c r="D1221" t="inlineStr">
        <is>
          <t>JÄMTLANDS LÄN</t>
        </is>
      </c>
      <c r="E1221" t="inlineStr">
        <is>
          <t>RAGUNDA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58955-2024</t>
        </is>
      </c>
      <c r="B1222" s="1" t="n">
        <v>45636.57329861111</v>
      </c>
      <c r="C1222" s="1" t="n">
        <v>46084</v>
      </c>
      <c r="D1222" t="inlineStr">
        <is>
          <t>JÄMTLANDS LÄN</t>
        </is>
      </c>
      <c r="E1222" t="inlineStr">
        <is>
          <t>RAGUNDA</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33877-2023</t>
        </is>
      </c>
      <c r="B1223" s="1" t="n">
        <v>45133</v>
      </c>
      <c r="C1223" s="1" t="n">
        <v>46084</v>
      </c>
      <c r="D1223" t="inlineStr">
        <is>
          <t>JÄMTLANDS LÄN</t>
        </is>
      </c>
      <c r="E1223" t="inlineStr">
        <is>
          <t>RAGUNDA</t>
        </is>
      </c>
      <c r="F1223" t="inlineStr">
        <is>
          <t>SCA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62541-2022</t>
        </is>
      </c>
      <c r="B1224" s="1" t="n">
        <v>44917</v>
      </c>
      <c r="C1224" s="1" t="n">
        <v>46084</v>
      </c>
      <c r="D1224" t="inlineStr">
        <is>
          <t>JÄMTLANDS LÄN</t>
        </is>
      </c>
      <c r="E1224" t="inlineStr">
        <is>
          <t>RAGUNDA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9567-2025</t>
        </is>
      </c>
      <c r="B1225" s="1" t="n">
        <v>45715.61523148148</v>
      </c>
      <c r="C1225" s="1" t="n">
        <v>46084</v>
      </c>
      <c r="D1225" t="inlineStr">
        <is>
          <t>JÄMTLANDS LÄN</t>
        </is>
      </c>
      <c r="E1225" t="inlineStr">
        <is>
          <t>RAGUNDA</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21661-2023</t>
        </is>
      </c>
      <c r="B1226" s="1" t="n">
        <v>45063</v>
      </c>
      <c r="C1226" s="1" t="n">
        <v>46084</v>
      </c>
      <c r="D1226" t="inlineStr">
        <is>
          <t>JÄMTLANDS LÄN</t>
        </is>
      </c>
      <c r="E1226" t="inlineStr">
        <is>
          <t>RAGUNDA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69153-2021</t>
        </is>
      </c>
      <c r="B1227" s="1" t="n">
        <v>44530.94694444445</v>
      </c>
      <c r="C1227" s="1" t="n">
        <v>46084</v>
      </c>
      <c r="D1227" t="inlineStr">
        <is>
          <t>JÄMTLANDS LÄN</t>
        </is>
      </c>
      <c r="E1227" t="inlineStr">
        <is>
          <t>RAGUNDA</t>
        </is>
      </c>
      <c r="F1227" t="inlineStr">
        <is>
          <t>SCA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12585-2024</t>
        </is>
      </c>
      <c r="B1228" s="1" t="n">
        <v>45379.93637731481</v>
      </c>
      <c r="C1228" s="1" t="n">
        <v>46084</v>
      </c>
      <c r="D1228" t="inlineStr">
        <is>
          <t>JÄMTLANDS LÄN</t>
        </is>
      </c>
      <c r="E1228" t="inlineStr">
        <is>
          <t>RAGUNDA</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55489-2024</t>
        </is>
      </c>
      <c r="B1229" s="1" t="n">
        <v>45622.44774305556</v>
      </c>
      <c r="C1229" s="1" t="n">
        <v>46084</v>
      </c>
      <c r="D1229" t="inlineStr">
        <is>
          <t>JÄMTLANDS LÄN</t>
        </is>
      </c>
      <c r="E1229" t="inlineStr">
        <is>
          <t>RAGUNDA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18631-2024</t>
        </is>
      </c>
      <c r="B1230" s="1" t="n">
        <v>45425.96494212963</v>
      </c>
      <c r="C1230" s="1" t="n">
        <v>46084</v>
      </c>
      <c r="D1230" t="inlineStr">
        <is>
          <t>JÄMTLANDS LÄN</t>
        </is>
      </c>
      <c r="E1230" t="inlineStr">
        <is>
          <t>RAGUNDA</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26646-2023</t>
        </is>
      </c>
      <c r="B1231" s="1" t="n">
        <v>45092</v>
      </c>
      <c r="C1231" s="1" t="n">
        <v>46084</v>
      </c>
      <c r="D1231" t="inlineStr">
        <is>
          <t>JÄMTLANDS LÄN</t>
        </is>
      </c>
      <c r="E1231" t="inlineStr">
        <is>
          <t>RAGUNDA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43405-2023</t>
        </is>
      </c>
      <c r="B1232" s="1" t="n">
        <v>45183.95563657407</v>
      </c>
      <c r="C1232" s="1" t="n">
        <v>46084</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59496-2024</t>
        </is>
      </c>
      <c r="B1233" s="1" t="n">
        <v>45638</v>
      </c>
      <c r="C1233" s="1" t="n">
        <v>46084</v>
      </c>
      <c r="D1233" t="inlineStr">
        <is>
          <t>JÄMTLANDS LÄN</t>
        </is>
      </c>
      <c r="E1233" t="inlineStr">
        <is>
          <t>RAGUNDA</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62106-2023</t>
        </is>
      </c>
      <c r="B1234" s="1" t="n">
        <v>45266.95082175926</v>
      </c>
      <c r="C1234" s="1" t="n">
        <v>46084</v>
      </c>
      <c r="D1234" t="inlineStr">
        <is>
          <t>JÄMTLANDS LÄN</t>
        </is>
      </c>
      <c r="E1234" t="inlineStr">
        <is>
          <t>RAGUNDA</t>
        </is>
      </c>
      <c r="F1234" t="inlineStr">
        <is>
          <t>SCA</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18781-2024</t>
        </is>
      </c>
      <c r="B1235" s="1" t="n">
        <v>45426</v>
      </c>
      <c r="C1235" s="1" t="n">
        <v>46084</v>
      </c>
      <c r="D1235" t="inlineStr">
        <is>
          <t>JÄMTLANDS LÄN</t>
        </is>
      </c>
      <c r="E1235" t="inlineStr">
        <is>
          <t>RAGUNDA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62081-2022</t>
        </is>
      </c>
      <c r="B1236" s="1" t="n">
        <v>44918</v>
      </c>
      <c r="C1236" s="1" t="n">
        <v>46084</v>
      </c>
      <c r="D1236" t="inlineStr">
        <is>
          <t>JÄMTLANDS LÄN</t>
        </is>
      </c>
      <c r="E1236" t="inlineStr">
        <is>
          <t>RAGUNDA</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30826-2023</t>
        </is>
      </c>
      <c r="B1237" s="1" t="n">
        <v>45112</v>
      </c>
      <c r="C1237" s="1" t="n">
        <v>46084</v>
      </c>
      <c r="D1237" t="inlineStr">
        <is>
          <t>JÄMTLANDS LÄN</t>
        </is>
      </c>
      <c r="E1237" t="inlineStr">
        <is>
          <t>RAGUNDA</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53263-2024</t>
        </is>
      </c>
      <c r="B1238" s="1" t="n">
        <v>45614.34541666666</v>
      </c>
      <c r="C1238" s="1" t="n">
        <v>46084</v>
      </c>
      <c r="D1238" t="inlineStr">
        <is>
          <t>JÄMTLANDS LÄN</t>
        </is>
      </c>
      <c r="E1238" t="inlineStr">
        <is>
          <t>RAGUNDA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26645-2024</t>
        </is>
      </c>
      <c r="B1239" s="1" t="n">
        <v>45469.94667824074</v>
      </c>
      <c r="C1239" s="1" t="n">
        <v>46084</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893-2025</t>
        </is>
      </c>
      <c r="B1240" s="1" t="n">
        <v>45665.65684027778</v>
      </c>
      <c r="C1240" s="1" t="n">
        <v>46084</v>
      </c>
      <c r="D1240" t="inlineStr">
        <is>
          <t>JÄMTLANDS LÄN</t>
        </is>
      </c>
      <c r="E1240" t="inlineStr">
        <is>
          <t>RAGUNDA</t>
        </is>
      </c>
      <c r="F1240" t="inlineStr">
        <is>
          <t>SCA</t>
        </is>
      </c>
      <c r="G1240" t="n">
        <v>45.1</v>
      </c>
      <c r="H1240" t="n">
        <v>0</v>
      </c>
      <c r="I1240" t="n">
        <v>0</v>
      </c>
      <c r="J1240" t="n">
        <v>0</v>
      </c>
      <c r="K1240" t="n">
        <v>0</v>
      </c>
      <c r="L1240" t="n">
        <v>0</v>
      </c>
      <c r="M1240" t="n">
        <v>0</v>
      </c>
      <c r="N1240" t="n">
        <v>0</v>
      </c>
      <c r="O1240" t="n">
        <v>0</v>
      </c>
      <c r="P1240" t="n">
        <v>0</v>
      </c>
      <c r="Q1240" t="n">
        <v>0</v>
      </c>
      <c r="R1240" s="2" t="inlineStr"/>
    </row>
    <row r="1241" ht="15" customHeight="1">
      <c r="A1241" t="inlineStr">
        <is>
          <t>A 31135-2023</t>
        </is>
      </c>
      <c r="B1241" s="1" t="n">
        <v>45103</v>
      </c>
      <c r="C1241" s="1" t="n">
        <v>46084</v>
      </c>
      <c r="D1241" t="inlineStr">
        <is>
          <t>JÄMTLANDS LÄN</t>
        </is>
      </c>
      <c r="E1241" t="inlineStr">
        <is>
          <t>RAGUNDA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43132-2023</t>
        </is>
      </c>
      <c r="B1242" s="1" t="n">
        <v>45182</v>
      </c>
      <c r="C1242" s="1" t="n">
        <v>46084</v>
      </c>
      <c r="D1242" t="inlineStr">
        <is>
          <t>JÄMTLANDS LÄN</t>
        </is>
      </c>
      <c r="E1242" t="inlineStr">
        <is>
          <t>RAGUNDA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56284-2023</t>
        </is>
      </c>
      <c r="B1243" s="1" t="n">
        <v>45241.95724537037</v>
      </c>
      <c r="C1243" s="1" t="n">
        <v>46084</v>
      </c>
      <c r="D1243" t="inlineStr">
        <is>
          <t>JÄMTLANDS LÄN</t>
        </is>
      </c>
      <c r="E1243" t="inlineStr">
        <is>
          <t>RAGUNDA</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61045-2022</t>
        </is>
      </c>
      <c r="B1244" s="1" t="n">
        <v>44914</v>
      </c>
      <c r="C1244" s="1" t="n">
        <v>46084</v>
      </c>
      <c r="D1244" t="inlineStr">
        <is>
          <t>JÄMTLANDS LÄN</t>
        </is>
      </c>
      <c r="E1244" t="inlineStr">
        <is>
          <t>RAGUNDA</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61197-2023</t>
        </is>
      </c>
      <c r="B1245" s="1" t="n">
        <v>45260</v>
      </c>
      <c r="C1245" s="1" t="n">
        <v>46084</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13263-2025</t>
        </is>
      </c>
      <c r="B1246" s="1" t="n">
        <v>45735.53177083333</v>
      </c>
      <c r="C1246" s="1" t="n">
        <v>46084</v>
      </c>
      <c r="D1246" t="inlineStr">
        <is>
          <t>JÄMTLANDS LÄN</t>
        </is>
      </c>
      <c r="E1246" t="inlineStr">
        <is>
          <t>RAGUNDA</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48066-2022</t>
        </is>
      </c>
      <c r="B1247" s="1" t="n">
        <v>44855</v>
      </c>
      <c r="C1247" s="1" t="n">
        <v>46084</v>
      </c>
      <c r="D1247" t="inlineStr">
        <is>
          <t>JÄMTLANDS LÄN</t>
        </is>
      </c>
      <c r="E1247" t="inlineStr">
        <is>
          <t>RAGUNDA</t>
        </is>
      </c>
      <c r="F1247" t="inlineStr">
        <is>
          <t>SCA</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64415-2023</t>
        </is>
      </c>
      <c r="B1248" s="1" t="n">
        <v>45280</v>
      </c>
      <c r="C1248" s="1" t="n">
        <v>46084</v>
      </c>
      <c r="D1248" t="inlineStr">
        <is>
          <t>JÄMTLANDS LÄN</t>
        </is>
      </c>
      <c r="E1248" t="inlineStr">
        <is>
          <t>RAGUNDA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60225-2022</t>
        </is>
      </c>
      <c r="B1249" s="1" t="n">
        <v>44903</v>
      </c>
      <c r="C1249" s="1" t="n">
        <v>46084</v>
      </c>
      <c r="D1249" t="inlineStr">
        <is>
          <t>JÄMTLANDS LÄN</t>
        </is>
      </c>
      <c r="E1249" t="inlineStr">
        <is>
          <t>RAGUNDA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15864-2024</t>
        </is>
      </c>
      <c r="B1250" s="1" t="n">
        <v>45404.99792824074</v>
      </c>
      <c r="C1250" s="1" t="n">
        <v>46084</v>
      </c>
      <c r="D1250" t="inlineStr">
        <is>
          <t>JÄMTLANDS LÄN</t>
        </is>
      </c>
      <c r="E1250" t="inlineStr">
        <is>
          <t>RAGUNDA</t>
        </is>
      </c>
      <c r="F1250" t="inlineStr">
        <is>
          <t>SCA</t>
        </is>
      </c>
      <c r="G1250" t="n">
        <v>1.1</v>
      </c>
      <c r="H1250" t="n">
        <v>0</v>
      </c>
      <c r="I1250" t="n">
        <v>0</v>
      </c>
      <c r="J1250" t="n">
        <v>0</v>
      </c>
      <c r="K1250" t="n">
        <v>0</v>
      </c>
      <c r="L1250" t="n">
        <v>0</v>
      </c>
      <c r="M1250" t="n">
        <v>0</v>
      </c>
      <c r="N1250" t="n">
        <v>0</v>
      </c>
      <c r="O1250" t="n">
        <v>0</v>
      </c>
      <c r="P1250" t="n">
        <v>0</v>
      </c>
      <c r="Q1250" t="n">
        <v>0</v>
      </c>
      <c r="R1250" s="2" t="inlineStr"/>
      <c r="U1250">
        <f>HYPERLINK("https://klasma.github.io/Logging_2303/knärot/A 15864-2024 karta knärot.png", "A 15864-2024")</f>
        <v/>
      </c>
      <c r="V1250">
        <f>HYPERLINK("https://klasma.github.io/Logging_2303/klagomål/A 15864-2024 FSC-klagomål.docx", "A 15864-2024")</f>
        <v/>
      </c>
      <c r="W1250">
        <f>HYPERLINK("https://klasma.github.io/Logging_2303/klagomålsmail/A 15864-2024 FSC-klagomål mail.docx", "A 15864-2024")</f>
        <v/>
      </c>
      <c r="X1250">
        <f>HYPERLINK("https://klasma.github.io/Logging_2303/tillsyn/A 15864-2024 tillsynsbegäran.docx", "A 15864-2024")</f>
        <v/>
      </c>
      <c r="Y1250">
        <f>HYPERLINK("https://klasma.github.io/Logging_2303/tillsynsmail/A 15864-2024 tillsynsbegäran mail.docx", "A 15864-2024")</f>
        <v/>
      </c>
    </row>
    <row r="1251" ht="15" customHeight="1">
      <c r="A1251" t="inlineStr">
        <is>
          <t>A 57749-2024</t>
        </is>
      </c>
      <c r="B1251" s="1" t="n">
        <v>45630.7862037037</v>
      </c>
      <c r="C1251" s="1" t="n">
        <v>46084</v>
      </c>
      <c r="D1251" t="inlineStr">
        <is>
          <t>JÄMTLANDS LÄN</t>
        </is>
      </c>
      <c r="E1251" t="inlineStr">
        <is>
          <t>RAGUNDA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24280-2021</t>
        </is>
      </c>
      <c r="B1252" s="1" t="n">
        <v>44336</v>
      </c>
      <c r="C1252" s="1" t="n">
        <v>46084</v>
      </c>
      <c r="D1252" t="inlineStr">
        <is>
          <t>JÄMTLANDS LÄN</t>
        </is>
      </c>
      <c r="E1252" t="inlineStr">
        <is>
          <t>RAGUNDA</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8886-2024</t>
        </is>
      </c>
      <c r="B1253" s="1" t="n">
        <v>45357.05300925926</v>
      </c>
      <c r="C1253" s="1" t="n">
        <v>46084</v>
      </c>
      <c r="D1253" t="inlineStr">
        <is>
          <t>JÄMTLANDS LÄN</t>
        </is>
      </c>
      <c r="E1253" t="inlineStr">
        <is>
          <t>RAGUNDA</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28596-2021</t>
        </is>
      </c>
      <c r="B1254" s="1" t="n">
        <v>44356</v>
      </c>
      <c r="C1254" s="1" t="n">
        <v>46084</v>
      </c>
      <c r="D1254" t="inlineStr">
        <is>
          <t>JÄMTLANDS LÄN</t>
        </is>
      </c>
      <c r="E1254" t="inlineStr">
        <is>
          <t>RAGUNDA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11058-2025</t>
        </is>
      </c>
      <c r="B1255" s="1" t="n">
        <v>45723.51079861111</v>
      </c>
      <c r="C1255" s="1" t="n">
        <v>46084</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38664-2022</t>
        </is>
      </c>
      <c r="B1256" s="1" t="n">
        <v>44813</v>
      </c>
      <c r="C1256" s="1" t="n">
        <v>46084</v>
      </c>
      <c r="D1256" t="inlineStr">
        <is>
          <t>JÄMTLANDS LÄN</t>
        </is>
      </c>
      <c r="E1256" t="inlineStr">
        <is>
          <t>RAGUNDA</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24441-2024</t>
        </is>
      </c>
      <c r="B1257" s="1" t="n">
        <v>45457.96372685185</v>
      </c>
      <c r="C1257" s="1" t="n">
        <v>46084</v>
      </c>
      <c r="D1257" t="inlineStr">
        <is>
          <t>JÄMTLANDS LÄN</t>
        </is>
      </c>
      <c r="E1257" t="inlineStr">
        <is>
          <t>RAGUNDA</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40801-2023</t>
        </is>
      </c>
      <c r="B1258" s="1" t="n">
        <v>45170</v>
      </c>
      <c r="C1258" s="1" t="n">
        <v>46084</v>
      </c>
      <c r="D1258" t="inlineStr">
        <is>
          <t>JÄMTLANDS LÄN</t>
        </is>
      </c>
      <c r="E1258" t="inlineStr">
        <is>
          <t>RAGUNDA</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48065-2023</t>
        </is>
      </c>
      <c r="B1259" s="1" t="n">
        <v>45204.94399305555</v>
      </c>
      <c r="C1259" s="1" t="n">
        <v>46084</v>
      </c>
      <c r="D1259" t="inlineStr">
        <is>
          <t>JÄMTLANDS LÄN</t>
        </is>
      </c>
      <c r="E1259" t="inlineStr">
        <is>
          <t>RAGUNDA</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4592-2024</t>
        </is>
      </c>
      <c r="B1260" s="1" t="n">
        <v>45327.94443287037</v>
      </c>
      <c r="C1260" s="1" t="n">
        <v>46084</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60195-2023</t>
        </is>
      </c>
      <c r="B1261" s="1" t="n">
        <v>45257</v>
      </c>
      <c r="C1261" s="1" t="n">
        <v>46084</v>
      </c>
      <c r="D1261" t="inlineStr">
        <is>
          <t>JÄMTLANDS LÄN</t>
        </is>
      </c>
      <c r="E1261" t="inlineStr">
        <is>
          <t>RAGUNDA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22981-2023</t>
        </is>
      </c>
      <c r="B1262" s="1" t="n">
        <v>45072.92737268518</v>
      </c>
      <c r="C1262" s="1" t="n">
        <v>46084</v>
      </c>
      <c r="D1262" t="inlineStr">
        <is>
          <t>JÄMTLANDS LÄN</t>
        </is>
      </c>
      <c r="E1262" t="inlineStr">
        <is>
          <t>RAGUNDA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26942-2021</t>
        </is>
      </c>
      <c r="B1263" s="1" t="n">
        <v>44349.91978009259</v>
      </c>
      <c r="C1263" s="1" t="n">
        <v>46084</v>
      </c>
      <c r="D1263" t="inlineStr">
        <is>
          <t>JÄMTLANDS LÄN</t>
        </is>
      </c>
      <c r="E1263" t="inlineStr">
        <is>
          <t>RAGUNDA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45197.94152777778</v>
      </c>
      <c r="C1264" s="1" t="n">
        <v>46084</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19865-2023</t>
        </is>
      </c>
      <c r="B1265" s="1" t="n">
        <v>45053.94305555556</v>
      </c>
      <c r="C1265" s="1" t="n">
        <v>46084</v>
      </c>
      <c r="D1265" t="inlineStr">
        <is>
          <t>JÄMTLANDS LÄN</t>
        </is>
      </c>
      <c r="E1265" t="inlineStr">
        <is>
          <t>RAGUNDA</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564-2025</t>
        </is>
      </c>
      <c r="B1266" s="1" t="n">
        <v>45664.55241898148</v>
      </c>
      <c r="C1266" s="1" t="n">
        <v>46084</v>
      </c>
      <c r="D1266" t="inlineStr">
        <is>
          <t>JÄMTLANDS LÄN</t>
        </is>
      </c>
      <c r="E1266" t="inlineStr">
        <is>
          <t>RAGUNDA</t>
        </is>
      </c>
      <c r="F1266" t="inlineStr">
        <is>
          <t>SCA</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50555-2024</t>
        </is>
      </c>
      <c r="B1267" s="1" t="n">
        <v>45601.59518518519</v>
      </c>
      <c r="C1267" s="1" t="n">
        <v>46084</v>
      </c>
      <c r="D1267" t="inlineStr">
        <is>
          <t>JÄMTLANDS LÄN</t>
        </is>
      </c>
      <c r="E1267" t="inlineStr">
        <is>
          <t>RAGUNDA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59658-2023</t>
        </is>
      </c>
      <c r="B1268" s="1" t="n">
        <v>45254.96402777778</v>
      </c>
      <c r="C1268" s="1" t="n">
        <v>46084</v>
      </c>
      <c r="D1268" t="inlineStr">
        <is>
          <t>JÄMTLANDS LÄN</t>
        </is>
      </c>
      <c r="E1268" t="inlineStr">
        <is>
          <t>RAGUNDA</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49649-2024</t>
        </is>
      </c>
      <c r="B1269" s="1" t="n">
        <v>45596.61553240741</v>
      </c>
      <c r="C1269" s="1" t="n">
        <v>46084</v>
      </c>
      <c r="D1269" t="inlineStr">
        <is>
          <t>JÄMTLANDS LÄN</t>
        </is>
      </c>
      <c r="E1269" t="inlineStr">
        <is>
          <t>RAGUNDA</t>
        </is>
      </c>
      <c r="F1269" t="inlineStr">
        <is>
          <t>SCA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2831-2024</t>
        </is>
      </c>
      <c r="B1270" s="1" t="n">
        <v>45314.92758101852</v>
      </c>
      <c r="C1270" s="1" t="n">
        <v>46084</v>
      </c>
      <c r="D1270" t="inlineStr">
        <is>
          <t>JÄMTLANDS LÄN</t>
        </is>
      </c>
      <c r="E1270" t="inlineStr">
        <is>
          <t>RAGUNDA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53740-2024</t>
        </is>
      </c>
      <c r="B1271" s="1" t="n">
        <v>45615.47091435185</v>
      </c>
      <c r="C1271" s="1" t="n">
        <v>46084</v>
      </c>
      <c r="D1271" t="inlineStr">
        <is>
          <t>JÄMTLANDS LÄN</t>
        </is>
      </c>
      <c r="E1271" t="inlineStr">
        <is>
          <t>RAGUNDA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59372-2024</t>
        </is>
      </c>
      <c r="B1272" s="1" t="n">
        <v>45638.34431712963</v>
      </c>
      <c r="C1272" s="1" t="n">
        <v>46084</v>
      </c>
      <c r="D1272" t="inlineStr">
        <is>
          <t>JÄMTLANDS LÄN</t>
        </is>
      </c>
      <c r="E1272" t="inlineStr">
        <is>
          <t>RAGUNDA</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12522-2023</t>
        </is>
      </c>
      <c r="B1273" s="1" t="n">
        <v>45000</v>
      </c>
      <c r="C1273" s="1" t="n">
        <v>46084</v>
      </c>
      <c r="D1273" t="inlineStr">
        <is>
          <t>JÄMTLANDS LÄN</t>
        </is>
      </c>
      <c r="E1273" t="inlineStr">
        <is>
          <t>RAGUNDA</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12523-2023</t>
        </is>
      </c>
      <c r="B1274" s="1" t="n">
        <v>45000</v>
      </c>
      <c r="C1274" s="1" t="n">
        <v>46084</v>
      </c>
      <c r="D1274" t="inlineStr">
        <is>
          <t>JÄMTLANDS LÄN</t>
        </is>
      </c>
      <c r="E1274" t="inlineStr">
        <is>
          <t>RAGUNDA</t>
        </is>
      </c>
      <c r="F1274" t="inlineStr">
        <is>
          <t>SCA</t>
        </is>
      </c>
      <c r="G1274" t="n">
        <v>14.3</v>
      </c>
      <c r="H1274" t="n">
        <v>0</v>
      </c>
      <c r="I1274" t="n">
        <v>0</v>
      </c>
      <c r="J1274" t="n">
        <v>0</v>
      </c>
      <c r="K1274" t="n">
        <v>0</v>
      </c>
      <c r="L1274" t="n">
        <v>0</v>
      </c>
      <c r="M1274" t="n">
        <v>0</v>
      </c>
      <c r="N1274" t="n">
        <v>0</v>
      </c>
      <c r="O1274" t="n">
        <v>0</v>
      </c>
      <c r="P1274" t="n">
        <v>0</v>
      </c>
      <c r="Q1274" t="n">
        <v>0</v>
      </c>
      <c r="R1274" s="2" t="inlineStr"/>
    </row>
    <row r="1275" ht="15" customHeight="1">
      <c r="A1275" t="inlineStr">
        <is>
          <t>A 24861-2023</t>
        </is>
      </c>
      <c r="B1275" s="1" t="n">
        <v>45078</v>
      </c>
      <c r="C1275" s="1" t="n">
        <v>46084</v>
      </c>
      <c r="D1275" t="inlineStr">
        <is>
          <t>JÄMTLANDS LÄN</t>
        </is>
      </c>
      <c r="E1275" t="inlineStr">
        <is>
          <t>RAGUNDA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13905-2025</t>
        </is>
      </c>
      <c r="B1276" s="1" t="n">
        <v>45737.63574074074</v>
      </c>
      <c r="C1276" s="1" t="n">
        <v>46084</v>
      </c>
      <c r="D1276" t="inlineStr">
        <is>
          <t>JÄMTLANDS LÄN</t>
        </is>
      </c>
      <c r="E1276" t="inlineStr">
        <is>
          <t>RAGUNDA</t>
        </is>
      </c>
      <c r="F1276" t="inlineStr">
        <is>
          <t>SCA</t>
        </is>
      </c>
      <c r="G1276" t="n">
        <v>1.4</v>
      </c>
      <c r="H1276" t="n">
        <v>0</v>
      </c>
      <c r="I1276" t="n">
        <v>0</v>
      </c>
      <c r="J1276" t="n">
        <v>0</v>
      </c>
      <c r="K1276" t="n">
        <v>0</v>
      </c>
      <c r="L1276" t="n">
        <v>0</v>
      </c>
      <c r="M1276" t="n">
        <v>0</v>
      </c>
      <c r="N1276" t="n">
        <v>0</v>
      </c>
      <c r="O1276" t="n">
        <v>0</v>
      </c>
      <c r="P1276" t="n">
        <v>0</v>
      </c>
      <c r="Q1276" t="n">
        <v>0</v>
      </c>
      <c r="R1276" s="2" t="inlineStr"/>
    </row>
    <row r="1277">
      <c r="A1277" t="inlineStr">
        <is>
          <t>A 13941-2025</t>
        </is>
      </c>
      <c r="B1277" s="1" t="n">
        <v>45737.69822916666</v>
      </c>
      <c r="C1277" s="1" t="n">
        <v>46084</v>
      </c>
      <c r="D1277" t="inlineStr">
        <is>
          <t>JÄMTLANDS LÄN</t>
        </is>
      </c>
      <c r="E1277" t="inlineStr">
        <is>
          <t>RAGUNDA</t>
        </is>
      </c>
      <c r="F1277" t="inlineStr">
        <is>
          <t>SCA</t>
        </is>
      </c>
      <c r="G1277" t="n">
        <v>3.1</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2026-03-03T11:07:51Z</dcterms:created>
  <dcterms:modified xmlns:dcterms="http://purl.org/dc/terms/" xmlns:xsi="http://www.w3.org/2001/XMLSchema-instance" xsi:type="dcterms:W3CDTF">2026-03-03T11:07:52Z</dcterms:modified>
</cp:coreProperties>
</file>