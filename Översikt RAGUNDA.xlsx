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46106</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46106</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46106</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46106</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46106</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46106</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46106</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46106</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46106</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46106</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46106</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46106</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46106</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46106</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46106</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46106</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46106</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32741-2025</t>
        </is>
      </c>
      <c r="B22" s="1" t="n">
        <v>45839</v>
      </c>
      <c r="C22" s="1" t="n">
        <v>46106</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9347-2024</t>
        </is>
      </c>
      <c r="B23" s="1" t="n">
        <v>45358.99375</v>
      </c>
      <c r="C23" s="1" t="n">
        <v>46106</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31839-2022</t>
        </is>
      </c>
      <c r="B24" s="1" t="n">
        <v>44776</v>
      </c>
      <c r="C24" s="1" t="n">
        <v>46106</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25632-2025</t>
        </is>
      </c>
      <c r="B25" s="1" t="n">
        <v>45803.59474537037</v>
      </c>
      <c r="C25" s="1" t="n">
        <v>46106</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46106</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46106</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46106</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41412-2024</t>
        </is>
      </c>
      <c r="B29" s="1" t="n">
        <v>45560.34484953704</v>
      </c>
      <c r="C29" s="1" t="n">
        <v>46106</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4591-2024</t>
        </is>
      </c>
      <c r="B30" s="1" t="n">
        <v>45327</v>
      </c>
      <c r="C30" s="1" t="n">
        <v>46106</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46106</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46106</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46106</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46106</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30876-2025</t>
        </is>
      </c>
      <c r="B35" s="1" t="n">
        <v>45832.34461805555</v>
      </c>
      <c r="C35" s="1" t="n">
        <v>46106</v>
      </c>
      <c r="D35" t="inlineStr">
        <is>
          <t>JÄMTLANDS LÄN</t>
        </is>
      </c>
      <c r="E35" t="inlineStr">
        <is>
          <t>RAGUNDA</t>
        </is>
      </c>
      <c r="F35" t="inlineStr">
        <is>
          <t>SCA</t>
        </is>
      </c>
      <c r="G35" t="n">
        <v>5.5</v>
      </c>
      <c r="H35" t="n">
        <v>6</v>
      </c>
      <c r="I35" t="n">
        <v>1</v>
      </c>
      <c r="J35" t="n">
        <v>5</v>
      </c>
      <c r="K35" t="n">
        <v>1</v>
      </c>
      <c r="L35" t="n">
        <v>0</v>
      </c>
      <c r="M35" t="n">
        <v>0</v>
      </c>
      <c r="N35" t="n">
        <v>0</v>
      </c>
      <c r="O35" t="n">
        <v>6</v>
      </c>
      <c r="P35" t="n">
        <v>1</v>
      </c>
      <c r="Q35" t="n">
        <v>9</v>
      </c>
      <c r="R35" s="2" t="inlineStr">
        <is>
          <t>Knärot
Järpe
Lunglav
Spillkråka
Tallticka
Tretåig hackspett
Kamjordstjärna
Tjäder
Nattviol</t>
        </is>
      </c>
      <c r="S35">
        <f>HYPERLINK("https://klasma.github.io/Logging_2303/artfynd/A 30876-2025 artfynd.xlsx", "A 30876-2025")</f>
        <v/>
      </c>
      <c r="T35">
        <f>HYPERLINK("https://klasma.github.io/Logging_2303/kartor/A 30876-2025 karta.png", "A 30876-2025")</f>
        <v/>
      </c>
      <c r="U35">
        <f>HYPERLINK("https://klasma.github.io/Logging_2303/knärot/A 30876-2025 karta knärot.png", "A 30876-2025")</f>
        <v/>
      </c>
      <c r="V35">
        <f>HYPERLINK("https://klasma.github.io/Logging_2303/klagomål/A 30876-2025 FSC-klagomål.docx", "A 30876-2025")</f>
        <v/>
      </c>
      <c r="W35">
        <f>HYPERLINK("https://klasma.github.io/Logging_2303/klagomålsmail/A 30876-2025 FSC-klagomål mail.docx", "A 30876-2025")</f>
        <v/>
      </c>
      <c r="X35">
        <f>HYPERLINK("https://klasma.github.io/Logging_2303/tillsyn/A 30876-2025 tillsynsbegäran.docx", "A 30876-2025")</f>
        <v/>
      </c>
      <c r="Y35">
        <f>HYPERLINK("https://klasma.github.io/Logging_2303/tillsynsmail/A 30876-2025 tillsynsbegäran mail.docx", "A 30876-2025")</f>
        <v/>
      </c>
      <c r="Z35">
        <f>HYPERLINK("https://klasma.github.io/Logging_2303/fåglar/A 30876-2025 prioriterade fågelarter.docx", "A 30876-2025")</f>
        <v/>
      </c>
    </row>
    <row r="36" ht="15" customHeight="1">
      <c r="A36" t="inlineStr">
        <is>
          <t>A 42393-2025</t>
        </is>
      </c>
      <c r="B36" s="1" t="n">
        <v>45905</v>
      </c>
      <c r="C36" s="1" t="n">
        <v>46106</v>
      </c>
      <c r="D36" t="inlineStr">
        <is>
          <t>JÄMTLANDS LÄN</t>
        </is>
      </c>
      <c r="E36" t="inlineStr">
        <is>
          <t>RAGUNDA</t>
        </is>
      </c>
      <c r="G36" t="n">
        <v>8.800000000000001</v>
      </c>
      <c r="H36" t="n">
        <v>6</v>
      </c>
      <c r="I36" t="n">
        <v>0</v>
      </c>
      <c r="J36" t="n">
        <v>4</v>
      </c>
      <c r="K36" t="n">
        <v>2</v>
      </c>
      <c r="L36" t="n">
        <v>0</v>
      </c>
      <c r="M36" t="n">
        <v>0</v>
      </c>
      <c r="N36" t="n">
        <v>0</v>
      </c>
      <c r="O36" t="n">
        <v>6</v>
      </c>
      <c r="P36" t="n">
        <v>2</v>
      </c>
      <c r="Q36" t="n">
        <v>9</v>
      </c>
      <c r="R36" s="2" t="inlineStr">
        <is>
          <t>Doftticka
Knärot
Garnlav
Lunglav
Tallticka
Tretåig hackspett
Lavskrika
Fläcknycklar
Blåsippa</t>
        </is>
      </c>
      <c r="S36">
        <f>HYPERLINK("https://klasma.github.io/Logging_2303/artfynd/A 42393-2025 artfynd.xlsx", "A 42393-2025")</f>
        <v/>
      </c>
      <c r="T36">
        <f>HYPERLINK("https://klasma.github.io/Logging_2303/kartor/A 42393-2025 karta.png", "A 42393-2025")</f>
        <v/>
      </c>
      <c r="U36">
        <f>HYPERLINK("https://klasma.github.io/Logging_2303/knärot/A 42393-2025 karta knärot.png", "A 42393-2025")</f>
        <v/>
      </c>
      <c r="V36">
        <f>HYPERLINK("https://klasma.github.io/Logging_2303/klagomål/A 42393-2025 FSC-klagomål.docx", "A 42393-2025")</f>
        <v/>
      </c>
      <c r="W36">
        <f>HYPERLINK("https://klasma.github.io/Logging_2303/klagomålsmail/A 42393-2025 FSC-klagomål mail.docx", "A 42393-2025")</f>
        <v/>
      </c>
      <c r="X36">
        <f>HYPERLINK("https://klasma.github.io/Logging_2303/tillsyn/A 42393-2025 tillsynsbegäran.docx", "A 42393-2025")</f>
        <v/>
      </c>
      <c r="Y36">
        <f>HYPERLINK("https://klasma.github.io/Logging_2303/tillsynsmail/A 42393-2025 tillsynsbegäran mail.docx", "A 42393-2025")</f>
        <v/>
      </c>
      <c r="Z36">
        <f>HYPERLINK("https://klasma.github.io/Logging_2303/fåglar/A 42393-2025 prioriterade fågelarter.docx", "A 42393-2025")</f>
        <v/>
      </c>
    </row>
    <row r="37" ht="15" customHeight="1">
      <c r="A37" t="inlineStr">
        <is>
          <t>A 58876-2025</t>
        </is>
      </c>
      <c r="B37" s="1" t="n">
        <v>45987.46929398148</v>
      </c>
      <c r="C37" s="1" t="n">
        <v>46106</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45008-2023</t>
        </is>
      </c>
      <c r="B38" s="1" t="n">
        <v>45190.96092592592</v>
      </c>
      <c r="C38" s="1" t="n">
        <v>46106</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2316-2026</t>
        </is>
      </c>
      <c r="B39" s="1" t="n">
        <v>46036.59826388889</v>
      </c>
      <c r="C39" s="1" t="n">
        <v>46106</v>
      </c>
      <c r="D39" t="inlineStr">
        <is>
          <t>JÄMTLANDS LÄN</t>
        </is>
      </c>
      <c r="E39" t="inlineStr">
        <is>
          <t>RAGUNDA</t>
        </is>
      </c>
      <c r="G39" t="n">
        <v>5.1</v>
      </c>
      <c r="H39" t="n">
        <v>3</v>
      </c>
      <c r="I39" t="n">
        <v>0</v>
      </c>
      <c r="J39" t="n">
        <v>9</v>
      </c>
      <c r="K39" t="n">
        <v>0</v>
      </c>
      <c r="L39" t="n">
        <v>0</v>
      </c>
      <c r="M39" t="n">
        <v>0</v>
      </c>
      <c r="N39" t="n">
        <v>0</v>
      </c>
      <c r="O39" t="n">
        <v>9</v>
      </c>
      <c r="P39" t="n">
        <v>0</v>
      </c>
      <c r="Q39" t="n">
        <v>9</v>
      </c>
      <c r="R39" s="2" t="inlineStr">
        <is>
          <t>Garnlav
Harticka
Kolflarnlav
Liten svartspik
Lunglav
Talltita
Tretåig hackspett
Utter
Vitgrynig nållav</t>
        </is>
      </c>
      <c r="S39">
        <f>HYPERLINK("https://klasma.github.io/Logging_2303/artfynd/A 2316-2026 artfynd.xlsx", "A 2316-2026")</f>
        <v/>
      </c>
      <c r="T39">
        <f>HYPERLINK("https://klasma.github.io/Logging_2303/kartor/A 2316-2026 karta.png", "A 2316-2026")</f>
        <v/>
      </c>
      <c r="V39">
        <f>HYPERLINK("https://klasma.github.io/Logging_2303/klagomål/A 2316-2026 FSC-klagomål.docx", "A 2316-2026")</f>
        <v/>
      </c>
      <c r="W39">
        <f>HYPERLINK("https://klasma.github.io/Logging_2303/klagomålsmail/A 2316-2026 FSC-klagomål mail.docx", "A 2316-2026")</f>
        <v/>
      </c>
      <c r="X39">
        <f>HYPERLINK("https://klasma.github.io/Logging_2303/tillsyn/A 2316-2026 tillsynsbegäran.docx", "A 2316-2026")</f>
        <v/>
      </c>
      <c r="Y39">
        <f>HYPERLINK("https://klasma.github.io/Logging_2303/tillsynsmail/A 2316-2026 tillsynsbegäran mail.docx", "A 2316-2026")</f>
        <v/>
      </c>
      <c r="Z39">
        <f>HYPERLINK("https://klasma.github.io/Logging_2303/fåglar/A 2316-2026 prioriterade fågelarter.docx", "A 2316-2026")</f>
        <v/>
      </c>
    </row>
    <row r="40" ht="15" customHeight="1">
      <c r="A40" t="inlineStr">
        <is>
          <t>A 62948-2021</t>
        </is>
      </c>
      <c r="B40" s="1" t="n">
        <v>44504</v>
      </c>
      <c r="C40" s="1" t="n">
        <v>46106</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46106</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46106</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46106</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46106</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3634-2024</t>
        </is>
      </c>
      <c r="B45" s="1" t="n">
        <v>45320</v>
      </c>
      <c r="C45" s="1" t="n">
        <v>46106</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46106</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46106</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46106</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46106</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46106</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24732-2025</t>
        </is>
      </c>
      <c r="B51" s="1" t="n">
        <v>45799.34421296296</v>
      </c>
      <c r="C51" s="1" t="n">
        <v>46106</v>
      </c>
      <c r="D51" t="inlineStr">
        <is>
          <t>JÄMTLANDS LÄN</t>
        </is>
      </c>
      <c r="E51" t="inlineStr">
        <is>
          <t>RAGUNDA</t>
        </is>
      </c>
      <c r="F51" t="inlineStr">
        <is>
          <t>SCA</t>
        </is>
      </c>
      <c r="G51" t="n">
        <v>16.2</v>
      </c>
      <c r="H51" t="n">
        <v>1</v>
      </c>
      <c r="I51" t="n">
        <v>3</v>
      </c>
      <c r="J51" t="n">
        <v>4</v>
      </c>
      <c r="K51" t="n">
        <v>1</v>
      </c>
      <c r="L51" t="n">
        <v>0</v>
      </c>
      <c r="M51" t="n">
        <v>0</v>
      </c>
      <c r="N51" t="n">
        <v>0</v>
      </c>
      <c r="O51" t="n">
        <v>5</v>
      </c>
      <c r="P51" t="n">
        <v>1</v>
      </c>
      <c r="Q51" t="n">
        <v>8</v>
      </c>
      <c r="R51" s="2" t="inlineStr">
        <is>
          <t>Knärot
Gammelgransskål
Garnlav
Lunglav
Vitgrynig nållav
Bollvitmossa
Skarp dropptaggsvamp
Svavelriska</t>
        </is>
      </c>
      <c r="S51">
        <f>HYPERLINK("https://klasma.github.io/Logging_2303/artfynd/A 24732-2025 artfynd.xlsx", "A 24732-2025")</f>
        <v/>
      </c>
      <c r="T51">
        <f>HYPERLINK("https://klasma.github.io/Logging_2303/kartor/A 24732-2025 karta.png", "A 24732-2025")</f>
        <v/>
      </c>
      <c r="U51">
        <f>HYPERLINK("https://klasma.github.io/Logging_2303/knärot/A 24732-2025 karta knärot.png", "A 24732-2025")</f>
        <v/>
      </c>
      <c r="V51">
        <f>HYPERLINK("https://klasma.github.io/Logging_2303/klagomål/A 24732-2025 FSC-klagomål.docx", "A 24732-2025")</f>
        <v/>
      </c>
      <c r="W51">
        <f>HYPERLINK("https://klasma.github.io/Logging_2303/klagomålsmail/A 24732-2025 FSC-klagomål mail.docx", "A 24732-2025")</f>
        <v/>
      </c>
      <c r="X51">
        <f>HYPERLINK("https://klasma.github.io/Logging_2303/tillsyn/A 24732-2025 tillsynsbegäran.docx", "A 24732-2025")</f>
        <v/>
      </c>
      <c r="Y51">
        <f>HYPERLINK("https://klasma.github.io/Logging_2303/tillsynsmail/A 24732-2025 tillsynsbegäran mail.docx", "A 24732-2025")</f>
        <v/>
      </c>
    </row>
    <row r="52" ht="15" customHeight="1">
      <c r="A52" t="inlineStr">
        <is>
          <t>A 15665-2022</t>
        </is>
      </c>
      <c r="B52" s="1" t="n">
        <v>44662</v>
      </c>
      <c r="C52" s="1" t="n">
        <v>46106</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46106</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46106</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46106</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46106</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19399-2025</t>
        </is>
      </c>
      <c r="B57" s="1" t="n">
        <v>45769.67740740741</v>
      </c>
      <c r="C57" s="1" t="n">
        <v>46106</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41929-2023</t>
        </is>
      </c>
      <c r="B58" s="1" t="n">
        <v>45176</v>
      </c>
      <c r="C58" s="1" t="n">
        <v>46106</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46106</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27913-2024</t>
        </is>
      </c>
      <c r="B60" s="1" t="n">
        <v>45475.94796296296</v>
      </c>
      <c r="C60" s="1" t="n">
        <v>46106</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24169-2021</t>
        </is>
      </c>
      <c r="B61" s="1" t="n">
        <v>44336</v>
      </c>
      <c r="C61" s="1" t="n">
        <v>46106</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61386-2022</t>
        </is>
      </c>
      <c r="B62" s="1" t="n">
        <v>44915</v>
      </c>
      <c r="C62" s="1" t="n">
        <v>46106</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15977-2024</t>
        </is>
      </c>
      <c r="B63" s="1" t="n">
        <v>45405.57392361111</v>
      </c>
      <c r="C63" s="1" t="n">
        <v>46106</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26750-2025</t>
        </is>
      </c>
      <c r="B64" s="1" t="n">
        <v>45810.55061342593</v>
      </c>
      <c r="C64" s="1" t="n">
        <v>46106</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933-2023</t>
        </is>
      </c>
      <c r="B65" s="1" t="n">
        <v>44932</v>
      </c>
      <c r="C65" s="1" t="n">
        <v>46106</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30637-2024</t>
        </is>
      </c>
      <c r="B66" s="1" t="n">
        <v>45495</v>
      </c>
      <c r="C66" s="1" t="n">
        <v>46106</v>
      </c>
      <c r="D66" t="inlineStr">
        <is>
          <t>JÄMTLANDS LÄN</t>
        </is>
      </c>
      <c r="E66" t="inlineStr">
        <is>
          <t>RAGUNDA</t>
        </is>
      </c>
      <c r="G66" t="n">
        <v>4.1</v>
      </c>
      <c r="H66" t="n">
        <v>5</v>
      </c>
      <c r="I66" t="n">
        <v>0</v>
      </c>
      <c r="J66" t="n">
        <v>4</v>
      </c>
      <c r="K66" t="n">
        <v>1</v>
      </c>
      <c r="L66" t="n">
        <v>0</v>
      </c>
      <c r="M66" t="n">
        <v>0</v>
      </c>
      <c r="N66" t="n">
        <v>0</v>
      </c>
      <c r="O66" t="n">
        <v>5</v>
      </c>
      <c r="P66" t="n">
        <v>1</v>
      </c>
      <c r="Q66" t="n">
        <v>6</v>
      </c>
      <c r="R66" s="2" t="inlineStr">
        <is>
          <t>Knärot
Lunglav
Spillkråka
Talltita
Tretåig hackspett
Vanlig groda</t>
        </is>
      </c>
      <c r="S66">
        <f>HYPERLINK("https://klasma.github.io/Logging_2303/artfynd/A 30637-2024 artfynd.xlsx", "A 30637-2024")</f>
        <v/>
      </c>
      <c r="T66">
        <f>HYPERLINK("https://klasma.github.io/Logging_2303/kartor/A 30637-2024 karta.png", "A 30637-2024")</f>
        <v/>
      </c>
      <c r="U66">
        <f>HYPERLINK("https://klasma.github.io/Logging_2303/knärot/A 30637-2024 karta knärot.png", "A 30637-2024")</f>
        <v/>
      </c>
      <c r="V66">
        <f>HYPERLINK("https://klasma.github.io/Logging_2303/klagomål/A 30637-2024 FSC-klagomål.docx", "A 30637-2024")</f>
        <v/>
      </c>
      <c r="W66">
        <f>HYPERLINK("https://klasma.github.io/Logging_2303/klagomålsmail/A 30637-2024 FSC-klagomål mail.docx", "A 30637-2024")</f>
        <v/>
      </c>
      <c r="X66">
        <f>HYPERLINK("https://klasma.github.io/Logging_2303/tillsyn/A 30637-2024 tillsynsbegäran.docx", "A 30637-2024")</f>
        <v/>
      </c>
      <c r="Y66">
        <f>HYPERLINK("https://klasma.github.io/Logging_2303/tillsynsmail/A 30637-2024 tillsynsbegäran mail.docx", "A 30637-2024")</f>
        <v/>
      </c>
      <c r="Z66">
        <f>HYPERLINK("https://klasma.github.io/Logging_2303/fåglar/A 30637-2024 prioriterade fågelarter.docx", "A 30637-2024")</f>
        <v/>
      </c>
    </row>
    <row r="67" ht="15" customHeight="1">
      <c r="A67" t="inlineStr">
        <is>
          <t>A 39973-2025</t>
        </is>
      </c>
      <c r="B67" s="1" t="n">
        <v>45893.38584490741</v>
      </c>
      <c r="C67" s="1" t="n">
        <v>46106</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47115-2025</t>
        </is>
      </c>
      <c r="B68" s="1" t="n">
        <v>45929</v>
      </c>
      <c r="C68" s="1" t="n">
        <v>46106</v>
      </c>
      <c r="D68" t="inlineStr">
        <is>
          <t>JÄMTLANDS LÄN</t>
        </is>
      </c>
      <c r="E68" t="inlineStr">
        <is>
          <t>RAGUNDA</t>
        </is>
      </c>
      <c r="G68" t="n">
        <v>6.4</v>
      </c>
      <c r="H68" t="n">
        <v>4</v>
      </c>
      <c r="I68" t="n">
        <v>0</v>
      </c>
      <c r="J68" t="n">
        <v>3</v>
      </c>
      <c r="K68" t="n">
        <v>2</v>
      </c>
      <c r="L68" t="n">
        <v>0</v>
      </c>
      <c r="M68" t="n">
        <v>0</v>
      </c>
      <c r="N68" t="n">
        <v>0</v>
      </c>
      <c r="O68" t="n">
        <v>5</v>
      </c>
      <c r="P68" t="n">
        <v>2</v>
      </c>
      <c r="Q68" t="n">
        <v>6</v>
      </c>
      <c r="R68" s="2" t="inlineStr">
        <is>
          <t>Doftticka
Knärot
Garnlav
Lunglav
Tretåig hackspett
Lavskrika</t>
        </is>
      </c>
      <c r="S68">
        <f>HYPERLINK("https://klasma.github.io/Logging_2303/artfynd/A 47115-2025 artfynd.xlsx", "A 47115-2025")</f>
        <v/>
      </c>
      <c r="T68">
        <f>HYPERLINK("https://klasma.github.io/Logging_2303/kartor/A 47115-2025 karta.png", "A 47115-2025")</f>
        <v/>
      </c>
      <c r="U68">
        <f>HYPERLINK("https://klasma.github.io/Logging_2303/knärot/A 47115-2025 karta knärot.png", "A 47115-2025")</f>
        <v/>
      </c>
      <c r="V68">
        <f>HYPERLINK("https://klasma.github.io/Logging_2303/klagomål/A 47115-2025 FSC-klagomål.docx", "A 47115-2025")</f>
        <v/>
      </c>
      <c r="W68">
        <f>HYPERLINK("https://klasma.github.io/Logging_2303/klagomålsmail/A 47115-2025 FSC-klagomål mail.docx", "A 47115-2025")</f>
        <v/>
      </c>
      <c r="X68">
        <f>HYPERLINK("https://klasma.github.io/Logging_2303/tillsyn/A 47115-2025 tillsynsbegäran.docx", "A 47115-2025")</f>
        <v/>
      </c>
      <c r="Y68">
        <f>HYPERLINK("https://klasma.github.io/Logging_2303/tillsynsmail/A 47115-2025 tillsynsbegäran mail.docx", "A 47115-2025")</f>
        <v/>
      </c>
      <c r="Z68">
        <f>HYPERLINK("https://klasma.github.io/Logging_2303/fåglar/A 47115-2025 prioriterade fågelarter.docx", "A 47115-2025")</f>
        <v/>
      </c>
    </row>
    <row r="69" ht="15" customHeight="1">
      <c r="A69" t="inlineStr">
        <is>
          <t>A 19402-2025</t>
        </is>
      </c>
      <c r="B69" s="1" t="n">
        <v>45769.67778935185</v>
      </c>
      <c r="C69" s="1" t="n">
        <v>46106</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30884-2025</t>
        </is>
      </c>
      <c r="B70" s="1" t="n">
        <v>45832.34564814815</v>
      </c>
      <c r="C70" s="1" t="n">
        <v>46106</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53021-2022</t>
        </is>
      </c>
      <c r="B71" s="1" t="n">
        <v>44875</v>
      </c>
      <c r="C71" s="1" t="n">
        <v>46106</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36276-2025</t>
        </is>
      </c>
      <c r="B72" s="1" t="n">
        <v>45867.63619212963</v>
      </c>
      <c r="C72" s="1" t="n">
        <v>46106</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49291-2025</t>
        </is>
      </c>
      <c r="B73" s="1" t="n">
        <v>45938.53188657408</v>
      </c>
      <c r="C73" s="1" t="n">
        <v>46106</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11828-2023</t>
        </is>
      </c>
      <c r="B74" s="1" t="n">
        <v>44994</v>
      </c>
      <c r="C74" s="1" t="n">
        <v>46106</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55646-2023</t>
        </is>
      </c>
      <c r="B75" s="1" t="n">
        <v>45238</v>
      </c>
      <c r="C75" s="1" t="n">
        <v>46106</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24431-2024</t>
        </is>
      </c>
      <c r="B76" s="1" t="n">
        <v>45457</v>
      </c>
      <c r="C76" s="1" t="n">
        <v>46106</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9197-2026</t>
        </is>
      </c>
      <c r="B77" s="1" t="n">
        <v>46070.40322916667</v>
      </c>
      <c r="C77" s="1" t="n">
        <v>46106</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46106</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26326-2024</t>
        </is>
      </c>
      <c r="B79" s="1" t="n">
        <v>45468.97528935185</v>
      </c>
      <c r="C79" s="1" t="n">
        <v>46106</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46106</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46106</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46106</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46106</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46106</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15244-2025</t>
        </is>
      </c>
      <c r="B85" s="1" t="n">
        <v>45744.61550925926</v>
      </c>
      <c r="C85" s="1" t="n">
        <v>46106</v>
      </c>
      <c r="D85" t="inlineStr">
        <is>
          <t>JÄMTLANDS LÄN</t>
        </is>
      </c>
      <c r="E85" t="inlineStr">
        <is>
          <t>RAGUNDA</t>
        </is>
      </c>
      <c r="F85" t="inlineStr">
        <is>
          <t>SCA</t>
        </is>
      </c>
      <c r="G85" t="n">
        <v>2.6</v>
      </c>
      <c r="H85" t="n">
        <v>0</v>
      </c>
      <c r="I85" t="n">
        <v>2</v>
      </c>
      <c r="J85" t="n">
        <v>3</v>
      </c>
      <c r="K85" t="n">
        <v>0</v>
      </c>
      <c r="L85" t="n">
        <v>0</v>
      </c>
      <c r="M85" t="n">
        <v>0</v>
      </c>
      <c r="N85" t="n">
        <v>0</v>
      </c>
      <c r="O85" t="n">
        <v>3</v>
      </c>
      <c r="P85" t="n">
        <v>0</v>
      </c>
      <c r="Q85" t="n">
        <v>5</v>
      </c>
      <c r="R85" s="2" t="inlineStr">
        <is>
          <t>Garnlav
Rosenticka
Ullticka
Stuplav
Vedticka</t>
        </is>
      </c>
      <c r="S85">
        <f>HYPERLINK("https://klasma.github.io/Logging_2303/artfynd/A 15244-2025 artfynd.xlsx", "A 15244-2025")</f>
        <v/>
      </c>
      <c r="T85">
        <f>HYPERLINK("https://klasma.github.io/Logging_2303/kartor/A 15244-2025 karta.png", "A 15244-2025")</f>
        <v/>
      </c>
      <c r="V85">
        <f>HYPERLINK("https://klasma.github.io/Logging_2303/klagomål/A 15244-2025 FSC-klagomål.docx", "A 15244-2025")</f>
        <v/>
      </c>
      <c r="W85">
        <f>HYPERLINK("https://klasma.github.io/Logging_2303/klagomålsmail/A 15244-2025 FSC-klagomål mail.docx", "A 15244-2025")</f>
        <v/>
      </c>
      <c r="X85">
        <f>HYPERLINK("https://klasma.github.io/Logging_2303/tillsyn/A 15244-2025 tillsynsbegäran.docx", "A 15244-2025")</f>
        <v/>
      </c>
      <c r="Y85">
        <f>HYPERLINK("https://klasma.github.io/Logging_2303/tillsynsmail/A 15244-2025 tillsynsbegäran mail.docx", "A 15244-2025")</f>
        <v/>
      </c>
    </row>
    <row r="86" ht="15" customHeight="1">
      <c r="A86" t="inlineStr">
        <is>
          <t>A 39365-2024</t>
        </is>
      </c>
      <c r="B86" s="1" t="n">
        <v>45551.46912037037</v>
      </c>
      <c r="C86" s="1" t="n">
        <v>46106</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27313-2024</t>
        </is>
      </c>
      <c r="B87" s="1" t="n">
        <v>45471.94623842592</v>
      </c>
      <c r="C87" s="1" t="n">
        <v>46106</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39974-2025</t>
        </is>
      </c>
      <c r="B88" s="1" t="n">
        <v>45893.38599537037</v>
      </c>
      <c r="C88" s="1" t="n">
        <v>46106</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30886-2025</t>
        </is>
      </c>
      <c r="B89" s="1" t="n">
        <v>45832.34578703704</v>
      </c>
      <c r="C89" s="1" t="n">
        <v>46106</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35344-2025</t>
        </is>
      </c>
      <c r="B90" s="1" t="n">
        <v>45854.61494212963</v>
      </c>
      <c r="C90" s="1" t="n">
        <v>46106</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agg.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46106</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13266-2023</t>
        </is>
      </c>
      <c r="B92" s="1" t="n">
        <v>45002.94356481481</v>
      </c>
      <c r="C92" s="1" t="n">
        <v>46106</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38169-2024</t>
        </is>
      </c>
      <c r="B93" s="1" t="n">
        <v>45545.45748842593</v>
      </c>
      <c r="C93" s="1" t="n">
        <v>46106</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12024-2022</t>
        </is>
      </c>
      <c r="B94" s="1" t="n">
        <v>44635</v>
      </c>
      <c r="C94" s="1" t="n">
        <v>46106</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57073-2023</t>
        </is>
      </c>
      <c r="B95" s="1" t="n">
        <v>45244</v>
      </c>
      <c r="C95" s="1" t="n">
        <v>46106</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Läderlappslav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43106-2023</t>
        </is>
      </c>
      <c r="B96" s="1" t="n">
        <v>45182</v>
      </c>
      <c r="C96" s="1" t="n">
        <v>46106</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11641-2026</t>
        </is>
      </c>
      <c r="B97" s="1" t="n">
        <v>46084.50094907408</v>
      </c>
      <c r="C97" s="1" t="n">
        <v>46106</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60683-2022</t>
        </is>
      </c>
      <c r="B98" s="1" t="n">
        <v>44911</v>
      </c>
      <c r="C98" s="1" t="n">
        <v>46106</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46106</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46106</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46106</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46106</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46106</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46106</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46106</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30483-2024</t>
        </is>
      </c>
      <c r="B106" s="1" t="n">
        <v>45491</v>
      </c>
      <c r="C106" s="1" t="n">
        <v>46106</v>
      </c>
      <c r="D106" t="inlineStr">
        <is>
          <t>JÄMTLANDS LÄN</t>
        </is>
      </c>
      <c r="E106" t="inlineStr">
        <is>
          <t>RAGUNDA</t>
        </is>
      </c>
      <c r="F106" t="inlineStr">
        <is>
          <t>SCA</t>
        </is>
      </c>
      <c r="G106" t="n">
        <v>1.6</v>
      </c>
      <c r="H106" t="n">
        <v>1</v>
      </c>
      <c r="I106" t="n">
        <v>0</v>
      </c>
      <c r="J106" t="n">
        <v>4</v>
      </c>
      <c r="K106" t="n">
        <v>0</v>
      </c>
      <c r="L106" t="n">
        <v>0</v>
      </c>
      <c r="M106" t="n">
        <v>0</v>
      </c>
      <c r="N106" t="n">
        <v>0</v>
      </c>
      <c r="O106" t="n">
        <v>4</v>
      </c>
      <c r="P106" t="n">
        <v>0</v>
      </c>
      <c r="Q106" t="n">
        <v>4</v>
      </c>
      <c r="R106" s="2" t="inlineStr">
        <is>
          <t>Dvärgbägarlav
Järpe
Kolflarnlav
Vedskivlav</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23931-2024</t>
        </is>
      </c>
      <c r="B107" s="1" t="n">
        <v>45455.96195601852</v>
      </c>
      <c r="C107" s="1" t="n">
        <v>46106</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23682-2021</t>
        </is>
      </c>
      <c r="B108" s="1" t="n">
        <v>44334</v>
      </c>
      <c r="C108" s="1" t="n">
        <v>46106</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46106</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40653-2025</t>
        </is>
      </c>
      <c r="B110" s="1" t="n">
        <v>45896.63618055556</v>
      </c>
      <c r="C110" s="1" t="n">
        <v>46106</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32067-2024</t>
        </is>
      </c>
      <c r="B111" s="1" t="n">
        <v>45510</v>
      </c>
      <c r="C111" s="1" t="n">
        <v>46106</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30465-2024</t>
        </is>
      </c>
      <c r="B112" s="1" t="n">
        <v>45491</v>
      </c>
      <c r="C112" s="1" t="n">
        <v>46106</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15836-2024</t>
        </is>
      </c>
      <c r="B113" s="1" t="n">
        <v>45404</v>
      </c>
      <c r="C113" s="1" t="n">
        <v>46106</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52168-2025</t>
        </is>
      </c>
      <c r="B114" s="1" t="n">
        <v>45953.365625</v>
      </c>
      <c r="C114" s="1" t="n">
        <v>46106</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52644-2024</t>
        </is>
      </c>
      <c r="B115" s="1" t="n">
        <v>45610.34415509259</v>
      </c>
      <c r="C115" s="1" t="n">
        <v>46106</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50342-2025</t>
        </is>
      </c>
      <c r="B116" s="1" t="n">
        <v>45944.53186342592</v>
      </c>
      <c r="C116" s="1" t="n">
        <v>46106</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2282-2026</t>
        </is>
      </c>
      <c r="B117" s="1" t="n">
        <v>46036.57798611111</v>
      </c>
      <c r="C117" s="1" t="n">
        <v>46106</v>
      </c>
      <c r="D117" t="inlineStr">
        <is>
          <t>JÄMTLANDS LÄN</t>
        </is>
      </c>
      <c r="E117" t="inlineStr">
        <is>
          <t>RAGUNDA</t>
        </is>
      </c>
      <c r="G117" t="n">
        <v>2</v>
      </c>
      <c r="H117" t="n">
        <v>1</v>
      </c>
      <c r="I117" t="n">
        <v>0</v>
      </c>
      <c r="J117" t="n">
        <v>4</v>
      </c>
      <c r="K117" t="n">
        <v>0</v>
      </c>
      <c r="L117" t="n">
        <v>0</v>
      </c>
      <c r="M117" t="n">
        <v>0</v>
      </c>
      <c r="N117" t="n">
        <v>0</v>
      </c>
      <c r="O117" t="n">
        <v>4</v>
      </c>
      <c r="P117" t="n">
        <v>0</v>
      </c>
      <c r="Q117" t="n">
        <v>4</v>
      </c>
      <c r="R117" s="2" t="inlineStr">
        <is>
          <t>Garnlav
Harticka
Lunglav
Tretåig hackspett</t>
        </is>
      </c>
      <c r="S117">
        <f>HYPERLINK("https://klasma.github.io/Logging_2303/artfynd/A 2282-2026 artfynd.xlsx", "A 2282-2026")</f>
        <v/>
      </c>
      <c r="T117">
        <f>HYPERLINK("https://klasma.github.io/Logging_2303/kartor/A 2282-2026 karta.png", "A 2282-2026")</f>
        <v/>
      </c>
      <c r="V117">
        <f>HYPERLINK("https://klasma.github.io/Logging_2303/klagomål/A 2282-2026 FSC-klagomål.docx", "A 2282-2026")</f>
        <v/>
      </c>
      <c r="W117">
        <f>HYPERLINK("https://klasma.github.io/Logging_2303/klagomålsmail/A 2282-2026 FSC-klagomål mail.docx", "A 2282-2026")</f>
        <v/>
      </c>
      <c r="X117">
        <f>HYPERLINK("https://klasma.github.io/Logging_2303/tillsyn/A 2282-2026 tillsynsbegäran.docx", "A 2282-2026")</f>
        <v/>
      </c>
      <c r="Y117">
        <f>HYPERLINK("https://klasma.github.io/Logging_2303/tillsynsmail/A 2282-2026 tillsynsbegäran mail.docx", "A 2282-2026")</f>
        <v/>
      </c>
      <c r="Z117">
        <f>HYPERLINK("https://klasma.github.io/Logging_2303/fåglar/A 2282-2026 prioriterade fågelarter.docx", "A 2282-2026")</f>
        <v/>
      </c>
    </row>
    <row r="118" ht="15" customHeight="1">
      <c r="A118" t="inlineStr">
        <is>
          <t>A 3809-2026</t>
        </is>
      </c>
      <c r="B118" s="1" t="n">
        <v>46043.58364583334</v>
      </c>
      <c r="C118" s="1" t="n">
        <v>46106</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19401-2025</t>
        </is>
      </c>
      <c r="B119" s="1" t="n">
        <v>45769.67767361111</v>
      </c>
      <c r="C119" s="1" t="n">
        <v>46106</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46106</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46106</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46106</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46106</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46106</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46106</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46106</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46106</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46106</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46106</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46106</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58737-2022</t>
        </is>
      </c>
      <c r="B131" s="1" t="n">
        <v>44902</v>
      </c>
      <c r="C131" s="1" t="n">
        <v>46106</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22571-2025</t>
        </is>
      </c>
      <c r="B132" s="1" t="n">
        <v>45789.36503472222</v>
      </c>
      <c r="C132" s="1" t="n">
        <v>46106</v>
      </c>
      <c r="D132" t="inlineStr">
        <is>
          <t>JÄMTLANDS LÄN</t>
        </is>
      </c>
      <c r="E132" t="inlineStr">
        <is>
          <t>RAGUNDA</t>
        </is>
      </c>
      <c r="F132" t="inlineStr">
        <is>
          <t>SCA</t>
        </is>
      </c>
      <c r="G132" t="n">
        <v>18.2</v>
      </c>
      <c r="H132" t="n">
        <v>2</v>
      </c>
      <c r="I132" t="n">
        <v>0</v>
      </c>
      <c r="J132" t="n">
        <v>2</v>
      </c>
      <c r="K132" t="n">
        <v>0</v>
      </c>
      <c r="L132" t="n">
        <v>0</v>
      </c>
      <c r="M132" t="n">
        <v>0</v>
      </c>
      <c r="N132" t="n">
        <v>0</v>
      </c>
      <c r="O132" t="n">
        <v>2</v>
      </c>
      <c r="P132" t="n">
        <v>0</v>
      </c>
      <c r="Q132" t="n">
        <v>3</v>
      </c>
      <c r="R132" s="2" t="inlineStr">
        <is>
          <t>Garnlav
Tretåig hackspett
Nattviol</t>
        </is>
      </c>
      <c r="S132">
        <f>HYPERLINK("https://klasma.github.io/Logging_2303/artfynd/A 22571-2025 artfynd.xlsx", "A 22571-2025")</f>
        <v/>
      </c>
      <c r="T132">
        <f>HYPERLINK("https://klasma.github.io/Logging_2303/kartor/A 22571-2025 karta.png", "A 22571-2025")</f>
        <v/>
      </c>
      <c r="V132">
        <f>HYPERLINK("https://klasma.github.io/Logging_2303/klagomål/A 22571-2025 FSC-klagomål.docx", "A 22571-2025")</f>
        <v/>
      </c>
      <c r="W132">
        <f>HYPERLINK("https://klasma.github.io/Logging_2303/klagomålsmail/A 22571-2025 FSC-klagomål mail.docx", "A 22571-2025")</f>
        <v/>
      </c>
      <c r="X132">
        <f>HYPERLINK("https://klasma.github.io/Logging_2303/tillsyn/A 22571-2025 tillsynsbegäran.docx", "A 22571-2025")</f>
        <v/>
      </c>
      <c r="Y132">
        <f>HYPERLINK("https://klasma.github.io/Logging_2303/tillsynsmail/A 22571-2025 tillsynsbegäran mail.docx", "A 22571-2025")</f>
        <v/>
      </c>
      <c r="Z132">
        <f>HYPERLINK("https://klasma.github.io/Logging_2303/fåglar/A 22571-2025 prioriterade fågelarter.docx", "A 22571-2025")</f>
        <v/>
      </c>
    </row>
    <row r="133" ht="15" customHeight="1">
      <c r="A133" t="inlineStr">
        <is>
          <t>A 28178-2023</t>
        </is>
      </c>
      <c r="B133" s="1" t="n">
        <v>45093</v>
      </c>
      <c r="C133" s="1" t="n">
        <v>46106</v>
      </c>
      <c r="D133" t="inlineStr">
        <is>
          <t>JÄMTLANDS LÄN</t>
        </is>
      </c>
      <c r="E133" t="inlineStr">
        <is>
          <t>RAGUNDA</t>
        </is>
      </c>
      <c r="G133" t="n">
        <v>5.6</v>
      </c>
      <c r="H133" t="n">
        <v>0</v>
      </c>
      <c r="I133" t="n">
        <v>0</v>
      </c>
      <c r="J133" t="n">
        <v>3</v>
      </c>
      <c r="K133" t="n">
        <v>0</v>
      </c>
      <c r="L133" t="n">
        <v>0</v>
      </c>
      <c r="M133" t="n">
        <v>0</v>
      </c>
      <c r="N133" t="n">
        <v>0</v>
      </c>
      <c r="O133" t="n">
        <v>3</v>
      </c>
      <c r="P133" t="n">
        <v>0</v>
      </c>
      <c r="Q133" t="n">
        <v>3</v>
      </c>
      <c r="R133" s="2" t="inlineStr">
        <is>
          <t>Garnlav
Gultoppig fingersvamp
Violettgrå tagellav</t>
        </is>
      </c>
      <c r="S133">
        <f>HYPERLINK("https://klasma.github.io/Logging_2303/artfynd/A 28178-2023 artfynd.xlsx", "A 28178-2023")</f>
        <v/>
      </c>
      <c r="T133">
        <f>HYPERLINK("https://klasma.github.io/Logging_2303/kartor/A 28178-2023 karta.png", "A 28178-2023")</f>
        <v/>
      </c>
      <c r="V133">
        <f>HYPERLINK("https://klasma.github.io/Logging_2303/klagomål/A 28178-2023 FSC-klagomål.docx", "A 28178-2023")</f>
        <v/>
      </c>
      <c r="W133">
        <f>HYPERLINK("https://klasma.github.io/Logging_2303/klagomålsmail/A 28178-2023 FSC-klagomål mail.docx", "A 28178-2023")</f>
        <v/>
      </c>
      <c r="X133">
        <f>HYPERLINK("https://klasma.github.io/Logging_2303/tillsyn/A 28178-2023 tillsynsbegäran.docx", "A 28178-2023")</f>
        <v/>
      </c>
      <c r="Y133">
        <f>HYPERLINK("https://klasma.github.io/Logging_2303/tillsynsmail/A 28178-2023 tillsynsbegäran mail.docx", "A 28178-2023")</f>
        <v/>
      </c>
    </row>
    <row r="134" ht="15" customHeight="1">
      <c r="A134" t="inlineStr">
        <is>
          <t>A 34585-2025</t>
        </is>
      </c>
      <c r="B134" s="1" t="n">
        <v>45847.61498842593</v>
      </c>
      <c r="C134" s="1" t="n">
        <v>46106</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34585-2025 artfynd.xlsx", "A 34585-2025")</f>
        <v/>
      </c>
      <c r="T134">
        <f>HYPERLINK("https://klasma.github.io/Logging_2303/kartor/A 34585-2025 karta.png", "A 34585-2025")</f>
        <v/>
      </c>
      <c r="V134">
        <f>HYPERLINK("https://klasma.github.io/Logging_2303/klagomål/A 34585-2025 FSC-klagomål.docx", "A 34585-2025")</f>
        <v/>
      </c>
      <c r="W134">
        <f>HYPERLINK("https://klasma.github.io/Logging_2303/klagomålsmail/A 34585-2025 FSC-klagomål mail.docx", "A 34585-2025")</f>
        <v/>
      </c>
      <c r="X134">
        <f>HYPERLINK("https://klasma.github.io/Logging_2303/tillsyn/A 34585-2025 tillsynsbegäran.docx", "A 34585-2025")</f>
        <v/>
      </c>
      <c r="Y134">
        <f>HYPERLINK("https://klasma.github.io/Logging_2303/tillsynsmail/A 34585-2025 tillsynsbegäran mail.docx", "A 34585-2025")</f>
        <v/>
      </c>
    </row>
    <row r="135" ht="15" customHeight="1">
      <c r="A135" t="inlineStr">
        <is>
          <t>A 49047-2023</t>
        </is>
      </c>
      <c r="B135" s="1" t="n">
        <v>45209</v>
      </c>
      <c r="C135" s="1" t="n">
        <v>46106</v>
      </c>
      <c r="D135" t="inlineStr">
        <is>
          <t>JÄMTLANDS LÄN</t>
        </is>
      </c>
      <c r="E135" t="inlineStr">
        <is>
          <t>RAGUNDA</t>
        </is>
      </c>
      <c r="F135" t="inlineStr">
        <is>
          <t>SCA</t>
        </is>
      </c>
      <c r="G135" t="n">
        <v>6.9</v>
      </c>
      <c r="H135" t="n">
        <v>0</v>
      </c>
      <c r="I135" t="n">
        <v>0</v>
      </c>
      <c r="J135" t="n">
        <v>3</v>
      </c>
      <c r="K135" t="n">
        <v>0</v>
      </c>
      <c r="L135" t="n">
        <v>0</v>
      </c>
      <c r="M135" t="n">
        <v>0</v>
      </c>
      <c r="N135" t="n">
        <v>0</v>
      </c>
      <c r="O135" t="n">
        <v>3</v>
      </c>
      <c r="P135" t="n">
        <v>0</v>
      </c>
      <c r="Q135" t="n">
        <v>3</v>
      </c>
      <c r="R135" s="2" t="inlineStr">
        <is>
          <t>Lunglav
Rosenticka
Skrovellav</t>
        </is>
      </c>
      <c r="S135">
        <f>HYPERLINK("https://klasma.github.io/Logging_2303/artfynd/A 49047-2023 artfynd.xlsx", "A 49047-2023")</f>
        <v/>
      </c>
      <c r="T135">
        <f>HYPERLINK("https://klasma.github.io/Logging_2303/kartor/A 49047-2023 karta.png", "A 49047-2023")</f>
        <v/>
      </c>
      <c r="V135">
        <f>HYPERLINK("https://klasma.github.io/Logging_2303/klagomål/A 49047-2023 FSC-klagomål.docx", "A 49047-2023")</f>
        <v/>
      </c>
      <c r="W135">
        <f>HYPERLINK("https://klasma.github.io/Logging_2303/klagomålsmail/A 49047-2023 FSC-klagomål mail.docx", "A 49047-2023")</f>
        <v/>
      </c>
      <c r="X135">
        <f>HYPERLINK("https://klasma.github.io/Logging_2303/tillsyn/A 49047-2023 tillsynsbegäran.docx", "A 49047-2023")</f>
        <v/>
      </c>
      <c r="Y135">
        <f>HYPERLINK("https://klasma.github.io/Logging_2303/tillsynsmail/A 49047-2023 tillsynsbegäran mail.docx", "A 49047-2023")</f>
        <v/>
      </c>
    </row>
    <row r="136" ht="15" customHeight="1">
      <c r="A136" t="inlineStr">
        <is>
          <t>A 32416-2025</t>
        </is>
      </c>
      <c r="B136" s="1" t="n">
        <v>45838</v>
      </c>
      <c r="C136" s="1" t="n">
        <v>46106</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14814-2024</t>
        </is>
      </c>
      <c r="B137" s="1" t="n">
        <v>45397.95748842593</v>
      </c>
      <c r="C137" s="1" t="n">
        <v>46106</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46106</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7519-2023</t>
        </is>
      </c>
      <c r="B139" s="1" t="n">
        <v>44971</v>
      </c>
      <c r="C139" s="1" t="n">
        <v>46106</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12737-2025</t>
        </is>
      </c>
      <c r="B140" s="1" t="n">
        <v>45733</v>
      </c>
      <c r="C140" s="1" t="n">
        <v>46106</v>
      </c>
      <c r="D140" t="inlineStr">
        <is>
          <t>JÄMTLANDS LÄN</t>
        </is>
      </c>
      <c r="E140" t="inlineStr">
        <is>
          <t>RAGUNDA</t>
        </is>
      </c>
      <c r="G140" t="n">
        <v>16.1</v>
      </c>
      <c r="H140" t="n">
        <v>2</v>
      </c>
      <c r="I140" t="n">
        <v>2</v>
      </c>
      <c r="J140" t="n">
        <v>0</v>
      </c>
      <c r="K140" t="n">
        <v>1</v>
      </c>
      <c r="L140" t="n">
        <v>0</v>
      </c>
      <c r="M140" t="n">
        <v>0</v>
      </c>
      <c r="N140" t="n">
        <v>0</v>
      </c>
      <c r="O140" t="n">
        <v>1</v>
      </c>
      <c r="P140" t="n">
        <v>1</v>
      </c>
      <c r="Q140" t="n">
        <v>3</v>
      </c>
      <c r="R140" s="2" t="inlineStr">
        <is>
          <t>Knärot
Plattlummer
Skarp dropptaggsvamp</t>
        </is>
      </c>
      <c r="S140">
        <f>HYPERLINK("https://klasma.github.io/Logging_2303/artfynd/A 12737-2025 artfynd.xlsx", "A 12737-2025")</f>
        <v/>
      </c>
      <c r="T140">
        <f>HYPERLINK("https://klasma.github.io/Logging_2303/kartor/A 12737-2025 karta.png", "A 12737-2025")</f>
        <v/>
      </c>
      <c r="U140">
        <f>HYPERLINK("https://klasma.github.io/Logging_2303/knärot/A 12737-2025 karta knärot.png", "A 12737-2025")</f>
        <v/>
      </c>
      <c r="V140">
        <f>HYPERLINK("https://klasma.github.io/Logging_2303/klagomål/A 12737-2025 FSC-klagomål.docx", "A 12737-2025")</f>
        <v/>
      </c>
      <c r="W140">
        <f>HYPERLINK("https://klasma.github.io/Logging_2303/klagomålsmail/A 12737-2025 FSC-klagomål mail.docx", "A 12737-2025")</f>
        <v/>
      </c>
      <c r="X140">
        <f>HYPERLINK("https://klasma.github.io/Logging_2303/tillsyn/A 12737-2025 tillsynsbegäran.docx", "A 12737-2025")</f>
        <v/>
      </c>
      <c r="Y140">
        <f>HYPERLINK("https://klasma.github.io/Logging_2303/tillsynsmail/A 12737-2025 tillsynsbegäran mail.docx", "A 12737-2025")</f>
        <v/>
      </c>
    </row>
    <row r="141" ht="15" customHeight="1">
      <c r="A141" t="inlineStr">
        <is>
          <t>A 5048-2025</t>
        </is>
      </c>
      <c r="B141" s="1" t="n">
        <v>45691.44769675926</v>
      </c>
      <c r="C141" s="1" t="n">
        <v>46106</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57667-2025</t>
        </is>
      </c>
      <c r="B142" s="1" t="n">
        <v>45981.42767361111</v>
      </c>
      <c r="C142" s="1" t="n">
        <v>46106</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61790-2023</t>
        </is>
      </c>
      <c r="B143" s="1" t="n">
        <v>45265</v>
      </c>
      <c r="C143" s="1" t="n">
        <v>46106</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59179-2025</t>
        </is>
      </c>
      <c r="B144" s="1" t="n">
        <v>45988.57350694444</v>
      </c>
      <c r="C144" s="1" t="n">
        <v>46106</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46106</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48054-2022</t>
        </is>
      </c>
      <c r="B146" s="1" t="n">
        <v>44855</v>
      </c>
      <c r="C146" s="1" t="n">
        <v>46106</v>
      </c>
      <c r="D146" t="inlineStr">
        <is>
          <t>JÄMTLANDS LÄN</t>
        </is>
      </c>
      <c r="E146" t="inlineStr">
        <is>
          <t>RAGUNDA</t>
        </is>
      </c>
      <c r="F146" t="inlineStr">
        <is>
          <t>SCA</t>
        </is>
      </c>
      <c r="G146" t="n">
        <v>1.5</v>
      </c>
      <c r="H146" t="n">
        <v>2</v>
      </c>
      <c r="I146" t="n">
        <v>0</v>
      </c>
      <c r="J146" t="n">
        <v>1</v>
      </c>
      <c r="K146" t="n">
        <v>1</v>
      </c>
      <c r="L146" t="n">
        <v>0</v>
      </c>
      <c r="M146" t="n">
        <v>0</v>
      </c>
      <c r="N146" t="n">
        <v>0</v>
      </c>
      <c r="O146" t="n">
        <v>2</v>
      </c>
      <c r="P146" t="n">
        <v>1</v>
      </c>
      <c r="Q146" t="n">
        <v>3</v>
      </c>
      <c r="R146" s="2" t="inlineStr">
        <is>
          <t>Knärot
Lunglav
Blåsippa</t>
        </is>
      </c>
      <c r="S146">
        <f>HYPERLINK("https://klasma.github.io/Logging_2303/artfynd/A 48054-2022 artfynd.xlsx", "A 48054-2022")</f>
        <v/>
      </c>
      <c r="T146">
        <f>HYPERLINK("https://klasma.github.io/Logging_2303/kartor/A 48054-2022 karta.png", "A 48054-2022")</f>
        <v/>
      </c>
      <c r="U146">
        <f>HYPERLINK("https://klasma.github.io/Logging_2303/knärot/A 48054-2022 karta knärot.png", "A 48054-2022")</f>
        <v/>
      </c>
      <c r="V146">
        <f>HYPERLINK("https://klasma.github.io/Logging_2303/klagomål/A 48054-2022 FSC-klagomål.docx", "A 48054-2022")</f>
        <v/>
      </c>
      <c r="W146">
        <f>HYPERLINK("https://klasma.github.io/Logging_2303/klagomålsmail/A 48054-2022 FSC-klagomål mail.docx", "A 48054-2022")</f>
        <v/>
      </c>
      <c r="X146">
        <f>HYPERLINK("https://klasma.github.io/Logging_2303/tillsyn/A 48054-2022 tillsynsbegäran.docx", "A 48054-2022")</f>
        <v/>
      </c>
      <c r="Y146">
        <f>HYPERLINK("https://klasma.github.io/Logging_2303/tillsynsmail/A 48054-2022 tillsynsbegäran mail.docx", "A 48054-2022")</f>
        <v/>
      </c>
    </row>
    <row r="147" ht="15" customHeight="1">
      <c r="A147" t="inlineStr">
        <is>
          <t>A 20776-2024</t>
        </is>
      </c>
      <c r="B147" s="1" t="n">
        <v>45436.94686342592</v>
      </c>
      <c r="C147" s="1" t="n">
        <v>46106</v>
      </c>
      <c r="D147" t="inlineStr">
        <is>
          <t>JÄMTLANDS LÄN</t>
        </is>
      </c>
      <c r="E147" t="inlineStr">
        <is>
          <t>RAGUNDA</t>
        </is>
      </c>
      <c r="F147" t="inlineStr">
        <is>
          <t>SCA</t>
        </is>
      </c>
      <c r="G147" t="n">
        <v>5.2</v>
      </c>
      <c r="H147" t="n">
        <v>0</v>
      </c>
      <c r="I147" t="n">
        <v>0</v>
      </c>
      <c r="J147" t="n">
        <v>2</v>
      </c>
      <c r="K147" t="n">
        <v>1</v>
      </c>
      <c r="L147" t="n">
        <v>0</v>
      </c>
      <c r="M147" t="n">
        <v>0</v>
      </c>
      <c r="N147" t="n">
        <v>0</v>
      </c>
      <c r="O147" t="n">
        <v>3</v>
      </c>
      <c r="P147" t="n">
        <v>1</v>
      </c>
      <c r="Q147" t="n">
        <v>3</v>
      </c>
      <c r="R147" s="2" t="inlineStr">
        <is>
          <t>Liten hornflikmossa
Garnlav
Vedtrappmossa</t>
        </is>
      </c>
      <c r="S147">
        <f>HYPERLINK("https://klasma.github.io/Logging_2303/artfynd/A 20776-2024 artfynd.xlsx", "A 20776-2024")</f>
        <v/>
      </c>
      <c r="T147">
        <f>HYPERLINK("https://klasma.github.io/Logging_2303/kartor/A 20776-2024 karta.png", "A 20776-2024")</f>
        <v/>
      </c>
      <c r="V147">
        <f>HYPERLINK("https://klasma.github.io/Logging_2303/klagomål/A 20776-2024 FSC-klagomål.docx", "A 20776-2024")</f>
        <v/>
      </c>
      <c r="W147">
        <f>HYPERLINK("https://klasma.github.io/Logging_2303/klagomålsmail/A 20776-2024 FSC-klagomål mail.docx", "A 20776-2024")</f>
        <v/>
      </c>
      <c r="X147">
        <f>HYPERLINK("https://klasma.github.io/Logging_2303/tillsyn/A 20776-2024 tillsynsbegäran.docx", "A 20776-2024")</f>
        <v/>
      </c>
      <c r="Y147">
        <f>HYPERLINK("https://klasma.github.io/Logging_2303/tillsynsmail/A 20776-2024 tillsynsbegäran mail.docx", "A 20776-2024")</f>
        <v/>
      </c>
    </row>
    <row r="148" ht="15" customHeight="1">
      <c r="A148" t="inlineStr">
        <is>
          <t>A 36504-2023</t>
        </is>
      </c>
      <c r="B148" s="1" t="n">
        <v>45152</v>
      </c>
      <c r="C148" s="1" t="n">
        <v>46106</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57941-2024</t>
        </is>
      </c>
      <c r="B149" s="1" t="n">
        <v>45631</v>
      </c>
      <c r="C149" s="1" t="n">
        <v>46106</v>
      </c>
      <c r="D149" t="inlineStr">
        <is>
          <t>JÄMTLANDS LÄN</t>
        </is>
      </c>
      <c r="E149" t="inlineStr">
        <is>
          <t>RAGUNDA</t>
        </is>
      </c>
      <c r="F149" t="inlineStr">
        <is>
          <t>SCA</t>
        </is>
      </c>
      <c r="G149" t="n">
        <v>4.2</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57941-2024 artfynd.xlsx", "A 57941-2024")</f>
        <v/>
      </c>
      <c r="T149">
        <f>HYPERLINK("https://klasma.github.io/Logging_2303/kartor/A 57941-2024 karta.png", "A 57941-2024")</f>
        <v/>
      </c>
      <c r="V149">
        <f>HYPERLINK("https://klasma.github.io/Logging_2303/klagomål/A 57941-2024 FSC-klagomål.docx", "A 57941-2024")</f>
        <v/>
      </c>
      <c r="W149">
        <f>HYPERLINK("https://klasma.github.io/Logging_2303/klagomålsmail/A 57941-2024 FSC-klagomål mail.docx", "A 57941-2024")</f>
        <v/>
      </c>
      <c r="X149">
        <f>HYPERLINK("https://klasma.github.io/Logging_2303/tillsyn/A 57941-2024 tillsynsbegäran.docx", "A 57941-2024")</f>
        <v/>
      </c>
      <c r="Y149">
        <f>HYPERLINK("https://klasma.github.io/Logging_2303/tillsynsmail/A 57941-2024 tillsynsbegäran mail.docx", "A 57941-2024")</f>
        <v/>
      </c>
      <c r="Z149">
        <f>HYPERLINK("https://klasma.github.io/Logging_2303/fåglar/A 57941-2024 prioriterade fågelarter.docx", "A 57941-2024")</f>
        <v/>
      </c>
    </row>
    <row r="150" ht="15" customHeight="1">
      <c r="A150" t="inlineStr">
        <is>
          <t>A 5731-2026</t>
        </is>
      </c>
      <c r="B150" s="1" t="n">
        <v>46051.57355324074</v>
      </c>
      <c r="C150" s="1" t="n">
        <v>46106</v>
      </c>
      <c r="D150" t="inlineStr">
        <is>
          <t>JÄMTLANDS LÄN</t>
        </is>
      </c>
      <c r="E150" t="inlineStr">
        <is>
          <t>RAGUNDA</t>
        </is>
      </c>
      <c r="F150" t="inlineStr">
        <is>
          <t>SCA</t>
        </is>
      </c>
      <c r="G150" t="n">
        <v>2</v>
      </c>
      <c r="H150" t="n">
        <v>1</v>
      </c>
      <c r="I150" t="n">
        <v>0</v>
      </c>
      <c r="J150" t="n">
        <v>2</v>
      </c>
      <c r="K150" t="n">
        <v>0</v>
      </c>
      <c r="L150" t="n">
        <v>0</v>
      </c>
      <c r="M150" t="n">
        <v>0</v>
      </c>
      <c r="N150" t="n">
        <v>0</v>
      </c>
      <c r="O150" t="n">
        <v>2</v>
      </c>
      <c r="P150" t="n">
        <v>0</v>
      </c>
      <c r="Q150" t="n">
        <v>3</v>
      </c>
      <c r="R150" s="2" t="inlineStr">
        <is>
          <t>Garnlav
Lunglav
Lavskrika</t>
        </is>
      </c>
      <c r="S150">
        <f>HYPERLINK("https://klasma.github.io/Logging_2303/artfynd/A 5731-2026 artfynd.xlsx", "A 5731-2026")</f>
        <v/>
      </c>
      <c r="T150">
        <f>HYPERLINK("https://klasma.github.io/Logging_2303/kartor/A 5731-2026 karta.png", "A 5731-2026")</f>
        <v/>
      </c>
      <c r="V150">
        <f>HYPERLINK("https://klasma.github.io/Logging_2303/klagomål/A 5731-2026 FSC-klagomål.docx", "A 5731-2026")</f>
        <v/>
      </c>
      <c r="W150">
        <f>HYPERLINK("https://klasma.github.io/Logging_2303/klagomålsmail/A 5731-2026 FSC-klagomål mail.docx", "A 5731-2026")</f>
        <v/>
      </c>
      <c r="X150">
        <f>HYPERLINK("https://klasma.github.io/Logging_2303/tillsyn/A 5731-2026 tillsynsbegäran.docx", "A 5731-2026")</f>
        <v/>
      </c>
      <c r="Y150">
        <f>HYPERLINK("https://klasma.github.io/Logging_2303/tillsynsmail/A 5731-2026 tillsynsbegäran mail.docx", "A 5731-2026")</f>
        <v/>
      </c>
      <c r="Z150">
        <f>HYPERLINK("https://klasma.github.io/Logging_2303/fåglar/A 5731-2026 prioriterade fågelarter.docx", "A 5731-2026")</f>
        <v/>
      </c>
    </row>
    <row r="151" ht="15" customHeight="1">
      <c r="A151" t="inlineStr">
        <is>
          <t>A 16305-2025</t>
        </is>
      </c>
      <c r="B151" s="1" t="n">
        <v>45751.34650462963</v>
      </c>
      <c r="C151" s="1" t="n">
        <v>46106</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30470-2024</t>
        </is>
      </c>
      <c r="B152" s="1" t="n">
        <v>45491</v>
      </c>
      <c r="C152" s="1" t="n">
        <v>46106</v>
      </c>
      <c r="D152" t="inlineStr">
        <is>
          <t>JÄMTLANDS LÄN</t>
        </is>
      </c>
      <c r="E152" t="inlineStr">
        <is>
          <t>RAGUNDA</t>
        </is>
      </c>
      <c r="F152" t="inlineStr">
        <is>
          <t>SCA</t>
        </is>
      </c>
      <c r="G152" t="n">
        <v>1.4</v>
      </c>
      <c r="H152" t="n">
        <v>2</v>
      </c>
      <c r="I152" t="n">
        <v>0</v>
      </c>
      <c r="J152" t="n">
        <v>2</v>
      </c>
      <c r="K152" t="n">
        <v>1</v>
      </c>
      <c r="L152" t="n">
        <v>0</v>
      </c>
      <c r="M152" t="n">
        <v>0</v>
      </c>
      <c r="N152" t="n">
        <v>0</v>
      </c>
      <c r="O152" t="n">
        <v>3</v>
      </c>
      <c r="P152" t="n">
        <v>1</v>
      </c>
      <c r="Q152" t="n">
        <v>3</v>
      </c>
      <c r="R152" s="2" t="inlineStr">
        <is>
          <t>Knärot
Lunglav
Tretåig hackspett</t>
        </is>
      </c>
      <c r="S152">
        <f>HYPERLINK("https://klasma.github.io/Logging_2303/artfynd/A 30470-2024 artfynd.xlsx", "A 30470-2024")</f>
        <v/>
      </c>
      <c r="T152">
        <f>HYPERLINK("https://klasma.github.io/Logging_2303/kartor/A 30470-2024 karta.png", "A 30470-2024")</f>
        <v/>
      </c>
      <c r="U152">
        <f>HYPERLINK("https://klasma.github.io/Logging_2303/knärot/A 30470-2024 karta knärot.png", "A 30470-2024")</f>
        <v/>
      </c>
      <c r="V152">
        <f>HYPERLINK("https://klasma.github.io/Logging_2303/klagomål/A 30470-2024 FSC-klagomål.docx", "A 30470-2024")</f>
        <v/>
      </c>
      <c r="W152">
        <f>HYPERLINK("https://klasma.github.io/Logging_2303/klagomålsmail/A 30470-2024 FSC-klagomål mail.docx", "A 30470-2024")</f>
        <v/>
      </c>
      <c r="X152">
        <f>HYPERLINK("https://klasma.github.io/Logging_2303/tillsyn/A 30470-2024 tillsynsbegäran.docx", "A 30470-2024")</f>
        <v/>
      </c>
      <c r="Y152">
        <f>HYPERLINK("https://klasma.github.io/Logging_2303/tillsynsmail/A 30470-2024 tillsynsbegäran mail.docx", "A 30470-2024")</f>
        <v/>
      </c>
      <c r="Z152">
        <f>HYPERLINK("https://klasma.github.io/Logging_2303/fåglar/A 30470-2024 prioriterade fågelarter.docx", "A 30470-2024")</f>
        <v/>
      </c>
    </row>
    <row r="153" ht="15" customHeight="1">
      <c r="A153" t="inlineStr">
        <is>
          <t>A 22730-2023</t>
        </is>
      </c>
      <c r="B153" s="1" t="n">
        <v>45071</v>
      </c>
      <c r="C153" s="1" t="n">
        <v>46106</v>
      </c>
      <c r="D153" t="inlineStr">
        <is>
          <t>JÄMTLANDS LÄN</t>
        </is>
      </c>
      <c r="E153" t="inlineStr">
        <is>
          <t>RAGUNDA</t>
        </is>
      </c>
      <c r="G153" t="n">
        <v>3.6</v>
      </c>
      <c r="H153" t="n">
        <v>0</v>
      </c>
      <c r="I153" t="n">
        <v>0</v>
      </c>
      <c r="J153" t="n">
        <v>3</v>
      </c>
      <c r="K153" t="n">
        <v>0</v>
      </c>
      <c r="L153" t="n">
        <v>0</v>
      </c>
      <c r="M153" t="n">
        <v>0</v>
      </c>
      <c r="N153" t="n">
        <v>0</v>
      </c>
      <c r="O153" t="n">
        <v>3</v>
      </c>
      <c r="P153" t="n">
        <v>0</v>
      </c>
      <c r="Q153" t="n">
        <v>3</v>
      </c>
      <c r="R153" s="2" t="inlineStr">
        <is>
          <t>Garnlav
Lunglav
Vitgrynig nållav</t>
        </is>
      </c>
      <c r="S153">
        <f>HYPERLINK("https://klasma.github.io/Logging_2303/artfynd/A 22730-2023 artfynd.xlsx", "A 22730-2023")</f>
        <v/>
      </c>
      <c r="T153">
        <f>HYPERLINK("https://klasma.github.io/Logging_2303/kartor/A 22730-2023 karta.png", "A 22730-2023")</f>
        <v/>
      </c>
      <c r="V153">
        <f>HYPERLINK("https://klasma.github.io/Logging_2303/klagomål/A 22730-2023 FSC-klagomål.docx", "A 22730-2023")</f>
        <v/>
      </c>
      <c r="W153">
        <f>HYPERLINK("https://klasma.github.io/Logging_2303/klagomålsmail/A 22730-2023 FSC-klagomål mail.docx", "A 22730-2023")</f>
        <v/>
      </c>
      <c r="X153">
        <f>HYPERLINK("https://klasma.github.io/Logging_2303/tillsyn/A 22730-2023 tillsynsbegäran.docx", "A 22730-2023")</f>
        <v/>
      </c>
      <c r="Y153">
        <f>HYPERLINK("https://klasma.github.io/Logging_2303/tillsynsmail/A 22730-2023 tillsynsbegäran mail.docx", "A 22730-2023")</f>
        <v/>
      </c>
    </row>
    <row r="154" ht="15" customHeight="1">
      <c r="A154" t="inlineStr">
        <is>
          <t>A 33432-2023</t>
        </is>
      </c>
      <c r="B154" s="1" t="n">
        <v>45128</v>
      </c>
      <c r="C154" s="1" t="n">
        <v>46106</v>
      </c>
      <c r="D154" t="inlineStr">
        <is>
          <t>JÄMTLANDS LÄN</t>
        </is>
      </c>
      <c r="E154" t="inlineStr">
        <is>
          <t>RAGUNDA</t>
        </is>
      </c>
      <c r="F154" t="inlineStr">
        <is>
          <t>SCA</t>
        </is>
      </c>
      <c r="G154" t="n">
        <v>10</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33432-2023 artfynd.xlsx", "A 33432-2023")</f>
        <v/>
      </c>
      <c r="T154">
        <f>HYPERLINK("https://klasma.github.io/Logging_2303/kartor/A 33432-2023 karta.png", "A 33432-2023")</f>
        <v/>
      </c>
      <c r="V154">
        <f>HYPERLINK("https://klasma.github.io/Logging_2303/klagomål/A 33432-2023 FSC-klagomål.docx", "A 33432-2023")</f>
        <v/>
      </c>
      <c r="W154">
        <f>HYPERLINK("https://klasma.github.io/Logging_2303/klagomålsmail/A 33432-2023 FSC-klagomål mail.docx", "A 33432-2023")</f>
        <v/>
      </c>
      <c r="X154">
        <f>HYPERLINK("https://klasma.github.io/Logging_2303/tillsyn/A 33432-2023 tillsynsbegäran.docx", "A 33432-2023")</f>
        <v/>
      </c>
      <c r="Y154">
        <f>HYPERLINK("https://klasma.github.io/Logging_2303/tillsynsmail/A 33432-2023 tillsynsbegäran mail.docx", "A 33432-2023")</f>
        <v/>
      </c>
      <c r="Z154">
        <f>HYPERLINK("https://klasma.github.io/Logging_2303/fåglar/A 33432-2023 prioriterade fågelarter.docx", "A 33432-2023")</f>
        <v/>
      </c>
    </row>
    <row r="155" ht="15" customHeight="1">
      <c r="A155" t="inlineStr">
        <is>
          <t>A 21248-2025</t>
        </is>
      </c>
      <c r="B155" s="1" t="n">
        <v>45779.57392361111</v>
      </c>
      <c r="C155" s="1" t="n">
        <v>46106</v>
      </c>
      <c r="D155" t="inlineStr">
        <is>
          <t>JÄMTLANDS LÄN</t>
        </is>
      </c>
      <c r="E155" t="inlineStr">
        <is>
          <t>RAGUNDA</t>
        </is>
      </c>
      <c r="F155" t="inlineStr">
        <is>
          <t>SCA</t>
        </is>
      </c>
      <c r="G155" t="n">
        <v>2.9</v>
      </c>
      <c r="H155" t="n">
        <v>1</v>
      </c>
      <c r="I155" t="n">
        <v>1</v>
      </c>
      <c r="J155" t="n">
        <v>2</v>
      </c>
      <c r="K155" t="n">
        <v>0</v>
      </c>
      <c r="L155" t="n">
        <v>0</v>
      </c>
      <c r="M155" t="n">
        <v>0</v>
      </c>
      <c r="N155" t="n">
        <v>0</v>
      </c>
      <c r="O155" t="n">
        <v>2</v>
      </c>
      <c r="P155" t="n">
        <v>0</v>
      </c>
      <c r="Q155" t="n">
        <v>3</v>
      </c>
      <c r="R155" s="2" t="inlineStr">
        <is>
          <t>Garnlav
Tretåig hackspett
Vedticka</t>
        </is>
      </c>
      <c r="S155">
        <f>HYPERLINK("https://klasma.github.io/Logging_2303/artfynd/A 21248-2025 artfynd.xlsx", "A 21248-2025")</f>
        <v/>
      </c>
      <c r="T155">
        <f>HYPERLINK("https://klasma.github.io/Logging_2303/kartor/A 21248-2025 karta.png", "A 21248-2025")</f>
        <v/>
      </c>
      <c r="V155">
        <f>HYPERLINK("https://klasma.github.io/Logging_2303/klagomål/A 21248-2025 FSC-klagomål.docx", "A 21248-2025")</f>
        <v/>
      </c>
      <c r="W155">
        <f>HYPERLINK("https://klasma.github.io/Logging_2303/klagomålsmail/A 21248-2025 FSC-klagomål mail.docx", "A 21248-2025")</f>
        <v/>
      </c>
      <c r="X155">
        <f>HYPERLINK("https://klasma.github.io/Logging_2303/tillsyn/A 21248-2025 tillsynsbegäran.docx", "A 21248-2025")</f>
        <v/>
      </c>
      <c r="Y155">
        <f>HYPERLINK("https://klasma.github.io/Logging_2303/tillsynsmail/A 21248-2025 tillsynsbegäran mail.docx", "A 21248-2025")</f>
        <v/>
      </c>
      <c r="Z155">
        <f>HYPERLINK("https://klasma.github.io/Logging_2303/fåglar/A 21248-2025 prioriterade fågelarter.docx", "A 21248-2025")</f>
        <v/>
      </c>
    </row>
    <row r="156" ht="15" customHeight="1">
      <c r="A156" t="inlineStr">
        <is>
          <t>A 25769-2025</t>
        </is>
      </c>
      <c r="B156" s="1" t="n">
        <v>45804.34474537037</v>
      </c>
      <c r="C156" s="1" t="n">
        <v>46106</v>
      </c>
      <c r="D156" t="inlineStr">
        <is>
          <t>JÄMTLANDS LÄN</t>
        </is>
      </c>
      <c r="E156" t="inlineStr">
        <is>
          <t>RAGUNDA</t>
        </is>
      </c>
      <c r="F156" t="inlineStr">
        <is>
          <t>SCA</t>
        </is>
      </c>
      <c r="G156" t="n">
        <v>5.3</v>
      </c>
      <c r="H156" t="n">
        <v>2</v>
      </c>
      <c r="I156" t="n">
        <v>0</v>
      </c>
      <c r="J156" t="n">
        <v>3</v>
      </c>
      <c r="K156" t="n">
        <v>0</v>
      </c>
      <c r="L156" t="n">
        <v>0</v>
      </c>
      <c r="M156" t="n">
        <v>0</v>
      </c>
      <c r="N156" t="n">
        <v>0</v>
      </c>
      <c r="O156" t="n">
        <v>3</v>
      </c>
      <c r="P156" t="n">
        <v>0</v>
      </c>
      <c r="Q156" t="n">
        <v>3</v>
      </c>
      <c r="R156" s="2" t="inlineStr">
        <is>
          <t>Garnlav
Rödvingetrast
Tretåig hackspett</t>
        </is>
      </c>
      <c r="S156">
        <f>HYPERLINK("https://klasma.github.io/Logging_2303/artfynd/A 25769-2025 artfynd.xlsx", "A 25769-2025")</f>
        <v/>
      </c>
      <c r="T156">
        <f>HYPERLINK("https://klasma.github.io/Logging_2303/kartor/A 25769-2025 karta.png", "A 25769-2025")</f>
        <v/>
      </c>
      <c r="V156">
        <f>HYPERLINK("https://klasma.github.io/Logging_2303/klagomål/A 25769-2025 FSC-klagomål.docx", "A 25769-2025")</f>
        <v/>
      </c>
      <c r="W156">
        <f>HYPERLINK("https://klasma.github.io/Logging_2303/klagomålsmail/A 25769-2025 FSC-klagomål mail.docx", "A 25769-2025")</f>
        <v/>
      </c>
      <c r="X156">
        <f>HYPERLINK("https://klasma.github.io/Logging_2303/tillsyn/A 25769-2025 tillsynsbegäran.docx", "A 25769-2025")</f>
        <v/>
      </c>
      <c r="Y156">
        <f>HYPERLINK("https://klasma.github.io/Logging_2303/tillsynsmail/A 25769-2025 tillsynsbegäran mail.docx", "A 25769-2025")</f>
        <v/>
      </c>
      <c r="Z156">
        <f>HYPERLINK("https://klasma.github.io/Logging_2303/fåglar/A 25769-2025 prioriterade fågelarter.docx", "A 25769-2025")</f>
        <v/>
      </c>
    </row>
    <row r="157" ht="15" customHeight="1">
      <c r="A157" t="inlineStr">
        <is>
          <t>A 17043-2022</t>
        </is>
      </c>
      <c r="B157" s="1" t="n">
        <v>44676</v>
      </c>
      <c r="C157" s="1" t="n">
        <v>46106</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46106</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46106</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46106</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55647-2023</t>
        </is>
      </c>
      <c r="B161" s="1" t="n">
        <v>45238</v>
      </c>
      <c r="C161" s="1" t="n">
        <v>46106</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47267-2022</t>
        </is>
      </c>
      <c r="B162" s="1" t="n">
        <v>44852</v>
      </c>
      <c r="C162" s="1" t="n">
        <v>46106</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45021-2023</t>
        </is>
      </c>
      <c r="B163" s="1" t="n">
        <v>45190</v>
      </c>
      <c r="C163" s="1" t="n">
        <v>46106</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48427-2023</t>
        </is>
      </c>
      <c r="B164" s="1" t="n">
        <v>45205</v>
      </c>
      <c r="C164" s="1" t="n">
        <v>46106</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31960-2025</t>
        </is>
      </c>
      <c r="B165" s="1" t="n">
        <v>45835.344375</v>
      </c>
      <c r="C165" s="1" t="n">
        <v>46106</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57940-2024</t>
        </is>
      </c>
      <c r="B166" s="1" t="n">
        <v>45631</v>
      </c>
      <c r="C166" s="1" t="n">
        <v>46106</v>
      </c>
      <c r="D166" t="inlineStr">
        <is>
          <t>JÄMTLANDS LÄN</t>
        </is>
      </c>
      <c r="E166" t="inlineStr">
        <is>
          <t>RAGUNDA</t>
        </is>
      </c>
      <c r="F166" t="inlineStr">
        <is>
          <t>SCA</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HYPERLINK("https://klasma.github.io/Logging_2303/artfynd/A 57940-2024 artfynd.xlsx", "A 57940-2024")</f>
        <v/>
      </c>
      <c r="T166">
        <f>HYPERLINK("https://klasma.github.io/Logging_2303/kartor/A 57940-2024 karta.png", "A 57940-2024")</f>
        <v/>
      </c>
      <c r="V166">
        <f>HYPERLINK("https://klasma.github.io/Logging_2303/klagomål/A 57940-2024 FSC-klagomål.docx", "A 57940-2024")</f>
        <v/>
      </c>
      <c r="W166">
        <f>HYPERLINK("https://klasma.github.io/Logging_2303/klagomålsmail/A 57940-2024 FSC-klagomål mail.docx", "A 57940-2024")</f>
        <v/>
      </c>
      <c r="X166">
        <f>HYPERLINK("https://klasma.github.io/Logging_2303/tillsyn/A 57940-2024 tillsynsbegäran.docx", "A 57940-2024")</f>
        <v/>
      </c>
      <c r="Y166">
        <f>HYPERLINK("https://klasma.github.io/Logging_2303/tillsynsmail/A 57940-2024 tillsynsbegäran mail.docx", "A 57940-2024")</f>
        <v/>
      </c>
      <c r="Z166">
        <f>HYPERLINK("https://klasma.github.io/Logging_2303/fåglar/A 57940-2024 prioriterade fågelarter.docx", "A 57940-2024")</f>
        <v/>
      </c>
    </row>
    <row r="167" ht="15" customHeight="1">
      <c r="A167" t="inlineStr">
        <is>
          <t>A 30053-2024</t>
        </is>
      </c>
      <c r="B167" s="1" t="n">
        <v>45488.94747685185</v>
      </c>
      <c r="C167" s="1" t="n">
        <v>46106</v>
      </c>
      <c r="D167" t="inlineStr">
        <is>
          <t>JÄMTLANDS LÄN</t>
        </is>
      </c>
      <c r="E167" t="inlineStr">
        <is>
          <t>RAGUNDA</t>
        </is>
      </c>
      <c r="F167" t="inlineStr">
        <is>
          <t>SCA</t>
        </is>
      </c>
      <c r="G167" t="n">
        <v>9.6</v>
      </c>
      <c r="H167" t="n">
        <v>0</v>
      </c>
      <c r="I167" t="n">
        <v>1</v>
      </c>
      <c r="J167" t="n">
        <v>1</v>
      </c>
      <c r="K167" t="n">
        <v>0</v>
      </c>
      <c r="L167" t="n">
        <v>0</v>
      </c>
      <c r="M167" t="n">
        <v>0</v>
      </c>
      <c r="N167" t="n">
        <v>0</v>
      </c>
      <c r="O167" t="n">
        <v>1</v>
      </c>
      <c r="P167" t="n">
        <v>0</v>
      </c>
      <c r="Q167" t="n">
        <v>2</v>
      </c>
      <c r="R167" s="2" t="inlineStr">
        <is>
          <t>Lunglav
Korallblylav</t>
        </is>
      </c>
      <c r="S167">
        <f>HYPERLINK("https://klasma.github.io/Logging_2303/artfynd/A 30053-2024 artfynd.xlsx", "A 30053-2024")</f>
        <v/>
      </c>
      <c r="T167">
        <f>HYPERLINK("https://klasma.github.io/Logging_2303/kartor/A 30053-2024 karta.png", "A 30053-2024")</f>
        <v/>
      </c>
      <c r="V167">
        <f>HYPERLINK("https://klasma.github.io/Logging_2303/klagomål/A 30053-2024 FSC-klagomål.docx", "A 30053-2024")</f>
        <v/>
      </c>
      <c r="W167">
        <f>HYPERLINK("https://klasma.github.io/Logging_2303/klagomålsmail/A 30053-2024 FSC-klagomål mail.docx", "A 30053-2024")</f>
        <v/>
      </c>
      <c r="X167">
        <f>HYPERLINK("https://klasma.github.io/Logging_2303/tillsyn/A 30053-2024 tillsynsbegäran.docx", "A 30053-2024")</f>
        <v/>
      </c>
      <c r="Y167">
        <f>HYPERLINK("https://klasma.github.io/Logging_2303/tillsynsmail/A 30053-2024 tillsynsbegäran mail.docx", "A 30053-2024")</f>
        <v/>
      </c>
    </row>
    <row r="168" ht="15" customHeight="1">
      <c r="A168" t="inlineStr">
        <is>
          <t>A 50089-2022</t>
        </is>
      </c>
      <c r="B168" s="1" t="n">
        <v>44865</v>
      </c>
      <c r="C168" s="1" t="n">
        <v>46106</v>
      </c>
      <c r="D168" t="inlineStr">
        <is>
          <t>JÄMTLANDS LÄN</t>
        </is>
      </c>
      <c r="E168" t="inlineStr">
        <is>
          <t>RAGUNDA</t>
        </is>
      </c>
      <c r="G168" t="n">
        <v>5.7</v>
      </c>
      <c r="H168" t="n">
        <v>2</v>
      </c>
      <c r="I168" t="n">
        <v>0</v>
      </c>
      <c r="J168" t="n">
        <v>2</v>
      </c>
      <c r="K168" t="n">
        <v>0</v>
      </c>
      <c r="L168" t="n">
        <v>0</v>
      </c>
      <c r="M168" t="n">
        <v>0</v>
      </c>
      <c r="N168" t="n">
        <v>0</v>
      </c>
      <c r="O168" t="n">
        <v>2</v>
      </c>
      <c r="P168" t="n">
        <v>0</v>
      </c>
      <c r="Q168" t="n">
        <v>2</v>
      </c>
      <c r="R168" s="2" t="inlineStr">
        <is>
          <t>Björktrast
Drillsnäppa</t>
        </is>
      </c>
      <c r="S168">
        <f>HYPERLINK("https://klasma.github.io/Logging_2303/artfynd/A 50089-2022 artfynd.xlsx", "A 50089-2022")</f>
        <v/>
      </c>
      <c r="T168">
        <f>HYPERLINK("https://klasma.github.io/Logging_2303/kartor/A 50089-2022 karta.png", "A 50089-2022")</f>
        <v/>
      </c>
      <c r="V168">
        <f>HYPERLINK("https://klasma.github.io/Logging_2303/klagomål/A 50089-2022 FSC-klagomål.docx", "A 50089-2022")</f>
        <v/>
      </c>
      <c r="W168">
        <f>HYPERLINK("https://klasma.github.io/Logging_2303/klagomålsmail/A 50089-2022 FSC-klagomål mail.docx", "A 50089-2022")</f>
        <v/>
      </c>
      <c r="X168">
        <f>HYPERLINK("https://klasma.github.io/Logging_2303/tillsyn/A 50089-2022 tillsynsbegäran.docx", "A 50089-2022")</f>
        <v/>
      </c>
      <c r="Y168">
        <f>HYPERLINK("https://klasma.github.io/Logging_2303/tillsynsmail/A 50089-2022 tillsynsbegäran mail.docx", "A 50089-2022")</f>
        <v/>
      </c>
      <c r="Z168">
        <f>HYPERLINK("https://klasma.github.io/Logging_2303/fåglar/A 50089-2022 prioriterade fågelarter.docx", "A 50089-2022")</f>
        <v/>
      </c>
    </row>
    <row r="169" ht="15" customHeight="1">
      <c r="A169" t="inlineStr">
        <is>
          <t>A 35131-2025</t>
        </is>
      </c>
      <c r="B169" s="1" t="n">
        <v>45852.63597222222</v>
      </c>
      <c r="C169" s="1" t="n">
        <v>46106</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47850-2025</t>
        </is>
      </c>
      <c r="B170" s="1" t="n">
        <v>45932.38626157407</v>
      </c>
      <c r="C170" s="1" t="n">
        <v>46106</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11086-2025</t>
        </is>
      </c>
      <c r="B171" s="1" t="n">
        <v>45723.57329861111</v>
      </c>
      <c r="C171" s="1" t="n">
        <v>46106</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46106</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41490-2022</t>
        </is>
      </c>
      <c r="B173" s="1" t="n">
        <v>44826.94976851852</v>
      </c>
      <c r="C173" s="1" t="n">
        <v>46106</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14502-2024</t>
        </is>
      </c>
      <c r="B174" s="1" t="n">
        <v>45394</v>
      </c>
      <c r="C174" s="1" t="n">
        <v>46106</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46771-2024</t>
        </is>
      </c>
      <c r="B175" s="1" t="n">
        <v>45583.49642361111</v>
      </c>
      <c r="C175" s="1" t="n">
        <v>46106</v>
      </c>
      <c r="D175" t="inlineStr">
        <is>
          <t>JÄMTLANDS LÄN</t>
        </is>
      </c>
      <c r="E175" t="inlineStr">
        <is>
          <t>RAGUNDA</t>
        </is>
      </c>
      <c r="F175" t="inlineStr">
        <is>
          <t>SCA</t>
        </is>
      </c>
      <c r="G175" t="n">
        <v>3.1</v>
      </c>
      <c r="H175" t="n">
        <v>0</v>
      </c>
      <c r="I175" t="n">
        <v>0</v>
      </c>
      <c r="J175" t="n">
        <v>2</v>
      </c>
      <c r="K175" t="n">
        <v>0</v>
      </c>
      <c r="L175" t="n">
        <v>0</v>
      </c>
      <c r="M175" t="n">
        <v>0</v>
      </c>
      <c r="N175" t="n">
        <v>0</v>
      </c>
      <c r="O175" t="n">
        <v>2</v>
      </c>
      <c r="P175" t="n">
        <v>0</v>
      </c>
      <c r="Q175" t="n">
        <v>2</v>
      </c>
      <c r="R175" s="2" t="inlineStr">
        <is>
          <t>Doftskinn
Gammelgransskål</t>
        </is>
      </c>
      <c r="S175">
        <f>HYPERLINK("https://klasma.github.io/Logging_2303/artfynd/A 46771-2024 artfynd.xlsx", "A 46771-2024")</f>
        <v/>
      </c>
      <c r="T175">
        <f>HYPERLINK("https://klasma.github.io/Logging_2303/kartor/A 46771-2024 karta.png", "A 46771-2024")</f>
        <v/>
      </c>
      <c r="V175">
        <f>HYPERLINK("https://klasma.github.io/Logging_2303/klagomål/A 46771-2024 FSC-klagomål.docx", "A 46771-2024")</f>
        <v/>
      </c>
      <c r="W175">
        <f>HYPERLINK("https://klasma.github.io/Logging_2303/klagomålsmail/A 46771-2024 FSC-klagomål mail.docx", "A 46771-2024")</f>
        <v/>
      </c>
      <c r="X175">
        <f>HYPERLINK("https://klasma.github.io/Logging_2303/tillsyn/A 46771-2024 tillsynsbegäran.docx", "A 46771-2024")</f>
        <v/>
      </c>
      <c r="Y175">
        <f>HYPERLINK("https://klasma.github.io/Logging_2303/tillsynsmail/A 46771-2024 tillsynsbegäran mail.docx", "A 46771-2024")</f>
        <v/>
      </c>
    </row>
    <row r="176" ht="15" customHeight="1">
      <c r="A176" t="inlineStr">
        <is>
          <t>A 44409-2023</t>
        </is>
      </c>
      <c r="B176" s="1" t="n">
        <v>45188</v>
      </c>
      <c r="C176" s="1" t="n">
        <v>46106</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44409-2023 artfynd.xlsx", "A 44409-2023")</f>
        <v/>
      </c>
      <c r="T176">
        <f>HYPERLINK("https://klasma.github.io/Logging_2303/kartor/A 44409-2023 karta.png", "A 44409-2023")</f>
        <v/>
      </c>
      <c r="V176">
        <f>HYPERLINK("https://klasma.github.io/Logging_2303/klagomål/A 44409-2023 FSC-klagomål.docx", "A 44409-2023")</f>
        <v/>
      </c>
      <c r="W176">
        <f>HYPERLINK("https://klasma.github.io/Logging_2303/klagomålsmail/A 44409-2023 FSC-klagomål mail.docx", "A 44409-2023")</f>
        <v/>
      </c>
      <c r="X176">
        <f>HYPERLINK("https://klasma.github.io/Logging_2303/tillsyn/A 44409-2023 tillsynsbegäran.docx", "A 44409-2023")</f>
        <v/>
      </c>
      <c r="Y176">
        <f>HYPERLINK("https://klasma.github.io/Logging_2303/tillsynsmail/A 44409-2023 tillsynsbegäran mail.docx", "A 44409-2023")</f>
        <v/>
      </c>
    </row>
    <row r="177" ht="15" customHeight="1">
      <c r="A177" t="inlineStr">
        <is>
          <t>A 12271-2024</t>
        </is>
      </c>
      <c r="B177" s="1" t="n">
        <v>45378</v>
      </c>
      <c r="C177" s="1" t="n">
        <v>46106</v>
      </c>
      <c r="D177" t="inlineStr">
        <is>
          <t>JÄMTLANDS LÄN</t>
        </is>
      </c>
      <c r="E177" t="inlineStr">
        <is>
          <t>RAGUNDA</t>
        </is>
      </c>
      <c r="F177" t="inlineStr">
        <is>
          <t>Kommuner</t>
        </is>
      </c>
      <c r="G177" t="n">
        <v>6.1</v>
      </c>
      <c r="H177" t="n">
        <v>0</v>
      </c>
      <c r="I177" t="n">
        <v>0</v>
      </c>
      <c r="J177" t="n">
        <v>2</v>
      </c>
      <c r="K177" t="n">
        <v>0</v>
      </c>
      <c r="L177" t="n">
        <v>0</v>
      </c>
      <c r="M177" t="n">
        <v>0</v>
      </c>
      <c r="N177" t="n">
        <v>0</v>
      </c>
      <c r="O177" t="n">
        <v>2</v>
      </c>
      <c r="P177" t="n">
        <v>0</v>
      </c>
      <c r="Q177" t="n">
        <v>2</v>
      </c>
      <c r="R177" s="2" t="inlineStr">
        <is>
          <t>Garnlav
Lunglav</t>
        </is>
      </c>
      <c r="S177">
        <f>HYPERLINK("https://klasma.github.io/Logging_2303/artfynd/A 12271-2024 artfynd.xlsx", "A 12271-2024")</f>
        <v/>
      </c>
      <c r="T177">
        <f>HYPERLINK("https://klasma.github.io/Logging_2303/kartor/A 12271-2024 karta.png", "A 12271-2024")</f>
        <v/>
      </c>
      <c r="V177">
        <f>HYPERLINK("https://klasma.github.io/Logging_2303/klagomål/A 12271-2024 FSC-klagomål.docx", "A 12271-2024")</f>
        <v/>
      </c>
      <c r="W177">
        <f>HYPERLINK("https://klasma.github.io/Logging_2303/klagomålsmail/A 12271-2024 FSC-klagomål mail.docx", "A 12271-2024")</f>
        <v/>
      </c>
      <c r="X177">
        <f>HYPERLINK("https://klasma.github.io/Logging_2303/tillsyn/A 12271-2024 tillsynsbegäran.docx", "A 12271-2024")</f>
        <v/>
      </c>
      <c r="Y177">
        <f>HYPERLINK("https://klasma.github.io/Logging_2303/tillsynsmail/A 12271-2024 tillsynsbegäran mail.docx", "A 12271-2024")</f>
        <v/>
      </c>
    </row>
    <row r="178" ht="15" customHeight="1">
      <c r="A178" t="inlineStr">
        <is>
          <t>A 34715-2024</t>
        </is>
      </c>
      <c r="B178" s="1" t="n">
        <v>45526.56393518519</v>
      </c>
      <c r="C178" s="1" t="n">
        <v>46106</v>
      </c>
      <c r="D178" t="inlineStr">
        <is>
          <t>JÄMTLANDS LÄN</t>
        </is>
      </c>
      <c r="E178" t="inlineStr">
        <is>
          <t>RAGUNDA</t>
        </is>
      </c>
      <c r="F178" t="inlineStr">
        <is>
          <t>SCA</t>
        </is>
      </c>
      <c r="G178" t="n">
        <v>3</v>
      </c>
      <c r="H178" t="n">
        <v>0</v>
      </c>
      <c r="I178" t="n">
        <v>1</v>
      </c>
      <c r="J178" t="n">
        <v>1</v>
      </c>
      <c r="K178" t="n">
        <v>0</v>
      </c>
      <c r="L178" t="n">
        <v>0</v>
      </c>
      <c r="M178" t="n">
        <v>0</v>
      </c>
      <c r="N178" t="n">
        <v>0</v>
      </c>
      <c r="O178" t="n">
        <v>1</v>
      </c>
      <c r="P178" t="n">
        <v>0</v>
      </c>
      <c r="Q178" t="n">
        <v>2</v>
      </c>
      <c r="R178" s="2" t="inlineStr">
        <is>
          <t>Garnlav
Vedticka</t>
        </is>
      </c>
      <c r="S178">
        <f>HYPERLINK("https://klasma.github.io/Logging_2303/artfynd/A 34715-2024 artfynd.xlsx", "A 34715-2024")</f>
        <v/>
      </c>
      <c r="T178">
        <f>HYPERLINK("https://klasma.github.io/Logging_2303/kartor/A 34715-2024 karta.png", "A 34715-2024")</f>
        <v/>
      </c>
      <c r="V178">
        <f>HYPERLINK("https://klasma.github.io/Logging_2303/klagomål/A 34715-2024 FSC-klagomål.docx", "A 34715-2024")</f>
        <v/>
      </c>
      <c r="W178">
        <f>HYPERLINK("https://klasma.github.io/Logging_2303/klagomålsmail/A 34715-2024 FSC-klagomål mail.docx", "A 34715-2024")</f>
        <v/>
      </c>
      <c r="X178">
        <f>HYPERLINK("https://klasma.github.io/Logging_2303/tillsyn/A 34715-2024 tillsynsbegäran.docx", "A 34715-2024")</f>
        <v/>
      </c>
      <c r="Y178">
        <f>HYPERLINK("https://klasma.github.io/Logging_2303/tillsynsmail/A 34715-2024 tillsynsbegäran mail.docx", "A 34715-2024")</f>
        <v/>
      </c>
    </row>
    <row r="179" ht="15" customHeight="1">
      <c r="A179" t="inlineStr">
        <is>
          <t>A 10866-2025</t>
        </is>
      </c>
      <c r="B179" s="1" t="n">
        <v>45722.61543981481</v>
      </c>
      <c r="C179" s="1" t="n">
        <v>46106</v>
      </c>
      <c r="D179" t="inlineStr">
        <is>
          <t>JÄMTLANDS LÄN</t>
        </is>
      </c>
      <c r="E179" t="inlineStr">
        <is>
          <t>RAGUNDA</t>
        </is>
      </c>
      <c r="F179" t="inlineStr">
        <is>
          <t>SCA</t>
        </is>
      </c>
      <c r="G179" t="n">
        <v>15.9</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10866-2025 artfynd.xlsx", "A 10866-2025")</f>
        <v/>
      </c>
      <c r="T179">
        <f>HYPERLINK("https://klasma.github.io/Logging_2303/kartor/A 10866-2025 karta.png", "A 10866-2025")</f>
        <v/>
      </c>
      <c r="V179">
        <f>HYPERLINK("https://klasma.github.io/Logging_2303/klagomål/A 10866-2025 FSC-klagomål.docx", "A 10866-2025")</f>
        <v/>
      </c>
      <c r="W179">
        <f>HYPERLINK("https://klasma.github.io/Logging_2303/klagomålsmail/A 10866-2025 FSC-klagomål mail.docx", "A 10866-2025")</f>
        <v/>
      </c>
      <c r="X179">
        <f>HYPERLINK("https://klasma.github.io/Logging_2303/tillsyn/A 10866-2025 tillsynsbegäran.docx", "A 10866-2025")</f>
        <v/>
      </c>
      <c r="Y179">
        <f>HYPERLINK("https://klasma.github.io/Logging_2303/tillsynsmail/A 10866-2025 tillsynsbegäran mail.docx", "A 10866-2025")</f>
        <v/>
      </c>
    </row>
    <row r="180" ht="15" customHeight="1">
      <c r="A180" t="inlineStr">
        <is>
          <t>A 10884-2025</t>
        </is>
      </c>
      <c r="B180" s="1" t="n">
        <v>45722.65670138889</v>
      </c>
      <c r="C180" s="1" t="n">
        <v>46106</v>
      </c>
      <c r="D180" t="inlineStr">
        <is>
          <t>JÄMTLANDS LÄN</t>
        </is>
      </c>
      <c r="E180" t="inlineStr">
        <is>
          <t>RAGUNDA</t>
        </is>
      </c>
      <c r="F180" t="inlineStr">
        <is>
          <t>SCA</t>
        </is>
      </c>
      <c r="G180" t="n">
        <v>5.4</v>
      </c>
      <c r="H180" t="n">
        <v>0</v>
      </c>
      <c r="I180" t="n">
        <v>1</v>
      </c>
      <c r="J180" t="n">
        <v>1</v>
      </c>
      <c r="K180" t="n">
        <v>0</v>
      </c>
      <c r="L180" t="n">
        <v>0</v>
      </c>
      <c r="M180" t="n">
        <v>0</v>
      </c>
      <c r="N180" t="n">
        <v>0</v>
      </c>
      <c r="O180" t="n">
        <v>1</v>
      </c>
      <c r="P180" t="n">
        <v>0</v>
      </c>
      <c r="Q180" t="n">
        <v>2</v>
      </c>
      <c r="R180" s="2" t="inlineStr">
        <is>
          <t>Vitgrynig nållav
Dropptaggsvamp</t>
        </is>
      </c>
      <c r="S180">
        <f>HYPERLINK("https://klasma.github.io/Logging_2303/artfynd/A 10884-2025 artfynd.xlsx", "A 10884-2025")</f>
        <v/>
      </c>
      <c r="T180">
        <f>HYPERLINK("https://klasma.github.io/Logging_2303/kartor/A 10884-2025 karta.png", "A 10884-2025")</f>
        <v/>
      </c>
      <c r="V180">
        <f>HYPERLINK("https://klasma.github.io/Logging_2303/klagomål/A 10884-2025 FSC-klagomål.docx", "A 10884-2025")</f>
        <v/>
      </c>
      <c r="W180">
        <f>HYPERLINK("https://klasma.github.io/Logging_2303/klagomålsmail/A 10884-2025 FSC-klagomål mail.docx", "A 10884-2025")</f>
        <v/>
      </c>
      <c r="X180">
        <f>HYPERLINK("https://klasma.github.io/Logging_2303/tillsyn/A 10884-2025 tillsynsbegäran.docx", "A 10884-2025")</f>
        <v/>
      </c>
      <c r="Y180">
        <f>HYPERLINK("https://klasma.github.io/Logging_2303/tillsynsmail/A 10884-2025 tillsynsbegäran mail.docx", "A 10884-2025")</f>
        <v/>
      </c>
    </row>
    <row r="181" ht="15" customHeight="1">
      <c r="A181" t="inlineStr">
        <is>
          <t>A 3838-2024</t>
        </is>
      </c>
      <c r="B181" s="1" t="n">
        <v>45321</v>
      </c>
      <c r="C181" s="1" t="n">
        <v>46106</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62636-2025</t>
        </is>
      </c>
      <c r="B182" s="1" t="n">
        <v>46008.3653587963</v>
      </c>
      <c r="C182" s="1" t="n">
        <v>46106</v>
      </c>
      <c r="D182" t="inlineStr">
        <is>
          <t>JÄMTLANDS LÄN</t>
        </is>
      </c>
      <c r="E182" t="inlineStr">
        <is>
          <t>RAGUNDA</t>
        </is>
      </c>
      <c r="G182" t="n">
        <v>3.1</v>
      </c>
      <c r="H182" t="n">
        <v>1</v>
      </c>
      <c r="I182" t="n">
        <v>0</v>
      </c>
      <c r="J182" t="n">
        <v>2</v>
      </c>
      <c r="K182" t="n">
        <v>0</v>
      </c>
      <c r="L182" t="n">
        <v>0</v>
      </c>
      <c r="M182" t="n">
        <v>0</v>
      </c>
      <c r="N182" t="n">
        <v>0</v>
      </c>
      <c r="O182" t="n">
        <v>2</v>
      </c>
      <c r="P182" t="n">
        <v>0</v>
      </c>
      <c r="Q182" t="n">
        <v>2</v>
      </c>
      <c r="R182" s="2" t="inlineStr">
        <is>
          <t>Garnlav
Talltita</t>
        </is>
      </c>
      <c r="S182">
        <f>HYPERLINK("https://klasma.github.io/Logging_2303/artfynd/A 62636-2025 artfynd.xlsx", "A 62636-2025")</f>
        <v/>
      </c>
      <c r="T182">
        <f>HYPERLINK("https://klasma.github.io/Logging_2303/kartor/A 62636-2025 karta.png", "A 62636-2025")</f>
        <v/>
      </c>
      <c r="V182">
        <f>HYPERLINK("https://klasma.github.io/Logging_2303/klagomål/A 62636-2025 FSC-klagomål.docx", "A 62636-2025")</f>
        <v/>
      </c>
      <c r="W182">
        <f>HYPERLINK("https://klasma.github.io/Logging_2303/klagomålsmail/A 62636-2025 FSC-klagomål mail.docx", "A 62636-2025")</f>
        <v/>
      </c>
      <c r="X182">
        <f>HYPERLINK("https://klasma.github.io/Logging_2303/tillsyn/A 62636-2025 tillsynsbegäran.docx", "A 62636-2025")</f>
        <v/>
      </c>
      <c r="Y182">
        <f>HYPERLINK("https://klasma.github.io/Logging_2303/tillsynsmail/A 62636-2025 tillsynsbegäran mail.docx", "A 62636-2025")</f>
        <v/>
      </c>
      <c r="Z182">
        <f>HYPERLINK("https://klasma.github.io/Logging_2303/fåglar/A 62636-2025 prioriterade fågelarter.docx", "A 62636-2025")</f>
        <v/>
      </c>
    </row>
    <row r="183" ht="15" customHeight="1">
      <c r="A183" t="inlineStr">
        <is>
          <t>A 56634-2025</t>
        </is>
      </c>
      <c r="B183" s="1" t="n">
        <v>45975.61619212963</v>
      </c>
      <c r="C183" s="1" t="n">
        <v>46106</v>
      </c>
      <c r="D183" t="inlineStr">
        <is>
          <t>JÄMTLANDS LÄN</t>
        </is>
      </c>
      <c r="E183" t="inlineStr">
        <is>
          <t>RAGUNDA</t>
        </is>
      </c>
      <c r="F183" t="inlineStr">
        <is>
          <t>SCA</t>
        </is>
      </c>
      <c r="G183" t="n">
        <v>86.59999999999999</v>
      </c>
      <c r="H183" t="n">
        <v>0</v>
      </c>
      <c r="I183" t="n">
        <v>1</v>
      </c>
      <c r="J183" t="n">
        <v>1</v>
      </c>
      <c r="K183" t="n">
        <v>0</v>
      </c>
      <c r="L183" t="n">
        <v>0</v>
      </c>
      <c r="M183" t="n">
        <v>0</v>
      </c>
      <c r="N183" t="n">
        <v>0</v>
      </c>
      <c r="O183" t="n">
        <v>1</v>
      </c>
      <c r="P183" t="n">
        <v>0</v>
      </c>
      <c r="Q183" t="n">
        <v>2</v>
      </c>
      <c r="R183" s="2" t="inlineStr">
        <is>
          <t>Garnlav
Skuggblåslav</t>
        </is>
      </c>
      <c r="S183">
        <f>HYPERLINK("https://klasma.github.io/Logging_2303/artfynd/A 56634-2025 artfynd.xlsx", "A 56634-2025")</f>
        <v/>
      </c>
      <c r="T183">
        <f>HYPERLINK("https://klasma.github.io/Logging_2303/kartor/A 56634-2025 karta.png", "A 56634-2025")</f>
        <v/>
      </c>
      <c r="V183">
        <f>HYPERLINK("https://klasma.github.io/Logging_2303/klagomål/A 56634-2025 FSC-klagomål.docx", "A 56634-2025")</f>
        <v/>
      </c>
      <c r="W183">
        <f>HYPERLINK("https://klasma.github.io/Logging_2303/klagomålsmail/A 56634-2025 FSC-klagomål mail.docx", "A 56634-2025")</f>
        <v/>
      </c>
      <c r="X183">
        <f>HYPERLINK("https://klasma.github.io/Logging_2303/tillsyn/A 56634-2025 tillsynsbegäran.docx", "A 56634-2025")</f>
        <v/>
      </c>
      <c r="Y183">
        <f>HYPERLINK("https://klasma.github.io/Logging_2303/tillsynsmail/A 56634-2025 tillsynsbegäran mail.docx", "A 56634-2025")</f>
        <v/>
      </c>
    </row>
    <row r="184" ht="15" customHeight="1">
      <c r="A184" t="inlineStr">
        <is>
          <t>A 36756-2023</t>
        </is>
      </c>
      <c r="B184" s="1" t="n">
        <v>45153</v>
      </c>
      <c r="C184" s="1" t="n">
        <v>46106</v>
      </c>
      <c r="D184" t="inlineStr">
        <is>
          <t>JÄMTLANDS LÄN</t>
        </is>
      </c>
      <c r="E184" t="inlineStr">
        <is>
          <t>RAGUNDA</t>
        </is>
      </c>
      <c r="G184" t="n">
        <v>3.5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HYPERLINK("https://klasma.github.io/Logging_2303/artfynd/A 36756-2023 artfynd.xlsx", "A 36756-2023")</f>
        <v/>
      </c>
      <c r="T184">
        <f>HYPERLINK("https://klasma.github.io/Logging_2303/kartor/A 36756-2023 karta.png", "A 36756-2023")</f>
        <v/>
      </c>
      <c r="V184">
        <f>HYPERLINK("https://klasma.github.io/Logging_2303/klagomål/A 36756-2023 FSC-klagomål.docx", "A 36756-2023")</f>
        <v/>
      </c>
      <c r="W184">
        <f>HYPERLINK("https://klasma.github.io/Logging_2303/klagomålsmail/A 36756-2023 FSC-klagomål mail.docx", "A 36756-2023")</f>
        <v/>
      </c>
      <c r="X184">
        <f>HYPERLINK("https://klasma.github.io/Logging_2303/tillsyn/A 36756-2023 tillsynsbegäran.docx", "A 36756-2023")</f>
        <v/>
      </c>
      <c r="Y184">
        <f>HYPERLINK("https://klasma.github.io/Logging_2303/tillsynsmail/A 36756-2023 tillsynsbegäran mail.docx", "A 36756-2023")</f>
        <v/>
      </c>
      <c r="Z184">
        <f>HYPERLINK("https://klasma.github.io/Logging_2303/fåglar/A 36756-2023 prioriterade fågelarter.docx", "A 36756-2023")</f>
        <v/>
      </c>
    </row>
    <row r="185" ht="15" customHeight="1">
      <c r="A185" t="inlineStr">
        <is>
          <t>A 56285-2023</t>
        </is>
      </c>
      <c r="B185" s="1" t="n">
        <v>45241</v>
      </c>
      <c r="C185" s="1" t="n">
        <v>46106</v>
      </c>
      <c r="D185" t="inlineStr">
        <is>
          <t>JÄMTLANDS LÄN</t>
        </is>
      </c>
      <c r="E185" t="inlineStr">
        <is>
          <t>RAGUNDA</t>
        </is>
      </c>
      <c r="F185" t="inlineStr">
        <is>
          <t>SCA</t>
        </is>
      </c>
      <c r="G185" t="n">
        <v>5.5</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56285-2023 artfynd.xlsx", "A 56285-2023")</f>
        <v/>
      </c>
      <c r="T185">
        <f>HYPERLINK("https://klasma.github.io/Logging_2303/kartor/A 56285-2023 karta.png", "A 56285-2023")</f>
        <v/>
      </c>
      <c r="V185">
        <f>HYPERLINK("https://klasma.github.io/Logging_2303/klagomål/A 56285-2023 FSC-klagomål.docx", "A 56285-2023")</f>
        <v/>
      </c>
      <c r="W185">
        <f>HYPERLINK("https://klasma.github.io/Logging_2303/klagomålsmail/A 56285-2023 FSC-klagomål mail.docx", "A 56285-2023")</f>
        <v/>
      </c>
      <c r="X185">
        <f>HYPERLINK("https://klasma.github.io/Logging_2303/tillsyn/A 56285-2023 tillsynsbegäran.docx", "A 56285-2023")</f>
        <v/>
      </c>
      <c r="Y185">
        <f>HYPERLINK("https://klasma.github.io/Logging_2303/tillsynsmail/A 56285-2023 tillsynsbegäran mail.docx", "A 56285-2023")</f>
        <v/>
      </c>
    </row>
    <row r="186" ht="15" customHeight="1">
      <c r="A186" t="inlineStr">
        <is>
          <t>A 9749-2026</t>
        </is>
      </c>
      <c r="B186" s="1" t="n">
        <v>46072.53167824074</v>
      </c>
      <c r="C186" s="1" t="n">
        <v>46106</v>
      </c>
      <c r="D186" t="inlineStr">
        <is>
          <t>JÄMTLANDS LÄN</t>
        </is>
      </c>
      <c r="E186" t="inlineStr">
        <is>
          <t>RAGUNDA</t>
        </is>
      </c>
      <c r="F186" t="inlineStr">
        <is>
          <t>SCA</t>
        </is>
      </c>
      <c r="G186" t="n">
        <v>2.7</v>
      </c>
      <c r="H186" t="n">
        <v>1</v>
      </c>
      <c r="I186" t="n">
        <v>0</v>
      </c>
      <c r="J186" t="n">
        <v>2</v>
      </c>
      <c r="K186" t="n">
        <v>0</v>
      </c>
      <c r="L186" t="n">
        <v>0</v>
      </c>
      <c r="M186" t="n">
        <v>0</v>
      </c>
      <c r="N186" t="n">
        <v>0</v>
      </c>
      <c r="O186" t="n">
        <v>2</v>
      </c>
      <c r="P186" t="n">
        <v>0</v>
      </c>
      <c r="Q186" t="n">
        <v>2</v>
      </c>
      <c r="R186" s="2" t="inlineStr">
        <is>
          <t>Järpe
Ullticka</t>
        </is>
      </c>
      <c r="S186">
        <f>HYPERLINK("https://klasma.github.io/Logging_2303/artfynd/A 9749-2026 artfynd.xlsx", "A 9749-2026")</f>
        <v/>
      </c>
      <c r="T186">
        <f>HYPERLINK("https://klasma.github.io/Logging_2303/kartor/A 9749-2026 karta.png", "A 9749-2026")</f>
        <v/>
      </c>
      <c r="V186">
        <f>HYPERLINK("https://klasma.github.io/Logging_2303/klagomål/A 9749-2026 FSC-klagomål.docx", "A 9749-2026")</f>
        <v/>
      </c>
      <c r="W186">
        <f>HYPERLINK("https://klasma.github.io/Logging_2303/klagomålsmail/A 9749-2026 FSC-klagomål mail.docx", "A 9749-2026")</f>
        <v/>
      </c>
      <c r="X186">
        <f>HYPERLINK("https://klasma.github.io/Logging_2303/tillsyn/A 9749-2026 tillsynsbegäran.docx", "A 9749-2026")</f>
        <v/>
      </c>
      <c r="Y186">
        <f>HYPERLINK("https://klasma.github.io/Logging_2303/tillsynsmail/A 9749-2026 tillsynsbegäran mail.docx", "A 9749-2026")</f>
        <v/>
      </c>
      <c r="Z186">
        <f>HYPERLINK("https://klasma.github.io/Logging_2303/fåglar/A 9749-2026 prioriterade fågelarter.docx", "A 9749-2026")</f>
        <v/>
      </c>
    </row>
    <row r="187" ht="15" customHeight="1">
      <c r="A187" t="inlineStr">
        <is>
          <t>A 39495-2024</t>
        </is>
      </c>
      <c r="B187" s="1" t="n">
        <v>45551.65726851852</v>
      </c>
      <c r="C187" s="1" t="n">
        <v>46106</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46106</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46106</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46106</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46106</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46106</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46106</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46106</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46106</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46106</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25155-2025</t>
        </is>
      </c>
      <c r="B197" s="1" t="n">
        <v>45800.42782407408</v>
      </c>
      <c r="C197" s="1" t="n">
        <v>46106</v>
      </c>
      <c r="D197" t="inlineStr">
        <is>
          <t>JÄMTLANDS LÄN</t>
        </is>
      </c>
      <c r="E197" t="inlineStr">
        <is>
          <t>RAGUNDA</t>
        </is>
      </c>
      <c r="F197" t="inlineStr">
        <is>
          <t>SCA</t>
        </is>
      </c>
      <c r="G197" t="n">
        <v>1.7</v>
      </c>
      <c r="H197" t="n">
        <v>1</v>
      </c>
      <c r="I197" t="n">
        <v>0</v>
      </c>
      <c r="J197" t="n">
        <v>1</v>
      </c>
      <c r="K197" t="n">
        <v>0</v>
      </c>
      <c r="L197" t="n">
        <v>0</v>
      </c>
      <c r="M197" t="n">
        <v>0</v>
      </c>
      <c r="N197" t="n">
        <v>0</v>
      </c>
      <c r="O197" t="n">
        <v>1</v>
      </c>
      <c r="P197" t="n">
        <v>0</v>
      </c>
      <c r="Q197" t="n">
        <v>2</v>
      </c>
      <c r="R197" s="2" t="inlineStr">
        <is>
          <t>Kötticka
Fläcknycklar</t>
        </is>
      </c>
      <c r="S197">
        <f>HYPERLINK("https://klasma.github.io/Logging_2303/artfynd/A 25155-2025 artfynd.xlsx", "A 25155-2025")</f>
        <v/>
      </c>
      <c r="T197">
        <f>HYPERLINK("https://klasma.github.io/Logging_2303/kartor/A 25155-2025 karta.png", "A 25155-2025")</f>
        <v/>
      </c>
      <c r="V197">
        <f>HYPERLINK("https://klasma.github.io/Logging_2303/klagomål/A 25155-2025 FSC-klagomål.docx", "A 25155-2025")</f>
        <v/>
      </c>
      <c r="W197">
        <f>HYPERLINK("https://klasma.github.io/Logging_2303/klagomålsmail/A 25155-2025 FSC-klagomål mail.docx", "A 25155-2025")</f>
        <v/>
      </c>
      <c r="X197">
        <f>HYPERLINK("https://klasma.github.io/Logging_2303/tillsyn/A 25155-2025 tillsynsbegäran.docx", "A 25155-2025")</f>
        <v/>
      </c>
      <c r="Y197">
        <f>HYPERLINK("https://klasma.github.io/Logging_2303/tillsynsmail/A 25155-2025 tillsynsbegäran mail.docx", "A 25155-2025")</f>
        <v/>
      </c>
    </row>
    <row r="198" ht="15" customHeight="1">
      <c r="A198" t="inlineStr">
        <is>
          <t>A 51916-2021</t>
        </is>
      </c>
      <c r="B198" s="1" t="n">
        <v>44462</v>
      </c>
      <c r="C198" s="1" t="n">
        <v>46106</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46106</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46106</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46106</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46106</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46106</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46106</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46106</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46106</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46106</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46106</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46106</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46106</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46106</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46106</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43404-2023</t>
        </is>
      </c>
      <c r="B213" s="1" t="n">
        <v>45183</v>
      </c>
      <c r="C213" s="1" t="n">
        <v>46106</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23930-2024</t>
        </is>
      </c>
      <c r="B214" s="1" t="n">
        <v>45455.96184027778</v>
      </c>
      <c r="C214" s="1" t="n">
        <v>46106</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24443-2024</t>
        </is>
      </c>
      <c r="B215" s="1" t="n">
        <v>45457.9640625</v>
      </c>
      <c r="C215" s="1" t="n">
        <v>46106</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27573-2025</t>
        </is>
      </c>
      <c r="B216" s="1" t="n">
        <v>45813.49061342593</v>
      </c>
      <c r="C216" s="1" t="n">
        <v>46106</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30390-2025</t>
        </is>
      </c>
      <c r="B217" s="1" t="n">
        <v>45827.57371527778</v>
      </c>
      <c r="C217" s="1" t="n">
        <v>46106</v>
      </c>
      <c r="D217" t="inlineStr">
        <is>
          <t>JÄMTLANDS LÄN</t>
        </is>
      </c>
      <c r="E217" t="inlineStr">
        <is>
          <t>RAGUNDA</t>
        </is>
      </c>
      <c r="F217" t="inlineStr">
        <is>
          <t>SCA</t>
        </is>
      </c>
      <c r="G217" t="n">
        <v>11.2</v>
      </c>
      <c r="H217" t="n">
        <v>0</v>
      </c>
      <c r="I217" t="n">
        <v>0</v>
      </c>
      <c r="J217" t="n">
        <v>1</v>
      </c>
      <c r="K217" t="n">
        <v>0</v>
      </c>
      <c r="L217" t="n">
        <v>0</v>
      </c>
      <c r="M217" t="n">
        <v>0</v>
      </c>
      <c r="N217" t="n">
        <v>0</v>
      </c>
      <c r="O217" t="n">
        <v>1</v>
      </c>
      <c r="P217" t="n">
        <v>0</v>
      </c>
      <c r="Q217" t="n">
        <v>1</v>
      </c>
      <c r="R217" s="2" t="inlineStr">
        <is>
          <t>Lunglav</t>
        </is>
      </c>
      <c r="S217">
        <f>HYPERLINK("https://klasma.github.io/Logging_2303/artfynd/A 30390-2025 artfynd.xlsx", "A 30390-2025")</f>
        <v/>
      </c>
      <c r="T217">
        <f>HYPERLINK("https://klasma.github.io/Logging_2303/kartor/A 30390-2025 karta.png", "A 30390-2025")</f>
        <v/>
      </c>
      <c r="U217">
        <f>HYPERLINK("https://klasma.github.io/Logging_2303/knärot/A 30390-2025 karta knärot.png", "A 30390-2025")</f>
        <v/>
      </c>
      <c r="V217">
        <f>HYPERLINK("https://klasma.github.io/Logging_2303/klagomål/A 30390-2025 FSC-klagomål.docx", "A 30390-2025")</f>
        <v/>
      </c>
      <c r="W217">
        <f>HYPERLINK("https://klasma.github.io/Logging_2303/klagomålsmail/A 30390-2025 FSC-klagomål mail.docx", "A 30390-2025")</f>
        <v/>
      </c>
      <c r="X217">
        <f>HYPERLINK("https://klasma.github.io/Logging_2303/tillsyn/A 30390-2025 tillsynsbegäran.docx", "A 30390-2025")</f>
        <v/>
      </c>
      <c r="Y217">
        <f>HYPERLINK("https://klasma.github.io/Logging_2303/tillsynsmail/A 30390-2025 tillsynsbegäran mail.docx", "A 30390-2025")</f>
        <v/>
      </c>
    </row>
    <row r="218" ht="15" customHeight="1">
      <c r="A218" t="inlineStr">
        <is>
          <t>A 40841-2025</t>
        </is>
      </c>
      <c r="B218" s="1" t="n">
        <v>45897.531875</v>
      </c>
      <c r="C218" s="1" t="n">
        <v>46106</v>
      </c>
      <c r="D218" t="inlineStr">
        <is>
          <t>JÄMTLANDS LÄN</t>
        </is>
      </c>
      <c r="E218" t="inlineStr">
        <is>
          <t>RAGUNDA</t>
        </is>
      </c>
      <c r="F218" t="inlineStr">
        <is>
          <t>SCA</t>
        </is>
      </c>
      <c r="G218" t="n">
        <v>1.1</v>
      </c>
      <c r="H218" t="n">
        <v>0</v>
      </c>
      <c r="I218" t="n">
        <v>0</v>
      </c>
      <c r="J218" t="n">
        <v>1</v>
      </c>
      <c r="K218" t="n">
        <v>0</v>
      </c>
      <c r="L218" t="n">
        <v>0</v>
      </c>
      <c r="M218" t="n">
        <v>0</v>
      </c>
      <c r="N218" t="n">
        <v>0</v>
      </c>
      <c r="O218" t="n">
        <v>1</v>
      </c>
      <c r="P218" t="n">
        <v>0</v>
      </c>
      <c r="Q218" t="n">
        <v>1</v>
      </c>
      <c r="R218" s="2" t="inlineStr">
        <is>
          <t>Garnlav</t>
        </is>
      </c>
      <c r="S218">
        <f>HYPERLINK("https://klasma.github.io/Logging_2303/artfynd/A 40841-2025 artfynd.xlsx", "A 40841-2025")</f>
        <v/>
      </c>
      <c r="T218">
        <f>HYPERLINK("https://klasma.github.io/Logging_2303/kartor/A 40841-2025 karta.png", "A 40841-2025")</f>
        <v/>
      </c>
      <c r="V218">
        <f>HYPERLINK("https://klasma.github.io/Logging_2303/klagomål/A 40841-2025 FSC-klagomål.docx", "A 40841-2025")</f>
        <v/>
      </c>
      <c r="W218">
        <f>HYPERLINK("https://klasma.github.io/Logging_2303/klagomålsmail/A 40841-2025 FSC-klagomål mail.docx", "A 40841-2025")</f>
        <v/>
      </c>
      <c r="X218">
        <f>HYPERLINK("https://klasma.github.io/Logging_2303/tillsyn/A 40841-2025 tillsynsbegäran.docx", "A 40841-2025")</f>
        <v/>
      </c>
      <c r="Y218">
        <f>HYPERLINK("https://klasma.github.io/Logging_2303/tillsynsmail/A 40841-2025 tillsynsbegäran mail.docx", "A 40841-2025")</f>
        <v/>
      </c>
    </row>
    <row r="219" ht="15" customHeight="1">
      <c r="A219" t="inlineStr">
        <is>
          <t>A 978-2024</t>
        </is>
      </c>
      <c r="B219" s="1" t="n">
        <v>45301</v>
      </c>
      <c r="C219" s="1" t="n">
        <v>46106</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1057-2024</t>
        </is>
      </c>
      <c r="B220" s="1" t="n">
        <v>45301</v>
      </c>
      <c r="C220" s="1" t="n">
        <v>46106</v>
      </c>
      <c r="D220" t="inlineStr">
        <is>
          <t>JÄMTLANDS LÄN</t>
        </is>
      </c>
      <c r="E220" t="inlineStr">
        <is>
          <t>RAGUNDA</t>
        </is>
      </c>
      <c r="F220" t="inlineStr">
        <is>
          <t>SCA</t>
        </is>
      </c>
      <c r="G220" t="n">
        <v>6.8</v>
      </c>
      <c r="H220" t="n">
        <v>0</v>
      </c>
      <c r="I220" t="n">
        <v>1</v>
      </c>
      <c r="J220" t="n">
        <v>0</v>
      </c>
      <c r="K220" t="n">
        <v>0</v>
      </c>
      <c r="L220" t="n">
        <v>0</v>
      </c>
      <c r="M220" t="n">
        <v>0</v>
      </c>
      <c r="N220" t="n">
        <v>0</v>
      </c>
      <c r="O220" t="n">
        <v>0</v>
      </c>
      <c r="P220" t="n">
        <v>0</v>
      </c>
      <c r="Q220" t="n">
        <v>1</v>
      </c>
      <c r="R220" s="2" t="inlineStr">
        <is>
          <t>Stor aspticka</t>
        </is>
      </c>
      <c r="S220">
        <f>HYPERLINK("https://klasma.github.io/Logging_2303/artfynd/A 1057-2024 artfynd.xlsx", "A 1057-2024")</f>
        <v/>
      </c>
      <c r="T220">
        <f>HYPERLINK("https://klasma.github.io/Logging_2303/kartor/A 1057-2024 karta.png", "A 1057-2024")</f>
        <v/>
      </c>
      <c r="V220">
        <f>HYPERLINK("https://klasma.github.io/Logging_2303/klagomål/A 1057-2024 FSC-klagomål.docx", "A 1057-2024")</f>
        <v/>
      </c>
      <c r="W220">
        <f>HYPERLINK("https://klasma.github.io/Logging_2303/klagomålsmail/A 1057-2024 FSC-klagomål mail.docx", "A 1057-2024")</f>
        <v/>
      </c>
      <c r="X220">
        <f>HYPERLINK("https://klasma.github.io/Logging_2303/tillsyn/A 1057-2024 tillsynsbegäran.docx", "A 1057-2024")</f>
        <v/>
      </c>
      <c r="Y220">
        <f>HYPERLINK("https://klasma.github.io/Logging_2303/tillsynsmail/A 1057-2024 tillsynsbegäran mail.docx", "A 1057-2024")</f>
        <v/>
      </c>
    </row>
    <row r="221" ht="15" customHeight="1">
      <c r="A221" t="inlineStr">
        <is>
          <t>A 31773-2021</t>
        </is>
      </c>
      <c r="B221" s="1" t="n">
        <v>44369</v>
      </c>
      <c r="C221" s="1" t="n">
        <v>46106</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32445-2025</t>
        </is>
      </c>
      <c r="B222" s="1" t="n">
        <v>45838.38627314815</v>
      </c>
      <c r="C222" s="1" t="n">
        <v>46106</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43526-2025</t>
        </is>
      </c>
      <c r="B223" s="1" t="n">
        <v>45911</v>
      </c>
      <c r="C223" s="1" t="n">
        <v>46106</v>
      </c>
      <c r="D223" t="inlineStr">
        <is>
          <t>JÄMTLANDS LÄN</t>
        </is>
      </c>
      <c r="E223" t="inlineStr">
        <is>
          <t>RAGUNDA</t>
        </is>
      </c>
      <c r="G223" t="n">
        <v>5.5</v>
      </c>
      <c r="H223" t="n">
        <v>0</v>
      </c>
      <c r="I223" t="n">
        <v>0</v>
      </c>
      <c r="J223" t="n">
        <v>1</v>
      </c>
      <c r="K223" t="n">
        <v>0</v>
      </c>
      <c r="L223" t="n">
        <v>0</v>
      </c>
      <c r="M223" t="n">
        <v>0</v>
      </c>
      <c r="N223" t="n">
        <v>0</v>
      </c>
      <c r="O223" t="n">
        <v>1</v>
      </c>
      <c r="P223" t="n">
        <v>0</v>
      </c>
      <c r="Q223" t="n">
        <v>1</v>
      </c>
      <c r="R223" s="2" t="inlineStr">
        <is>
          <t>Lunglav</t>
        </is>
      </c>
      <c r="S223">
        <f>HYPERLINK("https://klasma.github.io/Logging_2303/artfynd/A 43526-2025 artfynd.xlsx", "A 43526-2025")</f>
        <v/>
      </c>
      <c r="T223">
        <f>HYPERLINK("https://klasma.github.io/Logging_2303/kartor/A 43526-2025 karta.png", "A 43526-2025")</f>
        <v/>
      </c>
      <c r="V223">
        <f>HYPERLINK("https://klasma.github.io/Logging_2303/klagomål/A 43526-2025 FSC-klagomål.docx", "A 43526-2025")</f>
        <v/>
      </c>
      <c r="W223">
        <f>HYPERLINK("https://klasma.github.io/Logging_2303/klagomålsmail/A 43526-2025 FSC-klagomål mail.docx", "A 43526-2025")</f>
        <v/>
      </c>
      <c r="X223">
        <f>HYPERLINK("https://klasma.github.io/Logging_2303/tillsyn/A 43526-2025 tillsynsbegäran.docx", "A 43526-2025")</f>
        <v/>
      </c>
      <c r="Y223">
        <f>HYPERLINK("https://klasma.github.io/Logging_2303/tillsynsmail/A 43526-2025 tillsynsbegäran mail.docx", "A 43526-2025")</f>
        <v/>
      </c>
    </row>
    <row r="224" ht="15" customHeight="1">
      <c r="A224" t="inlineStr">
        <is>
          <t>A 34474-2025</t>
        </is>
      </c>
      <c r="B224" s="1" t="n">
        <v>45847.36528935185</v>
      </c>
      <c r="C224" s="1" t="n">
        <v>46106</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26317-2024</t>
        </is>
      </c>
      <c r="B225" s="1" t="n">
        <v>45468</v>
      </c>
      <c r="C225" s="1" t="n">
        <v>46106</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49091-2022</t>
        </is>
      </c>
      <c r="B226" s="1" t="n">
        <v>44860</v>
      </c>
      <c r="C226" s="1" t="n">
        <v>46106</v>
      </c>
      <c r="D226" t="inlineStr">
        <is>
          <t>JÄMTLANDS LÄN</t>
        </is>
      </c>
      <c r="E226" t="inlineStr">
        <is>
          <t>RAGUNDA</t>
        </is>
      </c>
      <c r="G226" t="n">
        <v>3.5</v>
      </c>
      <c r="H226" t="n">
        <v>1</v>
      </c>
      <c r="I226" t="n">
        <v>0</v>
      </c>
      <c r="J226" t="n">
        <v>0</v>
      </c>
      <c r="K226" t="n">
        <v>1</v>
      </c>
      <c r="L226" t="n">
        <v>0</v>
      </c>
      <c r="M226" t="n">
        <v>0</v>
      </c>
      <c r="N226" t="n">
        <v>0</v>
      </c>
      <c r="O226" t="n">
        <v>1</v>
      </c>
      <c r="P226" t="n">
        <v>1</v>
      </c>
      <c r="Q226" t="n">
        <v>1</v>
      </c>
      <c r="R226" s="2" t="inlineStr">
        <is>
          <t>Doftticka</t>
        </is>
      </c>
      <c r="S226">
        <f>HYPERLINK("https://klasma.github.io/Logging_2303/artfynd/A 49091-2022 artfynd.xlsx", "A 49091-2022")</f>
        <v/>
      </c>
      <c r="T226">
        <f>HYPERLINK("https://klasma.github.io/Logging_2303/kartor/A 49091-2022 karta.png", "A 49091-2022")</f>
        <v/>
      </c>
      <c r="V226">
        <f>HYPERLINK("https://klasma.github.io/Logging_2303/klagomål/A 49091-2022 FSC-klagomål.docx", "A 49091-2022")</f>
        <v/>
      </c>
      <c r="W226">
        <f>HYPERLINK("https://klasma.github.io/Logging_2303/klagomålsmail/A 49091-2022 FSC-klagomål mail.docx", "A 49091-2022")</f>
        <v/>
      </c>
      <c r="X226">
        <f>HYPERLINK("https://klasma.github.io/Logging_2303/tillsyn/A 49091-2022 tillsynsbegäran.docx", "A 49091-2022")</f>
        <v/>
      </c>
      <c r="Y226">
        <f>HYPERLINK("https://klasma.github.io/Logging_2303/tillsynsmail/A 49091-2022 tillsynsbegäran mail.docx", "A 49091-2022")</f>
        <v/>
      </c>
    </row>
    <row r="227" ht="15" customHeight="1">
      <c r="A227" t="inlineStr">
        <is>
          <t>A 48429-2023</t>
        </is>
      </c>
      <c r="B227" s="1" t="n">
        <v>45205</v>
      </c>
      <c r="C227" s="1" t="n">
        <v>46106</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48429-2023 artfynd.xlsx", "A 48429-2023")</f>
        <v/>
      </c>
      <c r="T227">
        <f>HYPERLINK("https://klasma.github.io/Logging_2303/kartor/A 48429-2023 karta.png", "A 48429-2023")</f>
        <v/>
      </c>
      <c r="V227">
        <f>HYPERLINK("https://klasma.github.io/Logging_2303/klagomål/A 48429-2023 FSC-klagomål.docx", "A 48429-2023")</f>
        <v/>
      </c>
      <c r="W227">
        <f>HYPERLINK("https://klasma.github.io/Logging_2303/klagomålsmail/A 48429-2023 FSC-klagomål mail.docx", "A 48429-2023")</f>
        <v/>
      </c>
      <c r="X227">
        <f>HYPERLINK("https://klasma.github.io/Logging_2303/tillsyn/A 48429-2023 tillsynsbegäran.docx", "A 48429-2023")</f>
        <v/>
      </c>
      <c r="Y227">
        <f>HYPERLINK("https://klasma.github.io/Logging_2303/tillsynsmail/A 48429-2023 tillsynsbegäran mail.docx", "A 48429-2023")</f>
        <v/>
      </c>
    </row>
    <row r="228" ht="15" customHeight="1">
      <c r="A228" t="inlineStr">
        <is>
          <t>A 49053-2025</t>
        </is>
      </c>
      <c r="B228" s="1" t="n">
        <v>45937.64009259259</v>
      </c>
      <c r="C228" s="1" t="n">
        <v>46106</v>
      </c>
      <c r="D228" t="inlineStr">
        <is>
          <t>JÄMTLANDS LÄN</t>
        </is>
      </c>
      <c r="E228" t="inlineStr">
        <is>
          <t>RAGUNDA</t>
        </is>
      </c>
      <c r="F228" t="inlineStr">
        <is>
          <t>SCA</t>
        </is>
      </c>
      <c r="G228" t="n">
        <v>7</v>
      </c>
      <c r="H228" t="n">
        <v>1</v>
      </c>
      <c r="I228" t="n">
        <v>1</v>
      </c>
      <c r="J228" t="n">
        <v>0</v>
      </c>
      <c r="K228" t="n">
        <v>0</v>
      </c>
      <c r="L228" t="n">
        <v>0</v>
      </c>
      <c r="M228" t="n">
        <v>0</v>
      </c>
      <c r="N228" t="n">
        <v>0</v>
      </c>
      <c r="O228" t="n">
        <v>0</v>
      </c>
      <c r="P228" t="n">
        <v>0</v>
      </c>
      <c r="Q228" t="n">
        <v>1</v>
      </c>
      <c r="R228" s="2" t="inlineStr">
        <is>
          <t>Guckusko</t>
        </is>
      </c>
      <c r="S228">
        <f>HYPERLINK("https://klasma.github.io/Logging_2303/artfynd/A 49053-2025 artfynd.xlsx", "A 49053-2025")</f>
        <v/>
      </c>
      <c r="T228">
        <f>HYPERLINK("https://klasma.github.io/Logging_2303/kartor/A 49053-2025 karta.png", "A 49053-2025")</f>
        <v/>
      </c>
      <c r="V228">
        <f>HYPERLINK("https://klasma.github.io/Logging_2303/klagomål/A 49053-2025 FSC-klagomål.docx", "A 49053-2025")</f>
        <v/>
      </c>
      <c r="W228">
        <f>HYPERLINK("https://klasma.github.io/Logging_2303/klagomålsmail/A 49053-2025 FSC-klagomål mail.docx", "A 49053-2025")</f>
        <v/>
      </c>
      <c r="X228">
        <f>HYPERLINK("https://klasma.github.io/Logging_2303/tillsyn/A 49053-2025 tillsynsbegäran.docx", "A 49053-2025")</f>
        <v/>
      </c>
      <c r="Y228">
        <f>HYPERLINK("https://klasma.github.io/Logging_2303/tillsynsmail/A 49053-2025 tillsynsbegäran mail.docx", "A 49053-2025")</f>
        <v/>
      </c>
    </row>
    <row r="229" ht="15" customHeight="1">
      <c r="A229" t="inlineStr">
        <is>
          <t>A 17340-2023</t>
        </is>
      </c>
      <c r="B229" s="1" t="n">
        <v>45033</v>
      </c>
      <c r="C229" s="1" t="n">
        <v>46106</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26322-2024</t>
        </is>
      </c>
      <c r="B230" s="1" t="n">
        <v>45468.97461805555</v>
      </c>
      <c r="C230" s="1" t="n">
        <v>46106</v>
      </c>
      <c r="D230" t="inlineStr">
        <is>
          <t>JÄMTLANDS LÄN</t>
        </is>
      </c>
      <c r="E230" t="inlineStr">
        <is>
          <t>RAGUNDA</t>
        </is>
      </c>
      <c r="F230" t="inlineStr">
        <is>
          <t>SCA</t>
        </is>
      </c>
      <c r="G230" t="n">
        <v>9.6</v>
      </c>
      <c r="H230" t="n">
        <v>0</v>
      </c>
      <c r="I230" t="n">
        <v>0</v>
      </c>
      <c r="J230" t="n">
        <v>1</v>
      </c>
      <c r="K230" t="n">
        <v>0</v>
      </c>
      <c r="L230" t="n">
        <v>0</v>
      </c>
      <c r="M230" t="n">
        <v>0</v>
      </c>
      <c r="N230" t="n">
        <v>0</v>
      </c>
      <c r="O230" t="n">
        <v>1</v>
      </c>
      <c r="P230" t="n">
        <v>0</v>
      </c>
      <c r="Q230" t="n">
        <v>1</v>
      </c>
      <c r="R230" s="2" t="inlineStr">
        <is>
          <t>Rosenticka</t>
        </is>
      </c>
      <c r="S230">
        <f>HYPERLINK("https://klasma.github.io/Logging_2303/artfynd/A 26322-2024 artfynd.xlsx", "A 26322-2024")</f>
        <v/>
      </c>
      <c r="T230">
        <f>HYPERLINK("https://klasma.github.io/Logging_2303/kartor/A 26322-2024 karta.png", "A 26322-2024")</f>
        <v/>
      </c>
      <c r="U230">
        <f>HYPERLINK("https://klasma.github.io/Logging_2303/knärot/A 26322-2024 karta knärot.png", "A 26322-2024")</f>
        <v/>
      </c>
      <c r="V230">
        <f>HYPERLINK("https://klasma.github.io/Logging_2303/klagomål/A 26322-2024 FSC-klagomål.docx", "A 26322-2024")</f>
        <v/>
      </c>
      <c r="W230">
        <f>HYPERLINK("https://klasma.github.io/Logging_2303/klagomålsmail/A 26322-2024 FSC-klagomål mail.docx", "A 26322-2024")</f>
        <v/>
      </c>
      <c r="X230">
        <f>HYPERLINK("https://klasma.github.io/Logging_2303/tillsyn/A 26322-2024 tillsynsbegäran.docx", "A 26322-2024")</f>
        <v/>
      </c>
      <c r="Y230">
        <f>HYPERLINK("https://klasma.github.io/Logging_2303/tillsynsmail/A 26322-2024 tillsynsbegäran mail.docx", "A 26322-2024")</f>
        <v/>
      </c>
    </row>
    <row r="231" ht="15" customHeight="1">
      <c r="A231" t="inlineStr">
        <is>
          <t>A 51912-2025</t>
        </is>
      </c>
      <c r="B231" s="1" t="n">
        <v>45952.46939814815</v>
      </c>
      <c r="C231" s="1" t="n">
        <v>46106</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48477-2023</t>
        </is>
      </c>
      <c r="B232" s="1" t="n">
        <v>45206</v>
      </c>
      <c r="C232" s="1" t="n">
        <v>46106</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48477-2023 artfynd.xlsx", "A 48477-2023")</f>
        <v/>
      </c>
      <c r="T232">
        <f>HYPERLINK("https://klasma.github.io/Logging_2303/kartor/A 48477-2023 karta.png", "A 48477-2023")</f>
        <v/>
      </c>
      <c r="V232">
        <f>HYPERLINK("https://klasma.github.io/Logging_2303/klagomål/A 48477-2023 FSC-klagomål.docx", "A 48477-2023")</f>
        <v/>
      </c>
      <c r="W232">
        <f>HYPERLINK("https://klasma.github.io/Logging_2303/klagomålsmail/A 48477-2023 FSC-klagomål mail.docx", "A 48477-2023")</f>
        <v/>
      </c>
      <c r="X232">
        <f>HYPERLINK("https://klasma.github.io/Logging_2303/tillsyn/A 48477-2023 tillsynsbegäran.docx", "A 48477-2023")</f>
        <v/>
      </c>
      <c r="Y232">
        <f>HYPERLINK("https://klasma.github.io/Logging_2303/tillsynsmail/A 48477-2023 tillsynsbegäran mail.docx", "A 48477-2023")</f>
        <v/>
      </c>
    </row>
    <row r="233" ht="15" customHeight="1">
      <c r="A233" t="inlineStr">
        <is>
          <t>A 16724-2025</t>
        </is>
      </c>
      <c r="B233" s="1" t="n">
        <v>45754.51064814815</v>
      </c>
      <c r="C233" s="1" t="n">
        <v>46106</v>
      </c>
      <c r="D233" t="inlineStr">
        <is>
          <t>JÄMTLANDS LÄN</t>
        </is>
      </c>
      <c r="E233" t="inlineStr">
        <is>
          <t>RAGUNDA</t>
        </is>
      </c>
      <c r="G233" t="n">
        <v>3.5</v>
      </c>
      <c r="H233" t="n">
        <v>0</v>
      </c>
      <c r="I233" t="n">
        <v>0</v>
      </c>
      <c r="J233" t="n">
        <v>1</v>
      </c>
      <c r="K233" t="n">
        <v>0</v>
      </c>
      <c r="L233" t="n">
        <v>0</v>
      </c>
      <c r="M233" t="n">
        <v>0</v>
      </c>
      <c r="N233" t="n">
        <v>0</v>
      </c>
      <c r="O233" t="n">
        <v>1</v>
      </c>
      <c r="P233" t="n">
        <v>0</v>
      </c>
      <c r="Q233" t="n">
        <v>1</v>
      </c>
      <c r="R233" s="2" t="inlineStr">
        <is>
          <t>Kolflarnlav</t>
        </is>
      </c>
      <c r="S233">
        <f>HYPERLINK("https://klasma.github.io/Logging_2303/artfynd/A 16724-2025 artfynd.xlsx", "A 16724-2025")</f>
        <v/>
      </c>
      <c r="T233">
        <f>HYPERLINK("https://klasma.github.io/Logging_2303/kartor/A 16724-2025 karta.png", "A 16724-2025")</f>
        <v/>
      </c>
      <c r="V233">
        <f>HYPERLINK("https://klasma.github.io/Logging_2303/klagomål/A 16724-2025 FSC-klagomål.docx", "A 16724-2025")</f>
        <v/>
      </c>
      <c r="W233">
        <f>HYPERLINK("https://klasma.github.io/Logging_2303/klagomålsmail/A 16724-2025 FSC-klagomål mail.docx", "A 16724-2025")</f>
        <v/>
      </c>
      <c r="X233">
        <f>HYPERLINK("https://klasma.github.io/Logging_2303/tillsyn/A 16724-2025 tillsynsbegäran.docx", "A 16724-2025")</f>
        <v/>
      </c>
      <c r="Y233">
        <f>HYPERLINK("https://klasma.github.io/Logging_2303/tillsynsmail/A 16724-2025 tillsynsbegäran mail.docx", "A 16724-2025")</f>
        <v/>
      </c>
    </row>
    <row r="234" ht="15" customHeight="1">
      <c r="A234" t="inlineStr">
        <is>
          <t>A 49770-2024</t>
        </is>
      </c>
      <c r="B234" s="1" t="n">
        <v>45597.34461805555</v>
      </c>
      <c r="C234" s="1" t="n">
        <v>46106</v>
      </c>
      <c r="D234" t="inlineStr">
        <is>
          <t>JÄMTLANDS LÄN</t>
        </is>
      </c>
      <c r="E234" t="inlineStr">
        <is>
          <t>RAGUNDA</t>
        </is>
      </c>
      <c r="F234" t="inlineStr">
        <is>
          <t>Naturvårdsverket</t>
        </is>
      </c>
      <c r="G234" t="n">
        <v>8.9</v>
      </c>
      <c r="H234" t="n">
        <v>1</v>
      </c>
      <c r="I234" t="n">
        <v>0</v>
      </c>
      <c r="J234" t="n">
        <v>0</v>
      </c>
      <c r="K234" t="n">
        <v>1</v>
      </c>
      <c r="L234" t="n">
        <v>0</v>
      </c>
      <c r="M234" t="n">
        <v>0</v>
      </c>
      <c r="N234" t="n">
        <v>0</v>
      </c>
      <c r="O234" t="n">
        <v>1</v>
      </c>
      <c r="P234" t="n">
        <v>1</v>
      </c>
      <c r="Q234" t="n">
        <v>1</v>
      </c>
      <c r="R234" s="2" t="inlineStr">
        <is>
          <t>Doftticka</t>
        </is>
      </c>
      <c r="S234">
        <f>HYPERLINK("https://klasma.github.io/Logging_2303/artfynd/A 49770-2024 artfynd.xlsx", "A 49770-2024")</f>
        <v/>
      </c>
      <c r="T234">
        <f>HYPERLINK("https://klasma.github.io/Logging_2303/kartor/A 49770-2024 karta.png", "A 49770-2024")</f>
        <v/>
      </c>
      <c r="V234">
        <f>HYPERLINK("https://klasma.github.io/Logging_2303/klagomål/A 49770-2024 FSC-klagomål.docx", "A 49770-2024")</f>
        <v/>
      </c>
      <c r="W234">
        <f>HYPERLINK("https://klasma.github.io/Logging_2303/klagomålsmail/A 49770-2024 FSC-klagomål mail.docx", "A 49770-2024")</f>
        <v/>
      </c>
      <c r="X234">
        <f>HYPERLINK("https://klasma.github.io/Logging_2303/tillsyn/A 49770-2024 tillsynsbegäran.docx", "A 49770-2024")</f>
        <v/>
      </c>
      <c r="Y234">
        <f>HYPERLINK("https://klasma.github.io/Logging_2303/tillsynsmail/A 49770-2024 tillsynsbegäran mail.docx", "A 49770-2024")</f>
        <v/>
      </c>
    </row>
    <row r="235" ht="15" customHeight="1">
      <c r="A235" t="inlineStr">
        <is>
          <t>A 55756-2025</t>
        </is>
      </c>
      <c r="B235" s="1" t="n">
        <v>45972.59438657408</v>
      </c>
      <c r="C235" s="1" t="n">
        <v>46106</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HYPERLINK("https://klasma.github.io/Logging_2303/artfynd/A 55756-2025 artfynd.xlsx", "A 55756-2025")</f>
        <v/>
      </c>
      <c r="T235">
        <f>HYPERLINK("https://klasma.github.io/Logging_2303/kartor/A 55756-2025 karta.png", "A 55756-2025")</f>
        <v/>
      </c>
      <c r="V235">
        <f>HYPERLINK("https://klasma.github.io/Logging_2303/klagomål/A 55756-2025 FSC-klagomål.docx", "A 55756-2025")</f>
        <v/>
      </c>
      <c r="W235">
        <f>HYPERLINK("https://klasma.github.io/Logging_2303/klagomålsmail/A 55756-2025 FSC-klagomål mail.docx", "A 55756-2025")</f>
        <v/>
      </c>
      <c r="X235">
        <f>HYPERLINK("https://klasma.github.io/Logging_2303/tillsyn/A 55756-2025 tillsynsbegäran.docx", "A 55756-2025")</f>
        <v/>
      </c>
      <c r="Y235">
        <f>HYPERLINK("https://klasma.github.io/Logging_2303/tillsynsmail/A 55756-2025 tillsynsbegäran mail.docx", "A 55756-2025")</f>
        <v/>
      </c>
    </row>
    <row r="236" ht="15" customHeight="1">
      <c r="A236" t="inlineStr">
        <is>
          <t>A 56599-2025</t>
        </is>
      </c>
      <c r="B236" s="1" t="n">
        <v>45975.5734837963</v>
      </c>
      <c r="C236" s="1" t="n">
        <v>46106</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57253-2025</t>
        </is>
      </c>
      <c r="B237" s="1" t="n">
        <v>45979.64381944444</v>
      </c>
      <c r="C237" s="1" t="n">
        <v>46106</v>
      </c>
      <c r="D237" t="inlineStr">
        <is>
          <t>JÄMTLANDS LÄN</t>
        </is>
      </c>
      <c r="E237" t="inlineStr">
        <is>
          <t>RAGUNDA</t>
        </is>
      </c>
      <c r="G237" t="n">
        <v>1.2</v>
      </c>
      <c r="H237" t="n">
        <v>0</v>
      </c>
      <c r="I237" t="n">
        <v>1</v>
      </c>
      <c r="J237" t="n">
        <v>0</v>
      </c>
      <c r="K237" t="n">
        <v>0</v>
      </c>
      <c r="L237" t="n">
        <v>0</v>
      </c>
      <c r="M237" t="n">
        <v>0</v>
      </c>
      <c r="N237" t="n">
        <v>0</v>
      </c>
      <c r="O237" t="n">
        <v>0</v>
      </c>
      <c r="P237" t="n">
        <v>0</v>
      </c>
      <c r="Q237" t="n">
        <v>1</v>
      </c>
      <c r="R237" s="2" t="inlineStr">
        <is>
          <t>Skinnlav</t>
        </is>
      </c>
      <c r="S237">
        <f>HYPERLINK("https://klasma.github.io/Logging_2303/artfynd/A 57253-2025 artfynd.xlsx", "A 57253-2025")</f>
        <v/>
      </c>
      <c r="T237">
        <f>HYPERLINK("https://klasma.github.io/Logging_2303/kartor/A 57253-2025 karta.png", "A 57253-2025")</f>
        <v/>
      </c>
      <c r="V237">
        <f>HYPERLINK("https://klasma.github.io/Logging_2303/klagomål/A 57253-2025 FSC-klagomål.docx", "A 57253-2025")</f>
        <v/>
      </c>
      <c r="W237">
        <f>HYPERLINK("https://klasma.github.io/Logging_2303/klagomålsmail/A 57253-2025 FSC-klagomål mail.docx", "A 57253-2025")</f>
        <v/>
      </c>
      <c r="X237">
        <f>HYPERLINK("https://klasma.github.io/Logging_2303/tillsyn/A 57253-2025 tillsynsbegäran.docx", "A 57253-2025")</f>
        <v/>
      </c>
      <c r="Y237">
        <f>HYPERLINK("https://klasma.github.io/Logging_2303/tillsynsmail/A 57253-2025 tillsynsbegäran mail.docx", "A 57253-2025")</f>
        <v/>
      </c>
    </row>
    <row r="238" ht="15" customHeight="1">
      <c r="A238" t="inlineStr">
        <is>
          <t>A 57479-2025</t>
        </is>
      </c>
      <c r="B238" s="1" t="n">
        <v>45980.5737037037</v>
      </c>
      <c r="C238" s="1" t="n">
        <v>46106</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46106</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58990-2025</t>
        </is>
      </c>
      <c r="B240" s="1" t="n">
        <v>45987</v>
      </c>
      <c r="C240" s="1" t="n">
        <v>46106</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61324-2024</t>
        </is>
      </c>
      <c r="B241" s="1" t="n">
        <v>45646.34438657408</v>
      </c>
      <c r="C241" s="1" t="n">
        <v>46106</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29921-2024</t>
        </is>
      </c>
      <c r="B242" s="1" t="n">
        <v>45487.92863425926</v>
      </c>
      <c r="C242" s="1" t="n">
        <v>46106</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46106</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32069-2024</t>
        </is>
      </c>
      <c r="B244" s="1" t="n">
        <v>45510</v>
      </c>
      <c r="C244" s="1" t="n">
        <v>46106</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Lunglav</t>
        </is>
      </c>
      <c r="S244">
        <f>HYPERLINK("https://klasma.github.io/Logging_2303/artfynd/A 32069-2024 artfynd.xlsx", "A 32069-2024")</f>
        <v/>
      </c>
      <c r="T244">
        <f>HYPERLINK("https://klasma.github.io/Logging_2303/kartor/A 32069-2024 karta.png", "A 32069-2024")</f>
        <v/>
      </c>
      <c r="V244">
        <f>HYPERLINK("https://klasma.github.io/Logging_2303/klagomål/A 32069-2024 FSC-klagomål.docx", "A 32069-2024")</f>
        <v/>
      </c>
      <c r="W244">
        <f>HYPERLINK("https://klasma.github.io/Logging_2303/klagomålsmail/A 32069-2024 FSC-klagomål mail.docx", "A 32069-2024")</f>
        <v/>
      </c>
      <c r="X244">
        <f>HYPERLINK("https://klasma.github.io/Logging_2303/tillsyn/A 32069-2024 tillsynsbegäran.docx", "A 32069-2024")</f>
        <v/>
      </c>
      <c r="Y244">
        <f>HYPERLINK("https://klasma.github.io/Logging_2303/tillsynsmail/A 32069-2024 tillsynsbegäran mail.docx", "A 32069-2024")</f>
        <v/>
      </c>
    </row>
    <row r="245" ht="15" customHeight="1">
      <c r="A245" t="inlineStr">
        <is>
          <t>A 19751-2025</t>
        </is>
      </c>
      <c r="B245" s="1" t="n">
        <v>45771.3859837963</v>
      </c>
      <c r="C245" s="1" t="n">
        <v>46106</v>
      </c>
      <c r="D245" t="inlineStr">
        <is>
          <t>JÄMTLANDS LÄN</t>
        </is>
      </c>
      <c r="E245" t="inlineStr">
        <is>
          <t>RAGUNDA</t>
        </is>
      </c>
      <c r="F245" t="inlineStr">
        <is>
          <t>SCA</t>
        </is>
      </c>
      <c r="G245" t="n">
        <v>1.1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19751-2025 artfynd.xlsx", "A 19751-2025")</f>
        <v/>
      </c>
      <c r="T245">
        <f>HYPERLINK("https://klasma.github.io/Logging_2303/kartor/A 19751-2025 karta.png", "A 19751-2025")</f>
        <v/>
      </c>
      <c r="V245">
        <f>HYPERLINK("https://klasma.github.io/Logging_2303/klagomål/A 19751-2025 FSC-klagomål.docx", "A 19751-2025")</f>
        <v/>
      </c>
      <c r="W245">
        <f>HYPERLINK("https://klasma.github.io/Logging_2303/klagomålsmail/A 19751-2025 FSC-klagomål mail.docx", "A 19751-2025")</f>
        <v/>
      </c>
      <c r="X245">
        <f>HYPERLINK("https://klasma.github.io/Logging_2303/tillsyn/A 19751-2025 tillsynsbegäran.docx", "A 19751-2025")</f>
        <v/>
      </c>
      <c r="Y245">
        <f>HYPERLINK("https://klasma.github.io/Logging_2303/tillsynsmail/A 19751-2025 tillsynsbegäran mail.docx", "A 19751-2025")</f>
        <v/>
      </c>
      <c r="Z245">
        <f>HYPERLINK("https://klasma.github.io/Logging_2303/fåglar/A 19751-2025 prioriterade fågelarter.docx", "A 19751-2025")</f>
        <v/>
      </c>
    </row>
    <row r="246" ht="15" customHeight="1">
      <c r="A246" t="inlineStr">
        <is>
          <t>A 19387-2025</t>
        </is>
      </c>
      <c r="B246" s="1" t="n">
        <v>45769.65736111111</v>
      </c>
      <c r="C246" s="1" t="n">
        <v>46106</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2929-2024</t>
        </is>
      </c>
      <c r="B247" s="1" t="n">
        <v>45315</v>
      </c>
      <c r="C247" s="1" t="n">
        <v>46106</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10358-2026</t>
        </is>
      </c>
      <c r="B248" s="1" t="n">
        <v>46076</v>
      </c>
      <c r="C248" s="1" t="n">
        <v>46106</v>
      </c>
      <c r="D248" t="inlineStr">
        <is>
          <t>JÄMTLANDS LÄN</t>
        </is>
      </c>
      <c r="E248" t="inlineStr">
        <is>
          <t>RAGUNDA</t>
        </is>
      </c>
      <c r="G248" t="n">
        <v>5.4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10358-2026 artfynd.xlsx", "A 10358-2026")</f>
        <v/>
      </c>
      <c r="T248">
        <f>HYPERLINK("https://klasma.github.io/Logging_2303/kartor/A 10358-2026 karta.png", "A 10358-2026")</f>
        <v/>
      </c>
      <c r="V248">
        <f>HYPERLINK("https://klasma.github.io/Logging_2303/klagomål/A 10358-2026 FSC-klagomål.docx", "A 10358-2026")</f>
        <v/>
      </c>
      <c r="W248">
        <f>HYPERLINK("https://klasma.github.io/Logging_2303/klagomålsmail/A 10358-2026 FSC-klagomål mail.docx", "A 10358-2026")</f>
        <v/>
      </c>
      <c r="X248">
        <f>HYPERLINK("https://klasma.github.io/Logging_2303/tillsyn/A 10358-2026 tillsynsbegäran.docx", "A 10358-2026")</f>
        <v/>
      </c>
      <c r="Y248">
        <f>HYPERLINK("https://klasma.github.io/Logging_2303/tillsynsmail/A 10358-2026 tillsynsbegäran mail.docx", "A 10358-2026")</f>
        <v/>
      </c>
      <c r="Z248">
        <f>HYPERLINK("https://klasma.github.io/Logging_2303/fåglar/A 10358-2026 prioriterade fågelarter.docx", "A 10358-2026")</f>
        <v/>
      </c>
    </row>
    <row r="249" ht="15" customHeight="1">
      <c r="A249" t="inlineStr">
        <is>
          <t>A 58846-2024</t>
        </is>
      </c>
      <c r="B249" s="1" t="n">
        <v>45636.3863425926</v>
      </c>
      <c r="C249" s="1" t="n">
        <v>46106</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2097-2026</t>
        </is>
      </c>
      <c r="B250" s="1" t="n">
        <v>46036.36556712963</v>
      </c>
      <c r="C250" s="1" t="n">
        <v>46106</v>
      </c>
      <c r="D250" t="inlineStr">
        <is>
          <t>JÄMTLANDS LÄN</t>
        </is>
      </c>
      <c r="E250" t="inlineStr">
        <is>
          <t>RAGUNDA</t>
        </is>
      </c>
      <c r="F250" t="inlineStr">
        <is>
          <t>SCA</t>
        </is>
      </c>
      <c r="G250" t="n">
        <v>0.9</v>
      </c>
      <c r="H250" t="n">
        <v>0</v>
      </c>
      <c r="I250" t="n">
        <v>0</v>
      </c>
      <c r="J250" t="n">
        <v>0</v>
      </c>
      <c r="K250" t="n">
        <v>0</v>
      </c>
      <c r="L250" t="n">
        <v>1</v>
      </c>
      <c r="M250" t="n">
        <v>0</v>
      </c>
      <c r="N250" t="n">
        <v>0</v>
      </c>
      <c r="O250" t="n">
        <v>1</v>
      </c>
      <c r="P250" t="n">
        <v>1</v>
      </c>
      <c r="Q250" t="n">
        <v>1</v>
      </c>
      <c r="R250" s="2" t="inlineStr">
        <is>
          <t>Trolldruvemätare</t>
        </is>
      </c>
      <c r="S250">
        <f>HYPERLINK("https://klasma.github.io/Logging_2303/artfynd/A 2097-2026 artfynd.xlsx", "A 2097-2026")</f>
        <v/>
      </c>
      <c r="T250">
        <f>HYPERLINK("https://klasma.github.io/Logging_2303/kartor/A 2097-2026 karta.png", "A 2097-2026")</f>
        <v/>
      </c>
      <c r="V250">
        <f>HYPERLINK("https://klasma.github.io/Logging_2303/klagomål/A 2097-2026 FSC-klagomål.docx", "A 2097-2026")</f>
        <v/>
      </c>
      <c r="W250">
        <f>HYPERLINK("https://klasma.github.io/Logging_2303/klagomålsmail/A 2097-2026 FSC-klagomål mail.docx", "A 2097-2026")</f>
        <v/>
      </c>
      <c r="X250">
        <f>HYPERLINK("https://klasma.github.io/Logging_2303/tillsyn/A 2097-2026 tillsynsbegäran.docx", "A 2097-2026")</f>
        <v/>
      </c>
      <c r="Y250">
        <f>HYPERLINK("https://klasma.github.io/Logging_2303/tillsynsmail/A 2097-2026 tillsynsbegäran mail.docx", "A 2097-2026")</f>
        <v/>
      </c>
    </row>
    <row r="251" ht="15" customHeight="1">
      <c r="A251" t="inlineStr">
        <is>
          <t>A 36854-2023</t>
        </is>
      </c>
      <c r="B251" s="1" t="n">
        <v>45153</v>
      </c>
      <c r="C251" s="1" t="n">
        <v>46106</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46106</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22054-2025</t>
        </is>
      </c>
      <c r="B253" s="1" t="n">
        <v>45785.36525462963</v>
      </c>
      <c r="C253" s="1" t="n">
        <v>46106</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4157-2026</t>
        </is>
      </c>
      <c r="B254" s="1" t="n">
        <v>46044.65694444445</v>
      </c>
      <c r="C254" s="1" t="n">
        <v>46106</v>
      </c>
      <c r="D254" t="inlineStr">
        <is>
          <t>JÄMTLANDS LÄN</t>
        </is>
      </c>
      <c r="E254" t="inlineStr">
        <is>
          <t>RAGUNDA</t>
        </is>
      </c>
      <c r="F254" t="inlineStr">
        <is>
          <t>SCA</t>
        </is>
      </c>
      <c r="G254" t="n">
        <v>2.6</v>
      </c>
      <c r="H254" t="n">
        <v>1</v>
      </c>
      <c r="I254" t="n">
        <v>1</v>
      </c>
      <c r="J254" t="n">
        <v>0</v>
      </c>
      <c r="K254" t="n">
        <v>0</v>
      </c>
      <c r="L254" t="n">
        <v>0</v>
      </c>
      <c r="M254" t="n">
        <v>0</v>
      </c>
      <c r="N254" t="n">
        <v>0</v>
      </c>
      <c r="O254" t="n">
        <v>0</v>
      </c>
      <c r="P254" t="n">
        <v>0</v>
      </c>
      <c r="Q254" t="n">
        <v>1</v>
      </c>
      <c r="R254" s="2" t="inlineStr">
        <is>
          <t>Tvåblad</t>
        </is>
      </c>
      <c r="S254">
        <f>HYPERLINK("https://klasma.github.io/Logging_2303/artfynd/A 4157-2026 artfynd.xlsx", "A 4157-2026")</f>
        <v/>
      </c>
      <c r="T254">
        <f>HYPERLINK("https://klasma.github.io/Logging_2303/kartor/A 4157-2026 karta.png", "A 4157-2026")</f>
        <v/>
      </c>
      <c r="V254">
        <f>HYPERLINK("https://klasma.github.io/Logging_2303/klagomål/A 4157-2026 FSC-klagomål.docx", "A 4157-2026")</f>
        <v/>
      </c>
      <c r="W254">
        <f>HYPERLINK("https://klasma.github.io/Logging_2303/klagomålsmail/A 4157-2026 FSC-klagomål mail.docx", "A 4157-2026")</f>
        <v/>
      </c>
      <c r="X254">
        <f>HYPERLINK("https://klasma.github.io/Logging_2303/tillsyn/A 4157-2026 tillsynsbegäran.docx", "A 4157-2026")</f>
        <v/>
      </c>
      <c r="Y254">
        <f>HYPERLINK("https://klasma.github.io/Logging_2303/tillsynsmail/A 4157-2026 tillsynsbegäran mail.docx", "A 4157-2026")</f>
        <v/>
      </c>
    </row>
    <row r="255" ht="15" customHeight="1">
      <c r="A255" t="inlineStr">
        <is>
          <t>A 35750-2023</t>
        </is>
      </c>
      <c r="B255" s="1" t="n">
        <v>45147</v>
      </c>
      <c r="C255" s="1" t="n">
        <v>46106</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46106</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46106</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36757-2023</t>
        </is>
      </c>
      <c r="B258" s="1" t="n">
        <v>45153</v>
      </c>
      <c r="C258" s="1" t="n">
        <v>46106</v>
      </c>
      <c r="D258" t="inlineStr">
        <is>
          <t>JÄMTLANDS LÄN</t>
        </is>
      </c>
      <c r="E258" t="inlineStr">
        <is>
          <t>RAGUNDA</t>
        </is>
      </c>
      <c r="G258" t="n">
        <v>0.7</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36757-2023 artfynd.xlsx", "A 36757-2023")</f>
        <v/>
      </c>
      <c r="T258">
        <f>HYPERLINK("https://klasma.github.io/Logging_2303/kartor/A 36757-2023 karta.png", "A 36757-2023")</f>
        <v/>
      </c>
      <c r="V258">
        <f>HYPERLINK("https://klasma.github.io/Logging_2303/klagomål/A 36757-2023 FSC-klagomål.docx", "A 36757-2023")</f>
        <v/>
      </c>
      <c r="W258">
        <f>HYPERLINK("https://klasma.github.io/Logging_2303/klagomålsmail/A 36757-2023 FSC-klagomål mail.docx", "A 36757-2023")</f>
        <v/>
      </c>
      <c r="X258">
        <f>HYPERLINK("https://klasma.github.io/Logging_2303/tillsyn/A 36757-2023 tillsynsbegäran.docx", "A 36757-2023")</f>
        <v/>
      </c>
      <c r="Y258">
        <f>HYPERLINK("https://klasma.github.io/Logging_2303/tillsynsmail/A 36757-2023 tillsynsbegäran mail.docx", "A 36757-2023")</f>
        <v/>
      </c>
      <c r="Z258">
        <f>HYPERLINK("https://klasma.github.io/Logging_2303/fåglar/A 36757-2023 prioriterade fågelarter.docx", "A 36757-2023")</f>
        <v/>
      </c>
    </row>
    <row r="259" ht="15" customHeight="1">
      <c r="A259" t="inlineStr">
        <is>
          <t>A 21212-2025</t>
        </is>
      </c>
      <c r="B259" s="1" t="n">
        <v>45779.48993055556</v>
      </c>
      <c r="C259" s="1" t="n">
        <v>46106</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46106</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46106</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46106</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46106</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46106</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46106</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46106</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46106</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46106</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46106</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46106</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46106</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46106</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46106</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46106</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46106</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46106</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46106</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46106</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46106</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46106</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46106</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46106</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46106</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46106</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46106</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46106</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46106</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46106</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46106</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46106</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46106</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46106</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46106</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46106</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46106</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46106</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46106</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46106</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46106</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46106</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46106</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46106</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46106</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46106</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46106</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46106</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46106</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46106</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46106</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46106</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46106</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19615-2021</t>
        </is>
      </c>
      <c r="B312" s="1" t="n">
        <v>44308</v>
      </c>
      <c r="C312" s="1" t="n">
        <v>46106</v>
      </c>
      <c r="D312" t="inlineStr">
        <is>
          <t>JÄMTLANDS LÄN</t>
        </is>
      </c>
      <c r="E312" t="inlineStr">
        <is>
          <t>RAGUNDA</t>
        </is>
      </c>
      <c r="G312" t="n">
        <v>1.4</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46106</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41062-2021</t>
        </is>
      </c>
      <c r="B314" s="1" t="n">
        <v>44421.97322916667</v>
      </c>
      <c r="C314" s="1" t="n">
        <v>46106</v>
      </c>
      <c r="D314" t="inlineStr">
        <is>
          <t>JÄMTLANDS LÄN</t>
        </is>
      </c>
      <c r="E314" t="inlineStr">
        <is>
          <t>RAGUNDA</t>
        </is>
      </c>
      <c r="F314" t="inlineStr">
        <is>
          <t>SCA</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46106</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46106</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46106</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46106</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19010-2022</t>
        </is>
      </c>
      <c r="B319" s="1" t="n">
        <v>44690</v>
      </c>
      <c r="C319" s="1" t="n">
        <v>46106</v>
      </c>
      <c r="D319" t="inlineStr">
        <is>
          <t>JÄMTLANDS LÄN</t>
        </is>
      </c>
      <c r="E319" t="inlineStr">
        <is>
          <t>RAGUNDA</t>
        </is>
      </c>
      <c r="F319" t="inlineStr">
        <is>
          <t>SCA</t>
        </is>
      </c>
      <c r="G319" t="n">
        <v>19.6</v>
      </c>
      <c r="H319" t="n">
        <v>0</v>
      </c>
      <c r="I319" t="n">
        <v>0</v>
      </c>
      <c r="J319" t="n">
        <v>0</v>
      </c>
      <c r="K319" t="n">
        <v>0</v>
      </c>
      <c r="L319" t="n">
        <v>0</v>
      </c>
      <c r="M319" t="n">
        <v>0</v>
      </c>
      <c r="N319" t="n">
        <v>0</v>
      </c>
      <c r="O319" t="n">
        <v>0</v>
      </c>
      <c r="P319" t="n">
        <v>0</v>
      </c>
      <c r="Q319" t="n">
        <v>0</v>
      </c>
      <c r="R319" s="2" t="inlineStr"/>
    </row>
    <row r="320" ht="15" customHeight="1">
      <c r="A320" t="inlineStr">
        <is>
          <t>A 51012-2022</t>
        </is>
      </c>
      <c r="B320" s="1" t="n">
        <v>44867</v>
      </c>
      <c r="C320" s="1" t="n">
        <v>46106</v>
      </c>
      <c r="D320" t="inlineStr">
        <is>
          <t>JÄMTLANDS LÄN</t>
        </is>
      </c>
      <c r="E320" t="inlineStr">
        <is>
          <t>RAGUNDA</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53288-2022</t>
        </is>
      </c>
      <c r="B321" s="1" t="n">
        <v>44876.95104166667</v>
      </c>
      <c r="C321" s="1" t="n">
        <v>46106</v>
      </c>
      <c r="D321" t="inlineStr">
        <is>
          <t>JÄMTLANDS LÄN</t>
        </is>
      </c>
      <c r="E321" t="inlineStr">
        <is>
          <t>RAGUNDA</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46106</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55932-2021</t>
        </is>
      </c>
      <c r="B323" s="1" t="n">
        <v>44476</v>
      </c>
      <c r="C323" s="1" t="n">
        <v>46106</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6492-2022</t>
        </is>
      </c>
      <c r="B324" s="1" t="n">
        <v>44601</v>
      </c>
      <c r="C324" s="1" t="n">
        <v>46106</v>
      </c>
      <c r="D324" t="inlineStr">
        <is>
          <t>JÄMTLANDS LÄN</t>
        </is>
      </c>
      <c r="E324" t="inlineStr">
        <is>
          <t>RAGUNDA</t>
        </is>
      </c>
      <c r="G324" t="n">
        <v>0.8</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46106</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28887-2021</t>
        </is>
      </c>
      <c r="B326" s="1" t="n">
        <v>44357</v>
      </c>
      <c r="C326" s="1" t="n">
        <v>46106</v>
      </c>
      <c r="D326" t="inlineStr">
        <is>
          <t>JÄMTLANDS LÄN</t>
        </is>
      </c>
      <c r="E326" t="inlineStr">
        <is>
          <t>RAGUNDA</t>
        </is>
      </c>
      <c r="G326" t="n">
        <v>1.8</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46106</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46106</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46106</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46106</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46106</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46106</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46106</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46106</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46992-2022</t>
        </is>
      </c>
      <c r="B335" s="1" t="n">
        <v>44851.95488425926</v>
      </c>
      <c r="C335" s="1" t="n">
        <v>46106</v>
      </c>
      <c r="D335" t="inlineStr">
        <is>
          <t>JÄMTLANDS LÄN</t>
        </is>
      </c>
      <c r="E335" t="inlineStr">
        <is>
          <t>RAGUNDA</t>
        </is>
      </c>
      <c r="F335" t="inlineStr">
        <is>
          <t>SCA</t>
        </is>
      </c>
      <c r="G335" t="n">
        <v>26.4</v>
      </c>
      <c r="H335" t="n">
        <v>0</v>
      </c>
      <c r="I335" t="n">
        <v>0</v>
      </c>
      <c r="J335" t="n">
        <v>0</v>
      </c>
      <c r="K335" t="n">
        <v>0</v>
      </c>
      <c r="L335" t="n">
        <v>0</v>
      </c>
      <c r="M335" t="n">
        <v>0</v>
      </c>
      <c r="N335" t="n">
        <v>0</v>
      </c>
      <c r="O335" t="n">
        <v>0</v>
      </c>
      <c r="P335" t="n">
        <v>0</v>
      </c>
      <c r="Q335" t="n">
        <v>0</v>
      </c>
      <c r="R335" s="2" t="inlineStr"/>
    </row>
    <row r="336" ht="15" customHeight="1">
      <c r="A336" t="inlineStr">
        <is>
          <t>A 40829-2022</t>
        </is>
      </c>
      <c r="B336" s="1" t="n">
        <v>44824.94635416667</v>
      </c>
      <c r="C336" s="1" t="n">
        <v>46106</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46106</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46106</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46106</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46106</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46106</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46106</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40978-2022</t>
        </is>
      </c>
      <c r="B343" s="1" t="n">
        <v>44823</v>
      </c>
      <c r="C343" s="1" t="n">
        <v>46106</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24741-2022</t>
        </is>
      </c>
      <c r="B344" s="1" t="n">
        <v>44727</v>
      </c>
      <c r="C344" s="1" t="n">
        <v>46106</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46106</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46106</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46106</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46106</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46106</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46106</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46106</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46106</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46106</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21984-2022</t>
        </is>
      </c>
      <c r="B354" s="1" t="n">
        <v>44704</v>
      </c>
      <c r="C354" s="1" t="n">
        <v>46106</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46106</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46106</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46106</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46106</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46106</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46106</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46106</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46106</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46106</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46106</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46106</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46106</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46106</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46106</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42652-2022</t>
        </is>
      </c>
      <c r="B369" s="1" t="n">
        <v>44831.94846064815</v>
      </c>
      <c r="C369" s="1" t="n">
        <v>46106</v>
      </c>
      <c r="D369" t="inlineStr">
        <is>
          <t>JÄMTLANDS LÄN</t>
        </is>
      </c>
      <c r="E369" t="inlineStr">
        <is>
          <t>RAGUNDA</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42653-2022</t>
        </is>
      </c>
      <c r="B370" s="1" t="n">
        <v>44831.9485300926</v>
      </c>
      <c r="C370" s="1" t="n">
        <v>46106</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46106</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42882-2022</t>
        </is>
      </c>
      <c r="B372" s="1" t="n">
        <v>44832.95300925926</v>
      </c>
      <c r="C372" s="1" t="n">
        <v>46106</v>
      </c>
      <c r="D372" t="inlineStr">
        <is>
          <t>JÄMTLANDS LÄN</t>
        </is>
      </c>
      <c r="E372" t="inlineStr">
        <is>
          <t>RAGUNDA</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42267-2022</t>
        </is>
      </c>
      <c r="B373" s="1" t="n">
        <v>44830</v>
      </c>
      <c r="C373" s="1" t="n">
        <v>46106</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46106</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46106</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46106</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46106</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46106</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46106</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46106</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46106</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46106</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26948-2021</t>
        </is>
      </c>
      <c r="B383" s="1" t="n">
        <v>44349.92013888889</v>
      </c>
      <c r="C383" s="1" t="n">
        <v>46106</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19600-2021</t>
        </is>
      </c>
      <c r="B384" s="1" t="n">
        <v>44308</v>
      </c>
      <c r="C384" s="1" t="n">
        <v>46106</v>
      </c>
      <c r="D384" t="inlineStr">
        <is>
          <t>JÄMTLANDS LÄN</t>
        </is>
      </c>
      <c r="E384" t="inlineStr">
        <is>
          <t>RAGUNDA</t>
        </is>
      </c>
      <c r="G384" t="n">
        <v>4.3</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46106</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46106</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46106</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46106</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46106</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46106</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46106</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46106</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21194-2022</t>
        </is>
      </c>
      <c r="B393" s="1" t="n">
        <v>44704.9422337963</v>
      </c>
      <c r="C393" s="1" t="n">
        <v>46106</v>
      </c>
      <c r="D393" t="inlineStr">
        <is>
          <t>JÄMTLANDS LÄN</t>
        </is>
      </c>
      <c r="E393" t="inlineStr">
        <is>
          <t>RAGUNDA</t>
        </is>
      </c>
      <c r="F393" t="inlineStr">
        <is>
          <t>SCA</t>
        </is>
      </c>
      <c r="G393" t="n">
        <v>10.6</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46106</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46106</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46106</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46106</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46106</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46106</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5175-2023</t>
        </is>
      </c>
      <c r="B400" s="1" t="n">
        <v>44958.94298611111</v>
      </c>
      <c r="C400" s="1" t="n">
        <v>46106</v>
      </c>
      <c r="D400" t="inlineStr">
        <is>
          <t>JÄMTLANDS LÄN</t>
        </is>
      </c>
      <c r="E400" t="inlineStr">
        <is>
          <t>RAGUNDA</t>
        </is>
      </c>
      <c r="F400" t="inlineStr">
        <is>
          <t>SCA</t>
        </is>
      </c>
      <c r="G400" t="n">
        <v>17.9</v>
      </c>
      <c r="H400" t="n">
        <v>0</v>
      </c>
      <c r="I400" t="n">
        <v>0</v>
      </c>
      <c r="J400" t="n">
        <v>0</v>
      </c>
      <c r="K400" t="n">
        <v>0</v>
      </c>
      <c r="L400" t="n">
        <v>0</v>
      </c>
      <c r="M400" t="n">
        <v>0</v>
      </c>
      <c r="N400" t="n">
        <v>0</v>
      </c>
      <c r="O400" t="n">
        <v>0</v>
      </c>
      <c r="P400" t="n">
        <v>0</v>
      </c>
      <c r="Q400" t="n">
        <v>0</v>
      </c>
      <c r="R400" s="2" t="inlineStr"/>
    </row>
    <row r="401" ht="15" customHeight="1">
      <c r="A401" t="inlineStr">
        <is>
          <t>A 14896-2022</t>
        </is>
      </c>
      <c r="B401" s="1" t="n">
        <v>44656</v>
      </c>
      <c r="C401" s="1" t="n">
        <v>46106</v>
      </c>
      <c r="D401" t="inlineStr">
        <is>
          <t>JÄMTLANDS LÄN</t>
        </is>
      </c>
      <c r="E401" t="inlineStr">
        <is>
          <t>RAGUNDA</t>
        </is>
      </c>
      <c r="F401" t="inlineStr">
        <is>
          <t>SCA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46106</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20574-2025</t>
        </is>
      </c>
      <c r="B403" s="1" t="n">
        <v>45775.67747685185</v>
      </c>
      <c r="C403" s="1" t="n">
        <v>46106</v>
      </c>
      <c r="D403" t="inlineStr">
        <is>
          <t>JÄMTLANDS LÄN</t>
        </is>
      </c>
      <c r="E403" t="inlineStr">
        <is>
          <t>RAGUNDA</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24197-2024</t>
        </is>
      </c>
      <c r="B404" s="1" t="n">
        <v>45456.96601851852</v>
      </c>
      <c r="C404" s="1" t="n">
        <v>46106</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46106</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36246-2024</t>
        </is>
      </c>
      <c r="B406" s="1" t="n">
        <v>45534</v>
      </c>
      <c r="C406" s="1" t="n">
        <v>46106</v>
      </c>
      <c r="D406" t="inlineStr">
        <is>
          <t>JÄMTLANDS LÄN</t>
        </is>
      </c>
      <c r="E406" t="inlineStr">
        <is>
          <t>RAGUNDA</t>
        </is>
      </c>
      <c r="G406" t="n">
        <v>1.6</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46106</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14156-2024</t>
        </is>
      </c>
      <c r="B408" s="1" t="n">
        <v>45392</v>
      </c>
      <c r="C408" s="1" t="n">
        <v>46106</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14157-2024</t>
        </is>
      </c>
      <c r="B409" s="1" t="n">
        <v>45392.92903935185</v>
      </c>
      <c r="C409" s="1" t="n">
        <v>46106</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11558-2023</t>
        </is>
      </c>
      <c r="B410" s="1" t="n">
        <v>44993.94958333333</v>
      </c>
      <c r="C410" s="1" t="n">
        <v>46106</v>
      </c>
      <c r="D410" t="inlineStr">
        <is>
          <t>JÄMTLANDS LÄN</t>
        </is>
      </c>
      <c r="E410" t="inlineStr">
        <is>
          <t>RAGUNDA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44630-2023</t>
        </is>
      </c>
      <c r="B411" s="1" t="n">
        <v>45184</v>
      </c>
      <c r="C411" s="1" t="n">
        <v>46106</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20088-2023</t>
        </is>
      </c>
      <c r="B412" s="1" t="n">
        <v>45054</v>
      </c>
      <c r="C412" s="1" t="n">
        <v>46106</v>
      </c>
      <c r="D412" t="inlineStr">
        <is>
          <t>JÄMTLANDS LÄN</t>
        </is>
      </c>
      <c r="E412" t="inlineStr">
        <is>
          <t>RAGUNDA</t>
        </is>
      </c>
      <c r="F412" t="inlineStr">
        <is>
          <t>SCA</t>
        </is>
      </c>
      <c r="G412" t="n">
        <v>23.4</v>
      </c>
      <c r="H412" t="n">
        <v>0</v>
      </c>
      <c r="I412" t="n">
        <v>0</v>
      </c>
      <c r="J412" t="n">
        <v>0</v>
      </c>
      <c r="K412" t="n">
        <v>0</v>
      </c>
      <c r="L412" t="n">
        <v>0</v>
      </c>
      <c r="M412" t="n">
        <v>0</v>
      </c>
      <c r="N412" t="n">
        <v>0</v>
      </c>
      <c r="O412" t="n">
        <v>0</v>
      </c>
      <c r="P412" t="n">
        <v>0</v>
      </c>
      <c r="Q412" t="n">
        <v>0</v>
      </c>
      <c r="R412" s="2" t="inlineStr"/>
    </row>
    <row r="413" ht="15" customHeight="1">
      <c r="A413" t="inlineStr">
        <is>
          <t>A 4882-2023</t>
        </is>
      </c>
      <c r="B413" s="1" t="n">
        <v>44957.94075231482</v>
      </c>
      <c r="C413" s="1" t="n">
        <v>46106</v>
      </c>
      <c r="D413" t="inlineStr">
        <is>
          <t>JÄMTLANDS LÄN</t>
        </is>
      </c>
      <c r="E413" t="inlineStr">
        <is>
          <t>RAGUNDA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15554-2025</t>
        </is>
      </c>
      <c r="B414" s="1" t="n">
        <v>45747.67739583334</v>
      </c>
      <c r="C414" s="1" t="n">
        <v>46106</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55487-2023</t>
        </is>
      </c>
      <c r="B415" s="1" t="n">
        <v>45238</v>
      </c>
      <c r="C415" s="1" t="n">
        <v>46106</v>
      </c>
      <c r="D415" t="inlineStr">
        <is>
          <t>JÄMTLANDS LÄN</t>
        </is>
      </c>
      <c r="E415" t="inlineStr">
        <is>
          <t>RAGUNDA</t>
        </is>
      </c>
      <c r="G415" t="n">
        <v>3</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46106</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18454-2021</t>
        </is>
      </c>
      <c r="B417" s="1" t="n">
        <v>44305.92047453704</v>
      </c>
      <c r="C417" s="1" t="n">
        <v>46106</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13767-2022</t>
        </is>
      </c>
      <c r="B418" s="1" t="n">
        <v>44649.47048611111</v>
      </c>
      <c r="C418" s="1" t="n">
        <v>46106</v>
      </c>
      <c r="D418" t="inlineStr">
        <is>
          <t>JÄMTLANDS LÄN</t>
        </is>
      </c>
      <c r="E418" t="inlineStr">
        <is>
          <t>RAGUNDA</t>
        </is>
      </c>
      <c r="F418" t="inlineStr">
        <is>
          <t>Kommuner</t>
        </is>
      </c>
      <c r="G418" t="n">
        <v>3.1</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46106</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46106</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11048-2023</t>
        </is>
      </c>
      <c r="B421" s="1" t="n">
        <v>44991</v>
      </c>
      <c r="C421" s="1" t="n">
        <v>46106</v>
      </c>
      <c r="D421" t="inlineStr">
        <is>
          <t>JÄMTLANDS LÄN</t>
        </is>
      </c>
      <c r="E421" t="inlineStr">
        <is>
          <t>RAGUNDA</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11062-2023</t>
        </is>
      </c>
      <c r="B422" s="1" t="n">
        <v>44991</v>
      </c>
      <c r="C422" s="1" t="n">
        <v>46106</v>
      </c>
      <c r="D422" t="inlineStr">
        <is>
          <t>JÄMTLANDS LÄN</t>
        </is>
      </c>
      <c r="E422" t="inlineStr">
        <is>
          <t>RAGUNDA</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1308-2025</t>
        </is>
      </c>
      <c r="B423" s="1" t="n">
        <v>45667.55239583334</v>
      </c>
      <c r="C423" s="1" t="n">
        <v>46106</v>
      </c>
      <c r="D423" t="inlineStr">
        <is>
          <t>JÄMTLANDS LÄN</t>
        </is>
      </c>
      <c r="E423" t="inlineStr">
        <is>
          <t>RAGUNDA</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11252-2025</t>
        </is>
      </c>
      <c r="B424" s="1" t="n">
        <v>45726.38615740741</v>
      </c>
      <c r="C424" s="1" t="n">
        <v>46106</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22569-2023</t>
        </is>
      </c>
      <c r="B425" s="1" t="n">
        <v>45069</v>
      </c>
      <c r="C425" s="1" t="n">
        <v>46106</v>
      </c>
      <c r="D425" t="inlineStr">
        <is>
          <t>JÄMTLANDS LÄN</t>
        </is>
      </c>
      <c r="E425" t="inlineStr">
        <is>
          <t>RAGUNDA</t>
        </is>
      </c>
      <c r="G425" t="n">
        <v>6.6</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46106</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57064-2024</t>
        </is>
      </c>
      <c r="B427" s="1" t="n">
        <v>45629.35326388889</v>
      </c>
      <c r="C427" s="1" t="n">
        <v>46106</v>
      </c>
      <c r="D427" t="inlineStr">
        <is>
          <t>JÄMTLANDS LÄN</t>
        </is>
      </c>
      <c r="E427" t="inlineStr">
        <is>
          <t>RAGUNDA</t>
        </is>
      </c>
      <c r="F427" t="inlineStr">
        <is>
          <t>Naturvårdsverket</t>
        </is>
      </c>
      <c r="G427" t="n">
        <v>0.5</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46106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55524-2024</t>
        </is>
      </c>
      <c r="B429" s="1" t="n">
        <v>45622.47435185185</v>
      </c>
      <c r="C429" s="1" t="n">
        <v>46106</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7280-2024</t>
        </is>
      </c>
      <c r="B430" s="1" t="n">
        <v>45344</v>
      </c>
      <c r="C430" s="1" t="n">
        <v>46106</v>
      </c>
      <c r="D430" t="inlineStr">
        <is>
          <t>JÄMTLANDS LÄN</t>
        </is>
      </c>
      <c r="E430" t="inlineStr">
        <is>
          <t>RAGUNDA</t>
        </is>
      </c>
      <c r="G430" t="n">
        <v>1.6</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46106</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29920-2024</t>
        </is>
      </c>
      <c r="B432" s="1" t="n">
        <v>45487.92856481481</v>
      </c>
      <c r="C432" s="1" t="n">
        <v>46106</v>
      </c>
      <c r="D432" t="inlineStr">
        <is>
          <t>JÄMTLANDS LÄN</t>
        </is>
      </c>
      <c r="E432" t="inlineStr">
        <is>
          <t>RAGUNDA</t>
        </is>
      </c>
      <c r="G432" t="n">
        <v>3.4</v>
      </c>
      <c r="H432" t="n">
        <v>0</v>
      </c>
      <c r="I432" t="n">
        <v>0</v>
      </c>
      <c r="J432" t="n">
        <v>0</v>
      </c>
      <c r="K432" t="n">
        <v>0</v>
      </c>
      <c r="L432" t="n">
        <v>0</v>
      </c>
      <c r="M432" t="n">
        <v>0</v>
      </c>
      <c r="N432" t="n">
        <v>0</v>
      </c>
      <c r="O432" t="n">
        <v>0</v>
      </c>
      <c r="P432" t="n">
        <v>0</v>
      </c>
      <c r="Q432" t="n">
        <v>0</v>
      </c>
      <c r="R432" s="2" t="inlineStr"/>
    </row>
    <row r="433" ht="15" customHeight="1">
      <c r="A433" t="inlineStr">
        <is>
          <t>A 12783-2023</t>
        </is>
      </c>
      <c r="B433" s="1" t="n">
        <v>45000</v>
      </c>
      <c r="C433" s="1" t="n">
        <v>46106</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14368-2024</t>
        </is>
      </c>
      <c r="B434" s="1" t="n">
        <v>45393.94431712963</v>
      </c>
      <c r="C434" s="1" t="n">
        <v>46106</v>
      </c>
      <c r="D434" t="inlineStr">
        <is>
          <t>JÄMTLANDS LÄN</t>
        </is>
      </c>
      <c r="E434" t="inlineStr">
        <is>
          <t>RAGUNDA</t>
        </is>
      </c>
      <c r="F434" t="inlineStr">
        <is>
          <t>Naturvårdsverket</t>
        </is>
      </c>
      <c r="G434" t="n">
        <v>1.6</v>
      </c>
      <c r="H434" t="n">
        <v>0</v>
      </c>
      <c r="I434" t="n">
        <v>0</v>
      </c>
      <c r="J434" t="n">
        <v>0</v>
      </c>
      <c r="K434" t="n">
        <v>0</v>
      </c>
      <c r="L434" t="n">
        <v>0</v>
      </c>
      <c r="M434" t="n">
        <v>0</v>
      </c>
      <c r="N434" t="n">
        <v>0</v>
      </c>
      <c r="O434" t="n">
        <v>0</v>
      </c>
      <c r="P434" t="n">
        <v>0</v>
      </c>
      <c r="Q434" t="n">
        <v>0</v>
      </c>
      <c r="R434" s="2" t="inlineStr"/>
    </row>
    <row r="435" ht="15" customHeight="1">
      <c r="A435" t="inlineStr">
        <is>
          <t>A 53171-2024</t>
        </is>
      </c>
      <c r="B435" s="1" t="n">
        <v>45611.65679398148</v>
      </c>
      <c r="C435" s="1" t="n">
        <v>46106</v>
      </c>
      <c r="D435" t="inlineStr">
        <is>
          <t>JÄMTLANDS LÄN</t>
        </is>
      </c>
      <c r="E435" t="inlineStr">
        <is>
          <t>RAGUNDA</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7279-2024</t>
        </is>
      </c>
      <c r="B436" s="1" t="n">
        <v>45344.92822916667</v>
      </c>
      <c r="C436" s="1" t="n">
        <v>46106</v>
      </c>
      <c r="D436" t="inlineStr">
        <is>
          <t>JÄMTLANDS LÄN</t>
        </is>
      </c>
      <c r="E436" t="inlineStr">
        <is>
          <t>RAGUNDA</t>
        </is>
      </c>
      <c r="G436" t="n">
        <v>2.1</v>
      </c>
      <c r="H436" t="n">
        <v>0</v>
      </c>
      <c r="I436" t="n">
        <v>0</v>
      </c>
      <c r="J436" t="n">
        <v>0</v>
      </c>
      <c r="K436" t="n">
        <v>0</v>
      </c>
      <c r="L436" t="n">
        <v>0</v>
      </c>
      <c r="M436" t="n">
        <v>0</v>
      </c>
      <c r="N436" t="n">
        <v>0</v>
      </c>
      <c r="O436" t="n">
        <v>0</v>
      </c>
      <c r="P436" t="n">
        <v>0</v>
      </c>
      <c r="Q436" t="n">
        <v>0</v>
      </c>
      <c r="R436" s="2" t="inlineStr"/>
    </row>
    <row r="437" ht="15" customHeight="1">
      <c r="A437" t="inlineStr">
        <is>
          <t>A 3767-2025</t>
        </is>
      </c>
      <c r="B437" s="1" t="n">
        <v>45681.60203703704</v>
      </c>
      <c r="C437" s="1" t="n">
        <v>46106</v>
      </c>
      <c r="D437" t="inlineStr">
        <is>
          <t>JÄMTLANDS LÄN</t>
        </is>
      </c>
      <c r="E437" t="inlineStr">
        <is>
          <t>RAGUNDA</t>
        </is>
      </c>
      <c r="G437" t="n">
        <v>4.9</v>
      </c>
      <c r="H437" t="n">
        <v>0</v>
      </c>
      <c r="I437" t="n">
        <v>0</v>
      </c>
      <c r="J437" t="n">
        <v>0</v>
      </c>
      <c r="K437" t="n">
        <v>0</v>
      </c>
      <c r="L437" t="n">
        <v>0</v>
      </c>
      <c r="M437" t="n">
        <v>0</v>
      </c>
      <c r="N437" t="n">
        <v>0</v>
      </c>
      <c r="O437" t="n">
        <v>0</v>
      </c>
      <c r="P437" t="n">
        <v>0</v>
      </c>
      <c r="Q437" t="n">
        <v>0</v>
      </c>
      <c r="R437" s="2" t="inlineStr"/>
    </row>
    <row r="438" ht="15" customHeight="1">
      <c r="A438" t="inlineStr">
        <is>
          <t>A 54599-2023</t>
        </is>
      </c>
      <c r="B438" s="1" t="n">
        <v>45233.92591435185</v>
      </c>
      <c r="C438" s="1" t="n">
        <v>46106</v>
      </c>
      <c r="D438" t="inlineStr">
        <is>
          <t>JÄMTLANDS LÄN</t>
        </is>
      </c>
      <c r="E438" t="inlineStr">
        <is>
          <t>RAGUNDA</t>
        </is>
      </c>
      <c r="G438" t="n">
        <v>3.7</v>
      </c>
      <c r="H438" t="n">
        <v>0</v>
      </c>
      <c r="I438" t="n">
        <v>0</v>
      </c>
      <c r="J438" t="n">
        <v>0</v>
      </c>
      <c r="K438" t="n">
        <v>0</v>
      </c>
      <c r="L438" t="n">
        <v>0</v>
      </c>
      <c r="M438" t="n">
        <v>0</v>
      </c>
      <c r="N438" t="n">
        <v>0</v>
      </c>
      <c r="O438" t="n">
        <v>0</v>
      </c>
      <c r="P438" t="n">
        <v>0</v>
      </c>
      <c r="Q438" t="n">
        <v>0</v>
      </c>
      <c r="R438" s="2" t="inlineStr"/>
    </row>
    <row r="439" ht="15" customHeight="1">
      <c r="A439" t="inlineStr">
        <is>
          <t>A 12660-2024</t>
        </is>
      </c>
      <c r="B439" s="1" t="n">
        <v>45384</v>
      </c>
      <c r="C439" s="1" t="n">
        <v>46106</v>
      </c>
      <c r="D439" t="inlineStr">
        <is>
          <t>JÄMTLANDS LÄN</t>
        </is>
      </c>
      <c r="E439" t="inlineStr">
        <is>
          <t>RAGUNDA</t>
        </is>
      </c>
      <c r="G439" t="n">
        <v>1.3</v>
      </c>
      <c r="H439" t="n">
        <v>0</v>
      </c>
      <c r="I439" t="n">
        <v>0</v>
      </c>
      <c r="J439" t="n">
        <v>0</v>
      </c>
      <c r="K439" t="n">
        <v>0</v>
      </c>
      <c r="L439" t="n">
        <v>0</v>
      </c>
      <c r="M439" t="n">
        <v>0</v>
      </c>
      <c r="N439" t="n">
        <v>0</v>
      </c>
      <c r="O439" t="n">
        <v>0</v>
      </c>
      <c r="P439" t="n">
        <v>0</v>
      </c>
      <c r="Q439" t="n">
        <v>0</v>
      </c>
      <c r="R439" s="2" t="inlineStr"/>
    </row>
    <row r="440" ht="15" customHeight="1">
      <c r="A440" t="inlineStr">
        <is>
          <t>A 55649-2023</t>
        </is>
      </c>
      <c r="B440" s="1" t="n">
        <v>45238</v>
      </c>
      <c r="C440" s="1" t="n">
        <v>46106</v>
      </c>
      <c r="D440" t="inlineStr">
        <is>
          <t>JÄMTLANDS LÄN</t>
        </is>
      </c>
      <c r="E440" t="inlineStr">
        <is>
          <t>RAGUNDA</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12521-2023</t>
        </is>
      </c>
      <c r="B441" s="1" t="n">
        <v>45000</v>
      </c>
      <c r="C441" s="1" t="n">
        <v>46106</v>
      </c>
      <c r="D441" t="inlineStr">
        <is>
          <t>JÄMTLANDS LÄN</t>
        </is>
      </c>
      <c r="E441" t="inlineStr">
        <is>
          <t>RAGUNDA</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44778-2024</t>
        </is>
      </c>
      <c r="B442" s="1" t="n">
        <v>45574.63355324074</v>
      </c>
      <c r="C442" s="1" t="n">
        <v>46106</v>
      </c>
      <c r="D442" t="inlineStr">
        <is>
          <t>JÄMTLANDS LÄN</t>
        </is>
      </c>
      <c r="E442" t="inlineStr">
        <is>
          <t>RAGUNDA</t>
        </is>
      </c>
      <c r="G442" t="n">
        <v>5.5</v>
      </c>
      <c r="H442" t="n">
        <v>0</v>
      </c>
      <c r="I442" t="n">
        <v>0</v>
      </c>
      <c r="J442" t="n">
        <v>0</v>
      </c>
      <c r="K442" t="n">
        <v>0</v>
      </c>
      <c r="L442" t="n">
        <v>0</v>
      </c>
      <c r="M442" t="n">
        <v>0</v>
      </c>
      <c r="N442" t="n">
        <v>0</v>
      </c>
      <c r="O442" t="n">
        <v>0</v>
      </c>
      <c r="P442" t="n">
        <v>0</v>
      </c>
      <c r="Q442" t="n">
        <v>0</v>
      </c>
      <c r="R442" s="2" t="inlineStr"/>
    </row>
    <row r="443" ht="15" customHeight="1">
      <c r="A443" t="inlineStr">
        <is>
          <t>A 29319-2023</t>
        </is>
      </c>
      <c r="B443" s="1" t="n">
        <v>45105</v>
      </c>
      <c r="C443" s="1" t="n">
        <v>46106</v>
      </c>
      <c r="D443" t="inlineStr">
        <is>
          <t>JÄMTLANDS LÄN</t>
        </is>
      </c>
      <c r="E443" t="inlineStr">
        <is>
          <t>RAGUNDA</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18612-2024</t>
        </is>
      </c>
      <c r="B444" s="1" t="n">
        <v>45425.96239583333</v>
      </c>
      <c r="C444" s="1" t="n">
        <v>46106</v>
      </c>
      <c r="D444" t="inlineStr">
        <is>
          <t>JÄMTLANDS LÄN</t>
        </is>
      </c>
      <c r="E444" t="inlineStr">
        <is>
          <t>RAGUNDA</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464-2023</t>
        </is>
      </c>
      <c r="B445" s="1" t="n">
        <v>44929.92489583333</v>
      </c>
      <c r="C445" s="1" t="n">
        <v>46106</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46106</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53769-2023</t>
        </is>
      </c>
      <c r="B447" s="1" t="n">
        <v>45230</v>
      </c>
      <c r="C447" s="1" t="n">
        <v>46106</v>
      </c>
      <c r="D447" t="inlineStr">
        <is>
          <t>JÄMTLANDS LÄN</t>
        </is>
      </c>
      <c r="E447" t="inlineStr">
        <is>
          <t>RAGUNDA</t>
        </is>
      </c>
      <c r="F447" t="inlineStr">
        <is>
          <t>SCA</t>
        </is>
      </c>
      <c r="G447" t="n">
        <v>11.6</v>
      </c>
      <c r="H447" t="n">
        <v>0</v>
      </c>
      <c r="I447" t="n">
        <v>0</v>
      </c>
      <c r="J447" t="n">
        <v>0</v>
      </c>
      <c r="K447" t="n">
        <v>0</v>
      </c>
      <c r="L447" t="n">
        <v>0</v>
      </c>
      <c r="M447" t="n">
        <v>0</v>
      </c>
      <c r="N447" t="n">
        <v>0</v>
      </c>
      <c r="O447" t="n">
        <v>0</v>
      </c>
      <c r="P447" t="n">
        <v>0</v>
      </c>
      <c r="Q447" t="n">
        <v>0</v>
      </c>
      <c r="R447" s="2" t="inlineStr"/>
    </row>
    <row r="448" ht="15" customHeight="1">
      <c r="A448" t="inlineStr">
        <is>
          <t>A 2673-2024</t>
        </is>
      </c>
      <c r="B448" s="1" t="n">
        <v>45314</v>
      </c>
      <c r="C448" s="1" t="n">
        <v>46106</v>
      </c>
      <c r="D448" t="inlineStr">
        <is>
          <t>JÄMTLANDS LÄN</t>
        </is>
      </c>
      <c r="E448" t="inlineStr">
        <is>
          <t>RAGUNDA</t>
        </is>
      </c>
      <c r="G448" t="n">
        <v>0.9</v>
      </c>
      <c r="H448" t="n">
        <v>0</v>
      </c>
      <c r="I448" t="n">
        <v>0</v>
      </c>
      <c r="J448" t="n">
        <v>0</v>
      </c>
      <c r="K448" t="n">
        <v>0</v>
      </c>
      <c r="L448" t="n">
        <v>0</v>
      </c>
      <c r="M448" t="n">
        <v>0</v>
      </c>
      <c r="N448" t="n">
        <v>0</v>
      </c>
      <c r="O448" t="n">
        <v>0</v>
      </c>
      <c r="P448" t="n">
        <v>0</v>
      </c>
      <c r="Q448" t="n">
        <v>0</v>
      </c>
      <c r="R448" s="2" t="inlineStr"/>
    </row>
    <row r="449" ht="15" customHeight="1">
      <c r="A449" t="inlineStr">
        <is>
          <t>A 52228-2024</t>
        </is>
      </c>
      <c r="B449" s="1" t="n">
        <v>45608.6078587963</v>
      </c>
      <c r="C449" s="1" t="n">
        <v>46106</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64492-2023</t>
        </is>
      </c>
      <c r="B450" s="1" t="n">
        <v>45280.92645833334</v>
      </c>
      <c r="C450" s="1" t="n">
        <v>46106</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29263-2024</t>
        </is>
      </c>
      <c r="B451" s="1" t="n">
        <v>45482.94891203703</v>
      </c>
      <c r="C451" s="1" t="n">
        <v>46106</v>
      </c>
      <c r="D451" t="inlineStr">
        <is>
          <t>JÄMTLANDS LÄN</t>
        </is>
      </c>
      <c r="E451" t="inlineStr">
        <is>
          <t>RAGUNDA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2242-2024</t>
        </is>
      </c>
      <c r="B452" s="1" t="n">
        <v>45309</v>
      </c>
      <c r="C452" s="1" t="n">
        <v>46106</v>
      </c>
      <c r="D452" t="inlineStr">
        <is>
          <t>JÄMTLANDS LÄN</t>
        </is>
      </c>
      <c r="E452" t="inlineStr">
        <is>
          <t>RAGUNDA</t>
        </is>
      </c>
      <c r="G452" t="n">
        <v>0.9</v>
      </c>
      <c r="H452" t="n">
        <v>0</v>
      </c>
      <c r="I452" t="n">
        <v>0</v>
      </c>
      <c r="J452" t="n">
        <v>0</v>
      </c>
      <c r="K452" t="n">
        <v>0</v>
      </c>
      <c r="L452" t="n">
        <v>0</v>
      </c>
      <c r="M452" t="n">
        <v>0</v>
      </c>
      <c r="N452" t="n">
        <v>0</v>
      </c>
      <c r="O452" t="n">
        <v>0</v>
      </c>
      <c r="P452" t="n">
        <v>0</v>
      </c>
      <c r="Q452" t="n">
        <v>0</v>
      </c>
      <c r="R452" s="2" t="inlineStr"/>
    </row>
    <row r="453" ht="15" customHeight="1">
      <c r="A453" t="inlineStr">
        <is>
          <t>A 2248-2024</t>
        </is>
      </c>
      <c r="B453" s="1" t="n">
        <v>45309</v>
      </c>
      <c r="C453" s="1" t="n">
        <v>46106</v>
      </c>
      <c r="D453" t="inlineStr">
        <is>
          <t>JÄMTLANDS LÄN</t>
        </is>
      </c>
      <c r="E453" t="inlineStr">
        <is>
          <t>RAGUNDA</t>
        </is>
      </c>
      <c r="G453" t="n">
        <v>4.2</v>
      </c>
      <c r="H453" t="n">
        <v>0</v>
      </c>
      <c r="I453" t="n">
        <v>0</v>
      </c>
      <c r="J453" t="n">
        <v>0</v>
      </c>
      <c r="K453" t="n">
        <v>0</v>
      </c>
      <c r="L453" t="n">
        <v>0</v>
      </c>
      <c r="M453" t="n">
        <v>0</v>
      </c>
      <c r="N453" t="n">
        <v>0</v>
      </c>
      <c r="O453" t="n">
        <v>0</v>
      </c>
      <c r="P453" t="n">
        <v>0</v>
      </c>
      <c r="Q453" t="n">
        <v>0</v>
      </c>
      <c r="R453" s="2" t="inlineStr"/>
    </row>
    <row r="454" ht="15" customHeight="1">
      <c r="A454" t="inlineStr">
        <is>
          <t>A 8800-2025</t>
        </is>
      </c>
      <c r="B454" s="1" t="n">
        <v>45712.65671296296</v>
      </c>
      <c r="C454" s="1" t="n">
        <v>46106</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29265-2024</t>
        </is>
      </c>
      <c r="B455" s="1" t="n">
        <v>45482.9491087963</v>
      </c>
      <c r="C455" s="1" t="n">
        <v>46106</v>
      </c>
      <c r="D455" t="inlineStr">
        <is>
          <t>JÄMTLANDS LÄN</t>
        </is>
      </c>
      <c r="E455" t="inlineStr">
        <is>
          <t>RAGUNDA</t>
        </is>
      </c>
      <c r="F455" t="inlineStr">
        <is>
          <t>SCA</t>
        </is>
      </c>
      <c r="G455" t="n">
        <v>11.6</v>
      </c>
      <c r="H455" t="n">
        <v>0</v>
      </c>
      <c r="I455" t="n">
        <v>0</v>
      </c>
      <c r="J455" t="n">
        <v>0</v>
      </c>
      <c r="K455" t="n">
        <v>0</v>
      </c>
      <c r="L455" t="n">
        <v>0</v>
      </c>
      <c r="M455" t="n">
        <v>0</v>
      </c>
      <c r="N455" t="n">
        <v>0</v>
      </c>
      <c r="O455" t="n">
        <v>0</v>
      </c>
      <c r="P455" t="n">
        <v>0</v>
      </c>
      <c r="Q455" t="n">
        <v>0</v>
      </c>
      <c r="R455" s="2" t="inlineStr"/>
    </row>
    <row r="456" ht="15" customHeight="1">
      <c r="A456" t="inlineStr">
        <is>
          <t>A 27291-2022</t>
        </is>
      </c>
      <c r="B456" s="1" t="n">
        <v>44741.94070601852</v>
      </c>
      <c r="C456" s="1" t="n">
        <v>46106</v>
      </c>
      <c r="D456" t="inlineStr">
        <is>
          <t>JÄMTLANDS LÄN</t>
        </is>
      </c>
      <c r="E456" t="inlineStr">
        <is>
          <t>RAGUNDA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14821-2025</t>
        </is>
      </c>
      <c r="B457" s="1" t="n">
        <v>45743.36</v>
      </c>
      <c r="C457" s="1" t="n">
        <v>46106</v>
      </c>
      <c r="D457" t="inlineStr">
        <is>
          <t>JÄMTLANDS LÄN</t>
        </is>
      </c>
      <c r="E457" t="inlineStr">
        <is>
          <t>RAGUNDA</t>
        </is>
      </c>
      <c r="F457" t="inlineStr">
        <is>
          <t>Kyrkan</t>
        </is>
      </c>
      <c r="G457" t="n">
        <v>6.4</v>
      </c>
      <c r="H457" t="n">
        <v>0</v>
      </c>
      <c r="I457" t="n">
        <v>0</v>
      </c>
      <c r="J457" t="n">
        <v>0</v>
      </c>
      <c r="K457" t="n">
        <v>0</v>
      </c>
      <c r="L457" t="n">
        <v>0</v>
      </c>
      <c r="M457" t="n">
        <v>0</v>
      </c>
      <c r="N457" t="n">
        <v>0</v>
      </c>
      <c r="O457" t="n">
        <v>0</v>
      </c>
      <c r="P457" t="n">
        <v>0</v>
      </c>
      <c r="Q457" t="n">
        <v>0</v>
      </c>
      <c r="R457" s="2" t="inlineStr"/>
    </row>
    <row r="458" ht="15" customHeight="1">
      <c r="A458" t="inlineStr">
        <is>
          <t>A 8776-2025</t>
        </is>
      </c>
      <c r="B458" s="1" t="n">
        <v>45712.61510416667</v>
      </c>
      <c r="C458" s="1" t="n">
        <v>46106</v>
      </c>
      <c r="D458" t="inlineStr">
        <is>
          <t>JÄMTLANDS LÄN</t>
        </is>
      </c>
      <c r="E458" t="inlineStr">
        <is>
          <t>RAGUNDA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9325-2024</t>
        </is>
      </c>
      <c r="B459" s="1" t="n">
        <v>45358.95813657407</v>
      </c>
      <c r="C459" s="1" t="n">
        <v>46106</v>
      </c>
      <c r="D459" t="inlineStr">
        <is>
          <t>JÄMTLANDS LÄN</t>
        </is>
      </c>
      <c r="E459" t="inlineStr">
        <is>
          <t>RAGUNDA</t>
        </is>
      </c>
      <c r="G459" t="n">
        <v>3.1</v>
      </c>
      <c r="H459" t="n">
        <v>0</v>
      </c>
      <c r="I459" t="n">
        <v>0</v>
      </c>
      <c r="J459" t="n">
        <v>0</v>
      </c>
      <c r="K459" t="n">
        <v>0</v>
      </c>
      <c r="L459" t="n">
        <v>0</v>
      </c>
      <c r="M459" t="n">
        <v>0</v>
      </c>
      <c r="N459" t="n">
        <v>0</v>
      </c>
      <c r="O459" t="n">
        <v>0</v>
      </c>
      <c r="P459" t="n">
        <v>0</v>
      </c>
      <c r="Q459" t="n">
        <v>0</v>
      </c>
      <c r="R459" s="2" t="inlineStr"/>
    </row>
    <row r="460" ht="15" customHeight="1">
      <c r="A460" t="inlineStr">
        <is>
          <t>A 5930-2025</t>
        </is>
      </c>
      <c r="B460" s="1" t="n">
        <v>45695.44724537037</v>
      </c>
      <c r="C460" s="1" t="n">
        <v>46106</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36375-2022</t>
        </is>
      </c>
      <c r="B461" s="1" t="n">
        <v>44803.94351851852</v>
      </c>
      <c r="C461" s="1" t="n">
        <v>46106</v>
      </c>
      <c r="D461" t="inlineStr">
        <is>
          <t>JÄMTLANDS LÄN</t>
        </is>
      </c>
      <c r="E461" t="inlineStr">
        <is>
          <t>RAGUNDA</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57170-2024</t>
        </is>
      </c>
      <c r="B462" s="1" t="n">
        <v>45629.42759259259</v>
      </c>
      <c r="C462" s="1" t="n">
        <v>46106</v>
      </c>
      <c r="D462" t="inlineStr">
        <is>
          <t>JÄMTLANDS LÄN</t>
        </is>
      </c>
      <c r="E462" t="inlineStr">
        <is>
          <t>RAGUNDA</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8679-2023</t>
        </is>
      </c>
      <c r="B463" s="1" t="n">
        <v>44977.98670138889</v>
      </c>
      <c r="C463" s="1" t="n">
        <v>46106</v>
      </c>
      <c r="D463" t="inlineStr">
        <is>
          <t>JÄMTLANDS LÄN</t>
        </is>
      </c>
      <c r="E463" t="inlineStr">
        <is>
          <t>RAGUNDA</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35265-2023</t>
        </is>
      </c>
      <c r="B464" s="1" t="n">
        <v>45145.95326388889</v>
      </c>
      <c r="C464" s="1" t="n">
        <v>46106</v>
      </c>
      <c r="D464" t="inlineStr">
        <is>
          <t>JÄMTLANDS LÄN</t>
        </is>
      </c>
      <c r="E464" t="inlineStr">
        <is>
          <t>RAGUNDA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5148-2023</t>
        </is>
      </c>
      <c r="B465" s="1" t="n">
        <v>44958</v>
      </c>
      <c r="C465" s="1" t="n">
        <v>46106</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row>
    <row r="466" ht="15" customHeight="1">
      <c r="A466" t="inlineStr">
        <is>
          <t>A 66471-2021</t>
        </is>
      </c>
      <c r="B466" s="1" t="n">
        <v>44518</v>
      </c>
      <c r="C466" s="1" t="n">
        <v>46106</v>
      </c>
      <c r="D466" t="inlineStr">
        <is>
          <t>JÄMTLANDS LÄN</t>
        </is>
      </c>
      <c r="E466" t="inlineStr">
        <is>
          <t>RAGUNDA</t>
        </is>
      </c>
      <c r="G466" t="n">
        <v>13.4</v>
      </c>
      <c r="H466" t="n">
        <v>0</v>
      </c>
      <c r="I466" t="n">
        <v>0</v>
      </c>
      <c r="J466" t="n">
        <v>0</v>
      </c>
      <c r="K466" t="n">
        <v>0</v>
      </c>
      <c r="L466" t="n">
        <v>0</v>
      </c>
      <c r="M466" t="n">
        <v>0</v>
      </c>
      <c r="N466" t="n">
        <v>0</v>
      </c>
      <c r="O466" t="n">
        <v>0</v>
      </c>
      <c r="P466" t="n">
        <v>0</v>
      </c>
      <c r="Q466" t="n">
        <v>0</v>
      </c>
      <c r="R466" s="2" t="inlineStr"/>
    </row>
    <row r="467" ht="15" customHeight="1">
      <c r="A467" t="inlineStr">
        <is>
          <t>A 18778-2024</t>
        </is>
      </c>
      <c r="B467" s="1" t="n">
        <v>45426</v>
      </c>
      <c r="C467" s="1" t="n">
        <v>46106</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59556-2024</t>
        </is>
      </c>
      <c r="B468" s="1" t="n">
        <v>45638.63600694444</v>
      </c>
      <c r="C468" s="1" t="n">
        <v>46106</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16529-2022</t>
        </is>
      </c>
      <c r="B469" s="1" t="n">
        <v>44671</v>
      </c>
      <c r="C469" s="1" t="n">
        <v>46106</v>
      </c>
      <c r="D469" t="inlineStr">
        <is>
          <t>JÄMTLANDS LÄN</t>
        </is>
      </c>
      <c r="E469" t="inlineStr">
        <is>
          <t>RAGUNDA</t>
        </is>
      </c>
      <c r="G469" t="n">
        <v>1.5</v>
      </c>
      <c r="H469" t="n">
        <v>0</v>
      </c>
      <c r="I469" t="n">
        <v>0</v>
      </c>
      <c r="J469" t="n">
        <v>0</v>
      </c>
      <c r="K469" t="n">
        <v>0</v>
      </c>
      <c r="L469" t="n">
        <v>0</v>
      </c>
      <c r="M469" t="n">
        <v>0</v>
      </c>
      <c r="N469" t="n">
        <v>0</v>
      </c>
      <c r="O469" t="n">
        <v>0</v>
      </c>
      <c r="P469" t="n">
        <v>0</v>
      </c>
      <c r="Q469" t="n">
        <v>0</v>
      </c>
      <c r="R469" s="2" t="inlineStr"/>
    </row>
    <row r="470" ht="15" customHeight="1">
      <c r="A470" t="inlineStr">
        <is>
          <t>A 8678-2023</t>
        </is>
      </c>
      <c r="B470" s="1" t="n">
        <v>44977.98660879629</v>
      </c>
      <c r="C470" s="1" t="n">
        <v>46106</v>
      </c>
      <c r="D470" t="inlineStr">
        <is>
          <t>JÄMTLANDS LÄN</t>
        </is>
      </c>
      <c r="E470" t="inlineStr">
        <is>
          <t>RAGUNDA</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61934-2022</t>
        </is>
      </c>
      <c r="B471" s="1" t="n">
        <v>44917</v>
      </c>
      <c r="C471" s="1" t="n">
        <v>46106</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16364-2023</t>
        </is>
      </c>
      <c r="B472" s="1" t="n">
        <v>45028</v>
      </c>
      <c r="C472" s="1" t="n">
        <v>46106</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28742-2023</t>
        </is>
      </c>
      <c r="B473" s="1" t="n">
        <v>45103</v>
      </c>
      <c r="C473" s="1" t="n">
        <v>46106</v>
      </c>
      <c r="D473" t="inlineStr">
        <is>
          <t>JÄMTLANDS LÄN</t>
        </is>
      </c>
      <c r="E473" t="inlineStr">
        <is>
          <t>RAGUNDA</t>
        </is>
      </c>
      <c r="G473" t="n">
        <v>1.8</v>
      </c>
      <c r="H473" t="n">
        <v>0</v>
      </c>
      <c r="I473" t="n">
        <v>0</v>
      </c>
      <c r="J473" t="n">
        <v>0</v>
      </c>
      <c r="K473" t="n">
        <v>0</v>
      </c>
      <c r="L473" t="n">
        <v>0</v>
      </c>
      <c r="M473" t="n">
        <v>0</v>
      </c>
      <c r="N473" t="n">
        <v>0</v>
      </c>
      <c r="O473" t="n">
        <v>0</v>
      </c>
      <c r="P473" t="n">
        <v>0</v>
      </c>
      <c r="Q473" t="n">
        <v>0</v>
      </c>
      <c r="R473" s="2" t="inlineStr"/>
    </row>
    <row r="474" ht="15" customHeight="1">
      <c r="A474" t="inlineStr">
        <is>
          <t>A 59136-2023</t>
        </is>
      </c>
      <c r="B474" s="1" t="n">
        <v>45251</v>
      </c>
      <c r="C474" s="1" t="n">
        <v>46106</v>
      </c>
      <c r="D474" t="inlineStr">
        <is>
          <t>JÄMTLANDS LÄN</t>
        </is>
      </c>
      <c r="E474" t="inlineStr">
        <is>
          <t>RAGUNDA</t>
        </is>
      </c>
      <c r="G474" t="n">
        <v>1.7</v>
      </c>
      <c r="H474" t="n">
        <v>0</v>
      </c>
      <c r="I474" t="n">
        <v>0</v>
      </c>
      <c r="J474" t="n">
        <v>0</v>
      </c>
      <c r="K474" t="n">
        <v>0</v>
      </c>
      <c r="L474" t="n">
        <v>0</v>
      </c>
      <c r="M474" t="n">
        <v>0</v>
      </c>
      <c r="N474" t="n">
        <v>0</v>
      </c>
      <c r="O474" t="n">
        <v>0</v>
      </c>
      <c r="P474" t="n">
        <v>0</v>
      </c>
      <c r="Q474" t="n">
        <v>0</v>
      </c>
      <c r="R474" s="2" t="inlineStr"/>
    </row>
    <row r="475" ht="15" customHeight="1">
      <c r="A475" t="inlineStr">
        <is>
          <t>A 17323-2025</t>
        </is>
      </c>
      <c r="B475" s="1" t="n">
        <v>45756.63601851852</v>
      </c>
      <c r="C475" s="1" t="n">
        <v>46106</v>
      </c>
      <c r="D475" t="inlineStr">
        <is>
          <t>JÄMTLANDS LÄN</t>
        </is>
      </c>
      <c r="E475" t="inlineStr">
        <is>
          <t>RAGUNDA</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49659-2023</t>
        </is>
      </c>
      <c r="B476" s="1" t="n">
        <v>45211.95134259259</v>
      </c>
      <c r="C476" s="1" t="n">
        <v>46106</v>
      </c>
      <c r="D476" t="inlineStr">
        <is>
          <t>JÄMTLANDS LÄN</t>
        </is>
      </c>
      <c r="E476" t="inlineStr">
        <is>
          <t>RAGUNDA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8795-2022</t>
        </is>
      </c>
      <c r="B477" s="1" t="n">
        <v>44614</v>
      </c>
      <c r="C477" s="1" t="n">
        <v>46106</v>
      </c>
      <c r="D477" t="inlineStr">
        <is>
          <t>JÄMTLANDS LÄN</t>
        </is>
      </c>
      <c r="E477" t="inlineStr">
        <is>
          <t>RAGUNDA</t>
        </is>
      </c>
      <c r="G477" t="n">
        <v>3.9</v>
      </c>
      <c r="H477" t="n">
        <v>0</v>
      </c>
      <c r="I477" t="n">
        <v>0</v>
      </c>
      <c r="J477" t="n">
        <v>0</v>
      </c>
      <c r="K477" t="n">
        <v>0</v>
      </c>
      <c r="L477" t="n">
        <v>0</v>
      </c>
      <c r="M477" t="n">
        <v>0</v>
      </c>
      <c r="N477" t="n">
        <v>0</v>
      </c>
      <c r="O477" t="n">
        <v>0</v>
      </c>
      <c r="P477" t="n">
        <v>0</v>
      </c>
      <c r="Q477" t="n">
        <v>0</v>
      </c>
      <c r="R477" s="2" t="inlineStr"/>
    </row>
    <row r="478" ht="15" customHeight="1">
      <c r="A478" t="inlineStr">
        <is>
          <t>A 50521-2024</t>
        </is>
      </c>
      <c r="B478" s="1" t="n">
        <v>45601.55331018518</v>
      </c>
      <c r="C478" s="1" t="n">
        <v>46106</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4916-2025</t>
        </is>
      </c>
      <c r="B479" s="1" t="n">
        <v>45688.68196759259</v>
      </c>
      <c r="C479" s="1" t="n">
        <v>46106</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33621-2023</t>
        </is>
      </c>
      <c r="B480" s="1" t="n">
        <v>45119</v>
      </c>
      <c r="C480" s="1" t="n">
        <v>46106</v>
      </c>
      <c r="D480" t="inlineStr">
        <is>
          <t>JÄMTLANDS LÄN</t>
        </is>
      </c>
      <c r="E480" t="inlineStr">
        <is>
          <t>RAGUNDA</t>
        </is>
      </c>
      <c r="G480" t="n">
        <v>0.5</v>
      </c>
      <c r="H480" t="n">
        <v>0</v>
      </c>
      <c r="I480" t="n">
        <v>0</v>
      </c>
      <c r="J480" t="n">
        <v>0</v>
      </c>
      <c r="K480" t="n">
        <v>0</v>
      </c>
      <c r="L480" t="n">
        <v>0</v>
      </c>
      <c r="M480" t="n">
        <v>0</v>
      </c>
      <c r="N480" t="n">
        <v>0</v>
      </c>
      <c r="O480" t="n">
        <v>0</v>
      </c>
      <c r="P480" t="n">
        <v>0</v>
      </c>
      <c r="Q480" t="n">
        <v>0</v>
      </c>
      <c r="R480" s="2" t="inlineStr"/>
    </row>
    <row r="481" ht="15" customHeight="1">
      <c r="A481" t="inlineStr">
        <is>
          <t>A 6694-2024</t>
        </is>
      </c>
      <c r="B481" s="1" t="n">
        <v>45341.95381944445</v>
      </c>
      <c r="C481" s="1" t="n">
        <v>46106</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59557-2023</t>
        </is>
      </c>
      <c r="B482" s="1" t="n">
        <v>45253</v>
      </c>
      <c r="C482" s="1" t="n">
        <v>46106</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1537-2024</t>
        </is>
      </c>
      <c r="B483" s="1" t="n">
        <v>45306</v>
      </c>
      <c r="C483" s="1" t="n">
        <v>46106</v>
      </c>
      <c r="D483" t="inlineStr">
        <is>
          <t>JÄMTLANDS LÄN</t>
        </is>
      </c>
      <c r="E483" t="inlineStr">
        <is>
          <t>RAGUNDA</t>
        </is>
      </c>
      <c r="G483" t="n">
        <v>0.2</v>
      </c>
      <c r="H483" t="n">
        <v>0</v>
      </c>
      <c r="I483" t="n">
        <v>0</v>
      </c>
      <c r="J483" t="n">
        <v>0</v>
      </c>
      <c r="K483" t="n">
        <v>0</v>
      </c>
      <c r="L483" t="n">
        <v>0</v>
      </c>
      <c r="M483" t="n">
        <v>0</v>
      </c>
      <c r="N483" t="n">
        <v>0</v>
      </c>
      <c r="O483" t="n">
        <v>0</v>
      </c>
      <c r="P483" t="n">
        <v>0</v>
      </c>
      <c r="Q483" t="n">
        <v>0</v>
      </c>
      <c r="R483" s="2" t="inlineStr"/>
    </row>
    <row r="484" ht="15" customHeight="1">
      <c r="A484" t="inlineStr">
        <is>
          <t>A 57112-2024</t>
        </is>
      </c>
      <c r="B484" s="1" t="n">
        <v>45629.36486111111</v>
      </c>
      <c r="C484" s="1" t="n">
        <v>46106</v>
      </c>
      <c r="D484" t="inlineStr">
        <is>
          <t>JÄMTLANDS LÄN</t>
        </is>
      </c>
      <c r="E484" t="inlineStr">
        <is>
          <t>RAGUNDA</t>
        </is>
      </c>
      <c r="G484" t="n">
        <v>0.7</v>
      </c>
      <c r="H484" t="n">
        <v>0</v>
      </c>
      <c r="I484" t="n">
        <v>0</v>
      </c>
      <c r="J484" t="n">
        <v>0</v>
      </c>
      <c r="K484" t="n">
        <v>0</v>
      </c>
      <c r="L484" t="n">
        <v>0</v>
      </c>
      <c r="M484" t="n">
        <v>0</v>
      </c>
      <c r="N484" t="n">
        <v>0</v>
      </c>
      <c r="O484" t="n">
        <v>0</v>
      </c>
      <c r="P484" t="n">
        <v>0</v>
      </c>
      <c r="Q484" t="n">
        <v>0</v>
      </c>
      <c r="R484" s="2" t="inlineStr"/>
    </row>
    <row r="485" ht="15" customHeight="1">
      <c r="A485" t="inlineStr">
        <is>
          <t>A 60935-2024</t>
        </is>
      </c>
      <c r="B485" s="1" t="n">
        <v>45645.36740740741</v>
      </c>
      <c r="C485" s="1" t="n">
        <v>46106</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53136-2024</t>
        </is>
      </c>
      <c r="B486" s="1" t="n">
        <v>45611.5953125</v>
      </c>
      <c r="C486" s="1" t="n">
        <v>46106</v>
      </c>
      <c r="D486" t="inlineStr">
        <is>
          <t>JÄMTLANDS LÄN</t>
        </is>
      </c>
      <c r="E486" t="inlineStr">
        <is>
          <t>RAGUNDA</t>
        </is>
      </c>
      <c r="G486" t="n">
        <v>3.8</v>
      </c>
      <c r="H486" t="n">
        <v>0</v>
      </c>
      <c r="I486" t="n">
        <v>0</v>
      </c>
      <c r="J486" t="n">
        <v>0</v>
      </c>
      <c r="K486" t="n">
        <v>0</v>
      </c>
      <c r="L486" t="n">
        <v>0</v>
      </c>
      <c r="M486" t="n">
        <v>0</v>
      </c>
      <c r="N486" t="n">
        <v>0</v>
      </c>
      <c r="O486" t="n">
        <v>0</v>
      </c>
      <c r="P486" t="n">
        <v>0</v>
      </c>
      <c r="Q486" t="n">
        <v>0</v>
      </c>
      <c r="R486" s="2" t="inlineStr"/>
    </row>
    <row r="487" ht="15" customHeight="1">
      <c r="A487" t="inlineStr">
        <is>
          <t>A 6257-2025</t>
        </is>
      </c>
      <c r="B487" s="1" t="n">
        <v>45698.59409722222</v>
      </c>
      <c r="C487" s="1" t="n">
        <v>46106</v>
      </c>
      <c r="D487" t="inlineStr">
        <is>
          <t>JÄMTLANDS LÄN</t>
        </is>
      </c>
      <c r="E487" t="inlineStr">
        <is>
          <t>RAGUNDA</t>
        </is>
      </c>
      <c r="F487" t="inlineStr">
        <is>
          <t>SCA</t>
        </is>
      </c>
      <c r="G487" t="n">
        <v>7</v>
      </c>
      <c r="H487" t="n">
        <v>0</v>
      </c>
      <c r="I487" t="n">
        <v>0</v>
      </c>
      <c r="J487" t="n">
        <v>0</v>
      </c>
      <c r="K487" t="n">
        <v>0</v>
      </c>
      <c r="L487" t="n">
        <v>0</v>
      </c>
      <c r="M487" t="n">
        <v>0</v>
      </c>
      <c r="N487" t="n">
        <v>0</v>
      </c>
      <c r="O487" t="n">
        <v>0</v>
      </c>
      <c r="P487" t="n">
        <v>0</v>
      </c>
      <c r="Q487" t="n">
        <v>0</v>
      </c>
      <c r="R487" s="2" t="inlineStr"/>
    </row>
    <row r="488" ht="15" customHeight="1">
      <c r="A488" t="inlineStr">
        <is>
          <t>A 14074-2023</t>
        </is>
      </c>
      <c r="B488" s="1" t="n">
        <v>45009.089375</v>
      </c>
      <c r="C488" s="1" t="n">
        <v>46106</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37265-2024</t>
        </is>
      </c>
      <c r="B489" s="1" t="n">
        <v>45540.38564814815</v>
      </c>
      <c r="C489" s="1" t="n">
        <v>46106</v>
      </c>
      <c r="D489" t="inlineStr">
        <is>
          <t>JÄMTLANDS LÄN</t>
        </is>
      </c>
      <c r="E489" t="inlineStr">
        <is>
          <t>RAGUNDA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58564-2024</t>
        </is>
      </c>
      <c r="B490" s="1" t="n">
        <v>45635.47243055556</v>
      </c>
      <c r="C490" s="1" t="n">
        <v>46106</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18777-2024</t>
        </is>
      </c>
      <c r="B491" s="1" t="n">
        <v>45426</v>
      </c>
      <c r="C491" s="1" t="n">
        <v>46106</v>
      </c>
      <c r="D491" t="inlineStr">
        <is>
          <t>JÄMTLANDS LÄN</t>
        </is>
      </c>
      <c r="E491" t="inlineStr">
        <is>
          <t>RAGUNDA</t>
        </is>
      </c>
      <c r="G491" t="n">
        <v>1.9</v>
      </c>
      <c r="H491" t="n">
        <v>0</v>
      </c>
      <c r="I491" t="n">
        <v>0</v>
      </c>
      <c r="J491" t="n">
        <v>0</v>
      </c>
      <c r="K491" t="n">
        <v>0</v>
      </c>
      <c r="L491" t="n">
        <v>0</v>
      </c>
      <c r="M491" t="n">
        <v>0</v>
      </c>
      <c r="N491" t="n">
        <v>0</v>
      </c>
      <c r="O491" t="n">
        <v>0</v>
      </c>
      <c r="P491" t="n">
        <v>0</v>
      </c>
      <c r="Q491" t="n">
        <v>0</v>
      </c>
      <c r="R491" s="2" t="inlineStr"/>
    </row>
    <row r="492" ht="15" customHeight="1">
      <c r="A492" t="inlineStr">
        <is>
          <t>A 8243-2024</t>
        </is>
      </c>
      <c r="B492" s="1" t="n">
        <v>45351.98532407408</v>
      </c>
      <c r="C492" s="1" t="n">
        <v>46106</v>
      </c>
      <c r="D492" t="inlineStr">
        <is>
          <t>JÄMTLANDS LÄN</t>
        </is>
      </c>
      <c r="E492" t="inlineStr">
        <is>
          <t>RAGUNDA</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1325-2025</t>
        </is>
      </c>
      <c r="B493" s="1" t="n">
        <v>45667.57342592593</v>
      </c>
      <c r="C493" s="1" t="n">
        <v>46106</v>
      </c>
      <c r="D493" t="inlineStr">
        <is>
          <t>JÄMTLANDS LÄN</t>
        </is>
      </c>
      <c r="E493" t="inlineStr">
        <is>
          <t>RAGUNDA</t>
        </is>
      </c>
      <c r="F493" t="inlineStr">
        <is>
          <t>SCA</t>
        </is>
      </c>
      <c r="G493" t="n">
        <v>20.2</v>
      </c>
      <c r="H493" t="n">
        <v>0</v>
      </c>
      <c r="I493" t="n">
        <v>0</v>
      </c>
      <c r="J493" t="n">
        <v>0</v>
      </c>
      <c r="K493" t="n">
        <v>0</v>
      </c>
      <c r="L493" t="n">
        <v>0</v>
      </c>
      <c r="M493" t="n">
        <v>0</v>
      </c>
      <c r="N493" t="n">
        <v>0</v>
      </c>
      <c r="O493" t="n">
        <v>0</v>
      </c>
      <c r="P493" t="n">
        <v>0</v>
      </c>
      <c r="Q493" t="n">
        <v>0</v>
      </c>
      <c r="R493" s="2" t="inlineStr"/>
    </row>
    <row r="494" ht="15" customHeight="1">
      <c r="A494" t="inlineStr">
        <is>
          <t>A 18159-2023</t>
        </is>
      </c>
      <c r="B494" s="1" t="n">
        <v>45040.94277777777</v>
      </c>
      <c r="C494" s="1" t="n">
        <v>46106</v>
      </c>
      <c r="D494" t="inlineStr">
        <is>
          <t>JÄMTLANDS LÄN</t>
        </is>
      </c>
      <c r="E494" t="inlineStr">
        <is>
          <t>RAGUNDA</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27510-2025</t>
        </is>
      </c>
      <c r="B495" s="1" t="n">
        <v>45813.42790509259</v>
      </c>
      <c r="C495" s="1" t="n">
        <v>46106</v>
      </c>
      <c r="D495" t="inlineStr">
        <is>
          <t>JÄMTLANDS LÄN</t>
        </is>
      </c>
      <c r="E495" t="inlineStr">
        <is>
          <t>RAGUNDA</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19404-2025</t>
        </is>
      </c>
      <c r="B496" s="1" t="n">
        <v>45769.67802083334</v>
      </c>
      <c r="C496" s="1" t="n">
        <v>46106</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c r="U496">
        <f>HYPERLINK("https://klasma.github.io/Logging_2303/knärot/A 19404-2025 karta knärot.png", "A 19404-2025")</f>
        <v/>
      </c>
      <c r="V496">
        <f>HYPERLINK("https://klasma.github.io/Logging_2303/klagomål/A 19404-2025 FSC-klagomål.docx", "A 19404-2025")</f>
        <v/>
      </c>
      <c r="W496">
        <f>HYPERLINK("https://klasma.github.io/Logging_2303/klagomålsmail/A 19404-2025 FSC-klagomål mail.docx", "A 19404-2025")</f>
        <v/>
      </c>
      <c r="X496">
        <f>HYPERLINK("https://klasma.github.io/Logging_2303/tillsyn/A 19404-2025 tillsynsbegäran.docx", "A 19404-2025")</f>
        <v/>
      </c>
      <c r="Y496">
        <f>HYPERLINK("https://klasma.github.io/Logging_2303/tillsynsmail/A 19404-2025 tillsynsbegäran mail.docx", "A 19404-2025")</f>
        <v/>
      </c>
    </row>
    <row r="497" ht="15" customHeight="1">
      <c r="A497" t="inlineStr">
        <is>
          <t>A 19486-2024</t>
        </is>
      </c>
      <c r="B497" s="1" t="n">
        <v>45429</v>
      </c>
      <c r="C497" s="1" t="n">
        <v>46106</v>
      </c>
      <c r="D497" t="inlineStr">
        <is>
          <t>JÄMTLANDS LÄN</t>
        </is>
      </c>
      <c r="E497" t="inlineStr">
        <is>
          <t>RAGUNDA</t>
        </is>
      </c>
      <c r="G497" t="n">
        <v>2.3</v>
      </c>
      <c r="H497" t="n">
        <v>0</v>
      </c>
      <c r="I497" t="n">
        <v>0</v>
      </c>
      <c r="J497" t="n">
        <v>0</v>
      </c>
      <c r="K497" t="n">
        <v>0</v>
      </c>
      <c r="L497" t="n">
        <v>0</v>
      </c>
      <c r="M497" t="n">
        <v>0</v>
      </c>
      <c r="N497" t="n">
        <v>0</v>
      </c>
      <c r="O497" t="n">
        <v>0</v>
      </c>
      <c r="P497" t="n">
        <v>0</v>
      </c>
      <c r="Q497" t="n">
        <v>0</v>
      </c>
      <c r="R497" s="2" t="inlineStr"/>
    </row>
    <row r="498" ht="15" customHeight="1">
      <c r="A498" t="inlineStr">
        <is>
          <t>A 1326-2025</t>
        </is>
      </c>
      <c r="B498" s="1" t="n">
        <v>45667.57347222222</v>
      </c>
      <c r="C498" s="1" t="n">
        <v>46106</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30642-2024</t>
        </is>
      </c>
      <c r="B499" s="1" t="n">
        <v>45495.57677083334</v>
      </c>
      <c r="C499" s="1" t="n">
        <v>46106</v>
      </c>
      <c r="D499" t="inlineStr">
        <is>
          <t>JÄMTLANDS LÄN</t>
        </is>
      </c>
      <c r="E499" t="inlineStr">
        <is>
          <t>RAGUNDA</t>
        </is>
      </c>
      <c r="G499" t="n">
        <v>2.7</v>
      </c>
      <c r="H499" t="n">
        <v>0</v>
      </c>
      <c r="I499" t="n">
        <v>0</v>
      </c>
      <c r="J499" t="n">
        <v>0</v>
      </c>
      <c r="K499" t="n">
        <v>0</v>
      </c>
      <c r="L499" t="n">
        <v>0</v>
      </c>
      <c r="M499" t="n">
        <v>0</v>
      </c>
      <c r="N499" t="n">
        <v>0</v>
      </c>
      <c r="O499" t="n">
        <v>0</v>
      </c>
      <c r="P499" t="n">
        <v>0</v>
      </c>
      <c r="Q499" t="n">
        <v>0</v>
      </c>
      <c r="R499" s="2" t="inlineStr"/>
    </row>
    <row r="500" ht="15" customHeight="1">
      <c r="A500" t="inlineStr">
        <is>
          <t>A 993-2025</t>
        </is>
      </c>
      <c r="B500" s="1" t="n">
        <v>45666.44943287037</v>
      </c>
      <c r="C500" s="1" t="n">
        <v>46106</v>
      </c>
      <c r="D500" t="inlineStr">
        <is>
          <t>JÄMTLANDS LÄN</t>
        </is>
      </c>
      <c r="E500" t="inlineStr">
        <is>
          <t>RAGUNDA</t>
        </is>
      </c>
      <c r="G500" t="n">
        <v>11.3</v>
      </c>
      <c r="H500" t="n">
        <v>0</v>
      </c>
      <c r="I500" t="n">
        <v>0</v>
      </c>
      <c r="J500" t="n">
        <v>0</v>
      </c>
      <c r="K500" t="n">
        <v>0</v>
      </c>
      <c r="L500" t="n">
        <v>0</v>
      </c>
      <c r="M500" t="n">
        <v>0</v>
      </c>
      <c r="N500" t="n">
        <v>0</v>
      </c>
      <c r="O500" t="n">
        <v>0</v>
      </c>
      <c r="P500" t="n">
        <v>0</v>
      </c>
      <c r="Q500" t="n">
        <v>0</v>
      </c>
      <c r="R500" s="2" t="inlineStr"/>
    </row>
    <row r="501" ht="15" customHeight="1">
      <c r="A501" t="inlineStr">
        <is>
          <t>A 58193-2022</t>
        </is>
      </c>
      <c r="B501" s="1" t="n">
        <v>44900.95700231481</v>
      </c>
      <c r="C501" s="1" t="n">
        <v>46106</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13719-2026</t>
        </is>
      </c>
      <c r="B502" s="1" t="n">
        <v>46097.60271990741</v>
      </c>
      <c r="C502" s="1" t="n">
        <v>46106</v>
      </c>
      <c r="D502" t="inlineStr">
        <is>
          <t>JÄMTLANDS LÄN</t>
        </is>
      </c>
      <c r="E502" t="inlineStr">
        <is>
          <t>RAGUNDA</t>
        </is>
      </c>
      <c r="G502" t="n">
        <v>4.1</v>
      </c>
      <c r="H502" t="n">
        <v>0</v>
      </c>
      <c r="I502" t="n">
        <v>0</v>
      </c>
      <c r="J502" t="n">
        <v>0</v>
      </c>
      <c r="K502" t="n">
        <v>0</v>
      </c>
      <c r="L502" t="n">
        <v>0</v>
      </c>
      <c r="M502" t="n">
        <v>0</v>
      </c>
      <c r="N502" t="n">
        <v>0</v>
      </c>
      <c r="O502" t="n">
        <v>0</v>
      </c>
      <c r="P502" t="n">
        <v>0</v>
      </c>
      <c r="Q502" t="n">
        <v>0</v>
      </c>
      <c r="R502" s="2" t="inlineStr"/>
    </row>
    <row r="503" ht="15" customHeight="1">
      <c r="A503" t="inlineStr">
        <is>
          <t>A 28081-2022</t>
        </is>
      </c>
      <c r="B503" s="1" t="n">
        <v>44746</v>
      </c>
      <c r="C503" s="1" t="n">
        <v>46106</v>
      </c>
      <c r="D503" t="inlineStr">
        <is>
          <t>JÄMTLANDS LÄN</t>
        </is>
      </c>
      <c r="E503" t="inlineStr">
        <is>
          <t>RAGUNDA</t>
        </is>
      </c>
      <c r="G503" t="n">
        <v>7.2</v>
      </c>
      <c r="H503" t="n">
        <v>0</v>
      </c>
      <c r="I503" t="n">
        <v>0</v>
      </c>
      <c r="J503" t="n">
        <v>0</v>
      </c>
      <c r="K503" t="n">
        <v>0</v>
      </c>
      <c r="L503" t="n">
        <v>0</v>
      </c>
      <c r="M503" t="n">
        <v>0</v>
      </c>
      <c r="N503" t="n">
        <v>0</v>
      </c>
      <c r="O503" t="n">
        <v>0</v>
      </c>
      <c r="P503" t="n">
        <v>0</v>
      </c>
      <c r="Q503" t="n">
        <v>0</v>
      </c>
      <c r="R503" s="2" t="inlineStr"/>
    </row>
    <row r="504" ht="15" customHeight="1">
      <c r="A504" t="inlineStr">
        <is>
          <t>A 18989-2025</t>
        </is>
      </c>
      <c r="B504" s="1" t="n">
        <v>45764</v>
      </c>
      <c r="C504" s="1" t="n">
        <v>46106</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13725-2026</t>
        </is>
      </c>
      <c r="B505" s="1" t="n">
        <v>46097.61016203704</v>
      </c>
      <c r="C505" s="1" t="n">
        <v>46106</v>
      </c>
      <c r="D505" t="inlineStr">
        <is>
          <t>JÄMTLANDS LÄN</t>
        </is>
      </c>
      <c r="E505" t="inlineStr">
        <is>
          <t>RAGUNDA</t>
        </is>
      </c>
      <c r="G505" t="n">
        <v>3.7</v>
      </c>
      <c r="H505" t="n">
        <v>0</v>
      </c>
      <c r="I505" t="n">
        <v>0</v>
      </c>
      <c r="J505" t="n">
        <v>0</v>
      </c>
      <c r="K505" t="n">
        <v>0</v>
      </c>
      <c r="L505" t="n">
        <v>0</v>
      </c>
      <c r="M505" t="n">
        <v>0</v>
      </c>
      <c r="N505" t="n">
        <v>0</v>
      </c>
      <c r="O505" t="n">
        <v>0</v>
      </c>
      <c r="P505" t="n">
        <v>0</v>
      </c>
      <c r="Q505" t="n">
        <v>0</v>
      </c>
      <c r="R505" s="2" t="inlineStr"/>
    </row>
    <row r="506" ht="15" customHeight="1">
      <c r="A506" t="inlineStr">
        <is>
          <t>A 51049-2024</t>
        </is>
      </c>
      <c r="B506" s="1" t="n">
        <v>45603.44644675926</v>
      </c>
      <c r="C506" s="1" t="n">
        <v>46106</v>
      </c>
      <c r="D506" t="inlineStr">
        <is>
          <t>JÄMTLANDS LÄN</t>
        </is>
      </c>
      <c r="E506" t="inlineStr">
        <is>
          <t>RAGUNDA</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44759-2024</t>
        </is>
      </c>
      <c r="B507" s="1" t="n">
        <v>45574.61634259259</v>
      </c>
      <c r="C507" s="1" t="n">
        <v>46106</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37324-2022</t>
        </is>
      </c>
      <c r="B508" s="1" t="n">
        <v>44806</v>
      </c>
      <c r="C508" s="1" t="n">
        <v>46106</v>
      </c>
      <c r="D508" t="inlineStr">
        <is>
          <t>JÄMTLANDS LÄN</t>
        </is>
      </c>
      <c r="E508" t="inlineStr">
        <is>
          <t>RAGUNDA</t>
        </is>
      </c>
      <c r="G508" t="n">
        <v>2.3</v>
      </c>
      <c r="H508" t="n">
        <v>0</v>
      </c>
      <c r="I508" t="n">
        <v>0</v>
      </c>
      <c r="J508" t="n">
        <v>0</v>
      </c>
      <c r="K508" t="n">
        <v>0</v>
      </c>
      <c r="L508" t="n">
        <v>0</v>
      </c>
      <c r="M508" t="n">
        <v>0</v>
      </c>
      <c r="N508" t="n">
        <v>0</v>
      </c>
      <c r="O508" t="n">
        <v>0</v>
      </c>
      <c r="P508" t="n">
        <v>0</v>
      </c>
      <c r="Q508" t="n">
        <v>0</v>
      </c>
      <c r="R508" s="2" t="inlineStr"/>
    </row>
    <row r="509" ht="15" customHeight="1">
      <c r="A509" t="inlineStr">
        <is>
          <t>A 41343-2024</t>
        </is>
      </c>
      <c r="B509" s="1" t="n">
        <v>45559.67745370371</v>
      </c>
      <c r="C509" s="1" t="n">
        <v>46106</v>
      </c>
      <c r="D509" t="inlineStr">
        <is>
          <t>JÄMTLANDS LÄN</t>
        </is>
      </c>
      <c r="E509" t="inlineStr">
        <is>
          <t>RAGUNDA</t>
        </is>
      </c>
      <c r="F509" t="inlineStr">
        <is>
          <t>SCA</t>
        </is>
      </c>
      <c r="G509" t="n">
        <v>25.1</v>
      </c>
      <c r="H509" t="n">
        <v>0</v>
      </c>
      <c r="I509" t="n">
        <v>0</v>
      </c>
      <c r="J509" t="n">
        <v>0</v>
      </c>
      <c r="K509" t="n">
        <v>0</v>
      </c>
      <c r="L509" t="n">
        <v>0</v>
      </c>
      <c r="M509" t="n">
        <v>0</v>
      </c>
      <c r="N509" t="n">
        <v>0</v>
      </c>
      <c r="O509" t="n">
        <v>0</v>
      </c>
      <c r="P509" t="n">
        <v>0</v>
      </c>
      <c r="Q509" t="n">
        <v>0</v>
      </c>
      <c r="R509" s="2" t="inlineStr"/>
    </row>
    <row r="510" ht="15" customHeight="1">
      <c r="A510" t="inlineStr">
        <is>
          <t>A 39192-2025</t>
        </is>
      </c>
      <c r="B510" s="1" t="n">
        <v>45888.6775</v>
      </c>
      <c r="C510" s="1" t="n">
        <v>46106</v>
      </c>
      <c r="D510" t="inlineStr">
        <is>
          <t>JÄMTLANDS LÄN</t>
        </is>
      </c>
      <c r="E510" t="inlineStr">
        <is>
          <t>RAGUNDA</t>
        </is>
      </c>
      <c r="F510" t="inlineStr">
        <is>
          <t>Naturvårdsverket</t>
        </is>
      </c>
      <c r="G510" t="n">
        <v>2.3</v>
      </c>
      <c r="H510" t="n">
        <v>0</v>
      </c>
      <c r="I510" t="n">
        <v>0</v>
      </c>
      <c r="J510" t="n">
        <v>0</v>
      </c>
      <c r="K510" t="n">
        <v>0</v>
      </c>
      <c r="L510" t="n">
        <v>0</v>
      </c>
      <c r="M510" t="n">
        <v>0</v>
      </c>
      <c r="N510" t="n">
        <v>0</v>
      </c>
      <c r="O510" t="n">
        <v>0</v>
      </c>
      <c r="P510" t="n">
        <v>0</v>
      </c>
      <c r="Q510" t="n">
        <v>0</v>
      </c>
      <c r="R510" s="2" t="inlineStr"/>
    </row>
    <row r="511" ht="15" customHeight="1">
      <c r="A511" t="inlineStr">
        <is>
          <t>A 45953-2023</t>
        </is>
      </c>
      <c r="B511" s="1" t="n">
        <v>45195.94672453704</v>
      </c>
      <c r="C511" s="1" t="n">
        <v>46106</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16982-2024</t>
        </is>
      </c>
      <c r="B512" s="1" t="n">
        <v>45412.02506944445</v>
      </c>
      <c r="C512" s="1" t="n">
        <v>46106</v>
      </c>
      <c r="D512" t="inlineStr">
        <is>
          <t>JÄMTLANDS LÄN</t>
        </is>
      </c>
      <c r="E512" t="inlineStr">
        <is>
          <t>RAGUNDA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49650-2024</t>
        </is>
      </c>
      <c r="B513" s="1" t="n">
        <v>45596.61569444444</v>
      </c>
      <c r="C513" s="1" t="n">
        <v>46106</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49651-2024</t>
        </is>
      </c>
      <c r="B514" s="1" t="n">
        <v>45596.61582175926</v>
      </c>
      <c r="C514" s="1" t="n">
        <v>46106</v>
      </c>
      <c r="D514" t="inlineStr">
        <is>
          <t>JÄMTLANDS LÄN</t>
        </is>
      </c>
      <c r="E514" t="inlineStr">
        <is>
          <t>RAGUNDA</t>
        </is>
      </c>
      <c r="F514" t="inlineStr">
        <is>
          <t>SCA</t>
        </is>
      </c>
      <c r="G514" t="n">
        <v>5.3</v>
      </c>
      <c r="H514" t="n">
        <v>0</v>
      </c>
      <c r="I514" t="n">
        <v>0</v>
      </c>
      <c r="J514" t="n">
        <v>0</v>
      </c>
      <c r="K514" t="n">
        <v>0</v>
      </c>
      <c r="L514" t="n">
        <v>0</v>
      </c>
      <c r="M514" t="n">
        <v>0</v>
      </c>
      <c r="N514" t="n">
        <v>0</v>
      </c>
      <c r="O514" t="n">
        <v>0</v>
      </c>
      <c r="P514" t="n">
        <v>0</v>
      </c>
      <c r="Q514" t="n">
        <v>0</v>
      </c>
      <c r="R514" s="2" t="inlineStr"/>
    </row>
    <row r="515" ht="15" customHeight="1">
      <c r="A515" t="inlineStr">
        <is>
          <t>A 39384-2025</t>
        </is>
      </c>
      <c r="B515" s="1" t="n">
        <v>45889.61517361111</v>
      </c>
      <c r="C515" s="1" t="n">
        <v>46106</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28216-2025</t>
        </is>
      </c>
      <c r="B516" s="1" t="n">
        <v>45818.46898148148</v>
      </c>
      <c r="C516" s="1" t="n">
        <v>46106</v>
      </c>
      <c r="D516" t="inlineStr">
        <is>
          <t>JÄMTLANDS LÄN</t>
        </is>
      </c>
      <c r="E516" t="inlineStr">
        <is>
          <t>RAGUNDA</t>
        </is>
      </c>
      <c r="G516" t="n">
        <v>6.6</v>
      </c>
      <c r="H516" t="n">
        <v>0</v>
      </c>
      <c r="I516" t="n">
        <v>0</v>
      </c>
      <c r="J516" t="n">
        <v>0</v>
      </c>
      <c r="K516" t="n">
        <v>0</v>
      </c>
      <c r="L516" t="n">
        <v>0</v>
      </c>
      <c r="M516" t="n">
        <v>0</v>
      </c>
      <c r="N516" t="n">
        <v>0</v>
      </c>
      <c r="O516" t="n">
        <v>0</v>
      </c>
      <c r="P516" t="n">
        <v>0</v>
      </c>
      <c r="Q516" t="n">
        <v>0</v>
      </c>
      <c r="R516" s="2" t="inlineStr"/>
    </row>
    <row r="517" ht="15" customHeight="1">
      <c r="A517" t="inlineStr">
        <is>
          <t>A 64264-2023</t>
        </is>
      </c>
      <c r="B517" s="1" t="n">
        <v>45279.94564814815</v>
      </c>
      <c r="C517" s="1" t="n">
        <v>46106</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14443-2026</t>
        </is>
      </c>
      <c r="B518" s="1" t="n">
        <v>46100.50819444445</v>
      </c>
      <c r="C518" s="1" t="n">
        <v>46106</v>
      </c>
      <c r="D518" t="inlineStr">
        <is>
          <t>JÄMTLANDS LÄN</t>
        </is>
      </c>
      <c r="E518" t="inlineStr">
        <is>
          <t>RAGUNDA</t>
        </is>
      </c>
      <c r="G518" t="n">
        <v>5.1</v>
      </c>
      <c r="H518" t="n">
        <v>0</v>
      </c>
      <c r="I518" t="n">
        <v>0</v>
      </c>
      <c r="J518" t="n">
        <v>0</v>
      </c>
      <c r="K518" t="n">
        <v>0</v>
      </c>
      <c r="L518" t="n">
        <v>0</v>
      </c>
      <c r="M518" t="n">
        <v>0</v>
      </c>
      <c r="N518" t="n">
        <v>0</v>
      </c>
      <c r="O518" t="n">
        <v>0</v>
      </c>
      <c r="P518" t="n">
        <v>0</v>
      </c>
      <c r="Q518" t="n">
        <v>0</v>
      </c>
      <c r="R518" s="2" t="inlineStr"/>
    </row>
    <row r="519" ht="15" customHeight="1">
      <c r="A519" t="inlineStr">
        <is>
          <t>A 28637-2025</t>
        </is>
      </c>
      <c r="B519" s="1" t="n">
        <v>45819.6359375</v>
      </c>
      <c r="C519" s="1" t="n">
        <v>46106</v>
      </c>
      <c r="D519" t="inlineStr">
        <is>
          <t>JÄMTLANDS LÄN</t>
        </is>
      </c>
      <c r="E519" t="inlineStr">
        <is>
          <t>RAGUNDA</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28973-2025</t>
        </is>
      </c>
      <c r="B520" s="1" t="n">
        <v>45821.34513888889</v>
      </c>
      <c r="C520" s="1" t="n">
        <v>46106</v>
      </c>
      <c r="D520" t="inlineStr">
        <is>
          <t>JÄMTLANDS LÄN</t>
        </is>
      </c>
      <c r="E520" t="inlineStr">
        <is>
          <t>RAGUNDA</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42893-2022</t>
        </is>
      </c>
      <c r="B521" s="1" t="n">
        <v>44832</v>
      </c>
      <c r="C521" s="1" t="n">
        <v>46106</v>
      </c>
      <c r="D521" t="inlineStr">
        <is>
          <t>JÄMTLANDS LÄN</t>
        </is>
      </c>
      <c r="E521" t="inlineStr">
        <is>
          <t>RAGUNDA</t>
        </is>
      </c>
      <c r="F521" t="inlineStr">
        <is>
          <t>SCA</t>
        </is>
      </c>
      <c r="G521" t="n">
        <v>28.4</v>
      </c>
      <c r="H521" t="n">
        <v>0</v>
      </c>
      <c r="I521" t="n">
        <v>0</v>
      </c>
      <c r="J521" t="n">
        <v>0</v>
      </c>
      <c r="K521" t="n">
        <v>0</v>
      </c>
      <c r="L521" t="n">
        <v>0</v>
      </c>
      <c r="M521" t="n">
        <v>0</v>
      </c>
      <c r="N521" t="n">
        <v>0</v>
      </c>
      <c r="O521" t="n">
        <v>0</v>
      </c>
      <c r="P521" t="n">
        <v>0</v>
      </c>
      <c r="Q521" t="n">
        <v>0</v>
      </c>
      <c r="R521" s="2" t="inlineStr"/>
    </row>
    <row r="522" ht="15" customHeight="1">
      <c r="A522" t="inlineStr">
        <is>
          <t>A 29731-2025</t>
        </is>
      </c>
      <c r="B522" s="1" t="n">
        <v>45825.58252314815</v>
      </c>
      <c r="C522" s="1" t="n">
        <v>46106</v>
      </c>
      <c r="D522" t="inlineStr">
        <is>
          <t>JÄMTLANDS LÄN</t>
        </is>
      </c>
      <c r="E522" t="inlineStr">
        <is>
          <t>RAGUNDA</t>
        </is>
      </c>
      <c r="G522" t="n">
        <v>2.3</v>
      </c>
      <c r="H522" t="n">
        <v>0</v>
      </c>
      <c r="I522" t="n">
        <v>0</v>
      </c>
      <c r="J522" t="n">
        <v>0</v>
      </c>
      <c r="K522" t="n">
        <v>0</v>
      </c>
      <c r="L522" t="n">
        <v>0</v>
      </c>
      <c r="M522" t="n">
        <v>0</v>
      </c>
      <c r="N522" t="n">
        <v>0</v>
      </c>
      <c r="O522" t="n">
        <v>0</v>
      </c>
      <c r="P522" t="n">
        <v>0</v>
      </c>
      <c r="Q522" t="n">
        <v>0</v>
      </c>
      <c r="R522" s="2" t="inlineStr"/>
    </row>
    <row r="523" ht="15" customHeight="1">
      <c r="A523" t="inlineStr">
        <is>
          <t>A 14668-2026</t>
        </is>
      </c>
      <c r="B523" s="1" t="n">
        <v>46101.4575462963</v>
      </c>
      <c r="C523" s="1" t="n">
        <v>46106</v>
      </c>
      <c r="D523" t="inlineStr">
        <is>
          <t>JÄMTLANDS LÄN</t>
        </is>
      </c>
      <c r="E523" t="inlineStr">
        <is>
          <t>RAGUNDA</t>
        </is>
      </c>
      <c r="G523" t="n">
        <v>12.8</v>
      </c>
      <c r="H523" t="n">
        <v>0</v>
      </c>
      <c r="I523" t="n">
        <v>0</v>
      </c>
      <c r="J523" t="n">
        <v>0</v>
      </c>
      <c r="K523" t="n">
        <v>0</v>
      </c>
      <c r="L523" t="n">
        <v>0</v>
      </c>
      <c r="M523" t="n">
        <v>0</v>
      </c>
      <c r="N523" t="n">
        <v>0</v>
      </c>
      <c r="O523" t="n">
        <v>0</v>
      </c>
      <c r="P523" t="n">
        <v>0</v>
      </c>
      <c r="Q523" t="n">
        <v>0</v>
      </c>
      <c r="R523" s="2" t="inlineStr"/>
    </row>
    <row r="524" ht="15" customHeight="1">
      <c r="A524" t="inlineStr">
        <is>
          <t>A 29940-2023</t>
        </is>
      </c>
      <c r="B524" s="1" t="n">
        <v>45107</v>
      </c>
      <c r="C524" s="1" t="n">
        <v>46106</v>
      </c>
      <c r="D524" t="inlineStr">
        <is>
          <t>JÄMTLANDS LÄN</t>
        </is>
      </c>
      <c r="E524" t="inlineStr">
        <is>
          <t>RAGUNDA</t>
        </is>
      </c>
      <c r="G524" t="n">
        <v>13.5</v>
      </c>
      <c r="H524" t="n">
        <v>0</v>
      </c>
      <c r="I524" t="n">
        <v>0</v>
      </c>
      <c r="J524" t="n">
        <v>0</v>
      </c>
      <c r="K524" t="n">
        <v>0</v>
      </c>
      <c r="L524" t="n">
        <v>0</v>
      </c>
      <c r="M524" t="n">
        <v>0</v>
      </c>
      <c r="N524" t="n">
        <v>0</v>
      </c>
      <c r="O524" t="n">
        <v>0</v>
      </c>
      <c r="P524" t="n">
        <v>0</v>
      </c>
      <c r="Q524" t="n">
        <v>0</v>
      </c>
      <c r="R524" s="2" t="inlineStr"/>
    </row>
    <row r="525" ht="15" customHeight="1">
      <c r="A525" t="inlineStr">
        <is>
          <t>A 39947-2025</t>
        </is>
      </c>
      <c r="B525" s="1" t="n">
        <v>45892.34438657408</v>
      </c>
      <c r="C525" s="1" t="n">
        <v>46106</v>
      </c>
      <c r="D525" t="inlineStr">
        <is>
          <t>JÄMTLANDS LÄN</t>
        </is>
      </c>
      <c r="E525" t="inlineStr">
        <is>
          <t>RAGUNDA</t>
        </is>
      </c>
      <c r="G525" t="n">
        <v>6.6</v>
      </c>
      <c r="H525" t="n">
        <v>0</v>
      </c>
      <c r="I525" t="n">
        <v>0</v>
      </c>
      <c r="J525" t="n">
        <v>0</v>
      </c>
      <c r="K525" t="n">
        <v>0</v>
      </c>
      <c r="L525" t="n">
        <v>0</v>
      </c>
      <c r="M525" t="n">
        <v>0</v>
      </c>
      <c r="N525" t="n">
        <v>0</v>
      </c>
      <c r="O525" t="n">
        <v>0</v>
      </c>
      <c r="P525" t="n">
        <v>0</v>
      </c>
      <c r="Q525" t="n">
        <v>0</v>
      </c>
      <c r="R525" s="2" t="inlineStr"/>
    </row>
    <row r="526" ht="15" customHeight="1">
      <c r="A526" t="inlineStr">
        <is>
          <t>A 39951-2025</t>
        </is>
      </c>
      <c r="B526" s="1" t="n">
        <v>45892.38657407407</v>
      </c>
      <c r="C526" s="1" t="n">
        <v>46106</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39948-2025</t>
        </is>
      </c>
      <c r="B527" s="1" t="n">
        <v>45892.38591435185</v>
      </c>
      <c r="C527" s="1" t="n">
        <v>46106</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39946-2025</t>
        </is>
      </c>
      <c r="B528" s="1" t="n">
        <v>45892.34423611111</v>
      </c>
      <c r="C528" s="1" t="n">
        <v>46106</v>
      </c>
      <c r="D528" t="inlineStr">
        <is>
          <t>JÄMTLANDS LÄN</t>
        </is>
      </c>
      <c r="E528" t="inlineStr">
        <is>
          <t>RAGUNDA</t>
        </is>
      </c>
      <c r="G528" t="n">
        <v>4.7</v>
      </c>
      <c r="H528" t="n">
        <v>0</v>
      </c>
      <c r="I528" t="n">
        <v>0</v>
      </c>
      <c r="J528" t="n">
        <v>0</v>
      </c>
      <c r="K528" t="n">
        <v>0</v>
      </c>
      <c r="L528" t="n">
        <v>0</v>
      </c>
      <c r="M528" t="n">
        <v>0</v>
      </c>
      <c r="N528" t="n">
        <v>0</v>
      </c>
      <c r="O528" t="n">
        <v>0</v>
      </c>
      <c r="P528" t="n">
        <v>0</v>
      </c>
      <c r="Q528" t="n">
        <v>0</v>
      </c>
      <c r="R528" s="2" t="inlineStr"/>
    </row>
    <row r="529" ht="15" customHeight="1">
      <c r="A529" t="inlineStr">
        <is>
          <t>A 39950-2025</t>
        </is>
      </c>
      <c r="B529" s="1" t="n">
        <v>45892.38641203703</v>
      </c>
      <c r="C529" s="1" t="n">
        <v>46106</v>
      </c>
      <c r="D529" t="inlineStr">
        <is>
          <t>JÄMTLANDS LÄN</t>
        </is>
      </c>
      <c r="E529" t="inlineStr">
        <is>
          <t>RAGUNDA</t>
        </is>
      </c>
      <c r="G529" t="n">
        <v>1.1</v>
      </c>
      <c r="H529" t="n">
        <v>0</v>
      </c>
      <c r="I529" t="n">
        <v>0</v>
      </c>
      <c r="J529" t="n">
        <v>0</v>
      </c>
      <c r="K529" t="n">
        <v>0</v>
      </c>
      <c r="L529" t="n">
        <v>0</v>
      </c>
      <c r="M529" t="n">
        <v>0</v>
      </c>
      <c r="N529" t="n">
        <v>0</v>
      </c>
      <c r="O529" t="n">
        <v>0</v>
      </c>
      <c r="P529" t="n">
        <v>0</v>
      </c>
      <c r="Q529" t="n">
        <v>0</v>
      </c>
      <c r="R529" s="2" t="inlineStr"/>
    </row>
    <row r="530" ht="15" customHeight="1">
      <c r="A530" t="inlineStr">
        <is>
          <t>A 39955-2025</t>
        </is>
      </c>
      <c r="B530" s="1" t="n">
        <v>45892.44824074074</v>
      </c>
      <c r="C530" s="1" t="n">
        <v>46106</v>
      </c>
      <c r="D530" t="inlineStr">
        <is>
          <t>JÄMTLANDS LÄN</t>
        </is>
      </c>
      <c r="E530" t="inlineStr">
        <is>
          <t>RAGUNDA</t>
        </is>
      </c>
      <c r="G530" t="n">
        <v>1.4</v>
      </c>
      <c r="H530" t="n">
        <v>0</v>
      </c>
      <c r="I530" t="n">
        <v>0</v>
      </c>
      <c r="J530" t="n">
        <v>0</v>
      </c>
      <c r="K530" t="n">
        <v>0</v>
      </c>
      <c r="L530" t="n">
        <v>0</v>
      </c>
      <c r="M530" t="n">
        <v>0</v>
      </c>
      <c r="N530" t="n">
        <v>0</v>
      </c>
      <c r="O530" t="n">
        <v>0</v>
      </c>
      <c r="P530" t="n">
        <v>0</v>
      </c>
      <c r="Q530" t="n">
        <v>0</v>
      </c>
      <c r="R530" s="2" t="inlineStr"/>
    </row>
    <row r="531" ht="15" customHeight="1">
      <c r="A531" t="inlineStr">
        <is>
          <t>A 39956-2025</t>
        </is>
      </c>
      <c r="B531" s="1" t="n">
        <v>45892.44840277778</v>
      </c>
      <c r="C531" s="1" t="n">
        <v>46106</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29723-2025</t>
        </is>
      </c>
      <c r="B532" s="1" t="n">
        <v>45825.57675925926</v>
      </c>
      <c r="C532" s="1" t="n">
        <v>46106</v>
      </c>
      <c r="D532" t="inlineStr">
        <is>
          <t>JÄMTLANDS LÄN</t>
        </is>
      </c>
      <c r="E532" t="inlineStr">
        <is>
          <t>RAGUNDA</t>
        </is>
      </c>
      <c r="G532" t="n">
        <v>3.1</v>
      </c>
      <c r="H532" t="n">
        <v>0</v>
      </c>
      <c r="I532" t="n">
        <v>0</v>
      </c>
      <c r="J532" t="n">
        <v>0</v>
      </c>
      <c r="K532" t="n">
        <v>0</v>
      </c>
      <c r="L532" t="n">
        <v>0</v>
      </c>
      <c r="M532" t="n">
        <v>0</v>
      </c>
      <c r="N532" t="n">
        <v>0</v>
      </c>
      <c r="O532" t="n">
        <v>0</v>
      </c>
      <c r="P532" t="n">
        <v>0</v>
      </c>
      <c r="Q532" t="n">
        <v>0</v>
      </c>
      <c r="R532" s="2" t="inlineStr"/>
    </row>
    <row r="533" ht="15" customHeight="1">
      <c r="A533" t="inlineStr">
        <is>
          <t>A 39949-2025</t>
        </is>
      </c>
      <c r="B533" s="1" t="n">
        <v>45892.38619212963</v>
      </c>
      <c r="C533" s="1" t="n">
        <v>46106</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23303-2024</t>
        </is>
      </c>
      <c r="B534" s="1" t="n">
        <v>45453.4444212963</v>
      </c>
      <c r="C534" s="1" t="n">
        <v>46106</v>
      </c>
      <c r="D534" t="inlineStr">
        <is>
          <t>JÄMTLANDS LÄN</t>
        </is>
      </c>
      <c r="E534" t="inlineStr">
        <is>
          <t>RAGUNDA</t>
        </is>
      </c>
      <c r="G534" t="n">
        <v>0.7</v>
      </c>
      <c r="H534" t="n">
        <v>0</v>
      </c>
      <c r="I534" t="n">
        <v>0</v>
      </c>
      <c r="J534" t="n">
        <v>0</v>
      </c>
      <c r="K534" t="n">
        <v>0</v>
      </c>
      <c r="L534" t="n">
        <v>0</v>
      </c>
      <c r="M534" t="n">
        <v>0</v>
      </c>
      <c r="N534" t="n">
        <v>0</v>
      </c>
      <c r="O534" t="n">
        <v>0</v>
      </c>
      <c r="P534" t="n">
        <v>0</v>
      </c>
      <c r="Q534" t="n">
        <v>0</v>
      </c>
      <c r="R534" s="2" t="inlineStr"/>
    </row>
    <row r="535" ht="15" customHeight="1">
      <c r="A535" t="inlineStr">
        <is>
          <t>A 179-2025</t>
        </is>
      </c>
      <c r="B535" s="1" t="n">
        <v>45659.69822916666</v>
      </c>
      <c r="C535" s="1" t="n">
        <v>46106</v>
      </c>
      <c r="D535" t="inlineStr">
        <is>
          <t>JÄMTLANDS LÄN</t>
        </is>
      </c>
      <c r="E535" t="inlineStr">
        <is>
          <t>RAGUNDA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22412-2024</t>
        </is>
      </c>
      <c r="B536" s="1" t="n">
        <v>45446.68947916666</v>
      </c>
      <c r="C536" s="1" t="n">
        <v>46106</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30088-2025</t>
        </is>
      </c>
      <c r="B537" s="1" t="n">
        <v>45826.65759259259</v>
      </c>
      <c r="C537" s="1" t="n">
        <v>46106</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30348-2025</t>
        </is>
      </c>
      <c r="B538" s="1" t="n">
        <v>45827.53178240741</v>
      </c>
      <c r="C538" s="1" t="n">
        <v>46106</v>
      </c>
      <c r="D538" t="inlineStr">
        <is>
          <t>JÄMTLANDS LÄN</t>
        </is>
      </c>
      <c r="E538" t="inlineStr">
        <is>
          <t>RAGUNDA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14412-2026</t>
        </is>
      </c>
      <c r="B539" s="1" t="n">
        <v>46100.44820601852</v>
      </c>
      <c r="C539" s="1" t="n">
        <v>46106</v>
      </c>
      <c r="D539" t="inlineStr">
        <is>
          <t>JÄMTLANDS LÄN</t>
        </is>
      </c>
      <c r="E539" t="inlineStr">
        <is>
          <t>RAGUNDA</t>
        </is>
      </c>
      <c r="G539" t="n">
        <v>13.5</v>
      </c>
      <c r="H539" t="n">
        <v>0</v>
      </c>
      <c r="I539" t="n">
        <v>0</v>
      </c>
      <c r="J539" t="n">
        <v>0</v>
      </c>
      <c r="K539" t="n">
        <v>0</v>
      </c>
      <c r="L539" t="n">
        <v>0</v>
      </c>
      <c r="M539" t="n">
        <v>0</v>
      </c>
      <c r="N539" t="n">
        <v>0</v>
      </c>
      <c r="O539" t="n">
        <v>0</v>
      </c>
      <c r="P539" t="n">
        <v>0</v>
      </c>
      <c r="Q539" t="n">
        <v>0</v>
      </c>
      <c r="R539" s="2" t="inlineStr"/>
    </row>
    <row r="540" ht="15" customHeight="1">
      <c r="A540" t="inlineStr">
        <is>
          <t>A 13334-2024</t>
        </is>
      </c>
      <c r="B540" s="1" t="n">
        <v>45386</v>
      </c>
      <c r="C540" s="1" t="n">
        <v>46106</v>
      </c>
      <c r="D540" t="inlineStr">
        <is>
          <t>JÄMTLANDS LÄN</t>
        </is>
      </c>
      <c r="E540" t="inlineStr">
        <is>
          <t>RAGUNDA</t>
        </is>
      </c>
      <c r="G540" t="n">
        <v>8.6</v>
      </c>
      <c r="H540" t="n">
        <v>0</v>
      </c>
      <c r="I540" t="n">
        <v>0</v>
      </c>
      <c r="J540" t="n">
        <v>0</v>
      </c>
      <c r="K540" t="n">
        <v>0</v>
      </c>
      <c r="L540" t="n">
        <v>0</v>
      </c>
      <c r="M540" t="n">
        <v>0</v>
      </c>
      <c r="N540" t="n">
        <v>0</v>
      </c>
      <c r="O540" t="n">
        <v>0</v>
      </c>
      <c r="P540" t="n">
        <v>0</v>
      </c>
      <c r="Q540" t="n">
        <v>0</v>
      </c>
      <c r="R540" s="2" t="inlineStr"/>
    </row>
    <row r="541" ht="15" customHeight="1">
      <c r="A541" t="inlineStr">
        <is>
          <t>A 60443-2023</t>
        </is>
      </c>
      <c r="B541" s="1" t="n">
        <v>45258</v>
      </c>
      <c r="C541" s="1" t="n">
        <v>46106</v>
      </c>
      <c r="D541" t="inlineStr">
        <is>
          <t>JÄMTLANDS LÄN</t>
        </is>
      </c>
      <c r="E541" t="inlineStr">
        <is>
          <t>RAGUNDA</t>
        </is>
      </c>
      <c r="G541" t="n">
        <v>2.9</v>
      </c>
      <c r="H541" t="n">
        <v>0</v>
      </c>
      <c r="I541" t="n">
        <v>0</v>
      </c>
      <c r="J541" t="n">
        <v>0</v>
      </c>
      <c r="K541" t="n">
        <v>0</v>
      </c>
      <c r="L541" t="n">
        <v>0</v>
      </c>
      <c r="M541" t="n">
        <v>0</v>
      </c>
      <c r="N541" t="n">
        <v>0</v>
      </c>
      <c r="O541" t="n">
        <v>0</v>
      </c>
      <c r="P541" t="n">
        <v>0</v>
      </c>
      <c r="Q541" t="n">
        <v>0</v>
      </c>
      <c r="R541" s="2" t="inlineStr"/>
    </row>
    <row r="542" ht="15" customHeight="1">
      <c r="A542" t="inlineStr">
        <is>
          <t>A 40586-2025</t>
        </is>
      </c>
      <c r="B542" s="1" t="n">
        <v>45896.52478009259</v>
      </c>
      <c r="C542" s="1" t="n">
        <v>46106</v>
      </c>
      <c r="D542" t="inlineStr">
        <is>
          <t>JÄMTLANDS LÄN</t>
        </is>
      </c>
      <c r="E542" t="inlineStr">
        <is>
          <t>RAGUNDA</t>
        </is>
      </c>
      <c r="G542" t="n">
        <v>1.2</v>
      </c>
      <c r="H542" t="n">
        <v>0</v>
      </c>
      <c r="I542" t="n">
        <v>0</v>
      </c>
      <c r="J542" t="n">
        <v>0</v>
      </c>
      <c r="K542" t="n">
        <v>0</v>
      </c>
      <c r="L542" t="n">
        <v>0</v>
      </c>
      <c r="M542" t="n">
        <v>0</v>
      </c>
      <c r="N542" t="n">
        <v>0</v>
      </c>
      <c r="O542" t="n">
        <v>0</v>
      </c>
      <c r="P542" t="n">
        <v>0</v>
      </c>
      <c r="Q542" t="n">
        <v>0</v>
      </c>
      <c r="R542" s="2" t="inlineStr"/>
    </row>
    <row r="543" ht="15" customHeight="1">
      <c r="A543" t="inlineStr">
        <is>
          <t>A 21726-2023</t>
        </is>
      </c>
      <c r="B543" s="1" t="n">
        <v>45065.42894675926</v>
      </c>
      <c r="C543" s="1" t="n">
        <v>46106</v>
      </c>
      <c r="D543" t="inlineStr">
        <is>
          <t>JÄMTLANDS LÄN</t>
        </is>
      </c>
      <c r="E543" t="inlineStr">
        <is>
          <t>RAGUNDA</t>
        </is>
      </c>
      <c r="G543" t="n">
        <v>0.4</v>
      </c>
      <c r="H543" t="n">
        <v>0</v>
      </c>
      <c r="I543" t="n">
        <v>0</v>
      </c>
      <c r="J543" t="n">
        <v>0</v>
      </c>
      <c r="K543" t="n">
        <v>0</v>
      </c>
      <c r="L543" t="n">
        <v>0</v>
      </c>
      <c r="M543" t="n">
        <v>0</v>
      </c>
      <c r="N543" t="n">
        <v>0</v>
      </c>
      <c r="O543" t="n">
        <v>0</v>
      </c>
      <c r="P543" t="n">
        <v>0</v>
      </c>
      <c r="Q543" t="n">
        <v>0</v>
      </c>
      <c r="R543" s="2" t="inlineStr"/>
    </row>
    <row r="544" ht="15" customHeight="1">
      <c r="A544" t="inlineStr">
        <is>
          <t>A 30434-2025</t>
        </is>
      </c>
      <c r="B544" s="1" t="n">
        <v>45827.63582175926</v>
      </c>
      <c r="C544" s="1" t="n">
        <v>46106</v>
      </c>
      <c r="D544" t="inlineStr">
        <is>
          <t>JÄMTLANDS LÄN</t>
        </is>
      </c>
      <c r="E544" t="inlineStr">
        <is>
          <t>RAGUNDA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45952-2023</t>
        </is>
      </c>
      <c r="B545" s="1" t="n">
        <v>45195</v>
      </c>
      <c r="C545" s="1" t="n">
        <v>46106</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45954-2023</t>
        </is>
      </c>
      <c r="B546" s="1" t="n">
        <v>45195.94679398148</v>
      </c>
      <c r="C546" s="1" t="n">
        <v>46106</v>
      </c>
      <c r="D546" t="inlineStr">
        <is>
          <t>JÄMTLANDS LÄN</t>
        </is>
      </c>
      <c r="E546" t="inlineStr">
        <is>
          <t>RAGUNDA</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45955-2023</t>
        </is>
      </c>
      <c r="B547" s="1" t="n">
        <v>45195.94685185186</v>
      </c>
      <c r="C547" s="1" t="n">
        <v>46106</v>
      </c>
      <c r="D547" t="inlineStr">
        <is>
          <t>JÄMTLANDS LÄN</t>
        </is>
      </c>
      <c r="E547" t="inlineStr">
        <is>
          <t>RAGUNDA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14387-2026</t>
        </is>
      </c>
      <c r="B548" s="1" t="n">
        <v>46100.38605324074</v>
      </c>
      <c r="C548" s="1" t="n">
        <v>46106</v>
      </c>
      <c r="D548" t="inlineStr">
        <is>
          <t>JÄMTLANDS LÄN</t>
        </is>
      </c>
      <c r="E548" t="inlineStr">
        <is>
          <t>RAGUNDA</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31463-2024</t>
        </is>
      </c>
      <c r="B549" s="1" t="n">
        <v>45505</v>
      </c>
      <c r="C549" s="1" t="n">
        <v>46106</v>
      </c>
      <c r="D549" t="inlineStr">
        <is>
          <t>JÄMTLANDS LÄN</t>
        </is>
      </c>
      <c r="E549" t="inlineStr">
        <is>
          <t>RAGUNDA</t>
        </is>
      </c>
      <c r="F549" t="inlineStr">
        <is>
          <t>SCA</t>
        </is>
      </c>
      <c r="G549" t="n">
        <v>20.3</v>
      </c>
      <c r="H549" t="n">
        <v>0</v>
      </c>
      <c r="I549" t="n">
        <v>0</v>
      </c>
      <c r="J549" t="n">
        <v>0</v>
      </c>
      <c r="K549" t="n">
        <v>0</v>
      </c>
      <c r="L549" t="n">
        <v>0</v>
      </c>
      <c r="M549" t="n">
        <v>0</v>
      </c>
      <c r="N549" t="n">
        <v>0</v>
      </c>
      <c r="O549" t="n">
        <v>0</v>
      </c>
      <c r="P549" t="n">
        <v>0</v>
      </c>
      <c r="Q549" t="n">
        <v>0</v>
      </c>
      <c r="R549" s="2" t="inlineStr"/>
    </row>
    <row r="550" ht="15" customHeight="1">
      <c r="A550" t="inlineStr">
        <is>
          <t>A 60456-2023</t>
        </is>
      </c>
      <c r="B550" s="1" t="n">
        <v>45258</v>
      </c>
      <c r="C550" s="1" t="n">
        <v>46106</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16334-2025</t>
        </is>
      </c>
      <c r="B551" s="1" t="n">
        <v>45751.36490740741</v>
      </c>
      <c r="C551" s="1" t="n">
        <v>46106</v>
      </c>
      <c r="D551" t="inlineStr">
        <is>
          <t>JÄMTLANDS LÄN</t>
        </is>
      </c>
      <c r="E551" t="inlineStr">
        <is>
          <t>RAGUNDA</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41161-2025</t>
        </is>
      </c>
      <c r="B552" s="1" t="n">
        <v>45898.53193287037</v>
      </c>
      <c r="C552" s="1" t="n">
        <v>46106</v>
      </c>
      <c r="D552" t="inlineStr">
        <is>
          <t>JÄMTLANDS LÄN</t>
        </is>
      </c>
      <c r="E552" t="inlineStr">
        <is>
          <t>RAGUNDA</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58438-2022</t>
        </is>
      </c>
      <c r="B553" s="1" t="n">
        <v>44901</v>
      </c>
      <c r="C553" s="1" t="n">
        <v>46106</v>
      </c>
      <c r="D553" t="inlineStr">
        <is>
          <t>JÄMTLANDS LÄN</t>
        </is>
      </c>
      <c r="E553" t="inlineStr">
        <is>
          <t>RAGUNDA</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58442-2022</t>
        </is>
      </c>
      <c r="B554" s="1" t="n">
        <v>44901</v>
      </c>
      <c r="C554" s="1" t="n">
        <v>46106</v>
      </c>
      <c r="D554" t="inlineStr">
        <is>
          <t>JÄMTLANDS LÄN</t>
        </is>
      </c>
      <c r="E554" t="inlineStr">
        <is>
          <t>RAGUNDA</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5806-2025</t>
        </is>
      </c>
      <c r="B555" s="1" t="n">
        <v>45694.69826388889</v>
      </c>
      <c r="C555" s="1" t="n">
        <v>46106</v>
      </c>
      <c r="D555" t="inlineStr">
        <is>
          <t>JÄMTLANDS LÄN</t>
        </is>
      </c>
      <c r="E555" t="inlineStr">
        <is>
          <t>RAGUNDA</t>
        </is>
      </c>
      <c r="F555" t="inlineStr">
        <is>
          <t>SCA</t>
        </is>
      </c>
      <c r="G555" t="n">
        <v>5.8</v>
      </c>
      <c r="H555" t="n">
        <v>0</v>
      </c>
      <c r="I555" t="n">
        <v>0</v>
      </c>
      <c r="J555" t="n">
        <v>0</v>
      </c>
      <c r="K555" t="n">
        <v>0</v>
      </c>
      <c r="L555" t="n">
        <v>0</v>
      </c>
      <c r="M555" t="n">
        <v>0</v>
      </c>
      <c r="N555" t="n">
        <v>0</v>
      </c>
      <c r="O555" t="n">
        <v>0</v>
      </c>
      <c r="P555" t="n">
        <v>0</v>
      </c>
      <c r="Q555" t="n">
        <v>0</v>
      </c>
      <c r="R555" s="2" t="inlineStr"/>
    </row>
    <row r="556" ht="15" customHeight="1">
      <c r="A556" t="inlineStr">
        <is>
          <t>A 41233-2025</t>
        </is>
      </c>
      <c r="B556" s="1" t="n">
        <v>45898.59295138889</v>
      </c>
      <c r="C556" s="1" t="n">
        <v>46106</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41179-2022</t>
        </is>
      </c>
      <c r="B557" s="1" t="n">
        <v>44825</v>
      </c>
      <c r="C557" s="1" t="n">
        <v>46106</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41262-2025</t>
        </is>
      </c>
      <c r="B558" s="1" t="n">
        <v>45898.61502314815</v>
      </c>
      <c r="C558" s="1" t="n">
        <v>46106</v>
      </c>
      <c r="D558" t="inlineStr">
        <is>
          <t>JÄMTLANDS LÄN</t>
        </is>
      </c>
      <c r="E558" t="inlineStr">
        <is>
          <t>RAGUNDA</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30887-2025</t>
        </is>
      </c>
      <c r="B559" s="1" t="n">
        <v>45832.3459375</v>
      </c>
      <c r="C559" s="1" t="n">
        <v>46106</v>
      </c>
      <c r="D559" t="inlineStr">
        <is>
          <t>JÄMTLANDS LÄN</t>
        </is>
      </c>
      <c r="E559" t="inlineStr">
        <is>
          <t>RAGUNDA</t>
        </is>
      </c>
      <c r="F559" t="inlineStr">
        <is>
          <t>SCA</t>
        </is>
      </c>
      <c r="G559" t="n">
        <v>10.1</v>
      </c>
      <c r="H559" t="n">
        <v>0</v>
      </c>
      <c r="I559" t="n">
        <v>0</v>
      </c>
      <c r="J559" t="n">
        <v>0</v>
      </c>
      <c r="K559" t="n">
        <v>0</v>
      </c>
      <c r="L559" t="n">
        <v>0</v>
      </c>
      <c r="M559" t="n">
        <v>0</v>
      </c>
      <c r="N559" t="n">
        <v>0</v>
      </c>
      <c r="O559" t="n">
        <v>0</v>
      </c>
      <c r="P559" t="n">
        <v>0</v>
      </c>
      <c r="Q559" t="n">
        <v>0</v>
      </c>
      <c r="R559" s="2" t="inlineStr"/>
    </row>
    <row r="560" ht="15" customHeight="1">
      <c r="A560" t="inlineStr">
        <is>
          <t>A 30883-2025</t>
        </is>
      </c>
      <c r="B560" s="1" t="n">
        <v>45832.34552083333</v>
      </c>
      <c r="C560" s="1" t="n">
        <v>46106</v>
      </c>
      <c r="D560" t="inlineStr">
        <is>
          <t>JÄMTLANDS LÄN</t>
        </is>
      </c>
      <c r="E560" t="inlineStr">
        <is>
          <t>RAGUNDA</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41423-2025</t>
        </is>
      </c>
      <c r="B561" s="1" t="n">
        <v>45901.38578703703</v>
      </c>
      <c r="C561" s="1" t="n">
        <v>46106</v>
      </c>
      <c r="D561" t="inlineStr">
        <is>
          <t>JÄMTLANDS LÄN</t>
        </is>
      </c>
      <c r="E561" t="inlineStr">
        <is>
          <t>RAGUNDA</t>
        </is>
      </c>
      <c r="G561" t="n">
        <v>0.7</v>
      </c>
      <c r="H561" t="n">
        <v>0</v>
      </c>
      <c r="I561" t="n">
        <v>0</v>
      </c>
      <c r="J561" t="n">
        <v>0</v>
      </c>
      <c r="K561" t="n">
        <v>0</v>
      </c>
      <c r="L561" t="n">
        <v>0</v>
      </c>
      <c r="M561" t="n">
        <v>0</v>
      </c>
      <c r="N561" t="n">
        <v>0</v>
      </c>
      <c r="O561" t="n">
        <v>0</v>
      </c>
      <c r="P561" t="n">
        <v>0</v>
      </c>
      <c r="Q561" t="n">
        <v>0</v>
      </c>
      <c r="R561" s="2" t="inlineStr"/>
    </row>
    <row r="562" ht="15" customHeight="1">
      <c r="A562" t="inlineStr">
        <is>
          <t>A 61598-2024</t>
        </is>
      </c>
      <c r="B562" s="1" t="n">
        <v>45646.63605324074</v>
      </c>
      <c r="C562" s="1" t="n">
        <v>46106</v>
      </c>
      <c r="D562" t="inlineStr">
        <is>
          <t>JÄMTLANDS LÄN</t>
        </is>
      </c>
      <c r="E562" t="inlineStr">
        <is>
          <t>RAGUNDA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17667-2025</t>
        </is>
      </c>
      <c r="B563" s="1" t="n">
        <v>45758.36487268518</v>
      </c>
      <c r="C563" s="1" t="n">
        <v>46106</v>
      </c>
      <c r="D563" t="inlineStr">
        <is>
          <t>JÄMTLANDS LÄN</t>
        </is>
      </c>
      <c r="E563" t="inlineStr">
        <is>
          <t>RAGUNDA</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41424-2025</t>
        </is>
      </c>
      <c r="B564" s="1" t="n">
        <v>45901.38584490741</v>
      </c>
      <c r="C564" s="1" t="n">
        <v>46106</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30880-2025</t>
        </is>
      </c>
      <c r="B565" s="1" t="n">
        <v>45832.34524305556</v>
      </c>
      <c r="C565" s="1" t="n">
        <v>46106</v>
      </c>
      <c r="D565" t="inlineStr">
        <is>
          <t>JÄMTLANDS LÄN</t>
        </is>
      </c>
      <c r="E565" t="inlineStr">
        <is>
          <t>RAGUNDA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41140-2025</t>
        </is>
      </c>
      <c r="B566" s="1" t="n">
        <v>45898.49012731481</v>
      </c>
      <c r="C566" s="1" t="n">
        <v>46106</v>
      </c>
      <c r="D566" t="inlineStr">
        <is>
          <t>JÄMTLANDS LÄN</t>
        </is>
      </c>
      <c r="E566" t="inlineStr">
        <is>
          <t>RAGUNDA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41422-2025</t>
        </is>
      </c>
      <c r="B567" s="1" t="n">
        <v>45901.38572916666</v>
      </c>
      <c r="C567" s="1" t="n">
        <v>46106</v>
      </c>
      <c r="D567" t="inlineStr">
        <is>
          <t>JÄMTLANDS LÄN</t>
        </is>
      </c>
      <c r="E567" t="inlineStr">
        <is>
          <t>RAGUNDA</t>
        </is>
      </c>
      <c r="G567" t="n">
        <v>4.3</v>
      </c>
      <c r="H567" t="n">
        <v>0</v>
      </c>
      <c r="I567" t="n">
        <v>0</v>
      </c>
      <c r="J567" t="n">
        <v>0</v>
      </c>
      <c r="K567" t="n">
        <v>0</v>
      </c>
      <c r="L567" t="n">
        <v>0</v>
      </c>
      <c r="M567" t="n">
        <v>0</v>
      </c>
      <c r="N567" t="n">
        <v>0</v>
      </c>
      <c r="O567" t="n">
        <v>0</v>
      </c>
      <c r="P567" t="n">
        <v>0</v>
      </c>
      <c r="Q567" t="n">
        <v>0</v>
      </c>
      <c r="R567" s="2" t="inlineStr"/>
    </row>
    <row r="568" ht="15" customHeight="1">
      <c r="A568" t="inlineStr">
        <is>
          <t>A 12405-2025</t>
        </is>
      </c>
      <c r="B568" s="1" t="n">
        <v>45730.42738425926</v>
      </c>
      <c r="C568" s="1" t="n">
        <v>46106</v>
      </c>
      <c r="D568" t="inlineStr">
        <is>
          <t>JÄMTLANDS LÄN</t>
        </is>
      </c>
      <c r="E568" t="inlineStr">
        <is>
          <t>RAGUNDA</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41876-2025</t>
        </is>
      </c>
      <c r="B569" s="1" t="n">
        <v>45903.34555555556</v>
      </c>
      <c r="C569" s="1" t="n">
        <v>46106</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36986-2023</t>
        </is>
      </c>
      <c r="B570" s="1" t="n">
        <v>45154.95525462963</v>
      </c>
      <c r="C570" s="1" t="n">
        <v>46106</v>
      </c>
      <c r="D570" t="inlineStr">
        <is>
          <t>JÄMTLANDS LÄN</t>
        </is>
      </c>
      <c r="E570" t="inlineStr">
        <is>
          <t>RAGUNDA</t>
        </is>
      </c>
      <c r="F570" t="inlineStr">
        <is>
          <t>SCA</t>
        </is>
      </c>
      <c r="G570" t="n">
        <v>0.2</v>
      </c>
      <c r="H570" t="n">
        <v>0</v>
      </c>
      <c r="I570" t="n">
        <v>0</v>
      </c>
      <c r="J570" t="n">
        <v>0</v>
      </c>
      <c r="K570" t="n">
        <v>0</v>
      </c>
      <c r="L570" t="n">
        <v>0</v>
      </c>
      <c r="M570" t="n">
        <v>0</v>
      </c>
      <c r="N570" t="n">
        <v>0</v>
      </c>
      <c r="O570" t="n">
        <v>0</v>
      </c>
      <c r="P570" t="n">
        <v>0</v>
      </c>
      <c r="Q570" t="n">
        <v>0</v>
      </c>
      <c r="R570" s="2" t="inlineStr"/>
    </row>
    <row r="571" ht="15" customHeight="1">
      <c r="A571" t="inlineStr">
        <is>
          <t>A 15356-2026</t>
        </is>
      </c>
      <c r="B571" s="1" t="n">
        <v>46105.69986111111</v>
      </c>
      <c r="C571" s="1" t="n">
        <v>46106</v>
      </c>
      <c r="D571" t="inlineStr">
        <is>
          <t>JÄMTLANDS LÄN</t>
        </is>
      </c>
      <c r="E571" t="inlineStr">
        <is>
          <t>RAGUNDA</t>
        </is>
      </c>
      <c r="F571" t="inlineStr">
        <is>
          <t>SCA</t>
        </is>
      </c>
      <c r="G571" t="n">
        <v>35.2</v>
      </c>
      <c r="H571" t="n">
        <v>0</v>
      </c>
      <c r="I571" t="n">
        <v>0</v>
      </c>
      <c r="J571" t="n">
        <v>0</v>
      </c>
      <c r="K571" t="n">
        <v>0</v>
      </c>
      <c r="L571" t="n">
        <v>0</v>
      </c>
      <c r="M571" t="n">
        <v>0</v>
      </c>
      <c r="N571" t="n">
        <v>0</v>
      </c>
      <c r="O571" t="n">
        <v>0</v>
      </c>
      <c r="P571" t="n">
        <v>0</v>
      </c>
      <c r="Q571" t="n">
        <v>0</v>
      </c>
      <c r="R571" s="2" t="inlineStr"/>
    </row>
    <row r="572" ht="15" customHeight="1">
      <c r="A572" t="inlineStr">
        <is>
          <t>A 41656-2025</t>
        </is>
      </c>
      <c r="B572" s="1" t="n">
        <v>45902.34423611111</v>
      </c>
      <c r="C572" s="1" t="n">
        <v>46106</v>
      </c>
      <c r="D572" t="inlineStr">
        <is>
          <t>JÄMTLANDS LÄN</t>
        </is>
      </c>
      <c r="E572" t="inlineStr">
        <is>
          <t>RAGUNDA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32096-2025</t>
        </is>
      </c>
      <c r="B573" s="1" t="n">
        <v>45835.46334490741</v>
      </c>
      <c r="C573" s="1" t="n">
        <v>46106</v>
      </c>
      <c r="D573" t="inlineStr">
        <is>
          <t>JÄMTLANDS LÄN</t>
        </is>
      </c>
      <c r="E573" t="inlineStr">
        <is>
          <t>RAGUNDA</t>
        </is>
      </c>
      <c r="G573" t="n">
        <v>0.9</v>
      </c>
      <c r="H573" t="n">
        <v>0</v>
      </c>
      <c r="I573" t="n">
        <v>0</v>
      </c>
      <c r="J573" t="n">
        <v>0</v>
      </c>
      <c r="K573" t="n">
        <v>0</v>
      </c>
      <c r="L573" t="n">
        <v>0</v>
      </c>
      <c r="M573" t="n">
        <v>0</v>
      </c>
      <c r="N573" t="n">
        <v>0</v>
      </c>
      <c r="O573" t="n">
        <v>0</v>
      </c>
      <c r="P573" t="n">
        <v>0</v>
      </c>
      <c r="Q573" t="n">
        <v>0</v>
      </c>
      <c r="R573" s="2" t="inlineStr"/>
    </row>
    <row r="574" ht="15" customHeight="1">
      <c r="A574" t="inlineStr">
        <is>
          <t>A 32151-2025</t>
        </is>
      </c>
      <c r="B574" s="1" t="n">
        <v>45835.53166666667</v>
      </c>
      <c r="C574" s="1" t="n">
        <v>46106</v>
      </c>
      <c r="D574" t="inlineStr">
        <is>
          <t>JÄMTLANDS LÄN</t>
        </is>
      </c>
      <c r="E574" t="inlineStr">
        <is>
          <t>RAGUNDA</t>
        </is>
      </c>
      <c r="F574" t="inlineStr">
        <is>
          <t>SCA</t>
        </is>
      </c>
      <c r="G574" t="n">
        <v>12.3</v>
      </c>
      <c r="H574" t="n">
        <v>0</v>
      </c>
      <c r="I574" t="n">
        <v>0</v>
      </c>
      <c r="J574" t="n">
        <v>0</v>
      </c>
      <c r="K574" t="n">
        <v>0</v>
      </c>
      <c r="L574" t="n">
        <v>0</v>
      </c>
      <c r="M574" t="n">
        <v>0</v>
      </c>
      <c r="N574" t="n">
        <v>0</v>
      </c>
      <c r="O574" t="n">
        <v>0</v>
      </c>
      <c r="P574" t="n">
        <v>0</v>
      </c>
      <c r="Q574" t="n">
        <v>0</v>
      </c>
      <c r="R574" s="2" t="inlineStr"/>
    </row>
    <row r="575" ht="15" customHeight="1">
      <c r="A575" t="inlineStr">
        <is>
          <t>A 32306-2025</t>
        </is>
      </c>
      <c r="B575" s="1" t="n">
        <v>45835.72046296296</v>
      </c>
      <c r="C575" s="1" t="n">
        <v>46106</v>
      </c>
      <c r="D575" t="inlineStr">
        <is>
          <t>JÄMTLANDS LÄN</t>
        </is>
      </c>
      <c r="E575" t="inlineStr">
        <is>
          <t>RAGUNDA</t>
        </is>
      </c>
      <c r="G575" t="n">
        <v>10.2</v>
      </c>
      <c r="H575" t="n">
        <v>0</v>
      </c>
      <c r="I575" t="n">
        <v>0</v>
      </c>
      <c r="J575" t="n">
        <v>0</v>
      </c>
      <c r="K575" t="n">
        <v>0</v>
      </c>
      <c r="L575" t="n">
        <v>0</v>
      </c>
      <c r="M575" t="n">
        <v>0</v>
      </c>
      <c r="N575" t="n">
        <v>0</v>
      </c>
      <c r="O575" t="n">
        <v>0</v>
      </c>
      <c r="P575" t="n">
        <v>0</v>
      </c>
      <c r="Q575" t="n">
        <v>0</v>
      </c>
      <c r="R575" s="2" t="inlineStr"/>
    </row>
    <row r="576" ht="15" customHeight="1">
      <c r="A576" t="inlineStr">
        <is>
          <t>A 32021-2025</t>
        </is>
      </c>
      <c r="B576" s="1" t="n">
        <v>45835.40668981482</v>
      </c>
      <c r="C576" s="1" t="n">
        <v>46106</v>
      </c>
      <c r="D576" t="inlineStr">
        <is>
          <t>JÄMTLANDS LÄN</t>
        </is>
      </c>
      <c r="E576" t="inlineStr">
        <is>
          <t>RAGUNDA</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31882-2025</t>
        </is>
      </c>
      <c r="B577" s="1" t="n">
        <v>45834.65662037037</v>
      </c>
      <c r="C577" s="1" t="n">
        <v>46106</v>
      </c>
      <c r="D577" t="inlineStr">
        <is>
          <t>JÄMTLANDS LÄN</t>
        </is>
      </c>
      <c r="E577" t="inlineStr">
        <is>
          <t>RAGUNDA</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2224-2024</t>
        </is>
      </c>
      <c r="B578" s="1" t="n">
        <v>45309.92524305556</v>
      </c>
      <c r="C578" s="1" t="n">
        <v>46106</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1523-2024</t>
        </is>
      </c>
      <c r="B579" s="1" t="n">
        <v>45306</v>
      </c>
      <c r="C579" s="1" t="n">
        <v>46106</v>
      </c>
      <c r="D579" t="inlineStr">
        <is>
          <t>JÄMTLANDS LÄN</t>
        </is>
      </c>
      <c r="E579" t="inlineStr">
        <is>
          <t>RAGUNDA</t>
        </is>
      </c>
      <c r="G579" t="n">
        <v>4.1</v>
      </c>
      <c r="H579" t="n">
        <v>0</v>
      </c>
      <c r="I579" t="n">
        <v>0</v>
      </c>
      <c r="J579" t="n">
        <v>0</v>
      </c>
      <c r="K579" t="n">
        <v>0</v>
      </c>
      <c r="L579" t="n">
        <v>0</v>
      </c>
      <c r="M579" t="n">
        <v>0</v>
      </c>
      <c r="N579" t="n">
        <v>0</v>
      </c>
      <c r="O579" t="n">
        <v>0</v>
      </c>
      <c r="P579" t="n">
        <v>0</v>
      </c>
      <c r="Q579" t="n">
        <v>0</v>
      </c>
      <c r="R579" s="2" t="inlineStr"/>
    </row>
    <row r="580" ht="15" customHeight="1">
      <c r="A580" t="inlineStr">
        <is>
          <t>A 7777-2026</t>
        </is>
      </c>
      <c r="B580" s="1" t="n">
        <v>46062.57324074074</v>
      </c>
      <c r="C580" s="1" t="n">
        <v>46106</v>
      </c>
      <c r="D580" t="inlineStr">
        <is>
          <t>JÄMTLANDS LÄN</t>
        </is>
      </c>
      <c r="E580" t="inlineStr">
        <is>
          <t>RAGUNDA</t>
        </is>
      </c>
      <c r="G580" t="n">
        <v>6.4</v>
      </c>
      <c r="H580" t="n">
        <v>0</v>
      </c>
      <c r="I580" t="n">
        <v>0</v>
      </c>
      <c r="J580" t="n">
        <v>0</v>
      </c>
      <c r="K580" t="n">
        <v>0</v>
      </c>
      <c r="L580" t="n">
        <v>0</v>
      </c>
      <c r="M580" t="n">
        <v>0</v>
      </c>
      <c r="N580" t="n">
        <v>0</v>
      </c>
      <c r="O580" t="n">
        <v>0</v>
      </c>
      <c r="P580" t="n">
        <v>0</v>
      </c>
      <c r="Q580" t="n">
        <v>0</v>
      </c>
      <c r="R580" s="2" t="inlineStr"/>
    </row>
    <row r="581" ht="15" customHeight="1">
      <c r="A581" t="inlineStr">
        <is>
          <t>A 32796-2025</t>
        </is>
      </c>
      <c r="B581" s="1" t="n">
        <v>45839.49082175926</v>
      </c>
      <c r="C581" s="1" t="n">
        <v>46106</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32655-2025</t>
        </is>
      </c>
      <c r="B582" s="1" t="n">
        <v>45838.67800925926</v>
      </c>
      <c r="C582" s="1" t="n">
        <v>46106</v>
      </c>
      <c r="D582" t="inlineStr">
        <is>
          <t>JÄMTLANDS LÄN</t>
        </is>
      </c>
      <c r="E582" t="inlineStr">
        <is>
          <t>RAGUNDA</t>
        </is>
      </c>
      <c r="G582" t="n">
        <v>2.8</v>
      </c>
      <c r="H582" t="n">
        <v>0</v>
      </c>
      <c r="I582" t="n">
        <v>0</v>
      </c>
      <c r="J582" t="n">
        <v>0</v>
      </c>
      <c r="K582" t="n">
        <v>0</v>
      </c>
      <c r="L582" t="n">
        <v>0</v>
      </c>
      <c r="M582" t="n">
        <v>0</v>
      </c>
      <c r="N582" t="n">
        <v>0</v>
      </c>
      <c r="O582" t="n">
        <v>0</v>
      </c>
      <c r="P582" t="n">
        <v>0</v>
      </c>
      <c r="Q582" t="n">
        <v>0</v>
      </c>
      <c r="R582" s="2" t="inlineStr"/>
    </row>
    <row r="583" ht="15" customHeight="1">
      <c r="A583" t="inlineStr">
        <is>
          <t>A 32751-2025</t>
        </is>
      </c>
      <c r="B583" s="1" t="n">
        <v>45839.42864583333</v>
      </c>
      <c r="C583" s="1" t="n">
        <v>46106</v>
      </c>
      <c r="D583" t="inlineStr">
        <is>
          <t>JÄMTLANDS LÄN</t>
        </is>
      </c>
      <c r="E583" t="inlineStr">
        <is>
          <t>RAGUNDA</t>
        </is>
      </c>
      <c r="F583" t="inlineStr">
        <is>
          <t>SCA</t>
        </is>
      </c>
      <c r="G583" t="n">
        <v>10</v>
      </c>
      <c r="H583" t="n">
        <v>0</v>
      </c>
      <c r="I583" t="n">
        <v>0</v>
      </c>
      <c r="J583" t="n">
        <v>0</v>
      </c>
      <c r="K583" t="n">
        <v>0</v>
      </c>
      <c r="L583" t="n">
        <v>0</v>
      </c>
      <c r="M583" t="n">
        <v>0</v>
      </c>
      <c r="N583" t="n">
        <v>0</v>
      </c>
      <c r="O583" t="n">
        <v>0</v>
      </c>
      <c r="P583" t="n">
        <v>0</v>
      </c>
      <c r="Q583" t="n">
        <v>0</v>
      </c>
      <c r="R583" s="2" t="inlineStr"/>
    </row>
    <row r="584" ht="15" customHeight="1">
      <c r="A584" t="inlineStr">
        <is>
          <t>A 58630-2024</t>
        </is>
      </c>
      <c r="B584" s="1" t="n">
        <v>45635.57331018519</v>
      </c>
      <c r="C584" s="1" t="n">
        <v>46106</v>
      </c>
      <c r="D584" t="inlineStr">
        <is>
          <t>JÄMTLANDS LÄN</t>
        </is>
      </c>
      <c r="E584" t="inlineStr">
        <is>
          <t>RAGUNDA</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32777-2025</t>
        </is>
      </c>
      <c r="B585" s="1" t="n">
        <v>45839.46915509259</v>
      </c>
      <c r="C585" s="1" t="n">
        <v>46106</v>
      </c>
      <c r="D585" t="inlineStr">
        <is>
          <t>JÄMTLANDS LÄN</t>
        </is>
      </c>
      <c r="E585" t="inlineStr">
        <is>
          <t>RAGUNDA</t>
        </is>
      </c>
      <c r="F585" t="inlineStr">
        <is>
          <t>SCA</t>
        </is>
      </c>
      <c r="G585" t="n">
        <v>21.7</v>
      </c>
      <c r="H585" t="n">
        <v>0</v>
      </c>
      <c r="I585" t="n">
        <v>0</v>
      </c>
      <c r="J585" t="n">
        <v>0</v>
      </c>
      <c r="K585" t="n">
        <v>0</v>
      </c>
      <c r="L585" t="n">
        <v>0</v>
      </c>
      <c r="M585" t="n">
        <v>0</v>
      </c>
      <c r="N585" t="n">
        <v>0</v>
      </c>
      <c r="O585" t="n">
        <v>0</v>
      </c>
      <c r="P585" t="n">
        <v>0</v>
      </c>
      <c r="Q585" t="n">
        <v>0</v>
      </c>
      <c r="R585" s="2" t="inlineStr"/>
    </row>
    <row r="586" ht="15" customHeight="1">
      <c r="A586" t="inlineStr">
        <is>
          <t>A 46549-2023</t>
        </is>
      </c>
      <c r="B586" s="1" t="n">
        <v>45197.94171296297</v>
      </c>
      <c r="C586" s="1" t="n">
        <v>46106</v>
      </c>
      <c r="D586" t="inlineStr">
        <is>
          <t>JÄMTLANDS LÄN</t>
        </is>
      </c>
      <c r="E586" t="inlineStr">
        <is>
          <t>RAGUNDA</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32430-2025</t>
        </is>
      </c>
      <c r="B587" s="1" t="n">
        <v>45838.36532407408</v>
      </c>
      <c r="C587" s="1" t="n">
        <v>46106</v>
      </c>
      <c r="D587" t="inlineStr">
        <is>
          <t>JÄMTLANDS LÄN</t>
        </is>
      </c>
      <c r="E587" t="inlineStr">
        <is>
          <t>RAGUNDA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32747-2025</t>
        </is>
      </c>
      <c r="B588" s="1" t="n">
        <v>45839.42810185185</v>
      </c>
      <c r="C588" s="1" t="n">
        <v>46106</v>
      </c>
      <c r="D588" t="inlineStr">
        <is>
          <t>JÄMTLANDS LÄN</t>
        </is>
      </c>
      <c r="E588" t="inlineStr">
        <is>
          <t>RAGUNDA</t>
        </is>
      </c>
      <c r="F588" t="inlineStr">
        <is>
          <t>SCA</t>
        </is>
      </c>
      <c r="G588" t="n">
        <v>4.5</v>
      </c>
      <c r="H588" t="n">
        <v>0</v>
      </c>
      <c r="I588" t="n">
        <v>0</v>
      </c>
      <c r="J588" t="n">
        <v>0</v>
      </c>
      <c r="K588" t="n">
        <v>0</v>
      </c>
      <c r="L588" t="n">
        <v>0</v>
      </c>
      <c r="M588" t="n">
        <v>0</v>
      </c>
      <c r="N588" t="n">
        <v>0</v>
      </c>
      <c r="O588" t="n">
        <v>0</v>
      </c>
      <c r="P588" t="n">
        <v>0</v>
      </c>
      <c r="Q588" t="n">
        <v>0</v>
      </c>
      <c r="R588" s="2" t="inlineStr"/>
    </row>
    <row r="589" ht="15" customHeight="1">
      <c r="A589" t="inlineStr">
        <is>
          <t>A 32757-2025</t>
        </is>
      </c>
      <c r="B589" s="1" t="n">
        <v>45838</v>
      </c>
      <c r="C589" s="1" t="n">
        <v>46106</v>
      </c>
      <c r="D589" t="inlineStr">
        <is>
          <t>JÄMTLANDS LÄN</t>
        </is>
      </c>
      <c r="E589" t="inlineStr">
        <is>
          <t>RAGUNDA</t>
        </is>
      </c>
      <c r="G589" t="n">
        <v>4.5</v>
      </c>
      <c r="H589" t="n">
        <v>0</v>
      </c>
      <c r="I589" t="n">
        <v>0</v>
      </c>
      <c r="J589" t="n">
        <v>0</v>
      </c>
      <c r="K589" t="n">
        <v>0</v>
      </c>
      <c r="L589" t="n">
        <v>0</v>
      </c>
      <c r="M589" t="n">
        <v>0</v>
      </c>
      <c r="N589" t="n">
        <v>0</v>
      </c>
      <c r="O589" t="n">
        <v>0</v>
      </c>
      <c r="P589" t="n">
        <v>0</v>
      </c>
      <c r="Q589" t="n">
        <v>0</v>
      </c>
      <c r="R589" s="2" t="inlineStr"/>
    </row>
    <row r="590" ht="15" customHeight="1">
      <c r="A590" t="inlineStr">
        <is>
          <t>A 32258-2024</t>
        </is>
      </c>
      <c r="B590" s="1" t="n">
        <v>45511</v>
      </c>
      <c r="C590" s="1" t="n">
        <v>46106</v>
      </c>
      <c r="D590" t="inlineStr">
        <is>
          <t>JÄMTLANDS LÄN</t>
        </is>
      </c>
      <c r="E590" t="inlineStr">
        <is>
          <t>RAGUNDA</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38270-2021</t>
        </is>
      </c>
      <c r="B591" s="1" t="n">
        <v>44405.92065972222</v>
      </c>
      <c r="C591" s="1" t="n">
        <v>46106</v>
      </c>
      <c r="D591" t="inlineStr">
        <is>
          <t>JÄMTLANDS LÄN</t>
        </is>
      </c>
      <c r="E591" t="inlineStr">
        <is>
          <t>RAGUNDA</t>
        </is>
      </c>
      <c r="G591" t="n">
        <v>1.3</v>
      </c>
      <c r="H591" t="n">
        <v>0</v>
      </c>
      <c r="I591" t="n">
        <v>0</v>
      </c>
      <c r="J591" t="n">
        <v>0</v>
      </c>
      <c r="K591" t="n">
        <v>0</v>
      </c>
      <c r="L591" t="n">
        <v>0</v>
      </c>
      <c r="M591" t="n">
        <v>0</v>
      </c>
      <c r="N591" t="n">
        <v>0</v>
      </c>
      <c r="O591" t="n">
        <v>0</v>
      </c>
      <c r="P591" t="n">
        <v>0</v>
      </c>
      <c r="Q591" t="n">
        <v>0</v>
      </c>
      <c r="R591" s="2" t="inlineStr"/>
    </row>
    <row r="592" ht="15" customHeight="1">
      <c r="A592" t="inlineStr">
        <is>
          <t>A 32846-2025</t>
        </is>
      </c>
      <c r="B592" s="1" t="n">
        <v>45839.57331018519</v>
      </c>
      <c r="C592" s="1" t="n">
        <v>46106</v>
      </c>
      <c r="D592" t="inlineStr">
        <is>
          <t>JÄMTLANDS LÄN</t>
        </is>
      </c>
      <c r="E592" t="inlineStr">
        <is>
          <t>RAGUNDA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29257-2024</t>
        </is>
      </c>
      <c r="B593" s="1" t="n">
        <v>45482.94815972223</v>
      </c>
      <c r="C593" s="1" t="n">
        <v>46106</v>
      </c>
      <c r="D593" t="inlineStr">
        <is>
          <t>JÄMTLANDS LÄN</t>
        </is>
      </c>
      <c r="E593" t="inlineStr">
        <is>
          <t>RAGUNDA</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27373-2023</t>
        </is>
      </c>
      <c r="B594" s="1" t="n">
        <v>45096.93866898148</v>
      </c>
      <c r="C594" s="1" t="n">
        <v>46106</v>
      </c>
      <c r="D594" t="inlineStr">
        <is>
          <t>JÄMTLANDS LÄN</t>
        </is>
      </c>
      <c r="E594" t="inlineStr">
        <is>
          <t>RAGUNDA</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32748-2025</t>
        </is>
      </c>
      <c r="B595" s="1" t="n">
        <v>45839.42822916667</v>
      </c>
      <c r="C595" s="1" t="n">
        <v>46106</v>
      </c>
      <c r="D595" t="inlineStr">
        <is>
          <t>JÄMTLANDS LÄN</t>
        </is>
      </c>
      <c r="E595" t="inlineStr">
        <is>
          <t>RAGUNDA</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62115-2024</t>
        </is>
      </c>
      <c r="B596" s="1" t="n">
        <v>45656</v>
      </c>
      <c r="C596" s="1" t="n">
        <v>46106</v>
      </c>
      <c r="D596" t="inlineStr">
        <is>
          <t>JÄMTLANDS LÄN</t>
        </is>
      </c>
      <c r="E596" t="inlineStr">
        <is>
          <t>RAGUNDA</t>
        </is>
      </c>
      <c r="G596" t="n">
        <v>3.3</v>
      </c>
      <c r="H596" t="n">
        <v>0</v>
      </c>
      <c r="I596" t="n">
        <v>0</v>
      </c>
      <c r="J596" t="n">
        <v>0</v>
      </c>
      <c r="K596" t="n">
        <v>0</v>
      </c>
      <c r="L596" t="n">
        <v>0</v>
      </c>
      <c r="M596" t="n">
        <v>0</v>
      </c>
      <c r="N596" t="n">
        <v>0</v>
      </c>
      <c r="O596" t="n">
        <v>0</v>
      </c>
      <c r="P596" t="n">
        <v>0</v>
      </c>
      <c r="Q596" t="n">
        <v>0</v>
      </c>
      <c r="R596" s="2" t="inlineStr"/>
    </row>
    <row r="597" ht="15" customHeight="1">
      <c r="A597" t="inlineStr">
        <is>
          <t>A 32762-2025</t>
        </is>
      </c>
      <c r="B597" s="1" t="n">
        <v>45838</v>
      </c>
      <c r="C597" s="1" t="n">
        <v>46106</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42269-2025</t>
        </is>
      </c>
      <c r="B598" s="1" t="n">
        <v>45904.60431712963</v>
      </c>
      <c r="C598" s="1" t="n">
        <v>46106</v>
      </c>
      <c r="D598" t="inlineStr">
        <is>
          <t>JÄMTLANDS LÄN</t>
        </is>
      </c>
      <c r="E598" t="inlineStr">
        <is>
          <t>RAGUNDA</t>
        </is>
      </c>
      <c r="G598" t="n">
        <v>4.3</v>
      </c>
      <c r="H598" t="n">
        <v>0</v>
      </c>
      <c r="I598" t="n">
        <v>0</v>
      </c>
      <c r="J598" t="n">
        <v>0</v>
      </c>
      <c r="K598" t="n">
        <v>0</v>
      </c>
      <c r="L598" t="n">
        <v>0</v>
      </c>
      <c r="M598" t="n">
        <v>0</v>
      </c>
      <c r="N598" t="n">
        <v>0</v>
      </c>
      <c r="O598" t="n">
        <v>0</v>
      </c>
      <c r="P598" t="n">
        <v>0</v>
      </c>
      <c r="Q598" t="n">
        <v>0</v>
      </c>
      <c r="R598" s="2" t="inlineStr"/>
    </row>
    <row r="599" ht="15" customHeight="1">
      <c r="A599" t="inlineStr">
        <is>
          <t>A 12653-2024</t>
        </is>
      </c>
      <c r="B599" s="1" t="n">
        <v>45384</v>
      </c>
      <c r="C599" s="1" t="n">
        <v>46106</v>
      </c>
      <c r="D599" t="inlineStr">
        <is>
          <t>JÄMTLANDS LÄN</t>
        </is>
      </c>
      <c r="E599" t="inlineStr">
        <is>
          <t>RAGUNDA</t>
        </is>
      </c>
      <c r="G599" t="n">
        <v>1.1</v>
      </c>
      <c r="H599" t="n">
        <v>0</v>
      </c>
      <c r="I599" t="n">
        <v>0</v>
      </c>
      <c r="J599" t="n">
        <v>0</v>
      </c>
      <c r="K599" t="n">
        <v>0</v>
      </c>
      <c r="L599" t="n">
        <v>0</v>
      </c>
      <c r="M599" t="n">
        <v>0</v>
      </c>
      <c r="N599" t="n">
        <v>0</v>
      </c>
      <c r="O599" t="n">
        <v>0</v>
      </c>
      <c r="P599" t="n">
        <v>0</v>
      </c>
      <c r="Q599" t="n">
        <v>0</v>
      </c>
      <c r="R599" s="2" t="inlineStr"/>
    </row>
    <row r="600" ht="15" customHeight="1">
      <c r="A600" t="inlineStr">
        <is>
          <t>A 32660-2025</t>
        </is>
      </c>
      <c r="B600" s="1" t="n">
        <v>45838.67887731481</v>
      </c>
      <c r="C600" s="1" t="n">
        <v>46106</v>
      </c>
      <c r="D600" t="inlineStr">
        <is>
          <t>JÄMTLANDS LÄN</t>
        </is>
      </c>
      <c r="E600" t="inlineStr">
        <is>
          <t>RAGUNDA</t>
        </is>
      </c>
      <c r="F600" t="inlineStr">
        <is>
          <t>SCA</t>
        </is>
      </c>
      <c r="G600" t="n">
        <v>10.3</v>
      </c>
      <c r="H600" t="n">
        <v>0</v>
      </c>
      <c r="I600" t="n">
        <v>0</v>
      </c>
      <c r="J600" t="n">
        <v>0</v>
      </c>
      <c r="K600" t="n">
        <v>0</v>
      </c>
      <c r="L600" t="n">
        <v>0</v>
      </c>
      <c r="M600" t="n">
        <v>0</v>
      </c>
      <c r="N600" t="n">
        <v>0</v>
      </c>
      <c r="O600" t="n">
        <v>0</v>
      </c>
      <c r="P600" t="n">
        <v>0</v>
      </c>
      <c r="Q600" t="n">
        <v>0</v>
      </c>
      <c r="R600" s="2" t="inlineStr"/>
    </row>
    <row r="601" ht="15" customHeight="1">
      <c r="A601" t="inlineStr">
        <is>
          <t>A 50211-2023</t>
        </is>
      </c>
      <c r="B601" s="1" t="n">
        <v>45215.94657407407</v>
      </c>
      <c r="C601" s="1" t="n">
        <v>46106</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32527-2025</t>
        </is>
      </c>
      <c r="B602" s="1" t="n">
        <v>45838.48996527777</v>
      </c>
      <c r="C602" s="1" t="n">
        <v>46106</v>
      </c>
      <c r="D602" t="inlineStr">
        <is>
          <t>JÄMTLANDS LÄN</t>
        </is>
      </c>
      <c r="E602" t="inlineStr">
        <is>
          <t>RAGUNDA</t>
        </is>
      </c>
      <c r="G602" t="n">
        <v>5</v>
      </c>
      <c r="H602" t="n">
        <v>0</v>
      </c>
      <c r="I602" t="n">
        <v>0</v>
      </c>
      <c r="J602" t="n">
        <v>0</v>
      </c>
      <c r="K602" t="n">
        <v>0</v>
      </c>
      <c r="L602" t="n">
        <v>0</v>
      </c>
      <c r="M602" t="n">
        <v>0</v>
      </c>
      <c r="N602" t="n">
        <v>0</v>
      </c>
      <c r="O602" t="n">
        <v>0</v>
      </c>
      <c r="P602" t="n">
        <v>0</v>
      </c>
      <c r="Q602" t="n">
        <v>0</v>
      </c>
      <c r="R602" s="2" t="inlineStr"/>
    </row>
    <row r="603" ht="15" customHeight="1">
      <c r="A603" t="inlineStr">
        <is>
          <t>A 9232-2025</t>
        </is>
      </c>
      <c r="B603" s="1" t="n">
        <v>45714.55064814815</v>
      </c>
      <c r="C603" s="1" t="n">
        <v>46106</v>
      </c>
      <c r="D603" t="inlineStr">
        <is>
          <t>JÄMTLANDS LÄN</t>
        </is>
      </c>
      <c r="E603" t="inlineStr">
        <is>
          <t>RAGUNDA</t>
        </is>
      </c>
      <c r="G603" t="n">
        <v>1.9</v>
      </c>
      <c r="H603" t="n">
        <v>0</v>
      </c>
      <c r="I603" t="n">
        <v>0</v>
      </c>
      <c r="J603" t="n">
        <v>0</v>
      </c>
      <c r="K603" t="n">
        <v>0</v>
      </c>
      <c r="L603" t="n">
        <v>0</v>
      </c>
      <c r="M603" t="n">
        <v>0</v>
      </c>
      <c r="N603" t="n">
        <v>0</v>
      </c>
      <c r="O603" t="n">
        <v>0</v>
      </c>
      <c r="P603" t="n">
        <v>0</v>
      </c>
      <c r="Q603" t="n">
        <v>0</v>
      </c>
      <c r="R603" s="2" t="inlineStr"/>
    </row>
    <row r="604" ht="15" customHeight="1">
      <c r="A604" t="inlineStr">
        <is>
          <t>A 33140-2025</t>
        </is>
      </c>
      <c r="B604" s="1" t="n">
        <v>45840.52225694444</v>
      </c>
      <c r="C604" s="1" t="n">
        <v>46106</v>
      </c>
      <c r="D604" t="inlineStr">
        <is>
          <t>JÄMTLANDS LÄN</t>
        </is>
      </c>
      <c r="E604" t="inlineStr">
        <is>
          <t>RAGUNDA</t>
        </is>
      </c>
      <c r="G604" t="n">
        <v>2</v>
      </c>
      <c r="H604" t="n">
        <v>0</v>
      </c>
      <c r="I604" t="n">
        <v>0</v>
      </c>
      <c r="J604" t="n">
        <v>0</v>
      </c>
      <c r="K604" t="n">
        <v>0</v>
      </c>
      <c r="L604" t="n">
        <v>0</v>
      </c>
      <c r="M604" t="n">
        <v>0</v>
      </c>
      <c r="N604" t="n">
        <v>0</v>
      </c>
      <c r="O604" t="n">
        <v>0</v>
      </c>
      <c r="P604" t="n">
        <v>0</v>
      </c>
      <c r="Q604" t="n">
        <v>0</v>
      </c>
      <c r="R604" s="2" t="inlineStr"/>
    </row>
    <row r="605" ht="15" customHeight="1">
      <c r="A605" t="inlineStr">
        <is>
          <t>A 29775-2023</t>
        </is>
      </c>
      <c r="B605" s="1" t="n">
        <v>45098</v>
      </c>
      <c r="C605" s="1" t="n">
        <v>46106</v>
      </c>
      <c r="D605" t="inlineStr">
        <is>
          <t>JÄMTLANDS LÄN</t>
        </is>
      </c>
      <c r="E605" t="inlineStr">
        <is>
          <t>RAGUNDA</t>
        </is>
      </c>
      <c r="G605" t="n">
        <v>3.6</v>
      </c>
      <c r="H605" t="n">
        <v>0</v>
      </c>
      <c r="I605" t="n">
        <v>0</v>
      </c>
      <c r="J605" t="n">
        <v>0</v>
      </c>
      <c r="K605" t="n">
        <v>0</v>
      </c>
      <c r="L605" t="n">
        <v>0</v>
      </c>
      <c r="M605" t="n">
        <v>0</v>
      </c>
      <c r="N605" t="n">
        <v>0</v>
      </c>
      <c r="O605" t="n">
        <v>0</v>
      </c>
      <c r="P605" t="n">
        <v>0</v>
      </c>
      <c r="Q605" t="n">
        <v>0</v>
      </c>
      <c r="R605" s="2" t="inlineStr"/>
    </row>
    <row r="606" ht="15" customHeight="1">
      <c r="A606" t="inlineStr">
        <is>
          <t>A 33556-2025</t>
        </is>
      </c>
      <c r="B606" s="1" t="n">
        <v>45841.57427083333</v>
      </c>
      <c r="C606" s="1" t="n">
        <v>46106</v>
      </c>
      <c r="D606" t="inlineStr">
        <is>
          <t>JÄMTLANDS LÄN</t>
        </is>
      </c>
      <c r="E606" t="inlineStr">
        <is>
          <t>RAGUNDA</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33763-2025</t>
        </is>
      </c>
      <c r="B607" s="1" t="n">
        <v>45842.38579861111</v>
      </c>
      <c r="C607" s="1" t="n">
        <v>46106</v>
      </c>
      <c r="D607" t="inlineStr">
        <is>
          <t>JÄMTLANDS LÄN</t>
        </is>
      </c>
      <c r="E607" t="inlineStr">
        <is>
          <t>RAGUNDA</t>
        </is>
      </c>
      <c r="F607" t="inlineStr">
        <is>
          <t>SCA</t>
        </is>
      </c>
      <c r="G607" t="n">
        <v>13.4</v>
      </c>
      <c r="H607" t="n">
        <v>0</v>
      </c>
      <c r="I607" t="n">
        <v>0</v>
      </c>
      <c r="J607" t="n">
        <v>0</v>
      </c>
      <c r="K607" t="n">
        <v>0</v>
      </c>
      <c r="L607" t="n">
        <v>0</v>
      </c>
      <c r="M607" t="n">
        <v>0</v>
      </c>
      <c r="N607" t="n">
        <v>0</v>
      </c>
      <c r="O607" t="n">
        <v>0</v>
      </c>
      <c r="P607" t="n">
        <v>0</v>
      </c>
      <c r="Q607" t="n">
        <v>0</v>
      </c>
      <c r="R607" s="2" t="inlineStr"/>
    </row>
    <row r="608" ht="15" customHeight="1">
      <c r="A608" t="inlineStr">
        <is>
          <t>A 44494-2024</t>
        </is>
      </c>
      <c r="B608" s="1" t="n">
        <v>45574.39081018518</v>
      </c>
      <c r="C608" s="1" t="n">
        <v>46106</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13898-2023</t>
        </is>
      </c>
      <c r="B609" s="1" t="n">
        <v>45008.01408564814</v>
      </c>
      <c r="C609" s="1" t="n">
        <v>46106</v>
      </c>
      <c r="D609" t="inlineStr">
        <is>
          <t>JÄMTLANDS LÄN</t>
        </is>
      </c>
      <c r="E609" t="inlineStr">
        <is>
          <t>RAGUNDA</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43177-2025</t>
        </is>
      </c>
      <c r="B610" s="1" t="n">
        <v>45910.40667824074</v>
      </c>
      <c r="C610" s="1" t="n">
        <v>46106</v>
      </c>
      <c r="D610" t="inlineStr">
        <is>
          <t>JÄMTLANDS LÄN</t>
        </is>
      </c>
      <c r="E610" t="inlineStr">
        <is>
          <t>RAGUNDA</t>
        </is>
      </c>
      <c r="F610" t="inlineStr">
        <is>
          <t>SCA</t>
        </is>
      </c>
      <c r="G610" t="n">
        <v>4.9</v>
      </c>
      <c r="H610" t="n">
        <v>0</v>
      </c>
      <c r="I610" t="n">
        <v>0</v>
      </c>
      <c r="J610" t="n">
        <v>0</v>
      </c>
      <c r="K610" t="n">
        <v>0</v>
      </c>
      <c r="L610" t="n">
        <v>0</v>
      </c>
      <c r="M610" t="n">
        <v>0</v>
      </c>
      <c r="N610" t="n">
        <v>0</v>
      </c>
      <c r="O610" t="n">
        <v>0</v>
      </c>
      <c r="P610" t="n">
        <v>0</v>
      </c>
      <c r="Q610" t="n">
        <v>0</v>
      </c>
      <c r="R610" s="2" t="inlineStr"/>
    </row>
    <row r="611" ht="15" customHeight="1">
      <c r="A611" t="inlineStr">
        <is>
          <t>A 43181-2025</t>
        </is>
      </c>
      <c r="B611" s="1" t="n">
        <v>45910.40721064815</v>
      </c>
      <c r="C611" s="1" t="n">
        <v>46106</v>
      </c>
      <c r="D611" t="inlineStr">
        <is>
          <t>JÄMTLANDS LÄN</t>
        </is>
      </c>
      <c r="E611" t="inlineStr">
        <is>
          <t>RAGUNDA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26026-2024</t>
        </is>
      </c>
      <c r="B612" s="1" t="n">
        <v>45467.96207175926</v>
      </c>
      <c r="C612" s="1" t="n">
        <v>46106</v>
      </c>
      <c r="D612" t="inlineStr">
        <is>
          <t>JÄMTLANDS LÄN</t>
        </is>
      </c>
      <c r="E612" t="inlineStr">
        <is>
          <t>RAGUNDA</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43330-2025</t>
        </is>
      </c>
      <c r="B613" s="1" t="n">
        <v>45910.67766203704</v>
      </c>
      <c r="C613" s="1" t="n">
        <v>46106</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33790-2025</t>
        </is>
      </c>
      <c r="B614" s="1" t="n">
        <v>45842.42608796297</v>
      </c>
      <c r="C614" s="1" t="n">
        <v>46106</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34607-2025</t>
        </is>
      </c>
      <c r="B615" s="1" t="n">
        <v>45847.65703703704</v>
      </c>
      <c r="C615" s="1" t="n">
        <v>46106</v>
      </c>
      <c r="D615" t="inlineStr">
        <is>
          <t>JÄMTLANDS LÄN</t>
        </is>
      </c>
      <c r="E615" t="inlineStr">
        <is>
          <t>RAGUNDA</t>
        </is>
      </c>
      <c r="F615" t="inlineStr">
        <is>
          <t>SCA</t>
        </is>
      </c>
      <c r="G615" t="n">
        <v>31.4</v>
      </c>
      <c r="H615" t="n">
        <v>0</v>
      </c>
      <c r="I615" t="n">
        <v>0</v>
      </c>
      <c r="J615" t="n">
        <v>0</v>
      </c>
      <c r="K615" t="n">
        <v>0</v>
      </c>
      <c r="L615" t="n">
        <v>0</v>
      </c>
      <c r="M615" t="n">
        <v>0</v>
      </c>
      <c r="N615" t="n">
        <v>0</v>
      </c>
      <c r="O615" t="n">
        <v>0</v>
      </c>
      <c r="P615" t="n">
        <v>0</v>
      </c>
      <c r="Q615" t="n">
        <v>0</v>
      </c>
      <c r="R615" s="2" t="inlineStr"/>
    </row>
    <row r="616" ht="15" customHeight="1">
      <c r="A616" t="inlineStr">
        <is>
          <t>A 34461-2025</t>
        </is>
      </c>
      <c r="B616" s="1" t="n">
        <v>45847.34474537037</v>
      </c>
      <c r="C616" s="1" t="n">
        <v>46106</v>
      </c>
      <c r="D616" t="inlineStr">
        <is>
          <t>JÄMTLANDS LÄN</t>
        </is>
      </c>
      <c r="E616" t="inlineStr">
        <is>
          <t>RAGUNDA</t>
        </is>
      </c>
      <c r="F616" t="inlineStr">
        <is>
          <t>SCA</t>
        </is>
      </c>
      <c r="G616" t="n">
        <v>44.8</v>
      </c>
      <c r="H616" t="n">
        <v>0</v>
      </c>
      <c r="I616" t="n">
        <v>0</v>
      </c>
      <c r="J616" t="n">
        <v>0</v>
      </c>
      <c r="K616" t="n">
        <v>0</v>
      </c>
      <c r="L616" t="n">
        <v>0</v>
      </c>
      <c r="M616" t="n">
        <v>0</v>
      </c>
      <c r="N616" t="n">
        <v>0</v>
      </c>
      <c r="O616" t="n">
        <v>0</v>
      </c>
      <c r="P616" t="n">
        <v>0</v>
      </c>
      <c r="Q616" t="n">
        <v>0</v>
      </c>
      <c r="R616" s="2" t="inlineStr"/>
    </row>
    <row r="617" ht="15" customHeight="1">
      <c r="A617" t="inlineStr">
        <is>
          <t>A 34464-2025</t>
        </is>
      </c>
      <c r="B617" s="1" t="n">
        <v>45847.34528935186</v>
      </c>
      <c r="C617" s="1" t="n">
        <v>46106</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34468-2025</t>
        </is>
      </c>
      <c r="B618" s="1" t="n">
        <v>45847.34597222223</v>
      </c>
      <c r="C618" s="1" t="n">
        <v>46106</v>
      </c>
      <c r="D618" t="inlineStr">
        <is>
          <t>JÄMTLANDS LÄN</t>
        </is>
      </c>
      <c r="E618" t="inlineStr">
        <is>
          <t>RAGUNDA</t>
        </is>
      </c>
      <c r="F618" t="inlineStr">
        <is>
          <t>SCA</t>
        </is>
      </c>
      <c r="G618" t="n">
        <v>10</v>
      </c>
      <c r="H618" t="n">
        <v>0</v>
      </c>
      <c r="I618" t="n">
        <v>0</v>
      </c>
      <c r="J618" t="n">
        <v>0</v>
      </c>
      <c r="K618" t="n">
        <v>0</v>
      </c>
      <c r="L618" t="n">
        <v>0</v>
      </c>
      <c r="M618" t="n">
        <v>0</v>
      </c>
      <c r="N618" t="n">
        <v>0</v>
      </c>
      <c r="O618" t="n">
        <v>0</v>
      </c>
      <c r="P618" t="n">
        <v>0</v>
      </c>
      <c r="Q618" t="n">
        <v>0</v>
      </c>
      <c r="R618" s="2" t="inlineStr"/>
    </row>
    <row r="619" ht="15" customHeight="1">
      <c r="A619" t="inlineStr">
        <is>
          <t>A 34466-2025</t>
        </is>
      </c>
      <c r="B619" s="1" t="n">
        <v>45847.34565972222</v>
      </c>
      <c r="C619" s="1" t="n">
        <v>46106</v>
      </c>
      <c r="D619" t="inlineStr">
        <is>
          <t>JÄMTLANDS LÄN</t>
        </is>
      </c>
      <c r="E619" t="inlineStr">
        <is>
          <t>RAGUNDA</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34463-2025</t>
        </is>
      </c>
      <c r="B620" s="1" t="n">
        <v>45847.34515046296</v>
      </c>
      <c r="C620" s="1" t="n">
        <v>46106</v>
      </c>
      <c r="D620" t="inlineStr">
        <is>
          <t>JÄMTLANDS LÄN</t>
        </is>
      </c>
      <c r="E620" t="inlineStr">
        <is>
          <t>RAGUNDA</t>
        </is>
      </c>
      <c r="F620" t="inlineStr">
        <is>
          <t>SCA</t>
        </is>
      </c>
      <c r="G620" t="n">
        <v>6.1</v>
      </c>
      <c r="H620" t="n">
        <v>0</v>
      </c>
      <c r="I620" t="n">
        <v>0</v>
      </c>
      <c r="J620" t="n">
        <v>0</v>
      </c>
      <c r="K620" t="n">
        <v>0</v>
      </c>
      <c r="L620" t="n">
        <v>0</v>
      </c>
      <c r="M620" t="n">
        <v>0</v>
      </c>
      <c r="N620" t="n">
        <v>0</v>
      </c>
      <c r="O620" t="n">
        <v>0</v>
      </c>
      <c r="P620" t="n">
        <v>0</v>
      </c>
      <c r="Q620" t="n">
        <v>0</v>
      </c>
      <c r="R620" s="2" t="inlineStr"/>
    </row>
    <row r="621" ht="15" customHeight="1">
      <c r="A621" t="inlineStr">
        <is>
          <t>A 5429-2024</t>
        </is>
      </c>
      <c r="B621" s="1" t="n">
        <v>45331.92746527777</v>
      </c>
      <c r="C621" s="1" t="n">
        <v>46106</v>
      </c>
      <c r="D621" t="inlineStr">
        <is>
          <t>JÄMTLANDS LÄN</t>
        </is>
      </c>
      <c r="E621" t="inlineStr">
        <is>
          <t>RAGUNDA</t>
        </is>
      </c>
      <c r="G621" t="n">
        <v>1.1</v>
      </c>
      <c r="H621" t="n">
        <v>0</v>
      </c>
      <c r="I621" t="n">
        <v>0</v>
      </c>
      <c r="J621" t="n">
        <v>0</v>
      </c>
      <c r="K621" t="n">
        <v>0</v>
      </c>
      <c r="L621" t="n">
        <v>0</v>
      </c>
      <c r="M621" t="n">
        <v>0</v>
      </c>
      <c r="N621" t="n">
        <v>0</v>
      </c>
      <c r="O621" t="n">
        <v>0</v>
      </c>
      <c r="P621" t="n">
        <v>0</v>
      </c>
      <c r="Q621" t="n">
        <v>0</v>
      </c>
      <c r="R621" s="2" t="inlineStr"/>
    </row>
    <row r="622" ht="15" customHeight="1">
      <c r="A622" t="inlineStr">
        <is>
          <t>A 15349-2026</t>
        </is>
      </c>
      <c r="B622" s="1" t="n">
        <v>46105.69865740741</v>
      </c>
      <c r="C622" s="1" t="n">
        <v>46106</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34586-2025</t>
        </is>
      </c>
      <c r="B623" s="1" t="n">
        <v>45847.61513888889</v>
      </c>
      <c r="C623" s="1" t="n">
        <v>46106</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34588-2025</t>
        </is>
      </c>
      <c r="B624" s="1" t="n">
        <v>45847.61548611111</v>
      </c>
      <c r="C624" s="1" t="n">
        <v>46106</v>
      </c>
      <c r="D624" t="inlineStr">
        <is>
          <t>JÄMTLANDS LÄN</t>
        </is>
      </c>
      <c r="E624" t="inlineStr">
        <is>
          <t>RAGUNDA</t>
        </is>
      </c>
      <c r="G624" t="n">
        <v>32.3</v>
      </c>
      <c r="H624" t="n">
        <v>0</v>
      </c>
      <c r="I624" t="n">
        <v>0</v>
      </c>
      <c r="J624" t="n">
        <v>0</v>
      </c>
      <c r="K624" t="n">
        <v>0</v>
      </c>
      <c r="L624" t="n">
        <v>0</v>
      </c>
      <c r="M624" t="n">
        <v>0</v>
      </c>
      <c r="N624" t="n">
        <v>0</v>
      </c>
      <c r="O624" t="n">
        <v>0</v>
      </c>
      <c r="P624" t="n">
        <v>0</v>
      </c>
      <c r="Q624" t="n">
        <v>0</v>
      </c>
      <c r="R624" s="2" t="inlineStr"/>
    </row>
    <row r="625" ht="15" customHeight="1">
      <c r="A625" t="inlineStr">
        <is>
          <t>A 34296-2025</t>
        </is>
      </c>
      <c r="B625" s="1" t="n">
        <v>45846.34454861111</v>
      </c>
      <c r="C625" s="1" t="n">
        <v>46106</v>
      </c>
      <c r="D625" t="inlineStr">
        <is>
          <t>JÄMTLANDS LÄN</t>
        </is>
      </c>
      <c r="E625" t="inlineStr">
        <is>
          <t>RAGUNDA</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3720-2025</t>
        </is>
      </c>
      <c r="B626" s="1" t="n">
        <v>45681.5315625</v>
      </c>
      <c r="C626" s="1" t="n">
        <v>46106</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3770-2025</t>
        </is>
      </c>
      <c r="B627" s="1" t="n">
        <v>45681.6050925926</v>
      </c>
      <c r="C627" s="1" t="n">
        <v>46106</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34709-2025</t>
        </is>
      </c>
      <c r="B628" s="1" t="n">
        <v>45848.49761574074</v>
      </c>
      <c r="C628" s="1" t="n">
        <v>46106</v>
      </c>
      <c r="D628" t="inlineStr">
        <is>
          <t>JÄMTLANDS LÄN</t>
        </is>
      </c>
      <c r="E628" t="inlineStr">
        <is>
          <t>RAGUNDA</t>
        </is>
      </c>
      <c r="G628" t="n">
        <v>3.1</v>
      </c>
      <c r="H628" t="n">
        <v>0</v>
      </c>
      <c r="I628" t="n">
        <v>0</v>
      </c>
      <c r="J628" t="n">
        <v>0</v>
      </c>
      <c r="K628" t="n">
        <v>0</v>
      </c>
      <c r="L628" t="n">
        <v>0</v>
      </c>
      <c r="M628" t="n">
        <v>0</v>
      </c>
      <c r="N628" t="n">
        <v>0</v>
      </c>
      <c r="O628" t="n">
        <v>0</v>
      </c>
      <c r="P628" t="n">
        <v>0</v>
      </c>
      <c r="Q628" t="n">
        <v>0</v>
      </c>
      <c r="R628" s="2" t="inlineStr"/>
    </row>
    <row r="629" ht="15" customHeight="1">
      <c r="A629" t="inlineStr">
        <is>
          <t>A 34772-2025</t>
        </is>
      </c>
      <c r="B629" s="1" t="n">
        <v>45848.65658564815</v>
      </c>
      <c r="C629" s="1" t="n">
        <v>46106</v>
      </c>
      <c r="D629" t="inlineStr">
        <is>
          <t>JÄMTLANDS LÄN</t>
        </is>
      </c>
      <c r="E629" t="inlineStr">
        <is>
          <t>RAGUNDA</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51579-2024</t>
        </is>
      </c>
      <c r="B630" s="1" t="n">
        <v>45604.63575231482</v>
      </c>
      <c r="C630" s="1" t="n">
        <v>46106</v>
      </c>
      <c r="D630" t="inlineStr">
        <is>
          <t>JÄMTLANDS LÄN</t>
        </is>
      </c>
      <c r="E630" t="inlineStr">
        <is>
          <t>RAGUNDA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34710-2025</t>
        </is>
      </c>
      <c r="B631" s="1" t="n">
        <v>45848.49774305556</v>
      </c>
      <c r="C631" s="1" t="n">
        <v>46106</v>
      </c>
      <c r="D631" t="inlineStr">
        <is>
          <t>JÄMTLANDS LÄN</t>
        </is>
      </c>
      <c r="E631" t="inlineStr">
        <is>
          <t>RAGUNDA</t>
        </is>
      </c>
      <c r="G631" t="n">
        <v>4.1</v>
      </c>
      <c r="H631" t="n">
        <v>0</v>
      </c>
      <c r="I631" t="n">
        <v>0</v>
      </c>
      <c r="J631" t="n">
        <v>0</v>
      </c>
      <c r="K631" t="n">
        <v>0</v>
      </c>
      <c r="L631" t="n">
        <v>0</v>
      </c>
      <c r="M631" t="n">
        <v>0</v>
      </c>
      <c r="N631" t="n">
        <v>0</v>
      </c>
      <c r="O631" t="n">
        <v>0</v>
      </c>
      <c r="P631" t="n">
        <v>0</v>
      </c>
      <c r="Q631" t="n">
        <v>0</v>
      </c>
      <c r="R631" s="2" t="inlineStr"/>
    </row>
    <row r="632" ht="15" customHeight="1">
      <c r="A632" t="inlineStr">
        <is>
          <t>A 8775-2025</t>
        </is>
      </c>
      <c r="B632" s="1" t="n">
        <v>45712.61502314815</v>
      </c>
      <c r="C632" s="1" t="n">
        <v>46106</v>
      </c>
      <c r="D632" t="inlineStr">
        <is>
          <t>JÄMTLANDS LÄN</t>
        </is>
      </c>
      <c r="E632" t="inlineStr">
        <is>
          <t>RAGUNDA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34968-2025</t>
        </is>
      </c>
      <c r="B633" s="1" t="n">
        <v>45849.65663194445</v>
      </c>
      <c r="C633" s="1" t="n">
        <v>46106</v>
      </c>
      <c r="D633" t="inlineStr">
        <is>
          <t>JÄMTLANDS LÄN</t>
        </is>
      </c>
      <c r="E633" t="inlineStr">
        <is>
          <t>RAGUNDA</t>
        </is>
      </c>
      <c r="F633" t="inlineStr">
        <is>
          <t>SCA</t>
        </is>
      </c>
      <c r="G633" t="n">
        <v>20.2</v>
      </c>
      <c r="H633" t="n">
        <v>0</v>
      </c>
      <c r="I633" t="n">
        <v>0</v>
      </c>
      <c r="J633" t="n">
        <v>0</v>
      </c>
      <c r="K633" t="n">
        <v>0</v>
      </c>
      <c r="L633" t="n">
        <v>0</v>
      </c>
      <c r="M633" t="n">
        <v>0</v>
      </c>
      <c r="N633" t="n">
        <v>0</v>
      </c>
      <c r="O633" t="n">
        <v>0</v>
      </c>
      <c r="P633" t="n">
        <v>0</v>
      </c>
      <c r="Q633" t="n">
        <v>0</v>
      </c>
      <c r="R633" s="2" t="inlineStr"/>
    </row>
    <row r="634" ht="15" customHeight="1">
      <c r="A634" t="inlineStr">
        <is>
          <t>A 43776-2025</t>
        </is>
      </c>
      <c r="B634" s="1" t="n">
        <v>45912.51086805556</v>
      </c>
      <c r="C634" s="1" t="n">
        <v>46106</v>
      </c>
      <c r="D634" t="inlineStr">
        <is>
          <t>JÄMTLANDS LÄN</t>
        </is>
      </c>
      <c r="E634" t="inlineStr">
        <is>
          <t>RAGUNDA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43971-2025</t>
        </is>
      </c>
      <c r="B635" s="1" t="n">
        <v>45915.40694444445</v>
      </c>
      <c r="C635" s="1" t="n">
        <v>46106</v>
      </c>
      <c r="D635" t="inlineStr">
        <is>
          <t>JÄMTLANDS LÄN</t>
        </is>
      </c>
      <c r="E635" t="inlineStr">
        <is>
          <t>RAGUNDA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43804-2025</t>
        </is>
      </c>
      <c r="B636" s="1" t="n">
        <v>45912.57373842593</v>
      </c>
      <c r="C636" s="1" t="n">
        <v>46106</v>
      </c>
      <c r="D636" t="inlineStr">
        <is>
          <t>JÄMTLANDS LÄN</t>
        </is>
      </c>
      <c r="E636" t="inlineStr">
        <is>
          <t>RAGUNDA</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2339-2025</t>
        </is>
      </c>
      <c r="B637" s="1" t="n">
        <v>45673.66358796296</v>
      </c>
      <c r="C637" s="1" t="n">
        <v>46106</v>
      </c>
      <c r="D637" t="inlineStr">
        <is>
          <t>JÄMTLANDS LÄN</t>
        </is>
      </c>
      <c r="E637" t="inlineStr">
        <is>
          <t>RAGUNDA</t>
        </is>
      </c>
      <c r="G637" t="n">
        <v>5</v>
      </c>
      <c r="H637" t="n">
        <v>0</v>
      </c>
      <c r="I637" t="n">
        <v>0</v>
      </c>
      <c r="J637" t="n">
        <v>0</v>
      </c>
      <c r="K637" t="n">
        <v>0</v>
      </c>
      <c r="L637" t="n">
        <v>0</v>
      </c>
      <c r="M637" t="n">
        <v>0</v>
      </c>
      <c r="N637" t="n">
        <v>0</v>
      </c>
      <c r="O637" t="n">
        <v>0</v>
      </c>
      <c r="P637" t="n">
        <v>0</v>
      </c>
      <c r="Q637" t="n">
        <v>0</v>
      </c>
      <c r="R637" s="2" t="inlineStr"/>
    </row>
    <row r="638" ht="15" customHeight="1">
      <c r="A638" t="inlineStr">
        <is>
          <t>A 34998-2025</t>
        </is>
      </c>
      <c r="B638" s="1" t="n">
        <v>45850.34434027778</v>
      </c>
      <c r="C638" s="1" t="n">
        <v>46106</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34999-2025</t>
        </is>
      </c>
      <c r="B639" s="1" t="n">
        <v>45850.34450231482</v>
      </c>
      <c r="C639" s="1" t="n">
        <v>46106</v>
      </c>
      <c r="D639" t="inlineStr">
        <is>
          <t>JÄMTLANDS LÄN</t>
        </is>
      </c>
      <c r="E639" t="inlineStr">
        <is>
          <t>RAGUNDA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27499-2024</t>
        </is>
      </c>
      <c r="B640" s="1" t="n">
        <v>45474.50608796296</v>
      </c>
      <c r="C640" s="1" t="n">
        <v>46106</v>
      </c>
      <c r="D640" t="inlineStr">
        <is>
          <t>JÄMTLANDS LÄN</t>
        </is>
      </c>
      <c r="E640" t="inlineStr">
        <is>
          <t>RAGUNDA</t>
        </is>
      </c>
      <c r="G640" t="n">
        <v>1.3</v>
      </c>
      <c r="H640" t="n">
        <v>0</v>
      </c>
      <c r="I640" t="n">
        <v>0</v>
      </c>
      <c r="J640" t="n">
        <v>0</v>
      </c>
      <c r="K640" t="n">
        <v>0</v>
      </c>
      <c r="L640" t="n">
        <v>0</v>
      </c>
      <c r="M640" t="n">
        <v>0</v>
      </c>
      <c r="N640" t="n">
        <v>0</v>
      </c>
      <c r="O640" t="n">
        <v>0</v>
      </c>
      <c r="P640" t="n">
        <v>0</v>
      </c>
      <c r="Q640" t="n">
        <v>0</v>
      </c>
      <c r="R640" s="2" t="inlineStr"/>
    </row>
    <row r="641" ht="15" customHeight="1">
      <c r="A641" t="inlineStr">
        <is>
          <t>A 57078-2023</t>
        </is>
      </c>
      <c r="B641" s="1" t="n">
        <v>45244.96774305555</v>
      </c>
      <c r="C641" s="1" t="n">
        <v>46106</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8067-2026</t>
        </is>
      </c>
      <c r="B642" s="1" t="n">
        <v>46063.6358912037</v>
      </c>
      <c r="C642" s="1" t="n">
        <v>46106</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35092-2025</t>
        </is>
      </c>
      <c r="B643" s="1" t="n">
        <v>45852.53185185185</v>
      </c>
      <c r="C643" s="1" t="n">
        <v>46106</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59368-2022</t>
        </is>
      </c>
      <c r="B644" s="1" t="n">
        <v>44904.94824074074</v>
      </c>
      <c r="C644" s="1" t="n">
        <v>46106</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35091-2025</t>
        </is>
      </c>
      <c r="B645" s="1" t="n">
        <v>45852.53168981482</v>
      </c>
      <c r="C645" s="1" t="n">
        <v>46106</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6801-2023</t>
        </is>
      </c>
      <c r="B646" s="1" t="n">
        <v>44966.95328703704</v>
      </c>
      <c r="C646" s="1" t="n">
        <v>46106</v>
      </c>
      <c r="D646" t="inlineStr">
        <is>
          <t>JÄMTLANDS LÄN</t>
        </is>
      </c>
      <c r="E646" t="inlineStr">
        <is>
          <t>RAGUNDA</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35462-2025</t>
        </is>
      </c>
      <c r="B647" s="1" t="n">
        <v>45855.61523148148</v>
      </c>
      <c r="C647" s="1" t="n">
        <v>46106</v>
      </c>
      <c r="D647" t="inlineStr">
        <is>
          <t>JÄMTLANDS LÄN</t>
        </is>
      </c>
      <c r="E647" t="inlineStr">
        <is>
          <t>RAGUNDA</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41656-2023</t>
        </is>
      </c>
      <c r="B648" s="1" t="n">
        <v>45175</v>
      </c>
      <c r="C648" s="1" t="n">
        <v>46106</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35355-2025</t>
        </is>
      </c>
      <c r="B649" s="1" t="n">
        <v>45854.65663194445</v>
      </c>
      <c r="C649" s="1" t="n">
        <v>46106</v>
      </c>
      <c r="D649" t="inlineStr">
        <is>
          <t>JÄMTLANDS LÄN</t>
        </is>
      </c>
      <c r="E649" t="inlineStr">
        <is>
          <t>RAGUNDA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35477-2025</t>
        </is>
      </c>
      <c r="B650" s="1" t="n">
        <v>45855.67899305555</v>
      </c>
      <c r="C650" s="1" t="n">
        <v>46106</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51646-2023</t>
        </is>
      </c>
      <c r="B651" s="1" t="n">
        <v>45215</v>
      </c>
      <c r="C651" s="1" t="n">
        <v>46106</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37268-2024</t>
        </is>
      </c>
      <c r="B652" s="1" t="n">
        <v>45540.38586805556</v>
      </c>
      <c r="C652" s="1" t="n">
        <v>46106</v>
      </c>
      <c r="D652" t="inlineStr">
        <is>
          <t>JÄMTLANDS LÄN</t>
        </is>
      </c>
      <c r="E652" t="inlineStr">
        <is>
          <t>RAGUNDA</t>
        </is>
      </c>
      <c r="F652" t="inlineStr">
        <is>
          <t>SCA</t>
        </is>
      </c>
      <c r="G652" t="n">
        <v>6.3</v>
      </c>
      <c r="H652" t="n">
        <v>0</v>
      </c>
      <c r="I652" t="n">
        <v>0</v>
      </c>
      <c r="J652" t="n">
        <v>0</v>
      </c>
      <c r="K652" t="n">
        <v>0</v>
      </c>
      <c r="L652" t="n">
        <v>0</v>
      </c>
      <c r="M652" t="n">
        <v>0</v>
      </c>
      <c r="N652" t="n">
        <v>0</v>
      </c>
      <c r="O652" t="n">
        <v>0</v>
      </c>
      <c r="P652" t="n">
        <v>0</v>
      </c>
      <c r="Q652" t="n">
        <v>0</v>
      </c>
      <c r="R652" s="2" t="inlineStr"/>
    </row>
    <row r="653" ht="15" customHeight="1">
      <c r="A653" t="inlineStr">
        <is>
          <t>A 35541-2025</t>
        </is>
      </c>
      <c r="B653" s="1" t="n">
        <v>45856.46931712963</v>
      </c>
      <c r="C653" s="1" t="n">
        <v>46106</v>
      </c>
      <c r="D653" t="inlineStr">
        <is>
          <t>JÄMTLANDS LÄN</t>
        </is>
      </c>
      <c r="E653" t="inlineStr">
        <is>
          <t>RAGUNDA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14512-2025</t>
        </is>
      </c>
      <c r="B654" s="1" t="n">
        <v>45741.63659722222</v>
      </c>
      <c r="C654" s="1" t="n">
        <v>46106</v>
      </c>
      <c r="D654" t="inlineStr">
        <is>
          <t>JÄMTLANDS LÄN</t>
        </is>
      </c>
      <c r="E654" t="inlineStr">
        <is>
          <t>RAGUNDA</t>
        </is>
      </c>
      <c r="F654" t="inlineStr">
        <is>
          <t>SCA</t>
        </is>
      </c>
      <c r="G654" t="n">
        <v>8.9</v>
      </c>
      <c r="H654" t="n">
        <v>0</v>
      </c>
      <c r="I654" t="n">
        <v>0</v>
      </c>
      <c r="J654" t="n">
        <v>0</v>
      </c>
      <c r="K654" t="n">
        <v>0</v>
      </c>
      <c r="L654" t="n">
        <v>0</v>
      </c>
      <c r="M654" t="n">
        <v>0</v>
      </c>
      <c r="N654" t="n">
        <v>0</v>
      </c>
      <c r="O654" t="n">
        <v>0</v>
      </c>
      <c r="P654" t="n">
        <v>0</v>
      </c>
      <c r="Q654" t="n">
        <v>0</v>
      </c>
      <c r="R654" s="2" t="inlineStr"/>
    </row>
    <row r="655" ht="15" customHeight="1">
      <c r="A655" t="inlineStr">
        <is>
          <t>A 45279-2025</t>
        </is>
      </c>
      <c r="B655" s="1" t="n">
        <v>45919.71912037037</v>
      </c>
      <c r="C655" s="1" t="n">
        <v>46106</v>
      </c>
      <c r="D655" t="inlineStr">
        <is>
          <t>JÄMTLANDS LÄN</t>
        </is>
      </c>
      <c r="E655" t="inlineStr">
        <is>
          <t>RAGUNDA</t>
        </is>
      </c>
      <c r="F655" t="inlineStr">
        <is>
          <t>SCA</t>
        </is>
      </c>
      <c r="G655" t="n">
        <v>11.5</v>
      </c>
      <c r="H655" t="n">
        <v>0</v>
      </c>
      <c r="I655" t="n">
        <v>0</v>
      </c>
      <c r="J655" t="n">
        <v>0</v>
      </c>
      <c r="K655" t="n">
        <v>0</v>
      </c>
      <c r="L655" t="n">
        <v>0</v>
      </c>
      <c r="M655" t="n">
        <v>0</v>
      </c>
      <c r="N655" t="n">
        <v>0</v>
      </c>
      <c r="O655" t="n">
        <v>0</v>
      </c>
      <c r="P655" t="n">
        <v>0</v>
      </c>
      <c r="Q655" t="n">
        <v>0</v>
      </c>
      <c r="R655" s="2" t="inlineStr"/>
    </row>
    <row r="656" ht="15" customHeight="1">
      <c r="A656" t="inlineStr">
        <is>
          <t>A 35658-2025</t>
        </is>
      </c>
      <c r="B656" s="1" t="n">
        <v>45859.594375</v>
      </c>
      <c r="C656" s="1" t="n">
        <v>46106</v>
      </c>
      <c r="D656" t="inlineStr">
        <is>
          <t>JÄMTLANDS LÄN</t>
        </is>
      </c>
      <c r="E656" t="inlineStr">
        <is>
          <t>RAGUNDA</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50649-2022</t>
        </is>
      </c>
      <c r="B657" s="1" t="n">
        <v>44866</v>
      </c>
      <c r="C657" s="1" t="n">
        <v>46106</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44954-2025</t>
        </is>
      </c>
      <c r="B658" s="1" t="n">
        <v>45918.61203703703</v>
      </c>
      <c r="C658" s="1" t="n">
        <v>46106</v>
      </c>
      <c r="D658" t="inlineStr">
        <is>
          <t>JÄMTLANDS LÄN</t>
        </is>
      </c>
      <c r="E658" t="inlineStr">
        <is>
          <t>RAGUNDA</t>
        </is>
      </c>
      <c r="G658" t="n">
        <v>3</v>
      </c>
      <c r="H658" t="n">
        <v>0</v>
      </c>
      <c r="I658" t="n">
        <v>0</v>
      </c>
      <c r="J658" t="n">
        <v>0</v>
      </c>
      <c r="K658" t="n">
        <v>0</v>
      </c>
      <c r="L658" t="n">
        <v>0</v>
      </c>
      <c r="M658" t="n">
        <v>0</v>
      </c>
      <c r="N658" t="n">
        <v>0</v>
      </c>
      <c r="O658" t="n">
        <v>0</v>
      </c>
      <c r="P658" t="n">
        <v>0</v>
      </c>
      <c r="Q658" t="n">
        <v>0</v>
      </c>
      <c r="R658" s="2" t="inlineStr"/>
    </row>
    <row r="659" ht="15" customHeight="1">
      <c r="A659" t="inlineStr">
        <is>
          <t>A 59759-2024</t>
        </is>
      </c>
      <c r="B659" s="1" t="n">
        <v>45639.55240740741</v>
      </c>
      <c r="C659" s="1" t="n">
        <v>46106</v>
      </c>
      <c r="D659" t="inlineStr">
        <is>
          <t>JÄMTLANDS LÄN</t>
        </is>
      </c>
      <c r="E659" t="inlineStr">
        <is>
          <t>RAGUNDA</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35537-2021</t>
        </is>
      </c>
      <c r="B660" s="1" t="n">
        <v>44384</v>
      </c>
      <c r="C660" s="1" t="n">
        <v>46106</v>
      </c>
      <c r="D660" t="inlineStr">
        <is>
          <t>JÄMTLANDS LÄN</t>
        </is>
      </c>
      <c r="E660" t="inlineStr">
        <is>
          <t>RAGUNDA</t>
        </is>
      </c>
      <c r="G660" t="n">
        <v>3.1</v>
      </c>
      <c r="H660" t="n">
        <v>0</v>
      </c>
      <c r="I660" t="n">
        <v>0</v>
      </c>
      <c r="J660" t="n">
        <v>0</v>
      </c>
      <c r="K660" t="n">
        <v>0</v>
      </c>
      <c r="L660" t="n">
        <v>0</v>
      </c>
      <c r="M660" t="n">
        <v>0</v>
      </c>
      <c r="N660" t="n">
        <v>0</v>
      </c>
      <c r="O660" t="n">
        <v>0</v>
      </c>
      <c r="P660" t="n">
        <v>0</v>
      </c>
      <c r="Q660" t="n">
        <v>0</v>
      </c>
      <c r="R660" s="2" t="inlineStr"/>
    </row>
    <row r="661" ht="15" customHeight="1">
      <c r="A661" t="inlineStr">
        <is>
          <t>A 2819-2023</t>
        </is>
      </c>
      <c r="B661" s="1" t="n">
        <v>44944</v>
      </c>
      <c r="C661" s="1" t="n">
        <v>46106</v>
      </c>
      <c r="D661" t="inlineStr">
        <is>
          <t>JÄMTLANDS LÄN</t>
        </is>
      </c>
      <c r="E661" t="inlineStr">
        <is>
          <t>RAGUNDA</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35689-2025</t>
        </is>
      </c>
      <c r="B662" s="1" t="n">
        <v>45860.30229166667</v>
      </c>
      <c r="C662" s="1" t="n">
        <v>46106</v>
      </c>
      <c r="D662" t="inlineStr">
        <is>
          <t>JÄMTLANDS LÄN</t>
        </is>
      </c>
      <c r="E662" t="inlineStr">
        <is>
          <t>RAGUNDA</t>
        </is>
      </c>
      <c r="G662" t="n">
        <v>1.9</v>
      </c>
      <c r="H662" t="n">
        <v>0</v>
      </c>
      <c r="I662" t="n">
        <v>0</v>
      </c>
      <c r="J662" t="n">
        <v>0</v>
      </c>
      <c r="K662" t="n">
        <v>0</v>
      </c>
      <c r="L662" t="n">
        <v>0</v>
      </c>
      <c r="M662" t="n">
        <v>0</v>
      </c>
      <c r="N662" t="n">
        <v>0</v>
      </c>
      <c r="O662" t="n">
        <v>0</v>
      </c>
      <c r="P662" t="n">
        <v>0</v>
      </c>
      <c r="Q662" t="n">
        <v>0</v>
      </c>
      <c r="R662" s="2" t="inlineStr"/>
    </row>
    <row r="663" ht="15" customHeight="1">
      <c r="A663" t="inlineStr">
        <is>
          <t>A 44536-2022</t>
        </is>
      </c>
      <c r="B663" s="1" t="n">
        <v>44839</v>
      </c>
      <c r="C663" s="1" t="n">
        <v>46106</v>
      </c>
      <c r="D663" t="inlineStr">
        <is>
          <t>JÄMTLANDS LÄN</t>
        </is>
      </c>
      <c r="E663" t="inlineStr">
        <is>
          <t>RAGUNDA</t>
        </is>
      </c>
      <c r="G663" t="n">
        <v>4</v>
      </c>
      <c r="H663" t="n">
        <v>0</v>
      </c>
      <c r="I663" t="n">
        <v>0</v>
      </c>
      <c r="J663" t="n">
        <v>0</v>
      </c>
      <c r="K663" t="n">
        <v>0</v>
      </c>
      <c r="L663" t="n">
        <v>0</v>
      </c>
      <c r="M663" t="n">
        <v>0</v>
      </c>
      <c r="N663" t="n">
        <v>0</v>
      </c>
      <c r="O663" t="n">
        <v>0</v>
      </c>
      <c r="P663" t="n">
        <v>0</v>
      </c>
      <c r="Q663" t="n">
        <v>0</v>
      </c>
      <c r="R663" s="2" t="inlineStr"/>
    </row>
    <row r="664" ht="15" customHeight="1">
      <c r="A664" t="inlineStr">
        <is>
          <t>A 54092-2024</t>
        </is>
      </c>
      <c r="B664" s="1" t="n">
        <v>45616.5108912037</v>
      </c>
      <c r="C664" s="1" t="n">
        <v>46106</v>
      </c>
      <c r="D664" t="inlineStr">
        <is>
          <t>JÄMTLANDS LÄN</t>
        </is>
      </c>
      <c r="E664" t="inlineStr">
        <is>
          <t>RAGUNDA</t>
        </is>
      </c>
      <c r="F664" t="inlineStr">
        <is>
          <t>Naturvårdsverket</t>
        </is>
      </c>
      <c r="G664" t="n">
        <v>1.3</v>
      </c>
      <c r="H664" t="n">
        <v>0</v>
      </c>
      <c r="I664" t="n">
        <v>0</v>
      </c>
      <c r="J664" t="n">
        <v>0</v>
      </c>
      <c r="K664" t="n">
        <v>0</v>
      </c>
      <c r="L664" t="n">
        <v>0</v>
      </c>
      <c r="M664" t="n">
        <v>0</v>
      </c>
      <c r="N664" t="n">
        <v>0</v>
      </c>
      <c r="O664" t="n">
        <v>0</v>
      </c>
      <c r="P664" t="n">
        <v>0</v>
      </c>
      <c r="Q664" t="n">
        <v>0</v>
      </c>
      <c r="R664" s="2" t="inlineStr"/>
    </row>
    <row r="665" ht="15" customHeight="1">
      <c r="A665" t="inlineStr">
        <is>
          <t>A 30459-2021</t>
        </is>
      </c>
      <c r="B665" s="1" t="n">
        <v>44362</v>
      </c>
      <c r="C665" s="1" t="n">
        <v>46106</v>
      </c>
      <c r="D665" t="inlineStr">
        <is>
          <t>JÄMTLANDS LÄN</t>
        </is>
      </c>
      <c r="E665" t="inlineStr">
        <is>
          <t>RAGUNDA</t>
        </is>
      </c>
      <c r="G665" t="n">
        <v>1</v>
      </c>
      <c r="H665" t="n">
        <v>0</v>
      </c>
      <c r="I665" t="n">
        <v>0</v>
      </c>
      <c r="J665" t="n">
        <v>0</v>
      </c>
      <c r="K665" t="n">
        <v>0</v>
      </c>
      <c r="L665" t="n">
        <v>0</v>
      </c>
      <c r="M665" t="n">
        <v>0</v>
      </c>
      <c r="N665" t="n">
        <v>0</v>
      </c>
      <c r="O665" t="n">
        <v>0</v>
      </c>
      <c r="P665" t="n">
        <v>0</v>
      </c>
      <c r="Q665" t="n">
        <v>0</v>
      </c>
      <c r="R665" s="2" t="inlineStr"/>
    </row>
    <row r="666" ht="15" customHeight="1">
      <c r="A666" t="inlineStr">
        <is>
          <t>A 45894-2025</t>
        </is>
      </c>
      <c r="B666" s="1" t="n">
        <v>45923.67765046296</v>
      </c>
      <c r="C666" s="1" t="n">
        <v>46106</v>
      </c>
      <c r="D666" t="inlineStr">
        <is>
          <t>JÄMTLANDS LÄN</t>
        </is>
      </c>
      <c r="E666" t="inlineStr">
        <is>
          <t>RAGUNDA</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46192-2025</t>
        </is>
      </c>
      <c r="B667" s="1" t="n">
        <v>45924.67789351852</v>
      </c>
      <c r="C667" s="1" t="n">
        <v>46106</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36541-2025</t>
        </is>
      </c>
      <c r="B668" s="1" t="n">
        <v>45869.65666666667</v>
      </c>
      <c r="C668" s="1" t="n">
        <v>46106</v>
      </c>
      <c r="D668" t="inlineStr">
        <is>
          <t>JÄMTLANDS LÄN</t>
        </is>
      </c>
      <c r="E668" t="inlineStr">
        <is>
          <t>RAGUNDA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36544-2025</t>
        </is>
      </c>
      <c r="B669" s="1" t="n">
        <v>45869.67744212963</v>
      </c>
      <c r="C669" s="1" t="n">
        <v>46106</v>
      </c>
      <c r="D669" t="inlineStr">
        <is>
          <t>JÄMTLANDS LÄN</t>
        </is>
      </c>
      <c r="E669" t="inlineStr">
        <is>
          <t>RAGUNDA</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37543-2023</t>
        </is>
      </c>
      <c r="B670" s="1" t="n">
        <v>45158.94231481481</v>
      </c>
      <c r="C670" s="1" t="n">
        <v>46106</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36553-2025</t>
        </is>
      </c>
      <c r="B671" s="1" t="n">
        <v>45870.34439814815</v>
      </c>
      <c r="C671" s="1" t="n">
        <v>46106</v>
      </c>
      <c r="D671" t="inlineStr">
        <is>
          <t>JÄMTLANDS LÄN</t>
        </is>
      </c>
      <c r="E671" t="inlineStr">
        <is>
          <t>RAGUNDA</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46275-2025</t>
        </is>
      </c>
      <c r="B672" s="1" t="n">
        <v>45925.3711574074</v>
      </c>
      <c r="C672" s="1" t="n">
        <v>46106</v>
      </c>
      <c r="D672" t="inlineStr">
        <is>
          <t>JÄMTLANDS LÄN</t>
        </is>
      </c>
      <c r="E672" t="inlineStr">
        <is>
          <t>RAGUNDA</t>
        </is>
      </c>
      <c r="G672" t="n">
        <v>2.7</v>
      </c>
      <c r="H672" t="n">
        <v>0</v>
      </c>
      <c r="I672" t="n">
        <v>0</v>
      </c>
      <c r="J672" t="n">
        <v>0</v>
      </c>
      <c r="K672" t="n">
        <v>0</v>
      </c>
      <c r="L672" t="n">
        <v>0</v>
      </c>
      <c r="M672" t="n">
        <v>0</v>
      </c>
      <c r="N672" t="n">
        <v>0</v>
      </c>
      <c r="O672" t="n">
        <v>0</v>
      </c>
      <c r="P672" t="n">
        <v>0</v>
      </c>
      <c r="Q672" t="n">
        <v>0</v>
      </c>
      <c r="R672" s="2" t="inlineStr"/>
    </row>
    <row r="673" ht="15" customHeight="1">
      <c r="A673" t="inlineStr">
        <is>
          <t>A 7668-2025</t>
        </is>
      </c>
      <c r="B673" s="1" t="n">
        <v>45706.34450231482</v>
      </c>
      <c r="C673" s="1" t="n">
        <v>46106</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36046-2023</t>
        </is>
      </c>
      <c r="B674" s="1" t="n">
        <v>45148</v>
      </c>
      <c r="C674" s="1" t="n">
        <v>46106</v>
      </c>
      <c r="D674" t="inlineStr">
        <is>
          <t>JÄMTLANDS LÄN</t>
        </is>
      </c>
      <c r="E674" t="inlineStr">
        <is>
          <t>RAGUNDA</t>
        </is>
      </c>
      <c r="G674" t="n">
        <v>1.9</v>
      </c>
      <c r="H674" t="n">
        <v>0</v>
      </c>
      <c r="I674" t="n">
        <v>0</v>
      </c>
      <c r="J674" t="n">
        <v>0</v>
      </c>
      <c r="K674" t="n">
        <v>0</v>
      </c>
      <c r="L674" t="n">
        <v>0</v>
      </c>
      <c r="M674" t="n">
        <v>0</v>
      </c>
      <c r="N674" t="n">
        <v>0</v>
      </c>
      <c r="O674" t="n">
        <v>0</v>
      </c>
      <c r="P674" t="n">
        <v>0</v>
      </c>
      <c r="Q674" t="n">
        <v>0</v>
      </c>
      <c r="R674" s="2" t="inlineStr"/>
    </row>
    <row r="675" ht="15" customHeight="1">
      <c r="A675" t="inlineStr">
        <is>
          <t>A 46825-2025</t>
        </is>
      </c>
      <c r="B675" s="1" t="n">
        <v>45926.92506944444</v>
      </c>
      <c r="C675" s="1" t="n">
        <v>46106</v>
      </c>
      <c r="D675" t="inlineStr">
        <is>
          <t>JÄMTLANDS LÄN</t>
        </is>
      </c>
      <c r="E675" t="inlineStr">
        <is>
          <t>RAGUNDA</t>
        </is>
      </c>
      <c r="G675" t="n">
        <v>1.4</v>
      </c>
      <c r="H675" t="n">
        <v>0</v>
      </c>
      <c r="I675" t="n">
        <v>0</v>
      </c>
      <c r="J675" t="n">
        <v>0</v>
      </c>
      <c r="K675" t="n">
        <v>0</v>
      </c>
      <c r="L675" t="n">
        <v>0</v>
      </c>
      <c r="M675" t="n">
        <v>0</v>
      </c>
      <c r="N675" t="n">
        <v>0</v>
      </c>
      <c r="O675" t="n">
        <v>0</v>
      </c>
      <c r="P675" t="n">
        <v>0</v>
      </c>
      <c r="Q675" t="n">
        <v>0</v>
      </c>
      <c r="R675" s="2" t="inlineStr"/>
    </row>
    <row r="676" ht="15" customHeight="1">
      <c r="A676" t="inlineStr">
        <is>
          <t>A 46710-2025</t>
        </is>
      </c>
      <c r="B676" s="1" t="n">
        <v>45926.57337962963</v>
      </c>
      <c r="C676" s="1" t="n">
        <v>46106</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47075-2025</t>
        </is>
      </c>
      <c r="B677" s="1" t="n">
        <v>45929.63728009259</v>
      </c>
      <c r="C677" s="1" t="n">
        <v>46106</v>
      </c>
      <c r="D677" t="inlineStr">
        <is>
          <t>JÄMTLANDS LÄN</t>
        </is>
      </c>
      <c r="E677" t="inlineStr">
        <is>
          <t>RAGUNDA</t>
        </is>
      </c>
      <c r="F677" t="inlineStr">
        <is>
          <t>SCA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32075-2025</t>
        </is>
      </c>
      <c r="B678" s="1" t="n">
        <v>45835.4506712963</v>
      </c>
      <c r="C678" s="1" t="n">
        <v>46106</v>
      </c>
      <c r="D678" t="inlineStr">
        <is>
          <t>JÄMTLANDS LÄN</t>
        </is>
      </c>
      <c r="E678" t="inlineStr">
        <is>
          <t>RAGUNDA</t>
        </is>
      </c>
      <c r="G678" t="n">
        <v>1.1</v>
      </c>
      <c r="H678" t="n">
        <v>0</v>
      </c>
      <c r="I678" t="n">
        <v>0</v>
      </c>
      <c r="J678" t="n">
        <v>0</v>
      </c>
      <c r="K678" t="n">
        <v>0</v>
      </c>
      <c r="L678" t="n">
        <v>0</v>
      </c>
      <c r="M678" t="n">
        <v>0</v>
      </c>
      <c r="N678" t="n">
        <v>0</v>
      </c>
      <c r="O678" t="n">
        <v>0</v>
      </c>
      <c r="P678" t="n">
        <v>0</v>
      </c>
      <c r="Q678" t="n">
        <v>0</v>
      </c>
      <c r="R678" s="2" t="inlineStr"/>
    </row>
    <row r="679" ht="15" customHeight="1">
      <c r="A679" t="inlineStr">
        <is>
          <t>A 47119-2025</t>
        </is>
      </c>
      <c r="B679" s="1" t="n">
        <v>45929.67795138889</v>
      </c>
      <c r="C679" s="1" t="n">
        <v>46106</v>
      </c>
      <c r="D679" t="inlineStr">
        <is>
          <t>JÄMTLANDS LÄN</t>
        </is>
      </c>
      <c r="E679" t="inlineStr">
        <is>
          <t>RAGUNDA</t>
        </is>
      </c>
      <c r="F679" t="inlineStr">
        <is>
          <t>SCA</t>
        </is>
      </c>
      <c r="G679" t="n">
        <v>22.7</v>
      </c>
      <c r="H679" t="n">
        <v>0</v>
      </c>
      <c r="I679" t="n">
        <v>0</v>
      </c>
      <c r="J679" t="n">
        <v>0</v>
      </c>
      <c r="K679" t="n">
        <v>0</v>
      </c>
      <c r="L679" t="n">
        <v>0</v>
      </c>
      <c r="M679" t="n">
        <v>0</v>
      </c>
      <c r="N679" t="n">
        <v>0</v>
      </c>
      <c r="O679" t="n">
        <v>0</v>
      </c>
      <c r="P679" t="n">
        <v>0</v>
      </c>
      <c r="Q679" t="n">
        <v>0</v>
      </c>
      <c r="R679" s="2" t="inlineStr"/>
    </row>
    <row r="680" ht="15" customHeight="1">
      <c r="A680" t="inlineStr">
        <is>
          <t>A 46689-2025</t>
        </is>
      </c>
      <c r="B680" s="1" t="n">
        <v>45926.55307870371</v>
      </c>
      <c r="C680" s="1" t="n">
        <v>46106</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46909-2025</t>
        </is>
      </c>
      <c r="B681" s="1" t="n">
        <v>45929.40673611111</v>
      </c>
      <c r="C681" s="1" t="n">
        <v>46106</v>
      </c>
      <c r="D681" t="inlineStr">
        <is>
          <t>JÄMTLANDS LÄN</t>
        </is>
      </c>
      <c r="E681" t="inlineStr">
        <is>
          <t>RAGUNDA</t>
        </is>
      </c>
      <c r="G681" t="n">
        <v>5.7</v>
      </c>
      <c r="H681" t="n">
        <v>0</v>
      </c>
      <c r="I681" t="n">
        <v>0</v>
      </c>
      <c r="J681" t="n">
        <v>0</v>
      </c>
      <c r="K681" t="n">
        <v>0</v>
      </c>
      <c r="L681" t="n">
        <v>0</v>
      </c>
      <c r="M681" t="n">
        <v>0</v>
      </c>
      <c r="N681" t="n">
        <v>0</v>
      </c>
      <c r="O681" t="n">
        <v>0</v>
      </c>
      <c r="P681" t="n">
        <v>0</v>
      </c>
      <c r="Q681" t="n">
        <v>0</v>
      </c>
      <c r="R681" s="2" t="inlineStr"/>
    </row>
    <row r="682" ht="15" customHeight="1">
      <c r="A682" t="inlineStr">
        <is>
          <t>A 47122-2025</t>
        </is>
      </c>
      <c r="B682" s="1" t="n">
        <v>45929.67878472222</v>
      </c>
      <c r="C682" s="1" t="n">
        <v>46106</v>
      </c>
      <c r="D682" t="inlineStr">
        <is>
          <t>JÄMTLANDS LÄN</t>
        </is>
      </c>
      <c r="E682" t="inlineStr">
        <is>
          <t>RAGUNDA</t>
        </is>
      </c>
      <c r="F682" t="inlineStr">
        <is>
          <t>SCA</t>
        </is>
      </c>
      <c r="G682" t="n">
        <v>31.1</v>
      </c>
      <c r="H682" t="n">
        <v>0</v>
      </c>
      <c r="I682" t="n">
        <v>0</v>
      </c>
      <c r="J682" t="n">
        <v>0</v>
      </c>
      <c r="K682" t="n">
        <v>0</v>
      </c>
      <c r="L682" t="n">
        <v>0</v>
      </c>
      <c r="M682" t="n">
        <v>0</v>
      </c>
      <c r="N682" t="n">
        <v>0</v>
      </c>
      <c r="O682" t="n">
        <v>0</v>
      </c>
      <c r="P682" t="n">
        <v>0</v>
      </c>
      <c r="Q682" t="n">
        <v>0</v>
      </c>
      <c r="R682" s="2" t="inlineStr"/>
    </row>
    <row r="683" ht="15" customHeight="1">
      <c r="A683" t="inlineStr">
        <is>
          <t>A 46974-2025</t>
        </is>
      </c>
      <c r="B683" s="1" t="n">
        <v>45929.51104166666</v>
      </c>
      <c r="C683" s="1" t="n">
        <v>46106</v>
      </c>
      <c r="D683" t="inlineStr">
        <is>
          <t>JÄMTLANDS LÄN</t>
        </is>
      </c>
      <c r="E683" t="inlineStr">
        <is>
          <t>RAGUNDA</t>
        </is>
      </c>
      <c r="F683" t="inlineStr">
        <is>
          <t>SCA</t>
        </is>
      </c>
      <c r="G683" t="n">
        <v>12.1</v>
      </c>
      <c r="H683" t="n">
        <v>0</v>
      </c>
      <c r="I683" t="n">
        <v>0</v>
      </c>
      <c r="J683" t="n">
        <v>0</v>
      </c>
      <c r="K683" t="n">
        <v>0</v>
      </c>
      <c r="L683" t="n">
        <v>0</v>
      </c>
      <c r="M683" t="n">
        <v>0</v>
      </c>
      <c r="N683" t="n">
        <v>0</v>
      </c>
      <c r="O683" t="n">
        <v>0</v>
      </c>
      <c r="P683" t="n">
        <v>0</v>
      </c>
      <c r="Q683" t="n">
        <v>0</v>
      </c>
      <c r="R683" s="2" t="inlineStr"/>
    </row>
    <row r="684" ht="15" customHeight="1">
      <c r="A684" t="inlineStr">
        <is>
          <t>A 32874-2025</t>
        </is>
      </c>
      <c r="B684" s="1" t="n">
        <v>45839</v>
      </c>
      <c r="C684" s="1" t="n">
        <v>46106</v>
      </c>
      <c r="D684" t="inlineStr">
        <is>
          <t>JÄMTLANDS LÄN</t>
        </is>
      </c>
      <c r="E684" t="inlineStr">
        <is>
          <t>RAGUNDA</t>
        </is>
      </c>
      <c r="G684" t="n">
        <v>2.3</v>
      </c>
      <c r="H684" t="n">
        <v>0</v>
      </c>
      <c r="I684" t="n">
        <v>0</v>
      </c>
      <c r="J684" t="n">
        <v>0</v>
      </c>
      <c r="K684" t="n">
        <v>0</v>
      </c>
      <c r="L684" t="n">
        <v>0</v>
      </c>
      <c r="M684" t="n">
        <v>0</v>
      </c>
      <c r="N684" t="n">
        <v>0</v>
      </c>
      <c r="O684" t="n">
        <v>0</v>
      </c>
      <c r="P684" t="n">
        <v>0</v>
      </c>
      <c r="Q684" t="n">
        <v>0</v>
      </c>
      <c r="R684" s="2" t="inlineStr"/>
    </row>
    <row r="685" ht="15" customHeight="1">
      <c r="A685" t="inlineStr">
        <is>
          <t>A 46751-2025</t>
        </is>
      </c>
      <c r="B685" s="1" t="n">
        <v>45926.6153125</v>
      </c>
      <c r="C685" s="1" t="n">
        <v>46106</v>
      </c>
      <c r="D685" t="inlineStr">
        <is>
          <t>JÄMTLANDS LÄN</t>
        </is>
      </c>
      <c r="E685" t="inlineStr">
        <is>
          <t>RAGUNDA</t>
        </is>
      </c>
      <c r="F685" t="inlineStr">
        <is>
          <t>SCA</t>
        </is>
      </c>
      <c r="G685" t="n">
        <v>7.8</v>
      </c>
      <c r="H685" t="n">
        <v>0</v>
      </c>
      <c r="I685" t="n">
        <v>0</v>
      </c>
      <c r="J685" t="n">
        <v>0</v>
      </c>
      <c r="K685" t="n">
        <v>0</v>
      </c>
      <c r="L685" t="n">
        <v>0</v>
      </c>
      <c r="M685" t="n">
        <v>0</v>
      </c>
      <c r="N685" t="n">
        <v>0</v>
      </c>
      <c r="O685" t="n">
        <v>0</v>
      </c>
      <c r="P685" t="n">
        <v>0</v>
      </c>
      <c r="Q685" t="n">
        <v>0</v>
      </c>
      <c r="R685" s="2" t="inlineStr"/>
    </row>
    <row r="686" ht="15" customHeight="1">
      <c r="A686" t="inlineStr">
        <is>
          <t>A 8654-2024</t>
        </is>
      </c>
      <c r="B686" s="1" t="n">
        <v>45356.03784722222</v>
      </c>
      <c r="C686" s="1" t="n">
        <v>46106</v>
      </c>
      <c r="D686" t="inlineStr">
        <is>
          <t>JÄMTLANDS LÄN</t>
        </is>
      </c>
      <c r="E686" t="inlineStr">
        <is>
          <t>RAGUNDA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46753-2025</t>
        </is>
      </c>
      <c r="B687" s="1" t="n">
        <v>45926.61552083334</v>
      </c>
      <c r="C687" s="1" t="n">
        <v>46106</v>
      </c>
      <c r="D687" t="inlineStr">
        <is>
          <t>JÄMTLANDS LÄN</t>
        </is>
      </c>
      <c r="E687" t="inlineStr">
        <is>
          <t>RAGUNDA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36994-2025</t>
        </is>
      </c>
      <c r="B688" s="1" t="n">
        <v>45874.67746527777</v>
      </c>
      <c r="C688" s="1" t="n">
        <v>46106</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6902-2024</t>
        </is>
      </c>
      <c r="B689" s="1" t="n">
        <v>45342</v>
      </c>
      <c r="C689" s="1" t="n">
        <v>46106</v>
      </c>
      <c r="D689" t="inlineStr">
        <is>
          <t>JÄMTLANDS LÄN</t>
        </is>
      </c>
      <c r="E689" t="inlineStr">
        <is>
          <t>RAGUNDA</t>
        </is>
      </c>
      <c r="F689" t="inlineStr">
        <is>
          <t>SCA</t>
        </is>
      </c>
      <c r="G689" t="n">
        <v>18.7</v>
      </c>
      <c r="H689" t="n">
        <v>0</v>
      </c>
      <c r="I689" t="n">
        <v>0</v>
      </c>
      <c r="J689" t="n">
        <v>0</v>
      </c>
      <c r="K689" t="n">
        <v>0</v>
      </c>
      <c r="L689" t="n">
        <v>0</v>
      </c>
      <c r="M689" t="n">
        <v>0</v>
      </c>
      <c r="N689" t="n">
        <v>0</v>
      </c>
      <c r="O689" t="n">
        <v>0</v>
      </c>
      <c r="P689" t="n">
        <v>0</v>
      </c>
      <c r="Q689" t="n">
        <v>0</v>
      </c>
      <c r="R689" s="2" t="inlineStr"/>
    </row>
    <row r="690" ht="15" customHeight="1">
      <c r="A690" t="inlineStr">
        <is>
          <t>A 6905-2024</t>
        </is>
      </c>
      <c r="B690" s="1" t="n">
        <v>45342.9462037037</v>
      </c>
      <c r="C690" s="1" t="n">
        <v>46106</v>
      </c>
      <c r="D690" t="inlineStr">
        <is>
          <t>JÄMTLANDS LÄN</t>
        </is>
      </c>
      <c r="E690" t="inlineStr">
        <is>
          <t>RAGUNDA</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22731-2023</t>
        </is>
      </c>
      <c r="B691" s="1" t="n">
        <v>45071</v>
      </c>
      <c r="C691" s="1" t="n">
        <v>46106</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47037-2025</t>
        </is>
      </c>
      <c r="B692" s="1" t="n">
        <v>45929.59456018519</v>
      </c>
      <c r="C692" s="1" t="n">
        <v>46106</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11245-2025</t>
        </is>
      </c>
      <c r="B693" s="1" t="n">
        <v>45726.38575231482</v>
      </c>
      <c r="C693" s="1" t="n">
        <v>46106</v>
      </c>
      <c r="D693" t="inlineStr">
        <is>
          <t>JÄMTLANDS LÄN</t>
        </is>
      </c>
      <c r="E693" t="inlineStr">
        <is>
          <t>RAGUNDA</t>
        </is>
      </c>
      <c r="G693" t="n">
        <v>2.3</v>
      </c>
      <c r="H693" t="n">
        <v>0</v>
      </c>
      <c r="I693" t="n">
        <v>0</v>
      </c>
      <c r="J693" t="n">
        <v>0</v>
      </c>
      <c r="K693" t="n">
        <v>0</v>
      </c>
      <c r="L693" t="n">
        <v>0</v>
      </c>
      <c r="M693" t="n">
        <v>0</v>
      </c>
      <c r="N693" t="n">
        <v>0</v>
      </c>
      <c r="O693" t="n">
        <v>0</v>
      </c>
      <c r="P693" t="n">
        <v>0</v>
      </c>
      <c r="Q693" t="n">
        <v>0</v>
      </c>
      <c r="R693" s="2" t="inlineStr"/>
    </row>
    <row r="694" ht="15" customHeight="1">
      <c r="A694" t="inlineStr">
        <is>
          <t>A 61923-2024</t>
        </is>
      </c>
      <c r="B694" s="1" t="n">
        <v>45653.44836805556</v>
      </c>
      <c r="C694" s="1" t="n">
        <v>46106</v>
      </c>
      <c r="D694" t="inlineStr">
        <is>
          <t>JÄMTLANDS LÄN</t>
        </is>
      </c>
      <c r="E694" t="inlineStr">
        <is>
          <t>RAGUNDA</t>
        </is>
      </c>
      <c r="F694" t="inlineStr">
        <is>
          <t>SCA</t>
        </is>
      </c>
      <c r="G694" t="n">
        <v>11.1</v>
      </c>
      <c r="H694" t="n">
        <v>0</v>
      </c>
      <c r="I694" t="n">
        <v>0</v>
      </c>
      <c r="J694" t="n">
        <v>0</v>
      </c>
      <c r="K694" t="n">
        <v>0</v>
      </c>
      <c r="L694" t="n">
        <v>0</v>
      </c>
      <c r="M694" t="n">
        <v>0</v>
      </c>
      <c r="N694" t="n">
        <v>0</v>
      </c>
      <c r="O694" t="n">
        <v>0</v>
      </c>
      <c r="P694" t="n">
        <v>0</v>
      </c>
      <c r="Q694" t="n">
        <v>0</v>
      </c>
      <c r="R694" s="2" t="inlineStr"/>
    </row>
    <row r="695" ht="15" customHeight="1">
      <c r="A695" t="inlineStr">
        <is>
          <t>A 37008-2025</t>
        </is>
      </c>
      <c r="B695" s="1" t="n">
        <v>45874.69844907407</v>
      </c>
      <c r="C695" s="1" t="n">
        <v>46106</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23567-2024</t>
        </is>
      </c>
      <c r="B696" s="1" t="n">
        <v>45453.95538194444</v>
      </c>
      <c r="C696" s="1" t="n">
        <v>46106</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19246-2023</t>
        </is>
      </c>
      <c r="B697" s="1" t="n">
        <v>45048.94340277778</v>
      </c>
      <c r="C697" s="1" t="n">
        <v>46106</v>
      </c>
      <c r="D697" t="inlineStr">
        <is>
          <t>JÄMTLANDS LÄN</t>
        </is>
      </c>
      <c r="E697" t="inlineStr">
        <is>
          <t>RAGUNDA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36947-2025</t>
        </is>
      </c>
      <c r="B698" s="1" t="n">
        <v>45874.59496527778</v>
      </c>
      <c r="C698" s="1" t="n">
        <v>46106</v>
      </c>
      <c r="D698" t="inlineStr">
        <is>
          <t>JÄMTLANDS LÄN</t>
        </is>
      </c>
      <c r="E698" t="inlineStr">
        <is>
          <t>RAGUNDA</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61109-2024</t>
        </is>
      </c>
      <c r="B699" s="1" t="n">
        <v>45645.55672453704</v>
      </c>
      <c r="C699" s="1" t="n">
        <v>46106</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19438-2023</t>
        </is>
      </c>
      <c r="B700" s="1" t="n">
        <v>45049</v>
      </c>
      <c r="C700" s="1" t="n">
        <v>46106</v>
      </c>
      <c r="D700" t="inlineStr">
        <is>
          <t>JÄMTLANDS LÄN</t>
        </is>
      </c>
      <c r="E700" t="inlineStr">
        <is>
          <t>RAGUNDA</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58955-2024</t>
        </is>
      </c>
      <c r="B701" s="1" t="n">
        <v>45636.57329861111</v>
      </c>
      <c r="C701" s="1" t="n">
        <v>46106</v>
      </c>
      <c r="D701" t="inlineStr">
        <is>
          <t>JÄMTLANDS LÄN</t>
        </is>
      </c>
      <c r="E701" t="inlineStr">
        <is>
          <t>RAGUNDA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47749-2025</t>
        </is>
      </c>
      <c r="B702" s="1" t="n">
        <v>45931.65711805555</v>
      </c>
      <c r="C702" s="1" t="n">
        <v>46106</v>
      </c>
      <c r="D702" t="inlineStr">
        <is>
          <t>JÄMTLANDS LÄN</t>
        </is>
      </c>
      <c r="E702" t="inlineStr">
        <is>
          <t>RAGUNDA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47228-2025</t>
        </is>
      </c>
      <c r="B703" s="1" t="n">
        <v>45930.3990162037</v>
      </c>
      <c r="C703" s="1" t="n">
        <v>46106</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37292-2025</t>
        </is>
      </c>
      <c r="B704" s="1" t="n">
        <v>45876.53188657408</v>
      </c>
      <c r="C704" s="1" t="n">
        <v>46106</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33877-2023</t>
        </is>
      </c>
      <c r="B705" s="1" t="n">
        <v>45133</v>
      </c>
      <c r="C705" s="1" t="n">
        <v>46106</v>
      </c>
      <c r="D705" t="inlineStr">
        <is>
          <t>JÄMTLANDS LÄN</t>
        </is>
      </c>
      <c r="E705" t="inlineStr">
        <is>
          <t>RAGUNDA</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47229-2025</t>
        </is>
      </c>
      <c r="B706" s="1" t="n">
        <v>45930.40166666666</v>
      </c>
      <c r="C706" s="1" t="n">
        <v>46106</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47748-2025</t>
        </is>
      </c>
      <c r="B707" s="1" t="n">
        <v>45931.65693287037</v>
      </c>
      <c r="C707" s="1" t="n">
        <v>46106</v>
      </c>
      <c r="D707" t="inlineStr">
        <is>
          <t>JÄMTLANDS LÄN</t>
        </is>
      </c>
      <c r="E707" t="inlineStr">
        <is>
          <t>RAGUNDA</t>
        </is>
      </c>
      <c r="F707" t="inlineStr">
        <is>
          <t>SCA</t>
        </is>
      </c>
      <c r="G707" t="n">
        <v>8.6</v>
      </c>
      <c r="H707" t="n">
        <v>0</v>
      </c>
      <c r="I707" t="n">
        <v>0</v>
      </c>
      <c r="J707" t="n">
        <v>0</v>
      </c>
      <c r="K707" t="n">
        <v>0</v>
      </c>
      <c r="L707" t="n">
        <v>0</v>
      </c>
      <c r="M707" t="n">
        <v>0</v>
      </c>
      <c r="N707" t="n">
        <v>0</v>
      </c>
      <c r="O707" t="n">
        <v>0</v>
      </c>
      <c r="P707" t="n">
        <v>0</v>
      </c>
      <c r="Q707" t="n">
        <v>0</v>
      </c>
      <c r="R707" s="2" t="inlineStr"/>
    </row>
    <row r="708" ht="15" customHeight="1">
      <c r="A708" t="inlineStr">
        <is>
          <t>A 62541-2022</t>
        </is>
      </c>
      <c r="B708" s="1" t="n">
        <v>44917</v>
      </c>
      <c r="C708" s="1" t="n">
        <v>46106</v>
      </c>
      <c r="D708" t="inlineStr">
        <is>
          <t>JÄMTLANDS LÄN</t>
        </is>
      </c>
      <c r="E708" t="inlineStr">
        <is>
          <t>RAGUNDA</t>
        </is>
      </c>
      <c r="G708" t="n">
        <v>2.6</v>
      </c>
      <c r="H708" t="n">
        <v>0</v>
      </c>
      <c r="I708" t="n">
        <v>0</v>
      </c>
      <c r="J708" t="n">
        <v>0</v>
      </c>
      <c r="K708" t="n">
        <v>0</v>
      </c>
      <c r="L708" t="n">
        <v>0</v>
      </c>
      <c r="M708" t="n">
        <v>0</v>
      </c>
      <c r="N708" t="n">
        <v>0</v>
      </c>
      <c r="O708" t="n">
        <v>0</v>
      </c>
      <c r="P708" t="n">
        <v>0</v>
      </c>
      <c r="Q708" t="n">
        <v>0</v>
      </c>
      <c r="R708" s="2" t="inlineStr"/>
    </row>
    <row r="709" ht="15" customHeight="1">
      <c r="A709" t="inlineStr">
        <is>
          <t>A 21332-2025</t>
        </is>
      </c>
      <c r="B709" s="1" t="n">
        <v>45782.36506944444</v>
      </c>
      <c r="C709" s="1" t="n">
        <v>46106</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9567-2025</t>
        </is>
      </c>
      <c r="B710" s="1" t="n">
        <v>45715.61523148148</v>
      </c>
      <c r="C710" s="1" t="n">
        <v>46106</v>
      </c>
      <c r="D710" t="inlineStr">
        <is>
          <t>JÄMTLANDS LÄN</t>
        </is>
      </c>
      <c r="E710" t="inlineStr">
        <is>
          <t>RAGUNDA</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21661-2023</t>
        </is>
      </c>
      <c r="B711" s="1" t="n">
        <v>45063</v>
      </c>
      <c r="C711" s="1" t="n">
        <v>46106</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48748-2025</t>
        </is>
      </c>
      <c r="B712" s="1" t="n">
        <v>45936.67912037037</v>
      </c>
      <c r="C712" s="1" t="n">
        <v>46106</v>
      </c>
      <c r="D712" t="inlineStr">
        <is>
          <t>JÄMTLANDS LÄN</t>
        </is>
      </c>
      <c r="E712" t="inlineStr">
        <is>
          <t>RAGUNDA</t>
        </is>
      </c>
      <c r="F712" t="inlineStr">
        <is>
          <t>SCA</t>
        </is>
      </c>
      <c r="G712" t="n">
        <v>11.1</v>
      </c>
      <c r="H712" t="n">
        <v>0</v>
      </c>
      <c r="I712" t="n">
        <v>0</v>
      </c>
      <c r="J712" t="n">
        <v>0</v>
      </c>
      <c r="K712" t="n">
        <v>0</v>
      </c>
      <c r="L712" t="n">
        <v>0</v>
      </c>
      <c r="M712" t="n">
        <v>0</v>
      </c>
      <c r="N712" t="n">
        <v>0</v>
      </c>
      <c r="O712" t="n">
        <v>0</v>
      </c>
      <c r="P712" t="n">
        <v>0</v>
      </c>
      <c r="Q712" t="n">
        <v>0</v>
      </c>
      <c r="R712" s="2" t="inlineStr"/>
    </row>
    <row r="713" ht="15" customHeight="1">
      <c r="A713" t="inlineStr">
        <is>
          <t>A 48528-2025</t>
        </is>
      </c>
      <c r="B713" s="1" t="n">
        <v>45936.40758101852</v>
      </c>
      <c r="C713" s="1" t="n">
        <v>46106</v>
      </c>
      <c r="D713" t="inlineStr">
        <is>
          <t>JÄMTLANDS LÄN</t>
        </is>
      </c>
      <c r="E713" t="inlineStr">
        <is>
          <t>RAGUNDA</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48742-2025</t>
        </is>
      </c>
      <c r="B714" s="1" t="n">
        <v>45936.67810185185</v>
      </c>
      <c r="C714" s="1" t="n">
        <v>46106</v>
      </c>
      <c r="D714" t="inlineStr">
        <is>
          <t>JÄMTLANDS LÄN</t>
        </is>
      </c>
      <c r="E714" t="inlineStr">
        <is>
          <t>RAGUNDA</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48746-2025</t>
        </is>
      </c>
      <c r="B715" s="1" t="n">
        <v>45936.67878472222</v>
      </c>
      <c r="C715" s="1" t="n">
        <v>46106</v>
      </c>
      <c r="D715" t="inlineStr">
        <is>
          <t>JÄMTLANDS LÄN</t>
        </is>
      </c>
      <c r="E715" t="inlineStr">
        <is>
          <t>RAGUNDA</t>
        </is>
      </c>
      <c r="F715" t="inlineStr">
        <is>
          <t>SCA</t>
        </is>
      </c>
      <c r="G715" t="n">
        <v>6.5</v>
      </c>
      <c r="H715" t="n">
        <v>0</v>
      </c>
      <c r="I715" t="n">
        <v>0</v>
      </c>
      <c r="J715" t="n">
        <v>0</v>
      </c>
      <c r="K715" t="n">
        <v>0</v>
      </c>
      <c r="L715" t="n">
        <v>0</v>
      </c>
      <c r="M715" t="n">
        <v>0</v>
      </c>
      <c r="N715" t="n">
        <v>0</v>
      </c>
      <c r="O715" t="n">
        <v>0</v>
      </c>
      <c r="P715" t="n">
        <v>0</v>
      </c>
      <c r="Q715" t="n">
        <v>0</v>
      </c>
      <c r="R715" s="2" t="inlineStr"/>
    </row>
    <row r="716" ht="15" customHeight="1">
      <c r="A716" t="inlineStr">
        <is>
          <t>A 69153-2021</t>
        </is>
      </c>
      <c r="B716" s="1" t="n">
        <v>44530.94694444445</v>
      </c>
      <c r="C716" s="1" t="n">
        <v>46106</v>
      </c>
      <c r="D716" t="inlineStr">
        <is>
          <t>JÄMTLANDS LÄN</t>
        </is>
      </c>
      <c r="E716" t="inlineStr">
        <is>
          <t>RAGUNDA</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12585-2024</t>
        </is>
      </c>
      <c r="B717" s="1" t="n">
        <v>45379.93637731481</v>
      </c>
      <c r="C717" s="1" t="n">
        <v>46106</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55489-2024</t>
        </is>
      </c>
      <c r="B718" s="1" t="n">
        <v>45622.44774305556</v>
      </c>
      <c r="C718" s="1" t="n">
        <v>46106</v>
      </c>
      <c r="D718" t="inlineStr">
        <is>
          <t>JÄMTLANDS LÄN</t>
        </is>
      </c>
      <c r="E718" t="inlineStr">
        <is>
          <t>RAGUNDA</t>
        </is>
      </c>
      <c r="G718" t="n">
        <v>1.6</v>
      </c>
      <c r="H718" t="n">
        <v>0</v>
      </c>
      <c r="I718" t="n">
        <v>0</v>
      </c>
      <c r="J718" t="n">
        <v>0</v>
      </c>
      <c r="K718" t="n">
        <v>0</v>
      </c>
      <c r="L718" t="n">
        <v>0</v>
      </c>
      <c r="M718" t="n">
        <v>0</v>
      </c>
      <c r="N718" t="n">
        <v>0</v>
      </c>
      <c r="O718" t="n">
        <v>0</v>
      </c>
      <c r="P718" t="n">
        <v>0</v>
      </c>
      <c r="Q718" t="n">
        <v>0</v>
      </c>
      <c r="R718" s="2" t="inlineStr"/>
    </row>
    <row r="719" ht="15" customHeight="1">
      <c r="A719" t="inlineStr">
        <is>
          <t>A 18631-2024</t>
        </is>
      </c>
      <c r="B719" s="1" t="n">
        <v>45425.96494212963</v>
      </c>
      <c r="C719" s="1" t="n">
        <v>46106</v>
      </c>
      <c r="D719" t="inlineStr">
        <is>
          <t>JÄMTLANDS LÄN</t>
        </is>
      </c>
      <c r="E719" t="inlineStr">
        <is>
          <t>RAGUNDA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26646-2023</t>
        </is>
      </c>
      <c r="B720" s="1" t="n">
        <v>45092</v>
      </c>
      <c r="C720" s="1" t="n">
        <v>46106</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43405-2023</t>
        </is>
      </c>
      <c r="B721" s="1" t="n">
        <v>45183.95563657407</v>
      </c>
      <c r="C721" s="1" t="n">
        <v>46106</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59496-2024</t>
        </is>
      </c>
      <c r="B722" s="1" t="n">
        <v>45638</v>
      </c>
      <c r="C722" s="1" t="n">
        <v>46106</v>
      </c>
      <c r="D722" t="inlineStr">
        <is>
          <t>JÄMTLANDS LÄN</t>
        </is>
      </c>
      <c r="E722" t="inlineStr">
        <is>
          <t>RAGUNDA</t>
        </is>
      </c>
      <c r="G722" t="n">
        <v>13.1</v>
      </c>
      <c r="H722" t="n">
        <v>0</v>
      </c>
      <c r="I722" t="n">
        <v>0</v>
      </c>
      <c r="J722" t="n">
        <v>0</v>
      </c>
      <c r="K722" t="n">
        <v>0</v>
      </c>
      <c r="L722" t="n">
        <v>0</v>
      </c>
      <c r="M722" t="n">
        <v>0</v>
      </c>
      <c r="N722" t="n">
        <v>0</v>
      </c>
      <c r="O722" t="n">
        <v>0</v>
      </c>
      <c r="P722" t="n">
        <v>0</v>
      </c>
      <c r="Q722" t="n">
        <v>0</v>
      </c>
      <c r="R722" s="2" t="inlineStr"/>
    </row>
    <row r="723" ht="15" customHeight="1">
      <c r="A723" t="inlineStr">
        <is>
          <t>A 9504-2025</t>
        </is>
      </c>
      <c r="B723" s="1" t="n">
        <v>45714</v>
      </c>
      <c r="C723" s="1" t="n">
        <v>46106</v>
      </c>
      <c r="D723" t="inlineStr">
        <is>
          <t>JÄMTLANDS LÄN</t>
        </is>
      </c>
      <c r="E723" t="inlineStr">
        <is>
          <t>RAGUNDA</t>
        </is>
      </c>
      <c r="G723" t="n">
        <v>6</v>
      </c>
      <c r="H723" t="n">
        <v>0</v>
      </c>
      <c r="I723" t="n">
        <v>0</v>
      </c>
      <c r="J723" t="n">
        <v>0</v>
      </c>
      <c r="K723" t="n">
        <v>0</v>
      </c>
      <c r="L723" t="n">
        <v>0</v>
      </c>
      <c r="M723" t="n">
        <v>0</v>
      </c>
      <c r="N723" t="n">
        <v>0</v>
      </c>
      <c r="O723" t="n">
        <v>0</v>
      </c>
      <c r="P723" t="n">
        <v>0</v>
      </c>
      <c r="Q723" t="n">
        <v>0</v>
      </c>
      <c r="R723" s="2" t="inlineStr"/>
    </row>
    <row r="724" ht="15" customHeight="1">
      <c r="A724" t="inlineStr">
        <is>
          <t>A 49639-2025</t>
        </is>
      </c>
      <c r="B724" s="1" t="n">
        <v>45939.61253472222</v>
      </c>
      <c r="C724" s="1" t="n">
        <v>46106</v>
      </c>
      <c r="D724" t="inlineStr">
        <is>
          <t>JÄMTLANDS LÄN</t>
        </is>
      </c>
      <c r="E724" t="inlineStr">
        <is>
          <t>RAGUNDA</t>
        </is>
      </c>
      <c r="F724" t="inlineStr">
        <is>
          <t>Kommuner</t>
        </is>
      </c>
      <c r="G724" t="n">
        <v>13.6</v>
      </c>
      <c r="H724" t="n">
        <v>0</v>
      </c>
      <c r="I724" t="n">
        <v>0</v>
      </c>
      <c r="J724" t="n">
        <v>0</v>
      </c>
      <c r="K724" t="n">
        <v>0</v>
      </c>
      <c r="L724" t="n">
        <v>0</v>
      </c>
      <c r="M724" t="n">
        <v>0</v>
      </c>
      <c r="N724" t="n">
        <v>0</v>
      </c>
      <c r="O724" t="n">
        <v>0</v>
      </c>
      <c r="P724" t="n">
        <v>0</v>
      </c>
      <c r="Q724" t="n">
        <v>0</v>
      </c>
      <c r="R724" s="2" t="inlineStr"/>
    </row>
    <row r="725" ht="15" customHeight="1">
      <c r="A725" t="inlineStr">
        <is>
          <t>A 62106-2023</t>
        </is>
      </c>
      <c r="B725" s="1" t="n">
        <v>45266.95082175926</v>
      </c>
      <c r="C725" s="1" t="n">
        <v>46106</v>
      </c>
      <c r="D725" t="inlineStr">
        <is>
          <t>JÄMTLANDS LÄN</t>
        </is>
      </c>
      <c r="E725" t="inlineStr">
        <is>
          <t>RAGUNDA</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18781-2024</t>
        </is>
      </c>
      <c r="B726" s="1" t="n">
        <v>45426</v>
      </c>
      <c r="C726" s="1" t="n">
        <v>46106</v>
      </c>
      <c r="D726" t="inlineStr">
        <is>
          <t>JÄMTLANDS LÄN</t>
        </is>
      </c>
      <c r="E726" t="inlineStr">
        <is>
          <t>RAGUNDA</t>
        </is>
      </c>
      <c r="G726" t="n">
        <v>0.9</v>
      </c>
      <c r="H726" t="n">
        <v>0</v>
      </c>
      <c r="I726" t="n">
        <v>0</v>
      </c>
      <c r="J726" t="n">
        <v>0</v>
      </c>
      <c r="K726" t="n">
        <v>0</v>
      </c>
      <c r="L726" t="n">
        <v>0</v>
      </c>
      <c r="M726" t="n">
        <v>0</v>
      </c>
      <c r="N726" t="n">
        <v>0</v>
      </c>
      <c r="O726" t="n">
        <v>0</v>
      </c>
      <c r="P726" t="n">
        <v>0</v>
      </c>
      <c r="Q726" t="n">
        <v>0</v>
      </c>
      <c r="R726" s="2" t="inlineStr"/>
    </row>
    <row r="727" ht="15" customHeight="1">
      <c r="A727" t="inlineStr">
        <is>
          <t>A 49059-2025</t>
        </is>
      </c>
      <c r="B727" s="1" t="n">
        <v>45937.64123842592</v>
      </c>
      <c r="C727" s="1" t="n">
        <v>46106</v>
      </c>
      <c r="D727" t="inlineStr">
        <is>
          <t>JÄMTLANDS LÄN</t>
        </is>
      </c>
      <c r="E727" t="inlineStr">
        <is>
          <t>RAGUNDA</t>
        </is>
      </c>
      <c r="G727" t="n">
        <v>2.1</v>
      </c>
      <c r="H727" t="n">
        <v>0</v>
      </c>
      <c r="I727" t="n">
        <v>0</v>
      </c>
      <c r="J727" t="n">
        <v>0</v>
      </c>
      <c r="K727" t="n">
        <v>0</v>
      </c>
      <c r="L727" t="n">
        <v>0</v>
      </c>
      <c r="M727" t="n">
        <v>0</v>
      </c>
      <c r="N727" t="n">
        <v>0</v>
      </c>
      <c r="O727" t="n">
        <v>0</v>
      </c>
      <c r="P727" t="n">
        <v>0</v>
      </c>
      <c r="Q727" t="n">
        <v>0</v>
      </c>
      <c r="R727" s="2" t="inlineStr"/>
    </row>
    <row r="728" ht="15" customHeight="1">
      <c r="A728" t="inlineStr">
        <is>
          <t>A 62081-2022</t>
        </is>
      </c>
      <c r="B728" s="1" t="n">
        <v>44918</v>
      </c>
      <c r="C728" s="1" t="n">
        <v>46106</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49193-2025</t>
        </is>
      </c>
      <c r="B729" s="1" t="n">
        <v>45938.40831018519</v>
      </c>
      <c r="C729" s="1" t="n">
        <v>46106</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30826-2023</t>
        </is>
      </c>
      <c r="B730" s="1" t="n">
        <v>45112</v>
      </c>
      <c r="C730" s="1" t="n">
        <v>46106</v>
      </c>
      <c r="D730" t="inlineStr">
        <is>
          <t>JÄMTLANDS LÄN</t>
        </is>
      </c>
      <c r="E730" t="inlineStr">
        <is>
          <t>RAGUNDA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53263-2024</t>
        </is>
      </c>
      <c r="B731" s="1" t="n">
        <v>45614.34541666666</v>
      </c>
      <c r="C731" s="1" t="n">
        <v>46106</v>
      </c>
      <c r="D731" t="inlineStr">
        <is>
          <t>JÄMTLANDS LÄN</t>
        </is>
      </c>
      <c r="E731" t="inlineStr">
        <is>
          <t>RAGUNDA</t>
        </is>
      </c>
      <c r="G731" t="n">
        <v>1.9</v>
      </c>
      <c r="H731" t="n">
        <v>0</v>
      </c>
      <c r="I731" t="n">
        <v>0</v>
      </c>
      <c r="J731" t="n">
        <v>0</v>
      </c>
      <c r="K731" t="n">
        <v>0</v>
      </c>
      <c r="L731" t="n">
        <v>0</v>
      </c>
      <c r="M731" t="n">
        <v>0</v>
      </c>
      <c r="N731" t="n">
        <v>0</v>
      </c>
      <c r="O731" t="n">
        <v>0</v>
      </c>
      <c r="P731" t="n">
        <v>0</v>
      </c>
      <c r="Q731" t="n">
        <v>0</v>
      </c>
      <c r="R731" s="2" t="inlineStr"/>
    </row>
    <row r="732" ht="15" customHeight="1">
      <c r="A732" t="inlineStr">
        <is>
          <t>A 49238-2025</t>
        </is>
      </c>
      <c r="B732" s="1" t="n">
        <v>45938.48231481481</v>
      </c>
      <c r="C732" s="1" t="n">
        <v>46106</v>
      </c>
      <c r="D732" t="inlineStr">
        <is>
          <t>JÄMTLANDS LÄN</t>
        </is>
      </c>
      <c r="E732" t="inlineStr">
        <is>
          <t>RAGUNDA</t>
        </is>
      </c>
      <c r="G732" t="n">
        <v>4.7</v>
      </c>
      <c r="H732" t="n">
        <v>0</v>
      </c>
      <c r="I732" t="n">
        <v>0</v>
      </c>
      <c r="J732" t="n">
        <v>0</v>
      </c>
      <c r="K732" t="n">
        <v>0</v>
      </c>
      <c r="L732" t="n">
        <v>0</v>
      </c>
      <c r="M732" t="n">
        <v>0</v>
      </c>
      <c r="N732" t="n">
        <v>0</v>
      </c>
      <c r="O732" t="n">
        <v>0</v>
      </c>
      <c r="P732" t="n">
        <v>0</v>
      </c>
      <c r="Q732" t="n">
        <v>0</v>
      </c>
      <c r="R732" s="2" t="inlineStr"/>
    </row>
    <row r="733" ht="15" customHeight="1">
      <c r="A733" t="inlineStr">
        <is>
          <t>A 49290-2025</t>
        </is>
      </c>
      <c r="B733" s="1" t="n">
        <v>45938.53168981482</v>
      </c>
      <c r="C733" s="1" t="n">
        <v>46106</v>
      </c>
      <c r="D733" t="inlineStr">
        <is>
          <t>JÄMTLANDS LÄN</t>
        </is>
      </c>
      <c r="E733" t="inlineStr">
        <is>
          <t>RAGUNDA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49092-2025</t>
        </is>
      </c>
      <c r="B734" s="1" t="n">
        <v>45937.67792824074</v>
      </c>
      <c r="C734" s="1" t="n">
        <v>46106</v>
      </c>
      <c r="D734" t="inlineStr">
        <is>
          <t>JÄMTLANDS LÄN</t>
        </is>
      </c>
      <c r="E734" t="inlineStr">
        <is>
          <t>RAGUNDA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26645-2024</t>
        </is>
      </c>
      <c r="B735" s="1" t="n">
        <v>45469.94667824074</v>
      </c>
      <c r="C735" s="1" t="n">
        <v>46106</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893-2025</t>
        </is>
      </c>
      <c r="B736" s="1" t="n">
        <v>45665.65684027778</v>
      </c>
      <c r="C736" s="1" t="n">
        <v>46106</v>
      </c>
      <c r="D736" t="inlineStr">
        <is>
          <t>JÄMTLANDS LÄN</t>
        </is>
      </c>
      <c r="E736" t="inlineStr">
        <is>
          <t>RAGUNDA</t>
        </is>
      </c>
      <c r="F736" t="inlineStr">
        <is>
          <t>SCA</t>
        </is>
      </c>
      <c r="G736" t="n">
        <v>45.1</v>
      </c>
      <c r="H736" t="n">
        <v>0</v>
      </c>
      <c r="I736" t="n">
        <v>0</v>
      </c>
      <c r="J736" t="n">
        <v>0</v>
      </c>
      <c r="K736" t="n">
        <v>0</v>
      </c>
      <c r="L736" t="n">
        <v>0</v>
      </c>
      <c r="M736" t="n">
        <v>0</v>
      </c>
      <c r="N736" t="n">
        <v>0</v>
      </c>
      <c r="O736" t="n">
        <v>0</v>
      </c>
      <c r="P736" t="n">
        <v>0</v>
      </c>
      <c r="Q736" t="n">
        <v>0</v>
      </c>
      <c r="R736" s="2" t="inlineStr"/>
    </row>
    <row r="737" ht="15" customHeight="1">
      <c r="A737" t="inlineStr">
        <is>
          <t>A 31135-2023</t>
        </is>
      </c>
      <c r="B737" s="1" t="n">
        <v>45103</v>
      </c>
      <c r="C737" s="1" t="n">
        <v>46106</v>
      </c>
      <c r="D737" t="inlineStr">
        <is>
          <t>JÄMTLANDS LÄN</t>
        </is>
      </c>
      <c r="E737" t="inlineStr">
        <is>
          <t>RAGUNDA</t>
        </is>
      </c>
      <c r="G737" t="n">
        <v>0.9</v>
      </c>
      <c r="H737" t="n">
        <v>0</v>
      </c>
      <c r="I737" t="n">
        <v>0</v>
      </c>
      <c r="J737" t="n">
        <v>0</v>
      </c>
      <c r="K737" t="n">
        <v>0</v>
      </c>
      <c r="L737" t="n">
        <v>0</v>
      </c>
      <c r="M737" t="n">
        <v>0</v>
      </c>
      <c r="N737" t="n">
        <v>0</v>
      </c>
      <c r="O737" t="n">
        <v>0</v>
      </c>
      <c r="P737" t="n">
        <v>0</v>
      </c>
      <c r="Q737" t="n">
        <v>0</v>
      </c>
      <c r="R737" s="2" t="inlineStr"/>
    </row>
    <row r="738" ht="15" customHeight="1">
      <c r="A738" t="inlineStr">
        <is>
          <t>A 34088-2025</t>
        </is>
      </c>
      <c r="B738" s="1" t="n">
        <v>45845</v>
      </c>
      <c r="C738" s="1" t="n">
        <v>46106</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50215-2025</t>
        </is>
      </c>
      <c r="B739" s="1" t="n">
        <v>45943.67842592593</v>
      </c>
      <c r="C739" s="1" t="n">
        <v>46106</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49991-2025</t>
        </is>
      </c>
      <c r="B740" s="1" t="n">
        <v>45942.91568287037</v>
      </c>
      <c r="C740" s="1" t="n">
        <v>46106</v>
      </c>
      <c r="D740" t="inlineStr">
        <is>
          <t>JÄMTLANDS LÄN</t>
        </is>
      </c>
      <c r="E740" t="inlineStr">
        <is>
          <t>RAGUNDA</t>
        </is>
      </c>
      <c r="G740" t="n">
        <v>9</v>
      </c>
      <c r="H740" t="n">
        <v>0</v>
      </c>
      <c r="I740" t="n">
        <v>0</v>
      </c>
      <c r="J740" t="n">
        <v>0</v>
      </c>
      <c r="K740" t="n">
        <v>0</v>
      </c>
      <c r="L740" t="n">
        <v>0</v>
      </c>
      <c r="M740" t="n">
        <v>0</v>
      </c>
      <c r="N740" t="n">
        <v>0</v>
      </c>
      <c r="O740" t="n">
        <v>0</v>
      </c>
      <c r="P740" t="n">
        <v>0</v>
      </c>
      <c r="Q740" t="n">
        <v>0</v>
      </c>
      <c r="R740" s="2" t="inlineStr"/>
    </row>
    <row r="741" ht="15" customHeight="1">
      <c r="A741" t="inlineStr">
        <is>
          <t>A 49993-2025</t>
        </is>
      </c>
      <c r="B741" s="1" t="n">
        <v>45942.94371527778</v>
      </c>
      <c r="C741" s="1" t="n">
        <v>46106</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49994-2025</t>
        </is>
      </c>
      <c r="B742" s="1" t="n">
        <v>45942.96922453704</v>
      </c>
      <c r="C742" s="1" t="n">
        <v>46106</v>
      </c>
      <c r="D742" t="inlineStr">
        <is>
          <t>JÄMTLANDS LÄN</t>
        </is>
      </c>
      <c r="E742" t="inlineStr">
        <is>
          <t>RAGUNDA</t>
        </is>
      </c>
      <c r="G742" t="n">
        <v>4.5</v>
      </c>
      <c r="H742" t="n">
        <v>0</v>
      </c>
      <c r="I742" t="n">
        <v>0</v>
      </c>
      <c r="J742" t="n">
        <v>0</v>
      </c>
      <c r="K742" t="n">
        <v>0</v>
      </c>
      <c r="L742" t="n">
        <v>0</v>
      </c>
      <c r="M742" t="n">
        <v>0</v>
      </c>
      <c r="N742" t="n">
        <v>0</v>
      </c>
      <c r="O742" t="n">
        <v>0</v>
      </c>
      <c r="P742" t="n">
        <v>0</v>
      </c>
      <c r="Q742" t="n">
        <v>0</v>
      </c>
      <c r="R742" s="2" t="inlineStr"/>
    </row>
    <row r="743" ht="15" customHeight="1">
      <c r="A743" t="inlineStr">
        <is>
          <t>A 49995-2025</t>
        </is>
      </c>
      <c r="B743" s="1" t="n">
        <v>45943.00986111111</v>
      </c>
      <c r="C743" s="1" t="n">
        <v>46106</v>
      </c>
      <c r="D743" t="inlineStr">
        <is>
          <t>JÄMTLANDS LÄN</t>
        </is>
      </c>
      <c r="E743" t="inlineStr">
        <is>
          <t>RAGUNDA</t>
        </is>
      </c>
      <c r="G743" t="n">
        <v>2.5</v>
      </c>
      <c r="H743" t="n">
        <v>0</v>
      </c>
      <c r="I743" t="n">
        <v>0</v>
      </c>
      <c r="J743" t="n">
        <v>0</v>
      </c>
      <c r="K743" t="n">
        <v>0</v>
      </c>
      <c r="L743" t="n">
        <v>0</v>
      </c>
      <c r="M743" t="n">
        <v>0</v>
      </c>
      <c r="N743" t="n">
        <v>0</v>
      </c>
      <c r="O743" t="n">
        <v>0</v>
      </c>
      <c r="P743" t="n">
        <v>0</v>
      </c>
      <c r="Q743" t="n">
        <v>0</v>
      </c>
      <c r="R743" s="2" t="inlineStr"/>
    </row>
    <row r="744" ht="15" customHeight="1">
      <c r="A744" t="inlineStr">
        <is>
          <t>A 50126-2025</t>
        </is>
      </c>
      <c r="B744" s="1" t="n">
        <v>45943.55271990741</v>
      </c>
      <c r="C744" s="1" t="n">
        <v>46106</v>
      </c>
      <c r="D744" t="inlineStr">
        <is>
          <t>JÄMTLANDS LÄN</t>
        </is>
      </c>
      <c r="E744" t="inlineStr">
        <is>
          <t>RAGUNDA</t>
        </is>
      </c>
      <c r="G744" t="n">
        <v>1</v>
      </c>
      <c r="H744" t="n">
        <v>0</v>
      </c>
      <c r="I744" t="n">
        <v>0</v>
      </c>
      <c r="J744" t="n">
        <v>0</v>
      </c>
      <c r="K744" t="n">
        <v>0</v>
      </c>
      <c r="L744" t="n">
        <v>0</v>
      </c>
      <c r="M744" t="n">
        <v>0</v>
      </c>
      <c r="N744" t="n">
        <v>0</v>
      </c>
      <c r="O744" t="n">
        <v>0</v>
      </c>
      <c r="P744" t="n">
        <v>0</v>
      </c>
      <c r="Q744" t="n">
        <v>0</v>
      </c>
      <c r="R744" s="2" t="inlineStr"/>
    </row>
    <row r="745" ht="15" customHeight="1">
      <c r="A745" t="inlineStr">
        <is>
          <t>A 50098-2025</t>
        </is>
      </c>
      <c r="B745" s="1" t="n">
        <v>45943.51086805556</v>
      </c>
      <c r="C745" s="1" t="n">
        <v>46106</v>
      </c>
      <c r="D745" t="inlineStr">
        <is>
          <t>JÄMTLANDS LÄN</t>
        </is>
      </c>
      <c r="E745" t="inlineStr">
        <is>
          <t>RAGUNDA</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43132-2023</t>
        </is>
      </c>
      <c r="B746" s="1" t="n">
        <v>45182</v>
      </c>
      <c r="C746" s="1" t="n">
        <v>46106</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50125-2025</t>
        </is>
      </c>
      <c r="B747" s="1" t="n">
        <v>45943.55262731481</v>
      </c>
      <c r="C747" s="1" t="n">
        <v>46106</v>
      </c>
      <c r="D747" t="inlineStr">
        <is>
          <t>JÄMTLANDS LÄN</t>
        </is>
      </c>
      <c r="E747" t="inlineStr">
        <is>
          <t>RAGUNDA</t>
        </is>
      </c>
      <c r="F747" t="inlineStr">
        <is>
          <t>Sveaskog</t>
        </is>
      </c>
      <c r="G747" t="n">
        <v>23.2</v>
      </c>
      <c r="H747" t="n">
        <v>0</v>
      </c>
      <c r="I747" t="n">
        <v>0</v>
      </c>
      <c r="J747" t="n">
        <v>0</v>
      </c>
      <c r="K747" t="n">
        <v>0</v>
      </c>
      <c r="L747" t="n">
        <v>0</v>
      </c>
      <c r="M747" t="n">
        <v>0</v>
      </c>
      <c r="N747" t="n">
        <v>0</v>
      </c>
      <c r="O747" t="n">
        <v>0</v>
      </c>
      <c r="P747" t="n">
        <v>0</v>
      </c>
      <c r="Q747" t="n">
        <v>0</v>
      </c>
      <c r="R747" s="2" t="inlineStr"/>
    </row>
    <row r="748" ht="15" customHeight="1">
      <c r="A748" t="inlineStr">
        <is>
          <t>A 50081-2025</t>
        </is>
      </c>
      <c r="B748" s="1" t="n">
        <v>45943.46954861111</v>
      </c>
      <c r="C748" s="1" t="n">
        <v>46106</v>
      </c>
      <c r="D748" t="inlineStr">
        <is>
          <t>JÄMTLANDS LÄN</t>
        </is>
      </c>
      <c r="E748" t="inlineStr">
        <is>
          <t>RAGUNDA</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50080-2025</t>
        </is>
      </c>
      <c r="B749" s="1" t="n">
        <v>45943.469375</v>
      </c>
      <c r="C749" s="1" t="n">
        <v>46106</v>
      </c>
      <c r="D749" t="inlineStr">
        <is>
          <t>JÄMTLANDS LÄN</t>
        </is>
      </c>
      <c r="E749" t="inlineStr">
        <is>
          <t>RAGUNDA</t>
        </is>
      </c>
      <c r="F749" t="inlineStr">
        <is>
          <t>Naturvårdsverket</t>
        </is>
      </c>
      <c r="G749" t="n">
        <v>6.1</v>
      </c>
      <c r="H749" t="n">
        <v>0</v>
      </c>
      <c r="I749" t="n">
        <v>0</v>
      </c>
      <c r="J749" t="n">
        <v>0</v>
      </c>
      <c r="K749" t="n">
        <v>0</v>
      </c>
      <c r="L749" t="n">
        <v>0</v>
      </c>
      <c r="M749" t="n">
        <v>0</v>
      </c>
      <c r="N749" t="n">
        <v>0</v>
      </c>
      <c r="O749" t="n">
        <v>0</v>
      </c>
      <c r="P749" t="n">
        <v>0</v>
      </c>
      <c r="Q749" t="n">
        <v>0</v>
      </c>
      <c r="R749" s="2" t="inlineStr"/>
    </row>
    <row r="750" ht="15" customHeight="1">
      <c r="A750" t="inlineStr">
        <is>
          <t>A 50260-2025</t>
        </is>
      </c>
      <c r="B750" s="1" t="n">
        <v>45944.34515046296</v>
      </c>
      <c r="C750" s="1" t="n">
        <v>46106</v>
      </c>
      <c r="D750" t="inlineStr">
        <is>
          <t>JÄMTLANDS LÄN</t>
        </is>
      </c>
      <c r="E750" t="inlineStr">
        <is>
          <t>RAGUNDA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56284-2023</t>
        </is>
      </c>
      <c r="B751" s="1" t="n">
        <v>45241.95724537037</v>
      </c>
      <c r="C751" s="1" t="n">
        <v>46106</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61045-2022</t>
        </is>
      </c>
      <c r="B752" s="1" t="n">
        <v>44914</v>
      </c>
      <c r="C752" s="1" t="n">
        <v>46106</v>
      </c>
      <c r="D752" t="inlineStr">
        <is>
          <t>JÄMTLANDS LÄN</t>
        </is>
      </c>
      <c r="E752" t="inlineStr">
        <is>
          <t>RAGUNDA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61197-2023</t>
        </is>
      </c>
      <c r="B753" s="1" t="n">
        <v>45260</v>
      </c>
      <c r="C753" s="1" t="n">
        <v>46106</v>
      </c>
      <c r="D753" t="inlineStr">
        <is>
          <t>JÄMTLANDS LÄN</t>
        </is>
      </c>
      <c r="E753" t="inlineStr">
        <is>
          <t>RAGUNDA</t>
        </is>
      </c>
      <c r="G753" t="n">
        <v>2.5</v>
      </c>
      <c r="H753" t="n">
        <v>0</v>
      </c>
      <c r="I753" t="n">
        <v>0</v>
      </c>
      <c r="J753" t="n">
        <v>0</v>
      </c>
      <c r="K753" t="n">
        <v>0</v>
      </c>
      <c r="L753" t="n">
        <v>0</v>
      </c>
      <c r="M753" t="n">
        <v>0</v>
      </c>
      <c r="N753" t="n">
        <v>0</v>
      </c>
      <c r="O753" t="n">
        <v>0</v>
      </c>
      <c r="P753" t="n">
        <v>0</v>
      </c>
      <c r="Q753" t="n">
        <v>0</v>
      </c>
      <c r="R753" s="2" t="inlineStr"/>
    </row>
    <row r="754" ht="15" customHeight="1">
      <c r="A754" t="inlineStr">
        <is>
          <t>A 13263-2025</t>
        </is>
      </c>
      <c r="B754" s="1" t="n">
        <v>45735.53177083333</v>
      </c>
      <c r="C754" s="1" t="n">
        <v>46106</v>
      </c>
      <c r="D754" t="inlineStr">
        <is>
          <t>JÄMTLANDS LÄN</t>
        </is>
      </c>
      <c r="E754" t="inlineStr">
        <is>
          <t>RAGUNDA</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48066-2022</t>
        </is>
      </c>
      <c r="B755" s="1" t="n">
        <v>44855</v>
      </c>
      <c r="C755" s="1" t="n">
        <v>46106</v>
      </c>
      <c r="D755" t="inlineStr">
        <is>
          <t>JÄMTLANDS LÄN</t>
        </is>
      </c>
      <c r="E755" t="inlineStr">
        <is>
          <t>RAGUNDA</t>
        </is>
      </c>
      <c r="F755" t="inlineStr">
        <is>
          <t>SCA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64415-2023</t>
        </is>
      </c>
      <c r="B756" s="1" t="n">
        <v>45280</v>
      </c>
      <c r="C756" s="1" t="n">
        <v>46106</v>
      </c>
      <c r="D756" t="inlineStr">
        <is>
          <t>JÄMTLANDS LÄN</t>
        </is>
      </c>
      <c r="E756" t="inlineStr">
        <is>
          <t>RAGUNDA</t>
        </is>
      </c>
      <c r="G756" t="n">
        <v>5.1</v>
      </c>
      <c r="H756" t="n">
        <v>0</v>
      </c>
      <c r="I756" t="n">
        <v>0</v>
      </c>
      <c r="J756" t="n">
        <v>0</v>
      </c>
      <c r="K756" t="n">
        <v>0</v>
      </c>
      <c r="L756" t="n">
        <v>0</v>
      </c>
      <c r="M756" t="n">
        <v>0</v>
      </c>
      <c r="N756" t="n">
        <v>0</v>
      </c>
      <c r="O756" t="n">
        <v>0</v>
      </c>
      <c r="P756" t="n">
        <v>0</v>
      </c>
      <c r="Q756" t="n">
        <v>0</v>
      </c>
      <c r="R756" s="2" t="inlineStr"/>
    </row>
    <row r="757" ht="15" customHeight="1">
      <c r="A757" t="inlineStr">
        <is>
          <t>A 60225-2022</t>
        </is>
      </c>
      <c r="B757" s="1" t="n">
        <v>44903</v>
      </c>
      <c r="C757" s="1" t="n">
        <v>46106</v>
      </c>
      <c r="D757" t="inlineStr">
        <is>
          <t>JÄMTLANDS LÄN</t>
        </is>
      </c>
      <c r="E757" t="inlineStr">
        <is>
          <t>RAGUNDA</t>
        </is>
      </c>
      <c r="G757" t="n">
        <v>1</v>
      </c>
      <c r="H757" t="n">
        <v>0</v>
      </c>
      <c r="I757" t="n">
        <v>0</v>
      </c>
      <c r="J757" t="n">
        <v>0</v>
      </c>
      <c r="K757" t="n">
        <v>0</v>
      </c>
      <c r="L757" t="n">
        <v>0</v>
      </c>
      <c r="M757" t="n">
        <v>0</v>
      </c>
      <c r="N757" t="n">
        <v>0</v>
      </c>
      <c r="O757" t="n">
        <v>0</v>
      </c>
      <c r="P757" t="n">
        <v>0</v>
      </c>
      <c r="Q757" t="n">
        <v>0</v>
      </c>
      <c r="R757" s="2" t="inlineStr"/>
    </row>
    <row r="758" ht="15" customHeight="1">
      <c r="A758" t="inlineStr">
        <is>
          <t>A 50473-2025</t>
        </is>
      </c>
      <c r="B758" s="1" t="n">
        <v>45945.36520833334</v>
      </c>
      <c r="C758" s="1" t="n">
        <v>46106</v>
      </c>
      <c r="D758" t="inlineStr">
        <is>
          <t>JÄMTLANDS LÄN</t>
        </is>
      </c>
      <c r="E758" t="inlineStr">
        <is>
          <t>RAGUNDA</t>
        </is>
      </c>
      <c r="F758" t="inlineStr">
        <is>
          <t>SCA</t>
        </is>
      </c>
      <c r="G758" t="n">
        <v>11.2</v>
      </c>
      <c r="H758" t="n">
        <v>0</v>
      </c>
      <c r="I758" t="n">
        <v>0</v>
      </c>
      <c r="J758" t="n">
        <v>0</v>
      </c>
      <c r="K758" t="n">
        <v>0</v>
      </c>
      <c r="L758" t="n">
        <v>0</v>
      </c>
      <c r="M758" t="n">
        <v>0</v>
      </c>
      <c r="N758" t="n">
        <v>0</v>
      </c>
      <c r="O758" t="n">
        <v>0</v>
      </c>
      <c r="P758" t="n">
        <v>0</v>
      </c>
      <c r="Q758" t="n">
        <v>0</v>
      </c>
      <c r="R758" s="2" t="inlineStr"/>
    </row>
    <row r="759" ht="15" customHeight="1">
      <c r="A759" t="inlineStr">
        <is>
          <t>A 15864-2024</t>
        </is>
      </c>
      <c r="B759" s="1" t="n">
        <v>45404.99792824074</v>
      </c>
      <c r="C759" s="1" t="n">
        <v>46106</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c r="U759">
        <f>HYPERLINK("https://klasma.github.io/Logging_2303/knärot/A 15864-2024 karta knärot.png", "A 15864-2024")</f>
        <v/>
      </c>
      <c r="V759">
        <f>HYPERLINK("https://klasma.github.io/Logging_2303/klagomål/A 15864-2024 FSC-klagomål.docx", "A 15864-2024")</f>
        <v/>
      </c>
      <c r="W759">
        <f>HYPERLINK("https://klasma.github.io/Logging_2303/klagomålsmail/A 15864-2024 FSC-klagomål mail.docx", "A 15864-2024")</f>
        <v/>
      </c>
      <c r="X759">
        <f>HYPERLINK("https://klasma.github.io/Logging_2303/tillsyn/A 15864-2024 tillsynsbegäran.docx", "A 15864-2024")</f>
        <v/>
      </c>
      <c r="Y759">
        <f>HYPERLINK("https://klasma.github.io/Logging_2303/tillsynsmail/A 15864-2024 tillsynsbegäran mail.docx", "A 15864-2024")</f>
        <v/>
      </c>
    </row>
    <row r="760" ht="15" customHeight="1">
      <c r="A760" t="inlineStr">
        <is>
          <t>A 57749-2024</t>
        </is>
      </c>
      <c r="B760" s="1" t="n">
        <v>45630.7862037037</v>
      </c>
      <c r="C760" s="1" t="n">
        <v>46106</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24280-2021</t>
        </is>
      </c>
      <c r="B761" s="1" t="n">
        <v>44336</v>
      </c>
      <c r="C761" s="1" t="n">
        <v>46106</v>
      </c>
      <c r="D761" t="inlineStr">
        <is>
          <t>JÄMTLANDS LÄN</t>
        </is>
      </c>
      <c r="E761" t="inlineStr">
        <is>
          <t>RAGUNDA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50504-2025</t>
        </is>
      </c>
      <c r="B762" s="1" t="n">
        <v>45945.4284837963</v>
      </c>
      <c r="C762" s="1" t="n">
        <v>46106</v>
      </c>
      <c r="D762" t="inlineStr">
        <is>
          <t>JÄMTLANDS LÄN</t>
        </is>
      </c>
      <c r="E762" t="inlineStr">
        <is>
          <t>RAGUNDA</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8886-2024</t>
        </is>
      </c>
      <c r="B763" s="1" t="n">
        <v>45357.05300925926</v>
      </c>
      <c r="C763" s="1" t="n">
        <v>46106</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28596-2021</t>
        </is>
      </c>
      <c r="B764" s="1" t="n">
        <v>44356</v>
      </c>
      <c r="C764" s="1" t="n">
        <v>46106</v>
      </c>
      <c r="D764" t="inlineStr">
        <is>
          <t>JÄMTLANDS LÄN</t>
        </is>
      </c>
      <c r="E764" t="inlineStr">
        <is>
          <t>RAGUNDA</t>
        </is>
      </c>
      <c r="G764" t="n">
        <v>5.4</v>
      </c>
      <c r="H764" t="n">
        <v>0</v>
      </c>
      <c r="I764" t="n">
        <v>0</v>
      </c>
      <c r="J764" t="n">
        <v>0</v>
      </c>
      <c r="K764" t="n">
        <v>0</v>
      </c>
      <c r="L764" t="n">
        <v>0</v>
      </c>
      <c r="M764" t="n">
        <v>0</v>
      </c>
      <c r="N764" t="n">
        <v>0</v>
      </c>
      <c r="O764" t="n">
        <v>0</v>
      </c>
      <c r="P764" t="n">
        <v>0</v>
      </c>
      <c r="Q764" t="n">
        <v>0</v>
      </c>
      <c r="R764" s="2" t="inlineStr"/>
    </row>
    <row r="765" ht="15" customHeight="1">
      <c r="A765" t="inlineStr">
        <is>
          <t>A 50503-2025</t>
        </is>
      </c>
      <c r="B765" s="1" t="n">
        <v>45945.42746527777</v>
      </c>
      <c r="C765" s="1" t="n">
        <v>46106</v>
      </c>
      <c r="D765" t="inlineStr">
        <is>
          <t>JÄMTLANDS LÄN</t>
        </is>
      </c>
      <c r="E765" t="inlineStr">
        <is>
          <t>RAGUNDA</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11058-2025</t>
        </is>
      </c>
      <c r="B766" s="1" t="n">
        <v>45723.51079861111</v>
      </c>
      <c r="C766" s="1" t="n">
        <v>46106</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50711-2025</t>
        </is>
      </c>
      <c r="B767" s="1" t="n">
        <v>45946.34431712963</v>
      </c>
      <c r="C767" s="1" t="n">
        <v>46106</v>
      </c>
      <c r="D767" t="inlineStr">
        <is>
          <t>JÄMTLANDS LÄN</t>
        </is>
      </c>
      <c r="E767" t="inlineStr">
        <is>
          <t>RAGUNDA</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50716-2025</t>
        </is>
      </c>
      <c r="B768" s="1" t="n">
        <v>45946.34572916666</v>
      </c>
      <c r="C768" s="1" t="n">
        <v>46106</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38664-2022</t>
        </is>
      </c>
      <c r="B769" s="1" t="n">
        <v>44813</v>
      </c>
      <c r="C769" s="1" t="n">
        <v>46106</v>
      </c>
      <c r="D769" t="inlineStr">
        <is>
          <t>JÄMTLANDS LÄN</t>
        </is>
      </c>
      <c r="E769" t="inlineStr">
        <is>
          <t>RAGUNDA</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50719-2025</t>
        </is>
      </c>
      <c r="B770" s="1" t="n">
        <v>45946.34642361111</v>
      </c>
      <c r="C770" s="1" t="n">
        <v>46106</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51019-2025</t>
        </is>
      </c>
      <c r="B771" s="1" t="n">
        <v>45947.38623842593</v>
      </c>
      <c r="C771" s="1" t="n">
        <v>46106</v>
      </c>
      <c r="D771" t="inlineStr">
        <is>
          <t>JÄMTLANDS LÄN</t>
        </is>
      </c>
      <c r="E771" t="inlineStr">
        <is>
          <t>RAGUNDA</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24441-2024</t>
        </is>
      </c>
      <c r="B772" s="1" t="n">
        <v>45457.96372685185</v>
      </c>
      <c r="C772" s="1" t="n">
        <v>46106</v>
      </c>
      <c r="D772" t="inlineStr">
        <is>
          <t>JÄMTLANDS LÄN</t>
        </is>
      </c>
      <c r="E772" t="inlineStr">
        <is>
          <t>RAGUNDA</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40801-2023</t>
        </is>
      </c>
      <c r="B773" s="1" t="n">
        <v>45170</v>
      </c>
      <c r="C773" s="1" t="n">
        <v>46106</v>
      </c>
      <c r="D773" t="inlineStr">
        <is>
          <t>JÄMTLANDS LÄN</t>
        </is>
      </c>
      <c r="E773" t="inlineStr">
        <is>
          <t>RAGUNDA</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50985-2025</t>
        </is>
      </c>
      <c r="B774" s="1" t="n">
        <v>45947.34506944445</v>
      </c>
      <c r="C774" s="1" t="n">
        <v>46106</v>
      </c>
      <c r="D774" t="inlineStr">
        <is>
          <t>JÄMTLANDS LÄN</t>
        </is>
      </c>
      <c r="E774" t="inlineStr">
        <is>
          <t>RAGUNDA</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51034-2025</t>
        </is>
      </c>
      <c r="B775" s="1" t="n">
        <v>45947.40670138889</v>
      </c>
      <c r="C775" s="1" t="n">
        <v>46106</v>
      </c>
      <c r="D775" t="inlineStr">
        <is>
          <t>JÄMTLANDS LÄN</t>
        </is>
      </c>
      <c r="E775" t="inlineStr">
        <is>
          <t>RAGUNDA</t>
        </is>
      </c>
      <c r="F775" t="inlineStr">
        <is>
          <t>SCA</t>
        </is>
      </c>
      <c r="G775" t="n">
        <v>44.1</v>
      </c>
      <c r="H775" t="n">
        <v>0</v>
      </c>
      <c r="I775" t="n">
        <v>0</v>
      </c>
      <c r="J775" t="n">
        <v>0</v>
      </c>
      <c r="K775" t="n">
        <v>0</v>
      </c>
      <c r="L775" t="n">
        <v>0</v>
      </c>
      <c r="M775" t="n">
        <v>0</v>
      </c>
      <c r="N775" t="n">
        <v>0</v>
      </c>
      <c r="O775" t="n">
        <v>0</v>
      </c>
      <c r="P775" t="n">
        <v>0</v>
      </c>
      <c r="Q775" t="n">
        <v>0</v>
      </c>
      <c r="R775" s="2" t="inlineStr"/>
    </row>
    <row r="776" ht="15" customHeight="1">
      <c r="A776" t="inlineStr">
        <is>
          <t>A 51592-2025</t>
        </is>
      </c>
      <c r="B776" s="1" t="n">
        <v>45951.36541666667</v>
      </c>
      <c r="C776" s="1" t="n">
        <v>46106</v>
      </c>
      <c r="D776" t="inlineStr">
        <is>
          <t>JÄMTLANDS LÄN</t>
        </is>
      </c>
      <c r="E776" t="inlineStr">
        <is>
          <t>RAGUNDA</t>
        </is>
      </c>
      <c r="G776" t="n">
        <v>1.3</v>
      </c>
      <c r="H776" t="n">
        <v>0</v>
      </c>
      <c r="I776" t="n">
        <v>0</v>
      </c>
      <c r="J776" t="n">
        <v>0</v>
      </c>
      <c r="K776" t="n">
        <v>0</v>
      </c>
      <c r="L776" t="n">
        <v>0</v>
      </c>
      <c r="M776" t="n">
        <v>0</v>
      </c>
      <c r="N776" t="n">
        <v>0</v>
      </c>
      <c r="O776" t="n">
        <v>0</v>
      </c>
      <c r="P776" t="n">
        <v>0</v>
      </c>
      <c r="Q776" t="n">
        <v>0</v>
      </c>
      <c r="R776" s="2" t="inlineStr"/>
    </row>
    <row r="777" ht="15" customHeight="1">
      <c r="A777" t="inlineStr">
        <is>
          <t>A 51395-2025</t>
        </is>
      </c>
      <c r="B777" s="1" t="n">
        <v>45950.46989583333</v>
      </c>
      <c r="C777" s="1" t="n">
        <v>46106</v>
      </c>
      <c r="D777" t="inlineStr">
        <is>
          <t>JÄMTLANDS LÄN</t>
        </is>
      </c>
      <c r="E777" t="inlineStr">
        <is>
          <t>RAGUNDA</t>
        </is>
      </c>
      <c r="F777" t="inlineStr">
        <is>
          <t>SCA</t>
        </is>
      </c>
      <c r="G777" t="n">
        <v>30.7</v>
      </c>
      <c r="H777" t="n">
        <v>0</v>
      </c>
      <c r="I777" t="n">
        <v>0</v>
      </c>
      <c r="J777" t="n">
        <v>0</v>
      </c>
      <c r="K777" t="n">
        <v>0</v>
      </c>
      <c r="L777" t="n">
        <v>0</v>
      </c>
      <c r="M777" t="n">
        <v>0</v>
      </c>
      <c r="N777" t="n">
        <v>0</v>
      </c>
      <c r="O777" t="n">
        <v>0</v>
      </c>
      <c r="P777" t="n">
        <v>0</v>
      </c>
      <c r="Q777" t="n">
        <v>0</v>
      </c>
      <c r="R777" s="2" t="inlineStr"/>
    </row>
    <row r="778" ht="15" customHeight="1">
      <c r="A778" t="inlineStr">
        <is>
          <t>A 51678-2025</t>
        </is>
      </c>
      <c r="B778" s="1" t="n">
        <v>45951.51106481482</v>
      </c>
      <c r="C778" s="1" t="n">
        <v>46106</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48065-2023</t>
        </is>
      </c>
      <c r="B779" s="1" t="n">
        <v>45204.94399305555</v>
      </c>
      <c r="C779" s="1" t="n">
        <v>46106</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51593-2025</t>
        </is>
      </c>
      <c r="B780" s="1" t="n">
        <v>45951.36548611111</v>
      </c>
      <c r="C780" s="1" t="n">
        <v>46106</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4592-2024</t>
        </is>
      </c>
      <c r="B781" s="1" t="n">
        <v>45327.94443287037</v>
      </c>
      <c r="C781" s="1" t="n">
        <v>46106</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60195-2023</t>
        </is>
      </c>
      <c r="B782" s="1" t="n">
        <v>45257</v>
      </c>
      <c r="C782" s="1" t="n">
        <v>46106</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51484-2025</t>
        </is>
      </c>
      <c r="B783" s="1" t="n">
        <v>45950.62196759259</v>
      </c>
      <c r="C783" s="1" t="n">
        <v>46106</v>
      </c>
      <c r="D783" t="inlineStr">
        <is>
          <t>JÄMTLANDS LÄN</t>
        </is>
      </c>
      <c r="E783" t="inlineStr">
        <is>
          <t>RAGUNDA</t>
        </is>
      </c>
      <c r="F783" t="inlineStr">
        <is>
          <t>SCA</t>
        </is>
      </c>
      <c r="G783" t="n">
        <v>23.1</v>
      </c>
      <c r="H783" t="n">
        <v>0</v>
      </c>
      <c r="I783" t="n">
        <v>0</v>
      </c>
      <c r="J783" t="n">
        <v>0</v>
      </c>
      <c r="K783" t="n">
        <v>0</v>
      </c>
      <c r="L783" t="n">
        <v>0</v>
      </c>
      <c r="M783" t="n">
        <v>0</v>
      </c>
      <c r="N783" t="n">
        <v>0</v>
      </c>
      <c r="O783" t="n">
        <v>0</v>
      </c>
      <c r="P783" t="n">
        <v>0</v>
      </c>
      <c r="Q783" t="n">
        <v>0</v>
      </c>
      <c r="R783" s="2" t="inlineStr"/>
    </row>
    <row r="784" ht="15" customHeight="1">
      <c r="A784" t="inlineStr">
        <is>
          <t>A 51491-2025</t>
        </is>
      </c>
      <c r="B784" s="1" t="n">
        <v>45950.63362268519</v>
      </c>
      <c r="C784" s="1" t="n">
        <v>46106</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22981-2023</t>
        </is>
      </c>
      <c r="B785" s="1" t="n">
        <v>45072.92737268518</v>
      </c>
      <c r="C785" s="1" t="n">
        <v>46106</v>
      </c>
      <c r="D785" t="inlineStr">
        <is>
          <t>JÄMTLANDS LÄN</t>
        </is>
      </c>
      <c r="E785" t="inlineStr">
        <is>
          <t>RAGUNDA</t>
        </is>
      </c>
      <c r="G785" t="n">
        <v>3.8</v>
      </c>
      <c r="H785" t="n">
        <v>0</v>
      </c>
      <c r="I785" t="n">
        <v>0</v>
      </c>
      <c r="J785" t="n">
        <v>0</v>
      </c>
      <c r="K785" t="n">
        <v>0</v>
      </c>
      <c r="L785" t="n">
        <v>0</v>
      </c>
      <c r="M785" t="n">
        <v>0</v>
      </c>
      <c r="N785" t="n">
        <v>0</v>
      </c>
      <c r="O785" t="n">
        <v>0</v>
      </c>
      <c r="P785" t="n">
        <v>0</v>
      </c>
      <c r="Q785" t="n">
        <v>0</v>
      </c>
      <c r="R785" s="2" t="inlineStr"/>
    </row>
    <row r="786" ht="15" customHeight="1">
      <c r="A786" t="inlineStr">
        <is>
          <t>A 51791-2025</t>
        </is>
      </c>
      <c r="B786" s="1" t="n">
        <v>45951.69833333333</v>
      </c>
      <c r="C786" s="1" t="n">
        <v>46106</v>
      </c>
      <c r="D786" t="inlineStr">
        <is>
          <t>JÄMTLANDS LÄN</t>
        </is>
      </c>
      <c r="E786" t="inlineStr">
        <is>
          <t>RAGUNDA</t>
        </is>
      </c>
      <c r="F786" t="inlineStr">
        <is>
          <t>SCA</t>
        </is>
      </c>
      <c r="G786" t="n">
        <v>43.3</v>
      </c>
      <c r="H786" t="n">
        <v>0</v>
      </c>
      <c r="I786" t="n">
        <v>0</v>
      </c>
      <c r="J786" t="n">
        <v>0</v>
      </c>
      <c r="K786" t="n">
        <v>0</v>
      </c>
      <c r="L786" t="n">
        <v>0</v>
      </c>
      <c r="M786" t="n">
        <v>0</v>
      </c>
      <c r="N786" t="n">
        <v>0</v>
      </c>
      <c r="O786" t="n">
        <v>0</v>
      </c>
      <c r="P786" t="n">
        <v>0</v>
      </c>
      <c r="Q786" t="n">
        <v>0</v>
      </c>
      <c r="R786" s="2" t="inlineStr"/>
    </row>
    <row r="787" ht="15" customHeight="1">
      <c r="A787" t="inlineStr">
        <is>
          <t>A 51702-2025</t>
        </is>
      </c>
      <c r="B787" s="1" t="n">
        <v>45951.55305555555</v>
      </c>
      <c r="C787" s="1" t="n">
        <v>46106</v>
      </c>
      <c r="D787" t="inlineStr">
        <is>
          <t>JÄMTLANDS LÄN</t>
        </is>
      </c>
      <c r="E787" t="inlineStr">
        <is>
          <t>RAGUNDA</t>
        </is>
      </c>
      <c r="G787" t="n">
        <v>11.4</v>
      </c>
      <c r="H787" t="n">
        <v>0</v>
      </c>
      <c r="I787" t="n">
        <v>0</v>
      </c>
      <c r="J787" t="n">
        <v>0</v>
      </c>
      <c r="K787" t="n">
        <v>0</v>
      </c>
      <c r="L787" t="n">
        <v>0</v>
      </c>
      <c r="M787" t="n">
        <v>0</v>
      </c>
      <c r="N787" t="n">
        <v>0</v>
      </c>
      <c r="O787" t="n">
        <v>0</v>
      </c>
      <c r="P787" t="n">
        <v>0</v>
      </c>
      <c r="Q787" t="n">
        <v>0</v>
      </c>
      <c r="R787" s="2" t="inlineStr"/>
    </row>
    <row r="788" ht="15" customHeight="1">
      <c r="A788" t="inlineStr">
        <is>
          <t>A 51394-2025</t>
        </is>
      </c>
      <c r="B788" s="1" t="n">
        <v>45950.46972222222</v>
      </c>
      <c r="C788" s="1" t="n">
        <v>46106</v>
      </c>
      <c r="D788" t="inlineStr">
        <is>
          <t>JÄMTLANDS LÄN</t>
        </is>
      </c>
      <c r="E788" t="inlineStr">
        <is>
          <t>RAGUNDA</t>
        </is>
      </c>
      <c r="F788" t="inlineStr">
        <is>
          <t>SCA</t>
        </is>
      </c>
      <c r="G788" t="n">
        <v>36.5</v>
      </c>
      <c r="H788" t="n">
        <v>0</v>
      </c>
      <c r="I788" t="n">
        <v>0</v>
      </c>
      <c r="J788" t="n">
        <v>0</v>
      </c>
      <c r="K788" t="n">
        <v>0</v>
      </c>
      <c r="L788" t="n">
        <v>0</v>
      </c>
      <c r="M788" t="n">
        <v>0</v>
      </c>
      <c r="N788" t="n">
        <v>0</v>
      </c>
      <c r="O788" t="n">
        <v>0</v>
      </c>
      <c r="P788" t="n">
        <v>0</v>
      </c>
      <c r="Q788" t="n">
        <v>0</v>
      </c>
      <c r="R788" s="2" t="inlineStr"/>
    </row>
    <row r="789" ht="15" customHeight="1">
      <c r="A789" t="inlineStr">
        <is>
          <t>A 52317-2025</t>
        </is>
      </c>
      <c r="B789" s="1" t="n">
        <v>45953.65675925926</v>
      </c>
      <c r="C789" s="1" t="n">
        <v>46106</v>
      </c>
      <c r="D789" t="inlineStr">
        <is>
          <t>JÄMTLANDS LÄN</t>
        </is>
      </c>
      <c r="E789" t="inlineStr">
        <is>
          <t>RAGUNDA</t>
        </is>
      </c>
      <c r="F789" t="inlineStr">
        <is>
          <t>SCA</t>
        </is>
      </c>
      <c r="G789" t="n">
        <v>27.2</v>
      </c>
      <c r="H789" t="n">
        <v>0</v>
      </c>
      <c r="I789" t="n">
        <v>0</v>
      </c>
      <c r="J789" t="n">
        <v>0</v>
      </c>
      <c r="K789" t="n">
        <v>0</v>
      </c>
      <c r="L789" t="n">
        <v>0</v>
      </c>
      <c r="M789" t="n">
        <v>0</v>
      </c>
      <c r="N789" t="n">
        <v>0</v>
      </c>
      <c r="O789" t="n">
        <v>0</v>
      </c>
      <c r="P789" t="n">
        <v>0</v>
      </c>
      <c r="Q789" t="n">
        <v>0</v>
      </c>
      <c r="R789" s="2" t="inlineStr"/>
    </row>
    <row r="790" ht="15" customHeight="1">
      <c r="A790" t="inlineStr">
        <is>
          <t>A 52122-2025</t>
        </is>
      </c>
      <c r="B790" s="1" t="n">
        <v>45952.71946759259</v>
      </c>
      <c r="C790" s="1" t="n">
        <v>46106</v>
      </c>
      <c r="D790" t="inlineStr">
        <is>
          <t>JÄMTLANDS LÄN</t>
        </is>
      </c>
      <c r="E790" t="inlineStr">
        <is>
          <t>RAGUNDA</t>
        </is>
      </c>
      <c r="F790" t="inlineStr">
        <is>
          <t>SCA</t>
        </is>
      </c>
      <c r="G790" t="n">
        <v>8</v>
      </c>
      <c r="H790" t="n">
        <v>0</v>
      </c>
      <c r="I790" t="n">
        <v>0</v>
      </c>
      <c r="J790" t="n">
        <v>0</v>
      </c>
      <c r="K790" t="n">
        <v>0</v>
      </c>
      <c r="L790" t="n">
        <v>0</v>
      </c>
      <c r="M790" t="n">
        <v>0</v>
      </c>
      <c r="N790" t="n">
        <v>0</v>
      </c>
      <c r="O790" t="n">
        <v>0</v>
      </c>
      <c r="P790" t="n">
        <v>0</v>
      </c>
      <c r="Q790" t="n">
        <v>0</v>
      </c>
      <c r="R790" s="2" t="inlineStr"/>
    </row>
    <row r="791" ht="15" customHeight="1">
      <c r="A791" t="inlineStr">
        <is>
          <t>A 26942-2021</t>
        </is>
      </c>
      <c r="B791" s="1" t="n">
        <v>44349.91978009259</v>
      </c>
      <c r="C791" s="1" t="n">
        <v>46106</v>
      </c>
      <c r="D791" t="inlineStr">
        <is>
          <t>JÄMTLANDS LÄN</t>
        </is>
      </c>
      <c r="E791" t="inlineStr">
        <is>
          <t>RAGUNDA</t>
        </is>
      </c>
      <c r="G791" t="n">
        <v>6.2</v>
      </c>
      <c r="H791" t="n">
        <v>0</v>
      </c>
      <c r="I791" t="n">
        <v>0</v>
      </c>
      <c r="J791" t="n">
        <v>0</v>
      </c>
      <c r="K791" t="n">
        <v>0</v>
      </c>
      <c r="L791" t="n">
        <v>0</v>
      </c>
      <c r="M791" t="n">
        <v>0</v>
      </c>
      <c r="N791" t="n">
        <v>0</v>
      </c>
      <c r="O791" t="n">
        <v>0</v>
      </c>
      <c r="P791" t="n">
        <v>0</v>
      </c>
      <c r="Q791" t="n">
        <v>0</v>
      </c>
      <c r="R791" s="2" t="inlineStr"/>
    </row>
    <row r="792" ht="15" customHeight="1">
      <c r="A792" t="inlineStr">
        <is>
          <t>A 52330-2025</t>
        </is>
      </c>
      <c r="B792" s="1" t="n">
        <v>45953.67752314815</v>
      </c>
      <c r="C792" s="1" t="n">
        <v>46106</v>
      </c>
      <c r="D792" t="inlineStr">
        <is>
          <t>JÄMTLANDS LÄN</t>
        </is>
      </c>
      <c r="E792" t="inlineStr">
        <is>
          <t>RAGUNDA</t>
        </is>
      </c>
      <c r="F792" t="inlineStr">
        <is>
          <t>SCA</t>
        </is>
      </c>
      <c r="G792" t="n">
        <v>10.1</v>
      </c>
      <c r="H792" t="n">
        <v>0</v>
      </c>
      <c r="I792" t="n">
        <v>0</v>
      </c>
      <c r="J792" t="n">
        <v>0</v>
      </c>
      <c r="K792" t="n">
        <v>0</v>
      </c>
      <c r="L792" t="n">
        <v>0</v>
      </c>
      <c r="M792" t="n">
        <v>0</v>
      </c>
      <c r="N792" t="n">
        <v>0</v>
      </c>
      <c r="O792" t="n">
        <v>0</v>
      </c>
      <c r="P792" t="n">
        <v>0</v>
      </c>
      <c r="Q792" t="n">
        <v>0</v>
      </c>
      <c r="R792" s="2" t="inlineStr"/>
    </row>
    <row r="793" ht="15" customHeight="1">
      <c r="A793" t="inlineStr">
        <is>
          <t>A 52093-2025</t>
        </is>
      </c>
      <c r="B793" s="1" t="n">
        <v>45952.67865740741</v>
      </c>
      <c r="C793" s="1" t="n">
        <v>46106</v>
      </c>
      <c r="D793" t="inlineStr">
        <is>
          <t>JÄMTLANDS LÄN</t>
        </is>
      </c>
      <c r="E793" t="inlineStr">
        <is>
          <t>RAGUNDA</t>
        </is>
      </c>
      <c r="F793" t="inlineStr">
        <is>
          <t>SCA</t>
        </is>
      </c>
      <c r="G793" t="n">
        <v>22.7</v>
      </c>
      <c r="H793" t="n">
        <v>0</v>
      </c>
      <c r="I793" t="n">
        <v>0</v>
      </c>
      <c r="J793" t="n">
        <v>0</v>
      </c>
      <c r="K793" t="n">
        <v>0</v>
      </c>
      <c r="L793" t="n">
        <v>0</v>
      </c>
      <c r="M793" t="n">
        <v>0</v>
      </c>
      <c r="N793" t="n">
        <v>0</v>
      </c>
      <c r="O793" t="n">
        <v>0</v>
      </c>
      <c r="P793" t="n">
        <v>0</v>
      </c>
      <c r="Q793" t="n">
        <v>0</v>
      </c>
      <c r="R793" s="2" t="inlineStr"/>
    </row>
    <row r="794" ht="15" customHeight="1">
      <c r="A794" t="inlineStr">
        <is>
          <t>A 51882-2025</t>
        </is>
      </c>
      <c r="B794" s="1" t="n">
        <v>45952.40685185185</v>
      </c>
      <c r="C794" s="1" t="n">
        <v>46106</v>
      </c>
      <c r="D794" t="inlineStr">
        <is>
          <t>JÄMTLANDS LÄN</t>
        </is>
      </c>
      <c r="E794" t="inlineStr">
        <is>
          <t>RAGUNDA</t>
        </is>
      </c>
      <c r="F794" t="inlineStr">
        <is>
          <t>SCA</t>
        </is>
      </c>
      <c r="G794" t="n">
        <v>11.9</v>
      </c>
      <c r="H794" t="n">
        <v>0</v>
      </c>
      <c r="I794" t="n">
        <v>0</v>
      </c>
      <c r="J794" t="n">
        <v>0</v>
      </c>
      <c r="K794" t="n">
        <v>0</v>
      </c>
      <c r="L794" t="n">
        <v>0</v>
      </c>
      <c r="M794" t="n">
        <v>0</v>
      </c>
      <c r="N794" t="n">
        <v>0</v>
      </c>
      <c r="O794" t="n">
        <v>0</v>
      </c>
      <c r="P794" t="n">
        <v>0</v>
      </c>
      <c r="Q794" t="n">
        <v>0</v>
      </c>
      <c r="R794" s="2" t="inlineStr"/>
    </row>
    <row r="795" ht="15" customHeight="1">
      <c r="A795" t="inlineStr">
        <is>
          <t>A 51903-2025</t>
        </is>
      </c>
      <c r="B795" s="1" t="n">
        <v>45952.44857638889</v>
      </c>
      <c r="C795" s="1" t="n">
        <v>46106</v>
      </c>
      <c r="D795" t="inlineStr">
        <is>
          <t>JÄMTLANDS LÄN</t>
        </is>
      </c>
      <c r="E795" t="inlineStr">
        <is>
          <t>RAGUNDA</t>
        </is>
      </c>
      <c r="F795" t="inlineStr">
        <is>
          <t>SCA</t>
        </is>
      </c>
      <c r="G795" t="n">
        <v>20.8</v>
      </c>
      <c r="H795" t="n">
        <v>0</v>
      </c>
      <c r="I795" t="n">
        <v>0</v>
      </c>
      <c r="J795" t="n">
        <v>0</v>
      </c>
      <c r="K795" t="n">
        <v>0</v>
      </c>
      <c r="L795" t="n">
        <v>0</v>
      </c>
      <c r="M795" t="n">
        <v>0</v>
      </c>
      <c r="N795" t="n">
        <v>0</v>
      </c>
      <c r="O795" t="n">
        <v>0</v>
      </c>
      <c r="P795" t="n">
        <v>0</v>
      </c>
      <c r="Q795" t="n">
        <v>0</v>
      </c>
      <c r="R795" s="2" t="inlineStr"/>
    </row>
    <row r="796" ht="15" customHeight="1">
      <c r="A796" t="inlineStr">
        <is>
          <t>A 46546-2023</t>
        </is>
      </c>
      <c r="B796" s="1" t="n">
        <v>45197.94152777778</v>
      </c>
      <c r="C796" s="1" t="n">
        <v>46106</v>
      </c>
      <c r="D796" t="inlineStr">
        <is>
          <t>JÄMTLANDS LÄN</t>
        </is>
      </c>
      <c r="E796" t="inlineStr">
        <is>
          <t>RAGUNDA</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51932-2025</t>
        </is>
      </c>
      <c r="B797" s="1" t="n">
        <v>45952.51094907407</v>
      </c>
      <c r="C797" s="1" t="n">
        <v>46106</v>
      </c>
      <c r="D797" t="inlineStr">
        <is>
          <t>JÄMTLANDS LÄN</t>
        </is>
      </c>
      <c r="E797" t="inlineStr">
        <is>
          <t>RAGUNDA</t>
        </is>
      </c>
      <c r="F797" t="inlineStr">
        <is>
          <t>SCA</t>
        </is>
      </c>
      <c r="G797" t="n">
        <v>39.2</v>
      </c>
      <c r="H797" t="n">
        <v>0</v>
      </c>
      <c r="I797" t="n">
        <v>0</v>
      </c>
      <c r="J797" t="n">
        <v>0</v>
      </c>
      <c r="K797" t="n">
        <v>0</v>
      </c>
      <c r="L797" t="n">
        <v>0</v>
      </c>
      <c r="M797" t="n">
        <v>0</v>
      </c>
      <c r="N797" t="n">
        <v>0</v>
      </c>
      <c r="O797" t="n">
        <v>0</v>
      </c>
      <c r="P797" t="n">
        <v>0</v>
      </c>
      <c r="Q797" t="n">
        <v>0</v>
      </c>
      <c r="R797" s="2" t="inlineStr"/>
    </row>
    <row r="798" ht="15" customHeight="1">
      <c r="A798" t="inlineStr">
        <is>
          <t>A 51906-2025</t>
        </is>
      </c>
      <c r="B798" s="1" t="n">
        <v>45952.4615162037</v>
      </c>
      <c r="C798" s="1" t="n">
        <v>46106</v>
      </c>
      <c r="D798" t="inlineStr">
        <is>
          <t>JÄMTLANDS LÄN</t>
        </is>
      </c>
      <c r="E798" t="inlineStr">
        <is>
          <t>RAGUNDA</t>
        </is>
      </c>
      <c r="G798" t="n">
        <v>4.5</v>
      </c>
      <c r="H798" t="n">
        <v>0</v>
      </c>
      <c r="I798" t="n">
        <v>0</v>
      </c>
      <c r="J798" t="n">
        <v>0</v>
      </c>
      <c r="K798" t="n">
        <v>0</v>
      </c>
      <c r="L798" t="n">
        <v>0</v>
      </c>
      <c r="M798" t="n">
        <v>0</v>
      </c>
      <c r="N798" t="n">
        <v>0</v>
      </c>
      <c r="O798" t="n">
        <v>0</v>
      </c>
      <c r="P798" t="n">
        <v>0</v>
      </c>
      <c r="Q798" t="n">
        <v>0</v>
      </c>
      <c r="R798" s="2" t="inlineStr"/>
    </row>
    <row r="799" ht="15" customHeight="1">
      <c r="A799" t="inlineStr">
        <is>
          <t>A 19865-2023</t>
        </is>
      </c>
      <c r="B799" s="1" t="n">
        <v>45053.94305555556</v>
      </c>
      <c r="C799" s="1" t="n">
        <v>46106</v>
      </c>
      <c r="D799" t="inlineStr">
        <is>
          <t>JÄMTLANDS LÄN</t>
        </is>
      </c>
      <c r="E799" t="inlineStr">
        <is>
          <t>RAGUNDA</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52972-2025</t>
        </is>
      </c>
      <c r="B800" s="1" t="n">
        <v>45957.67783564814</v>
      </c>
      <c r="C800" s="1" t="n">
        <v>46106</v>
      </c>
      <c r="D800" t="inlineStr">
        <is>
          <t>JÄMTLANDS LÄN</t>
        </is>
      </c>
      <c r="E800" t="inlineStr">
        <is>
          <t>RAGUNDA</t>
        </is>
      </c>
      <c r="F800" t="inlineStr">
        <is>
          <t>SCA</t>
        </is>
      </c>
      <c r="G800" t="n">
        <v>53.4</v>
      </c>
      <c r="H800" t="n">
        <v>0</v>
      </c>
      <c r="I800" t="n">
        <v>0</v>
      </c>
      <c r="J800" t="n">
        <v>0</v>
      </c>
      <c r="K800" t="n">
        <v>0</v>
      </c>
      <c r="L800" t="n">
        <v>0</v>
      </c>
      <c r="M800" t="n">
        <v>0</v>
      </c>
      <c r="N800" t="n">
        <v>0</v>
      </c>
      <c r="O800" t="n">
        <v>0</v>
      </c>
      <c r="P800" t="n">
        <v>0</v>
      </c>
      <c r="Q800" t="n">
        <v>0</v>
      </c>
      <c r="R800" s="2" t="inlineStr"/>
    </row>
    <row r="801" ht="15" customHeight="1">
      <c r="A801" t="inlineStr">
        <is>
          <t>A 52430-2025</t>
        </is>
      </c>
      <c r="B801" s="1" t="n">
        <v>45954.38592592593</v>
      </c>
      <c r="C801" s="1" t="n">
        <v>46106</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52875-2025</t>
        </is>
      </c>
      <c r="B802" s="1" t="n">
        <v>45957.53211805555</v>
      </c>
      <c r="C802" s="1" t="n">
        <v>46106</v>
      </c>
      <c r="D802" t="inlineStr">
        <is>
          <t>JÄMTLANDS LÄN</t>
        </is>
      </c>
      <c r="E802" t="inlineStr">
        <is>
          <t>RAGUNDA</t>
        </is>
      </c>
      <c r="F802" t="inlineStr">
        <is>
          <t>SCA</t>
        </is>
      </c>
      <c r="G802" t="n">
        <v>34.3</v>
      </c>
      <c r="H802" t="n">
        <v>0</v>
      </c>
      <c r="I802" t="n">
        <v>0</v>
      </c>
      <c r="J802" t="n">
        <v>0</v>
      </c>
      <c r="K802" t="n">
        <v>0</v>
      </c>
      <c r="L802" t="n">
        <v>0</v>
      </c>
      <c r="M802" t="n">
        <v>0</v>
      </c>
      <c r="N802" t="n">
        <v>0</v>
      </c>
      <c r="O802" t="n">
        <v>0</v>
      </c>
      <c r="P802" t="n">
        <v>0</v>
      </c>
      <c r="Q802" t="n">
        <v>0</v>
      </c>
      <c r="R802" s="2" t="inlineStr"/>
    </row>
    <row r="803" ht="15" customHeight="1">
      <c r="A803" t="inlineStr">
        <is>
          <t>A 564-2025</t>
        </is>
      </c>
      <c r="B803" s="1" t="n">
        <v>45664.55241898148</v>
      </c>
      <c r="C803" s="1" t="n">
        <v>46106</v>
      </c>
      <c r="D803" t="inlineStr">
        <is>
          <t>JÄMTLANDS LÄN</t>
        </is>
      </c>
      <c r="E803" t="inlineStr">
        <is>
          <t>RAGUNDA</t>
        </is>
      </c>
      <c r="F803" t="inlineStr">
        <is>
          <t>SCA</t>
        </is>
      </c>
      <c r="G803" t="n">
        <v>7</v>
      </c>
      <c r="H803" t="n">
        <v>0</v>
      </c>
      <c r="I803" t="n">
        <v>0</v>
      </c>
      <c r="J803" t="n">
        <v>0</v>
      </c>
      <c r="K803" t="n">
        <v>0</v>
      </c>
      <c r="L803" t="n">
        <v>0</v>
      </c>
      <c r="M803" t="n">
        <v>0</v>
      </c>
      <c r="N803" t="n">
        <v>0</v>
      </c>
      <c r="O803" t="n">
        <v>0</v>
      </c>
      <c r="P803" t="n">
        <v>0</v>
      </c>
      <c r="Q803" t="n">
        <v>0</v>
      </c>
      <c r="R803" s="2" t="inlineStr"/>
    </row>
    <row r="804" ht="15" customHeight="1">
      <c r="A804" t="inlineStr">
        <is>
          <t>A 52394-2025</t>
        </is>
      </c>
      <c r="B804" s="1" t="n">
        <v>45954.34466435185</v>
      </c>
      <c r="C804" s="1" t="n">
        <v>46106</v>
      </c>
      <c r="D804" t="inlineStr">
        <is>
          <t>JÄMTLANDS LÄN</t>
        </is>
      </c>
      <c r="E804" t="inlineStr">
        <is>
          <t>RAGUNDA</t>
        </is>
      </c>
      <c r="F804" t="inlineStr">
        <is>
          <t>SCA</t>
        </is>
      </c>
      <c r="G804" t="n">
        <v>53.8</v>
      </c>
      <c r="H804" t="n">
        <v>0</v>
      </c>
      <c r="I804" t="n">
        <v>0</v>
      </c>
      <c r="J804" t="n">
        <v>0</v>
      </c>
      <c r="K804" t="n">
        <v>0</v>
      </c>
      <c r="L804" t="n">
        <v>0</v>
      </c>
      <c r="M804" t="n">
        <v>0</v>
      </c>
      <c r="N804" t="n">
        <v>0</v>
      </c>
      <c r="O804" t="n">
        <v>0</v>
      </c>
      <c r="P804" t="n">
        <v>0</v>
      </c>
      <c r="Q804" t="n">
        <v>0</v>
      </c>
      <c r="R804" s="2" t="inlineStr"/>
    </row>
    <row r="805" ht="15" customHeight="1">
      <c r="A805" t="inlineStr">
        <is>
          <t>A 52395-2025</t>
        </is>
      </c>
      <c r="B805" s="1" t="n">
        <v>45954.34487268519</v>
      </c>
      <c r="C805" s="1" t="n">
        <v>46106</v>
      </c>
      <c r="D805" t="inlineStr">
        <is>
          <t>JÄMTLANDS LÄN</t>
        </is>
      </c>
      <c r="E805" t="inlineStr">
        <is>
          <t>RAGUNDA</t>
        </is>
      </c>
      <c r="F805" t="inlineStr">
        <is>
          <t>SCA</t>
        </is>
      </c>
      <c r="G805" t="n">
        <v>14.2</v>
      </c>
      <c r="H805" t="n">
        <v>0</v>
      </c>
      <c r="I805" t="n">
        <v>0</v>
      </c>
      <c r="J805" t="n">
        <v>0</v>
      </c>
      <c r="K805" t="n">
        <v>0</v>
      </c>
      <c r="L805" t="n">
        <v>0</v>
      </c>
      <c r="M805" t="n">
        <v>0</v>
      </c>
      <c r="N805" t="n">
        <v>0</v>
      </c>
      <c r="O805" t="n">
        <v>0</v>
      </c>
      <c r="P805" t="n">
        <v>0</v>
      </c>
      <c r="Q805" t="n">
        <v>0</v>
      </c>
      <c r="R805" s="2" t="inlineStr"/>
    </row>
    <row r="806" ht="15" customHeight="1">
      <c r="A806" t="inlineStr">
        <is>
          <t>A 50555-2024</t>
        </is>
      </c>
      <c r="B806" s="1" t="n">
        <v>45601.59518518519</v>
      </c>
      <c r="C806" s="1" t="n">
        <v>46106</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53211-2025</t>
        </is>
      </c>
      <c r="B807" s="1" t="n">
        <v>45958.59490740741</v>
      </c>
      <c r="C807" s="1" t="n">
        <v>46106</v>
      </c>
      <c r="D807" t="inlineStr">
        <is>
          <t>JÄMTLANDS LÄN</t>
        </is>
      </c>
      <c r="E807" t="inlineStr">
        <is>
          <t>RAGUNDA</t>
        </is>
      </c>
      <c r="F807" t="inlineStr">
        <is>
          <t>SCA</t>
        </is>
      </c>
      <c r="G807" t="n">
        <v>7.4</v>
      </c>
      <c r="H807" t="n">
        <v>0</v>
      </c>
      <c r="I807" t="n">
        <v>0</v>
      </c>
      <c r="J807" t="n">
        <v>0</v>
      </c>
      <c r="K807" t="n">
        <v>0</v>
      </c>
      <c r="L807" t="n">
        <v>0</v>
      </c>
      <c r="M807" t="n">
        <v>0</v>
      </c>
      <c r="N807" t="n">
        <v>0</v>
      </c>
      <c r="O807" t="n">
        <v>0</v>
      </c>
      <c r="P807" t="n">
        <v>0</v>
      </c>
      <c r="Q807" t="n">
        <v>0</v>
      </c>
      <c r="R807" s="2" t="inlineStr"/>
    </row>
    <row r="808" ht="15" customHeight="1">
      <c r="A808" t="inlineStr">
        <is>
          <t>A 53032-2025</t>
        </is>
      </c>
      <c r="B808" s="1" t="n">
        <v>45958.34462962963</v>
      </c>
      <c r="C808" s="1" t="n">
        <v>46106</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53075-2025</t>
        </is>
      </c>
      <c r="B809" s="1" t="n">
        <v>45958.38584490741</v>
      </c>
      <c r="C809" s="1" t="n">
        <v>46106</v>
      </c>
      <c r="D809" t="inlineStr">
        <is>
          <t>JÄMTLANDS LÄN</t>
        </is>
      </c>
      <c r="E809" t="inlineStr">
        <is>
          <t>RAGUNDA</t>
        </is>
      </c>
      <c r="F809" t="inlineStr">
        <is>
          <t>SCA</t>
        </is>
      </c>
      <c r="G809" t="n">
        <v>28.9</v>
      </c>
      <c r="H809" t="n">
        <v>0</v>
      </c>
      <c r="I809" t="n">
        <v>0</v>
      </c>
      <c r="J809" t="n">
        <v>0</v>
      </c>
      <c r="K809" t="n">
        <v>0</v>
      </c>
      <c r="L809" t="n">
        <v>0</v>
      </c>
      <c r="M809" t="n">
        <v>0</v>
      </c>
      <c r="N809" t="n">
        <v>0</v>
      </c>
      <c r="O809" t="n">
        <v>0</v>
      </c>
      <c r="P809" t="n">
        <v>0</v>
      </c>
      <c r="Q809" t="n">
        <v>0</v>
      </c>
      <c r="R809" s="2" t="inlineStr"/>
    </row>
    <row r="810" ht="15" customHeight="1">
      <c r="A810" t="inlineStr">
        <is>
          <t>A 59658-2023</t>
        </is>
      </c>
      <c r="B810" s="1" t="n">
        <v>45254.96402777778</v>
      </c>
      <c r="C810" s="1" t="n">
        <v>46106</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49649-2024</t>
        </is>
      </c>
      <c r="B811" s="1" t="n">
        <v>45596.61553240741</v>
      </c>
      <c r="C811" s="1" t="n">
        <v>46106</v>
      </c>
      <c r="D811" t="inlineStr">
        <is>
          <t>JÄMTLANDS LÄN</t>
        </is>
      </c>
      <c r="E811" t="inlineStr">
        <is>
          <t>RAGUNDA</t>
        </is>
      </c>
      <c r="F811" t="inlineStr">
        <is>
          <t>SCA</t>
        </is>
      </c>
      <c r="G811" t="n">
        <v>4</v>
      </c>
      <c r="H811" t="n">
        <v>0</v>
      </c>
      <c r="I811" t="n">
        <v>0</v>
      </c>
      <c r="J811" t="n">
        <v>0</v>
      </c>
      <c r="K811" t="n">
        <v>0</v>
      </c>
      <c r="L811" t="n">
        <v>0</v>
      </c>
      <c r="M811" t="n">
        <v>0</v>
      </c>
      <c r="N811" t="n">
        <v>0</v>
      </c>
      <c r="O811" t="n">
        <v>0</v>
      </c>
      <c r="P811" t="n">
        <v>0</v>
      </c>
      <c r="Q811" t="n">
        <v>0</v>
      </c>
      <c r="R811" s="2" t="inlineStr"/>
    </row>
    <row r="812" ht="15" customHeight="1">
      <c r="A812" t="inlineStr">
        <is>
          <t>A 52578-2025</t>
        </is>
      </c>
      <c r="B812" s="1" t="n">
        <v>45954.61508101852</v>
      </c>
      <c r="C812" s="1" t="n">
        <v>46106</v>
      </c>
      <c r="D812" t="inlineStr">
        <is>
          <t>JÄMTLANDS LÄN</t>
        </is>
      </c>
      <c r="E812" t="inlineStr">
        <is>
          <t>RAGUNDA</t>
        </is>
      </c>
      <c r="F812" t="inlineStr">
        <is>
          <t>SCA</t>
        </is>
      </c>
      <c r="G812" t="n">
        <v>25.2</v>
      </c>
      <c r="H812" t="n">
        <v>0</v>
      </c>
      <c r="I812" t="n">
        <v>0</v>
      </c>
      <c r="J812" t="n">
        <v>0</v>
      </c>
      <c r="K812" t="n">
        <v>0</v>
      </c>
      <c r="L812" t="n">
        <v>0</v>
      </c>
      <c r="M812" t="n">
        <v>0</v>
      </c>
      <c r="N812" t="n">
        <v>0</v>
      </c>
      <c r="O812" t="n">
        <v>0</v>
      </c>
      <c r="P812" t="n">
        <v>0</v>
      </c>
      <c r="Q812" t="n">
        <v>0</v>
      </c>
      <c r="R812" s="2" t="inlineStr"/>
    </row>
    <row r="813" ht="15" customHeight="1">
      <c r="A813" t="inlineStr">
        <is>
          <t>A 2831-2024</t>
        </is>
      </c>
      <c r="B813" s="1" t="n">
        <v>45314.92758101852</v>
      </c>
      <c r="C813" s="1" t="n">
        <v>46106</v>
      </c>
      <c r="D813" t="inlineStr">
        <is>
          <t>JÄMTLANDS LÄN</t>
        </is>
      </c>
      <c r="E813" t="inlineStr">
        <is>
          <t>RAGUNDA</t>
        </is>
      </c>
      <c r="G813" t="n">
        <v>0.6</v>
      </c>
      <c r="H813" t="n">
        <v>0</v>
      </c>
      <c r="I813" t="n">
        <v>0</v>
      </c>
      <c r="J813" t="n">
        <v>0</v>
      </c>
      <c r="K813" t="n">
        <v>0</v>
      </c>
      <c r="L813" t="n">
        <v>0</v>
      </c>
      <c r="M813" t="n">
        <v>0</v>
      </c>
      <c r="N813" t="n">
        <v>0</v>
      </c>
      <c r="O813" t="n">
        <v>0</v>
      </c>
      <c r="P813" t="n">
        <v>0</v>
      </c>
      <c r="Q813" t="n">
        <v>0</v>
      </c>
      <c r="R813" s="2" t="inlineStr"/>
    </row>
    <row r="814" ht="15" customHeight="1">
      <c r="A814" t="inlineStr">
        <is>
          <t>A 53740-2024</t>
        </is>
      </c>
      <c r="B814" s="1" t="n">
        <v>45615.47091435185</v>
      </c>
      <c r="C814" s="1" t="n">
        <v>46106</v>
      </c>
      <c r="D814" t="inlineStr">
        <is>
          <t>JÄMTLANDS LÄN</t>
        </is>
      </c>
      <c r="E814" t="inlineStr">
        <is>
          <t>RAGUNDA</t>
        </is>
      </c>
      <c r="G814" t="n">
        <v>2.7</v>
      </c>
      <c r="H814" t="n">
        <v>0</v>
      </c>
      <c r="I814" t="n">
        <v>0</v>
      </c>
      <c r="J814" t="n">
        <v>0</v>
      </c>
      <c r="K814" t="n">
        <v>0</v>
      </c>
      <c r="L814" t="n">
        <v>0</v>
      </c>
      <c r="M814" t="n">
        <v>0</v>
      </c>
      <c r="N814" t="n">
        <v>0</v>
      </c>
      <c r="O814" t="n">
        <v>0</v>
      </c>
      <c r="P814" t="n">
        <v>0</v>
      </c>
      <c r="Q814" t="n">
        <v>0</v>
      </c>
      <c r="R814" s="2" t="inlineStr"/>
    </row>
    <row r="815" ht="15" customHeight="1">
      <c r="A815" t="inlineStr">
        <is>
          <t>A 53076-2025</t>
        </is>
      </c>
      <c r="B815" s="1" t="n">
        <v>45958.38604166666</v>
      </c>
      <c r="C815" s="1" t="n">
        <v>46106</v>
      </c>
      <c r="D815" t="inlineStr">
        <is>
          <t>JÄMTLANDS LÄN</t>
        </is>
      </c>
      <c r="E815" t="inlineStr">
        <is>
          <t>RAGUNDA</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59372-2024</t>
        </is>
      </c>
      <c r="B816" s="1" t="n">
        <v>45638.34431712963</v>
      </c>
      <c r="C816" s="1" t="n">
        <v>46106</v>
      </c>
      <c r="D816" t="inlineStr">
        <is>
          <t>JÄMTLANDS LÄN</t>
        </is>
      </c>
      <c r="E816" t="inlineStr">
        <is>
          <t>RAGUNDA</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25304-2023</t>
        </is>
      </c>
      <c r="B817" s="1" t="n">
        <v>45086</v>
      </c>
      <c r="C817" s="1" t="n">
        <v>46106</v>
      </c>
      <c r="D817" t="inlineStr">
        <is>
          <t>JÄMTLANDS LÄN</t>
        </is>
      </c>
      <c r="E817" t="inlineStr">
        <is>
          <t>RAGUNDA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53986-2025</t>
        </is>
      </c>
      <c r="B818" s="1" t="n">
        <v>45961.57381944444</v>
      </c>
      <c r="C818" s="1" t="n">
        <v>46106</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53973-2025</t>
        </is>
      </c>
      <c r="B819" s="1" t="n">
        <v>45961.55246527777</v>
      </c>
      <c r="C819" s="1" t="n">
        <v>46106</v>
      </c>
      <c r="D819" t="inlineStr">
        <is>
          <t>JÄMTLANDS LÄN</t>
        </is>
      </c>
      <c r="E819" t="inlineStr">
        <is>
          <t>RAGUNDA</t>
        </is>
      </c>
      <c r="G819" t="n">
        <v>2.4</v>
      </c>
      <c r="H819" t="n">
        <v>0</v>
      </c>
      <c r="I819" t="n">
        <v>0</v>
      </c>
      <c r="J819" t="n">
        <v>0</v>
      </c>
      <c r="K819" t="n">
        <v>0</v>
      </c>
      <c r="L819" t="n">
        <v>0</v>
      </c>
      <c r="M819" t="n">
        <v>0</v>
      </c>
      <c r="N819" t="n">
        <v>0</v>
      </c>
      <c r="O819" t="n">
        <v>0</v>
      </c>
      <c r="P819" t="n">
        <v>0</v>
      </c>
      <c r="Q819" t="n">
        <v>0</v>
      </c>
      <c r="R819" s="2" t="inlineStr"/>
    </row>
    <row r="820" ht="15" customHeight="1">
      <c r="A820" t="inlineStr">
        <is>
          <t>A 53549-2025</t>
        </is>
      </c>
      <c r="B820" s="1" t="n">
        <v>45960.38576388889</v>
      </c>
      <c r="C820" s="1" t="n">
        <v>46106</v>
      </c>
      <c r="D820" t="inlineStr">
        <is>
          <t>JÄMTLANDS LÄN</t>
        </is>
      </c>
      <c r="E820" t="inlineStr">
        <is>
          <t>RAGUNDA</t>
        </is>
      </c>
      <c r="G820" t="n">
        <v>5.4</v>
      </c>
      <c r="H820" t="n">
        <v>0</v>
      </c>
      <c r="I820" t="n">
        <v>0</v>
      </c>
      <c r="J820" t="n">
        <v>0</v>
      </c>
      <c r="K820" t="n">
        <v>0</v>
      </c>
      <c r="L820" t="n">
        <v>0</v>
      </c>
      <c r="M820" t="n">
        <v>0</v>
      </c>
      <c r="N820" t="n">
        <v>0</v>
      </c>
      <c r="O820" t="n">
        <v>0</v>
      </c>
      <c r="P820" t="n">
        <v>0</v>
      </c>
      <c r="Q820" t="n">
        <v>0</v>
      </c>
      <c r="R820" s="2" t="inlineStr"/>
    </row>
    <row r="821" ht="15" customHeight="1">
      <c r="A821" t="inlineStr">
        <is>
          <t>A 53975-2025</t>
        </is>
      </c>
      <c r="B821" s="1" t="n">
        <v>45961.55277777778</v>
      </c>
      <c r="C821" s="1" t="n">
        <v>46106</v>
      </c>
      <c r="D821" t="inlineStr">
        <is>
          <t>JÄMTLANDS LÄN</t>
        </is>
      </c>
      <c r="E821" t="inlineStr">
        <is>
          <t>RAGUNDA</t>
        </is>
      </c>
      <c r="F821" t="inlineStr">
        <is>
          <t>SCA</t>
        </is>
      </c>
      <c r="G821" t="n">
        <v>21.9</v>
      </c>
      <c r="H821" t="n">
        <v>0</v>
      </c>
      <c r="I821" t="n">
        <v>0</v>
      </c>
      <c r="J821" t="n">
        <v>0</v>
      </c>
      <c r="K821" t="n">
        <v>0</v>
      </c>
      <c r="L821" t="n">
        <v>0</v>
      </c>
      <c r="M821" t="n">
        <v>0</v>
      </c>
      <c r="N821" t="n">
        <v>0</v>
      </c>
      <c r="O821" t="n">
        <v>0</v>
      </c>
      <c r="P821" t="n">
        <v>0</v>
      </c>
      <c r="Q821" t="n">
        <v>0</v>
      </c>
      <c r="R821" s="2" t="inlineStr"/>
    </row>
    <row r="822" ht="15" customHeight="1">
      <c r="A822" t="inlineStr">
        <is>
          <t>A 53726-2025</t>
        </is>
      </c>
      <c r="B822" s="1" t="n">
        <v>45960.63597222222</v>
      </c>
      <c r="C822" s="1" t="n">
        <v>46106</v>
      </c>
      <c r="D822" t="inlineStr">
        <is>
          <t>JÄMTLANDS LÄN</t>
        </is>
      </c>
      <c r="E822" t="inlineStr">
        <is>
          <t>RAGUNDA</t>
        </is>
      </c>
      <c r="F822" t="inlineStr">
        <is>
          <t>SCA</t>
        </is>
      </c>
      <c r="G822" t="n">
        <v>10.9</v>
      </c>
      <c r="H822" t="n">
        <v>0</v>
      </c>
      <c r="I822" t="n">
        <v>0</v>
      </c>
      <c r="J822" t="n">
        <v>0</v>
      </c>
      <c r="K822" t="n">
        <v>0</v>
      </c>
      <c r="L822" t="n">
        <v>0</v>
      </c>
      <c r="M822" t="n">
        <v>0</v>
      </c>
      <c r="N822" t="n">
        <v>0</v>
      </c>
      <c r="O822" t="n">
        <v>0</v>
      </c>
      <c r="P822" t="n">
        <v>0</v>
      </c>
      <c r="Q822" t="n">
        <v>0</v>
      </c>
      <c r="R822" s="2" t="inlineStr"/>
    </row>
    <row r="823" ht="15" customHeight="1">
      <c r="A823" t="inlineStr">
        <is>
          <t>A 53748-2025</t>
        </is>
      </c>
      <c r="B823" s="1" t="n">
        <v>45960.65673611111</v>
      </c>
      <c r="C823" s="1" t="n">
        <v>46106</v>
      </c>
      <c r="D823" t="inlineStr">
        <is>
          <t>JÄMTLANDS LÄN</t>
        </is>
      </c>
      <c r="E823" t="inlineStr">
        <is>
          <t>RAGUNDA</t>
        </is>
      </c>
      <c r="F823" t="inlineStr">
        <is>
          <t>SCA</t>
        </is>
      </c>
      <c r="G823" t="n">
        <v>14.9</v>
      </c>
      <c r="H823" t="n">
        <v>0</v>
      </c>
      <c r="I823" t="n">
        <v>0</v>
      </c>
      <c r="J823" t="n">
        <v>0</v>
      </c>
      <c r="K823" t="n">
        <v>0</v>
      </c>
      <c r="L823" t="n">
        <v>0</v>
      </c>
      <c r="M823" t="n">
        <v>0</v>
      </c>
      <c r="N823" t="n">
        <v>0</v>
      </c>
      <c r="O823" t="n">
        <v>0</v>
      </c>
      <c r="P823" t="n">
        <v>0</v>
      </c>
      <c r="Q823" t="n">
        <v>0</v>
      </c>
      <c r="R823" s="2" t="inlineStr"/>
    </row>
    <row r="824" ht="15" customHeight="1">
      <c r="A824" t="inlineStr">
        <is>
          <t>A 53765-2025</t>
        </is>
      </c>
      <c r="B824" s="1" t="n">
        <v>45960.67753472222</v>
      </c>
      <c r="C824" s="1" t="n">
        <v>46106</v>
      </c>
      <c r="D824" t="inlineStr">
        <is>
          <t>JÄMTLANDS LÄN</t>
        </is>
      </c>
      <c r="E824" t="inlineStr">
        <is>
          <t>RAGUNDA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53951-2025</t>
        </is>
      </c>
      <c r="B825" s="1" t="n">
        <v>45961.50200231482</v>
      </c>
      <c r="C825" s="1" t="n">
        <v>46106</v>
      </c>
      <c r="D825" t="inlineStr">
        <is>
          <t>JÄMTLANDS LÄN</t>
        </is>
      </c>
      <c r="E825" t="inlineStr">
        <is>
          <t>RAGUNDA</t>
        </is>
      </c>
      <c r="G825" t="n">
        <v>1.8</v>
      </c>
      <c r="H825" t="n">
        <v>0</v>
      </c>
      <c r="I825" t="n">
        <v>0</v>
      </c>
      <c r="J825" t="n">
        <v>0</v>
      </c>
      <c r="K825" t="n">
        <v>0</v>
      </c>
      <c r="L825" t="n">
        <v>0</v>
      </c>
      <c r="M825" t="n">
        <v>0</v>
      </c>
      <c r="N825" t="n">
        <v>0</v>
      </c>
      <c r="O825" t="n">
        <v>0</v>
      </c>
      <c r="P825" t="n">
        <v>0</v>
      </c>
      <c r="Q825" t="n">
        <v>0</v>
      </c>
      <c r="R825" s="2" t="inlineStr"/>
    </row>
    <row r="826" ht="15" customHeight="1">
      <c r="A826" t="inlineStr">
        <is>
          <t>A 53948-2025</t>
        </is>
      </c>
      <c r="B826" s="1" t="n">
        <v>45961.50033564815</v>
      </c>
      <c r="C826" s="1" t="n">
        <v>46106</v>
      </c>
      <c r="D826" t="inlineStr">
        <is>
          <t>JÄMTLANDS LÄN</t>
        </is>
      </c>
      <c r="E826" t="inlineStr">
        <is>
          <t>RAGUNDA</t>
        </is>
      </c>
      <c r="G826" t="n">
        <v>7.9</v>
      </c>
      <c r="H826" t="n">
        <v>0</v>
      </c>
      <c r="I826" t="n">
        <v>0</v>
      </c>
      <c r="J826" t="n">
        <v>0</v>
      </c>
      <c r="K826" t="n">
        <v>0</v>
      </c>
      <c r="L826" t="n">
        <v>0</v>
      </c>
      <c r="M826" t="n">
        <v>0</v>
      </c>
      <c r="N826" t="n">
        <v>0</v>
      </c>
      <c r="O826" t="n">
        <v>0</v>
      </c>
      <c r="P826" t="n">
        <v>0</v>
      </c>
      <c r="Q826" t="n">
        <v>0</v>
      </c>
      <c r="R826" s="2" t="inlineStr"/>
    </row>
    <row r="827" ht="15" customHeight="1">
      <c r="A827" t="inlineStr">
        <is>
          <t>A 54195-2025</t>
        </is>
      </c>
      <c r="B827" s="1" t="n">
        <v>45964.57413194444</v>
      </c>
      <c r="C827" s="1" t="n">
        <v>46106</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12522-2023</t>
        </is>
      </c>
      <c r="B828" s="1" t="n">
        <v>45000</v>
      </c>
      <c r="C828" s="1" t="n">
        <v>46106</v>
      </c>
      <c r="D828" t="inlineStr">
        <is>
          <t>JÄMTLANDS LÄN</t>
        </is>
      </c>
      <c r="E828" t="inlineStr">
        <is>
          <t>RAGUNDA</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12523-2023</t>
        </is>
      </c>
      <c r="B829" s="1" t="n">
        <v>45000</v>
      </c>
      <c r="C829" s="1" t="n">
        <v>46106</v>
      </c>
      <c r="D829" t="inlineStr">
        <is>
          <t>JÄMTLANDS LÄN</t>
        </is>
      </c>
      <c r="E829" t="inlineStr">
        <is>
          <t>RAGUNDA</t>
        </is>
      </c>
      <c r="F829" t="inlineStr">
        <is>
          <t>SCA</t>
        </is>
      </c>
      <c r="G829" t="n">
        <v>14.3</v>
      </c>
      <c r="H829" t="n">
        <v>0</v>
      </c>
      <c r="I829" t="n">
        <v>0</v>
      </c>
      <c r="J829" t="n">
        <v>0</v>
      </c>
      <c r="K829" t="n">
        <v>0</v>
      </c>
      <c r="L829" t="n">
        <v>0</v>
      </c>
      <c r="M829" t="n">
        <v>0</v>
      </c>
      <c r="N829" t="n">
        <v>0</v>
      </c>
      <c r="O829" t="n">
        <v>0</v>
      </c>
      <c r="P829" t="n">
        <v>0</v>
      </c>
      <c r="Q829" t="n">
        <v>0</v>
      </c>
      <c r="R829" s="2" t="inlineStr"/>
    </row>
    <row r="830" ht="15" customHeight="1">
      <c r="A830" t="inlineStr">
        <is>
          <t>A 24861-2023</t>
        </is>
      </c>
      <c r="B830" s="1" t="n">
        <v>45078</v>
      </c>
      <c r="C830" s="1" t="n">
        <v>46106</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54396-2025</t>
        </is>
      </c>
      <c r="B831" s="1" t="n">
        <v>45965.44849537037</v>
      </c>
      <c r="C831" s="1" t="n">
        <v>46106</v>
      </c>
      <c r="D831" t="inlineStr">
        <is>
          <t>JÄMTLANDS LÄN</t>
        </is>
      </c>
      <c r="E831" t="inlineStr">
        <is>
          <t>RAGUNDA</t>
        </is>
      </c>
      <c r="F831" t="inlineStr">
        <is>
          <t>SCA</t>
        </is>
      </c>
      <c r="G831" t="n">
        <v>35.2</v>
      </c>
      <c r="H831" t="n">
        <v>0</v>
      </c>
      <c r="I831" t="n">
        <v>0</v>
      </c>
      <c r="J831" t="n">
        <v>0</v>
      </c>
      <c r="K831" t="n">
        <v>0</v>
      </c>
      <c r="L831" t="n">
        <v>0</v>
      </c>
      <c r="M831" t="n">
        <v>0</v>
      </c>
      <c r="N831" t="n">
        <v>0</v>
      </c>
      <c r="O831" t="n">
        <v>0</v>
      </c>
      <c r="P831" t="n">
        <v>0</v>
      </c>
      <c r="Q831" t="n">
        <v>0</v>
      </c>
      <c r="R831" s="2" t="inlineStr"/>
    </row>
    <row r="832" ht="15" customHeight="1">
      <c r="A832" t="inlineStr">
        <is>
          <t>A 13905-2025</t>
        </is>
      </c>
      <c r="B832" s="1" t="n">
        <v>45737.63574074074</v>
      </c>
      <c r="C832" s="1" t="n">
        <v>46106</v>
      </c>
      <c r="D832" t="inlineStr">
        <is>
          <t>JÄMTLANDS LÄN</t>
        </is>
      </c>
      <c r="E832" t="inlineStr">
        <is>
          <t>RAGUNDA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13941-2025</t>
        </is>
      </c>
      <c r="B833" s="1" t="n">
        <v>45737.69822916666</v>
      </c>
      <c r="C833" s="1" t="n">
        <v>46106</v>
      </c>
      <c r="D833" t="inlineStr">
        <is>
          <t>JÄMTLANDS LÄN</t>
        </is>
      </c>
      <c r="E833" t="inlineStr">
        <is>
          <t>RAGUNDA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54794-2025</t>
        </is>
      </c>
      <c r="B834" s="1" t="n">
        <v>45966.63592592593</v>
      </c>
      <c r="C834" s="1" t="n">
        <v>46106</v>
      </c>
      <c r="D834" t="inlineStr">
        <is>
          <t>JÄMTLANDS LÄN</t>
        </is>
      </c>
      <c r="E834" t="inlineStr">
        <is>
          <t>RAGUNDA</t>
        </is>
      </c>
      <c r="G834" t="n">
        <v>4</v>
      </c>
      <c r="H834" t="n">
        <v>0</v>
      </c>
      <c r="I834" t="n">
        <v>0</v>
      </c>
      <c r="J834" t="n">
        <v>0</v>
      </c>
      <c r="K834" t="n">
        <v>0</v>
      </c>
      <c r="L834" t="n">
        <v>0</v>
      </c>
      <c r="M834" t="n">
        <v>0</v>
      </c>
      <c r="N834" t="n">
        <v>0</v>
      </c>
      <c r="O834" t="n">
        <v>0</v>
      </c>
      <c r="P834" t="n">
        <v>0</v>
      </c>
      <c r="Q834" t="n">
        <v>0</v>
      </c>
      <c r="R834" s="2" t="inlineStr"/>
    </row>
    <row r="835" ht="15" customHeight="1">
      <c r="A835" t="inlineStr">
        <is>
          <t>A 51245-2024</t>
        </is>
      </c>
      <c r="B835" s="1" t="n">
        <v>45603.67850694444</v>
      </c>
      <c r="C835" s="1" t="n">
        <v>46106</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54820-2025</t>
        </is>
      </c>
      <c r="B836" s="1" t="n">
        <v>45966.65728009259</v>
      </c>
      <c r="C836" s="1" t="n">
        <v>46106</v>
      </c>
      <c r="D836" t="inlineStr">
        <is>
          <t>JÄMTLANDS LÄN</t>
        </is>
      </c>
      <c r="E836" t="inlineStr">
        <is>
          <t>RAGUNDA</t>
        </is>
      </c>
      <c r="G836" t="n">
        <v>15.3</v>
      </c>
      <c r="H836" t="n">
        <v>0</v>
      </c>
      <c r="I836" t="n">
        <v>0</v>
      </c>
      <c r="J836" t="n">
        <v>0</v>
      </c>
      <c r="K836" t="n">
        <v>0</v>
      </c>
      <c r="L836" t="n">
        <v>0</v>
      </c>
      <c r="M836" t="n">
        <v>0</v>
      </c>
      <c r="N836" t="n">
        <v>0</v>
      </c>
      <c r="O836" t="n">
        <v>0</v>
      </c>
      <c r="P836" t="n">
        <v>0</v>
      </c>
      <c r="Q836" t="n">
        <v>0</v>
      </c>
      <c r="R836" s="2" t="inlineStr"/>
    </row>
    <row r="837" ht="15" customHeight="1">
      <c r="A837" t="inlineStr">
        <is>
          <t>A 58909-2025</t>
        </is>
      </c>
      <c r="B837" s="1" t="n">
        <v>45987</v>
      </c>
      <c r="C837" s="1" t="n">
        <v>46106</v>
      </c>
      <c r="D837" t="inlineStr">
        <is>
          <t>JÄMTLANDS LÄN</t>
        </is>
      </c>
      <c r="E837" t="inlineStr">
        <is>
          <t>RAGUNDA</t>
        </is>
      </c>
      <c r="G837" t="n">
        <v>9.5</v>
      </c>
      <c r="H837" t="n">
        <v>0</v>
      </c>
      <c r="I837" t="n">
        <v>0</v>
      </c>
      <c r="J837" t="n">
        <v>0</v>
      </c>
      <c r="K837" t="n">
        <v>0</v>
      </c>
      <c r="L837" t="n">
        <v>0</v>
      </c>
      <c r="M837" t="n">
        <v>0</v>
      </c>
      <c r="N837" t="n">
        <v>0</v>
      </c>
      <c r="O837" t="n">
        <v>0</v>
      </c>
      <c r="P837" t="n">
        <v>0</v>
      </c>
      <c r="Q837" t="n">
        <v>0</v>
      </c>
      <c r="R837" s="2" t="inlineStr"/>
    </row>
    <row r="838" ht="15" customHeight="1">
      <c r="A838" t="inlineStr">
        <is>
          <t>A 53955-2022</t>
        </is>
      </c>
      <c r="B838" s="1" t="n">
        <v>44880.95741898148</v>
      </c>
      <c r="C838" s="1" t="n">
        <v>46106</v>
      </c>
      <c r="D838" t="inlineStr">
        <is>
          <t>JÄMTLANDS LÄN</t>
        </is>
      </c>
      <c r="E838" t="inlineStr">
        <is>
          <t>RAGUNDA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41772-2024</t>
        </is>
      </c>
      <c r="B839" s="1" t="n">
        <v>45561.34663194444</v>
      </c>
      <c r="C839" s="1" t="n">
        <v>46106</v>
      </c>
      <c r="D839" t="inlineStr">
        <is>
          <t>JÄMTLANDS LÄN</t>
        </is>
      </c>
      <c r="E839" t="inlineStr">
        <is>
          <t>RAGUNDA</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10972-2022</t>
        </is>
      </c>
      <c r="B840" s="1" t="n">
        <v>44628</v>
      </c>
      <c r="C840" s="1" t="n">
        <v>46106</v>
      </c>
      <c r="D840" t="inlineStr">
        <is>
          <t>JÄMTLANDS LÄN</t>
        </is>
      </c>
      <c r="E840" t="inlineStr">
        <is>
          <t>RAGUNDA</t>
        </is>
      </c>
      <c r="G840" t="n">
        <v>9.5</v>
      </c>
      <c r="H840" t="n">
        <v>0</v>
      </c>
      <c r="I840" t="n">
        <v>0</v>
      </c>
      <c r="J840" t="n">
        <v>0</v>
      </c>
      <c r="K840" t="n">
        <v>0</v>
      </c>
      <c r="L840" t="n">
        <v>0</v>
      </c>
      <c r="M840" t="n">
        <v>0</v>
      </c>
      <c r="N840" t="n">
        <v>0</v>
      </c>
      <c r="O840" t="n">
        <v>0</v>
      </c>
      <c r="P840" t="n">
        <v>0</v>
      </c>
      <c r="Q840" t="n">
        <v>0</v>
      </c>
      <c r="R840" s="2" t="inlineStr"/>
    </row>
    <row r="841" ht="15" customHeight="1">
      <c r="A841" t="inlineStr">
        <is>
          <t>A 11834-2023</t>
        </is>
      </c>
      <c r="B841" s="1" t="n">
        <v>44994.94296296296</v>
      </c>
      <c r="C841" s="1" t="n">
        <v>46106</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55897-2025</t>
        </is>
      </c>
      <c r="B842" s="1" t="n">
        <v>45973.38600694444</v>
      </c>
      <c r="C842" s="1" t="n">
        <v>46106</v>
      </c>
      <c r="D842" t="inlineStr">
        <is>
          <t>JÄMTLANDS LÄN</t>
        </is>
      </c>
      <c r="E842" t="inlineStr">
        <is>
          <t>RAGUNDA</t>
        </is>
      </c>
      <c r="F842" t="inlineStr">
        <is>
          <t>SCA</t>
        </is>
      </c>
      <c r="G842" t="n">
        <v>14.1</v>
      </c>
      <c r="H842" t="n">
        <v>0</v>
      </c>
      <c r="I842" t="n">
        <v>0</v>
      </c>
      <c r="J842" t="n">
        <v>0</v>
      </c>
      <c r="K842" t="n">
        <v>0</v>
      </c>
      <c r="L842" t="n">
        <v>0</v>
      </c>
      <c r="M842" t="n">
        <v>0</v>
      </c>
      <c r="N842" t="n">
        <v>0</v>
      </c>
      <c r="O842" t="n">
        <v>0</v>
      </c>
      <c r="P842" t="n">
        <v>0</v>
      </c>
      <c r="Q842" t="n">
        <v>0</v>
      </c>
      <c r="R842" s="2" t="inlineStr"/>
    </row>
    <row r="843" ht="15" customHeight="1">
      <c r="A843" t="inlineStr">
        <is>
          <t>A 17559-2023</t>
        </is>
      </c>
      <c r="B843" s="1" t="n">
        <v>45034</v>
      </c>
      <c r="C843" s="1" t="n">
        <v>46106</v>
      </c>
      <c r="D843" t="inlineStr">
        <is>
          <t>JÄMTLANDS LÄN</t>
        </is>
      </c>
      <c r="E843" t="inlineStr">
        <is>
          <t>RAGUNDA</t>
        </is>
      </c>
      <c r="G843" t="n">
        <v>7.5</v>
      </c>
      <c r="H843" t="n">
        <v>0</v>
      </c>
      <c r="I843" t="n">
        <v>0</v>
      </c>
      <c r="J843" t="n">
        <v>0</v>
      </c>
      <c r="K843" t="n">
        <v>0</v>
      </c>
      <c r="L843" t="n">
        <v>0</v>
      </c>
      <c r="M843" t="n">
        <v>0</v>
      </c>
      <c r="N843" t="n">
        <v>0</v>
      </c>
      <c r="O843" t="n">
        <v>0</v>
      </c>
      <c r="P843" t="n">
        <v>0</v>
      </c>
      <c r="Q843" t="n">
        <v>0</v>
      </c>
      <c r="R843" s="2" t="inlineStr"/>
    </row>
    <row r="844" ht="15" customHeight="1">
      <c r="A844" t="inlineStr">
        <is>
          <t>A 38312-2024</t>
        </is>
      </c>
      <c r="B844" s="1" t="n">
        <v>45545.64957175926</v>
      </c>
      <c r="C844" s="1" t="n">
        <v>46106</v>
      </c>
      <c r="D844" t="inlineStr">
        <is>
          <t>JÄMTLANDS LÄN</t>
        </is>
      </c>
      <c r="E844" t="inlineStr">
        <is>
          <t>RAGUNDA</t>
        </is>
      </c>
      <c r="G844" t="n">
        <v>1.2</v>
      </c>
      <c r="H844" t="n">
        <v>0</v>
      </c>
      <c r="I844" t="n">
        <v>0</v>
      </c>
      <c r="J844" t="n">
        <v>0</v>
      </c>
      <c r="K844" t="n">
        <v>0</v>
      </c>
      <c r="L844" t="n">
        <v>0</v>
      </c>
      <c r="M844" t="n">
        <v>0</v>
      </c>
      <c r="N844" t="n">
        <v>0</v>
      </c>
      <c r="O844" t="n">
        <v>0</v>
      </c>
      <c r="P844" t="n">
        <v>0</v>
      </c>
      <c r="Q844" t="n">
        <v>0</v>
      </c>
      <c r="R844" s="2" t="inlineStr"/>
    </row>
    <row r="845" ht="15" customHeight="1">
      <c r="A845" t="inlineStr">
        <is>
          <t>A 32832-2021</t>
        </is>
      </c>
      <c r="B845" s="1" t="n">
        <v>44375</v>
      </c>
      <c r="C845" s="1" t="n">
        <v>46106</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22011-2023</t>
        </is>
      </c>
      <c r="B846" s="1" t="n">
        <v>45068</v>
      </c>
      <c r="C846" s="1" t="n">
        <v>46106</v>
      </c>
      <c r="D846" t="inlineStr">
        <is>
          <t>JÄMTLANDS LÄN</t>
        </is>
      </c>
      <c r="E846" t="inlineStr">
        <is>
          <t>RAGUNDA</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56435-2025</t>
        </is>
      </c>
      <c r="B847" s="1" t="n">
        <v>45975.34679398148</v>
      </c>
      <c r="C847" s="1" t="n">
        <v>46106</v>
      </c>
      <c r="D847" t="inlineStr">
        <is>
          <t>JÄMTLANDS LÄN</t>
        </is>
      </c>
      <c r="E847" t="inlineStr">
        <is>
          <t>RAGUNDA</t>
        </is>
      </c>
      <c r="F847" t="inlineStr">
        <is>
          <t>SCA</t>
        </is>
      </c>
      <c r="G847" t="n">
        <v>9.199999999999999</v>
      </c>
      <c r="H847" t="n">
        <v>0</v>
      </c>
      <c r="I847" t="n">
        <v>0</v>
      </c>
      <c r="J847" t="n">
        <v>0</v>
      </c>
      <c r="K847" t="n">
        <v>0</v>
      </c>
      <c r="L847" t="n">
        <v>0</v>
      </c>
      <c r="M847" t="n">
        <v>0</v>
      </c>
      <c r="N847" t="n">
        <v>0</v>
      </c>
      <c r="O847" t="n">
        <v>0</v>
      </c>
      <c r="P847" t="n">
        <v>0</v>
      </c>
      <c r="Q847" t="n">
        <v>0</v>
      </c>
      <c r="R847" s="2" t="inlineStr"/>
      <c r="U847">
        <f>HYPERLINK("https://klasma.github.io/Logging_2303/knärot/A 56435-2025 karta knärot.png", "A 56435-2025")</f>
        <v/>
      </c>
      <c r="V847">
        <f>HYPERLINK("https://klasma.github.io/Logging_2303/klagomål/A 56435-2025 FSC-klagomål.docx", "A 56435-2025")</f>
        <v/>
      </c>
      <c r="W847">
        <f>HYPERLINK("https://klasma.github.io/Logging_2303/klagomålsmail/A 56435-2025 FSC-klagomål mail.docx", "A 56435-2025")</f>
        <v/>
      </c>
      <c r="X847">
        <f>HYPERLINK("https://klasma.github.io/Logging_2303/tillsyn/A 56435-2025 tillsynsbegäran.docx", "A 56435-2025")</f>
        <v/>
      </c>
      <c r="Y847">
        <f>HYPERLINK("https://klasma.github.io/Logging_2303/tillsynsmail/A 56435-2025 tillsynsbegäran mail.docx", "A 56435-2025")</f>
        <v/>
      </c>
    </row>
    <row r="848" ht="15" customHeight="1">
      <c r="A848" t="inlineStr">
        <is>
          <t>A 56170-2025</t>
        </is>
      </c>
      <c r="B848" s="1" t="n">
        <v>45974.39398148148</v>
      </c>
      <c r="C848" s="1" t="n">
        <v>46106</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14158-2024</t>
        </is>
      </c>
      <c r="B849" s="1" t="n">
        <v>45392</v>
      </c>
      <c r="C849" s="1" t="n">
        <v>46106</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42508-2023</t>
        </is>
      </c>
      <c r="B850" s="1" t="n">
        <v>45180.95907407408</v>
      </c>
      <c r="C850" s="1" t="n">
        <v>46106</v>
      </c>
      <c r="D850" t="inlineStr">
        <is>
          <t>JÄMTLANDS LÄN</t>
        </is>
      </c>
      <c r="E850" t="inlineStr">
        <is>
          <t>RAGUNDA</t>
        </is>
      </c>
      <c r="F850" t="inlineStr">
        <is>
          <t>SCA</t>
        </is>
      </c>
      <c r="G850" t="n">
        <v>6.1</v>
      </c>
      <c r="H850" t="n">
        <v>0</v>
      </c>
      <c r="I850" t="n">
        <v>0</v>
      </c>
      <c r="J850" t="n">
        <v>0</v>
      </c>
      <c r="K850" t="n">
        <v>0</v>
      </c>
      <c r="L850" t="n">
        <v>0</v>
      </c>
      <c r="M850" t="n">
        <v>0</v>
      </c>
      <c r="N850" t="n">
        <v>0</v>
      </c>
      <c r="O850" t="n">
        <v>0</v>
      </c>
      <c r="P850" t="n">
        <v>0</v>
      </c>
      <c r="Q850" t="n">
        <v>0</v>
      </c>
      <c r="R850" s="2" t="inlineStr"/>
    </row>
    <row r="851" ht="15" customHeight="1">
      <c r="A851" t="inlineStr">
        <is>
          <t>A 35274-2023</t>
        </is>
      </c>
      <c r="B851" s="1" t="n">
        <v>45145</v>
      </c>
      <c r="C851" s="1" t="n">
        <v>46106</v>
      </c>
      <c r="D851" t="inlineStr">
        <is>
          <t>JÄMTLANDS LÄN</t>
        </is>
      </c>
      <c r="E851" t="inlineStr">
        <is>
          <t>RAGUNDA</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57111-2025</t>
        </is>
      </c>
      <c r="B852" s="1" t="n">
        <v>45978</v>
      </c>
      <c r="C852" s="1" t="n">
        <v>46106</v>
      </c>
      <c r="D852" t="inlineStr">
        <is>
          <t>JÄMTLANDS LÄN</t>
        </is>
      </c>
      <c r="E852" t="inlineStr">
        <is>
          <t>RAGUNDA</t>
        </is>
      </c>
      <c r="G852" t="n">
        <v>2.3</v>
      </c>
      <c r="H852" t="n">
        <v>0</v>
      </c>
      <c r="I852" t="n">
        <v>0</v>
      </c>
      <c r="J852" t="n">
        <v>0</v>
      </c>
      <c r="K852" t="n">
        <v>0</v>
      </c>
      <c r="L852" t="n">
        <v>0</v>
      </c>
      <c r="M852" t="n">
        <v>0</v>
      </c>
      <c r="N852" t="n">
        <v>0</v>
      </c>
      <c r="O852" t="n">
        <v>0</v>
      </c>
      <c r="P852" t="n">
        <v>0</v>
      </c>
      <c r="Q852" t="n">
        <v>0</v>
      </c>
      <c r="R852" s="2" t="inlineStr"/>
    </row>
    <row r="853" ht="15" customHeight="1">
      <c r="A853" t="inlineStr">
        <is>
          <t>A 57117-2025</t>
        </is>
      </c>
      <c r="B853" s="1" t="n">
        <v>45978</v>
      </c>
      <c r="C853" s="1" t="n">
        <v>46106</v>
      </c>
      <c r="D853" t="inlineStr">
        <is>
          <t>JÄMTLANDS LÄN</t>
        </is>
      </c>
      <c r="E853" t="inlineStr">
        <is>
          <t>RAGUNDA</t>
        </is>
      </c>
      <c r="G853" t="n">
        <v>4.2</v>
      </c>
      <c r="H853" t="n">
        <v>0</v>
      </c>
      <c r="I853" t="n">
        <v>0</v>
      </c>
      <c r="J853" t="n">
        <v>0</v>
      </c>
      <c r="K853" t="n">
        <v>0</v>
      </c>
      <c r="L853" t="n">
        <v>0</v>
      </c>
      <c r="M853" t="n">
        <v>0</v>
      </c>
      <c r="N853" t="n">
        <v>0</v>
      </c>
      <c r="O853" t="n">
        <v>0</v>
      </c>
      <c r="P853" t="n">
        <v>0</v>
      </c>
      <c r="Q853" t="n">
        <v>0</v>
      </c>
      <c r="R853" s="2" t="inlineStr"/>
    </row>
    <row r="854" ht="15" customHeight="1">
      <c r="A854" t="inlineStr">
        <is>
          <t>A 56751-2025</t>
        </is>
      </c>
      <c r="B854" s="1" t="n">
        <v>45978.36538194444</v>
      </c>
      <c r="C854" s="1" t="n">
        <v>46106</v>
      </c>
      <c r="D854" t="inlineStr">
        <is>
          <t>JÄMTLANDS LÄN</t>
        </is>
      </c>
      <c r="E854" t="inlineStr">
        <is>
          <t>RAGUNDA</t>
        </is>
      </c>
      <c r="F854" t="inlineStr">
        <is>
          <t>SCA</t>
        </is>
      </c>
      <c r="G854" t="n">
        <v>34.5</v>
      </c>
      <c r="H854" t="n">
        <v>0</v>
      </c>
      <c r="I854" t="n">
        <v>0</v>
      </c>
      <c r="J854" t="n">
        <v>0</v>
      </c>
      <c r="K854" t="n">
        <v>0</v>
      </c>
      <c r="L854" t="n">
        <v>0</v>
      </c>
      <c r="M854" t="n">
        <v>0</v>
      </c>
      <c r="N854" t="n">
        <v>0</v>
      </c>
      <c r="O854" t="n">
        <v>0</v>
      </c>
      <c r="P854" t="n">
        <v>0</v>
      </c>
      <c r="Q854" t="n">
        <v>0</v>
      </c>
      <c r="R854" s="2" t="inlineStr"/>
    </row>
    <row r="855" ht="15" customHeight="1">
      <c r="A855" t="inlineStr">
        <is>
          <t>A 56806-2025</t>
        </is>
      </c>
      <c r="B855" s="1" t="n">
        <v>45978.44842592593</v>
      </c>
      <c r="C855" s="1" t="n">
        <v>46106</v>
      </c>
      <c r="D855" t="inlineStr">
        <is>
          <t>JÄMTLANDS LÄN</t>
        </is>
      </c>
      <c r="E855" t="inlineStr">
        <is>
          <t>RAGUNDA</t>
        </is>
      </c>
      <c r="F855" t="inlineStr">
        <is>
          <t>SCA</t>
        </is>
      </c>
      <c r="G855" t="n">
        <v>7.5</v>
      </c>
      <c r="H855" t="n">
        <v>0</v>
      </c>
      <c r="I855" t="n">
        <v>0</v>
      </c>
      <c r="J855" t="n">
        <v>0</v>
      </c>
      <c r="K855" t="n">
        <v>0</v>
      </c>
      <c r="L855" t="n">
        <v>0</v>
      </c>
      <c r="M855" t="n">
        <v>0</v>
      </c>
      <c r="N855" t="n">
        <v>0</v>
      </c>
      <c r="O855" t="n">
        <v>0</v>
      </c>
      <c r="P855" t="n">
        <v>0</v>
      </c>
      <c r="Q855" t="n">
        <v>0</v>
      </c>
      <c r="R855" s="2" t="inlineStr"/>
    </row>
    <row r="856" ht="15" customHeight="1">
      <c r="A856" t="inlineStr">
        <is>
          <t>A 12983-2025</t>
        </is>
      </c>
      <c r="B856" s="1" t="n">
        <v>45734.4633912037</v>
      </c>
      <c r="C856" s="1" t="n">
        <v>46106</v>
      </c>
      <c r="D856" t="inlineStr">
        <is>
          <t>JÄMTLANDS LÄN</t>
        </is>
      </c>
      <c r="E856" t="inlineStr">
        <is>
          <t>RAGUNDA</t>
        </is>
      </c>
      <c r="G856" t="n">
        <v>5.2</v>
      </c>
      <c r="H856" t="n">
        <v>0</v>
      </c>
      <c r="I856" t="n">
        <v>0</v>
      </c>
      <c r="J856" t="n">
        <v>0</v>
      </c>
      <c r="K856" t="n">
        <v>0</v>
      </c>
      <c r="L856" t="n">
        <v>0</v>
      </c>
      <c r="M856" t="n">
        <v>0</v>
      </c>
      <c r="N856" t="n">
        <v>0</v>
      </c>
      <c r="O856" t="n">
        <v>0</v>
      </c>
      <c r="P856" t="n">
        <v>0</v>
      </c>
      <c r="Q856" t="n">
        <v>0</v>
      </c>
      <c r="R856" s="2" t="inlineStr"/>
    </row>
    <row r="857" ht="15" customHeight="1">
      <c r="A857" t="inlineStr">
        <is>
          <t>A 17598-2021</t>
        </is>
      </c>
      <c r="B857" s="1" t="n">
        <v>44299</v>
      </c>
      <c r="C857" s="1" t="n">
        <v>46106</v>
      </c>
      <c r="D857" t="inlineStr">
        <is>
          <t>JÄMTLANDS LÄN</t>
        </is>
      </c>
      <c r="E857" t="inlineStr">
        <is>
          <t>RAGUNDA</t>
        </is>
      </c>
      <c r="G857" t="n">
        <v>4.6</v>
      </c>
      <c r="H857" t="n">
        <v>0</v>
      </c>
      <c r="I857" t="n">
        <v>0</v>
      </c>
      <c r="J857" t="n">
        <v>0</v>
      </c>
      <c r="K857" t="n">
        <v>0</v>
      </c>
      <c r="L857" t="n">
        <v>0</v>
      </c>
      <c r="M857" t="n">
        <v>0</v>
      </c>
      <c r="N857" t="n">
        <v>0</v>
      </c>
      <c r="O857" t="n">
        <v>0</v>
      </c>
      <c r="P857" t="n">
        <v>0</v>
      </c>
      <c r="Q857" t="n">
        <v>0</v>
      </c>
      <c r="R857" s="2" t="inlineStr"/>
    </row>
    <row r="858" ht="15" customHeight="1">
      <c r="A858" t="inlineStr">
        <is>
          <t>A 57184-2025</t>
        </is>
      </c>
      <c r="B858" s="1" t="n">
        <v>45979.57361111111</v>
      </c>
      <c r="C858" s="1" t="n">
        <v>46106</v>
      </c>
      <c r="D858" t="inlineStr">
        <is>
          <t>JÄMTLANDS LÄN</t>
        </is>
      </c>
      <c r="E858" t="inlineStr">
        <is>
          <t>RAGUNDA</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57561-2025</t>
        </is>
      </c>
      <c r="B859" s="1" t="n">
        <v>45980.69885416667</v>
      </c>
      <c r="C859" s="1" t="n">
        <v>46106</v>
      </c>
      <c r="D859" t="inlineStr">
        <is>
          <t>JÄMTLANDS LÄN</t>
        </is>
      </c>
      <c r="E859" t="inlineStr">
        <is>
          <t>RAGUNDA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57332-2025</t>
        </is>
      </c>
      <c r="B860" s="1" t="n">
        <v>45980.34467592592</v>
      </c>
      <c r="C860" s="1" t="n">
        <v>46106</v>
      </c>
      <c r="D860" t="inlineStr">
        <is>
          <t>JÄMTLANDS LÄN</t>
        </is>
      </c>
      <c r="E860" t="inlineStr">
        <is>
          <t>RAGUNDA</t>
        </is>
      </c>
      <c r="F860" t="inlineStr">
        <is>
          <t>SCA</t>
        </is>
      </c>
      <c r="G860" t="n">
        <v>22.6</v>
      </c>
      <c r="H860" t="n">
        <v>0</v>
      </c>
      <c r="I860" t="n">
        <v>0</v>
      </c>
      <c r="J860" t="n">
        <v>0</v>
      </c>
      <c r="K860" t="n">
        <v>0</v>
      </c>
      <c r="L860" t="n">
        <v>0</v>
      </c>
      <c r="M860" t="n">
        <v>0</v>
      </c>
      <c r="N860" t="n">
        <v>0</v>
      </c>
      <c r="O860" t="n">
        <v>0</v>
      </c>
      <c r="P860" t="n">
        <v>0</v>
      </c>
      <c r="Q860" t="n">
        <v>0</v>
      </c>
      <c r="R860" s="2" t="inlineStr"/>
    </row>
    <row r="861" ht="15" customHeight="1">
      <c r="A861" t="inlineStr">
        <is>
          <t>A 3938-2024</t>
        </is>
      </c>
      <c r="B861" s="1" t="n">
        <v>45322</v>
      </c>
      <c r="C861" s="1" t="n">
        <v>46106</v>
      </c>
      <c r="D861" t="inlineStr">
        <is>
          <t>JÄMTLANDS LÄN</t>
        </is>
      </c>
      <c r="E861" t="inlineStr">
        <is>
          <t>RAGUNDA</t>
        </is>
      </c>
      <c r="G861" t="n">
        <v>3.2</v>
      </c>
      <c r="H861" t="n">
        <v>0</v>
      </c>
      <c r="I861" t="n">
        <v>0</v>
      </c>
      <c r="J861" t="n">
        <v>0</v>
      </c>
      <c r="K861" t="n">
        <v>0</v>
      </c>
      <c r="L861" t="n">
        <v>0</v>
      </c>
      <c r="M861" t="n">
        <v>0</v>
      </c>
      <c r="N861" t="n">
        <v>0</v>
      </c>
      <c r="O861" t="n">
        <v>0</v>
      </c>
      <c r="P861" t="n">
        <v>0</v>
      </c>
      <c r="Q861" t="n">
        <v>0</v>
      </c>
      <c r="R861" s="2" t="inlineStr"/>
    </row>
    <row r="862" ht="15" customHeight="1">
      <c r="A862" t="inlineStr">
        <is>
          <t>A 57560-2025</t>
        </is>
      </c>
      <c r="B862" s="1" t="n">
        <v>45980.6987962963</v>
      </c>
      <c r="C862" s="1" t="n">
        <v>46106</v>
      </c>
      <c r="D862" t="inlineStr">
        <is>
          <t>JÄMTLANDS LÄN</t>
        </is>
      </c>
      <c r="E862" t="inlineStr">
        <is>
          <t>RAGUNDA</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57916-2025</t>
        </is>
      </c>
      <c r="B863" s="1" t="n">
        <v>45981</v>
      </c>
      <c r="C863" s="1" t="n">
        <v>46106</v>
      </c>
      <c r="D863" t="inlineStr">
        <is>
          <t>JÄMTLANDS LÄN</t>
        </is>
      </c>
      <c r="E863" t="inlineStr">
        <is>
          <t>RAGUNDA</t>
        </is>
      </c>
      <c r="G863" t="n">
        <v>5.3</v>
      </c>
      <c r="H863" t="n">
        <v>0</v>
      </c>
      <c r="I863" t="n">
        <v>0</v>
      </c>
      <c r="J863" t="n">
        <v>0</v>
      </c>
      <c r="K863" t="n">
        <v>0</v>
      </c>
      <c r="L863" t="n">
        <v>0</v>
      </c>
      <c r="M863" t="n">
        <v>0</v>
      </c>
      <c r="N863" t="n">
        <v>0</v>
      </c>
      <c r="O863" t="n">
        <v>0</v>
      </c>
      <c r="P863" t="n">
        <v>0</v>
      </c>
      <c r="Q863" t="n">
        <v>0</v>
      </c>
      <c r="R863" s="2" t="inlineStr"/>
    </row>
    <row r="864" ht="15" customHeight="1">
      <c r="A864" t="inlineStr">
        <is>
          <t>A 57914-2025</t>
        </is>
      </c>
      <c r="B864" s="1" t="n">
        <v>45981</v>
      </c>
      <c r="C864" s="1" t="n">
        <v>46106</v>
      </c>
      <c r="D864" t="inlineStr">
        <is>
          <t>JÄMTLANDS LÄN</t>
        </is>
      </c>
      <c r="E864" t="inlineStr">
        <is>
          <t>RAGUNDA</t>
        </is>
      </c>
      <c r="G864" t="n">
        <v>3.2</v>
      </c>
      <c r="H864" t="n">
        <v>0</v>
      </c>
      <c r="I864" t="n">
        <v>0</v>
      </c>
      <c r="J864" t="n">
        <v>0</v>
      </c>
      <c r="K864" t="n">
        <v>0</v>
      </c>
      <c r="L864" t="n">
        <v>0</v>
      </c>
      <c r="M864" t="n">
        <v>0</v>
      </c>
      <c r="N864" t="n">
        <v>0</v>
      </c>
      <c r="O864" t="n">
        <v>0</v>
      </c>
      <c r="P864" t="n">
        <v>0</v>
      </c>
      <c r="Q864" t="n">
        <v>0</v>
      </c>
      <c r="R864" s="2" t="inlineStr"/>
    </row>
    <row r="865" ht="15" customHeight="1">
      <c r="A865" t="inlineStr">
        <is>
          <t>A 53144-2024</t>
        </is>
      </c>
      <c r="B865" s="1" t="n">
        <v>45611</v>
      </c>
      <c r="C865" s="1" t="n">
        <v>46106</v>
      </c>
      <c r="D865" t="inlineStr">
        <is>
          <t>JÄMTLANDS LÄN</t>
        </is>
      </c>
      <c r="E865" t="inlineStr">
        <is>
          <t>RAGUNDA</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57915-2025</t>
        </is>
      </c>
      <c r="B866" s="1" t="n">
        <v>45981</v>
      </c>
      <c r="C866" s="1" t="n">
        <v>46106</v>
      </c>
      <c r="D866" t="inlineStr">
        <is>
          <t>JÄMTLANDS LÄN</t>
        </is>
      </c>
      <c r="E866" t="inlineStr">
        <is>
          <t>RAGUNDA</t>
        </is>
      </c>
      <c r="G866" t="n">
        <v>6.4</v>
      </c>
      <c r="H866" t="n">
        <v>0</v>
      </c>
      <c r="I866" t="n">
        <v>0</v>
      </c>
      <c r="J866" t="n">
        <v>0</v>
      </c>
      <c r="K866" t="n">
        <v>0</v>
      </c>
      <c r="L866" t="n">
        <v>0</v>
      </c>
      <c r="M866" t="n">
        <v>0</v>
      </c>
      <c r="N866" t="n">
        <v>0</v>
      </c>
      <c r="O866" t="n">
        <v>0</v>
      </c>
      <c r="P866" t="n">
        <v>0</v>
      </c>
      <c r="Q866" t="n">
        <v>0</v>
      </c>
      <c r="R866" s="2" t="inlineStr"/>
    </row>
    <row r="867" ht="15" customHeight="1">
      <c r="A867" t="inlineStr">
        <is>
          <t>A 57833-2025</t>
        </is>
      </c>
      <c r="B867" s="1" t="n">
        <v>45981.61541666667</v>
      </c>
      <c r="C867" s="1" t="n">
        <v>46106</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64108-2025</t>
        </is>
      </c>
      <c r="B868" s="1" t="n">
        <v>46013</v>
      </c>
      <c r="C868" s="1" t="n">
        <v>46106</v>
      </c>
      <c r="D868" t="inlineStr">
        <is>
          <t>JÄMTLANDS LÄN</t>
        </is>
      </c>
      <c r="E868" t="inlineStr">
        <is>
          <t>RAGUNDA</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57785-2025</t>
        </is>
      </c>
      <c r="B869" s="1" t="n">
        <v>45981.57393518519</v>
      </c>
      <c r="C869" s="1" t="n">
        <v>46106</v>
      </c>
      <c r="D869" t="inlineStr">
        <is>
          <t>JÄMTLANDS LÄN</t>
        </is>
      </c>
      <c r="E869" t="inlineStr">
        <is>
          <t>RAGUNDA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58093-2025</t>
        </is>
      </c>
      <c r="B870" s="1" t="n">
        <v>45982.5741087963</v>
      </c>
      <c r="C870" s="1" t="n">
        <v>46106</v>
      </c>
      <c r="D870" t="inlineStr">
        <is>
          <t>JÄMTLANDS LÄN</t>
        </is>
      </c>
      <c r="E870" t="inlineStr">
        <is>
          <t>RAGUNDA</t>
        </is>
      </c>
      <c r="G870" t="n">
        <v>22.2</v>
      </c>
      <c r="H870" t="n">
        <v>0</v>
      </c>
      <c r="I870" t="n">
        <v>0</v>
      </c>
      <c r="J870" t="n">
        <v>0</v>
      </c>
      <c r="K870" t="n">
        <v>0</v>
      </c>
      <c r="L870" t="n">
        <v>0</v>
      </c>
      <c r="M870" t="n">
        <v>0</v>
      </c>
      <c r="N870" t="n">
        <v>0</v>
      </c>
      <c r="O870" t="n">
        <v>0</v>
      </c>
      <c r="P870" t="n">
        <v>0</v>
      </c>
      <c r="Q870" t="n">
        <v>0</v>
      </c>
      <c r="R870" s="2" t="inlineStr"/>
    </row>
    <row r="871" ht="15" customHeight="1">
      <c r="A871" t="inlineStr">
        <is>
          <t>A 22311-2024</t>
        </is>
      </c>
      <c r="B871" s="1" t="n">
        <v>45446.57052083333</v>
      </c>
      <c r="C871" s="1" t="n">
        <v>46106</v>
      </c>
      <c r="D871" t="inlineStr">
        <is>
          <t>JÄMTLANDS LÄN</t>
        </is>
      </c>
      <c r="E871" t="inlineStr">
        <is>
          <t>RAGUNDA</t>
        </is>
      </c>
      <c r="G871" t="n">
        <v>1.3</v>
      </c>
      <c r="H871" t="n">
        <v>0</v>
      </c>
      <c r="I871" t="n">
        <v>0</v>
      </c>
      <c r="J871" t="n">
        <v>0</v>
      </c>
      <c r="K871" t="n">
        <v>0</v>
      </c>
      <c r="L871" t="n">
        <v>0</v>
      </c>
      <c r="M871" t="n">
        <v>0</v>
      </c>
      <c r="N871" t="n">
        <v>0</v>
      </c>
      <c r="O871" t="n">
        <v>0</v>
      </c>
      <c r="P871" t="n">
        <v>0</v>
      </c>
      <c r="Q871" t="n">
        <v>0</v>
      </c>
      <c r="R871" s="2" t="inlineStr"/>
    </row>
    <row r="872" ht="15" customHeight="1">
      <c r="A872" t="inlineStr">
        <is>
          <t>A 57970-2025</t>
        </is>
      </c>
      <c r="B872" s="1" t="n">
        <v>45982.38582175926</v>
      </c>
      <c r="C872" s="1" t="n">
        <v>46106</v>
      </c>
      <c r="D872" t="inlineStr">
        <is>
          <t>JÄMTLANDS LÄN</t>
        </is>
      </c>
      <c r="E872" t="inlineStr">
        <is>
          <t>RAGUNDA</t>
        </is>
      </c>
      <c r="G872" t="n">
        <v>4.9</v>
      </c>
      <c r="H872" t="n">
        <v>0</v>
      </c>
      <c r="I872" t="n">
        <v>0</v>
      </c>
      <c r="J872" t="n">
        <v>0</v>
      </c>
      <c r="K872" t="n">
        <v>0</v>
      </c>
      <c r="L872" t="n">
        <v>0</v>
      </c>
      <c r="M872" t="n">
        <v>0</v>
      </c>
      <c r="N872" t="n">
        <v>0</v>
      </c>
      <c r="O872" t="n">
        <v>0</v>
      </c>
      <c r="P872" t="n">
        <v>0</v>
      </c>
      <c r="Q872" t="n">
        <v>0</v>
      </c>
      <c r="R872" s="2" t="inlineStr"/>
    </row>
    <row r="873" ht="15" customHeight="1">
      <c r="A873" t="inlineStr">
        <is>
          <t>A 58076-2025</t>
        </is>
      </c>
      <c r="B873" s="1" t="n">
        <v>45982.55273148148</v>
      </c>
      <c r="C873" s="1" t="n">
        <v>46106</v>
      </c>
      <c r="D873" t="inlineStr">
        <is>
          <t>JÄMTLANDS LÄN</t>
        </is>
      </c>
      <c r="E873" t="inlineStr">
        <is>
          <t>RAGUNDA</t>
        </is>
      </c>
      <c r="G873" t="n">
        <v>0.1</v>
      </c>
      <c r="H873" t="n">
        <v>0</v>
      </c>
      <c r="I873" t="n">
        <v>0</v>
      </c>
      <c r="J873" t="n">
        <v>0</v>
      </c>
      <c r="K873" t="n">
        <v>0</v>
      </c>
      <c r="L873" t="n">
        <v>0</v>
      </c>
      <c r="M873" t="n">
        <v>0</v>
      </c>
      <c r="N873" t="n">
        <v>0</v>
      </c>
      <c r="O873" t="n">
        <v>0</v>
      </c>
      <c r="P873" t="n">
        <v>0</v>
      </c>
      <c r="Q873" t="n">
        <v>0</v>
      </c>
      <c r="R873" s="2" t="inlineStr"/>
    </row>
    <row r="874" ht="15" customHeight="1">
      <c r="A874" t="inlineStr">
        <is>
          <t>A 57963-2025</t>
        </is>
      </c>
      <c r="B874" s="1" t="n">
        <v>45982.37800925926</v>
      </c>
      <c r="C874" s="1" t="n">
        <v>46106</v>
      </c>
      <c r="D874" t="inlineStr">
        <is>
          <t>JÄMTLANDS LÄN</t>
        </is>
      </c>
      <c r="E874" t="inlineStr">
        <is>
          <t>RAGUNDA</t>
        </is>
      </c>
      <c r="G874" t="n">
        <v>1.7</v>
      </c>
      <c r="H874" t="n">
        <v>0</v>
      </c>
      <c r="I874" t="n">
        <v>0</v>
      </c>
      <c r="J874" t="n">
        <v>0</v>
      </c>
      <c r="K874" t="n">
        <v>0</v>
      </c>
      <c r="L874" t="n">
        <v>0</v>
      </c>
      <c r="M874" t="n">
        <v>0</v>
      </c>
      <c r="N874" t="n">
        <v>0</v>
      </c>
      <c r="O874" t="n">
        <v>0</v>
      </c>
      <c r="P874" t="n">
        <v>0</v>
      </c>
      <c r="Q874" t="n">
        <v>0</v>
      </c>
      <c r="R874" s="2" t="inlineStr"/>
    </row>
    <row r="875" ht="15" customHeight="1">
      <c r="A875" t="inlineStr">
        <is>
          <t>A 19403-2025</t>
        </is>
      </c>
      <c r="B875" s="1" t="n">
        <v>45769.67790509259</v>
      </c>
      <c r="C875" s="1" t="n">
        <v>46106</v>
      </c>
      <c r="D875" t="inlineStr">
        <is>
          <t>JÄMTLANDS LÄN</t>
        </is>
      </c>
      <c r="E875" t="inlineStr">
        <is>
          <t>RAGUNDA</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53109-2025</t>
        </is>
      </c>
      <c r="B876" s="1" t="n">
        <v>45958</v>
      </c>
      <c r="C876" s="1" t="n">
        <v>46106</v>
      </c>
      <c r="D876" t="inlineStr">
        <is>
          <t>JÄMTLANDS LÄN</t>
        </is>
      </c>
      <c r="E876" t="inlineStr">
        <is>
          <t>RAGUNDA</t>
        </is>
      </c>
      <c r="G876" t="n">
        <v>2.1</v>
      </c>
      <c r="H876" t="n">
        <v>0</v>
      </c>
      <c r="I876" t="n">
        <v>0</v>
      </c>
      <c r="J876" t="n">
        <v>0</v>
      </c>
      <c r="K876" t="n">
        <v>0</v>
      </c>
      <c r="L876" t="n">
        <v>0</v>
      </c>
      <c r="M876" t="n">
        <v>0</v>
      </c>
      <c r="N876" t="n">
        <v>0</v>
      </c>
      <c r="O876" t="n">
        <v>0</v>
      </c>
      <c r="P876" t="n">
        <v>0</v>
      </c>
      <c r="Q876" t="n">
        <v>0</v>
      </c>
      <c r="R876" s="2" t="inlineStr"/>
    </row>
    <row r="877" ht="15" customHeight="1">
      <c r="A877" t="inlineStr">
        <is>
          <t>A 58918-2025</t>
        </is>
      </c>
      <c r="B877" s="1" t="n">
        <v>45987.52952546296</v>
      </c>
      <c r="C877" s="1" t="n">
        <v>46106</v>
      </c>
      <c r="D877" t="inlineStr">
        <is>
          <t>JÄMTLANDS LÄN</t>
        </is>
      </c>
      <c r="E877" t="inlineStr">
        <is>
          <t>RAGUNDA</t>
        </is>
      </c>
      <c r="G877" t="n">
        <v>2</v>
      </c>
      <c r="H877" t="n">
        <v>0</v>
      </c>
      <c r="I877" t="n">
        <v>0</v>
      </c>
      <c r="J877" t="n">
        <v>0</v>
      </c>
      <c r="K877" t="n">
        <v>0</v>
      </c>
      <c r="L877" t="n">
        <v>0</v>
      </c>
      <c r="M877" t="n">
        <v>0</v>
      </c>
      <c r="N877" t="n">
        <v>0</v>
      </c>
      <c r="O877" t="n">
        <v>0</v>
      </c>
      <c r="P877" t="n">
        <v>0</v>
      </c>
      <c r="Q877" t="n">
        <v>0</v>
      </c>
      <c r="R877" s="2" t="inlineStr"/>
    </row>
    <row r="878" ht="15" customHeight="1">
      <c r="A878" t="inlineStr">
        <is>
          <t>A 58638-2025</t>
        </is>
      </c>
      <c r="B878" s="1" t="n">
        <v>45986.49016203704</v>
      </c>
      <c r="C878" s="1" t="n">
        <v>46106</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11147-2025</t>
        </is>
      </c>
      <c r="B879" s="1" t="n">
        <v>45723.67777777778</v>
      </c>
      <c r="C879" s="1" t="n">
        <v>46106</v>
      </c>
      <c r="D879" t="inlineStr">
        <is>
          <t>JÄMTLANDS LÄN</t>
        </is>
      </c>
      <c r="E879" t="inlineStr">
        <is>
          <t>RAGUNDA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58559-2025</t>
        </is>
      </c>
      <c r="B880" s="1" t="n">
        <v>45986.34475694445</v>
      </c>
      <c r="C880" s="1" t="n">
        <v>46106</v>
      </c>
      <c r="D880" t="inlineStr">
        <is>
          <t>JÄMTLANDS LÄN</t>
        </is>
      </c>
      <c r="E880" t="inlineStr">
        <is>
          <t>RAGUNDA</t>
        </is>
      </c>
      <c r="F880" t="inlineStr">
        <is>
          <t>SCA</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9847-2025</t>
        </is>
      </c>
      <c r="B881" s="1" t="n">
        <v>45716.61487268518</v>
      </c>
      <c r="C881" s="1" t="n">
        <v>46106</v>
      </c>
      <c r="D881" t="inlineStr">
        <is>
          <t>JÄMTLANDS LÄN</t>
        </is>
      </c>
      <c r="E881" t="inlineStr">
        <is>
          <t>RAGUNDA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59214-2025</t>
        </is>
      </c>
      <c r="B882" s="1" t="n">
        <v>45988.61623842592</v>
      </c>
      <c r="C882" s="1" t="n">
        <v>46106</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28173-2024</t>
        </is>
      </c>
      <c r="B883" s="1" t="n">
        <v>45476.94533564815</v>
      </c>
      <c r="C883" s="1" t="n">
        <v>46106</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23734-2024</t>
        </is>
      </c>
      <c r="B884" s="1" t="n">
        <v>45454.95960648148</v>
      </c>
      <c r="C884" s="1" t="n">
        <v>46106</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38425-2022</t>
        </is>
      </c>
      <c r="B885" s="1" t="n">
        <v>44812.94709490741</v>
      </c>
      <c r="C885" s="1" t="n">
        <v>46106</v>
      </c>
      <c r="D885" t="inlineStr">
        <is>
          <t>JÄMTLANDS LÄN</t>
        </is>
      </c>
      <c r="E885" t="inlineStr">
        <is>
          <t>RAGUNDA</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12995-2023</t>
        </is>
      </c>
      <c r="B886" s="1" t="n">
        <v>45002.0328125</v>
      </c>
      <c r="C886" s="1" t="n">
        <v>46106</v>
      </c>
      <c r="D886" t="inlineStr">
        <is>
          <t>JÄMTLANDS LÄN</t>
        </is>
      </c>
      <c r="E886" t="inlineStr">
        <is>
          <t>RAGUNDA</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44755-2024</t>
        </is>
      </c>
      <c r="B887" s="1" t="n">
        <v>45574.61184027778</v>
      </c>
      <c r="C887" s="1" t="n">
        <v>46106</v>
      </c>
      <c r="D887" t="inlineStr">
        <is>
          <t>JÄMTLANDS LÄN</t>
        </is>
      </c>
      <c r="E887" t="inlineStr">
        <is>
          <t>RAGUNDA</t>
        </is>
      </c>
      <c r="G887" t="n">
        <v>4.4</v>
      </c>
      <c r="H887" t="n">
        <v>0</v>
      </c>
      <c r="I887" t="n">
        <v>0</v>
      </c>
      <c r="J887" t="n">
        <v>0</v>
      </c>
      <c r="K887" t="n">
        <v>0</v>
      </c>
      <c r="L887" t="n">
        <v>0</v>
      </c>
      <c r="M887" t="n">
        <v>0</v>
      </c>
      <c r="N887" t="n">
        <v>0</v>
      </c>
      <c r="O887" t="n">
        <v>0</v>
      </c>
      <c r="P887" t="n">
        <v>0</v>
      </c>
      <c r="Q887" t="n">
        <v>0</v>
      </c>
      <c r="R887" s="2" t="inlineStr"/>
    </row>
    <row r="888" ht="15" customHeight="1">
      <c r="A888" t="inlineStr">
        <is>
          <t>A 44766-2024</t>
        </is>
      </c>
      <c r="B888" s="1" t="n">
        <v>45574.62297453704</v>
      </c>
      <c r="C888" s="1" t="n">
        <v>46106</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16676-2022</t>
        </is>
      </c>
      <c r="B889" s="1" t="n">
        <v>44672.94018518519</v>
      </c>
      <c r="C889" s="1" t="n">
        <v>46106</v>
      </c>
      <c r="D889" t="inlineStr">
        <is>
          <t>JÄMTLANDS LÄN</t>
        </is>
      </c>
      <c r="E889" t="inlineStr">
        <is>
          <t>RAGUNDA</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55536-2024</t>
        </is>
      </c>
      <c r="B890" s="1" t="n">
        <v>45622</v>
      </c>
      <c r="C890" s="1" t="n">
        <v>46106</v>
      </c>
      <c r="D890" t="inlineStr">
        <is>
          <t>JÄMTLANDS LÄN</t>
        </is>
      </c>
      <c r="E890" t="inlineStr">
        <is>
          <t>RAGUNDA</t>
        </is>
      </c>
      <c r="G890" t="n">
        <v>0.8</v>
      </c>
      <c r="H890" t="n">
        <v>0</v>
      </c>
      <c r="I890" t="n">
        <v>0</v>
      </c>
      <c r="J890" t="n">
        <v>0</v>
      </c>
      <c r="K890" t="n">
        <v>0</v>
      </c>
      <c r="L890" t="n">
        <v>0</v>
      </c>
      <c r="M890" t="n">
        <v>0</v>
      </c>
      <c r="N890" t="n">
        <v>0</v>
      </c>
      <c r="O890" t="n">
        <v>0</v>
      </c>
      <c r="P890" t="n">
        <v>0</v>
      </c>
      <c r="Q890" t="n">
        <v>0</v>
      </c>
      <c r="R890" s="2" t="inlineStr"/>
    </row>
    <row r="891" ht="15" customHeight="1">
      <c r="A891" t="inlineStr">
        <is>
          <t>A 44597-2024</t>
        </is>
      </c>
      <c r="B891" s="1" t="n">
        <v>45574.51087962963</v>
      </c>
      <c r="C891" s="1" t="n">
        <v>46106</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44598-2024</t>
        </is>
      </c>
      <c r="B892" s="1" t="n">
        <v>45574.51090277778</v>
      </c>
      <c r="C892" s="1" t="n">
        <v>46106</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59499-2025</t>
        </is>
      </c>
      <c r="B893" s="1" t="n">
        <v>45989.61846064815</v>
      </c>
      <c r="C893" s="1" t="n">
        <v>46106</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59491-2025</t>
        </is>
      </c>
      <c r="B894" s="1" t="n">
        <v>45989.60376157407</v>
      </c>
      <c r="C894" s="1" t="n">
        <v>46106</v>
      </c>
      <c r="D894" t="inlineStr">
        <is>
          <t>JÄMTLANDS LÄN</t>
        </is>
      </c>
      <c r="E894" t="inlineStr">
        <is>
          <t>RAGUNDA</t>
        </is>
      </c>
      <c r="G894" t="n">
        <v>0.9</v>
      </c>
      <c r="H894" t="n">
        <v>0</v>
      </c>
      <c r="I894" t="n">
        <v>0</v>
      </c>
      <c r="J894" t="n">
        <v>0</v>
      </c>
      <c r="K894" t="n">
        <v>0</v>
      </c>
      <c r="L894" t="n">
        <v>0</v>
      </c>
      <c r="M894" t="n">
        <v>0</v>
      </c>
      <c r="N894" t="n">
        <v>0</v>
      </c>
      <c r="O894" t="n">
        <v>0</v>
      </c>
      <c r="P894" t="n">
        <v>0</v>
      </c>
      <c r="Q894" t="n">
        <v>0</v>
      </c>
      <c r="R894" s="2" t="inlineStr"/>
    </row>
    <row r="895" ht="15" customHeight="1">
      <c r="A895" t="inlineStr">
        <is>
          <t>A 59503-2025</t>
        </is>
      </c>
      <c r="B895" s="1" t="n">
        <v>45989.62703703704</v>
      </c>
      <c r="C895" s="1" t="n">
        <v>46106</v>
      </c>
      <c r="D895" t="inlineStr">
        <is>
          <t>JÄMTLANDS LÄN</t>
        </is>
      </c>
      <c r="E895" t="inlineStr">
        <is>
          <t>RAGUNDA</t>
        </is>
      </c>
      <c r="G895" t="n">
        <v>0.6</v>
      </c>
      <c r="H895" t="n">
        <v>0</v>
      </c>
      <c r="I895" t="n">
        <v>0</v>
      </c>
      <c r="J895" t="n">
        <v>0</v>
      </c>
      <c r="K895" t="n">
        <v>0</v>
      </c>
      <c r="L895" t="n">
        <v>0</v>
      </c>
      <c r="M895" t="n">
        <v>0</v>
      </c>
      <c r="N895" t="n">
        <v>0</v>
      </c>
      <c r="O895" t="n">
        <v>0</v>
      </c>
      <c r="P895" t="n">
        <v>0</v>
      </c>
      <c r="Q895" t="n">
        <v>0</v>
      </c>
      <c r="R895" s="2" t="inlineStr"/>
    </row>
    <row r="896" ht="15" customHeight="1">
      <c r="A896" t="inlineStr">
        <is>
          <t>A 59692-2025</t>
        </is>
      </c>
      <c r="B896" s="1" t="n">
        <v>45992.49001157407</v>
      </c>
      <c r="C896" s="1" t="n">
        <v>46106</v>
      </c>
      <c r="D896" t="inlineStr">
        <is>
          <t>JÄMTLANDS LÄN</t>
        </is>
      </c>
      <c r="E896" t="inlineStr">
        <is>
          <t>RAGUNDA</t>
        </is>
      </c>
      <c r="G896" t="n">
        <v>2.7</v>
      </c>
      <c r="H896" t="n">
        <v>0</v>
      </c>
      <c r="I896" t="n">
        <v>0</v>
      </c>
      <c r="J896" t="n">
        <v>0</v>
      </c>
      <c r="K896" t="n">
        <v>0</v>
      </c>
      <c r="L896" t="n">
        <v>0</v>
      </c>
      <c r="M896" t="n">
        <v>0</v>
      </c>
      <c r="N896" t="n">
        <v>0</v>
      </c>
      <c r="O896" t="n">
        <v>0</v>
      </c>
      <c r="P896" t="n">
        <v>0</v>
      </c>
      <c r="Q896" t="n">
        <v>0</v>
      </c>
      <c r="R896" s="2" t="inlineStr"/>
    </row>
    <row r="897" ht="15" customHeight="1">
      <c r="A897" t="inlineStr">
        <is>
          <t>A 59738-2025</t>
        </is>
      </c>
      <c r="B897" s="1" t="n">
        <v>45992.57408564815</v>
      </c>
      <c r="C897" s="1" t="n">
        <v>46106</v>
      </c>
      <c r="D897" t="inlineStr">
        <is>
          <t>JÄMTLANDS LÄN</t>
        </is>
      </c>
      <c r="E897" t="inlineStr">
        <is>
          <t>RAGUNDA</t>
        </is>
      </c>
      <c r="F897" t="inlineStr">
        <is>
          <t>SCA</t>
        </is>
      </c>
      <c r="G897" t="n">
        <v>12.5</v>
      </c>
      <c r="H897" t="n">
        <v>0</v>
      </c>
      <c r="I897" t="n">
        <v>0</v>
      </c>
      <c r="J897" t="n">
        <v>0</v>
      </c>
      <c r="K897" t="n">
        <v>0</v>
      </c>
      <c r="L897" t="n">
        <v>0</v>
      </c>
      <c r="M897" t="n">
        <v>0</v>
      </c>
      <c r="N897" t="n">
        <v>0</v>
      </c>
      <c r="O897" t="n">
        <v>0</v>
      </c>
      <c r="P897" t="n">
        <v>0</v>
      </c>
      <c r="Q897" t="n">
        <v>0</v>
      </c>
      <c r="R897" s="2" t="inlineStr"/>
    </row>
    <row r="898" ht="15" customHeight="1">
      <c r="A898" t="inlineStr">
        <is>
          <t>A 59739-2025</t>
        </is>
      </c>
      <c r="B898" s="1" t="n">
        <v>45992.57417824074</v>
      </c>
      <c r="C898" s="1" t="n">
        <v>46106</v>
      </c>
      <c r="D898" t="inlineStr">
        <is>
          <t>JÄMTLANDS LÄN</t>
        </is>
      </c>
      <c r="E898" t="inlineStr">
        <is>
          <t>RAGUNDA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18610-2024</t>
        </is>
      </c>
      <c r="B899" s="1" t="n">
        <v>45425.96230324074</v>
      </c>
      <c r="C899" s="1" t="n">
        <v>46106</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59740-2025</t>
        </is>
      </c>
      <c r="B900" s="1" t="n">
        <v>45992.5743287037</v>
      </c>
      <c r="C900" s="1" t="n">
        <v>46106</v>
      </c>
      <c r="D900" t="inlineStr">
        <is>
          <t>JÄMTLANDS LÄN</t>
        </is>
      </c>
      <c r="E900" t="inlineStr">
        <is>
          <t>RAGUNDA</t>
        </is>
      </c>
      <c r="F900" t="inlineStr">
        <is>
          <t>SCA</t>
        </is>
      </c>
      <c r="G900" t="n">
        <v>14.1</v>
      </c>
      <c r="H900" t="n">
        <v>0</v>
      </c>
      <c r="I900" t="n">
        <v>0</v>
      </c>
      <c r="J900" t="n">
        <v>0</v>
      </c>
      <c r="K900" t="n">
        <v>0</v>
      </c>
      <c r="L900" t="n">
        <v>0</v>
      </c>
      <c r="M900" t="n">
        <v>0</v>
      </c>
      <c r="N900" t="n">
        <v>0</v>
      </c>
      <c r="O900" t="n">
        <v>0</v>
      </c>
      <c r="P900" t="n">
        <v>0</v>
      </c>
      <c r="Q900" t="n">
        <v>0</v>
      </c>
      <c r="R900" s="2" t="inlineStr"/>
    </row>
    <row r="901" ht="15" customHeight="1">
      <c r="A901" t="inlineStr">
        <is>
          <t>A 57116-2024</t>
        </is>
      </c>
      <c r="B901" s="1" t="n">
        <v>45629.36513888889</v>
      </c>
      <c r="C901" s="1" t="n">
        <v>46106</v>
      </c>
      <c r="D901" t="inlineStr">
        <is>
          <t>JÄMTLANDS LÄN</t>
        </is>
      </c>
      <c r="E901" t="inlineStr">
        <is>
          <t>RAGUNDA</t>
        </is>
      </c>
      <c r="G901" t="n">
        <v>0.6</v>
      </c>
      <c r="H901" t="n">
        <v>0</v>
      </c>
      <c r="I901" t="n">
        <v>0</v>
      </c>
      <c r="J901" t="n">
        <v>0</v>
      </c>
      <c r="K901" t="n">
        <v>0</v>
      </c>
      <c r="L901" t="n">
        <v>0</v>
      </c>
      <c r="M901" t="n">
        <v>0</v>
      </c>
      <c r="N901" t="n">
        <v>0</v>
      </c>
      <c r="O901" t="n">
        <v>0</v>
      </c>
      <c r="P901" t="n">
        <v>0</v>
      </c>
      <c r="Q901" t="n">
        <v>0</v>
      </c>
      <c r="R901" s="2" t="inlineStr"/>
    </row>
    <row r="902" ht="15" customHeight="1">
      <c r="A902" t="inlineStr">
        <is>
          <t>A 59931-2025</t>
        </is>
      </c>
      <c r="B902" s="1" t="n">
        <v>45993.40177083333</v>
      </c>
      <c r="C902" s="1" t="n">
        <v>46106</v>
      </c>
      <c r="D902" t="inlineStr">
        <is>
          <t>JÄMTLANDS LÄN</t>
        </is>
      </c>
      <c r="E902" t="inlineStr">
        <is>
          <t>RAGUNDA</t>
        </is>
      </c>
      <c r="G902" t="n">
        <v>4</v>
      </c>
      <c r="H902" t="n">
        <v>0</v>
      </c>
      <c r="I902" t="n">
        <v>0</v>
      </c>
      <c r="J902" t="n">
        <v>0</v>
      </c>
      <c r="K902" t="n">
        <v>0</v>
      </c>
      <c r="L902" t="n">
        <v>0</v>
      </c>
      <c r="M902" t="n">
        <v>0</v>
      </c>
      <c r="N902" t="n">
        <v>0</v>
      </c>
      <c r="O902" t="n">
        <v>0</v>
      </c>
      <c r="P902" t="n">
        <v>0</v>
      </c>
      <c r="Q902" t="n">
        <v>0</v>
      </c>
      <c r="R902" s="2" t="inlineStr"/>
    </row>
    <row r="903" ht="15" customHeight="1">
      <c r="A903" t="inlineStr">
        <is>
          <t>A 59693-2025</t>
        </is>
      </c>
      <c r="B903" s="1" t="n">
        <v>45992.49009259259</v>
      </c>
      <c r="C903" s="1" t="n">
        <v>46106</v>
      </c>
      <c r="D903" t="inlineStr">
        <is>
          <t>JÄMTLANDS LÄN</t>
        </is>
      </c>
      <c r="E903" t="inlineStr">
        <is>
          <t>RAGUNDA</t>
        </is>
      </c>
      <c r="G903" t="n">
        <v>0.7</v>
      </c>
      <c r="H903" t="n">
        <v>0</v>
      </c>
      <c r="I903" t="n">
        <v>0</v>
      </c>
      <c r="J903" t="n">
        <v>0</v>
      </c>
      <c r="K903" t="n">
        <v>0</v>
      </c>
      <c r="L903" t="n">
        <v>0</v>
      </c>
      <c r="M903" t="n">
        <v>0</v>
      </c>
      <c r="N903" t="n">
        <v>0</v>
      </c>
      <c r="O903" t="n">
        <v>0</v>
      </c>
      <c r="P903" t="n">
        <v>0</v>
      </c>
      <c r="Q903" t="n">
        <v>0</v>
      </c>
      <c r="R903" s="2" t="inlineStr"/>
    </row>
    <row r="904" ht="15" customHeight="1">
      <c r="A904" t="inlineStr">
        <is>
          <t>A 3104-2025</t>
        </is>
      </c>
      <c r="B904" s="1" t="n">
        <v>45678.67761574074</v>
      </c>
      <c r="C904" s="1" t="n">
        <v>46106</v>
      </c>
      <c r="D904" t="inlineStr">
        <is>
          <t>JÄMTLANDS LÄN</t>
        </is>
      </c>
      <c r="E904" t="inlineStr">
        <is>
          <t>RAGUNDA</t>
        </is>
      </c>
      <c r="F904" t="inlineStr">
        <is>
          <t>SCA</t>
        </is>
      </c>
      <c r="G904" t="n">
        <v>46.2</v>
      </c>
      <c r="H904" t="n">
        <v>0</v>
      </c>
      <c r="I904" t="n">
        <v>0</v>
      </c>
      <c r="J904" t="n">
        <v>0</v>
      </c>
      <c r="K904" t="n">
        <v>0</v>
      </c>
      <c r="L904" t="n">
        <v>0</v>
      </c>
      <c r="M904" t="n">
        <v>0</v>
      </c>
      <c r="N904" t="n">
        <v>0</v>
      </c>
      <c r="O904" t="n">
        <v>0</v>
      </c>
      <c r="P904" t="n">
        <v>0</v>
      </c>
      <c r="Q904" t="n">
        <v>0</v>
      </c>
      <c r="R904" s="2" t="inlineStr"/>
    </row>
    <row r="905" ht="15" customHeight="1">
      <c r="A905" t="inlineStr">
        <is>
          <t>A 60062-2025</t>
        </is>
      </c>
      <c r="B905" s="1" t="n">
        <v>45993.65694444445</v>
      </c>
      <c r="C905" s="1" t="n">
        <v>46106</v>
      </c>
      <c r="D905" t="inlineStr">
        <is>
          <t>JÄMTLANDS LÄN</t>
        </is>
      </c>
      <c r="E905" t="inlineStr">
        <is>
          <t>RAGUNDA</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40246-2024</t>
        </is>
      </c>
      <c r="B906" s="1" t="n">
        <v>45554.61583333334</v>
      </c>
      <c r="C906" s="1" t="n">
        <v>46106</v>
      </c>
      <c r="D906" t="inlineStr">
        <is>
          <t>JÄMTLANDS LÄN</t>
        </is>
      </c>
      <c r="E906" t="inlineStr">
        <is>
          <t>RAGUNDA</t>
        </is>
      </c>
      <c r="G906" t="n">
        <v>1</v>
      </c>
      <c r="H906" t="n">
        <v>0</v>
      </c>
      <c r="I906" t="n">
        <v>0</v>
      </c>
      <c r="J906" t="n">
        <v>0</v>
      </c>
      <c r="K906" t="n">
        <v>0</v>
      </c>
      <c r="L906" t="n">
        <v>0</v>
      </c>
      <c r="M906" t="n">
        <v>0</v>
      </c>
      <c r="N906" t="n">
        <v>0</v>
      </c>
      <c r="O906" t="n">
        <v>0</v>
      </c>
      <c r="P906" t="n">
        <v>0</v>
      </c>
      <c r="Q906" t="n">
        <v>0</v>
      </c>
      <c r="R906" s="2" t="inlineStr"/>
    </row>
    <row r="907" ht="15" customHeight="1">
      <c r="A907" t="inlineStr">
        <is>
          <t>A 60128-2025</t>
        </is>
      </c>
      <c r="B907" s="1" t="n">
        <v>45994.34456018519</v>
      </c>
      <c r="C907" s="1" t="n">
        <v>46106</v>
      </c>
      <c r="D907" t="inlineStr">
        <is>
          <t>JÄMTLANDS LÄN</t>
        </is>
      </c>
      <c r="E907" t="inlineStr">
        <is>
          <t>RAGUNDA</t>
        </is>
      </c>
      <c r="G907" t="n">
        <v>7.1</v>
      </c>
      <c r="H907" t="n">
        <v>0</v>
      </c>
      <c r="I907" t="n">
        <v>0</v>
      </c>
      <c r="J907" t="n">
        <v>0</v>
      </c>
      <c r="K907" t="n">
        <v>0</v>
      </c>
      <c r="L907" t="n">
        <v>0</v>
      </c>
      <c r="M907" t="n">
        <v>0</v>
      </c>
      <c r="N907" t="n">
        <v>0</v>
      </c>
      <c r="O907" t="n">
        <v>0</v>
      </c>
      <c r="P907" t="n">
        <v>0</v>
      </c>
      <c r="Q907" t="n">
        <v>0</v>
      </c>
      <c r="R907" s="2" t="inlineStr"/>
    </row>
    <row r="908" ht="15" customHeight="1">
      <c r="A908" t="inlineStr">
        <is>
          <t>A 4878-2022</t>
        </is>
      </c>
      <c r="B908" s="1" t="n">
        <v>44593</v>
      </c>
      <c r="C908" s="1" t="n">
        <v>46106</v>
      </c>
      <c r="D908" t="inlineStr">
        <is>
          <t>JÄMTLANDS LÄN</t>
        </is>
      </c>
      <c r="E908" t="inlineStr">
        <is>
          <t>RAGUNDA</t>
        </is>
      </c>
      <c r="G908" t="n">
        <v>21.7</v>
      </c>
      <c r="H908" t="n">
        <v>0</v>
      </c>
      <c r="I908" t="n">
        <v>0</v>
      </c>
      <c r="J908" t="n">
        <v>0</v>
      </c>
      <c r="K908" t="n">
        <v>0</v>
      </c>
      <c r="L908" t="n">
        <v>0</v>
      </c>
      <c r="M908" t="n">
        <v>0</v>
      </c>
      <c r="N908" t="n">
        <v>0</v>
      </c>
      <c r="O908" t="n">
        <v>0</v>
      </c>
      <c r="P908" t="n">
        <v>0</v>
      </c>
      <c r="Q908" t="n">
        <v>0</v>
      </c>
      <c r="R908" s="2" t="inlineStr"/>
    </row>
    <row r="909" ht="15" customHeight="1">
      <c r="A909" t="inlineStr">
        <is>
          <t>A 57237-2022</t>
        </is>
      </c>
      <c r="B909" s="1" t="n">
        <v>44889</v>
      </c>
      <c r="C909" s="1" t="n">
        <v>46106</v>
      </c>
      <c r="D909" t="inlineStr">
        <is>
          <t>JÄMTLANDS LÄN</t>
        </is>
      </c>
      <c r="E909" t="inlineStr">
        <is>
          <t>RAGUNDA</t>
        </is>
      </c>
      <c r="G909" t="n">
        <v>2.2</v>
      </c>
      <c r="H909" t="n">
        <v>0</v>
      </c>
      <c r="I909" t="n">
        <v>0</v>
      </c>
      <c r="J909" t="n">
        <v>0</v>
      </c>
      <c r="K909" t="n">
        <v>0</v>
      </c>
      <c r="L909" t="n">
        <v>0</v>
      </c>
      <c r="M909" t="n">
        <v>0</v>
      </c>
      <c r="N909" t="n">
        <v>0</v>
      </c>
      <c r="O909" t="n">
        <v>0</v>
      </c>
      <c r="P909" t="n">
        <v>0</v>
      </c>
      <c r="Q909" t="n">
        <v>0</v>
      </c>
      <c r="R909" s="2" t="inlineStr"/>
    </row>
    <row r="910" ht="15" customHeight="1">
      <c r="A910" t="inlineStr">
        <is>
          <t>A 60389-2025</t>
        </is>
      </c>
      <c r="B910" s="1" t="n">
        <v>45995.38628472222</v>
      </c>
      <c r="C910" s="1" t="n">
        <v>46106</v>
      </c>
      <c r="D910" t="inlineStr">
        <is>
          <t>JÄMTLANDS LÄN</t>
        </is>
      </c>
      <c r="E910" t="inlineStr">
        <is>
          <t>RAGUNDA</t>
        </is>
      </c>
      <c r="G910" t="n">
        <v>3.3</v>
      </c>
      <c r="H910" t="n">
        <v>0</v>
      </c>
      <c r="I910" t="n">
        <v>0</v>
      </c>
      <c r="J910" t="n">
        <v>0</v>
      </c>
      <c r="K910" t="n">
        <v>0</v>
      </c>
      <c r="L910" t="n">
        <v>0</v>
      </c>
      <c r="M910" t="n">
        <v>0</v>
      </c>
      <c r="N910" t="n">
        <v>0</v>
      </c>
      <c r="O910" t="n">
        <v>0</v>
      </c>
      <c r="P910" t="n">
        <v>0</v>
      </c>
      <c r="Q910" t="n">
        <v>0</v>
      </c>
      <c r="R910" s="2" t="inlineStr"/>
    </row>
    <row r="911" ht="15" customHeight="1">
      <c r="A911" t="inlineStr">
        <is>
          <t>A 60387-2025</t>
        </is>
      </c>
      <c r="B911" s="1" t="n">
        <v>45995.38611111111</v>
      </c>
      <c r="C911" s="1" t="n">
        <v>46106</v>
      </c>
      <c r="D911" t="inlineStr">
        <is>
          <t>JÄMTLANDS LÄN</t>
        </is>
      </c>
      <c r="E911" t="inlineStr">
        <is>
          <t>RAGUNDA</t>
        </is>
      </c>
      <c r="G911" t="n">
        <v>8.5</v>
      </c>
      <c r="H911" t="n">
        <v>0</v>
      </c>
      <c r="I911" t="n">
        <v>0</v>
      </c>
      <c r="J911" t="n">
        <v>0</v>
      </c>
      <c r="K911" t="n">
        <v>0</v>
      </c>
      <c r="L911" t="n">
        <v>0</v>
      </c>
      <c r="M911" t="n">
        <v>0</v>
      </c>
      <c r="N911" t="n">
        <v>0</v>
      </c>
      <c r="O911" t="n">
        <v>0</v>
      </c>
      <c r="P911" t="n">
        <v>0</v>
      </c>
      <c r="Q911" t="n">
        <v>0</v>
      </c>
      <c r="R911" s="2" t="inlineStr"/>
    </row>
    <row r="912" ht="15" customHeight="1">
      <c r="A912" t="inlineStr">
        <is>
          <t>A 60307-2025</t>
        </is>
      </c>
      <c r="B912" s="1" t="n">
        <v>45994.6842824074</v>
      </c>
      <c r="C912" s="1" t="n">
        <v>46106</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2133-2023</t>
        </is>
      </c>
      <c r="B913" s="1" t="n">
        <v>44939</v>
      </c>
      <c r="C913" s="1" t="n">
        <v>46106</v>
      </c>
      <c r="D913" t="inlineStr">
        <is>
          <t>JÄMTLANDS LÄN</t>
        </is>
      </c>
      <c r="E913" t="inlineStr">
        <is>
          <t>RAGUNDA</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60130-2025</t>
        </is>
      </c>
      <c r="B914" s="1" t="n">
        <v>45994.34467592592</v>
      </c>
      <c r="C914" s="1" t="n">
        <v>46106</v>
      </c>
      <c r="D914" t="inlineStr">
        <is>
          <t>JÄMTLANDS LÄN</t>
        </is>
      </c>
      <c r="E914" t="inlineStr">
        <is>
          <t>RAGUNDA</t>
        </is>
      </c>
      <c r="G914" t="n">
        <v>4.9</v>
      </c>
      <c r="H914" t="n">
        <v>0</v>
      </c>
      <c r="I914" t="n">
        <v>0</v>
      </c>
      <c r="J914" t="n">
        <v>0</v>
      </c>
      <c r="K914" t="n">
        <v>0</v>
      </c>
      <c r="L914" t="n">
        <v>0</v>
      </c>
      <c r="M914" t="n">
        <v>0</v>
      </c>
      <c r="N914" t="n">
        <v>0</v>
      </c>
      <c r="O914" t="n">
        <v>0</v>
      </c>
      <c r="P914" t="n">
        <v>0</v>
      </c>
      <c r="Q914" t="n">
        <v>0</v>
      </c>
      <c r="R914" s="2" t="inlineStr"/>
    </row>
    <row r="915" ht="15" customHeight="1">
      <c r="A915" t="inlineStr">
        <is>
          <t>A 19419-2024</t>
        </is>
      </c>
      <c r="B915" s="1" t="n">
        <v>45429</v>
      </c>
      <c r="C915" s="1" t="n">
        <v>46106</v>
      </c>
      <c r="D915" t="inlineStr">
        <is>
          <t>JÄMTLANDS LÄN</t>
        </is>
      </c>
      <c r="E915" t="inlineStr">
        <is>
          <t>RAGUNDA</t>
        </is>
      </c>
      <c r="G915" t="n">
        <v>3.5</v>
      </c>
      <c r="H915" t="n">
        <v>0</v>
      </c>
      <c r="I915" t="n">
        <v>0</v>
      </c>
      <c r="J915" t="n">
        <v>0</v>
      </c>
      <c r="K915" t="n">
        <v>0</v>
      </c>
      <c r="L915" t="n">
        <v>0</v>
      </c>
      <c r="M915" t="n">
        <v>0</v>
      </c>
      <c r="N915" t="n">
        <v>0</v>
      </c>
      <c r="O915" t="n">
        <v>0</v>
      </c>
      <c r="P915" t="n">
        <v>0</v>
      </c>
      <c r="Q915" t="n">
        <v>0</v>
      </c>
      <c r="R915" s="2" t="inlineStr"/>
    </row>
    <row r="916" ht="15" customHeight="1">
      <c r="A916" t="inlineStr">
        <is>
          <t>A 60775-2025</t>
        </is>
      </c>
      <c r="B916" s="1" t="n">
        <v>45999.3905787037</v>
      </c>
      <c r="C916" s="1" t="n">
        <v>46106</v>
      </c>
      <c r="D916" t="inlineStr">
        <is>
          <t>JÄMTLANDS LÄN</t>
        </is>
      </c>
      <c r="E916" t="inlineStr">
        <is>
          <t>RAGUNDA</t>
        </is>
      </c>
      <c r="G916" t="n">
        <v>15.7</v>
      </c>
      <c r="H916" t="n">
        <v>0</v>
      </c>
      <c r="I916" t="n">
        <v>0</v>
      </c>
      <c r="J916" t="n">
        <v>0</v>
      </c>
      <c r="K916" t="n">
        <v>0</v>
      </c>
      <c r="L916" t="n">
        <v>0</v>
      </c>
      <c r="M916" t="n">
        <v>0</v>
      </c>
      <c r="N916" t="n">
        <v>0</v>
      </c>
      <c r="O916" t="n">
        <v>0</v>
      </c>
      <c r="P916" t="n">
        <v>0</v>
      </c>
      <c r="Q916" t="n">
        <v>0</v>
      </c>
      <c r="R916" s="2" t="inlineStr"/>
    </row>
    <row r="917" ht="15" customHeight="1">
      <c r="A917" t="inlineStr">
        <is>
          <t>A 60760-2025</t>
        </is>
      </c>
      <c r="B917" s="1" t="n">
        <v>45999.38597222222</v>
      </c>
      <c r="C917" s="1" t="n">
        <v>46106</v>
      </c>
      <c r="D917" t="inlineStr">
        <is>
          <t>JÄMTLANDS LÄN</t>
        </is>
      </c>
      <c r="E917" t="inlineStr">
        <is>
          <t>RAGUNDA</t>
        </is>
      </c>
      <c r="F917" t="inlineStr">
        <is>
          <t>SCA</t>
        </is>
      </c>
      <c r="G917" t="n">
        <v>5.6</v>
      </c>
      <c r="H917" t="n">
        <v>0</v>
      </c>
      <c r="I917" t="n">
        <v>0</v>
      </c>
      <c r="J917" t="n">
        <v>0</v>
      </c>
      <c r="K917" t="n">
        <v>0</v>
      </c>
      <c r="L917" t="n">
        <v>0</v>
      </c>
      <c r="M917" t="n">
        <v>0</v>
      </c>
      <c r="N917" t="n">
        <v>0</v>
      </c>
      <c r="O917" t="n">
        <v>0</v>
      </c>
      <c r="P917" t="n">
        <v>0</v>
      </c>
      <c r="Q917" t="n">
        <v>0</v>
      </c>
      <c r="R917" s="2" t="inlineStr"/>
    </row>
    <row r="918" ht="15" customHeight="1">
      <c r="A918" t="inlineStr">
        <is>
          <t>A 60630-2025</t>
        </is>
      </c>
      <c r="B918" s="1" t="n">
        <v>45996.42120370371</v>
      </c>
      <c r="C918" s="1" t="n">
        <v>46106</v>
      </c>
      <c r="D918" t="inlineStr">
        <is>
          <t>JÄMTLANDS LÄN</t>
        </is>
      </c>
      <c r="E918" t="inlineStr">
        <is>
          <t>RAGUNDA</t>
        </is>
      </c>
      <c r="G918" t="n">
        <v>13.2</v>
      </c>
      <c r="H918" t="n">
        <v>0</v>
      </c>
      <c r="I918" t="n">
        <v>0</v>
      </c>
      <c r="J918" t="n">
        <v>0</v>
      </c>
      <c r="K918" t="n">
        <v>0</v>
      </c>
      <c r="L918" t="n">
        <v>0</v>
      </c>
      <c r="M918" t="n">
        <v>0</v>
      </c>
      <c r="N918" t="n">
        <v>0</v>
      </c>
      <c r="O918" t="n">
        <v>0</v>
      </c>
      <c r="P918" t="n">
        <v>0</v>
      </c>
      <c r="Q918" t="n">
        <v>0</v>
      </c>
      <c r="R918" s="2" t="inlineStr"/>
    </row>
    <row r="919" ht="15" customHeight="1">
      <c r="A919" t="inlineStr">
        <is>
          <t>A 19383-2025</t>
        </is>
      </c>
      <c r="B919" s="1" t="n">
        <v>45769.65688657408</v>
      </c>
      <c r="C919" s="1" t="n">
        <v>46106</v>
      </c>
      <c r="D919" t="inlineStr">
        <is>
          <t>JÄMTLANDS LÄN</t>
        </is>
      </c>
      <c r="E919" t="inlineStr">
        <is>
          <t>RAGUNDA</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49229-2024</t>
        </is>
      </c>
      <c r="B920" s="1" t="n">
        <v>45595.42738425926</v>
      </c>
      <c r="C920" s="1" t="n">
        <v>46106</v>
      </c>
      <c r="D920" t="inlineStr">
        <is>
          <t>JÄMTLANDS LÄN</t>
        </is>
      </c>
      <c r="E920" t="inlineStr">
        <is>
          <t>RAGUNDA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13700-2023</t>
        </is>
      </c>
      <c r="B921" s="1" t="n">
        <v>45006</v>
      </c>
      <c r="C921" s="1" t="n">
        <v>46106</v>
      </c>
      <c r="D921" t="inlineStr">
        <is>
          <t>JÄMTLANDS LÄN</t>
        </is>
      </c>
      <c r="E921" t="inlineStr">
        <is>
          <t>RAGUNDA</t>
        </is>
      </c>
      <c r="F921" t="inlineStr">
        <is>
          <t>SCA</t>
        </is>
      </c>
      <c r="G921" t="n">
        <v>50.3</v>
      </c>
      <c r="H921" t="n">
        <v>0</v>
      </c>
      <c r="I921" t="n">
        <v>0</v>
      </c>
      <c r="J921" t="n">
        <v>0</v>
      </c>
      <c r="K921" t="n">
        <v>0</v>
      </c>
      <c r="L921" t="n">
        <v>0</v>
      </c>
      <c r="M921" t="n">
        <v>0</v>
      </c>
      <c r="N921" t="n">
        <v>0</v>
      </c>
      <c r="O921" t="n">
        <v>0</v>
      </c>
      <c r="P921" t="n">
        <v>0</v>
      </c>
      <c r="Q921" t="n">
        <v>0</v>
      </c>
      <c r="R921" s="2" t="inlineStr"/>
    </row>
    <row r="922" ht="15" customHeight="1">
      <c r="A922" t="inlineStr">
        <is>
          <t>A 51389-2024</t>
        </is>
      </c>
      <c r="B922" s="1" t="n">
        <v>45604.40540509259</v>
      </c>
      <c r="C922" s="1" t="n">
        <v>46106</v>
      </c>
      <c r="D922" t="inlineStr">
        <is>
          <t>JÄMTLANDS LÄN</t>
        </is>
      </c>
      <c r="E922" t="inlineStr">
        <is>
          <t>RAGUNDA</t>
        </is>
      </c>
      <c r="G922" t="n">
        <v>1.7</v>
      </c>
      <c r="H922" t="n">
        <v>0</v>
      </c>
      <c r="I922" t="n">
        <v>0</v>
      </c>
      <c r="J922" t="n">
        <v>0</v>
      </c>
      <c r="K922" t="n">
        <v>0</v>
      </c>
      <c r="L922" t="n">
        <v>0</v>
      </c>
      <c r="M922" t="n">
        <v>0</v>
      </c>
      <c r="N922" t="n">
        <v>0</v>
      </c>
      <c r="O922" t="n">
        <v>0</v>
      </c>
      <c r="P922" t="n">
        <v>0</v>
      </c>
      <c r="Q922" t="n">
        <v>0</v>
      </c>
      <c r="R922" s="2" t="inlineStr"/>
    </row>
    <row r="923" ht="15" customHeight="1">
      <c r="A923" t="inlineStr">
        <is>
          <t>A 51393-2024</t>
        </is>
      </c>
      <c r="B923" s="1" t="n">
        <v>45604.41625</v>
      </c>
      <c r="C923" s="1" t="n">
        <v>46106</v>
      </c>
      <c r="D923" t="inlineStr">
        <is>
          <t>JÄMTLANDS LÄN</t>
        </is>
      </c>
      <c r="E923" t="inlineStr">
        <is>
          <t>RAGUNDA</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61233-2025</t>
        </is>
      </c>
      <c r="B924" s="1" t="n">
        <v>46000.6359837963</v>
      </c>
      <c r="C924" s="1" t="n">
        <v>46106</v>
      </c>
      <c r="D924" t="inlineStr">
        <is>
          <t>JÄMTLANDS LÄN</t>
        </is>
      </c>
      <c r="E924" t="inlineStr">
        <is>
          <t>RAGUNDA</t>
        </is>
      </c>
      <c r="F924" t="inlineStr">
        <is>
          <t>SCA</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61509-2025</t>
        </is>
      </c>
      <c r="B925" s="1" t="n">
        <v>46001.68189814815</v>
      </c>
      <c r="C925" s="1" t="n">
        <v>46106</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61266-2025</t>
        </is>
      </c>
      <c r="B926" s="1" t="n">
        <v>46000.67784722222</v>
      </c>
      <c r="C926" s="1" t="n">
        <v>46106</v>
      </c>
      <c r="D926" t="inlineStr">
        <is>
          <t>JÄMTLANDS LÄN</t>
        </is>
      </c>
      <c r="E926" t="inlineStr">
        <is>
          <t>RAGUNDA</t>
        </is>
      </c>
      <c r="G926" t="n">
        <v>7.9</v>
      </c>
      <c r="H926" t="n">
        <v>0</v>
      </c>
      <c r="I926" t="n">
        <v>0</v>
      </c>
      <c r="J926" t="n">
        <v>0</v>
      </c>
      <c r="K926" t="n">
        <v>0</v>
      </c>
      <c r="L926" t="n">
        <v>0</v>
      </c>
      <c r="M926" t="n">
        <v>0</v>
      </c>
      <c r="N926" t="n">
        <v>0</v>
      </c>
      <c r="O926" t="n">
        <v>0</v>
      </c>
      <c r="P926" t="n">
        <v>0</v>
      </c>
      <c r="Q926" t="n">
        <v>0</v>
      </c>
      <c r="R926" s="2" t="inlineStr"/>
    </row>
    <row r="927" ht="15" customHeight="1">
      <c r="A927" t="inlineStr">
        <is>
          <t>A 20987-2023</t>
        </is>
      </c>
      <c r="B927" s="1" t="n">
        <v>45056</v>
      </c>
      <c r="C927" s="1" t="n">
        <v>46106</v>
      </c>
      <c r="D927" t="inlineStr">
        <is>
          <t>JÄMTLANDS LÄN</t>
        </is>
      </c>
      <c r="E927" t="inlineStr">
        <is>
          <t>RAGUNDA</t>
        </is>
      </c>
      <c r="G927" t="n">
        <v>1.1</v>
      </c>
      <c r="H927" t="n">
        <v>0</v>
      </c>
      <c r="I927" t="n">
        <v>0</v>
      </c>
      <c r="J927" t="n">
        <v>0</v>
      </c>
      <c r="K927" t="n">
        <v>0</v>
      </c>
      <c r="L927" t="n">
        <v>0</v>
      </c>
      <c r="M927" t="n">
        <v>0</v>
      </c>
      <c r="N927" t="n">
        <v>0</v>
      </c>
      <c r="O927" t="n">
        <v>0</v>
      </c>
      <c r="P927" t="n">
        <v>0</v>
      </c>
      <c r="Q927" t="n">
        <v>0</v>
      </c>
      <c r="R927" s="2" t="inlineStr"/>
    </row>
    <row r="928" ht="15" customHeight="1">
      <c r="A928" t="inlineStr">
        <is>
          <t>A 20994-2023</t>
        </is>
      </c>
      <c r="B928" s="1" t="n">
        <v>45056</v>
      </c>
      <c r="C928" s="1" t="n">
        <v>46106</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55669-2023</t>
        </is>
      </c>
      <c r="B929" s="1" t="n">
        <v>45238.96797453704</v>
      </c>
      <c r="C929" s="1" t="n">
        <v>46106</v>
      </c>
      <c r="D929" t="inlineStr">
        <is>
          <t>JÄMTLANDS LÄN</t>
        </is>
      </c>
      <c r="E929" t="inlineStr">
        <is>
          <t>RAGUNDA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61755-2025</t>
        </is>
      </c>
      <c r="B930" s="1" t="n">
        <v>46002</v>
      </c>
      <c r="C930" s="1" t="n">
        <v>46106</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32063-2024</t>
        </is>
      </c>
      <c r="B931" s="1" t="n">
        <v>45510</v>
      </c>
      <c r="C931" s="1" t="n">
        <v>46106</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10641-2024</t>
        </is>
      </c>
      <c r="B932" s="1" t="n">
        <v>45367.69850694444</v>
      </c>
      <c r="C932" s="1" t="n">
        <v>46106</v>
      </c>
      <c r="D932" t="inlineStr">
        <is>
          <t>JÄMTLANDS LÄN</t>
        </is>
      </c>
      <c r="E932" t="inlineStr">
        <is>
          <t>RAGUNDA</t>
        </is>
      </c>
      <c r="G932" t="n">
        <v>0.9</v>
      </c>
      <c r="H932" t="n">
        <v>0</v>
      </c>
      <c r="I932" t="n">
        <v>0</v>
      </c>
      <c r="J932" t="n">
        <v>0</v>
      </c>
      <c r="K932" t="n">
        <v>0</v>
      </c>
      <c r="L932" t="n">
        <v>0</v>
      </c>
      <c r="M932" t="n">
        <v>0</v>
      </c>
      <c r="N932" t="n">
        <v>0</v>
      </c>
      <c r="O932" t="n">
        <v>0</v>
      </c>
      <c r="P932" t="n">
        <v>0</v>
      </c>
      <c r="Q932" t="n">
        <v>0</v>
      </c>
      <c r="R932" s="2" t="inlineStr"/>
    </row>
    <row r="933" ht="15" customHeight="1">
      <c r="A933" t="inlineStr">
        <is>
          <t>A 10644-2024</t>
        </is>
      </c>
      <c r="B933" s="1" t="n">
        <v>45367.71348379629</v>
      </c>
      <c r="C933" s="1" t="n">
        <v>46106</v>
      </c>
      <c r="D933" t="inlineStr">
        <is>
          <t>JÄMTLANDS LÄN</t>
        </is>
      </c>
      <c r="E933" t="inlineStr">
        <is>
          <t>RAGUNDA</t>
        </is>
      </c>
      <c r="G933" t="n">
        <v>2</v>
      </c>
      <c r="H933" t="n">
        <v>0</v>
      </c>
      <c r="I933" t="n">
        <v>0</v>
      </c>
      <c r="J933" t="n">
        <v>0</v>
      </c>
      <c r="K933" t="n">
        <v>0</v>
      </c>
      <c r="L933" t="n">
        <v>0</v>
      </c>
      <c r="M933" t="n">
        <v>0</v>
      </c>
      <c r="N933" t="n">
        <v>0</v>
      </c>
      <c r="O933" t="n">
        <v>0</v>
      </c>
      <c r="P933" t="n">
        <v>0</v>
      </c>
      <c r="Q933" t="n">
        <v>0</v>
      </c>
      <c r="R933" s="2" t="inlineStr"/>
    </row>
    <row r="934" ht="15" customHeight="1">
      <c r="A934" t="inlineStr">
        <is>
          <t>A 3841-2026</t>
        </is>
      </c>
      <c r="B934" s="1" t="n">
        <v>46043</v>
      </c>
      <c r="C934" s="1" t="n">
        <v>46106</v>
      </c>
      <c r="D934" t="inlineStr">
        <is>
          <t>JÄMTLANDS LÄN</t>
        </is>
      </c>
      <c r="E934" t="inlineStr">
        <is>
          <t>RAGUNDA</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20426-2024</t>
        </is>
      </c>
      <c r="B935" s="1" t="n">
        <v>45435</v>
      </c>
      <c r="C935" s="1" t="n">
        <v>46106</v>
      </c>
      <c r="D935" t="inlineStr">
        <is>
          <t>JÄMTLANDS LÄN</t>
        </is>
      </c>
      <c r="E935" t="inlineStr">
        <is>
          <t>RAGUNDA</t>
        </is>
      </c>
      <c r="G935" t="n">
        <v>2.1</v>
      </c>
      <c r="H935" t="n">
        <v>0</v>
      </c>
      <c r="I935" t="n">
        <v>0</v>
      </c>
      <c r="J935" t="n">
        <v>0</v>
      </c>
      <c r="K935" t="n">
        <v>0</v>
      </c>
      <c r="L935" t="n">
        <v>0</v>
      </c>
      <c r="M935" t="n">
        <v>0</v>
      </c>
      <c r="N935" t="n">
        <v>0</v>
      </c>
      <c r="O935" t="n">
        <v>0</v>
      </c>
      <c r="P935" t="n">
        <v>0</v>
      </c>
      <c r="Q935" t="n">
        <v>0</v>
      </c>
      <c r="R935" s="2" t="inlineStr"/>
    </row>
    <row r="936" ht="15" customHeight="1">
      <c r="A936" t="inlineStr">
        <is>
          <t>A 17742-2022</t>
        </is>
      </c>
      <c r="B936" s="1" t="n">
        <v>44680.95246527778</v>
      </c>
      <c r="C936" s="1" t="n">
        <v>46106</v>
      </c>
      <c r="D936" t="inlineStr">
        <is>
          <t>JÄMTLANDS LÄN</t>
        </is>
      </c>
      <c r="E936" t="inlineStr">
        <is>
          <t>RAGUNDA</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61697-2025</t>
        </is>
      </c>
      <c r="B937" s="1" t="n">
        <v>46002</v>
      </c>
      <c r="C937" s="1" t="n">
        <v>46106</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62490-2025</t>
        </is>
      </c>
      <c r="B938" s="1" t="n">
        <v>46007.5697337963</v>
      </c>
      <c r="C938" s="1" t="n">
        <v>46106</v>
      </c>
      <c r="D938" t="inlineStr">
        <is>
          <t>JÄMTLANDS LÄN</t>
        </is>
      </c>
      <c r="E938" t="inlineStr">
        <is>
          <t>RAGUNDA</t>
        </is>
      </c>
      <c r="F938" t="inlineStr">
        <is>
          <t>Kommuner</t>
        </is>
      </c>
      <c r="G938" t="n">
        <v>0.8</v>
      </c>
      <c r="H938" t="n">
        <v>0</v>
      </c>
      <c r="I938" t="n">
        <v>0</v>
      </c>
      <c r="J938" t="n">
        <v>0</v>
      </c>
      <c r="K938" t="n">
        <v>0</v>
      </c>
      <c r="L938" t="n">
        <v>0</v>
      </c>
      <c r="M938" t="n">
        <v>0</v>
      </c>
      <c r="N938" t="n">
        <v>0</v>
      </c>
      <c r="O938" t="n">
        <v>0</v>
      </c>
      <c r="P938" t="n">
        <v>0</v>
      </c>
      <c r="Q938" t="n">
        <v>0</v>
      </c>
      <c r="R938" s="2" t="inlineStr"/>
    </row>
    <row r="939" ht="15" customHeight="1">
      <c r="A939" t="inlineStr">
        <is>
          <t>A 30825-2023</t>
        </is>
      </c>
      <c r="B939" s="1" t="n">
        <v>45112.94310185185</v>
      </c>
      <c r="C939" s="1" t="n">
        <v>46106</v>
      </c>
      <c r="D939" t="inlineStr">
        <is>
          <t>JÄMTLANDS LÄN</t>
        </is>
      </c>
      <c r="E939" t="inlineStr">
        <is>
          <t>RAGUNDA</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62436-2025</t>
        </is>
      </c>
      <c r="B940" s="1" t="n">
        <v>46007</v>
      </c>
      <c r="C940" s="1" t="n">
        <v>46106</v>
      </c>
      <c r="D940" t="inlineStr">
        <is>
          <t>JÄMTLANDS LÄN</t>
        </is>
      </c>
      <c r="E940" t="inlineStr">
        <is>
          <t>RAGUNDA</t>
        </is>
      </c>
      <c r="G940" t="n">
        <v>0.7</v>
      </c>
      <c r="H940" t="n">
        <v>0</v>
      </c>
      <c r="I940" t="n">
        <v>0</v>
      </c>
      <c r="J940" t="n">
        <v>0</v>
      </c>
      <c r="K940" t="n">
        <v>0</v>
      </c>
      <c r="L940" t="n">
        <v>0</v>
      </c>
      <c r="M940" t="n">
        <v>0</v>
      </c>
      <c r="N940" t="n">
        <v>0</v>
      </c>
      <c r="O940" t="n">
        <v>0</v>
      </c>
      <c r="P940" t="n">
        <v>0</v>
      </c>
      <c r="Q940" t="n">
        <v>0</v>
      </c>
      <c r="R940" s="2" t="inlineStr"/>
    </row>
    <row r="941" ht="15" customHeight="1">
      <c r="A941" t="inlineStr">
        <is>
          <t>A 62432-2025</t>
        </is>
      </c>
      <c r="B941" s="1" t="n">
        <v>46007</v>
      </c>
      <c r="C941" s="1" t="n">
        <v>46106</v>
      </c>
      <c r="D941" t="inlineStr">
        <is>
          <t>JÄMTLANDS LÄN</t>
        </is>
      </c>
      <c r="E941" t="inlineStr">
        <is>
          <t>RAGUNDA</t>
        </is>
      </c>
      <c r="G941" t="n">
        <v>4.7</v>
      </c>
      <c r="H941" t="n">
        <v>0</v>
      </c>
      <c r="I941" t="n">
        <v>0</v>
      </c>
      <c r="J941" t="n">
        <v>0</v>
      </c>
      <c r="K941" t="n">
        <v>0</v>
      </c>
      <c r="L941" t="n">
        <v>0</v>
      </c>
      <c r="M941" t="n">
        <v>0</v>
      </c>
      <c r="N941" t="n">
        <v>0</v>
      </c>
      <c r="O941" t="n">
        <v>0</v>
      </c>
      <c r="P941" t="n">
        <v>0</v>
      </c>
      <c r="Q941" t="n">
        <v>0</v>
      </c>
      <c r="R941" s="2" t="inlineStr"/>
    </row>
    <row r="942" ht="15" customHeight="1">
      <c r="A942" t="inlineStr">
        <is>
          <t>A 62467-2025</t>
        </is>
      </c>
      <c r="B942" s="1" t="n">
        <v>46007.5108912037</v>
      </c>
      <c r="C942" s="1" t="n">
        <v>46106</v>
      </c>
      <c r="D942" t="inlineStr">
        <is>
          <t>JÄMTLANDS LÄN</t>
        </is>
      </c>
      <c r="E942" t="inlineStr">
        <is>
          <t>RAGUNDA</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63057-2025</t>
        </is>
      </c>
      <c r="B943" s="1" t="n">
        <v>46009.63837962963</v>
      </c>
      <c r="C943" s="1" t="n">
        <v>46106</v>
      </c>
      <c r="D943" t="inlineStr">
        <is>
          <t>JÄMTLANDS LÄN</t>
        </is>
      </c>
      <c r="E943" t="inlineStr">
        <is>
          <t>RAGUNDA</t>
        </is>
      </c>
      <c r="G943" t="n">
        <v>13.7</v>
      </c>
      <c r="H943" t="n">
        <v>0</v>
      </c>
      <c r="I943" t="n">
        <v>0</v>
      </c>
      <c r="J943" t="n">
        <v>0</v>
      </c>
      <c r="K943" t="n">
        <v>0</v>
      </c>
      <c r="L943" t="n">
        <v>0</v>
      </c>
      <c r="M943" t="n">
        <v>0</v>
      </c>
      <c r="N943" t="n">
        <v>0</v>
      </c>
      <c r="O943" t="n">
        <v>0</v>
      </c>
      <c r="P943" t="n">
        <v>0</v>
      </c>
      <c r="Q943" t="n">
        <v>0</v>
      </c>
      <c r="R943" s="2" t="inlineStr"/>
    </row>
    <row r="944" ht="15" customHeight="1">
      <c r="A944" t="inlineStr">
        <is>
          <t>A 9084-2023</t>
        </is>
      </c>
      <c r="B944" s="1" t="n">
        <v>44979</v>
      </c>
      <c r="C944" s="1" t="n">
        <v>46106</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62691-2025</t>
        </is>
      </c>
      <c r="B945" s="1" t="n">
        <v>46008.4759837963</v>
      </c>
      <c r="C945" s="1" t="n">
        <v>46106</v>
      </c>
      <c r="D945" t="inlineStr">
        <is>
          <t>JÄMTLANDS LÄN</t>
        </is>
      </c>
      <c r="E945" t="inlineStr">
        <is>
          <t>RAGUNDA</t>
        </is>
      </c>
      <c r="G945" t="n">
        <v>2.6</v>
      </c>
      <c r="H945" t="n">
        <v>0</v>
      </c>
      <c r="I945" t="n">
        <v>0</v>
      </c>
      <c r="J945" t="n">
        <v>0</v>
      </c>
      <c r="K945" t="n">
        <v>0</v>
      </c>
      <c r="L945" t="n">
        <v>0</v>
      </c>
      <c r="M945" t="n">
        <v>0</v>
      </c>
      <c r="N945" t="n">
        <v>0</v>
      </c>
      <c r="O945" t="n">
        <v>0</v>
      </c>
      <c r="P945" t="n">
        <v>0</v>
      </c>
      <c r="Q945" t="n">
        <v>0</v>
      </c>
      <c r="R945" s="2" t="inlineStr"/>
    </row>
    <row r="946" ht="15" customHeight="1">
      <c r="A946" t="inlineStr">
        <is>
          <t>A 62927-2025</t>
        </is>
      </c>
      <c r="B946" s="1" t="n">
        <v>46009.38609953703</v>
      </c>
      <c r="C946" s="1" t="n">
        <v>46106</v>
      </c>
      <c r="D946" t="inlineStr">
        <is>
          <t>JÄMTLANDS LÄN</t>
        </is>
      </c>
      <c r="E946" t="inlineStr">
        <is>
          <t>RAGUNDA</t>
        </is>
      </c>
      <c r="G946" t="n">
        <v>6.3</v>
      </c>
      <c r="H946" t="n">
        <v>0</v>
      </c>
      <c r="I946" t="n">
        <v>0</v>
      </c>
      <c r="J946" t="n">
        <v>0</v>
      </c>
      <c r="K946" t="n">
        <v>0</v>
      </c>
      <c r="L946" t="n">
        <v>0</v>
      </c>
      <c r="M946" t="n">
        <v>0</v>
      </c>
      <c r="N946" t="n">
        <v>0</v>
      </c>
      <c r="O946" t="n">
        <v>0</v>
      </c>
      <c r="P946" t="n">
        <v>0</v>
      </c>
      <c r="Q946" t="n">
        <v>0</v>
      </c>
      <c r="R946" s="2" t="inlineStr"/>
      <c r="U946">
        <f>HYPERLINK("https://klasma.github.io/Logging_2303/knärot/A 62927-2025 karta knärot.png", "A 62927-2025")</f>
        <v/>
      </c>
      <c r="V946">
        <f>HYPERLINK("https://klasma.github.io/Logging_2303/klagomål/A 62927-2025 FSC-klagomål.docx", "A 62927-2025")</f>
        <v/>
      </c>
      <c r="W946">
        <f>HYPERLINK("https://klasma.github.io/Logging_2303/klagomålsmail/A 62927-2025 FSC-klagomål mail.docx", "A 62927-2025")</f>
        <v/>
      </c>
      <c r="X946">
        <f>HYPERLINK("https://klasma.github.io/Logging_2303/tillsyn/A 62927-2025 tillsynsbegäran.docx", "A 62927-2025")</f>
        <v/>
      </c>
      <c r="Y946">
        <f>HYPERLINK("https://klasma.github.io/Logging_2303/tillsynsmail/A 62927-2025 tillsynsbegäran mail.docx", "A 62927-2025")</f>
        <v/>
      </c>
    </row>
    <row r="947" ht="15" customHeight="1">
      <c r="A947" t="inlineStr">
        <is>
          <t>A 9326-2024</t>
        </is>
      </c>
      <c r="B947" s="1" t="n">
        <v>45358.95818287037</v>
      </c>
      <c r="C947" s="1" t="n">
        <v>46106</v>
      </c>
      <c r="D947" t="inlineStr">
        <is>
          <t>JÄMTLANDS LÄN</t>
        </is>
      </c>
      <c r="E947" t="inlineStr">
        <is>
          <t>RAGUNDA</t>
        </is>
      </c>
      <c r="G947" t="n">
        <v>0.7</v>
      </c>
      <c r="H947" t="n">
        <v>0</v>
      </c>
      <c r="I947" t="n">
        <v>0</v>
      </c>
      <c r="J947" t="n">
        <v>0</v>
      </c>
      <c r="K947" t="n">
        <v>0</v>
      </c>
      <c r="L947" t="n">
        <v>0</v>
      </c>
      <c r="M947" t="n">
        <v>0</v>
      </c>
      <c r="N947" t="n">
        <v>0</v>
      </c>
      <c r="O947" t="n">
        <v>0</v>
      </c>
      <c r="P947" t="n">
        <v>0</v>
      </c>
      <c r="Q947" t="n">
        <v>0</v>
      </c>
      <c r="R947" s="2" t="inlineStr"/>
    </row>
    <row r="948" ht="15" customHeight="1">
      <c r="A948" t="inlineStr">
        <is>
          <t>A 62638-2025</t>
        </is>
      </c>
      <c r="B948" s="1" t="n">
        <v>46008.36564814814</v>
      </c>
      <c r="C948" s="1" t="n">
        <v>46106</v>
      </c>
      <c r="D948" t="inlineStr">
        <is>
          <t>JÄMTLANDS LÄN</t>
        </is>
      </c>
      <c r="E948" t="inlineStr">
        <is>
          <t>RAGUNDA</t>
        </is>
      </c>
      <c r="G948" t="n">
        <v>0.9</v>
      </c>
      <c r="H948" t="n">
        <v>0</v>
      </c>
      <c r="I948" t="n">
        <v>0</v>
      </c>
      <c r="J948" t="n">
        <v>0</v>
      </c>
      <c r="K948" t="n">
        <v>0</v>
      </c>
      <c r="L948" t="n">
        <v>0</v>
      </c>
      <c r="M948" t="n">
        <v>0</v>
      </c>
      <c r="N948" t="n">
        <v>0</v>
      </c>
      <c r="O948" t="n">
        <v>0</v>
      </c>
      <c r="P948" t="n">
        <v>0</v>
      </c>
      <c r="Q948" t="n">
        <v>0</v>
      </c>
      <c r="R948" s="2" t="inlineStr"/>
    </row>
    <row r="949" ht="15" customHeight="1">
      <c r="A949" t="inlineStr">
        <is>
          <t>A 63060-2025</t>
        </is>
      </c>
      <c r="B949" s="1" t="n">
        <v>46009.64414351852</v>
      </c>
      <c r="C949" s="1" t="n">
        <v>46106</v>
      </c>
      <c r="D949" t="inlineStr">
        <is>
          <t>JÄMTLANDS LÄN</t>
        </is>
      </c>
      <c r="E949" t="inlineStr">
        <is>
          <t>RAGUNDA</t>
        </is>
      </c>
      <c r="G949" t="n">
        <v>6.5</v>
      </c>
      <c r="H949" t="n">
        <v>0</v>
      </c>
      <c r="I949" t="n">
        <v>0</v>
      </c>
      <c r="J949" t="n">
        <v>0</v>
      </c>
      <c r="K949" t="n">
        <v>0</v>
      </c>
      <c r="L949" t="n">
        <v>0</v>
      </c>
      <c r="M949" t="n">
        <v>0</v>
      </c>
      <c r="N949" t="n">
        <v>0</v>
      </c>
      <c r="O949" t="n">
        <v>0</v>
      </c>
      <c r="P949" t="n">
        <v>0</v>
      </c>
      <c r="Q949" t="n">
        <v>0</v>
      </c>
      <c r="R949" s="2" t="inlineStr"/>
    </row>
    <row r="950" ht="15" customHeight="1">
      <c r="A950" t="inlineStr">
        <is>
          <t>A 7520-2023</t>
        </is>
      </c>
      <c r="B950" s="1" t="n">
        <v>44971</v>
      </c>
      <c r="C950" s="1" t="n">
        <v>46106</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62819-2025</t>
        </is>
      </c>
      <c r="B951" s="1" t="n">
        <v>46008</v>
      </c>
      <c r="C951" s="1" t="n">
        <v>46106</v>
      </c>
      <c r="D951" t="inlineStr">
        <is>
          <t>JÄMTLANDS LÄN</t>
        </is>
      </c>
      <c r="E951" t="inlineStr">
        <is>
          <t>RAGUNDA</t>
        </is>
      </c>
      <c r="G951" t="n">
        <v>3.5</v>
      </c>
      <c r="H951" t="n">
        <v>0</v>
      </c>
      <c r="I951" t="n">
        <v>0</v>
      </c>
      <c r="J951" t="n">
        <v>0</v>
      </c>
      <c r="K951" t="n">
        <v>0</v>
      </c>
      <c r="L951" t="n">
        <v>0</v>
      </c>
      <c r="M951" t="n">
        <v>0</v>
      </c>
      <c r="N951" t="n">
        <v>0</v>
      </c>
      <c r="O951" t="n">
        <v>0</v>
      </c>
      <c r="P951" t="n">
        <v>0</v>
      </c>
      <c r="Q951" t="n">
        <v>0</v>
      </c>
      <c r="R951" s="2" t="inlineStr"/>
    </row>
    <row r="952" ht="15" customHeight="1">
      <c r="A952" t="inlineStr">
        <is>
          <t>A 21662-2023</t>
        </is>
      </c>
      <c r="B952" s="1" t="n">
        <v>45063</v>
      </c>
      <c r="C952" s="1" t="n">
        <v>46106</v>
      </c>
      <c r="D952" t="inlineStr">
        <is>
          <t>JÄMTLANDS LÄN</t>
        </is>
      </c>
      <c r="E952" t="inlineStr">
        <is>
          <t>RAGUNDA</t>
        </is>
      </c>
      <c r="G952" t="n">
        <v>1.8</v>
      </c>
      <c r="H952" t="n">
        <v>0</v>
      </c>
      <c r="I952" t="n">
        <v>0</v>
      </c>
      <c r="J952" t="n">
        <v>0</v>
      </c>
      <c r="K952" t="n">
        <v>0</v>
      </c>
      <c r="L952" t="n">
        <v>0</v>
      </c>
      <c r="M952" t="n">
        <v>0</v>
      </c>
      <c r="N952" t="n">
        <v>0</v>
      </c>
      <c r="O952" t="n">
        <v>0</v>
      </c>
      <c r="P952" t="n">
        <v>0</v>
      </c>
      <c r="Q952" t="n">
        <v>0</v>
      </c>
      <c r="R952" s="2" t="inlineStr"/>
    </row>
    <row r="953" ht="15" customHeight="1">
      <c r="A953" t="inlineStr">
        <is>
          <t>A 44727-2024</t>
        </is>
      </c>
      <c r="B953" s="1" t="n">
        <v>45574.57967592592</v>
      </c>
      <c r="C953" s="1" t="n">
        <v>46106</v>
      </c>
      <c r="D953" t="inlineStr">
        <is>
          <t>JÄMTLANDS LÄN</t>
        </is>
      </c>
      <c r="E953" t="inlineStr">
        <is>
          <t>RAGUNDA</t>
        </is>
      </c>
      <c r="G953" t="n">
        <v>4.7</v>
      </c>
      <c r="H953" t="n">
        <v>0</v>
      </c>
      <c r="I953" t="n">
        <v>0</v>
      </c>
      <c r="J953" t="n">
        <v>0</v>
      </c>
      <c r="K953" t="n">
        <v>0</v>
      </c>
      <c r="L953" t="n">
        <v>0</v>
      </c>
      <c r="M953" t="n">
        <v>0</v>
      </c>
      <c r="N953" t="n">
        <v>0</v>
      </c>
      <c r="O953" t="n">
        <v>0</v>
      </c>
      <c r="P953" t="n">
        <v>0</v>
      </c>
      <c r="Q953" t="n">
        <v>0</v>
      </c>
      <c r="R953" s="2" t="inlineStr"/>
    </row>
    <row r="954" ht="15" customHeight="1">
      <c r="A954" t="inlineStr">
        <is>
          <t>A 63578-2025</t>
        </is>
      </c>
      <c r="B954" s="1" t="n">
        <v>46013.67690972222</v>
      </c>
      <c r="C954" s="1" t="n">
        <v>46106</v>
      </c>
      <c r="D954" t="inlineStr">
        <is>
          <t>JÄMTLANDS LÄN</t>
        </is>
      </c>
      <c r="E954" t="inlineStr">
        <is>
          <t>RAGUNDA</t>
        </is>
      </c>
      <c r="G954" t="n">
        <v>2.7</v>
      </c>
      <c r="H954" t="n">
        <v>0</v>
      </c>
      <c r="I954" t="n">
        <v>0</v>
      </c>
      <c r="J954" t="n">
        <v>0</v>
      </c>
      <c r="K954" t="n">
        <v>0</v>
      </c>
      <c r="L954" t="n">
        <v>0</v>
      </c>
      <c r="M954" t="n">
        <v>0</v>
      </c>
      <c r="N954" t="n">
        <v>0</v>
      </c>
      <c r="O954" t="n">
        <v>0</v>
      </c>
      <c r="P954" t="n">
        <v>0</v>
      </c>
      <c r="Q954" t="n">
        <v>0</v>
      </c>
      <c r="R954" s="2" t="inlineStr"/>
    </row>
    <row r="955" ht="15" customHeight="1">
      <c r="A955" t="inlineStr">
        <is>
          <t>A 63141-2025</t>
        </is>
      </c>
      <c r="B955" s="1" t="n">
        <v>46010.34440972222</v>
      </c>
      <c r="C955" s="1" t="n">
        <v>46106</v>
      </c>
      <c r="D955" t="inlineStr">
        <is>
          <t>JÄMTLANDS LÄN</t>
        </is>
      </c>
      <c r="E955" t="inlineStr">
        <is>
          <t>RAGUNDA</t>
        </is>
      </c>
      <c r="F955" t="inlineStr">
        <is>
          <t>SCA</t>
        </is>
      </c>
      <c r="G955" t="n">
        <v>24.4</v>
      </c>
      <c r="H955" t="n">
        <v>0</v>
      </c>
      <c r="I955" t="n">
        <v>0</v>
      </c>
      <c r="J955" t="n">
        <v>0</v>
      </c>
      <c r="K955" t="n">
        <v>0</v>
      </c>
      <c r="L955" t="n">
        <v>0</v>
      </c>
      <c r="M955" t="n">
        <v>0</v>
      </c>
      <c r="N955" t="n">
        <v>0</v>
      </c>
      <c r="O955" t="n">
        <v>0</v>
      </c>
      <c r="P955" t="n">
        <v>0</v>
      </c>
      <c r="Q955" t="n">
        <v>0</v>
      </c>
      <c r="R955" s="2" t="inlineStr"/>
    </row>
    <row r="956" ht="15" customHeight="1">
      <c r="A956" t="inlineStr">
        <is>
          <t>A 21083-2024</t>
        </is>
      </c>
      <c r="B956" s="1" t="n">
        <v>45439.92752314815</v>
      </c>
      <c r="C956" s="1" t="n">
        <v>46106</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462-2023</t>
        </is>
      </c>
      <c r="B957" s="1" t="n">
        <v>44929</v>
      </c>
      <c r="C957" s="1" t="n">
        <v>46106</v>
      </c>
      <c r="D957" t="inlineStr">
        <is>
          <t>JÄMTLANDS LÄN</t>
        </is>
      </c>
      <c r="E957" t="inlineStr">
        <is>
          <t>RAGUNDA</t>
        </is>
      </c>
      <c r="G957" t="n">
        <v>4.5</v>
      </c>
      <c r="H957" t="n">
        <v>0</v>
      </c>
      <c r="I957" t="n">
        <v>0</v>
      </c>
      <c r="J957" t="n">
        <v>0</v>
      </c>
      <c r="K957" t="n">
        <v>0</v>
      </c>
      <c r="L957" t="n">
        <v>0</v>
      </c>
      <c r="M957" t="n">
        <v>0</v>
      </c>
      <c r="N957" t="n">
        <v>0</v>
      </c>
      <c r="O957" t="n">
        <v>0</v>
      </c>
      <c r="P957" t="n">
        <v>0</v>
      </c>
      <c r="Q957" t="n">
        <v>0</v>
      </c>
      <c r="R957" s="2" t="inlineStr"/>
    </row>
    <row r="958" ht="15" customHeight="1">
      <c r="A958" t="inlineStr">
        <is>
          <t>A 63672-2025</t>
        </is>
      </c>
      <c r="B958" s="1" t="n">
        <v>46014.47575231481</v>
      </c>
      <c r="C958" s="1" t="n">
        <v>46106</v>
      </c>
      <c r="D958" t="inlineStr">
        <is>
          <t>JÄMTLANDS LÄN</t>
        </is>
      </c>
      <c r="E958" t="inlineStr">
        <is>
          <t>RAGUNDA</t>
        </is>
      </c>
      <c r="G958" t="n">
        <v>0.8</v>
      </c>
      <c r="H958" t="n">
        <v>0</v>
      </c>
      <c r="I958" t="n">
        <v>0</v>
      </c>
      <c r="J958" t="n">
        <v>0</v>
      </c>
      <c r="K958" t="n">
        <v>0</v>
      </c>
      <c r="L958" t="n">
        <v>0</v>
      </c>
      <c r="M958" t="n">
        <v>0</v>
      </c>
      <c r="N958" t="n">
        <v>0</v>
      </c>
      <c r="O958" t="n">
        <v>0</v>
      </c>
      <c r="P958" t="n">
        <v>0</v>
      </c>
      <c r="Q958" t="n">
        <v>0</v>
      </c>
      <c r="R958" s="2" t="inlineStr"/>
    </row>
    <row r="959" ht="15" customHeight="1">
      <c r="A959" t="inlineStr">
        <is>
          <t>A 63714-2025</t>
        </is>
      </c>
      <c r="B959" s="1" t="n">
        <v>46014</v>
      </c>
      <c r="C959" s="1" t="n">
        <v>46106</v>
      </c>
      <c r="D959" t="inlineStr">
        <is>
          <t>JÄMTLANDS LÄN</t>
        </is>
      </c>
      <c r="E959" t="inlineStr">
        <is>
          <t>RAGUNDA</t>
        </is>
      </c>
      <c r="F959" t="inlineStr">
        <is>
          <t>Sveaskog</t>
        </is>
      </c>
      <c r="G959" t="n">
        <v>8.5</v>
      </c>
      <c r="H959" t="n">
        <v>0</v>
      </c>
      <c r="I959" t="n">
        <v>0</v>
      </c>
      <c r="J959" t="n">
        <v>0</v>
      </c>
      <c r="K959" t="n">
        <v>0</v>
      </c>
      <c r="L959" t="n">
        <v>0</v>
      </c>
      <c r="M959" t="n">
        <v>0</v>
      </c>
      <c r="N959" t="n">
        <v>0</v>
      </c>
      <c r="O959" t="n">
        <v>0</v>
      </c>
      <c r="P959" t="n">
        <v>0</v>
      </c>
      <c r="Q959" t="n">
        <v>0</v>
      </c>
      <c r="R959" s="2" t="inlineStr"/>
    </row>
    <row r="960" ht="15" customHeight="1">
      <c r="A960" t="inlineStr">
        <is>
          <t>A 63671-2025</t>
        </is>
      </c>
      <c r="B960" s="1" t="n">
        <v>46014.46555555556</v>
      </c>
      <c r="C960" s="1" t="n">
        <v>46106</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55547-2025</t>
        </is>
      </c>
      <c r="B961" s="1" t="n">
        <v>45971</v>
      </c>
      <c r="C961" s="1" t="n">
        <v>46106</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12050-2023</t>
        </is>
      </c>
      <c r="B962" s="1" t="n">
        <v>44995.98644675926</v>
      </c>
      <c r="C962" s="1" t="n">
        <v>46106</v>
      </c>
      <c r="D962" t="inlineStr">
        <is>
          <t>JÄMTLANDS LÄN</t>
        </is>
      </c>
      <c r="E962" t="inlineStr">
        <is>
          <t>RAGUNDA</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55633-2025</t>
        </is>
      </c>
      <c r="B963" s="1" t="n">
        <v>45972</v>
      </c>
      <c r="C963" s="1" t="n">
        <v>46106</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55671-2025</t>
        </is>
      </c>
      <c r="B964" s="1" t="n">
        <v>45972</v>
      </c>
      <c r="C964" s="1" t="n">
        <v>46106</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62358-2023</t>
        </is>
      </c>
      <c r="B965" s="1" t="n">
        <v>45267</v>
      </c>
      <c r="C965" s="1" t="n">
        <v>46106</v>
      </c>
      <c r="D965" t="inlineStr">
        <is>
          <t>JÄMTLANDS LÄN</t>
        </is>
      </c>
      <c r="E965" t="inlineStr">
        <is>
          <t>RAGUNDA</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55797-2025</t>
        </is>
      </c>
      <c r="B966" s="1" t="n">
        <v>45972.65693287037</v>
      </c>
      <c r="C966" s="1" t="n">
        <v>46106</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53727-2025</t>
        </is>
      </c>
      <c r="B967" s="1" t="n">
        <v>45960.63630787037</v>
      </c>
      <c r="C967" s="1" t="n">
        <v>46106</v>
      </c>
      <c r="D967" t="inlineStr">
        <is>
          <t>JÄMTLANDS LÄN</t>
        </is>
      </c>
      <c r="E967" t="inlineStr">
        <is>
          <t>RAGUNDA</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18820-2023</t>
        </is>
      </c>
      <c r="B968" s="1" t="n">
        <v>45042</v>
      </c>
      <c r="C968" s="1" t="n">
        <v>46106</v>
      </c>
      <c r="D968" t="inlineStr">
        <is>
          <t>JÄMTLANDS LÄN</t>
        </is>
      </c>
      <c r="E968" t="inlineStr">
        <is>
          <t>RAGUNDA</t>
        </is>
      </c>
      <c r="G968" t="n">
        <v>18.8</v>
      </c>
      <c r="H968" t="n">
        <v>0</v>
      </c>
      <c r="I968" t="n">
        <v>0</v>
      </c>
      <c r="J968" t="n">
        <v>0</v>
      </c>
      <c r="K968" t="n">
        <v>0</v>
      </c>
      <c r="L968" t="n">
        <v>0</v>
      </c>
      <c r="M968" t="n">
        <v>0</v>
      </c>
      <c r="N968" t="n">
        <v>0</v>
      </c>
      <c r="O968" t="n">
        <v>0</v>
      </c>
      <c r="P968" t="n">
        <v>0</v>
      </c>
      <c r="Q968" t="n">
        <v>0</v>
      </c>
      <c r="R968" s="2" t="inlineStr"/>
    </row>
    <row r="969" ht="15" customHeight="1">
      <c r="A969" t="inlineStr">
        <is>
          <t>A 33650-2025</t>
        </is>
      </c>
      <c r="B969" s="1" t="n">
        <v>45841</v>
      </c>
      <c r="C969" s="1" t="n">
        <v>46106</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63828-2025</t>
        </is>
      </c>
      <c r="B970" s="1" t="n">
        <v>46020.37814814815</v>
      </c>
      <c r="C970" s="1" t="n">
        <v>46106</v>
      </c>
      <c r="D970" t="inlineStr">
        <is>
          <t>JÄMTLANDS LÄN</t>
        </is>
      </c>
      <c r="E970" t="inlineStr">
        <is>
          <t>RAGUNDA</t>
        </is>
      </c>
      <c r="G970" t="n">
        <v>4.7</v>
      </c>
      <c r="H970" t="n">
        <v>0</v>
      </c>
      <c r="I970" t="n">
        <v>0</v>
      </c>
      <c r="J970" t="n">
        <v>0</v>
      </c>
      <c r="K970" t="n">
        <v>0</v>
      </c>
      <c r="L970" t="n">
        <v>0</v>
      </c>
      <c r="M970" t="n">
        <v>0</v>
      </c>
      <c r="N970" t="n">
        <v>0</v>
      </c>
      <c r="O970" t="n">
        <v>0</v>
      </c>
      <c r="P970" t="n">
        <v>0</v>
      </c>
      <c r="Q970" t="n">
        <v>0</v>
      </c>
      <c r="R970" s="2" t="inlineStr"/>
    </row>
    <row r="971" ht="15" customHeight="1">
      <c r="A971" t="inlineStr">
        <is>
          <t>A 557-2026</t>
        </is>
      </c>
      <c r="B971" s="1" t="n">
        <v>46021</v>
      </c>
      <c r="C971" s="1" t="n">
        <v>46106</v>
      </c>
      <c r="D971" t="inlineStr">
        <is>
          <t>JÄMTLANDS LÄN</t>
        </is>
      </c>
      <c r="E971" t="inlineStr">
        <is>
          <t>RAGUNDA</t>
        </is>
      </c>
      <c r="G971" t="n">
        <v>1.5</v>
      </c>
      <c r="H971" t="n">
        <v>0</v>
      </c>
      <c r="I971" t="n">
        <v>0</v>
      </c>
      <c r="J971" t="n">
        <v>0</v>
      </c>
      <c r="K971" t="n">
        <v>0</v>
      </c>
      <c r="L971" t="n">
        <v>0</v>
      </c>
      <c r="M971" t="n">
        <v>0</v>
      </c>
      <c r="N971" t="n">
        <v>0</v>
      </c>
      <c r="O971" t="n">
        <v>0</v>
      </c>
      <c r="P971" t="n">
        <v>0</v>
      </c>
      <c r="Q971" t="n">
        <v>0</v>
      </c>
      <c r="R971" s="2" t="inlineStr"/>
    </row>
    <row r="972" ht="15" customHeight="1">
      <c r="A972" t="inlineStr">
        <is>
          <t>A 49648-2023</t>
        </is>
      </c>
      <c r="B972" s="1" t="n">
        <v>45211.95061342593</v>
      </c>
      <c r="C972" s="1" t="n">
        <v>46106</v>
      </c>
      <c r="D972" t="inlineStr">
        <is>
          <t>JÄMTLANDS LÄN</t>
        </is>
      </c>
      <c r="E972" t="inlineStr">
        <is>
          <t>RAGUNDA</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51537-2022</t>
        </is>
      </c>
      <c r="B973" s="1" t="n">
        <v>44869</v>
      </c>
      <c r="C973" s="1" t="n">
        <v>46106</v>
      </c>
      <c r="D973" t="inlineStr">
        <is>
          <t>JÄMTLANDS LÄN</t>
        </is>
      </c>
      <c r="E973" t="inlineStr">
        <is>
          <t>RAGUNDA</t>
        </is>
      </c>
      <c r="G973" t="n">
        <v>1.8</v>
      </c>
      <c r="H973" t="n">
        <v>0</v>
      </c>
      <c r="I973" t="n">
        <v>0</v>
      </c>
      <c r="J973" t="n">
        <v>0</v>
      </c>
      <c r="K973" t="n">
        <v>0</v>
      </c>
      <c r="L973" t="n">
        <v>0</v>
      </c>
      <c r="M973" t="n">
        <v>0</v>
      </c>
      <c r="N973" t="n">
        <v>0</v>
      </c>
      <c r="O973" t="n">
        <v>0</v>
      </c>
      <c r="P973" t="n">
        <v>0</v>
      </c>
      <c r="Q973" t="n">
        <v>0</v>
      </c>
      <c r="R973" s="2" t="inlineStr"/>
    </row>
    <row r="974" ht="15" customHeight="1">
      <c r="A974" t="inlineStr">
        <is>
          <t>A 59044-2022</t>
        </is>
      </c>
      <c r="B974" s="1" t="n">
        <v>44903</v>
      </c>
      <c r="C974" s="1" t="n">
        <v>46106</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5958-2023</t>
        </is>
      </c>
      <c r="B975" s="1" t="n">
        <v>44963</v>
      </c>
      <c r="C975" s="1" t="n">
        <v>46106</v>
      </c>
      <c r="D975" t="inlineStr">
        <is>
          <t>JÄMTLANDS LÄN</t>
        </is>
      </c>
      <c r="E975" t="inlineStr">
        <is>
          <t>RAGUNDA</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8779-2025</t>
        </is>
      </c>
      <c r="B976" s="1" t="n">
        <v>45712.61552083334</v>
      </c>
      <c r="C976" s="1" t="n">
        <v>46106</v>
      </c>
      <c r="D976" t="inlineStr">
        <is>
          <t>JÄMTLANDS LÄN</t>
        </is>
      </c>
      <c r="E976" t="inlineStr">
        <is>
          <t>RAGUNDA</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61400-2022</t>
        </is>
      </c>
      <c r="B977" s="1" t="n">
        <v>44915</v>
      </c>
      <c r="C977" s="1" t="n">
        <v>46106</v>
      </c>
      <c r="D977" t="inlineStr">
        <is>
          <t>JÄMTLANDS LÄN</t>
        </is>
      </c>
      <c r="E977" t="inlineStr">
        <is>
          <t>RAGUNDA</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4348-2023</t>
        </is>
      </c>
      <c r="B978" s="1" t="n">
        <v>44953</v>
      </c>
      <c r="C978" s="1" t="n">
        <v>46106</v>
      </c>
      <c r="D978" t="inlineStr">
        <is>
          <t>JÄMTLANDS LÄN</t>
        </is>
      </c>
      <c r="E978" t="inlineStr">
        <is>
          <t>RAGUNDA</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222-2026</t>
        </is>
      </c>
      <c r="B979" s="1" t="n">
        <v>46026.84054398148</v>
      </c>
      <c r="C979" s="1" t="n">
        <v>46106</v>
      </c>
      <c r="D979" t="inlineStr">
        <is>
          <t>JÄMTLANDS LÄN</t>
        </is>
      </c>
      <c r="E979" t="inlineStr">
        <is>
          <t>RAGUNDA</t>
        </is>
      </c>
      <c r="G979" t="n">
        <v>10.6</v>
      </c>
      <c r="H979" t="n">
        <v>0</v>
      </c>
      <c r="I979" t="n">
        <v>0</v>
      </c>
      <c r="J979" t="n">
        <v>0</v>
      </c>
      <c r="K979" t="n">
        <v>0</v>
      </c>
      <c r="L979" t="n">
        <v>0</v>
      </c>
      <c r="M979" t="n">
        <v>0</v>
      </c>
      <c r="N979" t="n">
        <v>0</v>
      </c>
      <c r="O979" t="n">
        <v>0</v>
      </c>
      <c r="P979" t="n">
        <v>0</v>
      </c>
      <c r="Q979" t="n">
        <v>0</v>
      </c>
      <c r="R979" s="2" t="inlineStr"/>
    </row>
    <row r="980" ht="15" customHeight="1">
      <c r="A980" t="inlineStr">
        <is>
          <t>A 265-2026</t>
        </is>
      </c>
      <c r="B980" s="1" t="n">
        <v>46027.44956018519</v>
      </c>
      <c r="C980" s="1" t="n">
        <v>46106</v>
      </c>
      <c r="D980" t="inlineStr">
        <is>
          <t>JÄMTLANDS LÄN</t>
        </is>
      </c>
      <c r="E980" t="inlineStr">
        <is>
          <t>RAGUNDA</t>
        </is>
      </c>
      <c r="G980" t="n">
        <v>3.8</v>
      </c>
      <c r="H980" t="n">
        <v>0</v>
      </c>
      <c r="I980" t="n">
        <v>0</v>
      </c>
      <c r="J980" t="n">
        <v>0</v>
      </c>
      <c r="K980" t="n">
        <v>0</v>
      </c>
      <c r="L980" t="n">
        <v>0</v>
      </c>
      <c r="M980" t="n">
        <v>0</v>
      </c>
      <c r="N980" t="n">
        <v>0</v>
      </c>
      <c r="O980" t="n">
        <v>0</v>
      </c>
      <c r="P980" t="n">
        <v>0</v>
      </c>
      <c r="Q980" t="n">
        <v>0</v>
      </c>
      <c r="R980" s="2" t="inlineStr"/>
    </row>
    <row r="981" ht="15" customHeight="1">
      <c r="A981" t="inlineStr">
        <is>
          <t>A 122-2026</t>
        </is>
      </c>
      <c r="B981" s="1" t="n">
        <v>46024.57335648148</v>
      </c>
      <c r="C981" s="1" t="n">
        <v>46106</v>
      </c>
      <c r="D981" t="inlineStr">
        <is>
          <t>JÄMTLANDS LÄN</t>
        </is>
      </c>
      <c r="E981" t="inlineStr">
        <is>
          <t>RAGUNDA</t>
        </is>
      </c>
      <c r="F981" t="inlineStr">
        <is>
          <t>SCA</t>
        </is>
      </c>
      <c r="G981" t="n">
        <v>15.3</v>
      </c>
      <c r="H981" t="n">
        <v>0</v>
      </c>
      <c r="I981" t="n">
        <v>0</v>
      </c>
      <c r="J981" t="n">
        <v>0</v>
      </c>
      <c r="K981" t="n">
        <v>0</v>
      </c>
      <c r="L981" t="n">
        <v>0</v>
      </c>
      <c r="M981" t="n">
        <v>0</v>
      </c>
      <c r="N981" t="n">
        <v>0</v>
      </c>
      <c r="O981" t="n">
        <v>0</v>
      </c>
      <c r="P981" t="n">
        <v>0</v>
      </c>
      <c r="Q981" t="n">
        <v>0</v>
      </c>
      <c r="R981" s="2" t="inlineStr"/>
    </row>
    <row r="982" ht="15" customHeight="1">
      <c r="A982" t="inlineStr">
        <is>
          <t>A 56286-2023</t>
        </is>
      </c>
      <c r="B982" s="1" t="n">
        <v>45241.95741898148</v>
      </c>
      <c r="C982" s="1" t="n">
        <v>46106</v>
      </c>
      <c r="D982" t="inlineStr">
        <is>
          <t>JÄMTLANDS LÄN</t>
        </is>
      </c>
      <c r="E982" t="inlineStr">
        <is>
          <t>RAGUNDA</t>
        </is>
      </c>
      <c r="F982" t="inlineStr">
        <is>
          <t>SCA</t>
        </is>
      </c>
      <c r="G982" t="n">
        <v>4.5</v>
      </c>
      <c r="H982" t="n">
        <v>0</v>
      </c>
      <c r="I982" t="n">
        <v>0</v>
      </c>
      <c r="J982" t="n">
        <v>0</v>
      </c>
      <c r="K982" t="n">
        <v>0</v>
      </c>
      <c r="L982" t="n">
        <v>0</v>
      </c>
      <c r="M982" t="n">
        <v>0</v>
      </c>
      <c r="N982" t="n">
        <v>0</v>
      </c>
      <c r="O982" t="n">
        <v>0</v>
      </c>
      <c r="P982" t="n">
        <v>0</v>
      </c>
      <c r="Q982" t="n">
        <v>0</v>
      </c>
      <c r="R982" s="2" t="inlineStr"/>
    </row>
    <row r="983" ht="15" customHeight="1">
      <c r="A983" t="inlineStr">
        <is>
          <t>A 56287-2023</t>
        </is>
      </c>
      <c r="B983" s="1" t="n">
        <v>45241</v>
      </c>
      <c r="C983" s="1" t="n">
        <v>46106</v>
      </c>
      <c r="D983" t="inlineStr">
        <is>
          <t>JÄMTLANDS LÄN</t>
        </is>
      </c>
      <c r="E983" t="inlineStr">
        <is>
          <t>RAGUNDA</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9042-2026</t>
        </is>
      </c>
      <c r="B984" s="1" t="n">
        <v>46069.54721064815</v>
      </c>
      <c r="C984" s="1" t="n">
        <v>46106</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9097-2026</t>
        </is>
      </c>
      <c r="B985" s="1" t="n">
        <v>46069.63592592593</v>
      </c>
      <c r="C985" s="1" t="n">
        <v>46106</v>
      </c>
      <c r="D985" t="inlineStr">
        <is>
          <t>JÄMTLANDS LÄN</t>
        </is>
      </c>
      <c r="E985" t="inlineStr">
        <is>
          <t>RAGUNDA</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62135-2024</t>
        </is>
      </c>
      <c r="B986" s="1" t="n">
        <v>45656.64223379629</v>
      </c>
      <c r="C986" s="1" t="n">
        <v>46106</v>
      </c>
      <c r="D986" t="inlineStr">
        <is>
          <t>JÄMTLANDS LÄN</t>
        </is>
      </c>
      <c r="E986" t="inlineStr">
        <is>
          <t>RAGUNDA</t>
        </is>
      </c>
      <c r="G986" t="n">
        <v>1.5</v>
      </c>
      <c r="H986" t="n">
        <v>0</v>
      </c>
      <c r="I986" t="n">
        <v>0</v>
      </c>
      <c r="J986" t="n">
        <v>0</v>
      </c>
      <c r="K986" t="n">
        <v>0</v>
      </c>
      <c r="L986" t="n">
        <v>0</v>
      </c>
      <c r="M986" t="n">
        <v>0</v>
      </c>
      <c r="N986" t="n">
        <v>0</v>
      </c>
      <c r="O986" t="n">
        <v>0</v>
      </c>
      <c r="P986" t="n">
        <v>0</v>
      </c>
      <c r="Q986" t="n">
        <v>0</v>
      </c>
      <c r="R986" s="2" t="inlineStr"/>
    </row>
    <row r="987" ht="15" customHeight="1">
      <c r="A987" t="inlineStr">
        <is>
          <t>A 8312-2026</t>
        </is>
      </c>
      <c r="B987" s="1" t="n">
        <v>46064</v>
      </c>
      <c r="C987" s="1" t="n">
        <v>46106</v>
      </c>
      <c r="D987" t="inlineStr">
        <is>
          <t>JÄMTLANDS LÄN</t>
        </is>
      </c>
      <c r="E987" t="inlineStr">
        <is>
          <t>RAGUNDA</t>
        </is>
      </c>
      <c r="G987" t="n">
        <v>4.8</v>
      </c>
      <c r="H987" t="n">
        <v>0</v>
      </c>
      <c r="I987" t="n">
        <v>0</v>
      </c>
      <c r="J987" t="n">
        <v>0</v>
      </c>
      <c r="K987" t="n">
        <v>0</v>
      </c>
      <c r="L987" t="n">
        <v>0</v>
      </c>
      <c r="M987" t="n">
        <v>0</v>
      </c>
      <c r="N987" t="n">
        <v>0</v>
      </c>
      <c r="O987" t="n">
        <v>0</v>
      </c>
      <c r="P987" t="n">
        <v>0</v>
      </c>
      <c r="Q987" t="n">
        <v>0</v>
      </c>
      <c r="R987" s="2" t="inlineStr"/>
    </row>
    <row r="988" ht="15" customHeight="1">
      <c r="A988" t="inlineStr">
        <is>
          <t>A 18248-2023</t>
        </is>
      </c>
      <c r="B988" s="1" t="n">
        <v>45040</v>
      </c>
      <c r="C988" s="1" t="n">
        <v>46106</v>
      </c>
      <c r="D988" t="inlineStr">
        <is>
          <t>JÄMTLANDS LÄN</t>
        </is>
      </c>
      <c r="E988" t="inlineStr">
        <is>
          <t>RAGUNDA</t>
        </is>
      </c>
      <c r="G988" t="n">
        <v>4.3</v>
      </c>
      <c r="H988" t="n">
        <v>0</v>
      </c>
      <c r="I988" t="n">
        <v>0</v>
      </c>
      <c r="J988" t="n">
        <v>0</v>
      </c>
      <c r="K988" t="n">
        <v>0</v>
      </c>
      <c r="L988" t="n">
        <v>0</v>
      </c>
      <c r="M988" t="n">
        <v>0</v>
      </c>
      <c r="N988" t="n">
        <v>0</v>
      </c>
      <c r="O988" t="n">
        <v>0</v>
      </c>
      <c r="P988" t="n">
        <v>0</v>
      </c>
      <c r="Q988" t="n">
        <v>0</v>
      </c>
      <c r="R988" s="2" t="inlineStr"/>
    </row>
    <row r="989" ht="15" customHeight="1">
      <c r="A989" t="inlineStr">
        <is>
          <t>A 8802-2022</t>
        </is>
      </c>
      <c r="B989" s="1" t="n">
        <v>44614</v>
      </c>
      <c r="C989" s="1" t="n">
        <v>46106</v>
      </c>
      <c r="D989" t="inlineStr">
        <is>
          <t>JÄMTLANDS LÄN</t>
        </is>
      </c>
      <c r="E989" t="inlineStr">
        <is>
          <t>RAGUNDA</t>
        </is>
      </c>
      <c r="G989" t="n">
        <v>2.8</v>
      </c>
      <c r="H989" t="n">
        <v>0</v>
      </c>
      <c r="I989" t="n">
        <v>0</v>
      </c>
      <c r="J989" t="n">
        <v>0</v>
      </c>
      <c r="K989" t="n">
        <v>0</v>
      </c>
      <c r="L989" t="n">
        <v>0</v>
      </c>
      <c r="M989" t="n">
        <v>0</v>
      </c>
      <c r="N989" t="n">
        <v>0</v>
      </c>
      <c r="O989" t="n">
        <v>0</v>
      </c>
      <c r="P989" t="n">
        <v>0</v>
      </c>
      <c r="Q989" t="n">
        <v>0</v>
      </c>
      <c r="R989" s="2" t="inlineStr"/>
    </row>
    <row r="990" ht="15" customHeight="1">
      <c r="A990" t="inlineStr">
        <is>
          <t>A 39489-2023</t>
        </is>
      </c>
      <c r="B990" s="1" t="n">
        <v>45166</v>
      </c>
      <c r="C990" s="1" t="n">
        <v>46106</v>
      </c>
      <c r="D990" t="inlineStr">
        <is>
          <t>JÄMTLANDS LÄN</t>
        </is>
      </c>
      <c r="E990" t="inlineStr">
        <is>
          <t>RAGUNDA</t>
        </is>
      </c>
      <c r="G990" t="n">
        <v>5</v>
      </c>
      <c r="H990" t="n">
        <v>0</v>
      </c>
      <c r="I990" t="n">
        <v>0</v>
      </c>
      <c r="J990" t="n">
        <v>0</v>
      </c>
      <c r="K990" t="n">
        <v>0</v>
      </c>
      <c r="L990" t="n">
        <v>0</v>
      </c>
      <c r="M990" t="n">
        <v>0</v>
      </c>
      <c r="N990" t="n">
        <v>0</v>
      </c>
      <c r="O990" t="n">
        <v>0</v>
      </c>
      <c r="P990" t="n">
        <v>0</v>
      </c>
      <c r="Q990" t="n">
        <v>0</v>
      </c>
      <c r="R990" s="2" t="inlineStr"/>
    </row>
    <row r="991" ht="15" customHeight="1">
      <c r="A991" t="inlineStr">
        <is>
          <t>A 55214-2022</t>
        </is>
      </c>
      <c r="B991" s="1" t="n">
        <v>44886</v>
      </c>
      <c r="C991" s="1" t="n">
        <v>46106</v>
      </c>
      <c r="D991" t="inlineStr">
        <is>
          <t>JÄMTLANDS LÄN</t>
        </is>
      </c>
      <c r="E991" t="inlineStr">
        <is>
          <t>RAGUNDA</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9566-2026</t>
        </is>
      </c>
      <c r="B992" s="1" t="n">
        <v>46071.65679398148</v>
      </c>
      <c r="C992" s="1" t="n">
        <v>46106</v>
      </c>
      <c r="D992" t="inlineStr">
        <is>
          <t>JÄMTLANDS LÄN</t>
        </is>
      </c>
      <c r="E992" t="inlineStr">
        <is>
          <t>RAGUNDA</t>
        </is>
      </c>
      <c r="F992" t="inlineStr">
        <is>
          <t>SCA</t>
        </is>
      </c>
      <c r="G992" t="n">
        <v>18.9</v>
      </c>
      <c r="H992" t="n">
        <v>0</v>
      </c>
      <c r="I992" t="n">
        <v>0</v>
      </c>
      <c r="J992" t="n">
        <v>0</v>
      </c>
      <c r="K992" t="n">
        <v>0</v>
      </c>
      <c r="L992" t="n">
        <v>0</v>
      </c>
      <c r="M992" t="n">
        <v>0</v>
      </c>
      <c r="N992" t="n">
        <v>0</v>
      </c>
      <c r="O992" t="n">
        <v>0</v>
      </c>
      <c r="P992" t="n">
        <v>0</v>
      </c>
      <c r="Q992" t="n">
        <v>0</v>
      </c>
      <c r="R992" s="2" t="inlineStr"/>
    </row>
    <row r="993" ht="15" customHeight="1">
      <c r="A993" t="inlineStr">
        <is>
          <t>A 9538-2026</t>
        </is>
      </c>
      <c r="B993" s="1" t="n">
        <v>46071.61511574074</v>
      </c>
      <c r="C993" s="1" t="n">
        <v>46106</v>
      </c>
      <c r="D993" t="inlineStr">
        <is>
          <t>JÄMTLANDS LÄN</t>
        </is>
      </c>
      <c r="E993" t="inlineStr">
        <is>
          <t>RAGUNDA</t>
        </is>
      </c>
      <c r="G993" t="n">
        <v>1.7</v>
      </c>
      <c r="H993" t="n">
        <v>0</v>
      </c>
      <c r="I993" t="n">
        <v>0</v>
      </c>
      <c r="J993" t="n">
        <v>0</v>
      </c>
      <c r="K993" t="n">
        <v>0</v>
      </c>
      <c r="L993" t="n">
        <v>0</v>
      </c>
      <c r="M993" t="n">
        <v>0</v>
      </c>
      <c r="N993" t="n">
        <v>0</v>
      </c>
      <c r="O993" t="n">
        <v>0</v>
      </c>
      <c r="P993" t="n">
        <v>0</v>
      </c>
      <c r="Q993" t="n">
        <v>0</v>
      </c>
      <c r="R993" s="2" t="inlineStr"/>
    </row>
    <row r="994" ht="15" customHeight="1">
      <c r="A994" t="inlineStr">
        <is>
          <t>A 647-2026</t>
        </is>
      </c>
      <c r="B994" s="1" t="n">
        <v>46029.57357638889</v>
      </c>
      <c r="C994" s="1" t="n">
        <v>46106</v>
      </c>
      <c r="D994" t="inlineStr">
        <is>
          <t>JÄMTLANDS LÄN</t>
        </is>
      </c>
      <c r="E994" t="inlineStr">
        <is>
          <t>RAGUNDA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9316-2026</t>
        </is>
      </c>
      <c r="B995" s="1" t="n">
        <v>46070.62200231481</v>
      </c>
      <c r="C995" s="1" t="n">
        <v>46106</v>
      </c>
      <c r="D995" t="inlineStr">
        <is>
          <t>JÄMTLANDS LÄN</t>
        </is>
      </c>
      <c r="E995" t="inlineStr">
        <is>
          <t>RAGUNDA</t>
        </is>
      </c>
      <c r="G995" t="n">
        <v>3</v>
      </c>
      <c r="H995" t="n">
        <v>0</v>
      </c>
      <c r="I995" t="n">
        <v>0</v>
      </c>
      <c r="J995" t="n">
        <v>0</v>
      </c>
      <c r="K995" t="n">
        <v>0</v>
      </c>
      <c r="L995" t="n">
        <v>0</v>
      </c>
      <c r="M995" t="n">
        <v>0</v>
      </c>
      <c r="N995" t="n">
        <v>0</v>
      </c>
      <c r="O995" t="n">
        <v>0</v>
      </c>
      <c r="P995" t="n">
        <v>0</v>
      </c>
      <c r="Q995" t="n">
        <v>0</v>
      </c>
      <c r="R995" s="2" t="inlineStr"/>
    </row>
    <row r="996" ht="15" customHeight="1">
      <c r="A996" t="inlineStr">
        <is>
          <t>A 9513-2026</t>
        </is>
      </c>
      <c r="B996" s="1" t="n">
        <v>46071.59444444445</v>
      </c>
      <c r="C996" s="1" t="n">
        <v>46106</v>
      </c>
      <c r="D996" t="inlineStr">
        <is>
          <t>JÄMTLANDS LÄN</t>
        </is>
      </c>
      <c r="E996" t="inlineStr">
        <is>
          <t>RAGUNDA</t>
        </is>
      </c>
      <c r="F996" t="inlineStr">
        <is>
          <t>SCA</t>
        </is>
      </c>
      <c r="G996" t="n">
        <v>26.1</v>
      </c>
      <c r="H996" t="n">
        <v>0</v>
      </c>
      <c r="I996" t="n">
        <v>0</v>
      </c>
      <c r="J996" t="n">
        <v>0</v>
      </c>
      <c r="K996" t="n">
        <v>0</v>
      </c>
      <c r="L996" t="n">
        <v>0</v>
      </c>
      <c r="M996" t="n">
        <v>0</v>
      </c>
      <c r="N996" t="n">
        <v>0</v>
      </c>
      <c r="O996" t="n">
        <v>0</v>
      </c>
      <c r="P996" t="n">
        <v>0</v>
      </c>
      <c r="Q996" t="n">
        <v>0</v>
      </c>
      <c r="R996" s="2" t="inlineStr"/>
    </row>
    <row r="997" ht="15" customHeight="1">
      <c r="A997" t="inlineStr">
        <is>
          <t>A 7722-2023</t>
        </is>
      </c>
      <c r="B997" s="1" t="n">
        <v>44972.94140046297</v>
      </c>
      <c r="C997" s="1" t="n">
        <v>46106</v>
      </c>
      <c r="D997" t="inlineStr">
        <is>
          <t>JÄMTLANDS LÄN</t>
        </is>
      </c>
      <c r="E997" t="inlineStr">
        <is>
          <t>RAGUNDA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12204-2025</t>
        </is>
      </c>
      <c r="B998" s="1" t="n">
        <v>45729.51074074074</v>
      </c>
      <c r="C998" s="1" t="n">
        <v>46106</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9537-2026</t>
        </is>
      </c>
      <c r="B999" s="1" t="n">
        <v>46071.61503472222</v>
      </c>
      <c r="C999" s="1" t="n">
        <v>46106</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10090-2026</t>
        </is>
      </c>
      <c r="B1000" s="1" t="n">
        <v>46073.69875</v>
      </c>
      <c r="C1000" s="1" t="n">
        <v>46106</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13299-2024</t>
        </is>
      </c>
      <c r="B1001" s="1" t="n">
        <v>45386.68003472222</v>
      </c>
      <c r="C1001" s="1" t="n">
        <v>46106</v>
      </c>
      <c r="D1001" t="inlineStr">
        <is>
          <t>JÄMTLANDS LÄN</t>
        </is>
      </c>
      <c r="E1001" t="inlineStr">
        <is>
          <t>RAGUNDA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15024-2022</t>
        </is>
      </c>
      <c r="B1002" s="1" t="n">
        <v>44657</v>
      </c>
      <c r="C1002" s="1" t="n">
        <v>46106</v>
      </c>
      <c r="D1002" t="inlineStr">
        <is>
          <t>JÄMTLANDS LÄN</t>
        </is>
      </c>
      <c r="E1002" t="inlineStr">
        <is>
          <t>RAGUNDA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891-2022</t>
        </is>
      </c>
      <c r="B1003" s="1" t="n">
        <v>44571</v>
      </c>
      <c r="C1003" s="1" t="n">
        <v>46106</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36371-2023</t>
        </is>
      </c>
      <c r="B1004" s="1" t="n">
        <v>45149</v>
      </c>
      <c r="C1004" s="1" t="n">
        <v>46106</v>
      </c>
      <c r="D1004" t="inlineStr">
        <is>
          <t>JÄMTLANDS LÄN</t>
        </is>
      </c>
      <c r="E1004" t="inlineStr">
        <is>
          <t>RAGUNDA</t>
        </is>
      </c>
      <c r="G1004" t="n">
        <v>25.7</v>
      </c>
      <c r="H1004" t="n">
        <v>0</v>
      </c>
      <c r="I1004" t="n">
        <v>0</v>
      </c>
      <c r="J1004" t="n">
        <v>0</v>
      </c>
      <c r="K1004" t="n">
        <v>0</v>
      </c>
      <c r="L1004" t="n">
        <v>0</v>
      </c>
      <c r="M1004" t="n">
        <v>0</v>
      </c>
      <c r="N1004" t="n">
        <v>0</v>
      </c>
      <c r="O1004" t="n">
        <v>0</v>
      </c>
      <c r="P1004" t="n">
        <v>0</v>
      </c>
      <c r="Q1004" t="n">
        <v>0</v>
      </c>
      <c r="R1004" s="2" t="inlineStr"/>
    </row>
    <row r="1005" ht="15" customHeight="1">
      <c r="A1005" t="inlineStr">
        <is>
          <t>A 56702-2023</t>
        </is>
      </c>
      <c r="B1005" s="1" t="n">
        <v>45243</v>
      </c>
      <c r="C1005" s="1" t="n">
        <v>46106</v>
      </c>
      <c r="D1005" t="inlineStr">
        <is>
          <t>JÄMTLANDS LÄN</t>
        </is>
      </c>
      <c r="E1005" t="inlineStr">
        <is>
          <t>RAGUNDA</t>
        </is>
      </c>
      <c r="F1005" t="inlineStr">
        <is>
          <t>SCA</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9736-2026</t>
        </is>
      </c>
      <c r="B1006" s="1" t="n">
        <v>46072.49005787037</v>
      </c>
      <c r="C1006" s="1" t="n">
        <v>46106</v>
      </c>
      <c r="D1006" t="inlineStr">
        <is>
          <t>JÄMTLANDS LÄN</t>
        </is>
      </c>
      <c r="E1006" t="inlineStr">
        <is>
          <t>RAGUNDA</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32259-2024</t>
        </is>
      </c>
      <c r="B1007" s="1" t="n">
        <v>45511</v>
      </c>
      <c r="C1007" s="1" t="n">
        <v>46106</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1333-2026</t>
        </is>
      </c>
      <c r="B1008" s="1" t="n">
        <v>46031.57340277778</v>
      </c>
      <c r="C1008" s="1" t="n">
        <v>46106</v>
      </c>
      <c r="D1008" t="inlineStr">
        <is>
          <t>JÄMTLANDS LÄN</t>
        </is>
      </c>
      <c r="E1008" t="inlineStr">
        <is>
          <t>RAGUNDA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10344-2026</t>
        </is>
      </c>
      <c r="B1009" s="1" t="n">
        <v>46076.68523148148</v>
      </c>
      <c r="C1009" s="1" t="n">
        <v>46106</v>
      </c>
      <c r="D1009" t="inlineStr">
        <is>
          <t>JÄMTLANDS LÄN</t>
        </is>
      </c>
      <c r="E1009" t="inlineStr">
        <is>
          <t>RAGUNDA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5313-2025</t>
        </is>
      </c>
      <c r="B1010" s="1" t="n">
        <v>45692.51069444444</v>
      </c>
      <c r="C1010" s="1" t="n">
        <v>46106</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5357-2025</t>
        </is>
      </c>
      <c r="B1011" s="1" t="n">
        <v>45692.57326388889</v>
      </c>
      <c r="C1011" s="1" t="n">
        <v>46106</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3018-2024</t>
        </is>
      </c>
      <c r="B1012" s="1" t="n">
        <v>45315.9492824074</v>
      </c>
      <c r="C1012" s="1" t="n">
        <v>46106</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44605-2024</t>
        </is>
      </c>
      <c r="B1013" s="1" t="n">
        <v>45574.51185185185</v>
      </c>
      <c r="C1013" s="1" t="n">
        <v>46106</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20773-2024</t>
        </is>
      </c>
      <c r="B1014" s="1" t="n">
        <v>45436.94636574074</v>
      </c>
      <c r="C1014" s="1" t="n">
        <v>46106</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34323-2023</t>
        </is>
      </c>
      <c r="B1015" s="1" t="n">
        <v>45138.94925925926</v>
      </c>
      <c r="C1015" s="1" t="n">
        <v>46106</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10410-2026</t>
        </is>
      </c>
      <c r="B1016" s="1" t="n">
        <v>46077.34527777778</v>
      </c>
      <c r="C1016" s="1" t="n">
        <v>46106</v>
      </c>
      <c r="D1016" t="inlineStr">
        <is>
          <t>JÄMTLANDS LÄN</t>
        </is>
      </c>
      <c r="E1016" t="inlineStr">
        <is>
          <t>RAGUNDA</t>
        </is>
      </c>
      <c r="F1016" t="inlineStr">
        <is>
          <t>SCA</t>
        </is>
      </c>
      <c r="G1016" t="n">
        <v>46.5</v>
      </c>
      <c r="H1016" t="n">
        <v>0</v>
      </c>
      <c r="I1016" t="n">
        <v>0</v>
      </c>
      <c r="J1016" t="n">
        <v>0</v>
      </c>
      <c r="K1016" t="n">
        <v>0</v>
      </c>
      <c r="L1016" t="n">
        <v>0</v>
      </c>
      <c r="M1016" t="n">
        <v>0</v>
      </c>
      <c r="N1016" t="n">
        <v>0</v>
      </c>
      <c r="O1016" t="n">
        <v>0</v>
      </c>
      <c r="P1016" t="n">
        <v>0</v>
      </c>
      <c r="Q1016" t="n">
        <v>0</v>
      </c>
      <c r="R1016" s="2" t="inlineStr"/>
    </row>
    <row r="1017" ht="15" customHeight="1">
      <c r="A1017" t="inlineStr">
        <is>
          <t>A 50486-2023</t>
        </is>
      </c>
      <c r="B1017" s="1" t="n">
        <v>45216.92424768519</v>
      </c>
      <c r="C1017" s="1" t="n">
        <v>46106</v>
      </c>
      <c r="D1017" t="inlineStr">
        <is>
          <t>JÄMTLANDS LÄN</t>
        </is>
      </c>
      <c r="E1017" t="inlineStr">
        <is>
          <t>RAGUNDA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10570-2026</t>
        </is>
      </c>
      <c r="B1018" s="1" t="n">
        <v>46077.6568287037</v>
      </c>
      <c r="C1018" s="1" t="n">
        <v>46106</v>
      </c>
      <c r="D1018" t="inlineStr">
        <is>
          <t>JÄMTLANDS LÄN</t>
        </is>
      </c>
      <c r="E1018" t="inlineStr">
        <is>
          <t>RAGUNDA</t>
        </is>
      </c>
      <c r="F1018" t="inlineStr">
        <is>
          <t>SCA</t>
        </is>
      </c>
      <c r="G1018" t="n">
        <v>22.9</v>
      </c>
      <c r="H1018" t="n">
        <v>0</v>
      </c>
      <c r="I1018" t="n">
        <v>0</v>
      </c>
      <c r="J1018" t="n">
        <v>0</v>
      </c>
      <c r="K1018" t="n">
        <v>0</v>
      </c>
      <c r="L1018" t="n">
        <v>0</v>
      </c>
      <c r="M1018" t="n">
        <v>0</v>
      </c>
      <c r="N1018" t="n">
        <v>0</v>
      </c>
      <c r="O1018" t="n">
        <v>0</v>
      </c>
      <c r="P1018" t="n">
        <v>0</v>
      </c>
      <c r="Q1018" t="n">
        <v>0</v>
      </c>
      <c r="R1018" s="2" t="inlineStr"/>
    </row>
    <row r="1019" ht="15" customHeight="1">
      <c r="A1019" t="inlineStr">
        <is>
          <t>A 51538-2022</t>
        </is>
      </c>
      <c r="B1019" s="1" t="n">
        <v>44869</v>
      </c>
      <c r="C1019" s="1" t="n">
        <v>46106</v>
      </c>
      <c r="D1019" t="inlineStr">
        <is>
          <t>JÄMTLANDS LÄN</t>
        </is>
      </c>
      <c r="E1019" t="inlineStr">
        <is>
          <t>RAGUNDA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19854-2025</t>
        </is>
      </c>
      <c r="B1020" s="1" t="n">
        <v>45771.51074074074</v>
      </c>
      <c r="C1020" s="1" t="n">
        <v>46106</v>
      </c>
      <c r="D1020" t="inlineStr">
        <is>
          <t>JÄMTLANDS LÄN</t>
        </is>
      </c>
      <c r="E1020" t="inlineStr">
        <is>
          <t>RAGUNDA</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50503-2024</t>
        </is>
      </c>
      <c r="B1021" s="1" t="n">
        <v>45601.5315625</v>
      </c>
      <c r="C1021" s="1" t="n">
        <v>46106</v>
      </c>
      <c r="D1021" t="inlineStr">
        <is>
          <t>JÄMTLANDS LÄN</t>
        </is>
      </c>
      <c r="E1021" t="inlineStr">
        <is>
          <t>RAGUNDA</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10610-2024</t>
        </is>
      </c>
      <c r="B1022" s="1" t="n">
        <v>45367.04693287037</v>
      </c>
      <c r="C1022" s="1" t="n">
        <v>46106</v>
      </c>
      <c r="D1022" t="inlineStr">
        <is>
          <t>JÄMTLANDS LÄN</t>
        </is>
      </c>
      <c r="E1022" t="inlineStr">
        <is>
          <t>RAGUNDA</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46106</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2123-2026</t>
        </is>
      </c>
      <c r="B1024" s="1" t="n">
        <v>46036.38618055556</v>
      </c>
      <c r="C1024" s="1" t="n">
        <v>46106</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63708-2023</t>
        </is>
      </c>
      <c r="B1025" s="1" t="n">
        <v>45275.95060185185</v>
      </c>
      <c r="C1025" s="1" t="n">
        <v>46106</v>
      </c>
      <c r="D1025" t="inlineStr">
        <is>
          <t>JÄMTLANDS LÄN</t>
        </is>
      </c>
      <c r="E1025" t="inlineStr">
        <is>
          <t>RAGUNDA</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2233-2026</t>
        </is>
      </c>
      <c r="B1026" s="1" t="n">
        <v>46036.53207175926</v>
      </c>
      <c r="C1026" s="1" t="n">
        <v>46106</v>
      </c>
      <c r="D1026" t="inlineStr">
        <is>
          <t>JÄMTLANDS LÄN</t>
        </is>
      </c>
      <c r="E1026" t="inlineStr">
        <is>
          <t>RAGUNDA</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16250-2022</t>
        </is>
      </c>
      <c r="B1027" s="1" t="n">
        <v>44670</v>
      </c>
      <c r="C1027" s="1" t="n">
        <v>46106</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60663-2022</t>
        </is>
      </c>
      <c r="B1028" s="1" t="n">
        <v>44911.93846064815</v>
      </c>
      <c r="C1028" s="1" t="n">
        <v>46106</v>
      </c>
      <c r="D1028" t="inlineStr">
        <is>
          <t>JÄMTLANDS LÄN</t>
        </is>
      </c>
      <c r="E1028" t="inlineStr">
        <is>
          <t>RAGUNDA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58847-2024</t>
        </is>
      </c>
      <c r="B1029" s="1" t="n">
        <v>45636.3864699074</v>
      </c>
      <c r="C1029" s="1" t="n">
        <v>46106</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2156-2026</t>
        </is>
      </c>
      <c r="B1030" s="1" t="n">
        <v>46036.42771990741</v>
      </c>
      <c r="C1030" s="1" t="n">
        <v>46106</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27777-2022</t>
        </is>
      </c>
      <c r="B1031" s="1" t="n">
        <v>44743</v>
      </c>
      <c r="C1031" s="1" t="n">
        <v>46106</v>
      </c>
      <c r="D1031" t="inlineStr">
        <is>
          <t>JÄMTLANDS LÄN</t>
        </is>
      </c>
      <c r="E1031" t="inlineStr">
        <is>
          <t>RAGUNDA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10649-2026</t>
        </is>
      </c>
      <c r="B1032" s="1" t="n">
        <v>46078.34486111111</v>
      </c>
      <c r="C1032" s="1" t="n">
        <v>46106</v>
      </c>
      <c r="D1032" t="inlineStr">
        <is>
          <t>JÄMTLANDS LÄN</t>
        </is>
      </c>
      <c r="E1032" t="inlineStr">
        <is>
          <t>RAGUNDA</t>
        </is>
      </c>
      <c r="F1032" t="inlineStr">
        <is>
          <t>SCA</t>
        </is>
      </c>
      <c r="G1032" t="n">
        <v>45.5</v>
      </c>
      <c r="H1032" t="n">
        <v>0</v>
      </c>
      <c r="I1032" t="n">
        <v>0</v>
      </c>
      <c r="J1032" t="n">
        <v>0</v>
      </c>
      <c r="K1032" t="n">
        <v>0</v>
      </c>
      <c r="L1032" t="n">
        <v>0</v>
      </c>
      <c r="M1032" t="n">
        <v>0</v>
      </c>
      <c r="N1032" t="n">
        <v>0</v>
      </c>
      <c r="O1032" t="n">
        <v>0</v>
      </c>
      <c r="P1032" t="n">
        <v>0</v>
      </c>
      <c r="Q1032" t="n">
        <v>0</v>
      </c>
      <c r="R1032" s="2" t="inlineStr"/>
    </row>
    <row r="1033" ht="15" customHeight="1">
      <c r="A1033" t="inlineStr">
        <is>
          <t>A 2271-2026</t>
        </is>
      </c>
      <c r="B1033" s="1" t="n">
        <v>46036.57347222222</v>
      </c>
      <c r="C1033" s="1" t="n">
        <v>46106</v>
      </c>
      <c r="D1033" t="inlineStr">
        <is>
          <t>JÄMTLANDS LÄN</t>
        </is>
      </c>
      <c r="E1033" t="inlineStr">
        <is>
          <t>RAGUNDA</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42875-2024</t>
        </is>
      </c>
      <c r="B1034" s="1" t="n">
        <v>45566.68125</v>
      </c>
      <c r="C1034" s="1" t="n">
        <v>46106</v>
      </c>
      <c r="D1034" t="inlineStr">
        <is>
          <t>JÄMTLANDS LÄN</t>
        </is>
      </c>
      <c r="E1034" t="inlineStr">
        <is>
          <t>RAGUNDA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53935-2022</t>
        </is>
      </c>
      <c r="B1035" s="1" t="n">
        <v>44880</v>
      </c>
      <c r="C1035" s="1" t="n">
        <v>46106</v>
      </c>
      <c r="D1035" t="inlineStr">
        <is>
          <t>JÄMTLANDS LÄN</t>
        </is>
      </c>
      <c r="E1035" t="inlineStr">
        <is>
          <t>RAGUNDA</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2173-2026</t>
        </is>
      </c>
      <c r="B1036" s="1" t="n">
        <v>46036.44984953704</v>
      </c>
      <c r="C1036" s="1" t="n">
        <v>46106</v>
      </c>
      <c r="D1036" t="inlineStr">
        <is>
          <t>JÄMTLANDS LÄN</t>
        </is>
      </c>
      <c r="E1036" t="inlineStr">
        <is>
          <t>RAGUNDA</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10740-2026</t>
        </is>
      </c>
      <c r="B1037" s="1" t="n">
        <v>46078.5109375</v>
      </c>
      <c r="C1037" s="1" t="n">
        <v>46106</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41262-2021</t>
        </is>
      </c>
      <c r="B1038" s="1" t="n">
        <v>44424</v>
      </c>
      <c r="C1038" s="1" t="n">
        <v>46106</v>
      </c>
      <c r="D1038" t="inlineStr">
        <is>
          <t>JÄMTLANDS LÄN</t>
        </is>
      </c>
      <c r="E1038" t="inlineStr">
        <is>
          <t>RAGUNDA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11243-2026</t>
        </is>
      </c>
      <c r="B1039" s="1" t="n">
        <v>46080.53181712963</v>
      </c>
      <c r="C1039" s="1" t="n">
        <v>46106</v>
      </c>
      <c r="D1039" t="inlineStr">
        <is>
          <t>JÄMTLANDS LÄN</t>
        </is>
      </c>
      <c r="E1039" t="inlineStr">
        <is>
          <t>RAGUNDA</t>
        </is>
      </c>
      <c r="F1039" t="inlineStr">
        <is>
          <t>SCA</t>
        </is>
      </c>
      <c r="G1039" t="n">
        <v>52.9</v>
      </c>
      <c r="H1039" t="n">
        <v>0</v>
      </c>
      <c r="I1039" t="n">
        <v>0</v>
      </c>
      <c r="J1039" t="n">
        <v>0</v>
      </c>
      <c r="K1039" t="n">
        <v>0</v>
      </c>
      <c r="L1039" t="n">
        <v>0</v>
      </c>
      <c r="M1039" t="n">
        <v>0</v>
      </c>
      <c r="N1039" t="n">
        <v>0</v>
      </c>
      <c r="O1039" t="n">
        <v>0</v>
      </c>
      <c r="P1039" t="n">
        <v>0</v>
      </c>
      <c r="Q1039" t="n">
        <v>0</v>
      </c>
      <c r="R1039" s="2" t="inlineStr"/>
    </row>
    <row r="1040" ht="15" customHeight="1">
      <c r="A1040" t="inlineStr">
        <is>
          <t>A 20221-2025</t>
        </is>
      </c>
      <c r="B1040" s="1" t="n">
        <v>45772.6565625</v>
      </c>
      <c r="C1040" s="1" t="n">
        <v>46106</v>
      </c>
      <c r="D1040" t="inlineStr">
        <is>
          <t>JÄMTLANDS LÄN</t>
        </is>
      </c>
      <c r="E1040" t="inlineStr">
        <is>
          <t>RAGUNDA</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4015-2022</t>
        </is>
      </c>
      <c r="B1041" s="1" t="n">
        <v>44587.92149305555</v>
      </c>
      <c r="C1041" s="1" t="n">
        <v>46106</v>
      </c>
      <c r="D1041" t="inlineStr">
        <is>
          <t>JÄMTLANDS LÄN</t>
        </is>
      </c>
      <c r="E1041" t="inlineStr">
        <is>
          <t>RAGUNDA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8416-2023</t>
        </is>
      </c>
      <c r="B1042" s="1" t="n">
        <v>44977.44373842593</v>
      </c>
      <c r="C1042" s="1" t="n">
        <v>46106</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45253-2023</t>
        </is>
      </c>
      <c r="B1043" s="1" t="n">
        <v>45187</v>
      </c>
      <c r="C1043" s="1" t="n">
        <v>46106</v>
      </c>
      <c r="D1043" t="inlineStr">
        <is>
          <t>JÄMTLANDS LÄN</t>
        </is>
      </c>
      <c r="E1043" t="inlineStr">
        <is>
          <t>RAGUNDA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14369-2024</t>
        </is>
      </c>
      <c r="B1044" s="1" t="n">
        <v>45393.94459490741</v>
      </c>
      <c r="C1044" s="1" t="n">
        <v>46106</v>
      </c>
      <c r="D1044" t="inlineStr">
        <is>
          <t>JÄMTLANDS LÄN</t>
        </is>
      </c>
      <c r="E1044" t="inlineStr">
        <is>
          <t>RAGUNDA</t>
        </is>
      </c>
      <c r="F1044" t="inlineStr">
        <is>
          <t>Naturvårdsverket</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182-2023</t>
        </is>
      </c>
      <c r="B1045" s="1" t="n">
        <v>44922</v>
      </c>
      <c r="C1045" s="1" t="n">
        <v>46106</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6490-2022</t>
        </is>
      </c>
      <c r="B1046" s="1" t="n">
        <v>44601</v>
      </c>
      <c r="C1046" s="1" t="n">
        <v>46106</v>
      </c>
      <c r="D1046" t="inlineStr">
        <is>
          <t>JÄMTLANDS LÄN</t>
        </is>
      </c>
      <c r="E1046" t="inlineStr">
        <is>
          <t>RAGUNDA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6477-2024</t>
        </is>
      </c>
      <c r="B1047" s="1" t="n">
        <v>45338.95405092592</v>
      </c>
      <c r="C1047" s="1" t="n">
        <v>46106</v>
      </c>
      <c r="D1047" t="inlineStr">
        <is>
          <t>JÄMTLANDS LÄN</t>
        </is>
      </c>
      <c r="E1047" t="inlineStr">
        <is>
          <t>RAGUNDA</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3065-2026</t>
        </is>
      </c>
      <c r="B1048" s="1" t="n">
        <v>46040.47866898148</v>
      </c>
      <c r="C1048" s="1" t="n">
        <v>46106</v>
      </c>
      <c r="D1048" t="inlineStr">
        <is>
          <t>JÄMTLANDS LÄN</t>
        </is>
      </c>
      <c r="E1048" t="inlineStr">
        <is>
          <t>RAGUNDA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11832-2026</t>
        </is>
      </c>
      <c r="B1049" s="1" t="n">
        <v>46085.42788194444</v>
      </c>
      <c r="C1049" s="1" t="n">
        <v>46106</v>
      </c>
      <c r="D1049" t="inlineStr">
        <is>
          <t>JÄMTLANDS LÄN</t>
        </is>
      </c>
      <c r="E1049" t="inlineStr">
        <is>
          <t>RAGUNDA</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18193-2022</t>
        </is>
      </c>
      <c r="B1050" s="1" t="n">
        <v>44684.94032407407</v>
      </c>
      <c r="C1050" s="1" t="n">
        <v>46106</v>
      </c>
      <c r="D1050" t="inlineStr">
        <is>
          <t>JÄMTLANDS LÄN</t>
        </is>
      </c>
      <c r="E1050" t="inlineStr">
        <is>
          <t>RAGUNDA</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11551-2024</t>
        </is>
      </c>
      <c r="B1051" s="1" t="n">
        <v>45372.95762731481</v>
      </c>
      <c r="C1051" s="1" t="n">
        <v>46106</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11882-2026</t>
        </is>
      </c>
      <c r="B1052" s="1" t="n">
        <v>46085.504375</v>
      </c>
      <c r="C1052" s="1" t="n">
        <v>46106</v>
      </c>
      <c r="D1052" t="inlineStr">
        <is>
          <t>JÄMTLANDS LÄN</t>
        </is>
      </c>
      <c r="E1052" t="inlineStr">
        <is>
          <t>RAGUNDA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49647-2024</t>
        </is>
      </c>
      <c r="B1053" s="1" t="n">
        <v>45596.61533564814</v>
      </c>
      <c r="C1053" s="1" t="n">
        <v>46106</v>
      </c>
      <c r="D1053" t="inlineStr">
        <is>
          <t>JÄMTLANDS LÄN</t>
        </is>
      </c>
      <c r="E1053" t="inlineStr">
        <is>
          <t>RAGUNDA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11876-2026</t>
        </is>
      </c>
      <c r="B1054" s="1" t="n">
        <v>46085.50024305555</v>
      </c>
      <c r="C1054" s="1" t="n">
        <v>46106</v>
      </c>
      <c r="D1054" t="inlineStr">
        <is>
          <t>JÄMTLANDS LÄN</t>
        </is>
      </c>
      <c r="E1054" t="inlineStr">
        <is>
          <t>RAGUNDA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53264-2024</t>
        </is>
      </c>
      <c r="B1055" s="1" t="n">
        <v>45614.34545138889</v>
      </c>
      <c r="C1055" s="1" t="n">
        <v>46106</v>
      </c>
      <c r="D1055" t="inlineStr">
        <is>
          <t>JÄMTLANDS LÄN</t>
        </is>
      </c>
      <c r="E1055" t="inlineStr">
        <is>
          <t>RAGUNDA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13389-2025</t>
        </is>
      </c>
      <c r="B1056" s="1" t="n">
        <v>45735.69842592593</v>
      </c>
      <c r="C1056" s="1" t="n">
        <v>46106</v>
      </c>
      <c r="D1056" t="inlineStr">
        <is>
          <t>JÄMTLANDS LÄN</t>
        </is>
      </c>
      <c r="E1056" t="inlineStr">
        <is>
          <t>RAGUNDA</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3813-2026</t>
        </is>
      </c>
      <c r="B1057" s="1" t="n">
        <v>46043.58447916667</v>
      </c>
      <c r="C1057" s="1" t="n">
        <v>46106</v>
      </c>
      <c r="D1057" t="inlineStr">
        <is>
          <t>JÄMTLANDS LÄN</t>
        </is>
      </c>
      <c r="E1057" t="inlineStr">
        <is>
          <t>RAGUNDA</t>
        </is>
      </c>
      <c r="F1057" t="inlineStr">
        <is>
          <t>SCA</t>
        </is>
      </c>
      <c r="G1057" t="n">
        <v>23.2</v>
      </c>
      <c r="H1057" t="n">
        <v>0</v>
      </c>
      <c r="I1057" t="n">
        <v>0</v>
      </c>
      <c r="J1057" t="n">
        <v>0</v>
      </c>
      <c r="K1057" t="n">
        <v>0</v>
      </c>
      <c r="L1057" t="n">
        <v>0</v>
      </c>
      <c r="M1057" t="n">
        <v>0</v>
      </c>
      <c r="N1057" t="n">
        <v>0</v>
      </c>
      <c r="O1057" t="n">
        <v>0</v>
      </c>
      <c r="P1057" t="n">
        <v>0</v>
      </c>
      <c r="Q1057" t="n">
        <v>0</v>
      </c>
      <c r="R1057" s="2" t="inlineStr"/>
    </row>
    <row r="1058" ht="15" customHeight="1">
      <c r="A1058" t="inlineStr">
        <is>
          <t>A 3561-2026</t>
        </is>
      </c>
      <c r="B1058" s="1" t="n">
        <v>46042.67142361111</v>
      </c>
      <c r="C1058" s="1" t="n">
        <v>46106</v>
      </c>
      <c r="D1058" t="inlineStr">
        <is>
          <t>JÄMTLANDS LÄN</t>
        </is>
      </c>
      <c r="E1058" t="inlineStr">
        <is>
          <t>RAGUNDA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11878-2026</t>
        </is>
      </c>
      <c r="B1059" s="1" t="n">
        <v>46085.50053240741</v>
      </c>
      <c r="C1059" s="1" t="n">
        <v>46106</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11880-2026</t>
        </is>
      </c>
      <c r="B1060" s="1" t="n">
        <v>46085.50150462963</v>
      </c>
      <c r="C1060" s="1" t="n">
        <v>46106</v>
      </c>
      <c r="D1060" t="inlineStr">
        <is>
          <t>JÄMTLANDS LÄN</t>
        </is>
      </c>
      <c r="E1060" t="inlineStr">
        <is>
          <t>RAGUNDA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45631-2024</t>
        </is>
      </c>
      <c r="B1061" s="1" t="n">
        <v>45579.47052083333</v>
      </c>
      <c r="C1061" s="1" t="n">
        <v>46106</v>
      </c>
      <c r="D1061" t="inlineStr">
        <is>
          <t>JÄMTLANDS LÄN</t>
        </is>
      </c>
      <c r="E1061" t="inlineStr">
        <is>
          <t>RAGUNDA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4237-2026</t>
        </is>
      </c>
      <c r="B1062" s="1" t="n">
        <v>46044.92743055556</v>
      </c>
      <c r="C1062" s="1" t="n">
        <v>46106</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4142-2026</t>
        </is>
      </c>
      <c r="B1063" s="1" t="n">
        <v>46044.63607638889</v>
      </c>
      <c r="C1063" s="1" t="n">
        <v>46106</v>
      </c>
      <c r="D1063" t="inlineStr">
        <is>
          <t>JÄMTLANDS LÄN</t>
        </is>
      </c>
      <c r="E1063" t="inlineStr">
        <is>
          <t>RAGUNDA</t>
        </is>
      </c>
      <c r="F1063" t="inlineStr">
        <is>
          <t>SCA</t>
        </is>
      </c>
      <c r="G1063" t="n">
        <v>19.3</v>
      </c>
      <c r="H1063" t="n">
        <v>0</v>
      </c>
      <c r="I1063" t="n">
        <v>0</v>
      </c>
      <c r="J1063" t="n">
        <v>0</v>
      </c>
      <c r="K1063" t="n">
        <v>0</v>
      </c>
      <c r="L1063" t="n">
        <v>0</v>
      </c>
      <c r="M1063" t="n">
        <v>0</v>
      </c>
      <c r="N1063" t="n">
        <v>0</v>
      </c>
      <c r="O1063" t="n">
        <v>0</v>
      </c>
      <c r="P1063" t="n">
        <v>0</v>
      </c>
      <c r="Q1063" t="n">
        <v>0</v>
      </c>
      <c r="R1063" s="2" t="inlineStr"/>
    </row>
    <row r="1064" ht="15" customHeight="1">
      <c r="A1064" t="inlineStr">
        <is>
          <t>A 12344-2026</t>
        </is>
      </c>
      <c r="B1064" s="1" t="n">
        <v>46087.67763888889</v>
      </c>
      <c r="C1064" s="1" t="n">
        <v>46106</v>
      </c>
      <c r="D1064" t="inlineStr">
        <is>
          <t>JÄMTLANDS LÄN</t>
        </is>
      </c>
      <c r="E1064" t="inlineStr">
        <is>
          <t>RAGUNDA</t>
        </is>
      </c>
      <c r="F1064" t="inlineStr">
        <is>
          <t>SCA</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55701-2021</t>
        </is>
      </c>
      <c r="B1065" s="1" t="n">
        <v>44475</v>
      </c>
      <c r="C1065" s="1" t="n">
        <v>46106</v>
      </c>
      <c r="D1065" t="inlineStr">
        <is>
          <t>JÄMTLANDS LÄN</t>
        </is>
      </c>
      <c r="E1065" t="inlineStr">
        <is>
          <t>RAGUNDA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12179-2026</t>
        </is>
      </c>
      <c r="B1066" s="1" t="n">
        <v>46086.69835648148</v>
      </c>
      <c r="C1066" s="1" t="n">
        <v>46106</v>
      </c>
      <c r="D1066" t="inlineStr">
        <is>
          <t>JÄMTLANDS LÄN</t>
        </is>
      </c>
      <c r="E1066" t="inlineStr">
        <is>
          <t>RAGUNDA</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12346-2026</t>
        </is>
      </c>
      <c r="B1067" s="1" t="n">
        <v>46087.6778587963</v>
      </c>
      <c r="C1067" s="1" t="n">
        <v>46106</v>
      </c>
      <c r="D1067" t="inlineStr">
        <is>
          <t>JÄMTLANDS LÄN</t>
        </is>
      </c>
      <c r="E1067" t="inlineStr">
        <is>
          <t>RAGUNDA</t>
        </is>
      </c>
      <c r="F1067" t="inlineStr">
        <is>
          <t>SCA</t>
        </is>
      </c>
      <c r="G1067" t="n">
        <v>38.3</v>
      </c>
      <c r="H1067" t="n">
        <v>0</v>
      </c>
      <c r="I1067" t="n">
        <v>0</v>
      </c>
      <c r="J1067" t="n">
        <v>0</v>
      </c>
      <c r="K1067" t="n">
        <v>0</v>
      </c>
      <c r="L1067" t="n">
        <v>0</v>
      </c>
      <c r="M1067" t="n">
        <v>0</v>
      </c>
      <c r="N1067" t="n">
        <v>0</v>
      </c>
      <c r="O1067" t="n">
        <v>0</v>
      </c>
      <c r="P1067" t="n">
        <v>0</v>
      </c>
      <c r="Q1067" t="n">
        <v>0</v>
      </c>
      <c r="R1067" s="2" t="inlineStr"/>
    </row>
    <row r="1068" ht="15" customHeight="1">
      <c r="A1068" t="inlineStr">
        <is>
          <t>A 4046-2026</t>
        </is>
      </c>
      <c r="B1068" s="1" t="n">
        <v>46044.46921296296</v>
      </c>
      <c r="C1068" s="1" t="n">
        <v>46106</v>
      </c>
      <c r="D1068" t="inlineStr">
        <is>
          <t>JÄMTLANDS LÄN</t>
        </is>
      </c>
      <c r="E1068" t="inlineStr">
        <is>
          <t>RAGUNDA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4073-2026</t>
        </is>
      </c>
      <c r="B1069" s="1" t="n">
        <v>46044.53168981482</v>
      </c>
      <c r="C1069" s="1" t="n">
        <v>46106</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12347-2026</t>
        </is>
      </c>
      <c r="B1070" s="1" t="n">
        <v>46087.67805555555</v>
      </c>
      <c r="C1070" s="1" t="n">
        <v>46106</v>
      </c>
      <c r="D1070" t="inlineStr">
        <is>
          <t>JÄMTLANDS LÄN</t>
        </is>
      </c>
      <c r="E1070" t="inlineStr">
        <is>
          <t>RAGUNDA</t>
        </is>
      </c>
      <c r="F1070" t="inlineStr">
        <is>
          <t>SCA</t>
        </is>
      </c>
      <c r="G1070" t="n">
        <v>33.1</v>
      </c>
      <c r="H1070" t="n">
        <v>0</v>
      </c>
      <c r="I1070" t="n">
        <v>0</v>
      </c>
      <c r="J1070" t="n">
        <v>0</v>
      </c>
      <c r="K1070" t="n">
        <v>0</v>
      </c>
      <c r="L1070" t="n">
        <v>0</v>
      </c>
      <c r="M1070" t="n">
        <v>0</v>
      </c>
      <c r="N1070" t="n">
        <v>0</v>
      </c>
      <c r="O1070" t="n">
        <v>0</v>
      </c>
      <c r="P1070" t="n">
        <v>0</v>
      </c>
      <c r="Q1070" t="n">
        <v>0</v>
      </c>
      <c r="R1070" s="2" t="inlineStr"/>
    </row>
    <row r="1071" ht="15" customHeight="1">
      <c r="A1071" t="inlineStr">
        <is>
          <t>A 4047-2026</t>
        </is>
      </c>
      <c r="B1071" s="1" t="n">
        <v>46044.46944444445</v>
      </c>
      <c r="C1071" s="1" t="n">
        <v>46106</v>
      </c>
      <c r="D1071" t="inlineStr">
        <is>
          <t>JÄMTLANDS LÄN</t>
        </is>
      </c>
      <c r="E1071" t="inlineStr">
        <is>
          <t>RAGUNDA</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30484-2024</t>
        </is>
      </c>
      <c r="B1072" s="1" t="n">
        <v>45491</v>
      </c>
      <c r="C1072" s="1" t="n">
        <v>46106</v>
      </c>
      <c r="D1072" t="inlineStr">
        <is>
          <t>JÄMTLANDS LÄN</t>
        </is>
      </c>
      <c r="E1072" t="inlineStr">
        <is>
          <t>RAGUNDA</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4099-2026</t>
        </is>
      </c>
      <c r="B1073" s="1" t="n">
        <v>46044.57357638889</v>
      </c>
      <c r="C1073" s="1" t="n">
        <v>46106</v>
      </c>
      <c r="D1073" t="inlineStr">
        <is>
          <t>JÄMTLANDS LÄN</t>
        </is>
      </c>
      <c r="E1073" t="inlineStr">
        <is>
          <t>RAGUNDA</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14513-2025</t>
        </is>
      </c>
      <c r="B1074" s="1" t="n">
        <v>45741.63675925926</v>
      </c>
      <c r="C1074" s="1" t="n">
        <v>46106</v>
      </c>
      <c r="D1074" t="inlineStr">
        <is>
          <t>JÄMTLANDS LÄN</t>
        </is>
      </c>
      <c r="E1074" t="inlineStr">
        <is>
          <t>RAGUNDA</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4627-2026</t>
        </is>
      </c>
      <c r="B1075" s="1" t="n">
        <v>46048.3860300926</v>
      </c>
      <c r="C1075" s="1" t="n">
        <v>46106</v>
      </c>
      <c r="D1075" t="inlineStr">
        <is>
          <t>JÄMTLANDS LÄN</t>
        </is>
      </c>
      <c r="E1075" t="inlineStr">
        <is>
          <t>RAGUNDA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4628-2026</t>
        </is>
      </c>
      <c r="B1076" s="1" t="n">
        <v>46048.3862037037</v>
      </c>
      <c r="C1076" s="1" t="n">
        <v>46106</v>
      </c>
      <c r="D1076" t="inlineStr">
        <is>
          <t>JÄMTLANDS LÄN</t>
        </is>
      </c>
      <c r="E1076" t="inlineStr">
        <is>
          <t>RAGUNDA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46106</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4616-2026</t>
        </is>
      </c>
      <c r="B1078" s="1" t="n">
        <v>46048.37070601852</v>
      </c>
      <c r="C1078" s="1" t="n">
        <v>46106</v>
      </c>
      <c r="D1078" t="inlineStr">
        <is>
          <t>JÄMTLANDS LÄN</t>
        </is>
      </c>
      <c r="E1078" t="inlineStr">
        <is>
          <t>RAGUNDA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7281-2025</t>
        </is>
      </c>
      <c r="B1079" s="1" t="n">
        <v>45702.63572916666</v>
      </c>
      <c r="C1079" s="1" t="n">
        <v>46106</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48192-2024</t>
        </is>
      </c>
      <c r="B1080" s="1" t="n">
        <v>45590</v>
      </c>
      <c r="C1080" s="1" t="n">
        <v>46106</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4629-2026</t>
        </is>
      </c>
      <c r="B1081" s="1" t="n">
        <v>46048.38622685185</v>
      </c>
      <c r="C1081" s="1" t="n">
        <v>46106</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2599-2023</t>
        </is>
      </c>
      <c r="B1082" s="1" t="n">
        <v>44943.94802083333</v>
      </c>
      <c r="C1082" s="1" t="n">
        <v>46106</v>
      </c>
      <c r="D1082" t="inlineStr">
        <is>
          <t>JÄMTLANDS LÄN</t>
        </is>
      </c>
      <c r="E1082" t="inlineStr">
        <is>
          <t>RAGUNDA</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48249-2024</t>
        </is>
      </c>
      <c r="B1083" s="1" t="n">
        <v>45590.40675925926</v>
      </c>
      <c r="C1083" s="1" t="n">
        <v>46106</v>
      </c>
      <c r="D1083" t="inlineStr">
        <is>
          <t>JÄMTLANDS LÄN</t>
        </is>
      </c>
      <c r="E1083" t="inlineStr">
        <is>
          <t>RAGUNDA</t>
        </is>
      </c>
      <c r="F1083" t="inlineStr">
        <is>
          <t>SCA</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64265-2023</t>
        </is>
      </c>
      <c r="B1084" s="1" t="n">
        <v>45279.94572916667</v>
      </c>
      <c r="C1084" s="1" t="n">
        <v>46106</v>
      </c>
      <c r="D1084" t="inlineStr">
        <is>
          <t>JÄMTLANDS LÄN</t>
        </is>
      </c>
      <c r="E1084" t="inlineStr">
        <is>
          <t>RAGUNDA</t>
        </is>
      </c>
      <c r="F1084" t="inlineStr">
        <is>
          <t>SCA</t>
        </is>
      </c>
      <c r="G1084" t="n">
        <v>9.300000000000001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5073-2026</t>
        </is>
      </c>
      <c r="B1085" s="1" t="n">
        <v>46049.51126157407</v>
      </c>
      <c r="C1085" s="1" t="n">
        <v>46106</v>
      </c>
      <c r="D1085" t="inlineStr">
        <is>
          <t>JÄMTLANDS LÄN</t>
        </is>
      </c>
      <c r="E1085" t="inlineStr">
        <is>
          <t>RAGUNDA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5009-2026</t>
        </is>
      </c>
      <c r="B1086" s="1" t="n">
        <v>46049.42839120371</v>
      </c>
      <c r="C1086" s="1" t="n">
        <v>46106</v>
      </c>
      <c r="D1086" t="inlineStr">
        <is>
          <t>JÄMTLANDS LÄN</t>
        </is>
      </c>
      <c r="E1086" t="inlineStr">
        <is>
          <t>RAGUNDA</t>
        </is>
      </c>
      <c r="F1086" t="inlineStr">
        <is>
          <t>SCA</t>
        </is>
      </c>
      <c r="G1086" t="n">
        <v>37.4</v>
      </c>
      <c r="H1086" t="n">
        <v>0</v>
      </c>
      <c r="I1086" t="n">
        <v>0</v>
      </c>
      <c r="J1086" t="n">
        <v>0</v>
      </c>
      <c r="K1086" t="n">
        <v>0</v>
      </c>
      <c r="L1086" t="n">
        <v>0</v>
      </c>
      <c r="M1086" t="n">
        <v>0</v>
      </c>
      <c r="N1086" t="n">
        <v>0</v>
      </c>
      <c r="O1086" t="n">
        <v>0</v>
      </c>
      <c r="P1086" t="n">
        <v>0</v>
      </c>
      <c r="Q1086" t="n">
        <v>0</v>
      </c>
      <c r="R1086" s="2" t="inlineStr"/>
    </row>
    <row r="1087" ht="15" customHeight="1">
      <c r="A1087" t="inlineStr">
        <is>
          <t>A 66706-2021</t>
        </is>
      </c>
      <c r="B1087" s="1" t="n">
        <v>44519.94440972222</v>
      </c>
      <c r="C1087" s="1" t="n">
        <v>46106</v>
      </c>
      <c r="D1087" t="inlineStr">
        <is>
          <t>JÄMTLANDS LÄN</t>
        </is>
      </c>
      <c r="E1087" t="inlineStr">
        <is>
          <t>RAGUNDA</t>
        </is>
      </c>
      <c r="F1087" t="inlineStr">
        <is>
          <t>SCA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12499-2026</t>
        </is>
      </c>
      <c r="B1088" s="1" t="n">
        <v>46090.57364583333</v>
      </c>
      <c r="C1088" s="1" t="n">
        <v>46106</v>
      </c>
      <c r="D1088" t="inlineStr">
        <is>
          <t>JÄMTLANDS LÄN</t>
        </is>
      </c>
      <c r="E1088" t="inlineStr">
        <is>
          <t>RAGUNDA</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4839-2026</t>
        </is>
      </c>
      <c r="B1089" s="1" t="n">
        <v>46048.61520833334</v>
      </c>
      <c r="C1089" s="1" t="n">
        <v>46106</v>
      </c>
      <c r="D1089" t="inlineStr">
        <is>
          <t>JÄMTLANDS LÄN</t>
        </is>
      </c>
      <c r="E1089" t="inlineStr">
        <is>
          <t>RAGUNDA</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4841-2026</t>
        </is>
      </c>
      <c r="B1090" s="1" t="n">
        <v>46048.61550925926</v>
      </c>
      <c r="C1090" s="1" t="n">
        <v>46106</v>
      </c>
      <c r="D1090" t="inlineStr">
        <is>
          <t>JÄMTLANDS LÄN</t>
        </is>
      </c>
      <c r="E1090" t="inlineStr">
        <is>
          <t>RAGUNDA</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55222-2024</t>
        </is>
      </c>
      <c r="B1091" s="1" t="n">
        <v>45621.57395833333</v>
      </c>
      <c r="C1091" s="1" t="n">
        <v>46106</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46211-2024</t>
        </is>
      </c>
      <c r="B1092" s="1" t="n">
        <v>45581.55260416667</v>
      </c>
      <c r="C1092" s="1" t="n">
        <v>46106</v>
      </c>
      <c r="D1092" t="inlineStr">
        <is>
          <t>JÄMTLANDS LÄN</t>
        </is>
      </c>
      <c r="E1092" t="inlineStr">
        <is>
          <t>RAGUNDA</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31435-2022</t>
        </is>
      </c>
      <c r="B1093" s="1" t="n">
        <v>44774</v>
      </c>
      <c r="C1093" s="1" t="n">
        <v>46106</v>
      </c>
      <c r="D1093" t="inlineStr">
        <is>
          <t>JÄMTLANDS LÄN</t>
        </is>
      </c>
      <c r="E1093" t="inlineStr">
        <is>
          <t>RAGUNDA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39608-2024</t>
        </is>
      </c>
      <c r="B1094" s="1" t="n">
        <v>45552.39113425926</v>
      </c>
      <c r="C1094" s="1" t="n">
        <v>46106</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39626-2024</t>
        </is>
      </c>
      <c r="B1095" s="1" t="n">
        <v>45552.44096064815</v>
      </c>
      <c r="C1095" s="1" t="n">
        <v>46106</v>
      </c>
      <c r="D1095" t="inlineStr">
        <is>
          <t>JÄMTLANDS LÄN</t>
        </is>
      </c>
      <c r="E1095" t="inlineStr">
        <is>
          <t>RAGUNDA</t>
        </is>
      </c>
      <c r="G1095" t="n">
        <v>23.5</v>
      </c>
      <c r="H1095" t="n">
        <v>0</v>
      </c>
      <c r="I1095" t="n">
        <v>0</v>
      </c>
      <c r="J1095" t="n">
        <v>0</v>
      </c>
      <c r="K1095" t="n">
        <v>0</v>
      </c>
      <c r="L1095" t="n">
        <v>0</v>
      </c>
      <c r="M1095" t="n">
        <v>0</v>
      </c>
      <c r="N1095" t="n">
        <v>0</v>
      </c>
      <c r="O1095" t="n">
        <v>0</v>
      </c>
      <c r="P1095" t="n">
        <v>0</v>
      </c>
      <c r="Q1095" t="n">
        <v>0</v>
      </c>
      <c r="R1095" s="2" t="inlineStr"/>
    </row>
    <row r="1096" ht="15" customHeight="1">
      <c r="A1096" t="inlineStr">
        <is>
          <t>A 12960-2026</t>
        </is>
      </c>
      <c r="B1096" s="1" t="n">
        <v>46092.64105324074</v>
      </c>
      <c r="C1096" s="1" t="n">
        <v>46106</v>
      </c>
      <c r="D1096" t="inlineStr">
        <is>
          <t>JÄMTLANDS LÄN</t>
        </is>
      </c>
      <c r="E1096" t="inlineStr">
        <is>
          <t>RAGUNDA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56984-2022</t>
        </is>
      </c>
      <c r="B1097" s="1" t="n">
        <v>44894.79018518519</v>
      </c>
      <c r="C1097" s="1" t="n">
        <v>46106</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5359-2026</t>
        </is>
      </c>
      <c r="B1098" s="1" t="n">
        <v>46050.4484837963</v>
      </c>
      <c r="C1098" s="1" t="n">
        <v>46106</v>
      </c>
      <c r="D1098" t="inlineStr">
        <is>
          <t>JÄMTLANDS LÄN</t>
        </is>
      </c>
      <c r="E1098" t="inlineStr">
        <is>
          <t>RAGUNDA</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13264-2025</t>
        </is>
      </c>
      <c r="B1099" s="1" t="n">
        <v>45735</v>
      </c>
      <c r="C1099" s="1" t="n">
        <v>46106</v>
      </c>
      <c r="D1099" t="inlineStr">
        <is>
          <t>JÄMTLANDS LÄN</t>
        </is>
      </c>
      <c r="E1099" t="inlineStr">
        <is>
          <t>RAGUNDA</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12794-2026</t>
        </is>
      </c>
      <c r="B1100" s="1" t="n">
        <v>46092.34559027778</v>
      </c>
      <c r="C1100" s="1" t="n">
        <v>46106</v>
      </c>
      <c r="D1100" t="inlineStr">
        <is>
          <t>JÄMTLANDS LÄN</t>
        </is>
      </c>
      <c r="E1100" t="inlineStr">
        <is>
          <t>RAGUNDA</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5307-2025</t>
        </is>
      </c>
      <c r="B1101" s="1" t="n">
        <v>45692.48993055556</v>
      </c>
      <c r="C1101" s="1" t="n">
        <v>46106</v>
      </c>
      <c r="D1101" t="inlineStr">
        <is>
          <t>JÄMTLANDS LÄN</t>
        </is>
      </c>
      <c r="E1101" t="inlineStr">
        <is>
          <t>RAGUNDA</t>
        </is>
      </c>
      <c r="F1101" t="inlineStr">
        <is>
          <t>SCA</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12985-2026</t>
        </is>
      </c>
      <c r="B1102" s="1" t="n">
        <v>46092.66290509259</v>
      </c>
      <c r="C1102" s="1" t="n">
        <v>46106</v>
      </c>
      <c r="D1102" t="inlineStr">
        <is>
          <t>JÄMTLANDS LÄN</t>
        </is>
      </c>
      <c r="E1102" t="inlineStr">
        <is>
          <t>RAGUNDA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38548-2024</t>
        </is>
      </c>
      <c r="B1103" s="1" t="n">
        <v>45546</v>
      </c>
      <c r="C1103" s="1" t="n">
        <v>46106</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2411-2023</t>
        </is>
      </c>
      <c r="B1104" s="1" t="n">
        <v>44942</v>
      </c>
      <c r="C1104" s="1" t="n">
        <v>46106</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13935-2024</t>
        </is>
      </c>
      <c r="B1105" s="1" t="n">
        <v>45391.95329861111</v>
      </c>
      <c r="C1105" s="1" t="n">
        <v>46106</v>
      </c>
      <c r="D1105" t="inlineStr">
        <is>
          <t>JÄMTLANDS LÄN</t>
        </is>
      </c>
      <c r="E1105" t="inlineStr">
        <is>
          <t>RAGUNDA</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5308-2025</t>
        </is>
      </c>
      <c r="B1106" s="1" t="n">
        <v>45692.49008101852</v>
      </c>
      <c r="C1106" s="1" t="n">
        <v>46106</v>
      </c>
      <c r="D1106" t="inlineStr">
        <is>
          <t>JÄMTLANDS LÄN</t>
        </is>
      </c>
      <c r="E1106" t="inlineStr">
        <is>
          <t>RAGUNDA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58194-2022</t>
        </is>
      </c>
      <c r="B1107" s="1" t="n">
        <v>44900</v>
      </c>
      <c r="C1107" s="1" t="n">
        <v>46106</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13326-2026</t>
        </is>
      </c>
      <c r="B1108" s="1" t="n">
        <v>46094.35868055555</v>
      </c>
      <c r="C1108" s="1" t="n">
        <v>46106</v>
      </c>
      <c r="D1108" t="inlineStr">
        <is>
          <t>JÄMTLANDS LÄN</t>
        </is>
      </c>
      <c r="E1108" t="inlineStr">
        <is>
          <t>RAGUNDA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24171-2021</t>
        </is>
      </c>
      <c r="B1109" s="1" t="n">
        <v>44336</v>
      </c>
      <c r="C1109" s="1" t="n">
        <v>46106</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6174-2026</t>
        </is>
      </c>
      <c r="B1110" s="1" t="n">
        <v>46055.34457175926</v>
      </c>
      <c r="C1110" s="1" t="n">
        <v>46106</v>
      </c>
      <c r="D1110" t="inlineStr">
        <is>
          <t>JÄMTLANDS LÄN</t>
        </is>
      </c>
      <c r="E1110" t="inlineStr">
        <is>
          <t>RAGUNDA</t>
        </is>
      </c>
      <c r="F1110" t="inlineStr">
        <is>
          <t>SCA</t>
        </is>
      </c>
      <c r="G1110" t="n">
        <v>24.3</v>
      </c>
      <c r="H1110" t="n">
        <v>0</v>
      </c>
      <c r="I1110" t="n">
        <v>0</v>
      </c>
      <c r="J1110" t="n">
        <v>0</v>
      </c>
      <c r="K1110" t="n">
        <v>0</v>
      </c>
      <c r="L1110" t="n">
        <v>0</v>
      </c>
      <c r="M1110" t="n">
        <v>0</v>
      </c>
      <c r="N1110" t="n">
        <v>0</v>
      </c>
      <c r="O1110" t="n">
        <v>0</v>
      </c>
      <c r="P1110" t="n">
        <v>0</v>
      </c>
      <c r="Q1110" t="n">
        <v>0</v>
      </c>
      <c r="R1110" s="2" t="inlineStr"/>
    </row>
    <row r="1111" ht="15" customHeight="1">
      <c r="A1111" t="inlineStr">
        <is>
          <t>A 58843-2024</t>
        </is>
      </c>
      <c r="B1111" s="1" t="n">
        <v>45636.38599537037</v>
      </c>
      <c r="C1111" s="1" t="n">
        <v>46106</v>
      </c>
      <c r="D1111" t="inlineStr">
        <is>
          <t>JÄMTLANDS LÄN</t>
        </is>
      </c>
      <c r="E1111" t="inlineStr">
        <is>
          <t>RAGUNDA</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13752-2026</t>
        </is>
      </c>
      <c r="B1112" s="1" t="n">
        <v>46097.63755787037</v>
      </c>
      <c r="C1112" s="1" t="n">
        <v>46106</v>
      </c>
      <c r="D1112" t="inlineStr">
        <is>
          <t>JÄMTLANDS LÄN</t>
        </is>
      </c>
      <c r="E1112" t="inlineStr">
        <is>
          <t>RAGUNDA</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13439-2026</t>
        </is>
      </c>
      <c r="B1113" s="1" t="n">
        <v>46094.49064814814</v>
      </c>
      <c r="C1113" s="1" t="n">
        <v>46106</v>
      </c>
      <c r="D1113" t="inlineStr">
        <is>
          <t>JÄMTLANDS LÄN</t>
        </is>
      </c>
      <c r="E1113" t="inlineStr">
        <is>
          <t>RAGUNDA</t>
        </is>
      </c>
      <c r="F1113" t="inlineStr">
        <is>
          <t>SCA</t>
        </is>
      </c>
      <c r="G1113" t="n">
        <v>31.2</v>
      </c>
      <c r="H1113" t="n">
        <v>0</v>
      </c>
      <c r="I1113" t="n">
        <v>0</v>
      </c>
      <c r="J1113" t="n">
        <v>0</v>
      </c>
      <c r="K1113" t="n">
        <v>0</v>
      </c>
      <c r="L1113" t="n">
        <v>0</v>
      </c>
      <c r="M1113" t="n">
        <v>0</v>
      </c>
      <c r="N1113" t="n">
        <v>0</v>
      </c>
      <c r="O1113" t="n">
        <v>0</v>
      </c>
      <c r="P1113" t="n">
        <v>0</v>
      </c>
      <c r="Q1113" t="n">
        <v>0</v>
      </c>
      <c r="R1113" s="2" t="inlineStr"/>
    </row>
    <row r="1114" ht="15" customHeight="1">
      <c r="A1114" t="inlineStr">
        <is>
          <t>A 53287-2022</t>
        </is>
      </c>
      <c r="B1114" s="1" t="n">
        <v>44876</v>
      </c>
      <c r="C1114" s="1" t="n">
        <v>46106</v>
      </c>
      <c r="D1114" t="inlineStr">
        <is>
          <t>JÄMTLANDS LÄN</t>
        </is>
      </c>
      <c r="E1114" t="inlineStr">
        <is>
          <t>RAGUNDA</t>
        </is>
      </c>
      <c r="F1114" t="inlineStr">
        <is>
          <t>SCA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6569-2026</t>
        </is>
      </c>
      <c r="B1115" s="1" t="n">
        <v>46052</v>
      </c>
      <c r="C1115" s="1" t="n">
        <v>46106</v>
      </c>
      <c r="D1115" t="inlineStr">
        <is>
          <t>JÄMTLANDS LÄN</t>
        </is>
      </c>
      <c r="E1115" t="inlineStr">
        <is>
          <t>RAGUNDA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16320-2025</t>
        </is>
      </c>
      <c r="B1116" s="1" t="n">
        <v>45751.34859953704</v>
      </c>
      <c r="C1116" s="1" t="n">
        <v>46106</v>
      </c>
      <c r="D1116" t="inlineStr">
        <is>
          <t>JÄMTLANDS LÄN</t>
        </is>
      </c>
      <c r="E1116" t="inlineStr">
        <is>
          <t>RAGUNDA</t>
        </is>
      </c>
      <c r="F1116" t="inlineStr">
        <is>
          <t>SCA</t>
        </is>
      </c>
      <c r="G1116" t="n">
        <v>16.2</v>
      </c>
      <c r="H1116" t="n">
        <v>0</v>
      </c>
      <c r="I1116" t="n">
        <v>0</v>
      </c>
      <c r="J1116" t="n">
        <v>0</v>
      </c>
      <c r="K1116" t="n">
        <v>0</v>
      </c>
      <c r="L1116" t="n">
        <v>0</v>
      </c>
      <c r="M1116" t="n">
        <v>0</v>
      </c>
      <c r="N1116" t="n">
        <v>0</v>
      </c>
      <c r="O1116" t="n">
        <v>0</v>
      </c>
      <c r="P1116" t="n">
        <v>0</v>
      </c>
      <c r="Q1116" t="n">
        <v>0</v>
      </c>
      <c r="R1116" s="2" t="inlineStr"/>
    </row>
    <row r="1117" ht="15" customHeight="1">
      <c r="A1117" t="inlineStr">
        <is>
          <t>A 16321-2025</t>
        </is>
      </c>
      <c r="B1117" s="1" t="n">
        <v>45751.34873842593</v>
      </c>
      <c r="C1117" s="1" t="n">
        <v>46106</v>
      </c>
      <c r="D1117" t="inlineStr">
        <is>
          <t>JÄMTLANDS LÄN</t>
        </is>
      </c>
      <c r="E1117" t="inlineStr">
        <is>
          <t>RAGUNDA</t>
        </is>
      </c>
      <c r="F1117" t="inlineStr">
        <is>
          <t>SCA</t>
        </is>
      </c>
      <c r="G1117" t="n">
        <v>63.3</v>
      </c>
      <c r="H1117" t="n">
        <v>0</v>
      </c>
      <c r="I1117" t="n">
        <v>0</v>
      </c>
      <c r="J1117" t="n">
        <v>0</v>
      </c>
      <c r="K1117" t="n">
        <v>0</v>
      </c>
      <c r="L1117" t="n">
        <v>0</v>
      </c>
      <c r="M1117" t="n">
        <v>0</v>
      </c>
      <c r="N1117" t="n">
        <v>0</v>
      </c>
      <c r="O1117" t="n">
        <v>0</v>
      </c>
      <c r="P1117" t="n">
        <v>0</v>
      </c>
      <c r="Q1117" t="n">
        <v>0</v>
      </c>
      <c r="R1117" s="2" t="inlineStr"/>
    </row>
    <row r="1118" ht="15" customHeight="1">
      <c r="A1118" t="inlineStr">
        <is>
          <t>A 14696-2022</t>
        </is>
      </c>
      <c r="B1118" s="1" t="n">
        <v>44655</v>
      </c>
      <c r="C1118" s="1" t="n">
        <v>46106</v>
      </c>
      <c r="D1118" t="inlineStr">
        <is>
          <t>JÄMTLANDS LÄN</t>
        </is>
      </c>
      <c r="E1118" t="inlineStr">
        <is>
          <t>RAGUNDA</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13751-2026</t>
        </is>
      </c>
      <c r="B1119" s="1" t="n">
        <v>46097.6374074074</v>
      </c>
      <c r="C1119" s="1" t="n">
        <v>46106</v>
      </c>
      <c r="D1119" t="inlineStr">
        <is>
          <t>JÄMTLANDS LÄN</t>
        </is>
      </c>
      <c r="E1119" t="inlineStr">
        <is>
          <t>RAGUNDA</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55514-2024</t>
        </is>
      </c>
      <c r="B1120" s="1" t="n">
        <v>45622.46910879629</v>
      </c>
      <c r="C1120" s="1" t="n">
        <v>46106</v>
      </c>
      <c r="D1120" t="inlineStr">
        <is>
          <t>JÄMTLANDS LÄN</t>
        </is>
      </c>
      <c r="E1120" t="inlineStr">
        <is>
          <t>RAGUNDA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18375-2022</t>
        </is>
      </c>
      <c r="B1121" s="1" t="n">
        <v>44685</v>
      </c>
      <c r="C1121" s="1" t="n">
        <v>46106</v>
      </c>
      <c r="D1121" t="inlineStr">
        <is>
          <t>JÄMTLANDS LÄN</t>
        </is>
      </c>
      <c r="E1121" t="inlineStr">
        <is>
          <t>RAGUNDA</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17248-2023</t>
        </is>
      </c>
      <c r="B1122" s="1" t="n">
        <v>45033</v>
      </c>
      <c r="C1122" s="1" t="n">
        <v>46106</v>
      </c>
      <c r="D1122" t="inlineStr">
        <is>
          <t>JÄMTLANDS LÄN</t>
        </is>
      </c>
      <c r="E1122" t="inlineStr">
        <is>
          <t>RAGUNDA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13620-2026</t>
        </is>
      </c>
      <c r="B1123" s="1" t="n">
        <v>46097.34435185185</v>
      </c>
      <c r="C1123" s="1" t="n">
        <v>46106</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62011-2022</t>
        </is>
      </c>
      <c r="B1124" s="1" t="n">
        <v>44914</v>
      </c>
      <c r="C1124" s="1" t="n">
        <v>46106</v>
      </c>
      <c r="D1124" t="inlineStr">
        <is>
          <t>JÄMTLANDS LÄN</t>
        </is>
      </c>
      <c r="E1124" t="inlineStr">
        <is>
          <t>RAGUNDA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11557-2023</t>
        </is>
      </c>
      <c r="B1125" s="1" t="n">
        <v>44993.94950231481</v>
      </c>
      <c r="C1125" s="1" t="n">
        <v>46106</v>
      </c>
      <c r="D1125" t="inlineStr">
        <is>
          <t>JÄMTLANDS LÄN</t>
        </is>
      </c>
      <c r="E1125" t="inlineStr">
        <is>
          <t>RAGUNDA</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11562-2023</t>
        </is>
      </c>
      <c r="B1126" s="1" t="n">
        <v>44993</v>
      </c>
      <c r="C1126" s="1" t="n">
        <v>46106</v>
      </c>
      <c r="D1126" t="inlineStr">
        <is>
          <t>JÄMTLANDS LÄN</t>
        </is>
      </c>
      <c r="E1126" t="inlineStr">
        <is>
          <t>RAGUNDA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22131-2021</t>
        </is>
      </c>
      <c r="B1127" s="1" t="n">
        <v>44323</v>
      </c>
      <c r="C1127" s="1" t="n">
        <v>46106</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5971-2025</t>
        </is>
      </c>
      <c r="B1128" s="1" t="n">
        <v>45695.51070601852</v>
      </c>
      <c r="C1128" s="1" t="n">
        <v>46106</v>
      </c>
      <c r="D1128" t="inlineStr">
        <is>
          <t>JÄMTLANDS LÄN</t>
        </is>
      </c>
      <c r="E1128" t="inlineStr">
        <is>
          <t>RAGUNDA</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30563-2023</t>
        </is>
      </c>
      <c r="B1129" s="1" t="n">
        <v>45111.92793981481</v>
      </c>
      <c r="C1129" s="1" t="n">
        <v>46106</v>
      </c>
      <c r="D1129" t="inlineStr">
        <is>
          <t>JÄMTLANDS LÄN</t>
        </is>
      </c>
      <c r="E1129" t="inlineStr">
        <is>
          <t>RAGUNDA</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13712-2026</t>
        </is>
      </c>
      <c r="B1130" s="1" t="n">
        <v>46097.58015046296</v>
      </c>
      <c r="C1130" s="1" t="n">
        <v>46106</v>
      </c>
      <c r="D1130" t="inlineStr">
        <is>
          <t>JÄMTLANDS LÄN</t>
        </is>
      </c>
      <c r="E1130" t="inlineStr">
        <is>
          <t>RAGUNDA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45149.95241898148</v>
      </c>
      <c r="C1131" s="1" t="n">
        <v>46106</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6693-2026</t>
        </is>
      </c>
      <c r="B1132" s="1" t="n">
        <v>46056</v>
      </c>
      <c r="C1132" s="1" t="n">
        <v>46106</v>
      </c>
      <c r="D1132" t="inlineStr">
        <is>
          <t>JÄMTLANDS LÄN</t>
        </is>
      </c>
      <c r="E1132" t="inlineStr">
        <is>
          <t>RAGUNDA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12768-2022</t>
        </is>
      </c>
      <c r="B1133" s="1" t="n">
        <v>44641</v>
      </c>
      <c r="C1133" s="1" t="n">
        <v>46106</v>
      </c>
      <c r="D1133" t="inlineStr">
        <is>
          <t>JÄMTLANDS LÄN</t>
        </is>
      </c>
      <c r="E1133" t="inlineStr">
        <is>
          <t>RAGUNDA</t>
        </is>
      </c>
      <c r="F1133" t="inlineStr">
        <is>
          <t>SCA</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12773-2022</t>
        </is>
      </c>
      <c r="B1134" s="1" t="n">
        <v>44641</v>
      </c>
      <c r="C1134" s="1" t="n">
        <v>46106</v>
      </c>
      <c r="D1134" t="inlineStr">
        <is>
          <t>JÄMTLANDS LÄN</t>
        </is>
      </c>
      <c r="E1134" t="inlineStr">
        <is>
          <t>RAGUNDA</t>
        </is>
      </c>
      <c r="F1134" t="inlineStr">
        <is>
          <t>SCA</t>
        </is>
      </c>
      <c r="G1134" t="n">
        <v>14.7</v>
      </c>
      <c r="H1134" t="n">
        <v>0</v>
      </c>
      <c r="I1134" t="n">
        <v>0</v>
      </c>
      <c r="J1134" t="n">
        <v>0</v>
      </c>
      <c r="K1134" t="n">
        <v>0</v>
      </c>
      <c r="L1134" t="n">
        <v>0</v>
      </c>
      <c r="M1134" t="n">
        <v>0</v>
      </c>
      <c r="N1134" t="n">
        <v>0</v>
      </c>
      <c r="O1134" t="n">
        <v>0</v>
      </c>
      <c r="P1134" t="n">
        <v>0</v>
      </c>
      <c r="Q1134" t="n">
        <v>0</v>
      </c>
      <c r="R1134" s="2" t="inlineStr"/>
    </row>
    <row r="1135" ht="15" customHeight="1">
      <c r="A1135" t="inlineStr">
        <is>
          <t>A 5067-2024</t>
        </is>
      </c>
      <c r="B1135" s="1" t="n">
        <v>45329.95806712963</v>
      </c>
      <c r="C1135" s="1" t="n">
        <v>46106</v>
      </c>
      <c r="D1135" t="inlineStr">
        <is>
          <t>JÄMTLANDS LÄN</t>
        </is>
      </c>
      <c r="E1135" t="inlineStr">
        <is>
          <t>RAGUNDA</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14905-2022</t>
        </is>
      </c>
      <c r="B1136" s="1" t="n">
        <v>44656.94708333333</v>
      </c>
      <c r="C1136" s="1" t="n">
        <v>46106</v>
      </c>
      <c r="D1136" t="inlineStr">
        <is>
          <t>JÄMTLANDS LÄN</t>
        </is>
      </c>
      <c r="E1136" t="inlineStr">
        <is>
          <t>RAGUNDA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29766-2023</t>
        </is>
      </c>
      <c r="B1137" s="1" t="n">
        <v>45098</v>
      </c>
      <c r="C1137" s="1" t="n">
        <v>46106</v>
      </c>
      <c r="D1137" t="inlineStr">
        <is>
          <t>JÄMTLANDS LÄN</t>
        </is>
      </c>
      <c r="E1137" t="inlineStr">
        <is>
          <t>RAGUNDA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61107-2024</t>
        </is>
      </c>
      <c r="B1138" s="1" t="n">
        <v>45645.55665509259</v>
      </c>
      <c r="C1138" s="1" t="n">
        <v>46106</v>
      </c>
      <c r="D1138" t="inlineStr">
        <is>
          <t>JÄMTLANDS LÄN</t>
        </is>
      </c>
      <c r="E1138" t="inlineStr">
        <is>
          <t>RAGUNDA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23287-2024</t>
        </is>
      </c>
      <c r="B1139" s="1" t="n">
        <v>45453.42041666667</v>
      </c>
      <c r="C1139" s="1" t="n">
        <v>46106</v>
      </c>
      <c r="D1139" t="inlineStr">
        <is>
          <t>JÄMTLANDS LÄN</t>
        </is>
      </c>
      <c r="E1139" t="inlineStr">
        <is>
          <t>RAGUNDA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36922-2022</t>
        </is>
      </c>
      <c r="B1140" s="1" t="n">
        <v>44805.94592592592</v>
      </c>
      <c r="C1140" s="1" t="n">
        <v>46106</v>
      </c>
      <c r="D1140" t="inlineStr">
        <is>
          <t>JÄMTLANDS LÄN</t>
        </is>
      </c>
      <c r="E1140" t="inlineStr">
        <is>
          <t>RAGUNDA</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26347-2023</t>
        </is>
      </c>
      <c r="B1141" s="1" t="n">
        <v>45091</v>
      </c>
      <c r="C1141" s="1" t="n">
        <v>46106</v>
      </c>
      <c r="D1141" t="inlineStr">
        <is>
          <t>JÄMTLANDS LÄN</t>
        </is>
      </c>
      <c r="E1141" t="inlineStr">
        <is>
          <t>RAGUNDA</t>
        </is>
      </c>
      <c r="F1141" t="inlineStr">
        <is>
          <t>SCA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34483-2023</t>
        </is>
      </c>
      <c r="B1142" s="1" t="n">
        <v>45139.94681712963</v>
      </c>
      <c r="C1142" s="1" t="n">
        <v>46106</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22948-2024</t>
        </is>
      </c>
      <c r="B1143" s="1" t="n">
        <v>45448.94600694445</v>
      </c>
      <c r="C1143" s="1" t="n">
        <v>46106</v>
      </c>
      <c r="D1143" t="inlineStr">
        <is>
          <t>JÄMTLANDS LÄN</t>
        </is>
      </c>
      <c r="E1143" t="inlineStr">
        <is>
          <t>RAGUNDA</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23304-2023</t>
        </is>
      </c>
      <c r="B1144" s="1" t="n">
        <v>45075.945</v>
      </c>
      <c r="C1144" s="1" t="n">
        <v>46106</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36226-2023</t>
        </is>
      </c>
      <c r="B1145" s="1" t="n">
        <v>45149.95372685185</v>
      </c>
      <c r="C1145" s="1" t="n">
        <v>46106</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18615-2024</t>
        </is>
      </c>
      <c r="B1146" s="1" t="n">
        <v>45425.96275462963</v>
      </c>
      <c r="C1146" s="1" t="n">
        <v>46106</v>
      </c>
      <c r="D1146" t="inlineStr">
        <is>
          <t>JÄMTLANDS LÄN</t>
        </is>
      </c>
      <c r="E1146" t="inlineStr">
        <is>
          <t>RAGUNDA</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40269-2022</t>
        </is>
      </c>
      <c r="B1147" s="1" t="n">
        <v>44820</v>
      </c>
      <c r="C1147" s="1" t="n">
        <v>46106</v>
      </c>
      <c r="D1147" t="inlineStr">
        <is>
          <t>JÄMTLANDS LÄN</t>
        </is>
      </c>
      <c r="E1147" t="inlineStr">
        <is>
          <t>RAGUNDA</t>
        </is>
      </c>
      <c r="F1147" t="inlineStr">
        <is>
          <t>SCA</t>
        </is>
      </c>
      <c r="G1147" t="n">
        <v>77.8</v>
      </c>
      <c r="H1147" t="n">
        <v>0</v>
      </c>
      <c r="I1147" t="n">
        <v>0</v>
      </c>
      <c r="J1147" t="n">
        <v>0</v>
      </c>
      <c r="K1147" t="n">
        <v>0</v>
      </c>
      <c r="L1147" t="n">
        <v>0</v>
      </c>
      <c r="M1147" t="n">
        <v>0</v>
      </c>
      <c r="N1147" t="n">
        <v>0</v>
      </c>
      <c r="O1147" t="n">
        <v>0</v>
      </c>
      <c r="P1147" t="n">
        <v>0</v>
      </c>
      <c r="Q1147" t="n">
        <v>0</v>
      </c>
      <c r="R1147" s="2" t="inlineStr"/>
    </row>
    <row r="1148" ht="15" customHeight="1">
      <c r="A1148" t="inlineStr">
        <is>
          <t>A 37242-2024</t>
        </is>
      </c>
      <c r="B1148" s="1" t="n">
        <v>45540.34428240741</v>
      </c>
      <c r="C1148" s="1" t="n">
        <v>46106</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45438-2022</t>
        </is>
      </c>
      <c r="B1149" s="1" t="n">
        <v>44844.95368055555</v>
      </c>
      <c r="C1149" s="1" t="n">
        <v>46106</v>
      </c>
      <c r="D1149" t="inlineStr">
        <is>
          <t>JÄMTLANDS LÄN</t>
        </is>
      </c>
      <c r="E1149" t="inlineStr">
        <is>
          <t>RAGUNDA</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56191-2022</t>
        </is>
      </c>
      <c r="B1150" s="1" t="n">
        <v>44889.95015046297</v>
      </c>
      <c r="C1150" s="1" t="n">
        <v>46106</v>
      </c>
      <c r="D1150" t="inlineStr">
        <is>
          <t>JÄMTLANDS LÄN</t>
        </is>
      </c>
      <c r="E1150" t="inlineStr">
        <is>
          <t>RAGUNDA</t>
        </is>
      </c>
      <c r="F1150" t="inlineStr">
        <is>
          <t>Sveaskog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30823-2023</t>
        </is>
      </c>
      <c r="B1151" s="1" t="n">
        <v>45112</v>
      </c>
      <c r="C1151" s="1" t="n">
        <v>46106</v>
      </c>
      <c r="D1151" t="inlineStr">
        <is>
          <t>JÄMTLANDS LÄN</t>
        </is>
      </c>
      <c r="E1151" t="inlineStr">
        <is>
          <t>RAGUNDA</t>
        </is>
      </c>
      <c r="F1151" t="inlineStr">
        <is>
          <t>SCA</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43339-2024</t>
        </is>
      </c>
      <c r="B1152" s="1" t="n">
        <v>45568.51075231482</v>
      </c>
      <c r="C1152" s="1" t="n">
        <v>46106</v>
      </c>
      <c r="D1152" t="inlineStr">
        <is>
          <t>JÄMTLANDS LÄN</t>
        </is>
      </c>
      <c r="E1152" t="inlineStr">
        <is>
          <t>RAGUNDA</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43102-2023</t>
        </is>
      </c>
      <c r="B1153" s="1" t="n">
        <v>45182</v>
      </c>
      <c r="C1153" s="1" t="n">
        <v>46106</v>
      </c>
      <c r="D1153" t="inlineStr">
        <is>
          <t>JÄMTLANDS LÄN</t>
        </is>
      </c>
      <c r="E1153" t="inlineStr">
        <is>
          <t>RAGUNDA</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9823-2025</t>
        </is>
      </c>
      <c r="B1154" s="1" t="n">
        <v>45716</v>
      </c>
      <c r="C1154" s="1" t="n">
        <v>46106</v>
      </c>
      <c r="D1154" t="inlineStr">
        <is>
          <t>JÄMTLANDS LÄN</t>
        </is>
      </c>
      <c r="E1154" t="inlineStr">
        <is>
          <t>RAGUNDA</t>
        </is>
      </c>
      <c r="F1154" t="inlineStr">
        <is>
          <t>SCA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13917-2023</t>
        </is>
      </c>
      <c r="B1155" s="1" t="n">
        <v>45007</v>
      </c>
      <c r="C1155" s="1" t="n">
        <v>46106</v>
      </c>
      <c r="D1155" t="inlineStr">
        <is>
          <t>JÄMTLANDS LÄN</t>
        </is>
      </c>
      <c r="E1155" t="inlineStr">
        <is>
          <t>RAGUNDA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53019-2023</t>
        </is>
      </c>
      <c r="B1156" s="1" t="n">
        <v>45222</v>
      </c>
      <c r="C1156" s="1" t="n">
        <v>46106</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14212-2023</t>
        </is>
      </c>
      <c r="B1157" s="1" t="n">
        <v>45009</v>
      </c>
      <c r="C1157" s="1" t="n">
        <v>46106</v>
      </c>
      <c r="D1157" t="inlineStr">
        <is>
          <t>JÄMTLANDS LÄN</t>
        </is>
      </c>
      <c r="E1157" t="inlineStr">
        <is>
          <t>RAGUNDA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59996-2023</t>
        </is>
      </c>
      <c r="B1158" s="1" t="n">
        <v>45257.92826388889</v>
      </c>
      <c r="C1158" s="1" t="n">
        <v>46106</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44980-2023</t>
        </is>
      </c>
      <c r="B1159" s="1" t="n">
        <v>45190</v>
      </c>
      <c r="C1159" s="1" t="n">
        <v>46106</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14076-2023</t>
        </is>
      </c>
      <c r="B1160" s="1" t="n">
        <v>45009.0897337963</v>
      </c>
      <c r="C1160" s="1" t="n">
        <v>46106</v>
      </c>
      <c r="D1160" t="inlineStr">
        <is>
          <t>JÄMTLANDS LÄN</t>
        </is>
      </c>
      <c r="E1160" t="inlineStr">
        <is>
          <t>RAGUNDA</t>
        </is>
      </c>
      <c r="F1160" t="inlineStr">
        <is>
          <t>SCA</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12805-2025</t>
        </is>
      </c>
      <c r="B1161" s="1" t="n">
        <v>45733.61497685185</v>
      </c>
      <c r="C1161" s="1" t="n">
        <v>46106</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12808-2025</t>
        </is>
      </c>
      <c r="B1162" s="1" t="n">
        <v>45733.61554398148</v>
      </c>
      <c r="C1162" s="1" t="n">
        <v>46106</v>
      </c>
      <c r="D1162" t="inlineStr">
        <is>
          <t>JÄMTLANDS LÄN</t>
        </is>
      </c>
      <c r="E1162" t="inlineStr">
        <is>
          <t>RAGUNDA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4615-2023</t>
        </is>
      </c>
      <c r="B1163" s="1" t="n">
        <v>44956.93924768519</v>
      </c>
      <c r="C1163" s="1" t="n">
        <v>46106</v>
      </c>
      <c r="D1163" t="inlineStr">
        <is>
          <t>JÄMTLANDS LÄN</t>
        </is>
      </c>
      <c r="E1163" t="inlineStr">
        <is>
          <t>RAGUNDA</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5938-2025</t>
        </is>
      </c>
      <c r="B1164" s="1" t="n">
        <v>45695.45868055556</v>
      </c>
      <c r="C1164" s="1" t="n">
        <v>46106</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4125-2024</t>
        </is>
      </c>
      <c r="B1165" s="1" t="n">
        <v>45323</v>
      </c>
      <c r="C1165" s="1" t="n">
        <v>46106</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53549-2024</t>
        </is>
      </c>
      <c r="B1166" s="1" t="n">
        <v>45614.63869212963</v>
      </c>
      <c r="C1166" s="1" t="n">
        <v>46106</v>
      </c>
      <c r="D1166" t="inlineStr">
        <is>
          <t>JÄMTLANDS LÄN</t>
        </is>
      </c>
      <c r="E1166" t="inlineStr">
        <is>
          <t>RAGUNDA</t>
        </is>
      </c>
      <c r="F1166" t="inlineStr">
        <is>
          <t>Kyrkan</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7284-2025</t>
        </is>
      </c>
      <c r="B1167" s="1" t="n">
        <v>45702.63604166666</v>
      </c>
      <c r="C1167" s="1" t="n">
        <v>46106</v>
      </c>
      <c r="D1167" t="inlineStr">
        <is>
          <t>JÄMTLANDS LÄN</t>
        </is>
      </c>
      <c r="E1167" t="inlineStr">
        <is>
          <t>RAGUNDA</t>
        </is>
      </c>
      <c r="F1167" t="inlineStr">
        <is>
          <t>SCA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31506-2024</t>
        </is>
      </c>
      <c r="B1168" s="1" t="n">
        <v>45505</v>
      </c>
      <c r="C1168" s="1" t="n">
        <v>46106</v>
      </c>
      <c r="D1168" t="inlineStr">
        <is>
          <t>JÄMTLANDS LÄN</t>
        </is>
      </c>
      <c r="E1168" t="inlineStr">
        <is>
          <t>RAGUNDA</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19382-2025</t>
        </is>
      </c>
      <c r="B1169" s="1" t="n">
        <v>45769.65659722222</v>
      </c>
      <c r="C1169" s="1" t="n">
        <v>46106</v>
      </c>
      <c r="D1169" t="inlineStr">
        <is>
          <t>JÄMTLANDS LÄN</t>
        </is>
      </c>
      <c r="E1169" t="inlineStr">
        <is>
          <t>RAGUNDA</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37479-2023</t>
        </is>
      </c>
      <c r="B1170" s="1" t="n">
        <v>45156</v>
      </c>
      <c r="C1170" s="1" t="n">
        <v>46106</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4866-2025</t>
        </is>
      </c>
      <c r="B1171" s="1" t="n">
        <v>45688.67542824074</v>
      </c>
      <c r="C1171" s="1" t="n">
        <v>46106</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11780-2024</t>
        </is>
      </c>
      <c r="B1172" s="1" t="n">
        <v>45374</v>
      </c>
      <c r="C1172" s="1" t="n">
        <v>46106</v>
      </c>
      <c r="D1172" t="inlineStr">
        <is>
          <t>JÄMTLANDS LÄN</t>
        </is>
      </c>
      <c r="E1172" t="inlineStr">
        <is>
          <t>RAGUNDA</t>
        </is>
      </c>
      <c r="G1172" t="n">
        <v>14.6</v>
      </c>
      <c r="H1172" t="n">
        <v>0</v>
      </c>
      <c r="I1172" t="n">
        <v>0</v>
      </c>
      <c r="J1172" t="n">
        <v>0</v>
      </c>
      <c r="K1172" t="n">
        <v>0</v>
      </c>
      <c r="L1172" t="n">
        <v>0</v>
      </c>
      <c r="M1172" t="n">
        <v>0</v>
      </c>
      <c r="N1172" t="n">
        <v>0</v>
      </c>
      <c r="O1172" t="n">
        <v>0</v>
      </c>
      <c r="P1172" t="n">
        <v>0</v>
      </c>
      <c r="Q1172" t="n">
        <v>0</v>
      </c>
      <c r="R1172" s="2" t="inlineStr"/>
    </row>
    <row r="1173" ht="15" customHeight="1">
      <c r="A1173" t="inlineStr">
        <is>
          <t>A 11288-2022</t>
        </is>
      </c>
      <c r="B1173" s="1" t="n">
        <v>44629</v>
      </c>
      <c r="C1173" s="1" t="n">
        <v>46106</v>
      </c>
      <c r="D1173" t="inlineStr">
        <is>
          <t>JÄMTLANDS LÄN</t>
        </is>
      </c>
      <c r="E1173" t="inlineStr">
        <is>
          <t>RAGUNDA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18984-2023</t>
        </is>
      </c>
      <c r="B1174" s="1" t="n">
        <v>45044</v>
      </c>
      <c r="C1174" s="1" t="n">
        <v>46106</v>
      </c>
      <c r="D1174" t="inlineStr">
        <is>
          <t>JÄMTLANDS LÄN</t>
        </is>
      </c>
      <c r="E1174" t="inlineStr">
        <is>
          <t>RAGUNDA</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66011-2021</t>
        </is>
      </c>
      <c r="B1175" s="1" t="n">
        <v>44517.58137731482</v>
      </c>
      <c r="C1175" s="1" t="n">
        <v>46106</v>
      </c>
      <c r="D1175" t="inlineStr">
        <is>
          <t>JÄMTLANDS LÄN</t>
        </is>
      </c>
      <c r="E1175" t="inlineStr">
        <is>
          <t>RAGUNDA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46106</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46106</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42510-2023</t>
        </is>
      </c>
      <c r="B1178" s="1" t="n">
        <v>45180.95927083334</v>
      </c>
      <c r="C1178" s="1" t="n">
        <v>46106</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53860-2023</t>
        </is>
      </c>
      <c r="B1179" s="1" t="n">
        <v>45224</v>
      </c>
      <c r="C1179" s="1" t="n">
        <v>46106</v>
      </c>
      <c r="D1179" t="inlineStr">
        <is>
          <t>JÄMTLANDS LÄN</t>
        </is>
      </c>
      <c r="E1179" t="inlineStr">
        <is>
          <t>RAGUNDA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12039-2023</t>
        </is>
      </c>
      <c r="B1180" s="1" t="n">
        <v>44995.98341435185</v>
      </c>
      <c r="C1180" s="1" t="n">
        <v>46106</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26991-2023</t>
        </is>
      </c>
      <c r="B1181" s="1" t="n">
        <v>45093.92207175926</v>
      </c>
      <c r="C1181" s="1" t="n">
        <v>46106</v>
      </c>
      <c r="D1181" t="inlineStr">
        <is>
          <t>JÄMTLANDS LÄN</t>
        </is>
      </c>
      <c r="E1181" t="inlineStr">
        <is>
          <t>RAGUNDA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13302-2022</t>
        </is>
      </c>
      <c r="B1182" s="1" t="n">
        <v>44644</v>
      </c>
      <c r="C1182" s="1" t="n">
        <v>46106</v>
      </c>
      <c r="D1182" t="inlineStr">
        <is>
          <t>JÄMTLANDS LÄN</t>
        </is>
      </c>
      <c r="E1182" t="inlineStr">
        <is>
          <t>RAGUNDA</t>
        </is>
      </c>
      <c r="F1182" t="inlineStr">
        <is>
          <t>SCA</t>
        </is>
      </c>
      <c r="G1182" t="n">
        <v>35.6</v>
      </c>
      <c r="H1182" t="n">
        <v>0</v>
      </c>
      <c r="I1182" t="n">
        <v>0</v>
      </c>
      <c r="J1182" t="n">
        <v>0</v>
      </c>
      <c r="K1182" t="n">
        <v>0</v>
      </c>
      <c r="L1182" t="n">
        <v>0</v>
      </c>
      <c r="M1182" t="n">
        <v>0</v>
      </c>
      <c r="N1182" t="n">
        <v>0</v>
      </c>
      <c r="O1182" t="n">
        <v>0</v>
      </c>
      <c r="P1182" t="n">
        <v>0</v>
      </c>
      <c r="Q1182" t="n">
        <v>0</v>
      </c>
      <c r="R1182" s="2" t="inlineStr"/>
    </row>
    <row r="1183" ht="15" customHeight="1">
      <c r="A1183" t="inlineStr">
        <is>
          <t>A 26651-2024</t>
        </is>
      </c>
      <c r="B1183" s="1" t="n">
        <v>45469.94876157407</v>
      </c>
      <c r="C1183" s="1" t="n">
        <v>46106</v>
      </c>
      <c r="D1183" t="inlineStr">
        <is>
          <t>JÄMTLANDS LÄN</t>
        </is>
      </c>
      <c r="E1183" t="inlineStr">
        <is>
          <t>RAGUNDA</t>
        </is>
      </c>
      <c r="F1183" t="inlineStr">
        <is>
          <t>SCA</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40919-2024</t>
        </is>
      </c>
      <c r="B1184" s="1" t="n">
        <v>45558.63575231482</v>
      </c>
      <c r="C1184" s="1" t="n">
        <v>46106</v>
      </c>
      <c r="D1184" t="inlineStr">
        <is>
          <t>JÄMTLANDS LÄN</t>
        </is>
      </c>
      <c r="E1184" t="inlineStr">
        <is>
          <t>RAGUNDA</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3186-2025</t>
        </is>
      </c>
      <c r="B1185" s="1" t="n">
        <v>45679.40362268518</v>
      </c>
      <c r="C1185" s="1" t="n">
        <v>46106</v>
      </c>
      <c r="D1185" t="inlineStr">
        <is>
          <t>JÄMTLANDS LÄN</t>
        </is>
      </c>
      <c r="E1185" t="inlineStr">
        <is>
          <t>RAGUNDA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465-2023</t>
        </is>
      </c>
      <c r="B1186" s="1" t="n">
        <v>44929</v>
      </c>
      <c r="C1186" s="1" t="n">
        <v>46106</v>
      </c>
      <c r="D1186" t="inlineStr">
        <is>
          <t>JÄMTLANDS LÄN</t>
        </is>
      </c>
      <c r="E1186" t="inlineStr">
        <is>
          <t>RAGUNDA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26455-2023</t>
        </is>
      </c>
      <c r="B1187" s="1" t="n">
        <v>45092</v>
      </c>
      <c r="C1187" s="1" t="n">
        <v>46106</v>
      </c>
      <c r="D1187" t="inlineStr">
        <is>
          <t>JÄMTLANDS LÄN</t>
        </is>
      </c>
      <c r="E1187" t="inlineStr">
        <is>
          <t>RAGUNDA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10639-2024</t>
        </is>
      </c>
      <c r="B1188" s="1" t="n">
        <v>45367.67256944445</v>
      </c>
      <c r="C1188" s="1" t="n">
        <v>46106</v>
      </c>
      <c r="D1188" t="inlineStr">
        <is>
          <t>JÄMTLANDS LÄN</t>
        </is>
      </c>
      <c r="E1188" t="inlineStr">
        <is>
          <t>RAGUNDA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2751-2024</t>
        </is>
      </c>
      <c r="B1189" s="1" t="n">
        <v>45314</v>
      </c>
      <c r="C1189" s="1" t="n">
        <v>46106</v>
      </c>
      <c r="D1189" t="inlineStr">
        <is>
          <t>JÄMTLANDS LÄN</t>
        </is>
      </c>
      <c r="E1189" t="inlineStr">
        <is>
          <t>RAGUNDA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36317-2024</t>
        </is>
      </c>
      <c r="B1190" s="1" t="n">
        <v>45534.63537037037</v>
      </c>
      <c r="C1190" s="1" t="n">
        <v>46106</v>
      </c>
      <c r="D1190" t="inlineStr">
        <is>
          <t>JÄMTLANDS LÄN</t>
        </is>
      </c>
      <c r="E1190" t="inlineStr">
        <is>
          <t>RAGUNDA</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18614-2024</t>
        </is>
      </c>
      <c r="B1191" s="1" t="n">
        <v>45425.96263888889</v>
      </c>
      <c r="C1191" s="1" t="n">
        <v>46106</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8787-2022</t>
        </is>
      </c>
      <c r="B1192" s="1" t="n">
        <v>44614</v>
      </c>
      <c r="C1192" s="1" t="n">
        <v>46106</v>
      </c>
      <c r="D1192" t="inlineStr">
        <is>
          <t>JÄMTLANDS LÄN</t>
        </is>
      </c>
      <c r="E1192" t="inlineStr">
        <is>
          <t>RAGUNDA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50431-2024</t>
        </is>
      </c>
      <c r="B1193" s="1" t="n">
        <v>45601.40686342592</v>
      </c>
      <c r="C1193" s="1" t="n">
        <v>46106</v>
      </c>
      <c r="D1193" t="inlineStr">
        <is>
          <t>JÄMTLANDS LÄN</t>
        </is>
      </c>
      <c r="E1193" t="inlineStr">
        <is>
          <t>RAGUNDA</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60936-2024</t>
        </is>
      </c>
      <c r="B1194" s="1" t="n">
        <v>45645.36743055555</v>
      </c>
      <c r="C1194" s="1" t="n">
        <v>46106</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4212-2024</t>
        </is>
      </c>
      <c r="B1195" s="1" t="n">
        <v>45324</v>
      </c>
      <c r="C1195" s="1" t="n">
        <v>46106</v>
      </c>
      <c r="D1195" t="inlineStr">
        <is>
          <t>JÄMTLANDS LÄN</t>
        </is>
      </c>
      <c r="E1195" t="inlineStr">
        <is>
          <t>RAGUNDA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9262-2025</t>
        </is>
      </c>
      <c r="B1196" s="1" t="n">
        <v>45714.60649305556</v>
      </c>
      <c r="C1196" s="1" t="n">
        <v>46106</v>
      </c>
      <c r="D1196" t="inlineStr">
        <is>
          <t>JÄMTLANDS LÄN</t>
        </is>
      </c>
      <c r="E1196" t="inlineStr">
        <is>
          <t>RAGUNDA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60012-2023</t>
        </is>
      </c>
      <c r="B1197" s="1" t="n">
        <v>45257</v>
      </c>
      <c r="C1197" s="1" t="n">
        <v>46106</v>
      </c>
      <c r="D1197" t="inlineStr">
        <is>
          <t>JÄMTLANDS LÄN</t>
        </is>
      </c>
      <c r="E1197" t="inlineStr">
        <is>
          <t>RAGUNDA</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53676-2022</t>
        </is>
      </c>
      <c r="B1198" s="1" t="n">
        <v>44879</v>
      </c>
      <c r="C1198" s="1" t="n">
        <v>46106</v>
      </c>
      <c r="D1198" t="inlineStr">
        <is>
          <t>JÄMTLANDS LÄN</t>
        </is>
      </c>
      <c r="E1198" t="inlineStr">
        <is>
          <t>RAGUNDA</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56504-2024</t>
        </is>
      </c>
      <c r="B1199" s="1" t="n">
        <v>45625.51068287037</v>
      </c>
      <c r="C1199" s="1" t="n">
        <v>46106</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934-2023</t>
        </is>
      </c>
      <c r="B1200" s="1" t="n">
        <v>44932.93927083333</v>
      </c>
      <c r="C1200" s="1" t="n">
        <v>46106</v>
      </c>
      <c r="D1200" t="inlineStr">
        <is>
          <t>JÄMTLANDS LÄN</t>
        </is>
      </c>
      <c r="E1200" t="inlineStr">
        <is>
          <t>RAGUNDA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36106-2022</t>
        </is>
      </c>
      <c r="B1201" s="1" t="n">
        <v>44802.94811342593</v>
      </c>
      <c r="C1201" s="1" t="n">
        <v>46106</v>
      </c>
      <c r="D1201" t="inlineStr">
        <is>
          <t>JÄMTLANDS LÄN</t>
        </is>
      </c>
      <c r="E1201" t="inlineStr">
        <is>
          <t>RAGUNDA</t>
        </is>
      </c>
      <c r="F1201" t="inlineStr">
        <is>
          <t>SCA</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57839-2022</t>
        </is>
      </c>
      <c r="B1202" s="1" t="n">
        <v>44897</v>
      </c>
      <c r="C1202" s="1" t="n">
        <v>46106</v>
      </c>
      <c r="D1202" t="inlineStr">
        <is>
          <t>JÄMTLANDS LÄN</t>
        </is>
      </c>
      <c r="E1202" t="inlineStr">
        <is>
          <t>RAGUNDA</t>
        </is>
      </c>
      <c r="F1202" t="inlineStr">
        <is>
          <t>SCA</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41693-2023</t>
        </is>
      </c>
      <c r="B1203" s="1" t="n">
        <v>45176</v>
      </c>
      <c r="C1203" s="1" t="n">
        <v>46106</v>
      </c>
      <c r="D1203" t="inlineStr">
        <is>
          <t>JÄMTLANDS LÄN</t>
        </is>
      </c>
      <c r="E1203" t="inlineStr">
        <is>
          <t>RAGUNDA</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53678-2022</t>
        </is>
      </c>
      <c r="B1204" s="1" t="n">
        <v>44879.95768518518</v>
      </c>
      <c r="C1204" s="1" t="n">
        <v>46106</v>
      </c>
      <c r="D1204" t="inlineStr">
        <is>
          <t>JÄMTLANDS LÄN</t>
        </is>
      </c>
      <c r="E1204" t="inlineStr">
        <is>
          <t>RAGUNDA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23305-2023</t>
        </is>
      </c>
      <c r="B1205" s="1" t="n">
        <v>45075.94506944445</v>
      </c>
      <c r="C1205" s="1" t="n">
        <v>46106</v>
      </c>
      <c r="D1205" t="inlineStr">
        <is>
          <t>JÄMTLANDS LÄN</t>
        </is>
      </c>
      <c r="E1205" t="inlineStr">
        <is>
          <t>RAGUNDA</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18194-2025</t>
        </is>
      </c>
      <c r="B1206" s="1" t="n">
        <v>45761.67744212963</v>
      </c>
      <c r="C1206" s="1" t="n">
        <v>46106</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18225-2024</t>
        </is>
      </c>
      <c r="B1207" s="1" t="n">
        <v>45420</v>
      </c>
      <c r="C1207" s="1" t="n">
        <v>46106</v>
      </c>
      <c r="D1207" t="inlineStr">
        <is>
          <t>JÄMTLANDS LÄN</t>
        </is>
      </c>
      <c r="E1207" t="inlineStr">
        <is>
          <t>RAGUNDA</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54764-2024</t>
        </is>
      </c>
      <c r="B1208" s="1" t="n">
        <v>45618.46921296296</v>
      </c>
      <c r="C1208" s="1" t="n">
        <v>46106</v>
      </c>
      <c r="D1208" t="inlineStr">
        <is>
          <t>JÄMTLANDS LÄN</t>
        </is>
      </c>
      <c r="E1208" t="inlineStr">
        <is>
          <t>RAGUNDA</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32904-2024</t>
        </is>
      </c>
      <c r="B1209" s="1" t="n">
        <v>45516.94732638889</v>
      </c>
      <c r="C1209" s="1" t="n">
        <v>46106</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12976-2025</t>
        </is>
      </c>
      <c r="B1210" s="1" t="n">
        <v>45734.45268518518</v>
      </c>
      <c r="C1210" s="1" t="n">
        <v>46106</v>
      </c>
      <c r="D1210" t="inlineStr">
        <is>
          <t>JÄMTLANDS LÄN</t>
        </is>
      </c>
      <c r="E1210" t="inlineStr">
        <is>
          <t>RAGUNDA</t>
        </is>
      </c>
      <c r="G1210" t="n">
        <v>24.2</v>
      </c>
      <c r="H1210" t="n">
        <v>0</v>
      </c>
      <c r="I1210" t="n">
        <v>0</v>
      </c>
      <c r="J1210" t="n">
        <v>0</v>
      </c>
      <c r="K1210" t="n">
        <v>0</v>
      </c>
      <c r="L1210" t="n">
        <v>0</v>
      </c>
      <c r="M1210" t="n">
        <v>0</v>
      </c>
      <c r="N1210" t="n">
        <v>0</v>
      </c>
      <c r="O1210" t="n">
        <v>0</v>
      </c>
      <c r="P1210" t="n">
        <v>0</v>
      </c>
      <c r="Q1210" t="n">
        <v>0</v>
      </c>
      <c r="R1210" s="2" t="inlineStr"/>
    </row>
    <row r="1211" ht="15" customHeight="1">
      <c r="A1211" t="inlineStr">
        <is>
          <t>A 59286-2023</t>
        </is>
      </c>
      <c r="B1211" s="1" t="n">
        <v>45253</v>
      </c>
      <c r="C1211" s="1" t="n">
        <v>46106</v>
      </c>
      <c r="D1211" t="inlineStr">
        <is>
          <t>JÄMTLANDS LÄN</t>
        </is>
      </c>
      <c r="E1211" t="inlineStr">
        <is>
          <t>RAGUNDA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15672-2021</t>
        </is>
      </c>
      <c r="B1212" s="1" t="n">
        <v>44286</v>
      </c>
      <c r="C1212" s="1" t="n">
        <v>46106</v>
      </c>
      <c r="D1212" t="inlineStr">
        <is>
          <t>JÄMTLANDS LÄN</t>
        </is>
      </c>
      <c r="E1212" t="inlineStr">
        <is>
          <t>RAGUNDA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6688-2024</t>
        </is>
      </c>
      <c r="B1213" s="1" t="n">
        <v>45341</v>
      </c>
      <c r="C1213" s="1" t="n">
        <v>46106</v>
      </c>
      <c r="D1213" t="inlineStr">
        <is>
          <t>JÄMTLANDS LÄN</t>
        </is>
      </c>
      <c r="E1213" t="inlineStr">
        <is>
          <t>RAGUNDA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50650-2023</t>
        </is>
      </c>
      <c r="B1214" s="1" t="n">
        <v>45210</v>
      </c>
      <c r="C1214" s="1" t="n">
        <v>46106</v>
      </c>
      <c r="D1214" t="inlineStr">
        <is>
          <t>JÄMTLANDS LÄN</t>
        </is>
      </c>
      <c r="E1214" t="inlineStr">
        <is>
          <t>RAGUNDA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41344-2024</t>
        </is>
      </c>
      <c r="B1215" s="1" t="n">
        <v>45559.67759259259</v>
      </c>
      <c r="C1215" s="1" t="n">
        <v>46106</v>
      </c>
      <c r="D1215" t="inlineStr">
        <is>
          <t>JÄMTLANDS LÄN</t>
        </is>
      </c>
      <c r="E1215" t="inlineStr">
        <is>
          <t>RAGUNDA</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59670-2023</t>
        </is>
      </c>
      <c r="B1216" s="1" t="n">
        <v>45254.96516203704</v>
      </c>
      <c r="C1216" s="1" t="n">
        <v>46106</v>
      </c>
      <c r="D1216" t="inlineStr">
        <is>
          <t>JÄMTLANDS LÄN</t>
        </is>
      </c>
      <c r="E1216" t="inlineStr">
        <is>
          <t>RAGUNDA</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55508-2024</t>
        </is>
      </c>
      <c r="B1217" s="1" t="n">
        <v>45622.46200231482</v>
      </c>
      <c r="C1217" s="1" t="n">
        <v>46106</v>
      </c>
      <c r="D1217" t="inlineStr">
        <is>
          <t>JÄMTLANDS LÄN</t>
        </is>
      </c>
      <c r="E1217" t="inlineStr">
        <is>
          <t>RAGUNDA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59492-2024</t>
        </is>
      </c>
      <c r="B1218" s="1" t="n">
        <v>45638</v>
      </c>
      <c r="C1218" s="1" t="n">
        <v>46106</v>
      </c>
      <c r="D1218" t="inlineStr">
        <is>
          <t>JÄMTLANDS LÄN</t>
        </is>
      </c>
      <c r="E1218" t="inlineStr">
        <is>
          <t>RAGUNDA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20772-2024</t>
        </is>
      </c>
      <c r="B1219" s="1" t="n">
        <v>45436.94628472222</v>
      </c>
      <c r="C1219" s="1" t="n">
        <v>46106</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53757-2024</t>
        </is>
      </c>
      <c r="B1220" s="1" t="n">
        <v>45615.50034722222</v>
      </c>
      <c r="C1220" s="1" t="n">
        <v>46106</v>
      </c>
      <c r="D1220" t="inlineStr">
        <is>
          <t>JÄMTLANDS LÄN</t>
        </is>
      </c>
      <c r="E1220" t="inlineStr">
        <is>
          <t>RAGUNDA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6716-2025</t>
        </is>
      </c>
      <c r="B1221" s="1" t="n">
        <v>45700.57324074074</v>
      </c>
      <c r="C1221" s="1" t="n">
        <v>46106</v>
      </c>
      <c r="D1221" t="inlineStr">
        <is>
          <t>JÄMTLANDS LÄN</t>
        </is>
      </c>
      <c r="E1221" t="inlineStr">
        <is>
          <t>RAGUNDA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19866-2023</t>
        </is>
      </c>
      <c r="B1222" s="1" t="n">
        <v>45053.94313657407</v>
      </c>
      <c r="C1222" s="1" t="n">
        <v>46106</v>
      </c>
      <c r="D1222" t="inlineStr">
        <is>
          <t>JÄMTLANDS LÄN</t>
        </is>
      </c>
      <c r="E1222" t="inlineStr">
        <is>
          <t>RAGUNDA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21853-2024</t>
        </is>
      </c>
      <c r="B1223" s="1" t="n">
        <v>45442.96296296296</v>
      </c>
      <c r="C1223" s="1" t="n">
        <v>46106</v>
      </c>
      <c r="D1223" t="inlineStr">
        <is>
          <t>JÄMTLANDS LÄN</t>
        </is>
      </c>
      <c r="E1223" t="inlineStr">
        <is>
          <t>RAGUNDA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8241-2024</t>
        </is>
      </c>
      <c r="B1224" s="1" t="n">
        <v>45351.98496527778</v>
      </c>
      <c r="C1224" s="1" t="n">
        <v>46106</v>
      </c>
      <c r="D1224" t="inlineStr">
        <is>
          <t>JÄMTLANDS LÄN</t>
        </is>
      </c>
      <c r="E1224" t="inlineStr">
        <is>
          <t>RAGUNDA</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40365-2024</t>
        </is>
      </c>
      <c r="B1225" s="1" t="n">
        <v>45555.38509259259</v>
      </c>
      <c r="C1225" s="1" t="n">
        <v>46106</v>
      </c>
      <c r="D1225" t="inlineStr">
        <is>
          <t>JÄMTLANDS LÄN</t>
        </is>
      </c>
      <c r="E1225" t="inlineStr">
        <is>
          <t>RAGUNDA</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20770-2024</t>
        </is>
      </c>
      <c r="B1226" s="1" t="n">
        <v>45436.94613425926</v>
      </c>
      <c r="C1226" s="1" t="n">
        <v>46106</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7281-2024</t>
        </is>
      </c>
      <c r="B1227" s="1" t="n">
        <v>45344</v>
      </c>
      <c r="C1227" s="1" t="n">
        <v>46106</v>
      </c>
      <c r="D1227" t="inlineStr">
        <is>
          <t>JÄMTLANDS LÄN</t>
        </is>
      </c>
      <c r="E1227" t="inlineStr">
        <is>
          <t>RAGUNDA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7284-2024</t>
        </is>
      </c>
      <c r="B1228" s="1" t="n">
        <v>45344.92865740741</v>
      </c>
      <c r="C1228" s="1" t="n">
        <v>46106</v>
      </c>
      <c r="D1228" t="inlineStr">
        <is>
          <t>JÄMTLANDS LÄN</t>
        </is>
      </c>
      <c r="E1228" t="inlineStr">
        <is>
          <t>RAGUNDA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7285-2024</t>
        </is>
      </c>
      <c r="B1229" s="1" t="n">
        <v>45344.92873842592</v>
      </c>
      <c r="C1229" s="1" t="n">
        <v>46106</v>
      </c>
      <c r="D1229" t="inlineStr">
        <is>
          <t>JÄMTLANDS LÄN</t>
        </is>
      </c>
      <c r="E1229" t="inlineStr">
        <is>
          <t>RAGUNDA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53347-2023</t>
        </is>
      </c>
      <c r="B1230" s="1" t="n">
        <v>45223</v>
      </c>
      <c r="C1230" s="1" t="n">
        <v>46106</v>
      </c>
      <c r="D1230" t="inlineStr">
        <is>
          <t>JÄMTLANDS LÄN</t>
        </is>
      </c>
      <c r="E1230" t="inlineStr">
        <is>
          <t>RAGUNDA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60838-2023</t>
        </is>
      </c>
      <c r="B1231" s="1" t="n">
        <v>45260.92561342593</v>
      </c>
      <c r="C1231" s="1" t="n">
        <v>46106</v>
      </c>
      <c r="D1231" t="inlineStr">
        <is>
          <t>JÄMTLANDS LÄN</t>
        </is>
      </c>
      <c r="E1231" t="inlineStr">
        <is>
          <t>RAGUNDA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9548-2025</t>
        </is>
      </c>
      <c r="B1232" s="1" t="n">
        <v>45715.59405092592</v>
      </c>
      <c r="C1232" s="1" t="n">
        <v>46106</v>
      </c>
      <c r="D1232" t="inlineStr">
        <is>
          <t>JÄMTLANDS LÄN</t>
        </is>
      </c>
      <c r="E1232" t="inlineStr">
        <is>
          <t>RAGUNDA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53989-2024</t>
        </is>
      </c>
      <c r="B1233" s="1" t="n">
        <v>45616.34479166667</v>
      </c>
      <c r="C1233" s="1" t="n">
        <v>46106</v>
      </c>
      <c r="D1233" t="inlineStr">
        <is>
          <t>JÄMTLANDS LÄN</t>
        </is>
      </c>
      <c r="E1233" t="inlineStr">
        <is>
          <t>RAGUNDA</t>
        </is>
      </c>
      <c r="F1233" t="inlineStr">
        <is>
          <t>SCA</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15581-2024</t>
        </is>
      </c>
      <c r="B1234" s="1" t="n">
        <v>45401</v>
      </c>
      <c r="C1234" s="1" t="n">
        <v>46106</v>
      </c>
      <c r="D1234" t="inlineStr">
        <is>
          <t>JÄMTLANDS LÄN</t>
        </is>
      </c>
      <c r="E1234" t="inlineStr">
        <is>
          <t>RAGUNDA</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15611-2024</t>
        </is>
      </c>
      <c r="B1235" s="1" t="n">
        <v>45401</v>
      </c>
      <c r="C1235" s="1" t="n">
        <v>46106</v>
      </c>
      <c r="D1235" t="inlineStr">
        <is>
          <t>JÄMTLANDS LÄN</t>
        </is>
      </c>
      <c r="E1235" t="inlineStr">
        <is>
          <t>RAGUNDA</t>
        </is>
      </c>
      <c r="F1235" t="inlineStr">
        <is>
          <t>SCA</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23528-2024</t>
        </is>
      </c>
      <c r="B1236" s="1" t="n">
        <v>45453.95016203704</v>
      </c>
      <c r="C1236" s="1" t="n">
        <v>46106</v>
      </c>
      <c r="D1236" t="inlineStr">
        <is>
          <t>JÄMTLANDS LÄN</t>
        </is>
      </c>
      <c r="E1236" t="inlineStr">
        <is>
          <t>RAGUNDA</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4594-2024</t>
        </is>
      </c>
      <c r="B1237" s="1" t="n">
        <v>45327.94459490741</v>
      </c>
      <c r="C1237" s="1" t="n">
        <v>46106</v>
      </c>
      <c r="D1237" t="inlineStr">
        <is>
          <t>JÄMTLANDS LÄN</t>
        </is>
      </c>
      <c r="E1237" t="inlineStr">
        <is>
          <t>RAGUNDA</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30824-2023</t>
        </is>
      </c>
      <c r="B1238" s="1" t="n">
        <v>45112.94303240741</v>
      </c>
      <c r="C1238" s="1" t="n">
        <v>46106</v>
      </c>
      <c r="D1238" t="inlineStr">
        <is>
          <t>JÄMTLANDS LÄN</t>
        </is>
      </c>
      <c r="E1238" t="inlineStr">
        <is>
          <t>RAGUNDA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16635-2025</t>
        </is>
      </c>
      <c r="B1239" s="1" t="n">
        <v>45754</v>
      </c>
      <c r="C1239" s="1" t="n">
        <v>46106</v>
      </c>
      <c r="D1239" t="inlineStr">
        <is>
          <t>JÄMTLANDS LÄN</t>
        </is>
      </c>
      <c r="E1239" t="inlineStr">
        <is>
          <t>RAGUNDA</t>
        </is>
      </c>
      <c r="F1239" t="inlineStr">
        <is>
          <t>SCA</t>
        </is>
      </c>
      <c r="G1239" t="n">
        <v>55.4</v>
      </c>
      <c r="H1239" t="n">
        <v>0</v>
      </c>
      <c r="I1239" t="n">
        <v>0</v>
      </c>
      <c r="J1239" t="n">
        <v>0</v>
      </c>
      <c r="K1239" t="n">
        <v>0</v>
      </c>
      <c r="L1239" t="n">
        <v>0</v>
      </c>
      <c r="M1239" t="n">
        <v>0</v>
      </c>
      <c r="N1239" t="n">
        <v>0</v>
      </c>
      <c r="O1239" t="n">
        <v>0</v>
      </c>
      <c r="P1239" t="n">
        <v>0</v>
      </c>
      <c r="Q1239" t="n">
        <v>0</v>
      </c>
      <c r="R1239" s="2" t="inlineStr"/>
    </row>
    <row r="1240" ht="15" customHeight="1">
      <c r="A1240" t="inlineStr">
        <is>
          <t>A 4014-2022</t>
        </is>
      </c>
      <c r="B1240" s="1" t="n">
        <v>44587.92144675926</v>
      </c>
      <c r="C1240" s="1" t="n">
        <v>46106</v>
      </c>
      <c r="D1240" t="inlineStr">
        <is>
          <t>JÄMTLANDS LÄN</t>
        </is>
      </c>
      <c r="E1240" t="inlineStr">
        <is>
          <t>RAGUNDA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1554-2024</t>
        </is>
      </c>
      <c r="B1241" s="1" t="n">
        <v>45306</v>
      </c>
      <c r="C1241" s="1" t="n">
        <v>46106</v>
      </c>
      <c r="D1241" t="inlineStr">
        <is>
          <t>JÄMTLANDS LÄN</t>
        </is>
      </c>
      <c r="E1241" t="inlineStr">
        <is>
          <t>RAGUNDA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38782-2021</t>
        </is>
      </c>
      <c r="B1242" s="1" t="n">
        <v>44410</v>
      </c>
      <c r="C1242" s="1" t="n">
        <v>46106</v>
      </c>
      <c r="D1242" t="inlineStr">
        <is>
          <t>JÄMTLANDS LÄN</t>
        </is>
      </c>
      <c r="E1242" t="inlineStr">
        <is>
          <t>RAGUNDA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20728-2025</t>
        </is>
      </c>
      <c r="B1243" s="1" t="n">
        <v>45776.51130787037</v>
      </c>
      <c r="C1243" s="1" t="n">
        <v>46106</v>
      </c>
      <c r="D1243" t="inlineStr">
        <is>
          <t>JÄMTLANDS LÄN</t>
        </is>
      </c>
      <c r="E1243" t="inlineStr">
        <is>
          <t>RAGUNDA</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20653-2025</t>
        </is>
      </c>
      <c r="B1244" s="1" t="n">
        <v>45776.40311342593</v>
      </c>
      <c r="C1244" s="1" t="n">
        <v>46106</v>
      </c>
      <c r="D1244" t="inlineStr">
        <is>
          <t>JÄMTLANDS LÄN</t>
        </is>
      </c>
      <c r="E1244" t="inlineStr">
        <is>
          <t>RAGUNDA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20722-2025</t>
        </is>
      </c>
      <c r="B1245" s="1" t="n">
        <v>45776.50651620371</v>
      </c>
      <c r="C1245" s="1" t="n">
        <v>46106</v>
      </c>
      <c r="D1245" t="inlineStr">
        <is>
          <t>JÄMTLANDS LÄN</t>
        </is>
      </c>
      <c r="E1245" t="inlineStr">
        <is>
          <t>RAGUNDA</t>
        </is>
      </c>
      <c r="F1245" t="inlineStr">
        <is>
          <t>Kommuner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20777-2025</t>
        </is>
      </c>
      <c r="B1246" s="1" t="n">
        <v>45776.59422453704</v>
      </c>
      <c r="C1246" s="1" t="n">
        <v>46106</v>
      </c>
      <c r="D1246" t="inlineStr">
        <is>
          <t>JÄMTLANDS LÄN</t>
        </is>
      </c>
      <c r="E1246" t="inlineStr">
        <is>
          <t>RAGUNDA</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21150-2025</t>
        </is>
      </c>
      <c r="B1247" s="1" t="n">
        <v>45779.34417824074</v>
      </c>
      <c r="C1247" s="1" t="n">
        <v>46106</v>
      </c>
      <c r="D1247" t="inlineStr">
        <is>
          <t>JÄMTLANDS LÄN</t>
        </is>
      </c>
      <c r="E1247" t="inlineStr">
        <is>
          <t>RAGUNDA</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21214-2025</t>
        </is>
      </c>
      <c r="B1248" s="1" t="n">
        <v>45779.49025462963</v>
      </c>
      <c r="C1248" s="1" t="n">
        <v>46106</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22941-2024</t>
        </is>
      </c>
      <c r="B1249" s="1" t="n">
        <v>45448.94520833333</v>
      </c>
      <c r="C1249" s="1" t="n">
        <v>46106</v>
      </c>
      <c r="D1249" t="inlineStr">
        <is>
          <t>JÄMTLANDS LÄN</t>
        </is>
      </c>
      <c r="E1249" t="inlineStr">
        <is>
          <t>RAGUNDA</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21430-2025</t>
        </is>
      </c>
      <c r="B1250" s="1" t="n">
        <v>45782.51099537037</v>
      </c>
      <c r="C1250" s="1" t="n">
        <v>46106</v>
      </c>
      <c r="D1250" t="inlineStr">
        <is>
          <t>JÄMTLANDS LÄN</t>
        </is>
      </c>
      <c r="E1250" t="inlineStr">
        <is>
          <t>RAGUNDA</t>
        </is>
      </c>
      <c r="F1250" t="inlineStr">
        <is>
          <t>SCA</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46106</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21451-2025</t>
        </is>
      </c>
      <c r="B1252" s="1" t="n">
        <v>45782.55287037037</v>
      </c>
      <c r="C1252" s="1" t="n">
        <v>46106</v>
      </c>
      <c r="D1252" t="inlineStr">
        <is>
          <t>JÄMTLANDS LÄN</t>
        </is>
      </c>
      <c r="E1252" t="inlineStr">
        <is>
          <t>RAGUNDA</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21432-2025</t>
        </is>
      </c>
      <c r="B1253" s="1" t="n">
        <v>45782.51109953703</v>
      </c>
      <c r="C1253" s="1" t="n">
        <v>46106</v>
      </c>
      <c r="D1253" t="inlineStr">
        <is>
          <t>JÄMTLANDS LÄN</t>
        </is>
      </c>
      <c r="E1253" t="inlineStr">
        <is>
          <t>RAGUNDA</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21331-2025</t>
        </is>
      </c>
      <c r="B1254" s="1" t="n">
        <v>45782.36494212963</v>
      </c>
      <c r="C1254" s="1" t="n">
        <v>46106</v>
      </c>
      <c r="D1254" t="inlineStr">
        <is>
          <t>JÄMTLANDS LÄN</t>
        </is>
      </c>
      <c r="E1254" t="inlineStr">
        <is>
          <t>RAGUNDA</t>
        </is>
      </c>
      <c r="F1254" t="inlineStr">
        <is>
          <t>SCA</t>
        </is>
      </c>
      <c r="G1254" t="n">
        <v>23.1</v>
      </c>
      <c r="H1254" t="n">
        <v>0</v>
      </c>
      <c r="I1254" t="n">
        <v>0</v>
      </c>
      <c r="J1254" t="n">
        <v>0</v>
      </c>
      <c r="K1254" t="n">
        <v>0</v>
      </c>
      <c r="L1254" t="n">
        <v>0</v>
      </c>
      <c r="M1254" t="n">
        <v>0</v>
      </c>
      <c r="N1254" t="n">
        <v>0</v>
      </c>
      <c r="O1254" t="n">
        <v>0</v>
      </c>
      <c r="P1254" t="n">
        <v>0</v>
      </c>
      <c r="Q1254" t="n">
        <v>0</v>
      </c>
      <c r="R1254" s="2" t="inlineStr"/>
      <c r="U1254">
        <f>HYPERLINK("https://klasma.github.io/Logging_2303/knärot/A 21331-2025 karta knärot.png", "A 21331-2025")</f>
        <v/>
      </c>
      <c r="V1254">
        <f>HYPERLINK("https://klasma.github.io/Logging_2303/klagomål/A 21331-2025 FSC-klagomål.docx", "A 21331-2025")</f>
        <v/>
      </c>
      <c r="W1254">
        <f>HYPERLINK("https://klasma.github.io/Logging_2303/klagomålsmail/A 21331-2025 FSC-klagomål mail.docx", "A 21331-2025")</f>
        <v/>
      </c>
      <c r="X1254">
        <f>HYPERLINK("https://klasma.github.io/Logging_2303/tillsyn/A 21331-2025 tillsynsbegäran.docx", "A 21331-2025")</f>
        <v/>
      </c>
      <c r="Y1254">
        <f>HYPERLINK("https://klasma.github.io/Logging_2303/tillsynsmail/A 21331-2025 tillsynsbegäran mail.docx", "A 21331-2025")</f>
        <v/>
      </c>
    </row>
    <row r="1255" ht="15" customHeight="1">
      <c r="A1255" t="inlineStr">
        <is>
          <t>A 21550-2025</t>
        </is>
      </c>
      <c r="B1255" s="1" t="n">
        <v>45782.67758101852</v>
      </c>
      <c r="C1255" s="1" t="n">
        <v>46106</v>
      </c>
      <c r="D1255" t="inlineStr">
        <is>
          <t>JÄMTLANDS LÄN</t>
        </is>
      </c>
      <c r="E1255" t="inlineStr">
        <is>
          <t>RAGUNDA</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57889-2024</t>
        </is>
      </c>
      <c r="B1256" s="1" t="n">
        <v>45631.46665509259</v>
      </c>
      <c r="C1256" s="1" t="n">
        <v>46106</v>
      </c>
      <c r="D1256" t="inlineStr">
        <is>
          <t>JÄMTLANDS LÄN</t>
        </is>
      </c>
      <c r="E1256" t="inlineStr">
        <is>
          <t>RAGUNDA</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60629-2023</t>
        </is>
      </c>
      <c r="B1257" s="1" t="n">
        <v>45259</v>
      </c>
      <c r="C1257" s="1" t="n">
        <v>46106</v>
      </c>
      <c r="D1257" t="inlineStr">
        <is>
          <t>JÄMTLANDS LÄN</t>
        </is>
      </c>
      <c r="E1257" t="inlineStr">
        <is>
          <t>RAGUNDA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22388-2025</t>
        </is>
      </c>
      <c r="B1258" s="1" t="n">
        <v>45786.51077546296</v>
      </c>
      <c r="C1258" s="1" t="n">
        <v>46106</v>
      </c>
      <c r="D1258" t="inlineStr">
        <is>
          <t>JÄMTLANDS LÄN</t>
        </is>
      </c>
      <c r="E1258" t="inlineStr">
        <is>
          <t>RAGUNDA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22898-2025</t>
        </is>
      </c>
      <c r="B1259" s="1" t="n">
        <v>45790.40670138889</v>
      </c>
      <c r="C1259" s="1" t="n">
        <v>46106</v>
      </c>
      <c r="D1259" t="inlineStr">
        <is>
          <t>JÄMTLANDS LÄN</t>
        </is>
      </c>
      <c r="E1259" t="inlineStr">
        <is>
          <t>RAGUNDA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23253-2025</t>
        </is>
      </c>
      <c r="B1260" s="1" t="n">
        <v>45791.53238425926</v>
      </c>
      <c r="C1260" s="1" t="n">
        <v>46106</v>
      </c>
      <c r="D1260" t="inlineStr">
        <is>
          <t>JÄMTLANDS LÄN</t>
        </is>
      </c>
      <c r="E1260" t="inlineStr">
        <is>
          <t>RAGUNDA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23413-2025</t>
        </is>
      </c>
      <c r="B1261" s="1" t="n">
        <v>45792.34606481482</v>
      </c>
      <c r="C1261" s="1" t="n">
        <v>46106</v>
      </c>
      <c r="D1261" t="inlineStr">
        <is>
          <t>JÄMTLANDS LÄN</t>
        </is>
      </c>
      <c r="E1261" t="inlineStr">
        <is>
          <t>RAGUNDA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23586-2025</t>
        </is>
      </c>
      <c r="B1262" s="1" t="n">
        <v>45792.63584490741</v>
      </c>
      <c r="C1262" s="1" t="n">
        <v>46106</v>
      </c>
      <c r="D1262" t="inlineStr">
        <is>
          <t>JÄMTLANDS LÄN</t>
        </is>
      </c>
      <c r="E1262" t="inlineStr">
        <is>
          <t>RAGUNDA</t>
        </is>
      </c>
      <c r="F1262" t="inlineStr">
        <is>
          <t>SCA</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23841-2025</t>
        </is>
      </c>
      <c r="B1263" s="1" t="n">
        <v>45793.61523148148</v>
      </c>
      <c r="C1263" s="1" t="n">
        <v>46106</v>
      </c>
      <c r="D1263" t="inlineStr">
        <is>
          <t>JÄMTLANDS LÄN</t>
        </is>
      </c>
      <c r="E1263" t="inlineStr">
        <is>
          <t>RAGUNDA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23507-2025</t>
        </is>
      </c>
      <c r="B1264" s="1" t="n">
        <v>45792.49023148148</v>
      </c>
      <c r="C1264" s="1" t="n">
        <v>46106</v>
      </c>
      <c r="D1264" t="inlineStr">
        <is>
          <t>JÄMTLANDS LÄN</t>
        </is>
      </c>
      <c r="E1264" t="inlineStr">
        <is>
          <t>RAGUNDA</t>
        </is>
      </c>
      <c r="F1264" t="inlineStr">
        <is>
          <t>SCA</t>
        </is>
      </c>
      <c r="G1264" t="n">
        <v>16.4</v>
      </c>
      <c r="H1264" t="n">
        <v>0</v>
      </c>
      <c r="I1264" t="n">
        <v>0</v>
      </c>
      <c r="J1264" t="n">
        <v>0</v>
      </c>
      <c r="K1264" t="n">
        <v>0</v>
      </c>
      <c r="L1264" t="n">
        <v>0</v>
      </c>
      <c r="M1264" t="n">
        <v>0</v>
      </c>
      <c r="N1264" t="n">
        <v>0</v>
      </c>
      <c r="O1264" t="n">
        <v>0</v>
      </c>
      <c r="P1264" t="n">
        <v>0</v>
      </c>
      <c r="Q1264" t="n">
        <v>0</v>
      </c>
      <c r="R1264" s="2" t="inlineStr"/>
    </row>
    <row r="1265" ht="15" customHeight="1">
      <c r="A1265" t="inlineStr">
        <is>
          <t>A 23840-2025</t>
        </is>
      </c>
      <c r="B1265" s="1" t="n">
        <v>45793</v>
      </c>
      <c r="C1265" s="1" t="n">
        <v>46106</v>
      </c>
      <c r="D1265" t="inlineStr">
        <is>
          <t>JÄMTLANDS LÄN</t>
        </is>
      </c>
      <c r="E1265" t="inlineStr">
        <is>
          <t>RAGUNDA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23654-2025</t>
        </is>
      </c>
      <c r="B1266" s="1" t="n">
        <v>45792.71905092592</v>
      </c>
      <c r="C1266" s="1" t="n">
        <v>46106</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23405-2025</t>
        </is>
      </c>
      <c r="B1267" s="1" t="n">
        <v>45792.34527777778</v>
      </c>
      <c r="C1267" s="1" t="n">
        <v>46106</v>
      </c>
      <c r="D1267" t="inlineStr">
        <is>
          <t>JÄMTLANDS LÄN</t>
        </is>
      </c>
      <c r="E1267" t="inlineStr">
        <is>
          <t>RAGUNDA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18284-2025</t>
        </is>
      </c>
      <c r="B1268" s="1" t="n">
        <v>45762.39876157408</v>
      </c>
      <c r="C1268" s="1" t="n">
        <v>46106</v>
      </c>
      <c r="D1268" t="inlineStr">
        <is>
          <t>JÄMTLANDS LÄN</t>
        </is>
      </c>
      <c r="E1268" t="inlineStr">
        <is>
          <t>RAGUNDA</t>
        </is>
      </c>
      <c r="G1268" t="n">
        <v>0.2</v>
      </c>
      <c r="H1268" t="n">
        <v>0</v>
      </c>
      <c r="I1268" t="n">
        <v>0</v>
      </c>
      <c r="J1268" t="n">
        <v>0</v>
      </c>
      <c r="K1268" t="n">
        <v>0</v>
      </c>
      <c r="L1268" t="n">
        <v>0</v>
      </c>
      <c r="M1268" t="n">
        <v>0</v>
      </c>
      <c r="N1268" t="n">
        <v>0</v>
      </c>
      <c r="O1268" t="n">
        <v>0</v>
      </c>
      <c r="P1268" t="n">
        <v>0</v>
      </c>
      <c r="Q1268" t="n">
        <v>0</v>
      </c>
      <c r="R1268" s="2" t="inlineStr"/>
      <c r="U1268">
        <f>HYPERLINK("https://klasma.github.io/Logging_2303/knärot/A 18284-2025 karta knärot.png", "A 18284-2025")</f>
        <v/>
      </c>
      <c r="V1268">
        <f>HYPERLINK("https://klasma.github.io/Logging_2303/klagomål/A 18284-2025 FSC-klagomål.docx", "A 18284-2025")</f>
        <v/>
      </c>
      <c r="W1268">
        <f>HYPERLINK("https://klasma.github.io/Logging_2303/klagomålsmail/A 18284-2025 FSC-klagomål mail.docx", "A 18284-2025")</f>
        <v/>
      </c>
      <c r="X1268">
        <f>HYPERLINK("https://klasma.github.io/Logging_2303/tillsyn/A 18284-2025 tillsynsbegäran.docx", "A 18284-2025")</f>
        <v/>
      </c>
      <c r="Y1268">
        <f>HYPERLINK("https://klasma.github.io/Logging_2303/tillsynsmail/A 18284-2025 tillsynsbegäran mail.docx", "A 18284-2025")</f>
        <v/>
      </c>
    </row>
    <row r="1269" ht="15" customHeight="1">
      <c r="A1269" t="inlineStr">
        <is>
          <t>A 19263-2025</t>
        </is>
      </c>
      <c r="B1269" s="1" t="n">
        <v>45769.51075231482</v>
      </c>
      <c r="C1269" s="1" t="n">
        <v>46106</v>
      </c>
      <c r="D1269" t="inlineStr">
        <is>
          <t>JÄMTLANDS LÄN</t>
        </is>
      </c>
      <c r="E1269" t="inlineStr">
        <is>
          <t>RAGUNDA</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24158-2025</t>
        </is>
      </c>
      <c r="B1270" s="1" t="n">
        <v>45796</v>
      </c>
      <c r="C1270" s="1" t="n">
        <v>46106</v>
      </c>
      <c r="D1270" t="inlineStr">
        <is>
          <t>JÄMTLANDS LÄN</t>
        </is>
      </c>
      <c r="E1270" t="inlineStr">
        <is>
          <t>RAGUNDA</t>
        </is>
      </c>
      <c r="G1270" t="n">
        <v>2.9</v>
      </c>
      <c r="H1270" t="n">
        <v>0</v>
      </c>
      <c r="I1270" t="n">
        <v>0</v>
      </c>
      <c r="J1270" t="n">
        <v>0</v>
      </c>
      <c r="K1270" t="n">
        <v>0</v>
      </c>
      <c r="L1270" t="n">
        <v>0</v>
      </c>
      <c r="M1270" t="n">
        <v>0</v>
      </c>
      <c r="N1270" t="n">
        <v>0</v>
      </c>
      <c r="O1270" t="n">
        <v>0</v>
      </c>
      <c r="P1270" t="n">
        <v>0</v>
      </c>
      <c r="Q1270" t="n">
        <v>0</v>
      </c>
      <c r="R1270" s="2" t="inlineStr"/>
      <c r="U1270">
        <f>HYPERLINK("https://klasma.github.io/Logging_2303/knärot/A 24158-2025 karta knärot.png", "A 24158-2025")</f>
        <v/>
      </c>
      <c r="V1270">
        <f>HYPERLINK("https://klasma.github.io/Logging_2303/klagomål/A 24158-2025 FSC-klagomål.docx", "A 24158-2025")</f>
        <v/>
      </c>
      <c r="W1270">
        <f>HYPERLINK("https://klasma.github.io/Logging_2303/klagomålsmail/A 24158-2025 FSC-klagomål mail.docx", "A 24158-2025")</f>
        <v/>
      </c>
      <c r="X1270">
        <f>HYPERLINK("https://klasma.github.io/Logging_2303/tillsyn/A 24158-2025 tillsynsbegäran.docx", "A 24158-2025")</f>
        <v/>
      </c>
      <c r="Y1270">
        <f>HYPERLINK("https://klasma.github.io/Logging_2303/tillsynsmail/A 24158-2025 tillsynsbegäran mail.docx", "A 24158-2025")</f>
        <v/>
      </c>
    </row>
    <row r="1271" ht="15" customHeight="1">
      <c r="A1271" t="inlineStr">
        <is>
          <t>A 24161-2025</t>
        </is>
      </c>
      <c r="B1271" s="1" t="n">
        <v>45796</v>
      </c>
      <c r="C1271" s="1" t="n">
        <v>46106</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24159-2025</t>
        </is>
      </c>
      <c r="B1272" s="1" t="n">
        <v>45796</v>
      </c>
      <c r="C1272" s="1" t="n">
        <v>46106</v>
      </c>
      <c r="D1272" t="inlineStr">
        <is>
          <t>JÄMTLANDS LÄN</t>
        </is>
      </c>
      <c r="E1272" t="inlineStr">
        <is>
          <t>RAGUNDA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24391-2025</t>
        </is>
      </c>
      <c r="B1273" s="1" t="n">
        <v>45797.63627314815</v>
      </c>
      <c r="C1273" s="1" t="n">
        <v>46106</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62407-2023</t>
        </is>
      </c>
      <c r="B1274" s="1" t="n">
        <v>45266</v>
      </c>
      <c r="C1274" s="1" t="n">
        <v>46106</v>
      </c>
      <c r="D1274" t="inlineStr">
        <is>
          <t>JÄMTLANDS LÄN</t>
        </is>
      </c>
      <c r="E1274" t="inlineStr">
        <is>
          <t>RAGUNDA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21524-2024</t>
        </is>
      </c>
      <c r="B1275" s="1" t="n">
        <v>45441</v>
      </c>
      <c r="C1275" s="1" t="n">
        <v>46106</v>
      </c>
      <c r="D1275" t="inlineStr">
        <is>
          <t>JÄMTLANDS LÄN</t>
        </is>
      </c>
      <c r="E1275" t="inlineStr">
        <is>
          <t>RAGUNDA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38191-2024</t>
        </is>
      </c>
      <c r="B1276" s="1" t="n">
        <v>45545.49078703704</v>
      </c>
      <c r="C1276" s="1" t="n">
        <v>46106</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25631-2025</t>
        </is>
      </c>
      <c r="B1277" s="1" t="n">
        <v>45803.5946875</v>
      </c>
      <c r="C1277" s="1" t="n">
        <v>46106</v>
      </c>
      <c r="D1277" t="inlineStr">
        <is>
          <t>JÄMTLANDS LÄN</t>
        </is>
      </c>
      <c r="E1277" t="inlineStr">
        <is>
          <t>RAGUNDA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25376-2025</t>
        </is>
      </c>
      <c r="B1278" s="1" t="n">
        <v>45800.63619212963</v>
      </c>
      <c r="C1278" s="1" t="n">
        <v>46106</v>
      </c>
      <c r="D1278" t="inlineStr">
        <is>
          <t>JÄMTLANDS LÄN</t>
        </is>
      </c>
      <c r="E1278" t="inlineStr">
        <is>
          <t>RAGUNDA</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25175-2025</t>
        </is>
      </c>
      <c r="B1279" s="1" t="n">
        <v>45800.44822916666</v>
      </c>
      <c r="C1279" s="1" t="n">
        <v>46106</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25177-2025</t>
        </is>
      </c>
      <c r="B1280" s="1" t="n">
        <v>45800.44862268519</v>
      </c>
      <c r="C1280" s="1" t="n">
        <v>46106</v>
      </c>
      <c r="D1280" t="inlineStr">
        <is>
          <t>JÄMTLANDS LÄN</t>
        </is>
      </c>
      <c r="E1280" t="inlineStr">
        <is>
          <t>RAGUNDA</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25659-2025</t>
        </is>
      </c>
      <c r="B1281" s="1" t="n">
        <v>45803.61552083334</v>
      </c>
      <c r="C1281" s="1" t="n">
        <v>46106</v>
      </c>
      <c r="D1281" t="inlineStr">
        <is>
          <t>JÄMTLANDS LÄN</t>
        </is>
      </c>
      <c r="E1281" t="inlineStr">
        <is>
          <t>RAGUNDA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25661-2025</t>
        </is>
      </c>
      <c r="B1282" s="1" t="n">
        <v>45803.61557870371</v>
      </c>
      <c r="C1282" s="1" t="n">
        <v>46106</v>
      </c>
      <c r="D1282" t="inlineStr">
        <is>
          <t>JÄMTLANDS LÄN</t>
        </is>
      </c>
      <c r="E1282" t="inlineStr">
        <is>
          <t>RAGUNDA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25350-2025</t>
        </is>
      </c>
      <c r="B1283" s="1" t="n">
        <v>45800</v>
      </c>
      <c r="C1283" s="1" t="n">
        <v>46106</v>
      </c>
      <c r="D1283" t="inlineStr">
        <is>
          <t>JÄMTLANDS LÄN</t>
        </is>
      </c>
      <c r="E1283" t="inlineStr">
        <is>
          <t>RAGUNDA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25152-2025</t>
        </is>
      </c>
      <c r="B1284" s="1" t="n">
        <v>45800.42743055556</v>
      </c>
      <c r="C1284" s="1" t="n">
        <v>46106</v>
      </c>
      <c r="D1284" t="inlineStr">
        <is>
          <t>JÄMTLANDS LÄN</t>
        </is>
      </c>
      <c r="E1284" t="inlineStr">
        <is>
          <t>RAGUNDA</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19613-2023</t>
        </is>
      </c>
      <c r="B1285" s="1" t="n">
        <v>45050.94020833333</v>
      </c>
      <c r="C1285" s="1" t="n">
        <v>46106</v>
      </c>
      <c r="D1285" t="inlineStr">
        <is>
          <t>JÄMTLANDS LÄN</t>
        </is>
      </c>
      <c r="E1285" t="inlineStr">
        <is>
          <t>RAGUNDA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25814-2025</t>
        </is>
      </c>
      <c r="B1286" s="1" t="n">
        <v>45804.42642361111</v>
      </c>
      <c r="C1286" s="1" t="n">
        <v>46106</v>
      </c>
      <c r="D1286" t="inlineStr">
        <is>
          <t>JÄMTLANDS LÄN</t>
        </is>
      </c>
      <c r="E1286" t="inlineStr">
        <is>
          <t>RAGUNDA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25944-2025</t>
        </is>
      </c>
      <c r="B1287" s="1" t="n">
        <v>45804.59487268519</v>
      </c>
      <c r="C1287" s="1" t="n">
        <v>46106</v>
      </c>
      <c r="D1287" t="inlineStr">
        <is>
          <t>JÄMTLANDS LÄN</t>
        </is>
      </c>
      <c r="E1287" t="inlineStr">
        <is>
          <t>RAGUNDA</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26283-2025</t>
        </is>
      </c>
      <c r="B1288" s="1" t="n">
        <v>45805.61495370371</v>
      </c>
      <c r="C1288" s="1" t="n">
        <v>46106</v>
      </c>
      <c r="D1288" t="inlineStr">
        <is>
          <t>JÄMTLANDS LÄN</t>
        </is>
      </c>
      <c r="E1288" t="inlineStr">
        <is>
          <t>RAGUNDA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10788-2025</t>
        </is>
      </c>
      <c r="B1289" s="1" t="n">
        <v>45722.48982638889</v>
      </c>
      <c r="C1289" s="1" t="n">
        <v>46106</v>
      </c>
      <c r="D1289" t="inlineStr">
        <is>
          <t>JÄMTLANDS LÄN</t>
        </is>
      </c>
      <c r="E1289" t="inlineStr">
        <is>
          <t>RAGUNDA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24258-2025</t>
        </is>
      </c>
      <c r="B1290" s="1" t="n">
        <v>45797.40800925926</v>
      </c>
      <c r="C1290" s="1" t="n">
        <v>46106</v>
      </c>
      <c r="D1290" t="inlineStr">
        <is>
          <t>JÄMTLANDS LÄN</t>
        </is>
      </c>
      <c r="E1290" t="inlineStr">
        <is>
          <t>RAGUNDA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25994-2025</t>
        </is>
      </c>
      <c r="B1291" s="1" t="n">
        <v>45804.65672453704</v>
      </c>
      <c r="C1291" s="1" t="n">
        <v>46106</v>
      </c>
      <c r="D1291" t="inlineStr">
        <is>
          <t>JÄMTLANDS LÄN</t>
        </is>
      </c>
      <c r="E1291" t="inlineStr">
        <is>
          <t>RAGUNDA</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26172-2025</t>
        </is>
      </c>
      <c r="B1292" s="1" t="n">
        <v>45805.46613425926</v>
      </c>
      <c r="C1292" s="1" t="n">
        <v>46106</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26246-2025</t>
        </is>
      </c>
      <c r="B1293" s="1" t="n">
        <v>45805.57390046296</v>
      </c>
      <c r="C1293" s="1" t="n">
        <v>46106</v>
      </c>
      <c r="D1293" t="inlineStr">
        <is>
          <t>JÄMTLANDS LÄN</t>
        </is>
      </c>
      <c r="E1293" t="inlineStr">
        <is>
          <t>RAGUNDA</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73278-2021</t>
        </is>
      </c>
      <c r="B1294" s="1" t="n">
        <v>44550.92168981482</v>
      </c>
      <c r="C1294" s="1" t="n">
        <v>46106</v>
      </c>
      <c r="D1294" t="inlineStr">
        <is>
          <t>JÄMTLANDS LÄN</t>
        </is>
      </c>
      <c r="E1294" t="inlineStr">
        <is>
          <t>RAGUNDA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51396-2024</t>
        </is>
      </c>
      <c r="B1295" s="1" t="n">
        <v>45604.4190625</v>
      </c>
      <c r="C1295" s="1" t="n">
        <v>46106</v>
      </c>
      <c r="D1295" t="inlineStr">
        <is>
          <t>JÄMTLANDS LÄN</t>
        </is>
      </c>
      <c r="E1295" t="inlineStr">
        <is>
          <t>RAGUNDA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26640-2025</t>
        </is>
      </c>
      <c r="B1296" s="1" t="n">
        <v>45810.36495370371</v>
      </c>
      <c r="C1296" s="1" t="n">
        <v>46106</v>
      </c>
      <c r="D1296" t="inlineStr">
        <is>
          <t>JÄMTLANDS LÄN</t>
        </is>
      </c>
      <c r="E1296" t="inlineStr">
        <is>
          <t>RAGUNDA</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2001-2025</t>
        </is>
      </c>
      <c r="B1297" s="1" t="n">
        <v>45672.44898148148</v>
      </c>
      <c r="C1297" s="1" t="n">
        <v>46106</v>
      </c>
      <c r="D1297" t="inlineStr">
        <is>
          <t>JÄMTLANDS LÄN</t>
        </is>
      </c>
      <c r="E1297" t="inlineStr">
        <is>
          <t>RAGUNDA</t>
        </is>
      </c>
      <c r="F1297" t="inlineStr">
        <is>
          <t>SCA</t>
        </is>
      </c>
      <c r="G1297" t="n">
        <v>16.2</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45230.96376157407</v>
      </c>
      <c r="C1298" s="1" t="n">
        <v>46106</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c r="A1299" t="inlineStr">
        <is>
          <t>A 19089-2024</t>
        </is>
      </c>
      <c r="B1299" s="1" t="n">
        <v>45428.00471064815</v>
      </c>
      <c r="C1299" s="1" t="n">
        <v>46106</v>
      </c>
      <c r="D1299" t="inlineStr">
        <is>
          <t>JÄMTLANDS LÄN</t>
        </is>
      </c>
      <c r="E1299" t="inlineStr">
        <is>
          <t>RAGUNDA</t>
        </is>
      </c>
      <c r="F1299" t="inlineStr">
        <is>
          <t>SCA</t>
        </is>
      </c>
      <c r="G1299" t="n">
        <v>6.1</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2026-03-25T11:31:52Z</dcterms:created>
  <dcterms:modified xmlns:dcterms="http://purl.org/dc/terms/" xmlns:xsi="http://www.w3.org/2001/XMLSchema-instance" xsi:type="dcterms:W3CDTF">2026-03-25T11:31:53Z</dcterms:modified>
</cp:coreProperties>
</file>