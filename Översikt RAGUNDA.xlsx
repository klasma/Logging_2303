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46109</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46109</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46109</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46109</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46109</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46109</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46109</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46109</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46109</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46109</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46109</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46109</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46109</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46109</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46109</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46109</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46109</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46109</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46109</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46109</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46109</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46109</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46109</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46109</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46109</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46109</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4591-2024</t>
        </is>
      </c>
      <c r="B28" s="1" t="n">
        <v>45327</v>
      </c>
      <c r="C28" s="1" t="n">
        <v>46109</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13483-2022</t>
        </is>
      </c>
      <c r="B29" s="1" t="n">
        <v>44645.99859953704</v>
      </c>
      <c r="C29" s="1" t="n">
        <v>46109</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10982-2025</t>
        </is>
      </c>
      <c r="B30" s="1" t="n">
        <v>45723.40688657408</v>
      </c>
      <c r="C30" s="1" t="n">
        <v>46109</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46109</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46109</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58876-2025</t>
        </is>
      </c>
      <c r="B33" s="1" t="n">
        <v>45987.46929398148</v>
      </c>
      <c r="C33" s="1" t="n">
        <v>46109</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25016-2025</t>
        </is>
      </c>
      <c r="B34" s="1" t="n">
        <v>45799.63574074074</v>
      </c>
      <c r="C34" s="1" t="n">
        <v>46109</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46109</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2316-2026</t>
        </is>
      </c>
      <c r="B36" s="1" t="n">
        <v>46036.59826388889</v>
      </c>
      <c r="C36" s="1" t="n">
        <v>46109</v>
      </c>
      <c r="D36" t="inlineStr">
        <is>
          <t>JÄMTLANDS LÄN</t>
        </is>
      </c>
      <c r="E36" t="inlineStr">
        <is>
          <t>RAGUNDA</t>
        </is>
      </c>
      <c r="G36" t="n">
        <v>5.1</v>
      </c>
      <c r="H36" t="n">
        <v>3</v>
      </c>
      <c r="I36" t="n">
        <v>0</v>
      </c>
      <c r="J36" t="n">
        <v>9</v>
      </c>
      <c r="K36" t="n">
        <v>0</v>
      </c>
      <c r="L36" t="n">
        <v>0</v>
      </c>
      <c r="M36" t="n">
        <v>0</v>
      </c>
      <c r="N36" t="n">
        <v>0</v>
      </c>
      <c r="O36" t="n">
        <v>9</v>
      </c>
      <c r="P36" t="n">
        <v>0</v>
      </c>
      <c r="Q36" t="n">
        <v>9</v>
      </c>
      <c r="R36" s="2" t="inlineStr">
        <is>
          <t>Garnlav
Harticka
Kolflarnlav
Liten svartspik
Lunglav
Talltita
Tretåig hackspett
Utter
Vitgrynig nållav</t>
        </is>
      </c>
      <c r="S36">
        <f>HYPERLINK("https://klasma.github.io/Logging_2303/artfynd/A 2316-2026 artfynd.xlsx", "A 2316-2026")</f>
        <v/>
      </c>
      <c r="T36">
        <f>HYPERLINK("https://klasma.github.io/Logging_2303/kartor/A 2316-2026 karta.png", "A 2316-2026")</f>
        <v/>
      </c>
      <c r="V36">
        <f>HYPERLINK("https://klasma.github.io/Logging_2303/klagomål/A 2316-2026 FSC-klagomål.docx", "A 2316-2026")</f>
        <v/>
      </c>
      <c r="W36">
        <f>HYPERLINK("https://klasma.github.io/Logging_2303/klagomålsmail/A 2316-2026 FSC-klagomål mail.docx", "A 2316-2026")</f>
        <v/>
      </c>
      <c r="X36">
        <f>HYPERLINK("https://klasma.github.io/Logging_2303/tillsyn/A 2316-2026 tillsynsbegäran.docx", "A 2316-2026")</f>
        <v/>
      </c>
      <c r="Y36">
        <f>HYPERLINK("https://klasma.github.io/Logging_2303/tillsynsmail/A 2316-2026 tillsynsbegäran mail.docx", "A 2316-2026")</f>
        <v/>
      </c>
      <c r="Z36">
        <f>HYPERLINK("https://klasma.github.io/Logging_2303/fåglar/A 2316-2026 prioriterade fågelarter.docx", "A 2316-2026")</f>
        <v/>
      </c>
    </row>
    <row r="37" ht="15" customHeight="1">
      <c r="A37" t="inlineStr">
        <is>
          <t>A 30876-2025</t>
        </is>
      </c>
      <c r="B37" s="1" t="n">
        <v>45832.34461805555</v>
      </c>
      <c r="C37" s="1" t="n">
        <v>46109</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62948-2021</t>
        </is>
      </c>
      <c r="B38" s="1" t="n">
        <v>44504</v>
      </c>
      <c r="C38" s="1" t="n">
        <v>46109</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42393-2025</t>
        </is>
      </c>
      <c r="B39" s="1" t="n">
        <v>45905</v>
      </c>
      <c r="C39" s="1" t="n">
        <v>46109</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46109</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46109</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46109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46109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46109</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60129-2025</t>
        </is>
      </c>
      <c r="B45" s="1" t="n">
        <v>45994.34461805555</v>
      </c>
      <c r="C45" s="1" t="n">
        <v>46109</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46109</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46109</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3634-2024</t>
        </is>
      </c>
      <c r="B48" s="1" t="n">
        <v>45320</v>
      </c>
      <c r="C48" s="1" t="n">
        <v>46109</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46109</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51037-2025</t>
        </is>
      </c>
      <c r="B50" s="1" t="n">
        <v>45947.40729166667</v>
      </c>
      <c r="C50" s="1" t="n">
        <v>46109</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46109</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46109</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46109</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46109</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41929-2023</t>
        </is>
      </c>
      <c r="B55" s="1" t="n">
        <v>45176</v>
      </c>
      <c r="C55" s="1" t="n">
        <v>46109</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46109</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19399-2025</t>
        </is>
      </c>
      <c r="B57" s="1" t="n">
        <v>45769.67740740741</v>
      </c>
      <c r="C57" s="1" t="n">
        <v>46109</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33806-2023</t>
        </is>
      </c>
      <c r="B58" s="1" t="n">
        <v>45121</v>
      </c>
      <c r="C58" s="1" t="n">
        <v>46109</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46109</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46109</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46109</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46109</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46109</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46109</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46109</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46109</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46109</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53021-2022</t>
        </is>
      </c>
      <c r="B68" s="1" t="n">
        <v>44875</v>
      </c>
      <c r="C68" s="1" t="n">
        <v>46109</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9197-2026</t>
        </is>
      </c>
      <c r="B69" s="1" t="n">
        <v>46070.40322916667</v>
      </c>
      <c r="C69" s="1" t="n">
        <v>46109</v>
      </c>
      <c r="D69" t="inlineStr">
        <is>
          <t>JÄMTLANDS LÄN</t>
        </is>
      </c>
      <c r="E69" t="inlineStr">
        <is>
          <t>RAGUNDA</t>
        </is>
      </c>
      <c r="G69" t="n">
        <v>3.3</v>
      </c>
      <c r="H69" t="n">
        <v>5</v>
      </c>
      <c r="I69" t="n">
        <v>0</v>
      </c>
      <c r="J69" t="n">
        <v>4</v>
      </c>
      <c r="K69" t="n">
        <v>0</v>
      </c>
      <c r="L69" t="n">
        <v>0</v>
      </c>
      <c r="M69" t="n">
        <v>0</v>
      </c>
      <c r="N69" t="n">
        <v>0</v>
      </c>
      <c r="O69" t="n">
        <v>4</v>
      </c>
      <c r="P69" t="n">
        <v>0</v>
      </c>
      <c r="Q69" t="n">
        <v>6</v>
      </c>
      <c r="R69" s="2" t="inlineStr">
        <is>
          <t>Granticka
Järpe
Spillkråka
Talltita
Grönsiska
Kungsfågel</t>
        </is>
      </c>
      <c r="S69">
        <f>HYPERLINK("https://klasma.github.io/Logging_2303/artfynd/A 9197-2026 artfynd.xlsx", "A 9197-2026")</f>
        <v/>
      </c>
      <c r="T69">
        <f>HYPERLINK("https://klasma.github.io/Logging_2303/kartor/A 9197-2026 karta.png", "A 9197-2026")</f>
        <v/>
      </c>
      <c r="V69">
        <f>HYPERLINK("https://klasma.github.io/Logging_2303/klagomål/A 9197-2026 FSC-klagomål.docx", "A 9197-2026")</f>
        <v/>
      </c>
      <c r="W69">
        <f>HYPERLINK("https://klasma.github.io/Logging_2303/klagomålsmail/A 9197-2026 FSC-klagomål mail.docx", "A 9197-2026")</f>
        <v/>
      </c>
      <c r="X69">
        <f>HYPERLINK("https://klasma.github.io/Logging_2303/tillsyn/A 9197-2026 tillsynsbegäran.docx", "A 9197-2026")</f>
        <v/>
      </c>
      <c r="Y69">
        <f>HYPERLINK("https://klasma.github.io/Logging_2303/tillsynsmail/A 9197-2026 tillsynsbegäran mail.docx", "A 9197-2026")</f>
        <v/>
      </c>
      <c r="Z69">
        <f>HYPERLINK("https://klasma.github.io/Logging_2303/fåglar/A 9197-2026 prioriterade fågelarter.docx", "A 9197-2026")</f>
        <v/>
      </c>
    </row>
    <row r="70" ht="15" customHeight="1">
      <c r="A70" t="inlineStr">
        <is>
          <t>A 11828-2023</t>
        </is>
      </c>
      <c r="B70" s="1" t="n">
        <v>44994</v>
      </c>
      <c r="C70" s="1" t="n">
        <v>46109</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46109</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2193-2026</t>
        </is>
      </c>
      <c r="B72" s="1" t="n">
        <v>46036.46946759259</v>
      </c>
      <c r="C72" s="1" t="n">
        <v>46109</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26326-2024</t>
        </is>
      </c>
      <c r="B73" s="1" t="n">
        <v>45468.97528935185</v>
      </c>
      <c r="C73" s="1" t="n">
        <v>46109</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30884-2025</t>
        </is>
      </c>
      <c r="B74" s="1" t="n">
        <v>45832.34564814815</v>
      </c>
      <c r="C74" s="1" t="n">
        <v>46109</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19402-2025</t>
        </is>
      </c>
      <c r="B75" s="1" t="n">
        <v>45769.67778935185</v>
      </c>
      <c r="C75" s="1" t="n">
        <v>46109</v>
      </c>
      <c r="D75" t="inlineStr">
        <is>
          <t>JÄMTLANDS LÄN</t>
        </is>
      </c>
      <c r="E75" t="inlineStr">
        <is>
          <t>RAGUNDA</t>
        </is>
      </c>
      <c r="F75" t="inlineStr">
        <is>
          <t>SCA</t>
        </is>
      </c>
      <c r="G75" t="n">
        <v>3.1</v>
      </c>
      <c r="H75" t="n">
        <v>2</v>
      </c>
      <c r="I75" t="n">
        <v>3</v>
      </c>
      <c r="J75" t="n">
        <v>3</v>
      </c>
      <c r="K75" t="n">
        <v>0</v>
      </c>
      <c r="L75" t="n">
        <v>0</v>
      </c>
      <c r="M75" t="n">
        <v>0</v>
      </c>
      <c r="N75" t="n">
        <v>0</v>
      </c>
      <c r="O75" t="n">
        <v>3</v>
      </c>
      <c r="P75" t="n">
        <v>0</v>
      </c>
      <c r="Q75" t="n">
        <v>6</v>
      </c>
      <c r="R75" s="2" t="inlineStr">
        <is>
          <t>Garnlav
Lunglav
Tretåig hackspett
Bårdlav
Spindelblomster
Stuplav</t>
        </is>
      </c>
      <c r="S75">
        <f>HYPERLINK("https://klasma.github.io/Logging_2303/artfynd/A 19402-2025 artfynd.xlsx", "A 19402-2025")</f>
        <v/>
      </c>
      <c r="T75">
        <f>HYPERLINK("https://klasma.github.io/Logging_2303/kartor/A 19402-2025 karta.png", "A 19402-2025")</f>
        <v/>
      </c>
      <c r="V75">
        <f>HYPERLINK("https://klasma.github.io/Logging_2303/klagomål/A 19402-2025 FSC-klagomål.docx", "A 19402-2025")</f>
        <v/>
      </c>
      <c r="W75">
        <f>HYPERLINK("https://klasma.github.io/Logging_2303/klagomålsmail/A 19402-2025 FSC-klagomål mail.docx", "A 19402-2025")</f>
        <v/>
      </c>
      <c r="X75">
        <f>HYPERLINK("https://klasma.github.io/Logging_2303/tillsyn/A 19402-2025 tillsynsbegäran.docx", "A 19402-2025")</f>
        <v/>
      </c>
      <c r="Y75">
        <f>HYPERLINK("https://klasma.github.io/Logging_2303/tillsynsmail/A 19402-2025 tillsynsbegäran mail.docx", "A 19402-2025")</f>
        <v/>
      </c>
      <c r="Z75">
        <f>HYPERLINK("https://klasma.github.io/Logging_2303/fåglar/A 19402-2025 prioriterade fågelarter.docx", "A 19402-2025")</f>
        <v/>
      </c>
    </row>
    <row r="76" ht="15" customHeight="1">
      <c r="A76" t="inlineStr">
        <is>
          <t>A 24431-2024</t>
        </is>
      </c>
      <c r="B76" s="1" t="n">
        <v>45457</v>
      </c>
      <c r="C76" s="1" t="n">
        <v>46109</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v>
      </c>
      <c r="C77" s="1" t="n">
        <v>46109</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36276-2025</t>
        </is>
      </c>
      <c r="B78" s="1" t="n">
        <v>45867.63619212963</v>
      </c>
      <c r="C78" s="1" t="n">
        <v>46109</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46109</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933-2023</t>
        </is>
      </c>
      <c r="B80" s="1" t="n">
        <v>44932</v>
      </c>
      <c r="C80" s="1" t="n">
        <v>46109</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21037-2021</t>
        </is>
      </c>
      <c r="B81" s="1" t="n">
        <v>44319</v>
      </c>
      <c r="C81" s="1" t="n">
        <v>46109</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46109</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46109</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57073-2023</t>
        </is>
      </c>
      <c r="B84" s="1" t="n">
        <v>45244</v>
      </c>
      <c r="C84" s="1" t="n">
        <v>46109</v>
      </c>
      <c r="D84" t="inlineStr">
        <is>
          <t>JÄMTLANDS LÄN</t>
        </is>
      </c>
      <c r="E84" t="inlineStr">
        <is>
          <t>RAGUNDA</t>
        </is>
      </c>
      <c r="F84" t="inlineStr">
        <is>
          <t>SCA</t>
        </is>
      </c>
      <c r="G84" t="n">
        <v>4.1</v>
      </c>
      <c r="H84" t="n">
        <v>1</v>
      </c>
      <c r="I84" t="n">
        <v>0</v>
      </c>
      <c r="J84" t="n">
        <v>4</v>
      </c>
      <c r="K84" t="n">
        <v>1</v>
      </c>
      <c r="L84" t="n">
        <v>0</v>
      </c>
      <c r="M84" t="n">
        <v>0</v>
      </c>
      <c r="N84" t="n">
        <v>0</v>
      </c>
      <c r="O84" t="n">
        <v>5</v>
      </c>
      <c r="P84" t="n">
        <v>1</v>
      </c>
      <c r="Q84" t="n">
        <v>5</v>
      </c>
      <c r="R84" s="2" t="inlineStr">
        <is>
          <t>Läderlappslav
Granticka
Lunglav
Tretåig hackspett
Ullticka</t>
        </is>
      </c>
      <c r="S84">
        <f>HYPERLINK("https://klasma.github.io/Logging_2303/artfynd/A 57073-2023 artfynd.xlsx", "A 57073-2023")</f>
        <v/>
      </c>
      <c r="T84">
        <f>HYPERLINK("https://klasma.github.io/Logging_2303/kartor/A 57073-2023 karta.png", "A 57073-2023")</f>
        <v/>
      </c>
      <c r="V84">
        <f>HYPERLINK("https://klasma.github.io/Logging_2303/klagomål/A 57073-2023 FSC-klagomål.docx", "A 57073-2023")</f>
        <v/>
      </c>
      <c r="W84">
        <f>HYPERLINK("https://klasma.github.io/Logging_2303/klagomålsmail/A 57073-2023 FSC-klagomål mail.docx", "A 57073-2023")</f>
        <v/>
      </c>
      <c r="X84">
        <f>HYPERLINK("https://klasma.github.io/Logging_2303/tillsyn/A 57073-2023 tillsynsbegäran.docx", "A 57073-2023")</f>
        <v/>
      </c>
      <c r="Y84">
        <f>HYPERLINK("https://klasma.github.io/Logging_2303/tillsynsmail/A 57073-2023 tillsynsbegäran mail.docx", "A 57073-2023")</f>
        <v/>
      </c>
      <c r="Z84">
        <f>HYPERLINK("https://klasma.github.io/Logging_2303/fåglar/A 57073-2023 prioriterade fågelarter.docx", "A 57073-2023")</f>
        <v/>
      </c>
    </row>
    <row r="85" ht="15" customHeight="1">
      <c r="A85" t="inlineStr">
        <is>
          <t>A 39365-2024</t>
        </is>
      </c>
      <c r="B85" s="1" t="n">
        <v>45551.46912037037</v>
      </c>
      <c r="C85" s="1" t="n">
        <v>46109</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18629-2024</t>
        </is>
      </c>
      <c r="B86" s="1" t="n">
        <v>45425.96472222222</v>
      </c>
      <c r="C86" s="1" t="n">
        <v>46109</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46109</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11641-2026</t>
        </is>
      </c>
      <c r="B88" s="1" t="n">
        <v>46084.50094907408</v>
      </c>
      <c r="C88" s="1" t="n">
        <v>46109</v>
      </c>
      <c r="D88" t="inlineStr">
        <is>
          <t>JÄMTLANDS LÄN</t>
        </is>
      </c>
      <c r="E88" t="inlineStr">
        <is>
          <t>RAGUNDA</t>
        </is>
      </c>
      <c r="G88" t="n">
        <v>1.8</v>
      </c>
      <c r="H88" t="n">
        <v>0</v>
      </c>
      <c r="I88" t="n">
        <v>2</v>
      </c>
      <c r="J88" t="n">
        <v>3</v>
      </c>
      <c r="K88" t="n">
        <v>0</v>
      </c>
      <c r="L88" t="n">
        <v>0</v>
      </c>
      <c r="M88" t="n">
        <v>0</v>
      </c>
      <c r="N88" t="n">
        <v>0</v>
      </c>
      <c r="O88" t="n">
        <v>3</v>
      </c>
      <c r="P88" t="n">
        <v>0</v>
      </c>
      <c r="Q88" t="n">
        <v>5</v>
      </c>
      <c r="R88" s="2" t="inlineStr">
        <is>
          <t>Lunglav
Skrovellav
Vitgrynig nållav
Bårdlav
Stuplav</t>
        </is>
      </c>
      <c r="S88">
        <f>HYPERLINK("https://klasma.github.io/Logging_2303/artfynd/A 11641-2026 artfynd.xlsx", "A 11641-2026")</f>
        <v/>
      </c>
      <c r="T88">
        <f>HYPERLINK("https://klasma.github.io/Logging_2303/kartor/A 11641-2026 karta.png", "A 11641-2026")</f>
        <v/>
      </c>
      <c r="U88">
        <f>HYPERLINK("https://klasma.github.io/Logging_2303/knärot/A 11641-2026 karta knärot.png", "A 11641-2026")</f>
        <v/>
      </c>
      <c r="V88">
        <f>HYPERLINK("https://klasma.github.io/Logging_2303/klagomål/A 11641-2026 FSC-klagomål.docx", "A 11641-2026")</f>
        <v/>
      </c>
      <c r="W88">
        <f>HYPERLINK("https://klasma.github.io/Logging_2303/klagomålsmail/A 11641-2026 FSC-klagomål mail.docx", "A 11641-2026")</f>
        <v/>
      </c>
      <c r="X88">
        <f>HYPERLINK("https://klasma.github.io/Logging_2303/tillsyn/A 11641-2026 tillsynsbegäran.docx", "A 11641-2026")</f>
        <v/>
      </c>
      <c r="Y88">
        <f>HYPERLINK("https://klasma.github.io/Logging_2303/tillsynsmail/A 11641-2026 tillsynsbegäran mail.docx", "A 11641-2026")</f>
        <v/>
      </c>
    </row>
    <row r="89" ht="15" customHeight="1">
      <c r="A89" t="inlineStr">
        <is>
          <t>A 30886-2025</t>
        </is>
      </c>
      <c r="B89" s="1" t="n">
        <v>45832.34578703704</v>
      </c>
      <c r="C89" s="1" t="n">
        <v>46109</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27313-2024</t>
        </is>
      </c>
      <c r="B90" s="1" t="n">
        <v>45471.94623842592</v>
      </c>
      <c r="C90" s="1" t="n">
        <v>46109</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35344-2025</t>
        </is>
      </c>
      <c r="B91" s="1" t="n">
        <v>45854.61494212963</v>
      </c>
      <c r="C91" s="1" t="n">
        <v>46109</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46109</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60683-2022</t>
        </is>
      </c>
      <c r="B93" s="1" t="n">
        <v>44911</v>
      </c>
      <c r="C93" s="1" t="n">
        <v>46109</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46109</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13266-2023</t>
        </is>
      </c>
      <c r="B95" s="1" t="n">
        <v>45002.94356481481</v>
      </c>
      <c r="C95" s="1" t="n">
        <v>46109</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46109</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46109</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12024-2022</t>
        </is>
      </c>
      <c r="B98" s="1" t="n">
        <v>44635</v>
      </c>
      <c r="C98" s="1" t="n">
        <v>46109</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46109</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46109</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46109</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46109</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12640-2024</t>
        </is>
      </c>
      <c r="B103" s="1" t="n">
        <v>45384</v>
      </c>
      <c r="C103" s="1" t="n">
        <v>46109</v>
      </c>
      <c r="D103" t="inlineStr">
        <is>
          <t>JÄMTLANDS LÄN</t>
        </is>
      </c>
      <c r="E103" t="inlineStr">
        <is>
          <t>RAGUNDA</t>
        </is>
      </c>
      <c r="G103" t="n">
        <v>3.3</v>
      </c>
      <c r="H103" t="n">
        <v>0</v>
      </c>
      <c r="I103" t="n">
        <v>2</v>
      </c>
      <c r="J103" t="n">
        <v>1</v>
      </c>
      <c r="K103" t="n">
        <v>1</v>
      </c>
      <c r="L103" t="n">
        <v>0</v>
      </c>
      <c r="M103" t="n">
        <v>0</v>
      </c>
      <c r="N103" t="n">
        <v>0</v>
      </c>
      <c r="O103" t="n">
        <v>2</v>
      </c>
      <c r="P103" t="n">
        <v>1</v>
      </c>
      <c r="Q103" t="n">
        <v>4</v>
      </c>
      <c r="R103" s="2" t="inlineStr">
        <is>
          <t>Spadskinn
Vedskivlav
Dropptaggsvamp
Skarp dropptaggsvamp</t>
        </is>
      </c>
      <c r="S103">
        <f>HYPERLINK("https://klasma.github.io/Logging_2303/artfynd/A 12640-2024 artfynd.xlsx", "A 12640-2024")</f>
        <v/>
      </c>
      <c r="T103">
        <f>HYPERLINK("https://klasma.github.io/Logging_2303/kartor/A 12640-2024 karta.png", "A 12640-2024")</f>
        <v/>
      </c>
      <c r="V103">
        <f>HYPERLINK("https://klasma.github.io/Logging_2303/klagomål/A 12640-2024 FSC-klagomål.docx", "A 12640-2024")</f>
        <v/>
      </c>
      <c r="W103">
        <f>HYPERLINK("https://klasma.github.io/Logging_2303/klagomålsmail/A 12640-2024 FSC-klagomål mail.docx", "A 12640-2024")</f>
        <v/>
      </c>
      <c r="X103">
        <f>HYPERLINK("https://klasma.github.io/Logging_2303/tillsyn/A 12640-2024 tillsynsbegäran.docx", "A 12640-2024")</f>
        <v/>
      </c>
      <c r="Y103">
        <f>HYPERLINK("https://klasma.github.io/Logging_2303/tillsynsmail/A 12640-2024 tillsynsbegäran mail.docx", "A 12640-2024")</f>
        <v/>
      </c>
    </row>
    <row r="104" ht="15" customHeight="1">
      <c r="A104" t="inlineStr">
        <is>
          <t>A 12268-2024</t>
        </is>
      </c>
      <c r="B104" s="1" t="n">
        <v>45378</v>
      </c>
      <c r="C104" s="1" t="n">
        <v>46109</v>
      </c>
      <c r="D104" t="inlineStr">
        <is>
          <t>JÄMTLANDS LÄN</t>
        </is>
      </c>
      <c r="E104" t="inlineStr">
        <is>
          <t>RAGUNDA</t>
        </is>
      </c>
      <c r="F104" t="inlineStr">
        <is>
          <t>Kommuner</t>
        </is>
      </c>
      <c r="G104" t="n">
        <v>15.7</v>
      </c>
      <c r="H104" t="n">
        <v>0</v>
      </c>
      <c r="I104" t="n">
        <v>0</v>
      </c>
      <c r="J104" t="n">
        <v>4</v>
      </c>
      <c r="K104" t="n">
        <v>0</v>
      </c>
      <c r="L104" t="n">
        <v>0</v>
      </c>
      <c r="M104" t="n">
        <v>0</v>
      </c>
      <c r="N104" t="n">
        <v>0</v>
      </c>
      <c r="O104" t="n">
        <v>4</v>
      </c>
      <c r="P104" t="n">
        <v>0</v>
      </c>
      <c r="Q104" t="n">
        <v>4</v>
      </c>
      <c r="R104" s="2" t="inlineStr">
        <is>
          <t>Granticka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32903-2024</t>
        </is>
      </c>
      <c r="B105" s="1" t="n">
        <v>45516.94723379629</v>
      </c>
      <c r="C105" s="1" t="n">
        <v>46109</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46109</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46109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23931-2024</t>
        </is>
      </c>
      <c r="B108" s="1" t="n">
        <v>45455.96195601852</v>
      </c>
      <c r="C108" s="1" t="n">
        <v>46109</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40653-2025</t>
        </is>
      </c>
      <c r="B109" s="1" t="n">
        <v>45896.63618055556</v>
      </c>
      <c r="C109" s="1" t="n">
        <v>46109</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32067-2024</t>
        </is>
      </c>
      <c r="B110" s="1" t="n">
        <v>45510</v>
      </c>
      <c r="C110" s="1" t="n">
        <v>46109</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26082-2025</t>
        </is>
      </c>
      <c r="B111" s="1" t="n">
        <v>45805.34415509259</v>
      </c>
      <c r="C111" s="1" t="n">
        <v>46109</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15836-2024</t>
        </is>
      </c>
      <c r="B112" s="1" t="n">
        <v>45404</v>
      </c>
      <c r="C112" s="1" t="n">
        <v>46109</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46109</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2282-2026</t>
        </is>
      </c>
      <c r="B114" s="1" t="n">
        <v>46036.57798611111</v>
      </c>
      <c r="C114" s="1" t="n">
        <v>46109</v>
      </c>
      <c r="D114" t="inlineStr">
        <is>
          <t>JÄMTLANDS LÄN</t>
        </is>
      </c>
      <c r="E114" t="inlineStr">
        <is>
          <t>RAGUNDA</t>
        </is>
      </c>
      <c r="G114" t="n">
        <v>2</v>
      </c>
      <c r="H114" t="n">
        <v>1</v>
      </c>
      <c r="I114" t="n">
        <v>0</v>
      </c>
      <c r="J114" t="n">
        <v>4</v>
      </c>
      <c r="K114" t="n">
        <v>0</v>
      </c>
      <c r="L114" t="n">
        <v>0</v>
      </c>
      <c r="M114" t="n">
        <v>0</v>
      </c>
      <c r="N114" t="n">
        <v>0</v>
      </c>
      <c r="O114" t="n">
        <v>4</v>
      </c>
      <c r="P114" t="n">
        <v>0</v>
      </c>
      <c r="Q114" t="n">
        <v>4</v>
      </c>
      <c r="R114" s="2" t="inlineStr">
        <is>
          <t>Garnlav
Harticka
Lunglav
Tretåig hackspett</t>
        </is>
      </c>
      <c r="S114">
        <f>HYPERLINK("https://klasma.github.io/Logging_2303/artfynd/A 2282-2026 artfynd.xlsx", "A 2282-2026")</f>
        <v/>
      </c>
      <c r="T114">
        <f>HYPERLINK("https://klasma.github.io/Logging_2303/kartor/A 2282-2026 karta.png", "A 2282-2026")</f>
        <v/>
      </c>
      <c r="V114">
        <f>HYPERLINK("https://klasma.github.io/Logging_2303/klagomål/A 2282-2026 FSC-klagomål.docx", "A 2282-2026")</f>
        <v/>
      </c>
      <c r="W114">
        <f>HYPERLINK("https://klasma.github.io/Logging_2303/klagomålsmail/A 2282-2026 FSC-klagomål mail.docx", "A 2282-2026")</f>
        <v/>
      </c>
      <c r="X114">
        <f>HYPERLINK("https://klasma.github.io/Logging_2303/tillsyn/A 2282-2026 tillsynsbegäran.docx", "A 2282-2026")</f>
        <v/>
      </c>
      <c r="Y114">
        <f>HYPERLINK("https://klasma.github.io/Logging_2303/tillsynsmail/A 2282-2026 tillsynsbegäran mail.docx", "A 2282-2026")</f>
        <v/>
      </c>
      <c r="Z114">
        <f>HYPERLINK("https://klasma.github.io/Logging_2303/fåglar/A 2282-2026 prioriterade fågelarter.docx", "A 2282-2026")</f>
        <v/>
      </c>
    </row>
    <row r="115" ht="15" customHeight="1">
      <c r="A115" t="inlineStr">
        <is>
          <t>A 52168-2025</t>
        </is>
      </c>
      <c r="B115" s="1" t="n">
        <v>45953.365625</v>
      </c>
      <c r="C115" s="1" t="n">
        <v>46109</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3809-2026</t>
        </is>
      </c>
      <c r="B116" s="1" t="n">
        <v>46043.58364583334</v>
      </c>
      <c r="C116" s="1" t="n">
        <v>46109</v>
      </c>
      <c r="D116" t="inlineStr">
        <is>
          <t>JÄMTLANDS LÄN</t>
        </is>
      </c>
      <c r="E116" t="inlineStr">
        <is>
          <t>RAGUNDA</t>
        </is>
      </c>
      <c r="G116" t="n">
        <v>28.6</v>
      </c>
      <c r="H116" t="n">
        <v>1</v>
      </c>
      <c r="I116" t="n">
        <v>0</v>
      </c>
      <c r="J116" t="n">
        <v>3</v>
      </c>
      <c r="K116" t="n">
        <v>1</v>
      </c>
      <c r="L116" t="n">
        <v>0</v>
      </c>
      <c r="M116" t="n">
        <v>0</v>
      </c>
      <c r="N116" t="n">
        <v>0</v>
      </c>
      <c r="O116" t="n">
        <v>4</v>
      </c>
      <c r="P116" t="n">
        <v>1</v>
      </c>
      <c r="Q116" t="n">
        <v>4</v>
      </c>
      <c r="R116" s="2" t="inlineStr">
        <is>
          <t>Knärot
Garnlav
Lunglav
Vitgrynig nållav</t>
        </is>
      </c>
      <c r="S116">
        <f>HYPERLINK("https://klasma.github.io/Logging_2303/artfynd/A 3809-2026 artfynd.xlsx", "A 3809-2026")</f>
        <v/>
      </c>
      <c r="T116">
        <f>HYPERLINK("https://klasma.github.io/Logging_2303/kartor/A 3809-2026 karta.png", "A 3809-2026")</f>
        <v/>
      </c>
      <c r="U116">
        <f>HYPERLINK("https://klasma.github.io/Logging_2303/knärot/A 3809-2026 karta knärot.png", "A 3809-2026")</f>
        <v/>
      </c>
      <c r="V116">
        <f>HYPERLINK("https://klasma.github.io/Logging_2303/klagomål/A 3809-2026 FSC-klagomål.docx", "A 3809-2026")</f>
        <v/>
      </c>
      <c r="W116">
        <f>HYPERLINK("https://klasma.github.io/Logging_2303/klagomålsmail/A 3809-2026 FSC-klagomål mail.docx", "A 3809-2026")</f>
        <v/>
      </c>
      <c r="X116">
        <f>HYPERLINK("https://klasma.github.io/Logging_2303/tillsyn/A 3809-2026 tillsynsbegäran.docx", "A 3809-2026")</f>
        <v/>
      </c>
      <c r="Y116">
        <f>HYPERLINK("https://klasma.github.io/Logging_2303/tillsynsmail/A 3809-2026 tillsynsbegäran mail.docx", "A 3809-2026")</f>
        <v/>
      </c>
    </row>
    <row r="117" ht="15" customHeight="1">
      <c r="A117" t="inlineStr">
        <is>
          <t>A 30465-2024</t>
        </is>
      </c>
      <c r="B117" s="1" t="n">
        <v>45491</v>
      </c>
      <c r="C117" s="1" t="n">
        <v>46109</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60670-2022</t>
        </is>
      </c>
      <c r="B118" s="1" t="n">
        <v>44911</v>
      </c>
      <c r="C118" s="1" t="n">
        <v>46109</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52644-2024</t>
        </is>
      </c>
      <c r="B119" s="1" t="n">
        <v>45610.34415509259</v>
      </c>
      <c r="C119" s="1" t="n">
        <v>46109</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46109</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46109</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46109</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46109</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46109</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46109</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46109</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46109</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46109</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46109</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57667-2025</t>
        </is>
      </c>
      <c r="B130" s="1" t="n">
        <v>45981.42767361111</v>
      </c>
      <c r="C130" s="1" t="n">
        <v>46109</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48054-2022</t>
        </is>
      </c>
      <c r="B131" s="1" t="n">
        <v>44855</v>
      </c>
      <c r="C131" s="1" t="n">
        <v>46109</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46109</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46109</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59179-2025</t>
        </is>
      </c>
      <c r="B134" s="1" t="n">
        <v>45988.57350694444</v>
      </c>
      <c r="C134" s="1" t="n">
        <v>46109</v>
      </c>
      <c r="D134" t="inlineStr">
        <is>
          <t>JÄMTLANDS LÄN</t>
        </is>
      </c>
      <c r="E134" t="inlineStr">
        <is>
          <t>RAGUNDA</t>
        </is>
      </c>
      <c r="F134" t="inlineStr">
        <is>
          <t>SCA</t>
        </is>
      </c>
      <c r="G134" t="n">
        <v>2.3</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HYPERLINK("https://klasma.github.io/Logging_2303/artfynd/A 59179-2025 artfynd.xlsx", "A 59179-2025")</f>
        <v/>
      </c>
      <c r="T134">
        <f>HYPERLINK("https://klasma.github.io/Logging_2303/kartor/A 59179-2025 karta.png", "A 59179-2025")</f>
        <v/>
      </c>
      <c r="V134">
        <f>HYPERLINK("https://klasma.github.io/Logging_2303/klagomål/A 59179-2025 FSC-klagomål.docx", "A 59179-2025")</f>
        <v/>
      </c>
      <c r="W134">
        <f>HYPERLINK("https://klasma.github.io/Logging_2303/klagomålsmail/A 59179-2025 FSC-klagomål mail.docx", "A 59179-2025")</f>
        <v/>
      </c>
      <c r="X134">
        <f>HYPERLINK("https://klasma.github.io/Logging_2303/tillsyn/A 59179-2025 tillsynsbegäran.docx", "A 59179-2025")</f>
        <v/>
      </c>
      <c r="Y134">
        <f>HYPERLINK("https://klasma.github.io/Logging_2303/tillsynsmail/A 59179-2025 tillsynsbegäran mail.docx", "A 59179-2025")</f>
        <v/>
      </c>
    </row>
    <row r="135" ht="15" customHeight="1">
      <c r="A135" t="inlineStr">
        <is>
          <t>A 20776-2024</t>
        </is>
      </c>
      <c r="B135" s="1" t="n">
        <v>45436.94686342592</v>
      </c>
      <c r="C135" s="1" t="n">
        <v>46109</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46109</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61954-2025</t>
        </is>
      </c>
      <c r="B137" s="1" t="n">
        <v>46003.57381944444</v>
      </c>
      <c r="C137" s="1" t="n">
        <v>46109</v>
      </c>
      <c r="D137" t="inlineStr">
        <is>
          <t>JÄMTLANDS LÄN</t>
        </is>
      </c>
      <c r="E137" t="inlineStr">
        <is>
          <t>RAGUNDA</t>
        </is>
      </c>
      <c r="F137" t="inlineStr">
        <is>
          <t>SCA</t>
        </is>
      </c>
      <c r="G137" t="n">
        <v>6.5</v>
      </c>
      <c r="H137" t="n">
        <v>0</v>
      </c>
      <c r="I137" t="n">
        <v>1</v>
      </c>
      <c r="J137" t="n">
        <v>2</v>
      </c>
      <c r="K137" t="n">
        <v>0</v>
      </c>
      <c r="L137" t="n">
        <v>0</v>
      </c>
      <c r="M137" t="n">
        <v>0</v>
      </c>
      <c r="N137" t="n">
        <v>0</v>
      </c>
      <c r="O137" t="n">
        <v>2</v>
      </c>
      <c r="P137" t="n">
        <v>0</v>
      </c>
      <c r="Q137" t="n">
        <v>3</v>
      </c>
      <c r="R137" s="2" t="inlineStr">
        <is>
          <t>Garnlav
Lunglav
Trådticka</t>
        </is>
      </c>
      <c r="S137">
        <f>HYPERLINK("https://klasma.github.io/Logging_2303/artfynd/A 61954-2025 artfynd.xlsx", "A 61954-2025")</f>
        <v/>
      </c>
      <c r="T137">
        <f>HYPERLINK("https://klasma.github.io/Logging_2303/kartor/A 61954-2025 karta.png", "A 61954-2025")</f>
        <v/>
      </c>
      <c r="V137">
        <f>HYPERLINK("https://klasma.github.io/Logging_2303/klagomål/A 61954-2025 FSC-klagomål.docx", "A 61954-2025")</f>
        <v/>
      </c>
      <c r="W137">
        <f>HYPERLINK("https://klasma.github.io/Logging_2303/klagomålsmail/A 61954-2025 FSC-klagomål mail.docx", "A 61954-2025")</f>
        <v/>
      </c>
      <c r="X137">
        <f>HYPERLINK("https://klasma.github.io/Logging_2303/tillsyn/A 61954-2025 tillsynsbegäran.docx", "A 61954-2025")</f>
        <v/>
      </c>
      <c r="Y137">
        <f>HYPERLINK("https://klasma.github.io/Logging_2303/tillsynsmail/A 61954-2025 tillsynsbegäran mail.docx", "A 61954-2025")</f>
        <v/>
      </c>
    </row>
    <row r="138" ht="15" customHeight="1">
      <c r="A138" t="inlineStr">
        <is>
          <t>A 7519-2023</t>
        </is>
      </c>
      <c r="B138" s="1" t="n">
        <v>44971</v>
      </c>
      <c r="C138" s="1" t="n">
        <v>46109</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46109</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33432-2023</t>
        </is>
      </c>
      <c r="B140" s="1" t="n">
        <v>45128</v>
      </c>
      <c r="C140" s="1" t="n">
        <v>46109</v>
      </c>
      <c r="D140" t="inlineStr">
        <is>
          <t>JÄMTLANDS LÄN</t>
        </is>
      </c>
      <c r="E140" t="inlineStr">
        <is>
          <t>RAGUNDA</t>
        </is>
      </c>
      <c r="F140" t="inlineStr">
        <is>
          <t>SCA</t>
        </is>
      </c>
      <c r="G140" t="n">
        <v>10</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33432-2023 artfynd.xlsx", "A 33432-2023")</f>
        <v/>
      </c>
      <c r="T140">
        <f>HYPERLINK("https://klasma.github.io/Logging_2303/kartor/A 33432-2023 karta.png", "A 33432-2023")</f>
        <v/>
      </c>
      <c r="V140">
        <f>HYPERLINK("https://klasma.github.io/Logging_2303/klagomål/A 33432-2023 FSC-klagomål.docx", "A 33432-2023")</f>
        <v/>
      </c>
      <c r="W140">
        <f>HYPERLINK("https://klasma.github.io/Logging_2303/klagomålsmail/A 33432-2023 FSC-klagomål mail.docx", "A 33432-2023")</f>
        <v/>
      </c>
      <c r="X140">
        <f>HYPERLINK("https://klasma.github.io/Logging_2303/tillsyn/A 33432-2023 tillsynsbegäran.docx", "A 33432-2023")</f>
        <v/>
      </c>
      <c r="Y140">
        <f>HYPERLINK("https://klasma.github.io/Logging_2303/tillsynsmail/A 33432-2023 tillsynsbegäran mail.docx", "A 33432-2023")</f>
        <v/>
      </c>
      <c r="Z140">
        <f>HYPERLINK("https://klasma.github.io/Logging_2303/fåglar/A 33432-2023 prioriterade fågelarter.docx", "A 33432-2023")</f>
        <v/>
      </c>
    </row>
    <row r="141" ht="15" customHeight="1">
      <c r="A141" t="inlineStr">
        <is>
          <t>A 57941-2024</t>
        </is>
      </c>
      <c r="B141" s="1" t="n">
        <v>45631</v>
      </c>
      <c r="C141" s="1" t="n">
        <v>46109</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22571-2025</t>
        </is>
      </c>
      <c r="B142" s="1" t="n">
        <v>45789.36503472222</v>
      </c>
      <c r="C142" s="1" t="n">
        <v>46109</v>
      </c>
      <c r="D142" t="inlineStr">
        <is>
          <t>JÄMTLANDS LÄN</t>
        </is>
      </c>
      <c r="E142" t="inlineStr">
        <is>
          <t>RAGUNDA</t>
        </is>
      </c>
      <c r="F142" t="inlineStr">
        <is>
          <t>SCA</t>
        </is>
      </c>
      <c r="G142" t="n">
        <v>18.2</v>
      </c>
      <c r="H142" t="n">
        <v>2</v>
      </c>
      <c r="I142" t="n">
        <v>0</v>
      </c>
      <c r="J142" t="n">
        <v>2</v>
      </c>
      <c r="K142" t="n">
        <v>0</v>
      </c>
      <c r="L142" t="n">
        <v>0</v>
      </c>
      <c r="M142" t="n">
        <v>0</v>
      </c>
      <c r="N142" t="n">
        <v>0</v>
      </c>
      <c r="O142" t="n">
        <v>2</v>
      </c>
      <c r="P142" t="n">
        <v>0</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5731-2026</t>
        </is>
      </c>
      <c r="B143" s="1" t="n">
        <v>46051.57355324074</v>
      </c>
      <c r="C143" s="1" t="n">
        <v>46109</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30470-2024</t>
        </is>
      </c>
      <c r="B144" s="1" t="n">
        <v>45491</v>
      </c>
      <c r="C144" s="1" t="n">
        <v>46109</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34585-2025</t>
        </is>
      </c>
      <c r="B145" s="1" t="n">
        <v>45847.61498842593</v>
      </c>
      <c r="C145" s="1" t="n">
        <v>46109</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46109</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16305-2025</t>
        </is>
      </c>
      <c r="B147" s="1" t="n">
        <v>45751.34650462963</v>
      </c>
      <c r="C147" s="1" t="n">
        <v>46109</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46109</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46109</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46109</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46109</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46109</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46109</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46109</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46109</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46109</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46109</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46109</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46109</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46109</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46109</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46109</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46109</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Kötticka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46109</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46109</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62636-2025</t>
        </is>
      </c>
      <c r="B166" s="1" t="n">
        <v>46008.3653587963</v>
      </c>
      <c r="C166" s="1" t="n">
        <v>46109</v>
      </c>
      <c r="D166" t="inlineStr">
        <is>
          <t>JÄMTLANDS LÄN</t>
        </is>
      </c>
      <c r="E166" t="inlineStr">
        <is>
          <t>RAGUNDA</t>
        </is>
      </c>
      <c r="G166" t="n">
        <v>3.1</v>
      </c>
      <c r="H166" t="n">
        <v>1</v>
      </c>
      <c r="I166" t="n">
        <v>0</v>
      </c>
      <c r="J166" t="n">
        <v>2</v>
      </c>
      <c r="K166" t="n">
        <v>0</v>
      </c>
      <c r="L166" t="n">
        <v>0</v>
      </c>
      <c r="M166" t="n">
        <v>0</v>
      </c>
      <c r="N166" t="n">
        <v>0</v>
      </c>
      <c r="O166" t="n">
        <v>2</v>
      </c>
      <c r="P166" t="n">
        <v>0</v>
      </c>
      <c r="Q166" t="n">
        <v>2</v>
      </c>
      <c r="R166" s="2" t="inlineStr">
        <is>
          <t>Garnlav
Talltita</t>
        </is>
      </c>
      <c r="S166">
        <f>HYPERLINK("https://klasma.github.io/Logging_2303/artfynd/A 62636-2025 artfynd.xlsx", "A 62636-2025")</f>
        <v/>
      </c>
      <c r="T166">
        <f>HYPERLINK("https://klasma.github.io/Logging_2303/kartor/A 62636-2025 karta.png", "A 62636-2025")</f>
        <v/>
      </c>
      <c r="V166">
        <f>HYPERLINK("https://klasma.github.io/Logging_2303/klagomål/A 62636-2025 FSC-klagomål.docx", "A 62636-2025")</f>
        <v/>
      </c>
      <c r="W166">
        <f>HYPERLINK("https://klasma.github.io/Logging_2303/klagomålsmail/A 62636-2025 FSC-klagomål mail.docx", "A 62636-2025")</f>
        <v/>
      </c>
      <c r="X166">
        <f>HYPERLINK("https://klasma.github.io/Logging_2303/tillsyn/A 62636-2025 tillsynsbegäran.docx", "A 62636-2025")</f>
        <v/>
      </c>
      <c r="Y166">
        <f>HYPERLINK("https://klasma.github.io/Logging_2303/tillsynsmail/A 62636-2025 tillsynsbegäran mail.docx", "A 62636-2025")</f>
        <v/>
      </c>
      <c r="Z166">
        <f>HYPERLINK("https://klasma.github.io/Logging_2303/fåglar/A 62636-2025 prioriterade fågelarter.docx", "A 62636-2025")</f>
        <v/>
      </c>
    </row>
    <row r="167" ht="15" customHeight="1">
      <c r="A167" t="inlineStr">
        <is>
          <t>A 56634-2025</t>
        </is>
      </c>
      <c r="B167" s="1" t="n">
        <v>45975.61619212963</v>
      </c>
      <c r="C167" s="1" t="n">
        <v>46109</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14502-2024</t>
        </is>
      </c>
      <c r="B168" s="1" t="n">
        <v>45394</v>
      </c>
      <c r="C168" s="1" t="n">
        <v>46109</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9749-2026</t>
        </is>
      </c>
      <c r="B169" s="1" t="n">
        <v>46072.53167824074</v>
      </c>
      <c r="C169" s="1" t="n">
        <v>46109</v>
      </c>
      <c r="D169" t="inlineStr">
        <is>
          <t>JÄMTLANDS LÄN</t>
        </is>
      </c>
      <c r="E169" t="inlineStr">
        <is>
          <t>RAGUNDA</t>
        </is>
      </c>
      <c r="F169" t="inlineStr">
        <is>
          <t>SCA</t>
        </is>
      </c>
      <c r="G169" t="n">
        <v>2.7</v>
      </c>
      <c r="H169" t="n">
        <v>1</v>
      </c>
      <c r="I169" t="n">
        <v>0</v>
      </c>
      <c r="J169" t="n">
        <v>2</v>
      </c>
      <c r="K169" t="n">
        <v>0</v>
      </c>
      <c r="L169" t="n">
        <v>0</v>
      </c>
      <c r="M169" t="n">
        <v>0</v>
      </c>
      <c r="N169" t="n">
        <v>0</v>
      </c>
      <c r="O169" t="n">
        <v>2</v>
      </c>
      <c r="P169" t="n">
        <v>0</v>
      </c>
      <c r="Q169" t="n">
        <v>2</v>
      </c>
      <c r="R169" s="2" t="inlineStr">
        <is>
          <t>Järpe
Ullticka</t>
        </is>
      </c>
      <c r="S169">
        <f>HYPERLINK("https://klasma.github.io/Logging_2303/artfynd/A 9749-2026 artfynd.xlsx", "A 9749-2026")</f>
        <v/>
      </c>
      <c r="T169">
        <f>HYPERLINK("https://klasma.github.io/Logging_2303/kartor/A 9749-2026 karta.png", "A 9749-2026")</f>
        <v/>
      </c>
      <c r="V169">
        <f>HYPERLINK("https://klasma.github.io/Logging_2303/klagomål/A 9749-2026 FSC-klagomål.docx", "A 9749-2026")</f>
        <v/>
      </c>
      <c r="W169">
        <f>HYPERLINK("https://klasma.github.io/Logging_2303/klagomålsmail/A 9749-2026 FSC-klagomål mail.docx", "A 9749-2026")</f>
        <v/>
      </c>
      <c r="X169">
        <f>HYPERLINK("https://klasma.github.io/Logging_2303/tillsyn/A 9749-2026 tillsynsbegäran.docx", "A 9749-2026")</f>
        <v/>
      </c>
      <c r="Y169">
        <f>HYPERLINK("https://klasma.github.io/Logging_2303/tillsynsmail/A 9749-2026 tillsynsbegäran mail.docx", "A 9749-2026")</f>
        <v/>
      </c>
      <c r="Z169">
        <f>HYPERLINK("https://klasma.github.io/Logging_2303/fåglar/A 9749-2026 prioriterade fågelarter.docx", "A 9749-2026")</f>
        <v/>
      </c>
    </row>
    <row r="170" ht="15" customHeight="1">
      <c r="A170" t="inlineStr">
        <is>
          <t>A 47850-2025</t>
        </is>
      </c>
      <c r="B170" s="1" t="n">
        <v>45932.38626157407</v>
      </c>
      <c r="C170" s="1" t="n">
        <v>46109</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46109</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46109</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48427-2023</t>
        </is>
      </c>
      <c r="B173" s="1" t="n">
        <v>45205</v>
      </c>
      <c r="C173" s="1" t="n">
        <v>46109</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31960-2025</t>
        </is>
      </c>
      <c r="B174" s="1" t="n">
        <v>45835.344375</v>
      </c>
      <c r="C174" s="1" t="n">
        <v>46109</v>
      </c>
      <c r="D174" t="inlineStr">
        <is>
          <t>JÄMTLANDS LÄN</t>
        </is>
      </c>
      <c r="E174" t="inlineStr">
        <is>
          <t>RAGUNDA</t>
        </is>
      </c>
      <c r="F174" t="inlineStr">
        <is>
          <t>SCA</t>
        </is>
      </c>
      <c r="G174" t="n">
        <v>1.6</v>
      </c>
      <c r="H174" t="n">
        <v>0</v>
      </c>
      <c r="I174" t="n">
        <v>0</v>
      </c>
      <c r="J174" t="n">
        <v>2</v>
      </c>
      <c r="K174" t="n">
        <v>0</v>
      </c>
      <c r="L174" t="n">
        <v>0</v>
      </c>
      <c r="M174" t="n">
        <v>0</v>
      </c>
      <c r="N174" t="n">
        <v>0</v>
      </c>
      <c r="O174" t="n">
        <v>2</v>
      </c>
      <c r="P174" t="n">
        <v>0</v>
      </c>
      <c r="Q174" t="n">
        <v>2</v>
      </c>
      <c r="R174" s="2" t="inlineStr">
        <is>
          <t>Gammelgransskål
Garnlav</t>
        </is>
      </c>
      <c r="S174">
        <f>HYPERLINK("https://klasma.github.io/Logging_2303/artfynd/A 31960-2025 artfynd.xlsx", "A 31960-2025")</f>
        <v/>
      </c>
      <c r="T174">
        <f>HYPERLINK("https://klasma.github.io/Logging_2303/kartor/A 31960-2025 karta.png", "A 31960-2025")</f>
        <v/>
      </c>
      <c r="V174">
        <f>HYPERLINK("https://klasma.github.io/Logging_2303/klagomål/A 31960-2025 FSC-klagomål.docx", "A 31960-2025")</f>
        <v/>
      </c>
      <c r="W174">
        <f>HYPERLINK("https://klasma.github.io/Logging_2303/klagomålsmail/A 31960-2025 FSC-klagomål mail.docx", "A 31960-2025")</f>
        <v/>
      </c>
      <c r="X174">
        <f>HYPERLINK("https://klasma.github.io/Logging_2303/tillsyn/A 31960-2025 tillsynsbegäran.docx", "A 31960-2025")</f>
        <v/>
      </c>
      <c r="Y174">
        <f>HYPERLINK("https://klasma.github.io/Logging_2303/tillsynsmail/A 31960-2025 tillsynsbegäran mail.docx", "A 31960-2025")</f>
        <v/>
      </c>
    </row>
    <row r="175" ht="15" customHeight="1">
      <c r="A175" t="inlineStr">
        <is>
          <t>A 10866-2025</t>
        </is>
      </c>
      <c r="B175" s="1" t="n">
        <v>45722.61543981481</v>
      </c>
      <c r="C175" s="1" t="n">
        <v>46109</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46109</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48084-2022</t>
        </is>
      </c>
      <c r="B177" s="1" t="n">
        <v>44855</v>
      </c>
      <c r="C177" s="1" t="n">
        <v>46109</v>
      </c>
      <c r="D177" t="inlineStr">
        <is>
          <t>JÄMTLANDS LÄN</t>
        </is>
      </c>
      <c r="E177" t="inlineStr">
        <is>
          <t>RAGUNDA</t>
        </is>
      </c>
      <c r="F177" t="inlineStr">
        <is>
          <t>SCA</t>
        </is>
      </c>
      <c r="G177" t="n">
        <v>4.7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HYPERLINK("https://klasma.github.io/Logging_2303/artfynd/A 48084-2022 artfynd.xlsx", "A 48084-2022")</f>
        <v/>
      </c>
      <c r="T177">
        <f>HYPERLINK("https://klasma.github.io/Logging_2303/kartor/A 48084-2022 karta.png", "A 48084-2022")</f>
        <v/>
      </c>
      <c r="V177">
        <f>HYPERLINK("https://klasma.github.io/Logging_2303/klagomål/A 48084-2022 FSC-klagomål.docx", "A 48084-2022")</f>
        <v/>
      </c>
      <c r="W177">
        <f>HYPERLINK("https://klasma.github.io/Logging_2303/klagomålsmail/A 48084-2022 FSC-klagomål mail.docx", "A 48084-2022")</f>
        <v/>
      </c>
      <c r="X177">
        <f>HYPERLINK("https://klasma.github.io/Logging_2303/tillsyn/A 48084-2022 tillsynsbegäran.docx", "A 48084-2022")</f>
        <v/>
      </c>
      <c r="Y177">
        <f>HYPERLINK("https://klasma.github.io/Logging_2303/tillsynsmail/A 48084-2022 tillsynsbegäran mail.docx", "A 48084-2022")</f>
        <v/>
      </c>
      <c r="Z177">
        <f>HYPERLINK("https://klasma.github.io/Logging_2303/fåglar/A 48084-2022 prioriterade fågelarter.docx", "A 48084-2022")</f>
        <v/>
      </c>
    </row>
    <row r="178" ht="15" customHeight="1">
      <c r="A178" t="inlineStr">
        <is>
          <t>A 35131-2025</t>
        </is>
      </c>
      <c r="B178" s="1" t="n">
        <v>45852.63597222222</v>
      </c>
      <c r="C178" s="1" t="n">
        <v>46109</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19384-2025</t>
        </is>
      </c>
      <c r="B179" s="1" t="n">
        <v>45769.65692129629</v>
      </c>
      <c r="C179" s="1" t="n">
        <v>46109</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57940-2024</t>
        </is>
      </c>
      <c r="B180" s="1" t="n">
        <v>45631</v>
      </c>
      <c r="C180" s="1" t="n">
        <v>46109</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55647-2023</t>
        </is>
      </c>
      <c r="B181" s="1" t="n">
        <v>45238</v>
      </c>
      <c r="C181" s="1" t="n">
        <v>46109</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50089-2022</t>
        </is>
      </c>
      <c r="B182" s="1" t="n">
        <v>44865</v>
      </c>
      <c r="C182" s="1" t="n">
        <v>46109</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32736-2023</t>
        </is>
      </c>
      <c r="B183" s="1" t="n">
        <v>45121</v>
      </c>
      <c r="C183" s="1" t="n">
        <v>46109</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Vedtrappmossa
Stor aspticka</t>
        </is>
      </c>
      <c r="S183">
        <f>HYPERLINK("https://klasma.github.io/Logging_2303/artfynd/A 32736-2023 artfynd.xlsx", "A 32736-2023")</f>
        <v/>
      </c>
      <c r="T183">
        <f>HYPERLINK("https://klasma.github.io/Logging_2303/kartor/A 32736-2023 karta.png", "A 32736-2023")</f>
        <v/>
      </c>
      <c r="V183">
        <f>HYPERLINK("https://klasma.github.io/Logging_2303/klagomål/A 32736-2023 FSC-klagomål.docx", "A 32736-2023")</f>
        <v/>
      </c>
      <c r="W183">
        <f>HYPERLINK("https://klasma.github.io/Logging_2303/klagomålsmail/A 32736-2023 FSC-klagomål mail.docx", "A 32736-2023")</f>
        <v/>
      </c>
      <c r="X183">
        <f>HYPERLINK("https://klasma.github.io/Logging_2303/tillsyn/A 32736-2023 tillsynsbegäran.docx", "A 32736-2023")</f>
        <v/>
      </c>
      <c r="Y183">
        <f>HYPERLINK("https://klasma.github.io/Logging_2303/tillsynsmail/A 32736-2023 tillsynsbegäran mail.docx", "A 32736-2023")</f>
        <v/>
      </c>
    </row>
    <row r="184" ht="15" customHeight="1">
      <c r="A184" t="inlineStr">
        <is>
          <t>A 45021-2023</t>
        </is>
      </c>
      <c r="B184" s="1" t="n">
        <v>45190</v>
      </c>
      <c r="C184" s="1" t="n">
        <v>46109</v>
      </c>
      <c r="D184" t="inlineStr">
        <is>
          <t>JÄMTLANDS LÄN</t>
        </is>
      </c>
      <c r="E184" t="inlineStr">
        <is>
          <t>RAGUNDA</t>
        </is>
      </c>
      <c r="F184" t="inlineStr">
        <is>
          <t>SCA</t>
        </is>
      </c>
      <c r="G184" t="n">
        <v>1.6</v>
      </c>
      <c r="H184" t="n">
        <v>1</v>
      </c>
      <c r="I184" t="n">
        <v>0</v>
      </c>
      <c r="J184" t="n">
        <v>1</v>
      </c>
      <c r="K184" t="n">
        <v>0</v>
      </c>
      <c r="L184" t="n">
        <v>0</v>
      </c>
      <c r="M184" t="n">
        <v>0</v>
      </c>
      <c r="N184" t="n">
        <v>0</v>
      </c>
      <c r="O184" t="n">
        <v>1</v>
      </c>
      <c r="P184" t="n">
        <v>0</v>
      </c>
      <c r="Q184" t="n">
        <v>2</v>
      </c>
      <c r="R184" s="2" t="inlineStr">
        <is>
          <t>Lunglav
Fläcknycklar</t>
        </is>
      </c>
      <c r="S184">
        <f>HYPERLINK("https://klasma.github.io/Logging_2303/artfynd/A 45021-2023 artfynd.xlsx", "A 45021-2023")</f>
        <v/>
      </c>
      <c r="T184">
        <f>HYPERLINK("https://klasma.github.io/Logging_2303/kartor/A 45021-2023 karta.png", "A 45021-2023")</f>
        <v/>
      </c>
      <c r="V184">
        <f>HYPERLINK("https://klasma.github.io/Logging_2303/klagomål/A 45021-2023 FSC-klagomål.docx", "A 45021-2023")</f>
        <v/>
      </c>
      <c r="W184">
        <f>HYPERLINK("https://klasma.github.io/Logging_2303/klagomålsmail/A 45021-2023 FSC-klagomål mail.docx", "A 45021-2023")</f>
        <v/>
      </c>
      <c r="X184">
        <f>HYPERLINK("https://klasma.github.io/Logging_2303/tillsyn/A 45021-2023 tillsynsbegäran.docx", "A 45021-2023")</f>
        <v/>
      </c>
      <c r="Y184">
        <f>HYPERLINK("https://klasma.github.io/Logging_2303/tillsynsmail/A 45021-2023 tillsynsbegäran mail.docx", "A 45021-2023")</f>
        <v/>
      </c>
    </row>
    <row r="185" ht="15" customHeight="1">
      <c r="A185" t="inlineStr">
        <is>
          <t>A 44409-2023</t>
        </is>
      </c>
      <c r="B185" s="1" t="n">
        <v>45188</v>
      </c>
      <c r="C185" s="1" t="n">
        <v>46109</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46109</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46109</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45035-2023</t>
        </is>
      </c>
      <c r="B188" s="1" t="n">
        <v>45191</v>
      </c>
      <c r="C188" s="1" t="n">
        <v>46109</v>
      </c>
      <c r="D188" t="inlineStr">
        <is>
          <t>JÄMTLANDS LÄN</t>
        </is>
      </c>
      <c r="E188" t="inlineStr">
        <is>
          <t>RAGUNDA</t>
        </is>
      </c>
      <c r="G188" t="n">
        <v>2.9</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45035-2023 artfynd.xlsx", "A 45035-2023")</f>
        <v/>
      </c>
      <c r="T188">
        <f>HYPERLINK("https://klasma.github.io/Logging_2303/kartor/A 45035-2023 karta.png", "A 45035-2023")</f>
        <v/>
      </c>
      <c r="V188">
        <f>HYPERLINK("https://klasma.github.io/Logging_2303/klagomål/A 45035-2023 FSC-klagomål.docx", "A 45035-2023")</f>
        <v/>
      </c>
      <c r="W188">
        <f>HYPERLINK("https://klasma.github.io/Logging_2303/klagomålsmail/A 45035-2023 FSC-klagomål mail.docx", "A 45035-2023")</f>
        <v/>
      </c>
      <c r="X188">
        <f>HYPERLINK("https://klasma.github.io/Logging_2303/tillsyn/A 45035-2023 tillsynsbegäran.docx", "A 45035-2023")</f>
        <v/>
      </c>
      <c r="Y188">
        <f>HYPERLINK("https://klasma.github.io/Logging_2303/tillsynsmail/A 45035-2023 tillsynsbegäran mail.docx", "A 45035-2023")</f>
        <v/>
      </c>
    </row>
    <row r="189" ht="15" customHeight="1">
      <c r="A189" t="inlineStr">
        <is>
          <t>A 56285-2023</t>
        </is>
      </c>
      <c r="B189" s="1" t="n">
        <v>45241</v>
      </c>
      <c r="C189" s="1" t="n">
        <v>46109</v>
      </c>
      <c r="D189" t="inlineStr">
        <is>
          <t>JÄMTLANDS LÄN</t>
        </is>
      </c>
      <c r="E189" t="inlineStr">
        <is>
          <t>RAGUNDA</t>
        </is>
      </c>
      <c r="F189" t="inlineStr">
        <is>
          <t>SCA</t>
        </is>
      </c>
      <c r="G189" t="n">
        <v>5.5</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56285-2023 artfynd.xlsx", "A 56285-2023")</f>
        <v/>
      </c>
      <c r="T189">
        <f>HYPERLINK("https://klasma.github.io/Logging_2303/kartor/A 56285-2023 karta.png", "A 56285-2023")</f>
        <v/>
      </c>
      <c r="V189">
        <f>HYPERLINK("https://klasma.github.io/Logging_2303/klagomål/A 56285-2023 FSC-klagomål.docx", "A 56285-2023")</f>
        <v/>
      </c>
      <c r="W189">
        <f>HYPERLINK("https://klasma.github.io/Logging_2303/klagomålsmail/A 56285-2023 FSC-klagomål mail.docx", "A 56285-2023")</f>
        <v/>
      </c>
      <c r="X189">
        <f>HYPERLINK("https://klasma.github.io/Logging_2303/tillsyn/A 56285-2023 tillsynsbegäran.docx", "A 56285-2023")</f>
        <v/>
      </c>
      <c r="Y189">
        <f>HYPERLINK("https://klasma.github.io/Logging_2303/tillsynsmail/A 56285-2023 tillsynsbegäran mail.docx", "A 56285-2023")</f>
        <v/>
      </c>
    </row>
    <row r="190" ht="15" customHeight="1">
      <c r="A190" t="inlineStr">
        <is>
          <t>A 19728-2025</t>
        </is>
      </c>
      <c r="B190" s="1" t="n">
        <v>45771.36548611111</v>
      </c>
      <c r="C190" s="1" t="n">
        <v>46109</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34715-2024</t>
        </is>
      </c>
      <c r="B191" s="1" t="n">
        <v>45526.56393518519</v>
      </c>
      <c r="C191" s="1" t="n">
        <v>46109</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26324-2024</t>
        </is>
      </c>
      <c r="B192" s="1" t="n">
        <v>45468.97495370371</v>
      </c>
      <c r="C192" s="1" t="n">
        <v>46109</v>
      </c>
      <c r="D192" t="inlineStr">
        <is>
          <t>JÄMTLANDS LÄN</t>
        </is>
      </c>
      <c r="E192" t="inlineStr">
        <is>
          <t>RAGUNDA</t>
        </is>
      </c>
      <c r="F192" t="inlineStr">
        <is>
          <t>SCA</t>
        </is>
      </c>
      <c r="G192" t="n">
        <v>2</v>
      </c>
      <c r="H192" t="n">
        <v>1</v>
      </c>
      <c r="I192" t="n">
        <v>0</v>
      </c>
      <c r="J192" t="n">
        <v>1</v>
      </c>
      <c r="K192" t="n">
        <v>1</v>
      </c>
      <c r="L192" t="n">
        <v>0</v>
      </c>
      <c r="M192" t="n">
        <v>0</v>
      </c>
      <c r="N192" t="n">
        <v>0</v>
      </c>
      <c r="O192" t="n">
        <v>2</v>
      </c>
      <c r="P192" t="n">
        <v>1</v>
      </c>
      <c r="Q192" t="n">
        <v>2</v>
      </c>
      <c r="R192" s="2" t="inlineStr">
        <is>
          <t>Knärot
Vedtrappmossa</t>
        </is>
      </c>
      <c r="S192">
        <f>HYPERLINK("https://klasma.github.io/Logging_2303/artfynd/A 26324-2024 artfynd.xlsx", "A 26324-2024")</f>
        <v/>
      </c>
      <c r="T192">
        <f>HYPERLINK("https://klasma.github.io/Logging_2303/kartor/A 26324-2024 karta.png", "A 26324-2024")</f>
        <v/>
      </c>
      <c r="U192">
        <f>HYPERLINK("https://klasma.github.io/Logging_2303/knärot/A 26324-2024 karta knärot.png", "A 26324-2024")</f>
        <v/>
      </c>
      <c r="V192">
        <f>HYPERLINK("https://klasma.github.io/Logging_2303/klagomål/A 26324-2024 FSC-klagomål.docx", "A 26324-2024")</f>
        <v/>
      </c>
      <c r="W192">
        <f>HYPERLINK("https://klasma.github.io/Logging_2303/klagomålsmail/A 26324-2024 FSC-klagomål mail.docx", "A 26324-2024")</f>
        <v/>
      </c>
      <c r="X192">
        <f>HYPERLINK("https://klasma.github.io/Logging_2303/tillsyn/A 26324-2024 tillsynsbegäran.docx", "A 26324-2024")</f>
        <v/>
      </c>
      <c r="Y192">
        <f>HYPERLINK("https://klasma.github.io/Logging_2303/tillsynsmail/A 26324-2024 tillsynsbegäran mail.docx", "A 26324-2024")</f>
        <v/>
      </c>
    </row>
    <row r="193" ht="15" customHeight="1">
      <c r="A193" t="inlineStr">
        <is>
          <t>A 11843-2023</t>
        </is>
      </c>
      <c r="B193" s="1" t="n">
        <v>44993</v>
      </c>
      <c r="C193" s="1" t="n">
        <v>46109</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36756-2023</t>
        </is>
      </c>
      <c r="B194" s="1" t="n">
        <v>45153</v>
      </c>
      <c r="C194" s="1" t="n">
        <v>46109</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46109</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46109</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46109</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46109</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46109</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46109</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46109</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46109</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46109</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46109</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44066-2024</t>
        </is>
      </c>
      <c r="B205" s="1" t="n">
        <v>45572.60363425926</v>
      </c>
      <c r="C205" s="1" t="n">
        <v>46109</v>
      </c>
      <c r="D205" t="inlineStr">
        <is>
          <t>JÄMTLANDS LÄN</t>
        </is>
      </c>
      <c r="E205" t="inlineStr">
        <is>
          <t>RAGUNDA</t>
        </is>
      </c>
      <c r="G205" t="n">
        <v>6.4</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44066-2024 artfynd.xlsx", "A 44066-2024")</f>
        <v/>
      </c>
      <c r="T205">
        <f>HYPERLINK("https://klasma.github.io/Logging_2303/kartor/A 44066-2024 karta.png", "A 44066-2024")</f>
        <v/>
      </c>
      <c r="V205">
        <f>HYPERLINK("https://klasma.github.io/Logging_2303/klagomål/A 44066-2024 FSC-klagomål.docx", "A 44066-2024")</f>
        <v/>
      </c>
      <c r="W205">
        <f>HYPERLINK("https://klasma.github.io/Logging_2303/klagomålsmail/A 44066-2024 FSC-klagomål mail.docx", "A 44066-2024")</f>
        <v/>
      </c>
      <c r="X205">
        <f>HYPERLINK("https://klasma.github.io/Logging_2303/tillsyn/A 44066-2024 tillsynsbegäran.docx", "A 44066-2024")</f>
        <v/>
      </c>
      <c r="Y205">
        <f>HYPERLINK("https://klasma.github.io/Logging_2303/tillsynsmail/A 44066-2024 tillsynsbegäran mail.docx", "A 44066-2024")</f>
        <v/>
      </c>
      <c r="Z205">
        <f>HYPERLINK("https://klasma.github.io/Logging_2303/fåglar/A 44066-2024 prioriterade fågelarter.docx", "A 44066-2024")</f>
        <v/>
      </c>
    </row>
    <row r="206" ht="15" customHeight="1">
      <c r="A206" t="inlineStr">
        <is>
          <t>A 1057-2024</t>
        </is>
      </c>
      <c r="B206" s="1" t="n">
        <v>45301</v>
      </c>
      <c r="C206" s="1" t="n">
        <v>46109</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46109</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56599-2025</t>
        </is>
      </c>
      <c r="B208" s="1" t="n">
        <v>45975.5734837963</v>
      </c>
      <c r="C208" s="1" t="n">
        <v>46109</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Lunglav</t>
        </is>
      </c>
      <c r="S208">
        <f>HYPERLINK("https://klasma.github.io/Logging_2303/artfynd/A 56599-2025 artfynd.xlsx", "A 56599-2025")</f>
        <v/>
      </c>
      <c r="T208">
        <f>HYPERLINK("https://klasma.github.io/Logging_2303/kartor/A 56599-2025 karta.png", "A 56599-2025")</f>
        <v/>
      </c>
      <c r="V208">
        <f>HYPERLINK("https://klasma.github.io/Logging_2303/klagomål/A 56599-2025 FSC-klagomål.docx", "A 56599-2025")</f>
        <v/>
      </c>
      <c r="W208">
        <f>HYPERLINK("https://klasma.github.io/Logging_2303/klagomålsmail/A 56599-2025 FSC-klagomål mail.docx", "A 56599-2025")</f>
        <v/>
      </c>
      <c r="X208">
        <f>HYPERLINK("https://klasma.github.io/Logging_2303/tillsyn/A 56599-2025 tillsynsbegäran.docx", "A 56599-2025")</f>
        <v/>
      </c>
      <c r="Y208">
        <f>HYPERLINK("https://klasma.github.io/Logging_2303/tillsynsmail/A 56599-2025 tillsynsbegäran mail.docx", "A 56599-2025")</f>
        <v/>
      </c>
    </row>
    <row r="209" ht="15" customHeight="1">
      <c r="A209" t="inlineStr">
        <is>
          <t>A 57478-2025</t>
        </is>
      </c>
      <c r="B209" s="1" t="n">
        <v>45980.57349537037</v>
      </c>
      <c r="C209" s="1" t="n">
        <v>46109</v>
      </c>
      <c r="D209" t="inlineStr">
        <is>
          <t>JÄMTLANDS LÄN</t>
        </is>
      </c>
      <c r="E209" t="inlineStr">
        <is>
          <t>RAGUNDA</t>
        </is>
      </c>
      <c r="F209" t="inlineStr">
        <is>
          <t>SCA</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HYPERLINK("https://klasma.github.io/Logging_2303/artfynd/A 57478-2025 artfynd.xlsx", "A 57478-2025")</f>
        <v/>
      </c>
      <c r="T209">
        <f>HYPERLINK("https://klasma.github.io/Logging_2303/kartor/A 57478-2025 karta.png", "A 57478-2025")</f>
        <v/>
      </c>
      <c r="V209">
        <f>HYPERLINK("https://klasma.github.io/Logging_2303/klagomål/A 57478-2025 FSC-klagomål.docx", "A 57478-2025")</f>
        <v/>
      </c>
      <c r="W209">
        <f>HYPERLINK("https://klasma.github.io/Logging_2303/klagomålsmail/A 57478-2025 FSC-klagomål mail.docx", "A 57478-2025")</f>
        <v/>
      </c>
      <c r="X209">
        <f>HYPERLINK("https://klasma.github.io/Logging_2303/tillsyn/A 57478-2025 tillsynsbegäran.docx", "A 57478-2025")</f>
        <v/>
      </c>
      <c r="Y209">
        <f>HYPERLINK("https://klasma.github.io/Logging_2303/tillsynsmail/A 57478-2025 tillsynsbegäran mail.docx", "A 57478-2025")</f>
        <v/>
      </c>
    </row>
    <row r="210" ht="15" customHeight="1">
      <c r="A210" t="inlineStr">
        <is>
          <t>A 59104-2023</t>
        </is>
      </c>
      <c r="B210" s="1" t="n">
        <v>45252</v>
      </c>
      <c r="C210" s="1" t="n">
        <v>46109</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57253-2025</t>
        </is>
      </c>
      <c r="B211" s="1" t="n">
        <v>45979.64381944444</v>
      </c>
      <c r="C211" s="1" t="n">
        <v>46109</v>
      </c>
      <c r="D211" t="inlineStr">
        <is>
          <t>JÄMTLANDS LÄN</t>
        </is>
      </c>
      <c r="E211" t="inlineStr">
        <is>
          <t>RAGUNDA</t>
        </is>
      </c>
      <c r="G211" t="n">
        <v>1.2</v>
      </c>
      <c r="H211" t="n">
        <v>0</v>
      </c>
      <c r="I211" t="n">
        <v>1</v>
      </c>
      <c r="J211" t="n">
        <v>0</v>
      </c>
      <c r="K211" t="n">
        <v>0</v>
      </c>
      <c r="L211" t="n">
        <v>0</v>
      </c>
      <c r="M211" t="n">
        <v>0</v>
      </c>
      <c r="N211" t="n">
        <v>0</v>
      </c>
      <c r="O211" t="n">
        <v>0</v>
      </c>
      <c r="P211" t="n">
        <v>0</v>
      </c>
      <c r="Q211" t="n">
        <v>1</v>
      </c>
      <c r="R211" s="2" t="inlineStr">
        <is>
          <t>Skinnlav</t>
        </is>
      </c>
      <c r="S211">
        <f>HYPERLINK("https://klasma.github.io/Logging_2303/artfynd/A 57253-2025 artfynd.xlsx", "A 57253-2025")</f>
        <v/>
      </c>
      <c r="T211">
        <f>HYPERLINK("https://klasma.github.io/Logging_2303/kartor/A 57253-2025 karta.png", "A 57253-2025")</f>
        <v/>
      </c>
      <c r="V211">
        <f>HYPERLINK("https://klasma.github.io/Logging_2303/klagomål/A 57253-2025 FSC-klagomål.docx", "A 57253-2025")</f>
        <v/>
      </c>
      <c r="W211">
        <f>HYPERLINK("https://klasma.github.io/Logging_2303/klagomålsmail/A 57253-2025 FSC-klagomål mail.docx", "A 57253-2025")</f>
        <v/>
      </c>
      <c r="X211">
        <f>HYPERLINK("https://klasma.github.io/Logging_2303/tillsyn/A 57253-2025 tillsynsbegäran.docx", "A 57253-2025")</f>
        <v/>
      </c>
      <c r="Y211">
        <f>HYPERLINK("https://klasma.github.io/Logging_2303/tillsynsmail/A 57253-2025 tillsynsbegäran mail.docx", "A 57253-2025")</f>
        <v/>
      </c>
    </row>
    <row r="212" ht="15" customHeight="1">
      <c r="A212" t="inlineStr">
        <is>
          <t>A 57479-2025</t>
        </is>
      </c>
      <c r="B212" s="1" t="n">
        <v>45980.5737037037</v>
      </c>
      <c r="C212" s="1" t="n">
        <v>46109</v>
      </c>
      <c r="D212" t="inlineStr">
        <is>
          <t>JÄMTLANDS LÄN</t>
        </is>
      </c>
      <c r="E212" t="inlineStr">
        <is>
          <t>RAGUNDA</t>
        </is>
      </c>
      <c r="F212" t="inlineStr">
        <is>
          <t>SCA</t>
        </is>
      </c>
      <c r="G212" t="n">
        <v>12</v>
      </c>
      <c r="H212" t="n">
        <v>0</v>
      </c>
      <c r="I212" t="n">
        <v>0</v>
      </c>
      <c r="J212" t="n">
        <v>1</v>
      </c>
      <c r="K212" t="n">
        <v>0</v>
      </c>
      <c r="L212" t="n">
        <v>0</v>
      </c>
      <c r="M212" t="n">
        <v>0</v>
      </c>
      <c r="N212" t="n">
        <v>0</v>
      </c>
      <c r="O212" t="n">
        <v>1</v>
      </c>
      <c r="P212" t="n">
        <v>0</v>
      </c>
      <c r="Q212" t="n">
        <v>1</v>
      </c>
      <c r="R212" s="2" t="inlineStr">
        <is>
          <t>Kolflarnlav</t>
        </is>
      </c>
      <c r="S212">
        <f>HYPERLINK("https://klasma.github.io/Logging_2303/artfynd/A 57479-2025 artfynd.xlsx", "A 57479-2025")</f>
        <v/>
      </c>
      <c r="T212">
        <f>HYPERLINK("https://klasma.github.io/Logging_2303/kartor/A 57479-2025 karta.png", "A 57479-2025")</f>
        <v/>
      </c>
      <c r="V212">
        <f>HYPERLINK("https://klasma.github.io/Logging_2303/klagomål/A 57479-2025 FSC-klagomål.docx", "A 57479-2025")</f>
        <v/>
      </c>
      <c r="W212">
        <f>HYPERLINK("https://klasma.github.io/Logging_2303/klagomålsmail/A 57479-2025 FSC-klagomål mail.docx", "A 57479-2025")</f>
        <v/>
      </c>
      <c r="X212">
        <f>HYPERLINK("https://klasma.github.io/Logging_2303/tillsyn/A 57479-2025 tillsynsbegäran.docx", "A 57479-2025")</f>
        <v/>
      </c>
      <c r="Y212">
        <f>HYPERLINK("https://klasma.github.io/Logging_2303/tillsynsmail/A 57479-2025 tillsynsbegäran mail.docx", "A 57479-2025")</f>
        <v/>
      </c>
    </row>
    <row r="213" ht="15" customHeight="1">
      <c r="A213" t="inlineStr">
        <is>
          <t>A 58990-2025</t>
        </is>
      </c>
      <c r="B213" s="1" t="n">
        <v>45987</v>
      </c>
      <c r="C213" s="1" t="n">
        <v>46109</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23930-2024</t>
        </is>
      </c>
      <c r="B214" s="1" t="n">
        <v>45455.96184027778</v>
      </c>
      <c r="C214" s="1" t="n">
        <v>46109</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30485-2024</t>
        </is>
      </c>
      <c r="B215" s="1" t="n">
        <v>45491.95008101852</v>
      </c>
      <c r="C215" s="1" t="n">
        <v>46109</v>
      </c>
      <c r="D215" t="inlineStr">
        <is>
          <t>JÄMTLANDS LÄN</t>
        </is>
      </c>
      <c r="E215" t="inlineStr">
        <is>
          <t>RAGUNDA</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HYPERLINK("https://klasma.github.io/Logging_2303/artfynd/A 30485-2024 artfynd.xlsx", "A 30485-2024")</f>
        <v/>
      </c>
      <c r="T215">
        <f>HYPERLINK("https://klasma.github.io/Logging_2303/kartor/A 30485-2024 karta.png", "A 30485-2024")</f>
        <v/>
      </c>
      <c r="V215">
        <f>HYPERLINK("https://klasma.github.io/Logging_2303/klagomål/A 30485-2024 FSC-klagomål.docx", "A 30485-2024")</f>
        <v/>
      </c>
      <c r="W215">
        <f>HYPERLINK("https://klasma.github.io/Logging_2303/klagomålsmail/A 30485-2024 FSC-klagomål mail.docx", "A 30485-2024")</f>
        <v/>
      </c>
      <c r="X215">
        <f>HYPERLINK("https://klasma.github.io/Logging_2303/tillsyn/A 30485-2024 tillsynsbegäran.docx", "A 30485-2024")</f>
        <v/>
      </c>
      <c r="Y215">
        <f>HYPERLINK("https://klasma.github.io/Logging_2303/tillsynsmail/A 30485-2024 tillsynsbegäran mail.docx", "A 30485-2024")</f>
        <v/>
      </c>
    </row>
    <row r="216" ht="15" customHeight="1">
      <c r="A216" t="inlineStr">
        <is>
          <t>A 29921-2024</t>
        </is>
      </c>
      <c r="B216" s="1" t="n">
        <v>45487.92863425926</v>
      </c>
      <c r="C216" s="1" t="n">
        <v>46109</v>
      </c>
      <c r="D216" t="inlineStr">
        <is>
          <t>JÄMTLANDS LÄN</t>
        </is>
      </c>
      <c r="E216" t="inlineStr">
        <is>
          <t>RAGUNDA</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HYPERLINK("https://klasma.github.io/Logging_2303/artfynd/A 29921-2024 artfynd.xlsx", "A 29921-2024")</f>
        <v/>
      </c>
      <c r="T216">
        <f>HYPERLINK("https://klasma.github.io/Logging_2303/kartor/A 29921-2024 karta.png", "A 29921-2024")</f>
        <v/>
      </c>
      <c r="U216">
        <f>HYPERLINK("https://klasma.github.io/Logging_2303/knärot/A 29921-2024 karta knärot.png", "A 29921-2024")</f>
        <v/>
      </c>
      <c r="V216">
        <f>HYPERLINK("https://klasma.github.io/Logging_2303/klagomål/A 29921-2024 FSC-klagomål.docx", "A 29921-2024")</f>
        <v/>
      </c>
      <c r="W216">
        <f>HYPERLINK("https://klasma.github.io/Logging_2303/klagomålsmail/A 29921-2024 FSC-klagomål mail.docx", "A 29921-2024")</f>
        <v/>
      </c>
      <c r="X216">
        <f>HYPERLINK("https://klasma.github.io/Logging_2303/tillsyn/A 29921-2024 tillsynsbegäran.docx", "A 29921-2024")</f>
        <v/>
      </c>
      <c r="Y216">
        <f>HYPERLINK("https://klasma.github.io/Logging_2303/tillsynsmail/A 29921-2024 tillsynsbegäran mail.docx", "A 29921-2024")</f>
        <v/>
      </c>
    </row>
    <row r="217" ht="15" customHeight="1">
      <c r="A217" t="inlineStr">
        <is>
          <t>A 6703-2024</t>
        </is>
      </c>
      <c r="B217" s="1" t="n">
        <v>45341</v>
      </c>
      <c r="C217" s="1" t="n">
        <v>46109</v>
      </c>
      <c r="D217" t="inlineStr">
        <is>
          <t>JÄMTLANDS LÄN</t>
        </is>
      </c>
      <c r="E217" t="inlineStr">
        <is>
          <t>RAGUNDA</t>
        </is>
      </c>
      <c r="F217" t="inlineStr">
        <is>
          <t>SCA</t>
        </is>
      </c>
      <c r="G217" t="n">
        <v>2.4</v>
      </c>
      <c r="H217" t="n">
        <v>0</v>
      </c>
      <c r="I217" t="n">
        <v>0</v>
      </c>
      <c r="J217" t="n">
        <v>1</v>
      </c>
      <c r="K217" t="n">
        <v>0</v>
      </c>
      <c r="L217" t="n">
        <v>0</v>
      </c>
      <c r="M217" t="n">
        <v>0</v>
      </c>
      <c r="N217" t="n">
        <v>0</v>
      </c>
      <c r="O217" t="n">
        <v>1</v>
      </c>
      <c r="P217" t="n">
        <v>0</v>
      </c>
      <c r="Q217" t="n">
        <v>1</v>
      </c>
      <c r="R217" s="2" t="inlineStr">
        <is>
          <t>Vitgrynig nållav</t>
        </is>
      </c>
      <c r="S217">
        <f>HYPERLINK("https://klasma.github.io/Logging_2303/artfynd/A 6703-2024 artfynd.xlsx", "A 6703-2024")</f>
        <v/>
      </c>
      <c r="T217">
        <f>HYPERLINK("https://klasma.github.io/Logging_2303/kartor/A 6703-2024 karta.png", "A 6703-2024")</f>
        <v/>
      </c>
      <c r="V217">
        <f>HYPERLINK("https://klasma.github.io/Logging_2303/klagomål/A 6703-2024 FSC-klagomål.docx", "A 6703-2024")</f>
        <v/>
      </c>
      <c r="W217">
        <f>HYPERLINK("https://klasma.github.io/Logging_2303/klagomålsmail/A 6703-2024 FSC-klagomål mail.docx", "A 6703-2024")</f>
        <v/>
      </c>
      <c r="X217">
        <f>HYPERLINK("https://klasma.github.io/Logging_2303/tillsyn/A 6703-2024 tillsynsbegäran.docx", "A 6703-2024")</f>
        <v/>
      </c>
      <c r="Y217">
        <f>HYPERLINK("https://klasma.github.io/Logging_2303/tillsynsmail/A 6703-2024 tillsynsbegäran mail.docx", "A 6703-2024")</f>
        <v/>
      </c>
    </row>
    <row r="218" ht="15" customHeight="1">
      <c r="A218" t="inlineStr">
        <is>
          <t>A 40841-2025</t>
        </is>
      </c>
      <c r="B218" s="1" t="n">
        <v>45897.531875</v>
      </c>
      <c r="C218" s="1" t="n">
        <v>46109</v>
      </c>
      <c r="D218" t="inlineStr">
        <is>
          <t>JÄMTLANDS LÄN</t>
        </is>
      </c>
      <c r="E218" t="inlineStr">
        <is>
          <t>RAGUNDA</t>
        </is>
      </c>
      <c r="F218" t="inlineStr">
        <is>
          <t>SCA</t>
        </is>
      </c>
      <c r="G218" t="n">
        <v>1.1</v>
      </c>
      <c r="H218" t="n">
        <v>0</v>
      </c>
      <c r="I218" t="n">
        <v>0</v>
      </c>
      <c r="J218" t="n">
        <v>1</v>
      </c>
      <c r="K218" t="n">
        <v>0</v>
      </c>
      <c r="L218" t="n">
        <v>0</v>
      </c>
      <c r="M218" t="n">
        <v>0</v>
      </c>
      <c r="N218" t="n">
        <v>0</v>
      </c>
      <c r="O218" t="n">
        <v>1</v>
      </c>
      <c r="P218" t="n">
        <v>0</v>
      </c>
      <c r="Q218" t="n">
        <v>1</v>
      </c>
      <c r="R218" s="2" t="inlineStr">
        <is>
          <t>Garnlav</t>
        </is>
      </c>
      <c r="S218">
        <f>HYPERLINK("https://klasma.github.io/Logging_2303/artfynd/A 40841-2025 artfynd.xlsx", "A 40841-2025")</f>
        <v/>
      </c>
      <c r="T218">
        <f>HYPERLINK("https://klasma.github.io/Logging_2303/kartor/A 40841-2025 karta.png", "A 40841-2025")</f>
        <v/>
      </c>
      <c r="V218">
        <f>HYPERLINK("https://klasma.github.io/Logging_2303/klagomål/A 40841-2025 FSC-klagomål.docx", "A 40841-2025")</f>
        <v/>
      </c>
      <c r="W218">
        <f>HYPERLINK("https://klasma.github.io/Logging_2303/klagomålsmail/A 40841-2025 FSC-klagomål mail.docx", "A 40841-2025")</f>
        <v/>
      </c>
      <c r="X218">
        <f>HYPERLINK("https://klasma.github.io/Logging_2303/tillsyn/A 40841-2025 tillsynsbegäran.docx", "A 40841-2025")</f>
        <v/>
      </c>
      <c r="Y218">
        <f>HYPERLINK("https://klasma.github.io/Logging_2303/tillsynsmail/A 40841-2025 tillsynsbegäran mail.docx", "A 40841-2025")</f>
        <v/>
      </c>
    </row>
    <row r="219" ht="15" customHeight="1">
      <c r="A219" t="inlineStr">
        <is>
          <t>A 24443-2024</t>
        </is>
      </c>
      <c r="B219" s="1" t="n">
        <v>45457.9640625</v>
      </c>
      <c r="C219" s="1" t="n">
        <v>46109</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48429-2023</t>
        </is>
      </c>
      <c r="B220" s="1" t="n">
        <v>45205</v>
      </c>
      <c r="C220" s="1" t="n">
        <v>46109</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11040-2023</t>
        </is>
      </c>
      <c r="B221" s="1" t="n">
        <v>44991</v>
      </c>
      <c r="C221" s="1" t="n">
        <v>46109</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43526-2025</t>
        </is>
      </c>
      <c r="B222" s="1" t="n">
        <v>45911</v>
      </c>
      <c r="C222" s="1" t="n">
        <v>46109</v>
      </c>
      <c r="D222" t="inlineStr">
        <is>
          <t>JÄMTLANDS LÄN</t>
        </is>
      </c>
      <c r="E222" t="inlineStr">
        <is>
          <t>RAGUNDA</t>
        </is>
      </c>
      <c r="G222" t="n">
        <v>5.5</v>
      </c>
      <c r="H222" t="n">
        <v>0</v>
      </c>
      <c r="I222" t="n">
        <v>0</v>
      </c>
      <c r="J222" t="n">
        <v>1</v>
      </c>
      <c r="K222" t="n">
        <v>0</v>
      </c>
      <c r="L222" t="n">
        <v>0</v>
      </c>
      <c r="M222" t="n">
        <v>0</v>
      </c>
      <c r="N222" t="n">
        <v>0</v>
      </c>
      <c r="O222" t="n">
        <v>1</v>
      </c>
      <c r="P222" t="n">
        <v>0</v>
      </c>
      <c r="Q222" t="n">
        <v>1</v>
      </c>
      <c r="R222" s="2" t="inlineStr">
        <is>
          <t>Lunglav</t>
        </is>
      </c>
      <c r="S222">
        <f>HYPERLINK("https://klasma.github.io/Logging_2303/artfynd/A 43526-2025 artfynd.xlsx", "A 43526-2025")</f>
        <v/>
      </c>
      <c r="T222">
        <f>HYPERLINK("https://klasma.github.io/Logging_2303/kartor/A 43526-2025 karta.png", "A 43526-2025")</f>
        <v/>
      </c>
      <c r="V222">
        <f>HYPERLINK("https://klasma.github.io/Logging_2303/klagomål/A 43526-2025 FSC-klagomål.docx", "A 43526-2025")</f>
        <v/>
      </c>
      <c r="W222">
        <f>HYPERLINK("https://klasma.github.io/Logging_2303/klagomålsmail/A 43526-2025 FSC-klagomål mail.docx", "A 43526-2025")</f>
        <v/>
      </c>
      <c r="X222">
        <f>HYPERLINK("https://klasma.github.io/Logging_2303/tillsyn/A 43526-2025 tillsynsbegäran.docx", "A 43526-2025")</f>
        <v/>
      </c>
      <c r="Y222">
        <f>HYPERLINK("https://klasma.github.io/Logging_2303/tillsynsmail/A 43526-2025 tillsynsbegäran mail.docx", "A 43526-2025")</f>
        <v/>
      </c>
    </row>
    <row r="223" ht="15" customHeight="1">
      <c r="A223" t="inlineStr">
        <is>
          <t>A 49091-2022</t>
        </is>
      </c>
      <c r="B223" s="1" t="n">
        <v>44860</v>
      </c>
      <c r="C223" s="1" t="n">
        <v>46109</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10358-2026</t>
        </is>
      </c>
      <c r="B224" s="1" t="n">
        <v>46076</v>
      </c>
      <c r="C224" s="1" t="n">
        <v>46109</v>
      </c>
      <c r="D224" t="inlineStr">
        <is>
          <t>JÄMTLANDS LÄN</t>
        </is>
      </c>
      <c r="E224" t="inlineStr">
        <is>
          <t>RAGUNDA</t>
        </is>
      </c>
      <c r="G224" t="n">
        <v>5.4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10358-2026 artfynd.xlsx", "A 10358-2026")</f>
        <v/>
      </c>
      <c r="T224">
        <f>HYPERLINK("https://klasma.github.io/Logging_2303/kartor/A 10358-2026 karta.png", "A 10358-2026")</f>
        <v/>
      </c>
      <c r="V224">
        <f>HYPERLINK("https://klasma.github.io/Logging_2303/klagomål/A 10358-2026 FSC-klagomål.docx", "A 10358-2026")</f>
        <v/>
      </c>
      <c r="W224">
        <f>HYPERLINK("https://klasma.github.io/Logging_2303/klagomålsmail/A 10358-2026 FSC-klagomål mail.docx", "A 10358-2026")</f>
        <v/>
      </c>
      <c r="X224">
        <f>HYPERLINK("https://klasma.github.io/Logging_2303/tillsyn/A 10358-2026 tillsynsbegäran.docx", "A 10358-2026")</f>
        <v/>
      </c>
      <c r="Y224">
        <f>HYPERLINK("https://klasma.github.io/Logging_2303/tillsynsmail/A 10358-2026 tillsynsbegäran mail.docx", "A 10358-2026")</f>
        <v/>
      </c>
      <c r="Z224">
        <f>HYPERLINK("https://klasma.github.io/Logging_2303/fåglar/A 10358-2026 prioriterade fågelarter.docx", "A 10358-2026")</f>
        <v/>
      </c>
    </row>
    <row r="225" ht="15" customHeight="1">
      <c r="A225" t="inlineStr">
        <is>
          <t>A 27573-2025</t>
        </is>
      </c>
      <c r="B225" s="1" t="n">
        <v>45813.49061342593</v>
      </c>
      <c r="C225" s="1" t="n">
        <v>46109</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2097-2026</t>
        </is>
      </c>
      <c r="B226" s="1" t="n">
        <v>46036.36556712963</v>
      </c>
      <c r="C226" s="1" t="n">
        <v>46109</v>
      </c>
      <c r="D226" t="inlineStr">
        <is>
          <t>JÄMTLANDS LÄN</t>
        </is>
      </c>
      <c r="E226" t="inlineStr">
        <is>
          <t>RAGUNDA</t>
        </is>
      </c>
      <c r="F226" t="inlineStr">
        <is>
          <t>SCA</t>
        </is>
      </c>
      <c r="G226" t="n">
        <v>0.9</v>
      </c>
      <c r="H226" t="n">
        <v>0</v>
      </c>
      <c r="I226" t="n">
        <v>0</v>
      </c>
      <c r="J226" t="n">
        <v>0</v>
      </c>
      <c r="K226" t="n">
        <v>0</v>
      </c>
      <c r="L226" t="n">
        <v>1</v>
      </c>
      <c r="M226" t="n">
        <v>0</v>
      </c>
      <c r="N226" t="n">
        <v>0</v>
      </c>
      <c r="O226" t="n">
        <v>1</v>
      </c>
      <c r="P226" t="n">
        <v>1</v>
      </c>
      <c r="Q226" t="n">
        <v>1</v>
      </c>
      <c r="R226" s="2" t="inlineStr">
        <is>
          <t>Trolldruvemätare</t>
        </is>
      </c>
      <c r="S226">
        <f>HYPERLINK("https://klasma.github.io/Logging_2303/artfynd/A 2097-2026 artfynd.xlsx", "A 2097-2026")</f>
        <v/>
      </c>
      <c r="T226">
        <f>HYPERLINK("https://klasma.github.io/Logging_2303/kartor/A 2097-2026 karta.png", "A 2097-2026")</f>
        <v/>
      </c>
      <c r="V226">
        <f>HYPERLINK("https://klasma.github.io/Logging_2303/klagomål/A 2097-2026 FSC-klagomål.docx", "A 2097-2026")</f>
        <v/>
      </c>
      <c r="W226">
        <f>HYPERLINK("https://klasma.github.io/Logging_2303/klagomålsmail/A 2097-2026 FSC-klagomål mail.docx", "A 2097-2026")</f>
        <v/>
      </c>
      <c r="X226">
        <f>HYPERLINK("https://klasma.github.io/Logging_2303/tillsyn/A 2097-2026 tillsynsbegäran.docx", "A 2097-2026")</f>
        <v/>
      </c>
      <c r="Y226">
        <f>HYPERLINK("https://klasma.github.io/Logging_2303/tillsynsmail/A 2097-2026 tillsynsbegäran mail.docx", "A 2097-2026")</f>
        <v/>
      </c>
    </row>
    <row r="227" ht="15" customHeight="1">
      <c r="A227" t="inlineStr">
        <is>
          <t>A 49053-2025</t>
        </is>
      </c>
      <c r="B227" s="1" t="n">
        <v>45937.64009259259</v>
      </c>
      <c r="C227" s="1" t="n">
        <v>46109</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30390-2025</t>
        </is>
      </c>
      <c r="B228" s="1" t="n">
        <v>45827.57371527778</v>
      </c>
      <c r="C228" s="1" t="n">
        <v>46109</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51912-2025</t>
        </is>
      </c>
      <c r="B229" s="1" t="n">
        <v>45952.46939814815</v>
      </c>
      <c r="C229" s="1" t="n">
        <v>46109</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22054-2025</t>
        </is>
      </c>
      <c r="B230" s="1" t="n">
        <v>45785.36525462963</v>
      </c>
      <c r="C230" s="1" t="n">
        <v>46109</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46109</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4157-2026</t>
        </is>
      </c>
      <c r="B232" s="1" t="n">
        <v>46044.65694444445</v>
      </c>
      <c r="C232" s="1" t="n">
        <v>46109</v>
      </c>
      <c r="D232" t="inlineStr">
        <is>
          <t>JÄMTLANDS LÄN</t>
        </is>
      </c>
      <c r="E232" t="inlineStr">
        <is>
          <t>RAGUNDA</t>
        </is>
      </c>
      <c r="F232" t="inlineStr">
        <is>
          <t>SCA</t>
        </is>
      </c>
      <c r="G232" t="n">
        <v>2.6</v>
      </c>
      <c r="H232" t="n">
        <v>1</v>
      </c>
      <c r="I232" t="n">
        <v>1</v>
      </c>
      <c r="J232" t="n">
        <v>0</v>
      </c>
      <c r="K232" t="n">
        <v>0</v>
      </c>
      <c r="L232" t="n">
        <v>0</v>
      </c>
      <c r="M232" t="n">
        <v>0</v>
      </c>
      <c r="N232" t="n">
        <v>0</v>
      </c>
      <c r="O232" t="n">
        <v>0</v>
      </c>
      <c r="P232" t="n">
        <v>0</v>
      </c>
      <c r="Q232" t="n">
        <v>1</v>
      </c>
      <c r="R232" s="2" t="inlineStr">
        <is>
          <t>Tvåblad</t>
        </is>
      </c>
      <c r="S232">
        <f>HYPERLINK("https://klasma.github.io/Logging_2303/artfynd/A 4157-2026 artfynd.xlsx", "A 4157-2026")</f>
        <v/>
      </c>
      <c r="T232">
        <f>HYPERLINK("https://klasma.github.io/Logging_2303/kartor/A 4157-2026 karta.png", "A 4157-2026")</f>
        <v/>
      </c>
      <c r="V232">
        <f>HYPERLINK("https://klasma.github.io/Logging_2303/klagomål/A 4157-2026 FSC-klagomål.docx", "A 4157-2026")</f>
        <v/>
      </c>
      <c r="W232">
        <f>HYPERLINK("https://klasma.github.io/Logging_2303/klagomålsmail/A 4157-2026 FSC-klagomål mail.docx", "A 4157-2026")</f>
        <v/>
      </c>
      <c r="X232">
        <f>HYPERLINK("https://klasma.github.io/Logging_2303/tillsyn/A 4157-2026 tillsynsbegäran.docx", "A 4157-2026")</f>
        <v/>
      </c>
      <c r="Y232">
        <f>HYPERLINK("https://klasma.github.io/Logging_2303/tillsynsmail/A 4157-2026 tillsynsbegäran mail.docx", "A 4157-2026")</f>
        <v/>
      </c>
    </row>
    <row r="233" ht="15" customHeight="1">
      <c r="A233" t="inlineStr">
        <is>
          <t>A 36854-2023</t>
        </is>
      </c>
      <c r="B233" s="1" t="n">
        <v>45153</v>
      </c>
      <c r="C233" s="1" t="n">
        <v>46109</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46109</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46109</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32069-2024</t>
        </is>
      </c>
      <c r="B236" s="1" t="n">
        <v>45510</v>
      </c>
      <c r="C236" s="1" t="n">
        <v>46109</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55756-2025</t>
        </is>
      </c>
      <c r="B237" s="1" t="n">
        <v>45972.59438657408</v>
      </c>
      <c r="C237" s="1" t="n">
        <v>46109</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HYPERLINK("https://klasma.github.io/Logging_2303/artfynd/A 55756-2025 artfynd.xlsx", "A 55756-2025")</f>
        <v/>
      </c>
      <c r="T237">
        <f>HYPERLINK("https://klasma.github.io/Logging_2303/kartor/A 55756-2025 karta.png", "A 55756-2025")</f>
        <v/>
      </c>
      <c r="V237">
        <f>HYPERLINK("https://klasma.github.io/Logging_2303/klagomål/A 55756-2025 FSC-klagomål.docx", "A 55756-2025")</f>
        <v/>
      </c>
      <c r="W237">
        <f>HYPERLINK("https://klasma.github.io/Logging_2303/klagomålsmail/A 55756-2025 FSC-klagomål mail.docx", "A 55756-2025")</f>
        <v/>
      </c>
      <c r="X237">
        <f>HYPERLINK("https://klasma.github.io/Logging_2303/tillsyn/A 55756-2025 tillsynsbegäran.docx", "A 55756-2025")</f>
        <v/>
      </c>
      <c r="Y237">
        <f>HYPERLINK("https://klasma.github.io/Logging_2303/tillsynsmail/A 55756-2025 tillsynsbegäran mail.docx", "A 55756-2025")</f>
        <v/>
      </c>
    </row>
    <row r="238" ht="15" customHeight="1">
      <c r="A238" t="inlineStr">
        <is>
          <t>A 34474-2025</t>
        </is>
      </c>
      <c r="B238" s="1" t="n">
        <v>45847.36528935185</v>
      </c>
      <c r="C238" s="1" t="n">
        <v>46109</v>
      </c>
      <c r="D238" t="inlineStr">
        <is>
          <t>JÄMTLANDS LÄN</t>
        </is>
      </c>
      <c r="E238" t="inlineStr">
        <is>
          <t>RAGUNDA</t>
        </is>
      </c>
      <c r="F238" t="inlineStr">
        <is>
          <t>SCA</t>
        </is>
      </c>
      <c r="G238" t="n">
        <v>9.699999999999999</v>
      </c>
      <c r="H238" t="n">
        <v>1</v>
      </c>
      <c r="I238" t="n">
        <v>0</v>
      </c>
      <c r="J238" t="n">
        <v>1</v>
      </c>
      <c r="K238" t="n">
        <v>0</v>
      </c>
      <c r="L238" t="n">
        <v>0</v>
      </c>
      <c r="M238" t="n">
        <v>0</v>
      </c>
      <c r="N238" t="n">
        <v>0</v>
      </c>
      <c r="O238" t="n">
        <v>1</v>
      </c>
      <c r="P238" t="n">
        <v>0</v>
      </c>
      <c r="Q238" t="n">
        <v>1</v>
      </c>
      <c r="R238" s="2" t="inlineStr">
        <is>
          <t>Fjällvråk</t>
        </is>
      </c>
      <c r="S238">
        <f>HYPERLINK("https://klasma.github.io/Logging_2303/artfynd/A 34474-2025 artfynd.xlsx", "A 34474-2025")</f>
        <v/>
      </c>
      <c r="T238">
        <f>HYPERLINK("https://klasma.github.io/Logging_2303/kartor/A 34474-2025 karta.png", "A 34474-2025")</f>
        <v/>
      </c>
      <c r="V238">
        <f>HYPERLINK("https://klasma.github.io/Logging_2303/klagomål/A 34474-2025 FSC-klagomål.docx", "A 34474-2025")</f>
        <v/>
      </c>
      <c r="W238">
        <f>HYPERLINK("https://klasma.github.io/Logging_2303/klagomålsmail/A 34474-2025 FSC-klagomål mail.docx", "A 34474-2025")</f>
        <v/>
      </c>
      <c r="X238">
        <f>HYPERLINK("https://klasma.github.io/Logging_2303/tillsyn/A 34474-2025 tillsynsbegäran.docx", "A 34474-2025")</f>
        <v/>
      </c>
      <c r="Y238">
        <f>HYPERLINK("https://klasma.github.io/Logging_2303/tillsynsmail/A 34474-2025 tillsynsbegäran mail.docx", "A 34474-2025")</f>
        <v/>
      </c>
      <c r="Z238">
        <f>HYPERLINK("https://klasma.github.io/Logging_2303/fåglar/A 34474-2025 prioriterade fågelarter.docx", "A 34474-2025")</f>
        <v/>
      </c>
    </row>
    <row r="239" ht="15" customHeight="1">
      <c r="A239" t="inlineStr">
        <is>
          <t>A 2929-2024</t>
        </is>
      </c>
      <c r="B239" s="1" t="n">
        <v>45315</v>
      </c>
      <c r="C239" s="1" t="n">
        <v>46109</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50233-2024</t>
        </is>
      </c>
      <c r="B240" s="1" t="n">
        <v>45600.55265046296</v>
      </c>
      <c r="C240" s="1" t="n">
        <v>46109</v>
      </c>
      <c r="D240" t="inlineStr">
        <is>
          <t>JÄMTLANDS LÄN</t>
        </is>
      </c>
      <c r="E240" t="inlineStr">
        <is>
          <t>RAGUNDA</t>
        </is>
      </c>
      <c r="F240" t="inlineStr">
        <is>
          <t>SCA</t>
        </is>
      </c>
      <c r="G240" t="n">
        <v>5.6</v>
      </c>
      <c r="H240" t="n">
        <v>0</v>
      </c>
      <c r="I240" t="n">
        <v>0</v>
      </c>
      <c r="J240" t="n">
        <v>1</v>
      </c>
      <c r="K240" t="n">
        <v>0</v>
      </c>
      <c r="L240" t="n">
        <v>0</v>
      </c>
      <c r="M240" t="n">
        <v>0</v>
      </c>
      <c r="N240" t="n">
        <v>0</v>
      </c>
      <c r="O240" t="n">
        <v>1</v>
      </c>
      <c r="P240" t="n">
        <v>0</v>
      </c>
      <c r="Q240" t="n">
        <v>1</v>
      </c>
      <c r="R240" s="2" t="inlineStr">
        <is>
          <t>Granticka</t>
        </is>
      </c>
      <c r="S240">
        <f>HYPERLINK("https://klasma.github.io/Logging_2303/artfynd/A 50233-2024 artfynd.xlsx", "A 50233-2024")</f>
        <v/>
      </c>
      <c r="T240">
        <f>HYPERLINK("https://klasma.github.io/Logging_2303/kartor/A 50233-2024 karta.png", "A 50233-2024")</f>
        <v/>
      </c>
      <c r="V240">
        <f>HYPERLINK("https://klasma.github.io/Logging_2303/klagomål/A 50233-2024 FSC-klagomål.docx", "A 50233-2024")</f>
        <v/>
      </c>
      <c r="W240">
        <f>HYPERLINK("https://klasma.github.io/Logging_2303/klagomålsmail/A 50233-2024 FSC-klagomål mail.docx", "A 50233-2024")</f>
        <v/>
      </c>
      <c r="X240">
        <f>HYPERLINK("https://klasma.github.io/Logging_2303/tillsyn/A 50233-2024 tillsynsbegäran.docx", "A 50233-2024")</f>
        <v/>
      </c>
      <c r="Y240">
        <f>HYPERLINK("https://klasma.github.io/Logging_2303/tillsynsmail/A 50233-2024 tillsynsbegäran mail.docx", "A 50233-2024")</f>
        <v/>
      </c>
    </row>
    <row r="241" ht="15" customHeight="1">
      <c r="A241" t="inlineStr">
        <is>
          <t>A 19751-2025</t>
        </is>
      </c>
      <c r="B241" s="1" t="n">
        <v>45771.3859837963</v>
      </c>
      <c r="C241" s="1" t="n">
        <v>46109</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36224-2023</t>
        </is>
      </c>
      <c r="B242" s="1" t="n">
        <v>45149</v>
      </c>
      <c r="C242" s="1" t="n">
        <v>46109</v>
      </c>
      <c r="D242" t="inlineStr">
        <is>
          <t>JÄMTLANDS LÄN</t>
        </is>
      </c>
      <c r="E242" t="inlineStr">
        <is>
          <t>RAGUNDA</t>
        </is>
      </c>
      <c r="F242" t="inlineStr">
        <is>
          <t>SCA</t>
        </is>
      </c>
      <c r="G242" t="n">
        <v>8.1</v>
      </c>
      <c r="H242" t="n">
        <v>0</v>
      </c>
      <c r="I242" t="n">
        <v>0</v>
      </c>
      <c r="J242" t="n">
        <v>1</v>
      </c>
      <c r="K242" t="n">
        <v>0</v>
      </c>
      <c r="L242" t="n">
        <v>0</v>
      </c>
      <c r="M242" t="n">
        <v>0</v>
      </c>
      <c r="N242" t="n">
        <v>0</v>
      </c>
      <c r="O242" t="n">
        <v>1</v>
      </c>
      <c r="P242" t="n">
        <v>0</v>
      </c>
      <c r="Q242" t="n">
        <v>1</v>
      </c>
      <c r="R242" s="2" t="inlineStr">
        <is>
          <t>Garnlav</t>
        </is>
      </c>
      <c r="S242">
        <f>HYPERLINK("https://klasma.github.io/Logging_2303/artfynd/A 36224-2023 artfynd.xlsx", "A 36224-2023")</f>
        <v/>
      </c>
      <c r="T242">
        <f>HYPERLINK("https://klasma.github.io/Logging_2303/kartor/A 36224-2023 karta.png", "A 36224-2023")</f>
        <v/>
      </c>
      <c r="V242">
        <f>HYPERLINK("https://klasma.github.io/Logging_2303/klagomål/A 36224-2023 FSC-klagomål.docx", "A 36224-2023")</f>
        <v/>
      </c>
      <c r="W242">
        <f>HYPERLINK("https://klasma.github.io/Logging_2303/klagomålsmail/A 36224-2023 FSC-klagomål mail.docx", "A 36224-2023")</f>
        <v/>
      </c>
      <c r="X242">
        <f>HYPERLINK("https://klasma.github.io/Logging_2303/tillsyn/A 36224-2023 tillsynsbegäran.docx", "A 36224-2023")</f>
        <v/>
      </c>
      <c r="Y242">
        <f>HYPERLINK("https://klasma.github.io/Logging_2303/tillsynsmail/A 36224-2023 tillsynsbegäran mail.docx", "A 36224-2023")</f>
        <v/>
      </c>
    </row>
    <row r="243" ht="15" customHeight="1">
      <c r="A243" t="inlineStr">
        <is>
          <t>A 17340-2023</t>
        </is>
      </c>
      <c r="B243" s="1" t="n">
        <v>45033</v>
      </c>
      <c r="C243" s="1" t="n">
        <v>46109</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16724-2025</t>
        </is>
      </c>
      <c r="B244" s="1" t="n">
        <v>45754.51064814815</v>
      </c>
      <c r="C244" s="1" t="n">
        <v>46109</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62072-2023</t>
        </is>
      </c>
      <c r="B245" s="1" t="n">
        <v>45266</v>
      </c>
      <c r="C245" s="1" t="n">
        <v>46109</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25694-2023</t>
        </is>
      </c>
      <c r="B246" s="1" t="n">
        <v>45089</v>
      </c>
      <c r="C246" s="1" t="n">
        <v>46109</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49770-2024</t>
        </is>
      </c>
      <c r="B247" s="1" t="n">
        <v>45597.34461805555</v>
      </c>
      <c r="C247" s="1" t="n">
        <v>46109</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36757-2023</t>
        </is>
      </c>
      <c r="B248" s="1" t="n">
        <v>45153</v>
      </c>
      <c r="C248" s="1" t="n">
        <v>46109</v>
      </c>
      <c r="D248" t="inlineStr">
        <is>
          <t>JÄMTLANDS LÄN</t>
        </is>
      </c>
      <c r="E248" t="inlineStr">
        <is>
          <t>RAGUNDA</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36757-2023 artfynd.xlsx", "A 36757-2023")</f>
        <v/>
      </c>
      <c r="T248">
        <f>HYPERLINK("https://klasma.github.io/Logging_2303/kartor/A 36757-2023 karta.png", "A 36757-2023")</f>
        <v/>
      </c>
      <c r="V248">
        <f>HYPERLINK("https://klasma.github.io/Logging_2303/klagomål/A 36757-2023 FSC-klagomål.docx", "A 36757-2023")</f>
        <v/>
      </c>
      <c r="W248">
        <f>HYPERLINK("https://klasma.github.io/Logging_2303/klagomålsmail/A 36757-2023 FSC-klagomål mail.docx", "A 36757-2023")</f>
        <v/>
      </c>
      <c r="X248">
        <f>HYPERLINK("https://klasma.github.io/Logging_2303/tillsyn/A 36757-2023 tillsynsbegäran.docx", "A 36757-2023")</f>
        <v/>
      </c>
      <c r="Y248">
        <f>HYPERLINK("https://klasma.github.io/Logging_2303/tillsynsmail/A 36757-2023 tillsynsbegäran mail.docx", "A 36757-2023")</f>
        <v/>
      </c>
      <c r="Z248">
        <f>HYPERLINK("https://klasma.github.io/Logging_2303/fåglar/A 36757-2023 prioriterade fågelarter.docx", "A 36757-2023")</f>
        <v/>
      </c>
    </row>
    <row r="249" ht="15" customHeight="1">
      <c r="A249" t="inlineStr">
        <is>
          <t>A 43404-2023</t>
        </is>
      </c>
      <c r="B249" s="1" t="n">
        <v>45183</v>
      </c>
      <c r="C249" s="1" t="n">
        <v>46109</v>
      </c>
      <c r="D249" t="inlineStr">
        <is>
          <t>JÄMTLANDS LÄN</t>
        </is>
      </c>
      <c r="E249" t="inlineStr">
        <is>
          <t>RAGUNDA</t>
        </is>
      </c>
      <c r="F249" t="inlineStr">
        <is>
          <t>SCA</t>
        </is>
      </c>
      <c r="G249" t="n">
        <v>0.9</v>
      </c>
      <c r="H249" t="n">
        <v>0</v>
      </c>
      <c r="I249" t="n">
        <v>1</v>
      </c>
      <c r="J249" t="n">
        <v>0</v>
      </c>
      <c r="K249" t="n">
        <v>0</v>
      </c>
      <c r="L249" t="n">
        <v>0</v>
      </c>
      <c r="M249" t="n">
        <v>0</v>
      </c>
      <c r="N249" t="n">
        <v>0</v>
      </c>
      <c r="O249" t="n">
        <v>0</v>
      </c>
      <c r="P249" t="n">
        <v>0</v>
      </c>
      <c r="Q249" t="n">
        <v>1</v>
      </c>
      <c r="R249" s="2" t="inlineStr">
        <is>
          <t>Kryddspindling</t>
        </is>
      </c>
      <c r="S249">
        <f>HYPERLINK("https://klasma.github.io/Logging_2303/artfynd/A 43404-2023 artfynd.xlsx", "A 43404-2023")</f>
        <v/>
      </c>
      <c r="T249">
        <f>HYPERLINK("https://klasma.github.io/Logging_2303/kartor/A 43404-2023 karta.png", "A 43404-2023")</f>
        <v/>
      </c>
      <c r="V249">
        <f>HYPERLINK("https://klasma.github.io/Logging_2303/klagomål/A 43404-2023 FSC-klagomål.docx", "A 43404-2023")</f>
        <v/>
      </c>
      <c r="W249">
        <f>HYPERLINK("https://klasma.github.io/Logging_2303/klagomålsmail/A 43404-2023 FSC-klagomål mail.docx", "A 43404-2023")</f>
        <v/>
      </c>
      <c r="X249">
        <f>HYPERLINK("https://klasma.github.io/Logging_2303/tillsyn/A 43404-2023 tillsynsbegäran.docx", "A 43404-2023")</f>
        <v/>
      </c>
      <c r="Y249">
        <f>HYPERLINK("https://klasma.github.io/Logging_2303/tillsynsmail/A 43404-2023 tillsynsbegäran mail.docx", "A 43404-2023")</f>
        <v/>
      </c>
    </row>
    <row r="250" ht="15" customHeight="1">
      <c r="A250" t="inlineStr">
        <is>
          <t>A 61324-2024</t>
        </is>
      </c>
      <c r="B250" s="1" t="n">
        <v>45646.34438657408</v>
      </c>
      <c r="C250" s="1" t="n">
        <v>46109</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19387-2025</t>
        </is>
      </c>
      <c r="B251" s="1" t="n">
        <v>45769.65736111111</v>
      </c>
      <c r="C251" s="1" t="n">
        <v>46109</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20575-2025</t>
        </is>
      </c>
      <c r="B252" s="1" t="n">
        <v>45775.67769675926</v>
      </c>
      <c r="C252" s="1" t="n">
        <v>46109</v>
      </c>
      <c r="D252" t="inlineStr">
        <is>
          <t>JÄMTLANDS LÄN</t>
        </is>
      </c>
      <c r="E252" t="inlineStr">
        <is>
          <t>RAGUNDA</t>
        </is>
      </c>
      <c r="F252" t="inlineStr">
        <is>
          <t>SCA</t>
        </is>
      </c>
      <c r="G252" t="n">
        <v>8.1</v>
      </c>
      <c r="H252" t="n">
        <v>1</v>
      </c>
      <c r="I252" t="n">
        <v>0</v>
      </c>
      <c r="J252" t="n">
        <v>1</v>
      </c>
      <c r="K252" t="n">
        <v>0</v>
      </c>
      <c r="L252" t="n">
        <v>0</v>
      </c>
      <c r="M252" t="n">
        <v>0</v>
      </c>
      <c r="N252" t="n">
        <v>0</v>
      </c>
      <c r="O252" t="n">
        <v>1</v>
      </c>
      <c r="P252" t="n">
        <v>0</v>
      </c>
      <c r="Q252" t="n">
        <v>1</v>
      </c>
      <c r="R252" s="2" t="inlineStr">
        <is>
          <t>Skogsfru</t>
        </is>
      </c>
      <c r="S252">
        <f>HYPERLINK("https://klasma.github.io/Logging_2303/artfynd/A 20575-2025 artfynd.xlsx", "A 20575-2025")</f>
        <v/>
      </c>
      <c r="T252">
        <f>HYPERLINK("https://klasma.github.io/Logging_2303/kartor/A 20575-2025 karta.png", "A 20575-2025")</f>
        <v/>
      </c>
      <c r="V252">
        <f>HYPERLINK("https://klasma.github.io/Logging_2303/klagomål/A 20575-2025 FSC-klagomål.docx", "A 20575-2025")</f>
        <v/>
      </c>
      <c r="W252">
        <f>HYPERLINK("https://klasma.github.io/Logging_2303/klagomålsmail/A 20575-2025 FSC-klagomål mail.docx", "A 20575-2025")</f>
        <v/>
      </c>
      <c r="X252">
        <f>HYPERLINK("https://klasma.github.io/Logging_2303/tillsyn/A 20575-2025 tillsynsbegäran.docx", "A 20575-2025")</f>
        <v/>
      </c>
      <c r="Y252">
        <f>HYPERLINK("https://klasma.github.io/Logging_2303/tillsynsmail/A 20575-2025 tillsynsbegäran mail.docx", "A 20575-2025")</f>
        <v/>
      </c>
    </row>
    <row r="253" ht="15" customHeight="1">
      <c r="A253" t="inlineStr">
        <is>
          <t>A 20774-2024</t>
        </is>
      </c>
      <c r="B253" s="1" t="n">
        <v>45436.94644675926</v>
      </c>
      <c r="C253" s="1" t="n">
        <v>46109</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46109</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31773-2021</t>
        </is>
      </c>
      <c r="B255" s="1" t="n">
        <v>44369</v>
      </c>
      <c r="C255" s="1" t="n">
        <v>46109</v>
      </c>
      <c r="D255" t="inlineStr">
        <is>
          <t>JÄMTLANDS LÄN</t>
        </is>
      </c>
      <c r="E255" t="inlineStr">
        <is>
          <t>RAGUNDA</t>
        </is>
      </c>
      <c r="G255" t="n">
        <v>0.8</v>
      </c>
      <c r="H255" t="n">
        <v>0</v>
      </c>
      <c r="I255" t="n">
        <v>0</v>
      </c>
      <c r="J255" t="n">
        <v>0</v>
      </c>
      <c r="K255" t="n">
        <v>1</v>
      </c>
      <c r="L255" t="n">
        <v>0</v>
      </c>
      <c r="M255" t="n">
        <v>0</v>
      </c>
      <c r="N255" t="n">
        <v>0</v>
      </c>
      <c r="O255" t="n">
        <v>1</v>
      </c>
      <c r="P255" t="n">
        <v>1</v>
      </c>
      <c r="Q255" t="n">
        <v>1</v>
      </c>
      <c r="R255" s="2" t="inlineStr">
        <is>
          <t>Strandsandjägare</t>
        </is>
      </c>
      <c r="S255">
        <f>HYPERLINK("https://klasma.github.io/Logging_2303/artfynd/A 31773-2021 artfynd.xlsx", "A 31773-2021")</f>
        <v/>
      </c>
      <c r="T255">
        <f>HYPERLINK("https://klasma.github.io/Logging_2303/kartor/A 31773-2021 karta.png", "A 31773-2021")</f>
        <v/>
      </c>
      <c r="V255">
        <f>HYPERLINK("https://klasma.github.io/Logging_2303/klagomål/A 31773-2021 FSC-klagomål.docx", "A 31773-2021")</f>
        <v/>
      </c>
      <c r="W255">
        <f>HYPERLINK("https://klasma.github.io/Logging_2303/klagomålsmail/A 31773-2021 FSC-klagomål mail.docx", "A 31773-2021")</f>
        <v/>
      </c>
      <c r="X255">
        <f>HYPERLINK("https://klasma.github.io/Logging_2303/tillsyn/A 31773-2021 tillsynsbegäran.docx", "A 31773-2021")</f>
        <v/>
      </c>
      <c r="Y255">
        <f>HYPERLINK("https://klasma.github.io/Logging_2303/tillsynsmail/A 31773-2021 tillsynsbegäran mail.docx", "A 31773-2021")</f>
        <v/>
      </c>
    </row>
    <row r="256" ht="15" customHeight="1">
      <c r="A256" t="inlineStr">
        <is>
          <t>A 48477-2023</t>
        </is>
      </c>
      <c r="B256" s="1" t="n">
        <v>45206</v>
      </c>
      <c r="C256" s="1" t="n">
        <v>46109</v>
      </c>
      <c r="D256" t="inlineStr">
        <is>
          <t>JÄMTLANDS LÄN</t>
        </is>
      </c>
      <c r="E256" t="inlineStr">
        <is>
          <t>RAGUNDA</t>
        </is>
      </c>
      <c r="F256" t="inlineStr">
        <is>
          <t>SCA</t>
        </is>
      </c>
      <c r="G256" t="n">
        <v>1.8</v>
      </c>
      <c r="H256" t="n">
        <v>0</v>
      </c>
      <c r="I256" t="n">
        <v>1</v>
      </c>
      <c r="J256" t="n">
        <v>0</v>
      </c>
      <c r="K256" t="n">
        <v>0</v>
      </c>
      <c r="L256" t="n">
        <v>0</v>
      </c>
      <c r="M256" t="n">
        <v>0</v>
      </c>
      <c r="N256" t="n">
        <v>0</v>
      </c>
      <c r="O256" t="n">
        <v>0</v>
      </c>
      <c r="P256" t="n">
        <v>0</v>
      </c>
      <c r="Q256" t="n">
        <v>1</v>
      </c>
      <c r="R256" s="2" t="inlineStr">
        <is>
          <t>Dropptaggsvamp</t>
        </is>
      </c>
      <c r="S256">
        <f>HYPERLINK("https://klasma.github.io/Logging_2303/artfynd/A 48477-2023 artfynd.xlsx", "A 48477-2023")</f>
        <v/>
      </c>
      <c r="T256">
        <f>HYPERLINK("https://klasma.github.io/Logging_2303/kartor/A 48477-2023 karta.png", "A 48477-2023")</f>
        <v/>
      </c>
      <c r="V256">
        <f>HYPERLINK("https://klasma.github.io/Logging_2303/klagomål/A 48477-2023 FSC-klagomål.docx", "A 48477-2023")</f>
        <v/>
      </c>
      <c r="W256">
        <f>HYPERLINK("https://klasma.github.io/Logging_2303/klagomålsmail/A 48477-2023 FSC-klagomål mail.docx", "A 48477-2023")</f>
        <v/>
      </c>
      <c r="X256">
        <f>HYPERLINK("https://klasma.github.io/Logging_2303/tillsyn/A 48477-2023 tillsynsbegäran.docx", "A 48477-2023")</f>
        <v/>
      </c>
      <c r="Y256">
        <f>HYPERLINK("https://klasma.github.io/Logging_2303/tillsynsmail/A 48477-2023 tillsynsbegäran mail.docx", "A 48477-2023")</f>
        <v/>
      </c>
    </row>
    <row r="257" ht="15" customHeight="1">
      <c r="A257" t="inlineStr">
        <is>
          <t>A 18985-2023</t>
        </is>
      </c>
      <c r="B257" s="1" t="n">
        <v>45044</v>
      </c>
      <c r="C257" s="1" t="n">
        <v>46109</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Doftskinn</t>
        </is>
      </c>
      <c r="S257">
        <f>HYPERLINK("https://klasma.github.io/Logging_2303/artfynd/A 18985-2023 artfynd.xlsx", "A 18985-2023")</f>
        <v/>
      </c>
      <c r="T257">
        <f>HYPERLINK("https://klasma.github.io/Logging_2303/kartor/A 18985-2023 karta.png", "A 18985-2023")</f>
        <v/>
      </c>
      <c r="V257">
        <f>HYPERLINK("https://klasma.github.io/Logging_2303/klagomål/A 18985-2023 FSC-klagomål.docx", "A 18985-2023")</f>
        <v/>
      </c>
      <c r="W257">
        <f>HYPERLINK("https://klasma.github.io/Logging_2303/klagomålsmail/A 18985-2023 FSC-klagomål mail.docx", "A 18985-2023")</f>
        <v/>
      </c>
      <c r="X257">
        <f>HYPERLINK("https://klasma.github.io/Logging_2303/tillsyn/A 18985-2023 tillsynsbegäran.docx", "A 18985-2023")</f>
        <v/>
      </c>
      <c r="Y257">
        <f>HYPERLINK("https://klasma.github.io/Logging_2303/tillsynsmail/A 18985-2023 tillsynsbegäran mail.docx", "A 18985-2023")</f>
        <v/>
      </c>
    </row>
    <row r="258" ht="15" customHeight="1">
      <c r="A258" t="inlineStr">
        <is>
          <t>A 58846-2024</t>
        </is>
      </c>
      <c r="B258" s="1" t="n">
        <v>45636.3863425926</v>
      </c>
      <c r="C258" s="1" t="n">
        <v>46109</v>
      </c>
      <c r="D258" t="inlineStr">
        <is>
          <t>JÄMTLANDS LÄN</t>
        </is>
      </c>
      <c r="E258" t="inlineStr">
        <is>
          <t>RAGUNDA</t>
        </is>
      </c>
      <c r="F258" t="inlineStr">
        <is>
          <t>SCA</t>
        </is>
      </c>
      <c r="G258" t="n">
        <v>1.5</v>
      </c>
      <c r="H258" t="n">
        <v>0</v>
      </c>
      <c r="I258" t="n">
        <v>0</v>
      </c>
      <c r="J258" t="n">
        <v>0</v>
      </c>
      <c r="K258" t="n">
        <v>1</v>
      </c>
      <c r="L258" t="n">
        <v>0</v>
      </c>
      <c r="M258" t="n">
        <v>0</v>
      </c>
      <c r="N258" t="n">
        <v>0</v>
      </c>
      <c r="O258" t="n">
        <v>1</v>
      </c>
      <c r="P258" t="n">
        <v>1</v>
      </c>
      <c r="Q258" t="n">
        <v>1</v>
      </c>
      <c r="R258" s="2" t="inlineStr">
        <is>
          <t>Rynkskinn</t>
        </is>
      </c>
      <c r="S258">
        <f>HYPERLINK("https://klasma.github.io/Logging_2303/artfynd/A 58846-2024 artfynd.xlsx", "A 58846-2024")</f>
        <v/>
      </c>
      <c r="T258">
        <f>HYPERLINK("https://klasma.github.io/Logging_2303/kartor/A 58846-2024 karta.png", "A 58846-2024")</f>
        <v/>
      </c>
      <c r="V258">
        <f>HYPERLINK("https://klasma.github.io/Logging_2303/klagomål/A 58846-2024 FSC-klagomål.docx", "A 58846-2024")</f>
        <v/>
      </c>
      <c r="W258">
        <f>HYPERLINK("https://klasma.github.io/Logging_2303/klagomålsmail/A 58846-2024 FSC-klagomål mail.docx", "A 58846-2024")</f>
        <v/>
      </c>
      <c r="X258">
        <f>HYPERLINK("https://klasma.github.io/Logging_2303/tillsyn/A 58846-2024 tillsynsbegäran.docx", "A 58846-2024")</f>
        <v/>
      </c>
      <c r="Y258">
        <f>HYPERLINK("https://klasma.github.io/Logging_2303/tillsynsmail/A 58846-2024 tillsynsbegäran mail.docx", "A 58846-2024")</f>
        <v/>
      </c>
    </row>
    <row r="259" ht="15" customHeight="1">
      <c r="A259" t="inlineStr">
        <is>
          <t>A 26322-2024</t>
        </is>
      </c>
      <c r="B259" s="1" t="n">
        <v>45468.97461805555</v>
      </c>
      <c r="C259" s="1" t="n">
        <v>46109</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21212-2025</t>
        </is>
      </c>
      <c r="B260" s="1" t="n">
        <v>45779.48993055556</v>
      </c>
      <c r="C260" s="1" t="n">
        <v>46109</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46109</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46109</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46109</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46109</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46109</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46109</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46109</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46109</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46109</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46109</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46109</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46109</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46109</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46109</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46109</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46109</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46109</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46109</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46109</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46109</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46109</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46109</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46109</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46109</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46109</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46109</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46109</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46109</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46109</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46109</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46109</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46109</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46109</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46109</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46109</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46109</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46109</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46109</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46109</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46109</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46109</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46109</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46109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46109</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46109</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46109</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46109</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46109</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46109</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46109</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46109</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46109</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46109</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19010-2022</t>
        </is>
      </c>
      <c r="B316" s="1" t="n">
        <v>44690</v>
      </c>
      <c r="C316" s="1" t="n">
        <v>46109</v>
      </c>
      <c r="D316" t="inlineStr">
        <is>
          <t>JÄMTLANDS LÄN</t>
        </is>
      </c>
      <c r="E316" t="inlineStr">
        <is>
          <t>RAGUNDA</t>
        </is>
      </c>
      <c r="F316" t="inlineStr">
        <is>
          <t>SCA</t>
        </is>
      </c>
      <c r="G316" t="n">
        <v>19.6</v>
      </c>
      <c r="H316" t="n">
        <v>0</v>
      </c>
      <c r="I316" t="n">
        <v>0</v>
      </c>
      <c r="J316" t="n">
        <v>0</v>
      </c>
      <c r="K316" t="n">
        <v>0</v>
      </c>
      <c r="L316" t="n">
        <v>0</v>
      </c>
      <c r="M316" t="n">
        <v>0</v>
      </c>
      <c r="N316" t="n">
        <v>0</v>
      </c>
      <c r="O316" t="n">
        <v>0</v>
      </c>
      <c r="P316" t="n">
        <v>0</v>
      </c>
      <c r="Q316" t="n">
        <v>0</v>
      </c>
      <c r="R316" s="2" t="inlineStr"/>
    </row>
    <row r="317" ht="15" customHeight="1">
      <c r="A317" t="inlineStr">
        <is>
          <t>A 51012-2022</t>
        </is>
      </c>
      <c r="B317" s="1" t="n">
        <v>44867</v>
      </c>
      <c r="C317" s="1" t="n">
        <v>46109</v>
      </c>
      <c r="D317" t="inlineStr">
        <is>
          <t>JÄMTLANDS LÄN</t>
        </is>
      </c>
      <c r="E317" t="inlineStr">
        <is>
          <t>RAGUNDA</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46109</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46109</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46109</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46109</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22772-2022</t>
        </is>
      </c>
      <c r="B322" s="1" t="n">
        <v>44714.94162037037</v>
      </c>
      <c r="C322" s="1" t="n">
        <v>46109</v>
      </c>
      <c r="D322" t="inlineStr">
        <is>
          <t>JÄMTLANDS LÄN</t>
        </is>
      </c>
      <c r="E322" t="inlineStr">
        <is>
          <t>RAGUNDA</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46109</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46109</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19850-2022</t>
        </is>
      </c>
      <c r="B325" s="1" t="n">
        <v>44696.93986111111</v>
      </c>
      <c r="C325" s="1" t="n">
        <v>46109</v>
      </c>
      <c r="D325" t="inlineStr">
        <is>
          <t>JÄMTLANDS LÄN</t>
        </is>
      </c>
      <c r="E325" t="inlineStr">
        <is>
          <t>RAGUNDA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65424-2021</t>
        </is>
      </c>
      <c r="B326" s="1" t="n">
        <v>44515.93767361111</v>
      </c>
      <c r="C326" s="1" t="n">
        <v>46109</v>
      </c>
      <c r="D326" t="inlineStr">
        <is>
          <t>JÄMTLANDS LÄN</t>
        </is>
      </c>
      <c r="E326" t="inlineStr">
        <is>
          <t>RAGUNDA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46109</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46109</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46109</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19595-2021</t>
        </is>
      </c>
      <c r="B330" s="1" t="n">
        <v>44308</v>
      </c>
      <c r="C330" s="1" t="n">
        <v>46109</v>
      </c>
      <c r="D330" t="inlineStr">
        <is>
          <t>JÄMTLANDS LÄN</t>
        </is>
      </c>
      <c r="E330" t="inlineStr">
        <is>
          <t>RAGUNDA</t>
        </is>
      </c>
      <c r="G330" t="n">
        <v>5.4</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46109</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46109</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46109</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46109</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46109</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46109</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46109</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54836-2022</t>
        </is>
      </c>
      <c r="B338" s="1" t="n">
        <v>44883.94918981481</v>
      </c>
      <c r="C338" s="1" t="n">
        <v>46109</v>
      </c>
      <c r="D338" t="inlineStr">
        <is>
          <t>JÄMTLANDS LÄN</t>
        </is>
      </c>
      <c r="E338" t="inlineStr">
        <is>
          <t>RAGUNDA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46109</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46109</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46109</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46109</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46109</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29409-2021</t>
        </is>
      </c>
      <c r="B344" s="1" t="n">
        <v>44361.55445601852</v>
      </c>
      <c r="C344" s="1" t="n">
        <v>46109</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25027-2022</t>
        </is>
      </c>
      <c r="B345" s="1" t="n">
        <v>44728.94392361111</v>
      </c>
      <c r="C345" s="1" t="n">
        <v>46109</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46109</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46109</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46109</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46109</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46109</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46109</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46109</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18341-2022</t>
        </is>
      </c>
      <c r="B353" s="1" t="n">
        <v>44685</v>
      </c>
      <c r="C353" s="1" t="n">
        <v>46109</v>
      </c>
      <c r="D353" t="inlineStr">
        <is>
          <t>JÄMTLANDS LÄN</t>
        </is>
      </c>
      <c r="E353" t="inlineStr">
        <is>
          <t>RAGUNDA</t>
        </is>
      </c>
      <c r="G353" t="n">
        <v>0.2</v>
      </c>
      <c r="H353" t="n">
        <v>0</v>
      </c>
      <c r="I353" t="n">
        <v>0</v>
      </c>
      <c r="J353" t="n">
        <v>0</v>
      </c>
      <c r="K353" t="n">
        <v>0</v>
      </c>
      <c r="L353" t="n">
        <v>0</v>
      </c>
      <c r="M353" t="n">
        <v>0</v>
      </c>
      <c r="N353" t="n">
        <v>0</v>
      </c>
      <c r="O353" t="n">
        <v>0</v>
      </c>
      <c r="P353" t="n">
        <v>0</v>
      </c>
      <c r="Q353" t="n">
        <v>0</v>
      </c>
      <c r="R353" s="2" t="inlineStr"/>
    </row>
    <row r="354" ht="15" customHeight="1">
      <c r="A354" t="inlineStr">
        <is>
          <t>A 9185-2022</t>
        </is>
      </c>
      <c r="B354" s="1" t="n">
        <v>44615</v>
      </c>
      <c r="C354" s="1" t="n">
        <v>46109</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46109</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46109</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46109</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46109</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46109</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43040-2021</t>
        </is>
      </c>
      <c r="B360" s="1" t="n">
        <v>44431</v>
      </c>
      <c r="C360" s="1" t="n">
        <v>46109</v>
      </c>
      <c r="D360" t="inlineStr">
        <is>
          <t>JÄMTLANDS LÄN</t>
        </is>
      </c>
      <c r="E360" t="inlineStr">
        <is>
          <t>RAGUNDA</t>
        </is>
      </c>
      <c r="G360" t="n">
        <v>4.9</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46109</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46109</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46109</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46109</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42652-2022</t>
        </is>
      </c>
      <c r="B365" s="1" t="n">
        <v>44831.94846064815</v>
      </c>
      <c r="C365" s="1" t="n">
        <v>46109</v>
      </c>
      <c r="D365" t="inlineStr">
        <is>
          <t>JÄMTLANDS LÄN</t>
        </is>
      </c>
      <c r="E365" t="inlineStr">
        <is>
          <t>RAGUNDA</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42653-2022</t>
        </is>
      </c>
      <c r="B366" s="1" t="n">
        <v>44831.9485300926</v>
      </c>
      <c r="C366" s="1" t="n">
        <v>46109</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46109</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46109</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46109</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46109</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46109</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46109</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46109</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46109</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46109</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46109</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46109</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46109</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65017-2021</t>
        </is>
      </c>
      <c r="B379" s="1" t="n">
        <v>44512</v>
      </c>
      <c r="C379" s="1" t="n">
        <v>46109</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46109</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46109</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26948-2021</t>
        </is>
      </c>
      <c r="B382" s="1" t="n">
        <v>44349.92013888889</v>
      </c>
      <c r="C382" s="1" t="n">
        <v>46109</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44704.94229166667</v>
      </c>
      <c r="C383" s="1" t="n">
        <v>46109</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46109</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46109</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46109</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9187-2022</t>
        </is>
      </c>
      <c r="B387" s="1" t="n">
        <v>44615</v>
      </c>
      <c r="C387" s="1" t="n">
        <v>46109</v>
      </c>
      <c r="D387" t="inlineStr">
        <is>
          <t>JÄMTLANDS LÄN</t>
        </is>
      </c>
      <c r="E387" t="inlineStr">
        <is>
          <t>RAGUNDA</t>
        </is>
      </c>
      <c r="G387" t="n">
        <v>2</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46109</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22655-2021</t>
        </is>
      </c>
      <c r="B389" s="1" t="n">
        <v>44322</v>
      </c>
      <c r="C389" s="1" t="n">
        <v>46109</v>
      </c>
      <c r="D389" t="inlineStr">
        <is>
          <t>JÄMTLANDS LÄN</t>
        </is>
      </c>
      <c r="E389" t="inlineStr">
        <is>
          <t>RAGUNDA</t>
        </is>
      </c>
      <c r="G389" t="n">
        <v>5.8</v>
      </c>
      <c r="H389" t="n">
        <v>0</v>
      </c>
      <c r="I389" t="n">
        <v>0</v>
      </c>
      <c r="J389" t="n">
        <v>0</v>
      </c>
      <c r="K389" t="n">
        <v>0</v>
      </c>
      <c r="L389" t="n">
        <v>0</v>
      </c>
      <c r="M389" t="n">
        <v>0</v>
      </c>
      <c r="N389" t="n">
        <v>0</v>
      </c>
      <c r="O389" t="n">
        <v>0</v>
      </c>
      <c r="P389" t="n">
        <v>0</v>
      </c>
      <c r="Q389" t="n">
        <v>0</v>
      </c>
      <c r="R389" s="2" t="inlineStr"/>
    </row>
    <row r="390" ht="15" customHeight="1">
      <c r="A390" t="inlineStr">
        <is>
          <t>A 21194-2022</t>
        </is>
      </c>
      <c r="B390" s="1" t="n">
        <v>44704.9422337963</v>
      </c>
      <c r="C390" s="1" t="n">
        <v>46109</v>
      </c>
      <c r="D390" t="inlineStr">
        <is>
          <t>JÄMTLANDS LÄN</t>
        </is>
      </c>
      <c r="E390" t="inlineStr">
        <is>
          <t>RAGUNDA</t>
        </is>
      </c>
      <c r="F390" t="inlineStr">
        <is>
          <t>SCA</t>
        </is>
      </c>
      <c r="G390" t="n">
        <v>10.6</v>
      </c>
      <c r="H390" t="n">
        <v>0</v>
      </c>
      <c r="I390" t="n">
        <v>0</v>
      </c>
      <c r="J390" t="n">
        <v>0</v>
      </c>
      <c r="K390" t="n">
        <v>0</v>
      </c>
      <c r="L390" t="n">
        <v>0</v>
      </c>
      <c r="M390" t="n">
        <v>0</v>
      </c>
      <c r="N390" t="n">
        <v>0</v>
      </c>
      <c r="O390" t="n">
        <v>0</v>
      </c>
      <c r="P390" t="n">
        <v>0</v>
      </c>
      <c r="Q390" t="n">
        <v>0</v>
      </c>
      <c r="R390" s="2" t="inlineStr"/>
    </row>
    <row r="391" ht="15" customHeight="1">
      <c r="A391" t="inlineStr">
        <is>
          <t>A 60313-2021</t>
        </is>
      </c>
      <c r="B391" s="1" t="n">
        <v>44495</v>
      </c>
      <c r="C391" s="1" t="n">
        <v>46109</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46109</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46109</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60957-2021</t>
        </is>
      </c>
      <c r="B394" s="1" t="n">
        <v>44496</v>
      </c>
      <c r="C394" s="1" t="n">
        <v>46109</v>
      </c>
      <c r="D394" t="inlineStr">
        <is>
          <t>JÄMTLANDS LÄN</t>
        </is>
      </c>
      <c r="E394" t="inlineStr">
        <is>
          <t>RAGUNDA</t>
        </is>
      </c>
      <c r="G394" t="n">
        <v>1.6</v>
      </c>
      <c r="H394" t="n">
        <v>0</v>
      </c>
      <c r="I394" t="n">
        <v>0</v>
      </c>
      <c r="J394" t="n">
        <v>0</v>
      </c>
      <c r="K394" t="n">
        <v>0</v>
      </c>
      <c r="L394" t="n">
        <v>0</v>
      </c>
      <c r="M394" t="n">
        <v>0</v>
      </c>
      <c r="N394" t="n">
        <v>0</v>
      </c>
      <c r="O394" t="n">
        <v>0</v>
      </c>
      <c r="P394" t="n">
        <v>0</v>
      </c>
      <c r="Q394" t="n">
        <v>0</v>
      </c>
      <c r="R394" s="2" t="inlineStr"/>
    </row>
    <row r="395" ht="15" customHeight="1">
      <c r="A395" t="inlineStr">
        <is>
          <t>A 26122-2022</t>
        </is>
      </c>
      <c r="B395" s="1" t="n">
        <v>44734.94193287037</v>
      </c>
      <c r="C395" s="1" t="n">
        <v>46109</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21193-2022</t>
        </is>
      </c>
      <c r="B396" s="1" t="n">
        <v>44704.94217592593</v>
      </c>
      <c r="C396" s="1" t="n">
        <v>46109</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11147-2025</t>
        </is>
      </c>
      <c r="B397" s="1" t="n">
        <v>45723.67777777778</v>
      </c>
      <c r="C397" s="1" t="n">
        <v>46109</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24280-2021</t>
        </is>
      </c>
      <c r="B398" s="1" t="n">
        <v>44336</v>
      </c>
      <c r="C398" s="1" t="n">
        <v>46109</v>
      </c>
      <c r="D398" t="inlineStr">
        <is>
          <t>JÄMTLANDS LÄN</t>
        </is>
      </c>
      <c r="E398" t="inlineStr">
        <is>
          <t>RAGUNDA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23304-2023</t>
        </is>
      </c>
      <c r="B399" s="1" t="n">
        <v>45075.945</v>
      </c>
      <c r="C399" s="1" t="n">
        <v>46109</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14821-2025</t>
        </is>
      </c>
      <c r="B400" s="1" t="n">
        <v>45743.36</v>
      </c>
      <c r="C400" s="1" t="n">
        <v>46109</v>
      </c>
      <c r="D400" t="inlineStr">
        <is>
          <t>JÄMTLANDS LÄN</t>
        </is>
      </c>
      <c r="E400" t="inlineStr">
        <is>
          <t>RAGUNDA</t>
        </is>
      </c>
      <c r="F400" t="inlineStr">
        <is>
          <t>Kyrkan</t>
        </is>
      </c>
      <c r="G400" t="n">
        <v>6.4</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46109</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62358-2023</t>
        </is>
      </c>
      <c r="B402" s="1" t="n">
        <v>45267</v>
      </c>
      <c r="C402" s="1" t="n">
        <v>46109</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19264-2025</t>
        </is>
      </c>
      <c r="B403" s="1" t="n">
        <v>45769.51087962963</v>
      </c>
      <c r="C403" s="1" t="n">
        <v>46109</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28596-2021</t>
        </is>
      </c>
      <c r="B404" s="1" t="n">
        <v>44356</v>
      </c>
      <c r="C404" s="1" t="n">
        <v>46109</v>
      </c>
      <c r="D404" t="inlineStr">
        <is>
          <t>JÄMTLANDS LÄN</t>
        </is>
      </c>
      <c r="E404" t="inlineStr">
        <is>
          <t>RAGUNDA</t>
        </is>
      </c>
      <c r="G404" t="n">
        <v>5.4</v>
      </c>
      <c r="H404" t="n">
        <v>0</v>
      </c>
      <c r="I404" t="n">
        <v>0</v>
      </c>
      <c r="J404" t="n">
        <v>0</v>
      </c>
      <c r="K404" t="n">
        <v>0</v>
      </c>
      <c r="L404" t="n">
        <v>0</v>
      </c>
      <c r="M404" t="n">
        <v>0</v>
      </c>
      <c r="N404" t="n">
        <v>0</v>
      </c>
      <c r="O404" t="n">
        <v>0</v>
      </c>
      <c r="P404" t="n">
        <v>0</v>
      </c>
      <c r="Q404" t="n">
        <v>0</v>
      </c>
      <c r="R404" s="2" t="inlineStr"/>
    </row>
    <row r="405" ht="15" customHeight="1">
      <c r="A405" t="inlineStr">
        <is>
          <t>A 36106-2022</t>
        </is>
      </c>
      <c r="B405" s="1" t="n">
        <v>44802.94811342593</v>
      </c>
      <c r="C405" s="1" t="n">
        <v>46109</v>
      </c>
      <c r="D405" t="inlineStr">
        <is>
          <t>JÄMTLANDS LÄN</t>
        </is>
      </c>
      <c r="E405" t="inlineStr">
        <is>
          <t>RAGUNDA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11780-2024</t>
        </is>
      </c>
      <c r="B406" s="1" t="n">
        <v>45374</v>
      </c>
      <c r="C406" s="1" t="n">
        <v>46109</v>
      </c>
      <c r="D406" t="inlineStr">
        <is>
          <t>JÄMTLANDS LÄN</t>
        </is>
      </c>
      <c r="E406" t="inlineStr">
        <is>
          <t>RAGUNDA</t>
        </is>
      </c>
      <c r="G406" t="n">
        <v>14.6</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46109</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46109</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38664-2022</t>
        </is>
      </c>
      <c r="B409" s="1" t="n">
        <v>44813</v>
      </c>
      <c r="C409" s="1" t="n">
        <v>46109</v>
      </c>
      <c r="D409" t="inlineStr">
        <is>
          <t>JÄMTLANDS LÄN</t>
        </is>
      </c>
      <c r="E409" t="inlineStr">
        <is>
          <t>RAGUNDA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46109</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46109</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46109</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42893-2022</t>
        </is>
      </c>
      <c r="B413" s="1" t="n">
        <v>44832</v>
      </c>
      <c r="C413" s="1" t="n">
        <v>46109</v>
      </c>
      <c r="D413" t="inlineStr">
        <is>
          <t>JÄMTLANDS LÄN</t>
        </is>
      </c>
      <c r="E413" t="inlineStr">
        <is>
          <t>RAGUNDA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22131-2021</t>
        </is>
      </c>
      <c r="B414" s="1" t="n">
        <v>44323</v>
      </c>
      <c r="C414" s="1" t="n">
        <v>46109</v>
      </c>
      <c r="D414" t="inlineStr">
        <is>
          <t>JÄMTLANDS LÄN</t>
        </is>
      </c>
      <c r="E414" t="inlineStr">
        <is>
          <t>RAGUNDA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59557-2023</t>
        </is>
      </c>
      <c r="B415" s="1" t="n">
        <v>45253</v>
      </c>
      <c r="C415" s="1" t="n">
        <v>46109</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38425-2022</t>
        </is>
      </c>
      <c r="B416" s="1" t="n">
        <v>44812.94709490741</v>
      </c>
      <c r="C416" s="1" t="n">
        <v>46109</v>
      </c>
      <c r="D416" t="inlineStr">
        <is>
          <t>JÄMTLANDS LÄN</t>
        </is>
      </c>
      <c r="E416" t="inlineStr">
        <is>
          <t>RAGUNDA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36922-2022</t>
        </is>
      </c>
      <c r="B417" s="1" t="n">
        <v>44805.94592592592</v>
      </c>
      <c r="C417" s="1" t="n">
        <v>46109</v>
      </c>
      <c r="D417" t="inlineStr">
        <is>
          <t>JÄMTLANDS LÄN</t>
        </is>
      </c>
      <c r="E417" t="inlineStr">
        <is>
          <t>RAGUNDA</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7281-2025</t>
        </is>
      </c>
      <c r="B418" s="1" t="n">
        <v>45702.63572916666</v>
      </c>
      <c r="C418" s="1" t="n">
        <v>46109</v>
      </c>
      <c r="D418" t="inlineStr">
        <is>
          <t>JÄMTLANDS LÄN</t>
        </is>
      </c>
      <c r="E418" t="inlineStr">
        <is>
          <t>RAGUNDA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9326-2024</t>
        </is>
      </c>
      <c r="B419" s="1" t="n">
        <v>45358.95818287037</v>
      </c>
      <c r="C419" s="1" t="n">
        <v>46109</v>
      </c>
      <c r="D419" t="inlineStr">
        <is>
          <t>JÄMTLANDS LÄN</t>
        </is>
      </c>
      <c r="E419" t="inlineStr">
        <is>
          <t>RAGUNDA</t>
        </is>
      </c>
      <c r="G419" t="n">
        <v>0.7</v>
      </c>
      <c r="H419" t="n">
        <v>0</v>
      </c>
      <c r="I419" t="n">
        <v>0</v>
      </c>
      <c r="J419" t="n">
        <v>0</v>
      </c>
      <c r="K419" t="n">
        <v>0</v>
      </c>
      <c r="L419" t="n">
        <v>0</v>
      </c>
      <c r="M419" t="n">
        <v>0</v>
      </c>
      <c r="N419" t="n">
        <v>0</v>
      </c>
      <c r="O419" t="n">
        <v>0</v>
      </c>
      <c r="P419" t="n">
        <v>0</v>
      </c>
      <c r="Q419" t="n">
        <v>0</v>
      </c>
      <c r="R419" s="2" t="inlineStr"/>
    </row>
    <row r="420" ht="15" customHeight="1">
      <c r="A420" t="inlineStr">
        <is>
          <t>A 13935-2024</t>
        </is>
      </c>
      <c r="B420" s="1" t="n">
        <v>45391.95329861111</v>
      </c>
      <c r="C420" s="1" t="n">
        <v>46109</v>
      </c>
      <c r="D420" t="inlineStr">
        <is>
          <t>JÄMTLANDS LÄN</t>
        </is>
      </c>
      <c r="E420" t="inlineStr">
        <is>
          <t>RAGUNDA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18777-2024</t>
        </is>
      </c>
      <c r="B421" s="1" t="n">
        <v>45426</v>
      </c>
      <c r="C421" s="1" t="n">
        <v>46109</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60629-2023</t>
        </is>
      </c>
      <c r="B422" s="1" t="n">
        <v>45259</v>
      </c>
      <c r="C422" s="1" t="n">
        <v>46109</v>
      </c>
      <c r="D422" t="inlineStr">
        <is>
          <t>JÄMTLANDS LÄN</t>
        </is>
      </c>
      <c r="E422" t="inlineStr">
        <is>
          <t>RAGUNDA</t>
        </is>
      </c>
      <c r="G422" t="n">
        <v>3.4</v>
      </c>
      <c r="H422" t="n">
        <v>0</v>
      </c>
      <c r="I422" t="n">
        <v>0</v>
      </c>
      <c r="J422" t="n">
        <v>0</v>
      </c>
      <c r="K422" t="n">
        <v>0</v>
      </c>
      <c r="L422" t="n">
        <v>0</v>
      </c>
      <c r="M422" t="n">
        <v>0</v>
      </c>
      <c r="N422" t="n">
        <v>0</v>
      </c>
      <c r="O422" t="n">
        <v>0</v>
      </c>
      <c r="P422" t="n">
        <v>0</v>
      </c>
      <c r="Q422" t="n">
        <v>0</v>
      </c>
      <c r="R422" s="2" t="inlineStr"/>
    </row>
    <row r="423" ht="15" customHeight="1">
      <c r="A423" t="inlineStr">
        <is>
          <t>A 59670-2023</t>
        </is>
      </c>
      <c r="B423" s="1" t="n">
        <v>45254.96516203704</v>
      </c>
      <c r="C423" s="1" t="n">
        <v>46109</v>
      </c>
      <c r="D423" t="inlineStr">
        <is>
          <t>JÄMTLANDS LÄN</t>
        </is>
      </c>
      <c r="E423" t="inlineStr">
        <is>
          <t>RAGUNDA</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57889-2024</t>
        </is>
      </c>
      <c r="B424" s="1" t="n">
        <v>45631.46665509259</v>
      </c>
      <c r="C424" s="1" t="n">
        <v>46109</v>
      </c>
      <c r="D424" t="inlineStr">
        <is>
          <t>JÄMTLANDS LÄN</t>
        </is>
      </c>
      <c r="E424" t="inlineStr">
        <is>
          <t>RAGUNDA</t>
        </is>
      </c>
      <c r="G424" t="n">
        <v>11.1</v>
      </c>
      <c r="H424" t="n">
        <v>0</v>
      </c>
      <c r="I424" t="n">
        <v>0</v>
      </c>
      <c r="J424" t="n">
        <v>0</v>
      </c>
      <c r="K424" t="n">
        <v>0</v>
      </c>
      <c r="L424" t="n">
        <v>0</v>
      </c>
      <c r="M424" t="n">
        <v>0</v>
      </c>
      <c r="N424" t="n">
        <v>0</v>
      </c>
      <c r="O424" t="n">
        <v>0</v>
      </c>
      <c r="P424" t="n">
        <v>0</v>
      </c>
      <c r="Q424" t="n">
        <v>0</v>
      </c>
      <c r="R424" s="2" t="inlineStr"/>
    </row>
    <row r="425" ht="15" customHeight="1">
      <c r="A425" t="inlineStr">
        <is>
          <t>A 22388-2025</t>
        </is>
      </c>
      <c r="B425" s="1" t="n">
        <v>45786.51077546296</v>
      </c>
      <c r="C425" s="1" t="n">
        <v>46109</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58193-2022</t>
        </is>
      </c>
      <c r="B426" s="1" t="n">
        <v>44900.95700231481</v>
      </c>
      <c r="C426" s="1" t="n">
        <v>46109</v>
      </c>
      <c r="D426" t="inlineStr">
        <is>
          <t>JÄMTLANDS LÄN</t>
        </is>
      </c>
      <c r="E426" t="inlineStr">
        <is>
          <t>RAGUNDA</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14513-2025</t>
        </is>
      </c>
      <c r="B427" s="1" t="n">
        <v>45741.63675925926</v>
      </c>
      <c r="C427" s="1" t="n">
        <v>46109</v>
      </c>
      <c r="D427" t="inlineStr">
        <is>
          <t>JÄMTLANDS LÄN</t>
        </is>
      </c>
      <c r="E427" t="inlineStr">
        <is>
          <t>RAGUNDA</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18194-2025</t>
        </is>
      </c>
      <c r="B428" s="1" t="n">
        <v>45761.67744212963</v>
      </c>
      <c r="C428" s="1" t="n">
        <v>46109</v>
      </c>
      <c r="D428" t="inlineStr">
        <is>
          <t>JÄMTLANDS LÄN</t>
        </is>
      </c>
      <c r="E428" t="inlineStr">
        <is>
          <t>RAGUNDA</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57111-2025</t>
        </is>
      </c>
      <c r="B429" s="1" t="n">
        <v>45978</v>
      </c>
      <c r="C429" s="1" t="n">
        <v>46109</v>
      </c>
      <c r="D429" t="inlineStr">
        <is>
          <t>JÄMTLANDS LÄN</t>
        </is>
      </c>
      <c r="E429" t="inlineStr">
        <is>
          <t>RAGUNDA</t>
        </is>
      </c>
      <c r="G429" t="n">
        <v>2.3</v>
      </c>
      <c r="H429" t="n">
        <v>0</v>
      </c>
      <c r="I429" t="n">
        <v>0</v>
      </c>
      <c r="J429" t="n">
        <v>0</v>
      </c>
      <c r="K429" t="n">
        <v>0</v>
      </c>
      <c r="L429" t="n">
        <v>0</v>
      </c>
      <c r="M429" t="n">
        <v>0</v>
      </c>
      <c r="N429" t="n">
        <v>0</v>
      </c>
      <c r="O429" t="n">
        <v>0</v>
      </c>
      <c r="P429" t="n">
        <v>0</v>
      </c>
      <c r="Q429" t="n">
        <v>0</v>
      </c>
      <c r="R429" s="2" t="inlineStr"/>
    </row>
    <row r="430" ht="15" customHeight="1">
      <c r="A430" t="inlineStr">
        <is>
          <t>A 57117-2025</t>
        </is>
      </c>
      <c r="B430" s="1" t="n">
        <v>45978</v>
      </c>
      <c r="C430" s="1" t="n">
        <v>46109</v>
      </c>
      <c r="D430" t="inlineStr">
        <is>
          <t>JÄMTLANDS LÄN</t>
        </is>
      </c>
      <c r="E430" t="inlineStr">
        <is>
          <t>RAGUNDA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46109</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13299-2024</t>
        </is>
      </c>
      <c r="B432" s="1" t="n">
        <v>45386.68003472222</v>
      </c>
      <c r="C432" s="1" t="n">
        <v>46109</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56751-2025</t>
        </is>
      </c>
      <c r="B433" s="1" t="n">
        <v>45978.36538194444</v>
      </c>
      <c r="C433" s="1" t="n">
        <v>46109</v>
      </c>
      <c r="D433" t="inlineStr">
        <is>
          <t>JÄMTLANDS LÄN</t>
        </is>
      </c>
      <c r="E433" t="inlineStr">
        <is>
          <t>RAGUNDA</t>
        </is>
      </c>
      <c r="F433" t="inlineStr">
        <is>
          <t>SCA</t>
        </is>
      </c>
      <c r="G433" t="n">
        <v>34.5</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46109</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53347-2023</t>
        </is>
      </c>
      <c r="B435" s="1" t="n">
        <v>45223</v>
      </c>
      <c r="C435" s="1" t="n">
        <v>46109</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22948-2024</t>
        </is>
      </c>
      <c r="B436" s="1" t="n">
        <v>45448.94600694445</v>
      </c>
      <c r="C436" s="1" t="n">
        <v>46109</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56435-2025</t>
        </is>
      </c>
      <c r="B437" s="1" t="n">
        <v>45975.34679398148</v>
      </c>
      <c r="C437" s="1" t="n">
        <v>46109</v>
      </c>
      <c r="D437" t="inlineStr">
        <is>
          <t>JÄMTLANDS LÄN</t>
        </is>
      </c>
      <c r="E437" t="inlineStr">
        <is>
          <t>RAGUNDA</t>
        </is>
      </c>
      <c r="F437" t="inlineStr">
        <is>
          <t>SCA</t>
        </is>
      </c>
      <c r="G437" t="n">
        <v>9.199999999999999</v>
      </c>
      <c r="H437" t="n">
        <v>0</v>
      </c>
      <c r="I437" t="n">
        <v>0</v>
      </c>
      <c r="J437" t="n">
        <v>0</v>
      </c>
      <c r="K437" t="n">
        <v>0</v>
      </c>
      <c r="L437" t="n">
        <v>0</v>
      </c>
      <c r="M437" t="n">
        <v>0</v>
      </c>
      <c r="N437" t="n">
        <v>0</v>
      </c>
      <c r="O437" t="n">
        <v>0</v>
      </c>
      <c r="P437" t="n">
        <v>0</v>
      </c>
      <c r="Q437" t="n">
        <v>0</v>
      </c>
      <c r="R437" s="2" t="inlineStr"/>
      <c r="U437">
        <f>HYPERLINK("https://klasma.github.io/Logging_2303/knärot/A 56435-2025 karta knärot.png", "A 56435-2025")</f>
        <v/>
      </c>
      <c r="V437">
        <f>HYPERLINK("https://klasma.github.io/Logging_2303/klagomål/A 56435-2025 FSC-klagomål.docx", "A 56435-2025")</f>
        <v/>
      </c>
      <c r="W437">
        <f>HYPERLINK("https://klasma.github.io/Logging_2303/klagomålsmail/A 56435-2025 FSC-klagomål mail.docx", "A 56435-2025")</f>
        <v/>
      </c>
      <c r="X437">
        <f>HYPERLINK("https://klasma.github.io/Logging_2303/tillsyn/A 56435-2025 tillsynsbegäran.docx", "A 56435-2025")</f>
        <v/>
      </c>
      <c r="Y437">
        <f>HYPERLINK("https://klasma.github.io/Logging_2303/tillsynsmail/A 56435-2025 tillsynsbegäran mail.docx", "A 56435-2025")</f>
        <v/>
      </c>
    </row>
    <row r="438" ht="15" customHeight="1">
      <c r="A438" t="inlineStr">
        <is>
          <t>A 53678-2022</t>
        </is>
      </c>
      <c r="B438" s="1" t="n">
        <v>44879.95768518518</v>
      </c>
      <c r="C438" s="1" t="n">
        <v>46109</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46109</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10639-2024</t>
        </is>
      </c>
      <c r="B440" s="1" t="n">
        <v>45367.67256944445</v>
      </c>
      <c r="C440" s="1" t="n">
        <v>46109</v>
      </c>
      <c r="D440" t="inlineStr">
        <is>
          <t>JÄMTLANDS LÄN</t>
        </is>
      </c>
      <c r="E440" t="inlineStr">
        <is>
          <t>RAGUNDA</t>
        </is>
      </c>
      <c r="G440" t="n">
        <v>2</v>
      </c>
      <c r="H440" t="n">
        <v>0</v>
      </c>
      <c r="I440" t="n">
        <v>0</v>
      </c>
      <c r="J440" t="n">
        <v>0</v>
      </c>
      <c r="K440" t="n">
        <v>0</v>
      </c>
      <c r="L440" t="n">
        <v>0</v>
      </c>
      <c r="M440" t="n">
        <v>0</v>
      </c>
      <c r="N440" t="n">
        <v>0</v>
      </c>
      <c r="O440" t="n">
        <v>0</v>
      </c>
      <c r="P440" t="n">
        <v>0</v>
      </c>
      <c r="Q440" t="n">
        <v>0</v>
      </c>
      <c r="R440" s="2" t="inlineStr"/>
    </row>
    <row r="441" ht="15" customHeight="1">
      <c r="A441" t="inlineStr">
        <is>
          <t>A 57332-2025</t>
        </is>
      </c>
      <c r="B441" s="1" t="n">
        <v>45980.34467592592</v>
      </c>
      <c r="C441" s="1" t="n">
        <v>46109</v>
      </c>
      <c r="D441" t="inlineStr">
        <is>
          <t>JÄMTLANDS LÄN</t>
        </is>
      </c>
      <c r="E441" t="inlineStr">
        <is>
          <t>RAGUNDA</t>
        </is>
      </c>
      <c r="F441" t="inlineStr">
        <is>
          <t>SCA</t>
        </is>
      </c>
      <c r="G441" t="n">
        <v>22.6</v>
      </c>
      <c r="H441" t="n">
        <v>0</v>
      </c>
      <c r="I441" t="n">
        <v>0</v>
      </c>
      <c r="J441" t="n">
        <v>0</v>
      </c>
      <c r="K441" t="n">
        <v>0</v>
      </c>
      <c r="L441" t="n">
        <v>0</v>
      </c>
      <c r="M441" t="n">
        <v>0</v>
      </c>
      <c r="N441" t="n">
        <v>0</v>
      </c>
      <c r="O441" t="n">
        <v>0</v>
      </c>
      <c r="P441" t="n">
        <v>0</v>
      </c>
      <c r="Q441" t="n">
        <v>0</v>
      </c>
      <c r="R441" s="2" t="inlineStr"/>
    </row>
    <row r="442" ht="15" customHeight="1">
      <c r="A442" t="inlineStr">
        <is>
          <t>A 57561-2025</t>
        </is>
      </c>
      <c r="B442" s="1" t="n">
        <v>45980.69885416667</v>
      </c>
      <c r="C442" s="1" t="n">
        <v>46109</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57560-2025</t>
        </is>
      </c>
      <c r="B443" s="1" t="n">
        <v>45980.6987962963</v>
      </c>
      <c r="C443" s="1" t="n">
        <v>46109</v>
      </c>
      <c r="D443" t="inlineStr">
        <is>
          <t>JÄMTLANDS LÄN</t>
        </is>
      </c>
      <c r="E443" t="inlineStr">
        <is>
          <t>RAGUNDA</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64108-2025</t>
        </is>
      </c>
      <c r="B444" s="1" t="n">
        <v>46013</v>
      </c>
      <c r="C444" s="1" t="n">
        <v>46109</v>
      </c>
      <c r="D444" t="inlineStr">
        <is>
          <t>JÄMTLANDS LÄN</t>
        </is>
      </c>
      <c r="E444" t="inlineStr">
        <is>
          <t>RAGUNDA</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22898-2025</t>
        </is>
      </c>
      <c r="B445" s="1" t="n">
        <v>45790.40670138889</v>
      </c>
      <c r="C445" s="1" t="n">
        <v>46109</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57184-2025</t>
        </is>
      </c>
      <c r="B446" s="1" t="n">
        <v>45979.57361111111</v>
      </c>
      <c r="C446" s="1" t="n">
        <v>46109</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50649-2022</t>
        </is>
      </c>
      <c r="B447" s="1" t="n">
        <v>44866</v>
      </c>
      <c r="C447" s="1" t="n">
        <v>46109</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57833-2025</t>
        </is>
      </c>
      <c r="B448" s="1" t="n">
        <v>45981.61541666667</v>
      </c>
      <c r="C448" s="1" t="n">
        <v>46109</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60195-2023</t>
        </is>
      </c>
      <c r="B449" s="1" t="n">
        <v>45257</v>
      </c>
      <c r="C449" s="1" t="n">
        <v>46109</v>
      </c>
      <c r="D449" t="inlineStr">
        <is>
          <t>JÄMTLANDS LÄN</t>
        </is>
      </c>
      <c r="E449" t="inlineStr">
        <is>
          <t>RAGUNDA</t>
        </is>
      </c>
      <c r="G449" t="n">
        <v>1.7</v>
      </c>
      <c r="H449" t="n">
        <v>0</v>
      </c>
      <c r="I449" t="n">
        <v>0</v>
      </c>
      <c r="J449" t="n">
        <v>0</v>
      </c>
      <c r="K449" t="n">
        <v>0</v>
      </c>
      <c r="L449" t="n">
        <v>0</v>
      </c>
      <c r="M449" t="n">
        <v>0</v>
      </c>
      <c r="N449" t="n">
        <v>0</v>
      </c>
      <c r="O449" t="n">
        <v>0</v>
      </c>
      <c r="P449" t="n">
        <v>0</v>
      </c>
      <c r="Q449" t="n">
        <v>0</v>
      </c>
      <c r="R449" s="2" t="inlineStr"/>
    </row>
    <row r="450" ht="15" customHeight="1">
      <c r="A450" t="inlineStr">
        <is>
          <t>A 58076-2025</t>
        </is>
      </c>
      <c r="B450" s="1" t="n">
        <v>45982.55273148148</v>
      </c>
      <c r="C450" s="1" t="n">
        <v>46109</v>
      </c>
      <c r="D450" t="inlineStr">
        <is>
          <t>JÄMTLANDS LÄN</t>
        </is>
      </c>
      <c r="E450" t="inlineStr">
        <is>
          <t>RAGUNDA</t>
        </is>
      </c>
      <c r="G450" t="n">
        <v>0.1</v>
      </c>
      <c r="H450" t="n">
        <v>0</v>
      </c>
      <c r="I450" t="n">
        <v>0</v>
      </c>
      <c r="J450" t="n">
        <v>0</v>
      </c>
      <c r="K450" t="n">
        <v>0</v>
      </c>
      <c r="L450" t="n">
        <v>0</v>
      </c>
      <c r="M450" t="n">
        <v>0</v>
      </c>
      <c r="N450" t="n">
        <v>0</v>
      </c>
      <c r="O450" t="n">
        <v>0</v>
      </c>
      <c r="P450" t="n">
        <v>0</v>
      </c>
      <c r="Q450" t="n">
        <v>0</v>
      </c>
      <c r="R450" s="2" t="inlineStr"/>
    </row>
    <row r="451" ht="15" customHeight="1">
      <c r="A451" t="inlineStr">
        <is>
          <t>A 58093-2025</t>
        </is>
      </c>
      <c r="B451" s="1" t="n">
        <v>45982.5741087963</v>
      </c>
      <c r="C451" s="1" t="n">
        <v>46109</v>
      </c>
      <c r="D451" t="inlineStr">
        <is>
          <t>JÄMTLANDS LÄN</t>
        </is>
      </c>
      <c r="E451" t="inlineStr">
        <is>
          <t>RAGUNDA</t>
        </is>
      </c>
      <c r="G451" t="n">
        <v>22.2</v>
      </c>
      <c r="H451" t="n">
        <v>0</v>
      </c>
      <c r="I451" t="n">
        <v>0</v>
      </c>
      <c r="J451" t="n">
        <v>0</v>
      </c>
      <c r="K451" t="n">
        <v>0</v>
      </c>
      <c r="L451" t="n">
        <v>0</v>
      </c>
      <c r="M451" t="n">
        <v>0</v>
      </c>
      <c r="N451" t="n">
        <v>0</v>
      </c>
      <c r="O451" t="n">
        <v>0</v>
      </c>
      <c r="P451" t="n">
        <v>0</v>
      </c>
      <c r="Q451" t="n">
        <v>0</v>
      </c>
      <c r="R451" s="2" t="inlineStr"/>
    </row>
    <row r="452" ht="15" customHeight="1">
      <c r="A452" t="inlineStr">
        <is>
          <t>A 2819-2023</t>
        </is>
      </c>
      <c r="B452" s="1" t="n">
        <v>44944</v>
      </c>
      <c r="C452" s="1" t="n">
        <v>46109</v>
      </c>
      <c r="D452" t="inlineStr">
        <is>
          <t>JÄMTLANDS LÄN</t>
        </is>
      </c>
      <c r="E452" t="inlineStr">
        <is>
          <t>RAGUNDA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57914-2025</t>
        </is>
      </c>
      <c r="B453" s="1" t="n">
        <v>45981</v>
      </c>
      <c r="C453" s="1" t="n">
        <v>46109</v>
      </c>
      <c r="D453" t="inlineStr">
        <is>
          <t>JÄMTLANDS LÄN</t>
        </is>
      </c>
      <c r="E453" t="inlineStr">
        <is>
          <t>RAGUNDA</t>
        </is>
      </c>
      <c r="G453" t="n">
        <v>3.2</v>
      </c>
      <c r="H453" t="n">
        <v>0</v>
      </c>
      <c r="I453" t="n">
        <v>0</v>
      </c>
      <c r="J453" t="n">
        <v>0</v>
      </c>
      <c r="K453" t="n">
        <v>0</v>
      </c>
      <c r="L453" t="n">
        <v>0</v>
      </c>
      <c r="M453" t="n">
        <v>0</v>
      </c>
      <c r="N453" t="n">
        <v>0</v>
      </c>
      <c r="O453" t="n">
        <v>0</v>
      </c>
      <c r="P453" t="n">
        <v>0</v>
      </c>
      <c r="Q453" t="n">
        <v>0</v>
      </c>
      <c r="R453" s="2" t="inlineStr"/>
    </row>
    <row r="454" ht="15" customHeight="1">
      <c r="A454" t="inlineStr">
        <is>
          <t>A 182-2023</t>
        </is>
      </c>
      <c r="B454" s="1" t="n">
        <v>44922</v>
      </c>
      <c r="C454" s="1" t="n">
        <v>46109</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57915-2025</t>
        </is>
      </c>
      <c r="B455" s="1" t="n">
        <v>45981</v>
      </c>
      <c r="C455" s="1" t="n">
        <v>46109</v>
      </c>
      <c r="D455" t="inlineStr">
        <is>
          <t>JÄMTLANDS LÄN</t>
        </is>
      </c>
      <c r="E455" t="inlineStr">
        <is>
          <t>RAGUNDA</t>
        </is>
      </c>
      <c r="G455" t="n">
        <v>6.4</v>
      </c>
      <c r="H455" t="n">
        <v>0</v>
      </c>
      <c r="I455" t="n">
        <v>0</v>
      </c>
      <c r="J455" t="n">
        <v>0</v>
      </c>
      <c r="K455" t="n">
        <v>0</v>
      </c>
      <c r="L455" t="n">
        <v>0</v>
      </c>
      <c r="M455" t="n">
        <v>0</v>
      </c>
      <c r="N455" t="n">
        <v>0</v>
      </c>
      <c r="O455" t="n">
        <v>0</v>
      </c>
      <c r="P455" t="n">
        <v>0</v>
      </c>
      <c r="Q455" t="n">
        <v>0</v>
      </c>
      <c r="R455" s="2" t="inlineStr"/>
    </row>
    <row r="456" ht="15" customHeight="1">
      <c r="A456" t="inlineStr">
        <is>
          <t>A 57963-2025</t>
        </is>
      </c>
      <c r="B456" s="1" t="n">
        <v>45982.37800925926</v>
      </c>
      <c r="C456" s="1" t="n">
        <v>46109</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66011-2021</t>
        </is>
      </c>
      <c r="B457" s="1" t="n">
        <v>44517.58137731482</v>
      </c>
      <c r="C457" s="1" t="n">
        <v>46109</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57916-2025</t>
        </is>
      </c>
      <c r="B458" s="1" t="n">
        <v>45981</v>
      </c>
      <c r="C458" s="1" t="n">
        <v>46109</v>
      </c>
      <c r="D458" t="inlineStr">
        <is>
          <t>JÄMTLANDS LÄN</t>
        </is>
      </c>
      <c r="E458" t="inlineStr">
        <is>
          <t>RAGUNDA</t>
        </is>
      </c>
      <c r="G458" t="n">
        <v>5.3</v>
      </c>
      <c r="H458" t="n">
        <v>0</v>
      </c>
      <c r="I458" t="n">
        <v>0</v>
      </c>
      <c r="J458" t="n">
        <v>0</v>
      </c>
      <c r="K458" t="n">
        <v>0</v>
      </c>
      <c r="L458" t="n">
        <v>0</v>
      </c>
      <c r="M458" t="n">
        <v>0</v>
      </c>
      <c r="N458" t="n">
        <v>0</v>
      </c>
      <c r="O458" t="n">
        <v>0</v>
      </c>
      <c r="P458" t="n">
        <v>0</v>
      </c>
      <c r="Q458" t="n">
        <v>0</v>
      </c>
      <c r="R458" s="2" t="inlineStr"/>
    </row>
    <row r="459" ht="15" customHeight="1">
      <c r="A459" t="inlineStr">
        <is>
          <t>A 57970-2025</t>
        </is>
      </c>
      <c r="B459" s="1" t="n">
        <v>45982.38582175926</v>
      </c>
      <c r="C459" s="1" t="n">
        <v>46109</v>
      </c>
      <c r="D459" t="inlineStr">
        <is>
          <t>JÄMTLANDS LÄN</t>
        </is>
      </c>
      <c r="E459" t="inlineStr">
        <is>
          <t>RAGUNDA</t>
        </is>
      </c>
      <c r="G459" t="n">
        <v>4.9</v>
      </c>
      <c r="H459" t="n">
        <v>0</v>
      </c>
      <c r="I459" t="n">
        <v>0</v>
      </c>
      <c r="J459" t="n">
        <v>0</v>
      </c>
      <c r="K459" t="n">
        <v>0</v>
      </c>
      <c r="L459" t="n">
        <v>0</v>
      </c>
      <c r="M459" t="n">
        <v>0</v>
      </c>
      <c r="N459" t="n">
        <v>0</v>
      </c>
      <c r="O459" t="n">
        <v>0</v>
      </c>
      <c r="P459" t="n">
        <v>0</v>
      </c>
      <c r="Q459" t="n">
        <v>0</v>
      </c>
      <c r="R459" s="2" t="inlineStr"/>
    </row>
    <row r="460" ht="15" customHeight="1">
      <c r="A460" t="inlineStr">
        <is>
          <t>A 57785-2025</t>
        </is>
      </c>
      <c r="B460" s="1" t="n">
        <v>45981.57393518519</v>
      </c>
      <c r="C460" s="1" t="n">
        <v>46109</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32904-2024</t>
        </is>
      </c>
      <c r="B461" s="1" t="n">
        <v>45516.94732638889</v>
      </c>
      <c r="C461" s="1" t="n">
        <v>46109</v>
      </c>
      <c r="D461" t="inlineStr">
        <is>
          <t>JÄMTLANDS LÄN</t>
        </is>
      </c>
      <c r="E461" t="inlineStr">
        <is>
          <t>RAGUNDA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46109</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58638-2025</t>
        </is>
      </c>
      <c r="B463" s="1" t="n">
        <v>45986.49016203704</v>
      </c>
      <c r="C463" s="1" t="n">
        <v>46109</v>
      </c>
      <c r="D463" t="inlineStr">
        <is>
          <t>JÄMTLANDS LÄN</t>
        </is>
      </c>
      <c r="E463" t="inlineStr">
        <is>
          <t>RAGUNDA</t>
        </is>
      </c>
      <c r="G463" t="n">
        <v>1.3</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46109</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58559-2025</t>
        </is>
      </c>
      <c r="B465" s="1" t="n">
        <v>45986.34475694445</v>
      </c>
      <c r="C465" s="1" t="n">
        <v>46109</v>
      </c>
      <c r="D465" t="inlineStr">
        <is>
          <t>JÄMTLANDS LÄN</t>
        </is>
      </c>
      <c r="E465" t="inlineStr">
        <is>
          <t>RAGUNDA</t>
        </is>
      </c>
      <c r="F465" t="inlineStr">
        <is>
          <t>SCA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28216-2025</t>
        </is>
      </c>
      <c r="B466" s="1" t="n">
        <v>45818.46898148148</v>
      </c>
      <c r="C466" s="1" t="n">
        <v>46109</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46109</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46109</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55701-2021</t>
        </is>
      </c>
      <c r="B469" s="1" t="n">
        <v>44475</v>
      </c>
      <c r="C469" s="1" t="n">
        <v>46109</v>
      </c>
      <c r="D469" t="inlineStr">
        <is>
          <t>JÄMTLANDS LÄN</t>
        </is>
      </c>
      <c r="E469" t="inlineStr">
        <is>
          <t>RAGUNDA</t>
        </is>
      </c>
      <c r="G469" t="n">
        <v>5.6</v>
      </c>
      <c r="H469" t="n">
        <v>0</v>
      </c>
      <c r="I469" t="n">
        <v>0</v>
      </c>
      <c r="J469" t="n">
        <v>0</v>
      </c>
      <c r="K469" t="n">
        <v>0</v>
      </c>
      <c r="L469" t="n">
        <v>0</v>
      </c>
      <c r="M469" t="n">
        <v>0</v>
      </c>
      <c r="N469" t="n">
        <v>0</v>
      </c>
      <c r="O469" t="n">
        <v>0</v>
      </c>
      <c r="P469" t="n">
        <v>0</v>
      </c>
      <c r="Q469" t="n">
        <v>0</v>
      </c>
      <c r="R469" s="2" t="inlineStr"/>
    </row>
    <row r="470" ht="15" customHeight="1">
      <c r="A470" t="inlineStr">
        <is>
          <t>A 53109-2025</t>
        </is>
      </c>
      <c r="B470" s="1" t="n">
        <v>45958</v>
      </c>
      <c r="C470" s="1" t="n">
        <v>46109</v>
      </c>
      <c r="D470" t="inlineStr">
        <is>
          <t>JÄMTLANDS LÄN</t>
        </is>
      </c>
      <c r="E470" t="inlineStr">
        <is>
          <t>RAGUNDA</t>
        </is>
      </c>
      <c r="G470" t="n">
        <v>2.1</v>
      </c>
      <c r="H470" t="n">
        <v>0</v>
      </c>
      <c r="I470" t="n">
        <v>0</v>
      </c>
      <c r="J470" t="n">
        <v>0</v>
      </c>
      <c r="K470" t="n">
        <v>0</v>
      </c>
      <c r="L470" t="n">
        <v>0</v>
      </c>
      <c r="M470" t="n">
        <v>0</v>
      </c>
      <c r="N470" t="n">
        <v>0</v>
      </c>
      <c r="O470" t="n">
        <v>0</v>
      </c>
      <c r="P470" t="n">
        <v>0</v>
      </c>
      <c r="Q470" t="n">
        <v>0</v>
      </c>
      <c r="R470" s="2" t="inlineStr"/>
    </row>
    <row r="471" ht="15" customHeight="1">
      <c r="A471" t="inlineStr">
        <is>
          <t>A 59214-2025</t>
        </is>
      </c>
      <c r="B471" s="1" t="n">
        <v>45988.61623842592</v>
      </c>
      <c r="C471" s="1" t="n">
        <v>46109</v>
      </c>
      <c r="D471" t="inlineStr">
        <is>
          <t>JÄMTLANDS LÄN</t>
        </is>
      </c>
      <c r="E471" t="inlineStr">
        <is>
          <t>RAGUNDA</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58918-2025</t>
        </is>
      </c>
      <c r="B472" s="1" t="n">
        <v>45987.52952546296</v>
      </c>
      <c r="C472" s="1" t="n">
        <v>46109</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24171-2021</t>
        </is>
      </c>
      <c r="B473" s="1" t="n">
        <v>44336</v>
      </c>
      <c r="C473" s="1" t="n">
        <v>46109</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39384-2025</t>
        </is>
      </c>
      <c r="B474" s="1" t="n">
        <v>45889.61517361111</v>
      </c>
      <c r="C474" s="1" t="n">
        <v>46109</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2224-2024</t>
        </is>
      </c>
      <c r="B475" s="1" t="n">
        <v>45309.92524305556</v>
      </c>
      <c r="C475" s="1" t="n">
        <v>46109</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59692-2025</t>
        </is>
      </c>
      <c r="B476" s="1" t="n">
        <v>45992.49001157407</v>
      </c>
      <c r="C476" s="1" t="n">
        <v>46109</v>
      </c>
      <c r="D476" t="inlineStr">
        <is>
          <t>JÄMTLANDS LÄN</t>
        </is>
      </c>
      <c r="E476" t="inlineStr">
        <is>
          <t>RAGUNDA</t>
        </is>
      </c>
      <c r="G476" t="n">
        <v>2.7</v>
      </c>
      <c r="H476" t="n">
        <v>0</v>
      </c>
      <c r="I476" t="n">
        <v>0</v>
      </c>
      <c r="J476" t="n">
        <v>0</v>
      </c>
      <c r="K476" t="n">
        <v>0</v>
      </c>
      <c r="L476" t="n">
        <v>0</v>
      </c>
      <c r="M476" t="n">
        <v>0</v>
      </c>
      <c r="N476" t="n">
        <v>0</v>
      </c>
      <c r="O476" t="n">
        <v>0</v>
      </c>
      <c r="P476" t="n">
        <v>0</v>
      </c>
      <c r="Q476" t="n">
        <v>0</v>
      </c>
      <c r="R476" s="2" t="inlineStr"/>
    </row>
    <row r="477" ht="15" customHeight="1">
      <c r="A477" t="inlineStr">
        <is>
          <t>A 59693-2025</t>
        </is>
      </c>
      <c r="B477" s="1" t="n">
        <v>45992.49009259259</v>
      </c>
      <c r="C477" s="1" t="n">
        <v>46109</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59491-2025</t>
        </is>
      </c>
      <c r="B478" s="1" t="n">
        <v>45989.60376157407</v>
      </c>
      <c r="C478" s="1" t="n">
        <v>46109</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59499-2025</t>
        </is>
      </c>
      <c r="B479" s="1" t="n">
        <v>45989.61846064815</v>
      </c>
      <c r="C479" s="1" t="n">
        <v>46109</v>
      </c>
      <c r="D479" t="inlineStr">
        <is>
          <t>JÄMTLANDS LÄN</t>
        </is>
      </c>
      <c r="E479" t="inlineStr">
        <is>
          <t>RAGUNDA</t>
        </is>
      </c>
      <c r="G479" t="n">
        <v>2</v>
      </c>
      <c r="H479" t="n">
        <v>0</v>
      </c>
      <c r="I479" t="n">
        <v>0</v>
      </c>
      <c r="J479" t="n">
        <v>0</v>
      </c>
      <c r="K479" t="n">
        <v>0</v>
      </c>
      <c r="L479" t="n">
        <v>0</v>
      </c>
      <c r="M479" t="n">
        <v>0</v>
      </c>
      <c r="N479" t="n">
        <v>0</v>
      </c>
      <c r="O479" t="n">
        <v>0</v>
      </c>
      <c r="P479" t="n">
        <v>0</v>
      </c>
      <c r="Q479" t="n">
        <v>0</v>
      </c>
      <c r="R479" s="2" t="inlineStr"/>
    </row>
    <row r="480" ht="15" customHeight="1">
      <c r="A480" t="inlineStr">
        <is>
          <t>A 59503-2025</t>
        </is>
      </c>
      <c r="B480" s="1" t="n">
        <v>45989.62703703704</v>
      </c>
      <c r="C480" s="1" t="n">
        <v>46109</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56702-2023</t>
        </is>
      </c>
      <c r="B481" s="1" t="n">
        <v>45243</v>
      </c>
      <c r="C481" s="1" t="n">
        <v>46109</v>
      </c>
      <c r="D481" t="inlineStr">
        <is>
          <t>JÄMTLANDS LÄN</t>
        </is>
      </c>
      <c r="E481" t="inlineStr">
        <is>
          <t>RAGUNDA</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59740-2025</t>
        </is>
      </c>
      <c r="B482" s="1" t="n">
        <v>45992.5743287037</v>
      </c>
      <c r="C482" s="1" t="n">
        <v>46109</v>
      </c>
      <c r="D482" t="inlineStr">
        <is>
          <t>JÄMTLANDS LÄN</t>
        </is>
      </c>
      <c r="E482" t="inlineStr">
        <is>
          <t>RAGUNDA</t>
        </is>
      </c>
      <c r="F482" t="inlineStr">
        <is>
          <t>SCA</t>
        </is>
      </c>
      <c r="G482" t="n">
        <v>14.1</v>
      </c>
      <c r="H482" t="n">
        <v>0</v>
      </c>
      <c r="I482" t="n">
        <v>0</v>
      </c>
      <c r="J482" t="n">
        <v>0</v>
      </c>
      <c r="K482" t="n">
        <v>0</v>
      </c>
      <c r="L482" t="n">
        <v>0</v>
      </c>
      <c r="M482" t="n">
        <v>0</v>
      </c>
      <c r="N482" t="n">
        <v>0</v>
      </c>
      <c r="O482" t="n">
        <v>0</v>
      </c>
      <c r="P482" t="n">
        <v>0</v>
      </c>
      <c r="Q482" t="n">
        <v>0</v>
      </c>
      <c r="R482" s="2" t="inlineStr"/>
    </row>
    <row r="483" ht="15" customHeight="1">
      <c r="A483" t="inlineStr">
        <is>
          <t>A 63708-2023</t>
        </is>
      </c>
      <c r="B483" s="1" t="n">
        <v>45275.95060185185</v>
      </c>
      <c r="C483" s="1" t="n">
        <v>46109</v>
      </c>
      <c r="D483" t="inlineStr">
        <is>
          <t>JÄMTLANDS LÄN</t>
        </is>
      </c>
      <c r="E483" t="inlineStr">
        <is>
          <t>RAGUNDA</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26651-2024</t>
        </is>
      </c>
      <c r="B484" s="1" t="n">
        <v>45469.94876157407</v>
      </c>
      <c r="C484" s="1" t="n">
        <v>46109</v>
      </c>
      <c r="D484" t="inlineStr">
        <is>
          <t>JÄMTLANDS LÄN</t>
        </is>
      </c>
      <c r="E484" t="inlineStr">
        <is>
          <t>RAGUNDA</t>
        </is>
      </c>
      <c r="F484" t="inlineStr">
        <is>
          <t>SCA</t>
        </is>
      </c>
      <c r="G484" t="n">
        <v>10.4</v>
      </c>
      <c r="H484" t="n">
        <v>0</v>
      </c>
      <c r="I484" t="n">
        <v>0</v>
      </c>
      <c r="J484" t="n">
        <v>0</v>
      </c>
      <c r="K484" t="n">
        <v>0</v>
      </c>
      <c r="L484" t="n">
        <v>0</v>
      </c>
      <c r="M484" t="n">
        <v>0</v>
      </c>
      <c r="N484" t="n">
        <v>0</v>
      </c>
      <c r="O484" t="n">
        <v>0</v>
      </c>
      <c r="P484" t="n">
        <v>0</v>
      </c>
      <c r="Q484" t="n">
        <v>0</v>
      </c>
      <c r="R484" s="2" t="inlineStr"/>
    </row>
    <row r="485" ht="15" customHeight="1">
      <c r="A485" t="inlineStr">
        <is>
          <t>A 39949-2025</t>
        </is>
      </c>
      <c r="B485" s="1" t="n">
        <v>45892.38619212963</v>
      </c>
      <c r="C485" s="1" t="n">
        <v>46109</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59738-2025</t>
        </is>
      </c>
      <c r="B486" s="1" t="n">
        <v>45992.57408564815</v>
      </c>
      <c r="C486" s="1" t="n">
        <v>46109</v>
      </c>
      <c r="D486" t="inlineStr">
        <is>
          <t>JÄMTLANDS LÄN</t>
        </is>
      </c>
      <c r="E486" t="inlineStr">
        <is>
          <t>RAGUNDA</t>
        </is>
      </c>
      <c r="F486" t="inlineStr">
        <is>
          <t>SCA</t>
        </is>
      </c>
      <c r="G486" t="n">
        <v>12.5</v>
      </c>
      <c r="H486" t="n">
        <v>0</v>
      </c>
      <c r="I486" t="n">
        <v>0</v>
      </c>
      <c r="J486" t="n">
        <v>0</v>
      </c>
      <c r="K486" t="n">
        <v>0</v>
      </c>
      <c r="L486" t="n">
        <v>0</v>
      </c>
      <c r="M486" t="n">
        <v>0</v>
      </c>
      <c r="N486" t="n">
        <v>0</v>
      </c>
      <c r="O486" t="n">
        <v>0</v>
      </c>
      <c r="P486" t="n">
        <v>0</v>
      </c>
      <c r="Q486" t="n">
        <v>0</v>
      </c>
      <c r="R486" s="2" t="inlineStr"/>
    </row>
    <row r="487" ht="15" customHeight="1">
      <c r="A487" t="inlineStr">
        <is>
          <t>A 59739-2025</t>
        </is>
      </c>
      <c r="B487" s="1" t="n">
        <v>45992.57417824074</v>
      </c>
      <c r="C487" s="1" t="n">
        <v>46109</v>
      </c>
      <c r="D487" t="inlineStr">
        <is>
          <t>JÄMTLANDS LÄN</t>
        </is>
      </c>
      <c r="E487" t="inlineStr">
        <is>
          <t>RAGUNDA</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39948-2025</t>
        </is>
      </c>
      <c r="B488" s="1" t="n">
        <v>45892.38591435185</v>
      </c>
      <c r="C488" s="1" t="n">
        <v>46109</v>
      </c>
      <c r="D488" t="inlineStr">
        <is>
          <t>JÄMTLANDS LÄN</t>
        </is>
      </c>
      <c r="E488" t="inlineStr">
        <is>
          <t>RAGUNDA</t>
        </is>
      </c>
      <c r="G488" t="n">
        <v>5</v>
      </c>
      <c r="H488" t="n">
        <v>0</v>
      </c>
      <c r="I488" t="n">
        <v>0</v>
      </c>
      <c r="J488" t="n">
        <v>0</v>
      </c>
      <c r="K488" t="n">
        <v>0</v>
      </c>
      <c r="L488" t="n">
        <v>0</v>
      </c>
      <c r="M488" t="n">
        <v>0</v>
      </c>
      <c r="N488" t="n">
        <v>0</v>
      </c>
      <c r="O488" t="n">
        <v>0</v>
      </c>
      <c r="P488" t="n">
        <v>0</v>
      </c>
      <c r="Q488" t="n">
        <v>0</v>
      </c>
      <c r="R488" s="2" t="inlineStr"/>
    </row>
    <row r="489" ht="15" customHeight="1">
      <c r="A489" t="inlineStr">
        <is>
          <t>A 39947-2025</t>
        </is>
      </c>
      <c r="B489" s="1" t="n">
        <v>45892.34438657408</v>
      </c>
      <c r="C489" s="1" t="n">
        <v>46109</v>
      </c>
      <c r="D489" t="inlineStr">
        <is>
          <t>JÄMTLANDS LÄN</t>
        </is>
      </c>
      <c r="E489" t="inlineStr">
        <is>
          <t>RAGUNDA</t>
        </is>
      </c>
      <c r="G489" t="n">
        <v>6.6</v>
      </c>
      <c r="H489" t="n">
        <v>0</v>
      </c>
      <c r="I489" t="n">
        <v>0</v>
      </c>
      <c r="J489" t="n">
        <v>0</v>
      </c>
      <c r="K489" t="n">
        <v>0</v>
      </c>
      <c r="L489" t="n">
        <v>0</v>
      </c>
      <c r="M489" t="n">
        <v>0</v>
      </c>
      <c r="N489" t="n">
        <v>0</v>
      </c>
      <c r="O489" t="n">
        <v>0</v>
      </c>
      <c r="P489" t="n">
        <v>0</v>
      </c>
      <c r="Q489" t="n">
        <v>0</v>
      </c>
      <c r="R489" s="2" t="inlineStr"/>
    </row>
    <row r="490" ht="15" customHeight="1">
      <c r="A490" t="inlineStr">
        <is>
          <t>A 39951-2025</t>
        </is>
      </c>
      <c r="B490" s="1" t="n">
        <v>45892.38657407407</v>
      </c>
      <c r="C490" s="1" t="n">
        <v>46109</v>
      </c>
      <c r="D490" t="inlineStr">
        <is>
          <t>JÄMTLANDS LÄN</t>
        </is>
      </c>
      <c r="E490" t="inlineStr">
        <is>
          <t>RAGUNDA</t>
        </is>
      </c>
      <c r="G490" t="n">
        <v>2.3</v>
      </c>
      <c r="H490" t="n">
        <v>0</v>
      </c>
      <c r="I490" t="n">
        <v>0</v>
      </c>
      <c r="J490" t="n">
        <v>0</v>
      </c>
      <c r="K490" t="n">
        <v>0</v>
      </c>
      <c r="L490" t="n">
        <v>0</v>
      </c>
      <c r="M490" t="n">
        <v>0</v>
      </c>
      <c r="N490" t="n">
        <v>0</v>
      </c>
      <c r="O490" t="n">
        <v>0</v>
      </c>
      <c r="P490" t="n">
        <v>0</v>
      </c>
      <c r="Q490" t="n">
        <v>0</v>
      </c>
      <c r="R490" s="2" t="inlineStr"/>
    </row>
    <row r="491" ht="15" customHeight="1">
      <c r="A491" t="inlineStr">
        <is>
          <t>A 60130-2025</t>
        </is>
      </c>
      <c r="B491" s="1" t="n">
        <v>45994.34467592592</v>
      </c>
      <c r="C491" s="1" t="n">
        <v>46109</v>
      </c>
      <c r="D491" t="inlineStr">
        <is>
          <t>JÄMTLANDS LÄN</t>
        </is>
      </c>
      <c r="E491" t="inlineStr">
        <is>
          <t>RAGUNDA</t>
        </is>
      </c>
      <c r="G491" t="n">
        <v>4.9</v>
      </c>
      <c r="H491" t="n">
        <v>0</v>
      </c>
      <c r="I491" t="n">
        <v>0</v>
      </c>
      <c r="J491" t="n">
        <v>0</v>
      </c>
      <c r="K491" t="n">
        <v>0</v>
      </c>
      <c r="L491" t="n">
        <v>0</v>
      </c>
      <c r="M491" t="n">
        <v>0</v>
      </c>
      <c r="N491" t="n">
        <v>0</v>
      </c>
      <c r="O491" t="n">
        <v>0</v>
      </c>
      <c r="P491" t="n">
        <v>0</v>
      </c>
      <c r="Q491" t="n">
        <v>0</v>
      </c>
      <c r="R491" s="2" t="inlineStr"/>
    </row>
    <row r="492" ht="15" customHeight="1">
      <c r="A492" t="inlineStr">
        <is>
          <t>A 59931-2025</t>
        </is>
      </c>
      <c r="B492" s="1" t="n">
        <v>45993.40177083333</v>
      </c>
      <c r="C492" s="1" t="n">
        <v>46109</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60062-2025</t>
        </is>
      </c>
      <c r="B493" s="1" t="n">
        <v>45993.65694444445</v>
      </c>
      <c r="C493" s="1" t="n">
        <v>46109</v>
      </c>
      <c r="D493" t="inlineStr">
        <is>
          <t>JÄMTLANDS LÄN</t>
        </is>
      </c>
      <c r="E493" t="inlineStr">
        <is>
          <t>RAGUNDA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39946-2025</t>
        </is>
      </c>
      <c r="B494" s="1" t="n">
        <v>45892.34423611111</v>
      </c>
      <c r="C494" s="1" t="n">
        <v>46109</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39950-2025</t>
        </is>
      </c>
      <c r="B495" s="1" t="n">
        <v>45892.38641203703</v>
      </c>
      <c r="C495" s="1" t="n">
        <v>46109</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39955-2025</t>
        </is>
      </c>
      <c r="B496" s="1" t="n">
        <v>45892.44824074074</v>
      </c>
      <c r="C496" s="1" t="n">
        <v>46109</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39956-2025</t>
        </is>
      </c>
      <c r="B497" s="1" t="n">
        <v>45892.44840277778</v>
      </c>
      <c r="C497" s="1" t="n">
        <v>46109</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23405-2025</t>
        </is>
      </c>
      <c r="B498" s="1" t="n">
        <v>45792.34527777778</v>
      </c>
      <c r="C498" s="1" t="n">
        <v>46109</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60128-2025</t>
        </is>
      </c>
      <c r="B499" s="1" t="n">
        <v>45994.34456018519</v>
      </c>
      <c r="C499" s="1" t="n">
        <v>46109</v>
      </c>
      <c r="D499" t="inlineStr">
        <is>
          <t>JÄMTLANDS LÄN</t>
        </is>
      </c>
      <c r="E499" t="inlineStr">
        <is>
          <t>RAGUNDA</t>
        </is>
      </c>
      <c r="G499" t="n">
        <v>7.1</v>
      </c>
      <c r="H499" t="n">
        <v>0</v>
      </c>
      <c r="I499" t="n">
        <v>0</v>
      </c>
      <c r="J499" t="n">
        <v>0</v>
      </c>
      <c r="K499" t="n">
        <v>0</v>
      </c>
      <c r="L499" t="n">
        <v>0</v>
      </c>
      <c r="M499" t="n">
        <v>0</v>
      </c>
      <c r="N499" t="n">
        <v>0</v>
      </c>
      <c r="O499" t="n">
        <v>0</v>
      </c>
      <c r="P499" t="n">
        <v>0</v>
      </c>
      <c r="Q499" t="n">
        <v>0</v>
      </c>
      <c r="R499" s="2" t="inlineStr"/>
    </row>
    <row r="500" ht="15" customHeight="1">
      <c r="A500" t="inlineStr">
        <is>
          <t>A 40586-2025</t>
        </is>
      </c>
      <c r="B500" s="1" t="n">
        <v>45896.52478009259</v>
      </c>
      <c r="C500" s="1" t="n">
        <v>46109</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60307-2025</t>
        </is>
      </c>
      <c r="B501" s="1" t="n">
        <v>45994.6842824074</v>
      </c>
      <c r="C501" s="1" t="n">
        <v>46109</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50486-2023</t>
        </is>
      </c>
      <c r="B502" s="1" t="n">
        <v>45216.92424768519</v>
      </c>
      <c r="C502" s="1" t="n">
        <v>46109</v>
      </c>
      <c r="D502" t="inlineStr">
        <is>
          <t>JÄMTLANDS LÄN</t>
        </is>
      </c>
      <c r="E502" t="inlineStr">
        <is>
          <t>RAGUNDA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23654-2025</t>
        </is>
      </c>
      <c r="B503" s="1" t="n">
        <v>45792.71905092592</v>
      </c>
      <c r="C503" s="1" t="n">
        <v>46109</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23507-2025</t>
        </is>
      </c>
      <c r="B504" s="1" t="n">
        <v>45792.49023148148</v>
      </c>
      <c r="C504" s="1" t="n">
        <v>46109</v>
      </c>
      <c r="D504" t="inlineStr">
        <is>
          <t>JÄMTLANDS LÄN</t>
        </is>
      </c>
      <c r="E504" t="inlineStr">
        <is>
          <t>RAGUNDA</t>
        </is>
      </c>
      <c r="F504" t="inlineStr">
        <is>
          <t>SCA</t>
        </is>
      </c>
      <c r="G504" t="n">
        <v>16.4</v>
      </c>
      <c r="H504" t="n">
        <v>0</v>
      </c>
      <c r="I504" t="n">
        <v>0</v>
      </c>
      <c r="J504" t="n">
        <v>0</v>
      </c>
      <c r="K504" t="n">
        <v>0</v>
      </c>
      <c r="L504" t="n">
        <v>0</v>
      </c>
      <c r="M504" t="n">
        <v>0</v>
      </c>
      <c r="N504" t="n">
        <v>0</v>
      </c>
      <c r="O504" t="n">
        <v>0</v>
      </c>
      <c r="P504" t="n">
        <v>0</v>
      </c>
      <c r="Q504" t="n">
        <v>0</v>
      </c>
      <c r="R504" s="2" t="inlineStr"/>
    </row>
    <row r="505" ht="15" customHeight="1">
      <c r="A505" t="inlineStr">
        <is>
          <t>A 23586-2025</t>
        </is>
      </c>
      <c r="B505" s="1" t="n">
        <v>45792.63584490741</v>
      </c>
      <c r="C505" s="1" t="n">
        <v>46109</v>
      </c>
      <c r="D505" t="inlineStr">
        <is>
          <t>JÄMTLANDS LÄN</t>
        </is>
      </c>
      <c r="E505" t="inlineStr">
        <is>
          <t>RAGUNDA</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23413-2025</t>
        </is>
      </c>
      <c r="B506" s="1" t="n">
        <v>45792.34606481482</v>
      </c>
      <c r="C506" s="1" t="n">
        <v>46109</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23253-2025</t>
        </is>
      </c>
      <c r="B507" s="1" t="n">
        <v>45791.53238425926</v>
      </c>
      <c r="C507" s="1" t="n">
        <v>46109</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18284-2025</t>
        </is>
      </c>
      <c r="B508" s="1" t="n">
        <v>45762.39876157408</v>
      </c>
      <c r="C508" s="1" t="n">
        <v>46109</v>
      </c>
      <c r="D508" t="inlineStr">
        <is>
          <t>JÄMTLANDS LÄN</t>
        </is>
      </c>
      <c r="E508" t="inlineStr">
        <is>
          <t>RAGUNDA</t>
        </is>
      </c>
      <c r="G508" t="n">
        <v>0.2</v>
      </c>
      <c r="H508" t="n">
        <v>0</v>
      </c>
      <c r="I508" t="n">
        <v>0</v>
      </c>
      <c r="J508" t="n">
        <v>0</v>
      </c>
      <c r="K508" t="n">
        <v>0</v>
      </c>
      <c r="L508" t="n">
        <v>0</v>
      </c>
      <c r="M508" t="n">
        <v>0</v>
      </c>
      <c r="N508" t="n">
        <v>0</v>
      </c>
      <c r="O508" t="n">
        <v>0</v>
      </c>
      <c r="P508" t="n">
        <v>0</v>
      </c>
      <c r="Q508" t="n">
        <v>0</v>
      </c>
      <c r="R508" s="2" t="inlineStr"/>
      <c r="U508">
        <f>HYPERLINK("https://klasma.github.io/Logging_2303/knärot/A 18284-2025 karta knärot.png", "A 18284-2025")</f>
        <v/>
      </c>
      <c r="V508">
        <f>HYPERLINK("https://klasma.github.io/Logging_2303/klagomål/A 18284-2025 FSC-klagomål.docx", "A 18284-2025")</f>
        <v/>
      </c>
      <c r="W508">
        <f>HYPERLINK("https://klasma.github.io/Logging_2303/klagomålsmail/A 18284-2025 FSC-klagomål mail.docx", "A 18284-2025")</f>
        <v/>
      </c>
      <c r="X508">
        <f>HYPERLINK("https://klasma.github.io/Logging_2303/tillsyn/A 18284-2025 tillsynsbegäran.docx", "A 18284-2025")</f>
        <v/>
      </c>
      <c r="Y508">
        <f>HYPERLINK("https://klasma.github.io/Logging_2303/tillsynsmail/A 18284-2025 tillsynsbegäran mail.docx", "A 18284-2025")</f>
        <v/>
      </c>
    </row>
    <row r="509" ht="15" customHeight="1">
      <c r="A509" t="inlineStr">
        <is>
          <t>A 19263-2025</t>
        </is>
      </c>
      <c r="B509" s="1" t="n">
        <v>45769.51075231482</v>
      </c>
      <c r="C509" s="1" t="n">
        <v>46109</v>
      </c>
      <c r="D509" t="inlineStr">
        <is>
          <t>JÄMTLANDS LÄN</t>
        </is>
      </c>
      <c r="E509" t="inlineStr">
        <is>
          <t>RAGUNDA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23840-2025</t>
        </is>
      </c>
      <c r="B510" s="1" t="n">
        <v>45793</v>
      </c>
      <c r="C510" s="1" t="n">
        <v>46109</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9084-2023</t>
        </is>
      </c>
      <c r="B511" s="1" t="n">
        <v>44979</v>
      </c>
      <c r="C511" s="1" t="n">
        <v>46109</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60389-2025</t>
        </is>
      </c>
      <c r="B512" s="1" t="n">
        <v>45995.38628472222</v>
      </c>
      <c r="C512" s="1" t="n">
        <v>46109</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60387-2025</t>
        </is>
      </c>
      <c r="B513" s="1" t="n">
        <v>45995.38611111111</v>
      </c>
      <c r="C513" s="1" t="n">
        <v>46109</v>
      </c>
      <c r="D513" t="inlineStr">
        <is>
          <t>JÄMTLANDS LÄN</t>
        </is>
      </c>
      <c r="E513" t="inlineStr">
        <is>
          <t>RAGUNDA</t>
        </is>
      </c>
      <c r="G513" t="n">
        <v>8.5</v>
      </c>
      <c r="H513" t="n">
        <v>0</v>
      </c>
      <c r="I513" t="n">
        <v>0</v>
      </c>
      <c r="J513" t="n">
        <v>0</v>
      </c>
      <c r="K513" t="n">
        <v>0</v>
      </c>
      <c r="L513" t="n">
        <v>0</v>
      </c>
      <c r="M513" t="n">
        <v>0</v>
      </c>
      <c r="N513" t="n">
        <v>0</v>
      </c>
      <c r="O513" t="n">
        <v>0</v>
      </c>
      <c r="P513" t="n">
        <v>0</v>
      </c>
      <c r="Q513" t="n">
        <v>0</v>
      </c>
      <c r="R513" s="2" t="inlineStr"/>
    </row>
    <row r="514" ht="15" customHeight="1">
      <c r="A514" t="inlineStr">
        <is>
          <t>A 24158-2025</t>
        </is>
      </c>
      <c r="B514" s="1" t="n">
        <v>45796</v>
      </c>
      <c r="C514" s="1" t="n">
        <v>46109</v>
      </c>
      <c r="D514" t="inlineStr">
        <is>
          <t>JÄMTLANDS LÄN</t>
        </is>
      </c>
      <c r="E514" t="inlineStr">
        <is>
          <t>RAGUNDA</t>
        </is>
      </c>
      <c r="G514" t="n">
        <v>2.9</v>
      </c>
      <c r="H514" t="n">
        <v>0</v>
      </c>
      <c r="I514" t="n">
        <v>0</v>
      </c>
      <c r="J514" t="n">
        <v>0</v>
      </c>
      <c r="K514" t="n">
        <v>0</v>
      </c>
      <c r="L514" t="n">
        <v>0</v>
      </c>
      <c r="M514" t="n">
        <v>0</v>
      </c>
      <c r="N514" t="n">
        <v>0</v>
      </c>
      <c r="O514" t="n">
        <v>0</v>
      </c>
      <c r="P514" t="n">
        <v>0</v>
      </c>
      <c r="Q514" t="n">
        <v>0</v>
      </c>
      <c r="R514" s="2" t="inlineStr"/>
      <c r="U514">
        <f>HYPERLINK("https://klasma.github.io/Logging_2303/knärot/A 24158-2025 karta knärot.png", "A 24158-2025")</f>
        <v/>
      </c>
      <c r="V514">
        <f>HYPERLINK("https://klasma.github.io/Logging_2303/klagomål/A 24158-2025 FSC-klagomål.docx", "A 24158-2025")</f>
        <v/>
      </c>
      <c r="W514">
        <f>HYPERLINK("https://klasma.github.io/Logging_2303/klagomålsmail/A 24158-2025 FSC-klagomål mail.docx", "A 24158-2025")</f>
        <v/>
      </c>
      <c r="X514">
        <f>HYPERLINK("https://klasma.github.io/Logging_2303/tillsyn/A 24158-2025 tillsynsbegäran.docx", "A 24158-2025")</f>
        <v/>
      </c>
      <c r="Y514">
        <f>HYPERLINK("https://klasma.github.io/Logging_2303/tillsynsmail/A 24158-2025 tillsynsbegäran mail.docx", "A 24158-2025")</f>
        <v/>
      </c>
    </row>
    <row r="515" ht="15" customHeight="1">
      <c r="A515" t="inlineStr">
        <is>
          <t>A 24161-2025</t>
        </is>
      </c>
      <c r="B515" s="1" t="n">
        <v>45796</v>
      </c>
      <c r="C515" s="1" t="n">
        <v>46109</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23841-2025</t>
        </is>
      </c>
      <c r="B516" s="1" t="n">
        <v>45793.61523148148</v>
      </c>
      <c r="C516" s="1" t="n">
        <v>46109</v>
      </c>
      <c r="D516" t="inlineStr">
        <is>
          <t>JÄMTLANDS LÄN</t>
        </is>
      </c>
      <c r="E516" t="inlineStr">
        <is>
          <t>RAGUNDA</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9360-2023</t>
        </is>
      </c>
      <c r="B517" s="1" t="n">
        <v>44980.93865740741</v>
      </c>
      <c r="C517" s="1" t="n">
        <v>46109</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66706-2021</t>
        </is>
      </c>
      <c r="B518" s="1" t="n">
        <v>44519.94440972222</v>
      </c>
      <c r="C518" s="1" t="n">
        <v>46109</v>
      </c>
      <c r="D518" t="inlineStr">
        <is>
          <t>JÄMTLANDS LÄN</t>
        </is>
      </c>
      <c r="E518" t="inlineStr">
        <is>
          <t>RAGUNDA</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24159-2025</t>
        </is>
      </c>
      <c r="B519" s="1" t="n">
        <v>45796</v>
      </c>
      <c r="C519" s="1" t="n">
        <v>46109</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21524-2024</t>
        </is>
      </c>
      <c r="B520" s="1" t="n">
        <v>45441</v>
      </c>
      <c r="C520" s="1" t="n">
        <v>46109</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62407-2023</t>
        </is>
      </c>
      <c r="B521" s="1" t="n">
        <v>45266</v>
      </c>
      <c r="C521" s="1" t="n">
        <v>46109</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38191-2024</t>
        </is>
      </c>
      <c r="B522" s="1" t="n">
        <v>45545.49078703704</v>
      </c>
      <c r="C522" s="1" t="n">
        <v>46109</v>
      </c>
      <c r="D522" t="inlineStr">
        <is>
          <t>JÄMTLANDS LÄN</t>
        </is>
      </c>
      <c r="E522" t="inlineStr">
        <is>
          <t>RAGUNDA</t>
        </is>
      </c>
      <c r="G522" t="n">
        <v>1.6</v>
      </c>
      <c r="H522" t="n">
        <v>0</v>
      </c>
      <c r="I522" t="n">
        <v>0</v>
      </c>
      <c r="J522" t="n">
        <v>0</v>
      </c>
      <c r="K522" t="n">
        <v>0</v>
      </c>
      <c r="L522" t="n">
        <v>0</v>
      </c>
      <c r="M522" t="n">
        <v>0</v>
      </c>
      <c r="N522" t="n">
        <v>0</v>
      </c>
      <c r="O522" t="n">
        <v>0</v>
      </c>
      <c r="P522" t="n">
        <v>0</v>
      </c>
      <c r="Q522" t="n">
        <v>0</v>
      </c>
      <c r="R522" s="2" t="inlineStr"/>
    </row>
    <row r="523" ht="15" customHeight="1">
      <c r="A523" t="inlineStr">
        <is>
          <t>A 24391-2025</t>
        </is>
      </c>
      <c r="B523" s="1" t="n">
        <v>45797.63627314815</v>
      </c>
      <c r="C523" s="1" t="n">
        <v>46109</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25376-2025</t>
        </is>
      </c>
      <c r="B524" s="1" t="n">
        <v>45800.63619212963</v>
      </c>
      <c r="C524" s="1" t="n">
        <v>46109</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60630-2025</t>
        </is>
      </c>
      <c r="B525" s="1" t="n">
        <v>45996.42120370371</v>
      </c>
      <c r="C525" s="1" t="n">
        <v>46109</v>
      </c>
      <c r="D525" t="inlineStr">
        <is>
          <t>JÄMTLANDS LÄN</t>
        </is>
      </c>
      <c r="E525" t="inlineStr">
        <is>
          <t>RAGUNDA</t>
        </is>
      </c>
      <c r="G525" t="n">
        <v>13.2</v>
      </c>
      <c r="H525" t="n">
        <v>0</v>
      </c>
      <c r="I525" t="n">
        <v>0</v>
      </c>
      <c r="J525" t="n">
        <v>0</v>
      </c>
      <c r="K525" t="n">
        <v>0</v>
      </c>
      <c r="L525" t="n">
        <v>0</v>
      </c>
      <c r="M525" t="n">
        <v>0</v>
      </c>
      <c r="N525" t="n">
        <v>0</v>
      </c>
      <c r="O525" t="n">
        <v>0</v>
      </c>
      <c r="P525" t="n">
        <v>0</v>
      </c>
      <c r="Q525" t="n">
        <v>0</v>
      </c>
      <c r="R525" s="2" t="inlineStr"/>
    </row>
    <row r="526" ht="15" customHeight="1">
      <c r="A526" t="inlineStr">
        <is>
          <t>A 41161-2025</t>
        </is>
      </c>
      <c r="B526" s="1" t="n">
        <v>45898.53193287037</v>
      </c>
      <c r="C526" s="1" t="n">
        <v>46109</v>
      </c>
      <c r="D526" t="inlineStr">
        <is>
          <t>JÄMTLANDS LÄN</t>
        </is>
      </c>
      <c r="E526" t="inlineStr">
        <is>
          <t>RAGUNDA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32259-2024</t>
        </is>
      </c>
      <c r="B527" s="1" t="n">
        <v>45511</v>
      </c>
      <c r="C527" s="1" t="n">
        <v>46109</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25350-2025</t>
        </is>
      </c>
      <c r="B528" s="1" t="n">
        <v>45800</v>
      </c>
      <c r="C528" s="1" t="n">
        <v>46109</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25152-2025</t>
        </is>
      </c>
      <c r="B529" s="1" t="n">
        <v>45800.42743055556</v>
      </c>
      <c r="C529" s="1" t="n">
        <v>46109</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25175-2025</t>
        </is>
      </c>
      <c r="B530" s="1" t="n">
        <v>45800.44822916666</v>
      </c>
      <c r="C530" s="1" t="n">
        <v>46109</v>
      </c>
      <c r="D530" t="inlineStr">
        <is>
          <t>JÄMTLANDS LÄN</t>
        </is>
      </c>
      <c r="E530" t="inlineStr">
        <is>
          <t>RAGUNDA</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25177-2025</t>
        </is>
      </c>
      <c r="B531" s="1" t="n">
        <v>45800.44862268519</v>
      </c>
      <c r="C531" s="1" t="n">
        <v>46109</v>
      </c>
      <c r="D531" t="inlineStr">
        <is>
          <t>JÄMTLANDS LÄN</t>
        </is>
      </c>
      <c r="E531" t="inlineStr">
        <is>
          <t>RAGUNDA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18778-2024</t>
        </is>
      </c>
      <c r="B532" s="1" t="n">
        <v>45426</v>
      </c>
      <c r="C532" s="1" t="n">
        <v>46109</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18781-2024</t>
        </is>
      </c>
      <c r="B533" s="1" t="n">
        <v>45426</v>
      </c>
      <c r="C533" s="1" t="n">
        <v>46109</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17248-2023</t>
        </is>
      </c>
      <c r="B534" s="1" t="n">
        <v>45033</v>
      </c>
      <c r="C534" s="1" t="n">
        <v>46109</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46109</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61233-2025</t>
        </is>
      </c>
      <c r="B536" s="1" t="n">
        <v>46000.6359837963</v>
      </c>
      <c r="C536" s="1" t="n">
        <v>46109</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61266-2025</t>
        </is>
      </c>
      <c r="B537" s="1" t="n">
        <v>46000.67784722222</v>
      </c>
      <c r="C537" s="1" t="n">
        <v>46109</v>
      </c>
      <c r="D537" t="inlineStr">
        <is>
          <t>JÄMTLANDS LÄN</t>
        </is>
      </c>
      <c r="E537" t="inlineStr">
        <is>
          <t>RAGUNDA</t>
        </is>
      </c>
      <c r="G537" t="n">
        <v>7.9</v>
      </c>
      <c r="H537" t="n">
        <v>0</v>
      </c>
      <c r="I537" t="n">
        <v>0</v>
      </c>
      <c r="J537" t="n">
        <v>0</v>
      </c>
      <c r="K537" t="n">
        <v>0</v>
      </c>
      <c r="L537" t="n">
        <v>0</v>
      </c>
      <c r="M537" t="n">
        <v>0</v>
      </c>
      <c r="N537" t="n">
        <v>0</v>
      </c>
      <c r="O537" t="n">
        <v>0</v>
      </c>
      <c r="P537" t="n">
        <v>0</v>
      </c>
      <c r="Q537" t="n">
        <v>0</v>
      </c>
      <c r="R537" s="2" t="inlineStr"/>
    </row>
    <row r="538" ht="15" customHeight="1">
      <c r="A538" t="inlineStr">
        <is>
          <t>A 25631-2025</t>
        </is>
      </c>
      <c r="B538" s="1" t="n">
        <v>45803.5946875</v>
      </c>
      <c r="C538" s="1" t="n">
        <v>46109</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25659-2025</t>
        </is>
      </c>
      <c r="B539" s="1" t="n">
        <v>45803.61552083334</v>
      </c>
      <c r="C539" s="1" t="n">
        <v>46109</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25661-2025</t>
        </is>
      </c>
      <c r="B540" s="1" t="n">
        <v>45803.61557870371</v>
      </c>
      <c r="C540" s="1" t="n">
        <v>46109</v>
      </c>
      <c r="D540" t="inlineStr">
        <is>
          <t>JÄMTLANDS LÄN</t>
        </is>
      </c>
      <c r="E540" t="inlineStr">
        <is>
          <t>RAGUNDA</t>
        </is>
      </c>
      <c r="G540" t="n">
        <v>1.4</v>
      </c>
      <c r="H540" t="n">
        <v>0</v>
      </c>
      <c r="I540" t="n">
        <v>0</v>
      </c>
      <c r="J540" t="n">
        <v>0</v>
      </c>
      <c r="K540" t="n">
        <v>0</v>
      </c>
      <c r="L540" t="n">
        <v>0</v>
      </c>
      <c r="M540" t="n">
        <v>0</v>
      </c>
      <c r="N540" t="n">
        <v>0</v>
      </c>
      <c r="O540" t="n">
        <v>0</v>
      </c>
      <c r="P540" t="n">
        <v>0</v>
      </c>
      <c r="Q540" t="n">
        <v>0</v>
      </c>
      <c r="R540" s="2" t="inlineStr"/>
    </row>
    <row r="541" ht="15" customHeight="1">
      <c r="A541" t="inlineStr">
        <is>
          <t>A 25944-2025</t>
        </is>
      </c>
      <c r="B541" s="1" t="n">
        <v>45804.59487268519</v>
      </c>
      <c r="C541" s="1" t="n">
        <v>46109</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25814-2025</t>
        </is>
      </c>
      <c r="B542" s="1" t="n">
        <v>45804.42642361111</v>
      </c>
      <c r="C542" s="1" t="n">
        <v>46109</v>
      </c>
      <c r="D542" t="inlineStr">
        <is>
          <t>JÄMTLANDS LÄN</t>
        </is>
      </c>
      <c r="E542" t="inlineStr">
        <is>
          <t>RAGUNDA</t>
        </is>
      </c>
      <c r="G542" t="n">
        <v>0.8</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46109</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53263-2024</t>
        </is>
      </c>
      <c r="B544" s="1" t="n">
        <v>45614.34541666666</v>
      </c>
      <c r="C544" s="1" t="n">
        <v>46109</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58630-2024</t>
        </is>
      </c>
      <c r="B545" s="1" t="n">
        <v>45635.57331018519</v>
      </c>
      <c r="C545" s="1" t="n">
        <v>46109</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41233-2025</t>
        </is>
      </c>
      <c r="B546" s="1" t="n">
        <v>45898.59295138889</v>
      </c>
      <c r="C546" s="1" t="n">
        <v>46109</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41262-2025</t>
        </is>
      </c>
      <c r="B547" s="1" t="n">
        <v>45898.61502314815</v>
      </c>
      <c r="C547" s="1" t="n">
        <v>46109</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14896-2022</t>
        </is>
      </c>
      <c r="B548" s="1" t="n">
        <v>44656</v>
      </c>
      <c r="C548" s="1" t="n">
        <v>46109</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11551-2024</t>
        </is>
      </c>
      <c r="B549" s="1" t="n">
        <v>45372.95762731481</v>
      </c>
      <c r="C549" s="1" t="n">
        <v>46109</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60760-2025</t>
        </is>
      </c>
      <c r="B550" s="1" t="n">
        <v>45999.38597222222</v>
      </c>
      <c r="C550" s="1" t="n">
        <v>46109</v>
      </c>
      <c r="D550" t="inlineStr">
        <is>
          <t>JÄMTLANDS LÄN</t>
        </is>
      </c>
      <c r="E550" t="inlineStr">
        <is>
          <t>RAGUNDA</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46109</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57839-2022</t>
        </is>
      </c>
      <c r="B552" s="1" t="n">
        <v>44897</v>
      </c>
      <c r="C552" s="1" t="n">
        <v>46109</v>
      </c>
      <c r="D552" t="inlineStr">
        <is>
          <t>JÄMTLANDS LÄN</t>
        </is>
      </c>
      <c r="E552" t="inlineStr">
        <is>
          <t>RAGUNDA</t>
        </is>
      </c>
      <c r="F552" t="inlineStr">
        <is>
          <t>SCA</t>
        </is>
      </c>
      <c r="G552" t="n">
        <v>8.5</v>
      </c>
      <c r="H552" t="n">
        <v>0</v>
      </c>
      <c r="I552" t="n">
        <v>0</v>
      </c>
      <c r="J552" t="n">
        <v>0</v>
      </c>
      <c r="K552" t="n">
        <v>0</v>
      </c>
      <c r="L552" t="n">
        <v>0</v>
      </c>
      <c r="M552" t="n">
        <v>0</v>
      </c>
      <c r="N552" t="n">
        <v>0</v>
      </c>
      <c r="O552" t="n">
        <v>0</v>
      </c>
      <c r="P552" t="n">
        <v>0</v>
      </c>
      <c r="Q552" t="n">
        <v>0</v>
      </c>
      <c r="R552" s="2" t="inlineStr"/>
    </row>
    <row r="553" ht="15" customHeight="1">
      <c r="A553" t="inlineStr">
        <is>
          <t>A 61697-2025</t>
        </is>
      </c>
      <c r="B553" s="1" t="n">
        <v>46002</v>
      </c>
      <c r="C553" s="1" t="n">
        <v>46109</v>
      </c>
      <c r="D553" t="inlineStr">
        <is>
          <t>JÄMTLANDS LÄN</t>
        </is>
      </c>
      <c r="E553" t="inlineStr">
        <is>
          <t>RAGUNDA</t>
        </is>
      </c>
      <c r="G553" t="n">
        <v>1.3</v>
      </c>
      <c r="H553" t="n">
        <v>0</v>
      </c>
      <c r="I553" t="n">
        <v>0</v>
      </c>
      <c r="J553" t="n">
        <v>0</v>
      </c>
      <c r="K553" t="n">
        <v>0</v>
      </c>
      <c r="L553" t="n">
        <v>0</v>
      </c>
      <c r="M553" t="n">
        <v>0</v>
      </c>
      <c r="N553" t="n">
        <v>0</v>
      </c>
      <c r="O553" t="n">
        <v>0</v>
      </c>
      <c r="P553" t="n">
        <v>0</v>
      </c>
      <c r="Q553" t="n">
        <v>0</v>
      </c>
      <c r="R553" s="2" t="inlineStr"/>
    </row>
    <row r="554" ht="15" customHeight="1">
      <c r="A554" t="inlineStr">
        <is>
          <t>A 41423-2025</t>
        </is>
      </c>
      <c r="B554" s="1" t="n">
        <v>45901.38578703703</v>
      </c>
      <c r="C554" s="1" t="n">
        <v>46109</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60663-2022</t>
        </is>
      </c>
      <c r="B555" s="1" t="n">
        <v>44911.93846064815</v>
      </c>
      <c r="C555" s="1" t="n">
        <v>46109</v>
      </c>
      <c r="D555" t="inlineStr">
        <is>
          <t>JÄMTLANDS LÄN</t>
        </is>
      </c>
      <c r="E555" t="inlineStr">
        <is>
          <t>RAGUNDA</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41656-2025</t>
        </is>
      </c>
      <c r="B556" s="1" t="n">
        <v>45902.34423611111</v>
      </c>
      <c r="C556" s="1" t="n">
        <v>46109</v>
      </c>
      <c r="D556" t="inlineStr">
        <is>
          <t>JÄMTLANDS LÄN</t>
        </is>
      </c>
      <c r="E556" t="inlineStr">
        <is>
          <t>RAGUNDA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41424-2025</t>
        </is>
      </c>
      <c r="B557" s="1" t="n">
        <v>45901.38584490741</v>
      </c>
      <c r="C557" s="1" t="n">
        <v>46109</v>
      </c>
      <c r="D557" t="inlineStr">
        <is>
          <t>JÄMTLANDS LÄN</t>
        </is>
      </c>
      <c r="E557" t="inlineStr">
        <is>
          <t>RAGUNDA</t>
        </is>
      </c>
      <c r="G557" t="n">
        <v>3</v>
      </c>
      <c r="H557" t="n">
        <v>0</v>
      </c>
      <c r="I557" t="n">
        <v>0</v>
      </c>
      <c r="J557" t="n">
        <v>0</v>
      </c>
      <c r="K557" t="n">
        <v>0</v>
      </c>
      <c r="L557" t="n">
        <v>0</v>
      </c>
      <c r="M557" t="n">
        <v>0</v>
      </c>
      <c r="N557" t="n">
        <v>0</v>
      </c>
      <c r="O557" t="n">
        <v>0</v>
      </c>
      <c r="P557" t="n">
        <v>0</v>
      </c>
      <c r="Q557" t="n">
        <v>0</v>
      </c>
      <c r="R557" s="2" t="inlineStr"/>
    </row>
    <row r="558" ht="15" customHeight="1">
      <c r="A558" t="inlineStr">
        <is>
          <t>A 3841-2026</t>
        </is>
      </c>
      <c r="B558" s="1" t="n">
        <v>46043</v>
      </c>
      <c r="C558" s="1" t="n">
        <v>46109</v>
      </c>
      <c r="D558" t="inlineStr">
        <is>
          <t>JÄMTLANDS LÄN</t>
        </is>
      </c>
      <c r="E558" t="inlineStr">
        <is>
          <t>RAGUNDA</t>
        </is>
      </c>
      <c r="F558" t="inlineStr">
        <is>
          <t>Kommuner</t>
        </is>
      </c>
      <c r="G558" t="n">
        <v>0.6</v>
      </c>
      <c r="H558" t="n">
        <v>0</v>
      </c>
      <c r="I558" t="n">
        <v>0</v>
      </c>
      <c r="J558" t="n">
        <v>0</v>
      </c>
      <c r="K558" t="n">
        <v>0</v>
      </c>
      <c r="L558" t="n">
        <v>0</v>
      </c>
      <c r="M558" t="n">
        <v>0</v>
      </c>
      <c r="N558" t="n">
        <v>0</v>
      </c>
      <c r="O558" t="n">
        <v>0</v>
      </c>
      <c r="P558" t="n">
        <v>0</v>
      </c>
      <c r="Q558" t="n">
        <v>0</v>
      </c>
      <c r="R558" s="2" t="inlineStr"/>
    </row>
    <row r="559" ht="15" customHeight="1">
      <c r="A559" t="inlineStr">
        <is>
          <t>A 61509-2025</t>
        </is>
      </c>
      <c r="B559" s="1" t="n">
        <v>46001.68189814815</v>
      </c>
      <c r="C559" s="1" t="n">
        <v>46109</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61755-2025</t>
        </is>
      </c>
      <c r="B560" s="1" t="n">
        <v>46002</v>
      </c>
      <c r="C560" s="1" t="n">
        <v>46109</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59496-2024</t>
        </is>
      </c>
      <c r="B561" s="1" t="n">
        <v>45638</v>
      </c>
      <c r="C561" s="1" t="n">
        <v>46109</v>
      </c>
      <c r="D561" t="inlineStr">
        <is>
          <t>JÄMTLANDS LÄN</t>
        </is>
      </c>
      <c r="E561" t="inlineStr">
        <is>
          <t>RAGUNDA</t>
        </is>
      </c>
      <c r="G561" t="n">
        <v>13.1</v>
      </c>
      <c r="H561" t="n">
        <v>0</v>
      </c>
      <c r="I561" t="n">
        <v>0</v>
      </c>
      <c r="J561" t="n">
        <v>0</v>
      </c>
      <c r="K561" t="n">
        <v>0</v>
      </c>
      <c r="L561" t="n">
        <v>0</v>
      </c>
      <c r="M561" t="n">
        <v>0</v>
      </c>
      <c r="N561" t="n">
        <v>0</v>
      </c>
      <c r="O561" t="n">
        <v>0</v>
      </c>
      <c r="P561" t="n">
        <v>0</v>
      </c>
      <c r="Q561" t="n">
        <v>0</v>
      </c>
      <c r="R561" s="2" t="inlineStr"/>
    </row>
    <row r="562" ht="15" customHeight="1">
      <c r="A562" t="inlineStr">
        <is>
          <t>A 37265-2024</t>
        </is>
      </c>
      <c r="B562" s="1" t="n">
        <v>45540.38564814815</v>
      </c>
      <c r="C562" s="1" t="n">
        <v>46109</v>
      </c>
      <c r="D562" t="inlineStr">
        <is>
          <t>JÄMTLANDS LÄN</t>
        </is>
      </c>
      <c r="E562" t="inlineStr">
        <is>
          <t>RAGUNDA</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18612-2024</t>
        </is>
      </c>
      <c r="B563" s="1" t="n">
        <v>45425.96239583333</v>
      </c>
      <c r="C563" s="1" t="n">
        <v>46109</v>
      </c>
      <c r="D563" t="inlineStr">
        <is>
          <t>JÄMTLANDS LÄN</t>
        </is>
      </c>
      <c r="E563" t="inlineStr">
        <is>
          <t>RAGUNDA</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48249-2024</t>
        </is>
      </c>
      <c r="B564" s="1" t="n">
        <v>45590.40675925926</v>
      </c>
      <c r="C564" s="1" t="n">
        <v>46109</v>
      </c>
      <c r="D564" t="inlineStr">
        <is>
          <t>JÄMTLANDS LÄN</t>
        </is>
      </c>
      <c r="E564" t="inlineStr">
        <is>
          <t>RAGUNDA</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41876-2025</t>
        </is>
      </c>
      <c r="B565" s="1" t="n">
        <v>45903.34555555556</v>
      </c>
      <c r="C565" s="1" t="n">
        <v>46109</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61934-2022</t>
        </is>
      </c>
      <c r="B566" s="1" t="n">
        <v>44917</v>
      </c>
      <c r="C566" s="1" t="n">
        <v>46109</v>
      </c>
      <c r="D566" t="inlineStr">
        <is>
          <t>JÄMTLANDS LÄN</t>
        </is>
      </c>
      <c r="E566" t="inlineStr">
        <is>
          <t>RAGUNDA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11558-2023</t>
        </is>
      </c>
      <c r="B567" s="1" t="n">
        <v>44993.94958333333</v>
      </c>
      <c r="C567" s="1" t="n">
        <v>46109</v>
      </c>
      <c r="D567" t="inlineStr">
        <is>
          <t>JÄMTLANDS LÄN</t>
        </is>
      </c>
      <c r="E567" t="inlineStr">
        <is>
          <t>RAGUNDA</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42269-2025</t>
        </is>
      </c>
      <c r="B568" s="1" t="n">
        <v>45904.60431712963</v>
      </c>
      <c r="C568" s="1" t="n">
        <v>46109</v>
      </c>
      <c r="D568" t="inlineStr">
        <is>
          <t>JÄMTLANDS LÄN</t>
        </is>
      </c>
      <c r="E568" t="inlineStr">
        <is>
          <t>RAGUNDA</t>
        </is>
      </c>
      <c r="G568" t="n">
        <v>4.3</v>
      </c>
      <c r="H568" t="n">
        <v>0</v>
      </c>
      <c r="I568" t="n">
        <v>0</v>
      </c>
      <c r="J568" t="n">
        <v>0</v>
      </c>
      <c r="K568" t="n">
        <v>0</v>
      </c>
      <c r="L568" t="n">
        <v>0</v>
      </c>
      <c r="M568" t="n">
        <v>0</v>
      </c>
      <c r="N568" t="n">
        <v>0</v>
      </c>
      <c r="O568" t="n">
        <v>0</v>
      </c>
      <c r="P568" t="n">
        <v>0</v>
      </c>
      <c r="Q568" t="n">
        <v>0</v>
      </c>
      <c r="R568" s="2" t="inlineStr"/>
    </row>
    <row r="569" ht="15" customHeight="1">
      <c r="A569" t="inlineStr">
        <is>
          <t>A 49648-2023</t>
        </is>
      </c>
      <c r="B569" s="1" t="n">
        <v>45211.95061342593</v>
      </c>
      <c r="C569" s="1" t="n">
        <v>46109</v>
      </c>
      <c r="D569" t="inlineStr">
        <is>
          <t>JÄMTLANDS LÄN</t>
        </is>
      </c>
      <c r="E569" t="inlineStr">
        <is>
          <t>RAGUNDA</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33763-2025</t>
        </is>
      </c>
      <c r="B570" s="1" t="n">
        <v>45842.38579861111</v>
      </c>
      <c r="C570" s="1" t="n">
        <v>46109</v>
      </c>
      <c r="D570" t="inlineStr">
        <is>
          <t>JÄMTLANDS LÄN</t>
        </is>
      </c>
      <c r="E570" t="inlineStr">
        <is>
          <t>RAGUNDA</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19613-2023</t>
        </is>
      </c>
      <c r="B571" s="1" t="n">
        <v>45050.94020833333</v>
      </c>
      <c r="C571" s="1" t="n">
        <v>46109</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58194-2022</t>
        </is>
      </c>
      <c r="B572" s="1" t="n">
        <v>44900</v>
      </c>
      <c r="C572" s="1" t="n">
        <v>46109</v>
      </c>
      <c r="D572" t="inlineStr">
        <is>
          <t>JÄMTLANDS LÄN</t>
        </is>
      </c>
      <c r="E572" t="inlineStr">
        <is>
          <t>RAGUNDA</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42875-2024</t>
        </is>
      </c>
      <c r="B573" s="1" t="n">
        <v>45566.68125</v>
      </c>
      <c r="C573" s="1" t="n">
        <v>46109</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62819-2025</t>
        </is>
      </c>
      <c r="B574" s="1" t="n">
        <v>46008</v>
      </c>
      <c r="C574" s="1" t="n">
        <v>46109</v>
      </c>
      <c r="D574" t="inlineStr">
        <is>
          <t>JÄMTLANDS LÄN</t>
        </is>
      </c>
      <c r="E574" t="inlineStr">
        <is>
          <t>RAGUNDA</t>
        </is>
      </c>
      <c r="G574" t="n">
        <v>3.5</v>
      </c>
      <c r="H574" t="n">
        <v>0</v>
      </c>
      <c r="I574" t="n">
        <v>0</v>
      </c>
      <c r="J574" t="n">
        <v>0</v>
      </c>
      <c r="K574" t="n">
        <v>0</v>
      </c>
      <c r="L574" t="n">
        <v>0</v>
      </c>
      <c r="M574" t="n">
        <v>0</v>
      </c>
      <c r="N574" t="n">
        <v>0</v>
      </c>
      <c r="O574" t="n">
        <v>0</v>
      </c>
      <c r="P574" t="n">
        <v>0</v>
      </c>
      <c r="Q574" t="n">
        <v>0</v>
      </c>
      <c r="R574" s="2" t="inlineStr"/>
    </row>
    <row r="575" ht="15" customHeight="1">
      <c r="A575" t="inlineStr">
        <is>
          <t>A 15864-2024</t>
        </is>
      </c>
      <c r="B575" s="1" t="n">
        <v>45404.99792824074</v>
      </c>
      <c r="C575" s="1" t="n">
        <v>46109</v>
      </c>
      <c r="D575" t="inlineStr">
        <is>
          <t>JÄMTLANDS LÄN</t>
        </is>
      </c>
      <c r="E575" t="inlineStr">
        <is>
          <t>RAGUNDA</t>
        </is>
      </c>
      <c r="F575" t="inlineStr">
        <is>
          <t>SCA</t>
        </is>
      </c>
      <c r="G575" t="n">
        <v>1.1</v>
      </c>
      <c r="H575" t="n">
        <v>0</v>
      </c>
      <c r="I575" t="n">
        <v>0</v>
      </c>
      <c r="J575" t="n">
        <v>0</v>
      </c>
      <c r="K575" t="n">
        <v>0</v>
      </c>
      <c r="L575" t="n">
        <v>0</v>
      </c>
      <c r="M575" t="n">
        <v>0</v>
      </c>
      <c r="N575" t="n">
        <v>0</v>
      </c>
      <c r="O575" t="n">
        <v>0</v>
      </c>
      <c r="P575" t="n">
        <v>0</v>
      </c>
      <c r="Q575" t="n">
        <v>0</v>
      </c>
      <c r="R575" s="2" t="inlineStr"/>
      <c r="U575">
        <f>HYPERLINK("https://klasma.github.io/Logging_2303/knärot/A 15864-2024 karta knärot.png", "A 15864-2024")</f>
        <v/>
      </c>
      <c r="V575">
        <f>HYPERLINK("https://klasma.github.io/Logging_2303/klagomål/A 15864-2024 FSC-klagomål.docx", "A 15864-2024")</f>
        <v/>
      </c>
      <c r="W575">
        <f>HYPERLINK("https://klasma.github.io/Logging_2303/klagomålsmail/A 15864-2024 FSC-klagomål mail.docx", "A 15864-2024")</f>
        <v/>
      </c>
      <c r="X575">
        <f>HYPERLINK("https://klasma.github.io/Logging_2303/tillsyn/A 15864-2024 tillsynsbegäran.docx", "A 15864-2024")</f>
        <v/>
      </c>
      <c r="Y575">
        <f>HYPERLINK("https://klasma.github.io/Logging_2303/tillsynsmail/A 15864-2024 tillsynsbegäran mail.docx", "A 15864-2024")</f>
        <v/>
      </c>
    </row>
    <row r="576" ht="15" customHeight="1">
      <c r="A576" t="inlineStr">
        <is>
          <t>A 62490-2025</t>
        </is>
      </c>
      <c r="B576" s="1" t="n">
        <v>46007.5697337963</v>
      </c>
      <c r="C576" s="1" t="n">
        <v>46109</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25994-2025</t>
        </is>
      </c>
      <c r="B577" s="1" t="n">
        <v>45804.65672453704</v>
      </c>
      <c r="C577" s="1" t="n">
        <v>46109</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4015-2022</t>
        </is>
      </c>
      <c r="B578" s="1" t="n">
        <v>44587.92149305555</v>
      </c>
      <c r="C578" s="1" t="n">
        <v>46109</v>
      </c>
      <c r="D578" t="inlineStr">
        <is>
          <t>JÄMTLANDS LÄN</t>
        </is>
      </c>
      <c r="E578" t="inlineStr">
        <is>
          <t>RAGUNDA</t>
        </is>
      </c>
      <c r="G578" t="n">
        <v>3.9</v>
      </c>
      <c r="H578" t="n">
        <v>0</v>
      </c>
      <c r="I578" t="n">
        <v>0</v>
      </c>
      <c r="J578" t="n">
        <v>0</v>
      </c>
      <c r="K578" t="n">
        <v>0</v>
      </c>
      <c r="L578" t="n">
        <v>0</v>
      </c>
      <c r="M578" t="n">
        <v>0</v>
      </c>
      <c r="N578" t="n">
        <v>0</v>
      </c>
      <c r="O578" t="n">
        <v>0</v>
      </c>
      <c r="P578" t="n">
        <v>0</v>
      </c>
      <c r="Q578" t="n">
        <v>0</v>
      </c>
      <c r="R578" s="2" t="inlineStr"/>
    </row>
    <row r="579" ht="15" customHeight="1">
      <c r="A579" t="inlineStr">
        <is>
          <t>A 2599-2023</t>
        </is>
      </c>
      <c r="B579" s="1" t="n">
        <v>44943.94802083333</v>
      </c>
      <c r="C579" s="1" t="n">
        <v>46109</v>
      </c>
      <c r="D579" t="inlineStr">
        <is>
          <t>JÄMTLANDS LÄN</t>
        </is>
      </c>
      <c r="E579" t="inlineStr">
        <is>
          <t>RAGUNDA</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59044-2022</t>
        </is>
      </c>
      <c r="B580" s="1" t="n">
        <v>44903</v>
      </c>
      <c r="C580" s="1" t="n">
        <v>46109</v>
      </c>
      <c r="D580" t="inlineStr">
        <is>
          <t>JÄMTLANDS LÄN</t>
        </is>
      </c>
      <c r="E580" t="inlineStr">
        <is>
          <t>RAGUNDA</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62638-2025</t>
        </is>
      </c>
      <c r="B581" s="1" t="n">
        <v>46008.36564814814</v>
      </c>
      <c r="C581" s="1" t="n">
        <v>46109</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4014-2022</t>
        </is>
      </c>
      <c r="B582" s="1" t="n">
        <v>44587.92144675926</v>
      </c>
      <c r="C582" s="1" t="n">
        <v>46109</v>
      </c>
      <c r="D582" t="inlineStr">
        <is>
          <t>JÄMTLANDS LÄN</t>
        </is>
      </c>
      <c r="E582" t="inlineStr">
        <is>
          <t>RAGUNDA</t>
        </is>
      </c>
      <c r="G582" t="n">
        <v>3.6</v>
      </c>
      <c r="H582" t="n">
        <v>0</v>
      </c>
      <c r="I582" t="n">
        <v>0</v>
      </c>
      <c r="J582" t="n">
        <v>0</v>
      </c>
      <c r="K582" t="n">
        <v>0</v>
      </c>
      <c r="L582" t="n">
        <v>0</v>
      </c>
      <c r="M582" t="n">
        <v>0</v>
      </c>
      <c r="N582" t="n">
        <v>0</v>
      </c>
      <c r="O582" t="n">
        <v>0</v>
      </c>
      <c r="P582" t="n">
        <v>0</v>
      </c>
      <c r="Q582" t="n">
        <v>0</v>
      </c>
      <c r="R582" s="2" t="inlineStr"/>
    </row>
    <row r="583" ht="15" customHeight="1">
      <c r="A583" t="inlineStr">
        <is>
          <t>A 8243-2024</t>
        </is>
      </c>
      <c r="B583" s="1" t="n">
        <v>45351.98532407408</v>
      </c>
      <c r="C583" s="1" t="n">
        <v>46109</v>
      </c>
      <c r="D583" t="inlineStr">
        <is>
          <t>JÄMTLANDS LÄN</t>
        </is>
      </c>
      <c r="E583" t="inlineStr">
        <is>
          <t>RAGUNDA</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62436-2025</t>
        </is>
      </c>
      <c r="B584" s="1" t="n">
        <v>46007</v>
      </c>
      <c r="C584" s="1" t="n">
        <v>46109</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6902-2024</t>
        </is>
      </c>
      <c r="B585" s="1" t="n">
        <v>45342</v>
      </c>
      <c r="C585" s="1" t="n">
        <v>46109</v>
      </c>
      <c r="D585" t="inlineStr">
        <is>
          <t>JÄMTLANDS LÄN</t>
        </is>
      </c>
      <c r="E585" t="inlineStr">
        <is>
          <t>RAGUNDA</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6905-2024</t>
        </is>
      </c>
      <c r="B586" s="1" t="n">
        <v>45342.9462037037</v>
      </c>
      <c r="C586" s="1" t="n">
        <v>46109</v>
      </c>
      <c r="D586" t="inlineStr">
        <is>
          <t>JÄMTLANDS LÄN</t>
        </is>
      </c>
      <c r="E586" t="inlineStr">
        <is>
          <t>RAGUNDA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46109</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46109</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62432-2025</t>
        </is>
      </c>
      <c r="B589" s="1" t="n">
        <v>46007</v>
      </c>
      <c r="C589" s="1" t="n">
        <v>46109</v>
      </c>
      <c r="D589" t="inlineStr">
        <is>
          <t>JÄMTLANDS LÄN</t>
        </is>
      </c>
      <c r="E589" t="inlineStr">
        <is>
          <t>RAGUNDA</t>
        </is>
      </c>
      <c r="G589" t="n">
        <v>4.7</v>
      </c>
      <c r="H589" t="n">
        <v>0</v>
      </c>
      <c r="I589" t="n">
        <v>0</v>
      </c>
      <c r="J589" t="n">
        <v>0</v>
      </c>
      <c r="K589" t="n">
        <v>0</v>
      </c>
      <c r="L589" t="n">
        <v>0</v>
      </c>
      <c r="M589" t="n">
        <v>0</v>
      </c>
      <c r="N589" t="n">
        <v>0</v>
      </c>
      <c r="O589" t="n">
        <v>0</v>
      </c>
      <c r="P589" t="n">
        <v>0</v>
      </c>
      <c r="Q589" t="n">
        <v>0</v>
      </c>
      <c r="R589" s="2" t="inlineStr"/>
    </row>
    <row r="590" ht="15" customHeight="1">
      <c r="A590" t="inlineStr">
        <is>
          <t>A 62691-2025</t>
        </is>
      </c>
      <c r="B590" s="1" t="n">
        <v>46008.4759837963</v>
      </c>
      <c r="C590" s="1" t="n">
        <v>46109</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26283-2025</t>
        </is>
      </c>
      <c r="B591" s="1" t="n">
        <v>45805.61495370371</v>
      </c>
      <c r="C591" s="1" t="n">
        <v>46109</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63141-2025</t>
        </is>
      </c>
      <c r="B592" s="1" t="n">
        <v>46010.34440972222</v>
      </c>
      <c r="C592" s="1" t="n">
        <v>46109</v>
      </c>
      <c r="D592" t="inlineStr">
        <is>
          <t>JÄMTLANDS LÄN</t>
        </is>
      </c>
      <c r="E592" t="inlineStr">
        <is>
          <t>RAGUNDA</t>
        </is>
      </c>
      <c r="F592" t="inlineStr">
        <is>
          <t>SCA</t>
        </is>
      </c>
      <c r="G592" t="n">
        <v>24.4</v>
      </c>
      <c r="H592" t="n">
        <v>0</v>
      </c>
      <c r="I592" t="n">
        <v>0</v>
      </c>
      <c r="J592" t="n">
        <v>0</v>
      </c>
      <c r="K592" t="n">
        <v>0</v>
      </c>
      <c r="L592" t="n">
        <v>0</v>
      </c>
      <c r="M592" t="n">
        <v>0</v>
      </c>
      <c r="N592" t="n">
        <v>0</v>
      </c>
      <c r="O592" t="n">
        <v>0</v>
      </c>
      <c r="P592" t="n">
        <v>0</v>
      </c>
      <c r="Q592" t="n">
        <v>0</v>
      </c>
      <c r="R592" s="2" t="inlineStr"/>
    </row>
    <row r="593" ht="15" customHeight="1">
      <c r="A593" t="inlineStr">
        <is>
          <t>A 53989-2024</t>
        </is>
      </c>
      <c r="B593" s="1" t="n">
        <v>45616.34479166667</v>
      </c>
      <c r="C593" s="1" t="n">
        <v>46109</v>
      </c>
      <c r="D593" t="inlineStr">
        <is>
          <t>JÄMTLANDS LÄN</t>
        </is>
      </c>
      <c r="E593" t="inlineStr">
        <is>
          <t>RAGUNDA</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42509-2023</t>
        </is>
      </c>
      <c r="B594" s="1" t="n">
        <v>45180</v>
      </c>
      <c r="C594" s="1" t="n">
        <v>46109</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43181-2025</t>
        </is>
      </c>
      <c r="B595" s="1" t="n">
        <v>45910.40721064815</v>
      </c>
      <c r="C595" s="1" t="n">
        <v>46109</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42510-2023</t>
        </is>
      </c>
      <c r="B596" s="1" t="n">
        <v>45180.95927083334</v>
      </c>
      <c r="C596" s="1" t="n">
        <v>46109</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11048-2023</t>
        </is>
      </c>
      <c r="B597" s="1" t="n">
        <v>44991</v>
      </c>
      <c r="C597" s="1" t="n">
        <v>46109</v>
      </c>
      <c r="D597" t="inlineStr">
        <is>
          <t>JÄMTLANDS LÄN</t>
        </is>
      </c>
      <c r="E597" t="inlineStr">
        <is>
          <t>RAGUNDA</t>
        </is>
      </c>
      <c r="F597" t="inlineStr">
        <is>
          <t>SCA</t>
        </is>
      </c>
      <c r="G597" t="n">
        <v>13.5</v>
      </c>
      <c r="H597" t="n">
        <v>0</v>
      </c>
      <c r="I597" t="n">
        <v>0</v>
      </c>
      <c r="J597" t="n">
        <v>0</v>
      </c>
      <c r="K597" t="n">
        <v>0</v>
      </c>
      <c r="L597" t="n">
        <v>0</v>
      </c>
      <c r="M597" t="n">
        <v>0</v>
      </c>
      <c r="N597" t="n">
        <v>0</v>
      </c>
      <c r="O597" t="n">
        <v>0</v>
      </c>
      <c r="P597" t="n">
        <v>0</v>
      </c>
      <c r="Q597" t="n">
        <v>0</v>
      </c>
      <c r="R597" s="2" t="inlineStr"/>
    </row>
    <row r="598" ht="15" customHeight="1">
      <c r="A598" t="inlineStr">
        <is>
          <t>A 43177-2025</t>
        </is>
      </c>
      <c r="B598" s="1" t="n">
        <v>45910.40667824074</v>
      </c>
      <c r="C598" s="1" t="n">
        <v>46109</v>
      </c>
      <c r="D598" t="inlineStr">
        <is>
          <t>JÄMTLANDS LÄN</t>
        </is>
      </c>
      <c r="E598" t="inlineStr">
        <is>
          <t>RAGUNDA</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62927-2025</t>
        </is>
      </c>
      <c r="B599" s="1" t="n">
        <v>46009.38609953703</v>
      </c>
      <c r="C599" s="1" t="n">
        <v>46109</v>
      </c>
      <c r="D599" t="inlineStr">
        <is>
          <t>JÄMTLANDS LÄN</t>
        </is>
      </c>
      <c r="E599" t="inlineStr">
        <is>
          <t>RAGUNDA</t>
        </is>
      </c>
      <c r="G599" t="n">
        <v>6.3</v>
      </c>
      <c r="H599" t="n">
        <v>0</v>
      </c>
      <c r="I599" t="n">
        <v>0</v>
      </c>
      <c r="J599" t="n">
        <v>0</v>
      </c>
      <c r="K599" t="n">
        <v>0</v>
      </c>
      <c r="L599" t="n">
        <v>0</v>
      </c>
      <c r="M599" t="n">
        <v>0</v>
      </c>
      <c r="N599" t="n">
        <v>0</v>
      </c>
      <c r="O599" t="n">
        <v>0</v>
      </c>
      <c r="P599" t="n">
        <v>0</v>
      </c>
      <c r="Q599" t="n">
        <v>0</v>
      </c>
      <c r="R599" s="2" t="inlineStr"/>
      <c r="U599">
        <f>HYPERLINK("https://klasma.github.io/Logging_2303/knärot/A 62927-2025 karta knärot.png", "A 62927-2025")</f>
        <v/>
      </c>
      <c r="V599">
        <f>HYPERLINK("https://klasma.github.io/Logging_2303/klagomål/A 62927-2025 FSC-klagomål.docx", "A 62927-2025")</f>
        <v/>
      </c>
      <c r="W599">
        <f>HYPERLINK("https://klasma.github.io/Logging_2303/klagomålsmail/A 62927-2025 FSC-klagomål mail.docx", "A 62927-2025")</f>
        <v/>
      </c>
      <c r="X599">
        <f>HYPERLINK("https://klasma.github.io/Logging_2303/tillsyn/A 62927-2025 tillsynsbegäran.docx", "A 62927-2025")</f>
        <v/>
      </c>
      <c r="Y599">
        <f>HYPERLINK("https://klasma.github.io/Logging_2303/tillsynsmail/A 62927-2025 tillsynsbegäran mail.docx", "A 62927-2025")</f>
        <v/>
      </c>
    </row>
    <row r="600" ht="15" customHeight="1">
      <c r="A600" t="inlineStr">
        <is>
          <t>A 63060-2025</t>
        </is>
      </c>
      <c r="B600" s="1" t="n">
        <v>46009.64414351852</v>
      </c>
      <c r="C600" s="1" t="n">
        <v>46109</v>
      </c>
      <c r="D600" t="inlineStr">
        <is>
          <t>JÄMTLANDS LÄN</t>
        </is>
      </c>
      <c r="E600" t="inlineStr">
        <is>
          <t>RAGUNDA</t>
        </is>
      </c>
      <c r="G600" t="n">
        <v>6.5</v>
      </c>
      <c r="H600" t="n">
        <v>0</v>
      </c>
      <c r="I600" t="n">
        <v>0</v>
      </c>
      <c r="J600" t="n">
        <v>0</v>
      </c>
      <c r="K600" t="n">
        <v>0</v>
      </c>
      <c r="L600" t="n">
        <v>0</v>
      </c>
      <c r="M600" t="n">
        <v>0</v>
      </c>
      <c r="N600" t="n">
        <v>0</v>
      </c>
      <c r="O600" t="n">
        <v>0</v>
      </c>
      <c r="P600" t="n">
        <v>0</v>
      </c>
      <c r="Q600" t="n">
        <v>0</v>
      </c>
      <c r="R600" s="2" t="inlineStr"/>
    </row>
    <row r="601" ht="15" customHeight="1">
      <c r="A601" t="inlineStr">
        <is>
          <t>A 16364-2023</t>
        </is>
      </c>
      <c r="B601" s="1" t="n">
        <v>45028</v>
      </c>
      <c r="C601" s="1" t="n">
        <v>46109</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24258-2025</t>
        </is>
      </c>
      <c r="B602" s="1" t="n">
        <v>45797.40800925926</v>
      </c>
      <c r="C602" s="1" t="n">
        <v>46109</v>
      </c>
      <c r="D602" t="inlineStr">
        <is>
          <t>JÄMTLANDS LÄN</t>
        </is>
      </c>
      <c r="E602" t="inlineStr">
        <is>
          <t>RAGUNDA</t>
        </is>
      </c>
      <c r="G602" t="n">
        <v>1.2</v>
      </c>
      <c r="H602" t="n">
        <v>0</v>
      </c>
      <c r="I602" t="n">
        <v>0</v>
      </c>
      <c r="J602" t="n">
        <v>0</v>
      </c>
      <c r="K602" t="n">
        <v>0</v>
      </c>
      <c r="L602" t="n">
        <v>0</v>
      </c>
      <c r="M602" t="n">
        <v>0</v>
      </c>
      <c r="N602" t="n">
        <v>0</v>
      </c>
      <c r="O602" t="n">
        <v>0</v>
      </c>
      <c r="P602" t="n">
        <v>0</v>
      </c>
      <c r="Q602" t="n">
        <v>0</v>
      </c>
      <c r="R602" s="2" t="inlineStr"/>
    </row>
    <row r="603" ht="15" customHeight="1">
      <c r="A603" t="inlineStr">
        <is>
          <t>A 63057-2025</t>
        </is>
      </c>
      <c r="B603" s="1" t="n">
        <v>46009.63837962963</v>
      </c>
      <c r="C603" s="1" t="n">
        <v>46109</v>
      </c>
      <c r="D603" t="inlineStr">
        <is>
          <t>JÄMTLANDS LÄN</t>
        </is>
      </c>
      <c r="E603" t="inlineStr">
        <is>
          <t>RAGUNDA</t>
        </is>
      </c>
      <c r="G603" t="n">
        <v>13.7</v>
      </c>
      <c r="H603" t="n">
        <v>0</v>
      </c>
      <c r="I603" t="n">
        <v>0</v>
      </c>
      <c r="J603" t="n">
        <v>0</v>
      </c>
      <c r="K603" t="n">
        <v>0</v>
      </c>
      <c r="L603" t="n">
        <v>0</v>
      </c>
      <c r="M603" t="n">
        <v>0</v>
      </c>
      <c r="N603" t="n">
        <v>0</v>
      </c>
      <c r="O603" t="n">
        <v>0</v>
      </c>
      <c r="P603" t="n">
        <v>0</v>
      </c>
      <c r="Q603" t="n">
        <v>0</v>
      </c>
      <c r="R603" s="2" t="inlineStr"/>
    </row>
    <row r="604" ht="15" customHeight="1">
      <c r="A604" t="inlineStr">
        <is>
          <t>A 26172-2025</t>
        </is>
      </c>
      <c r="B604" s="1" t="n">
        <v>45805.46613425926</v>
      </c>
      <c r="C604" s="1" t="n">
        <v>46109</v>
      </c>
      <c r="D604" t="inlineStr">
        <is>
          <t>JÄMTLANDS LÄN</t>
        </is>
      </c>
      <c r="E604" t="inlineStr">
        <is>
          <t>RAGUNDA</t>
        </is>
      </c>
      <c r="G604" t="n">
        <v>2.1</v>
      </c>
      <c r="H604" t="n">
        <v>0</v>
      </c>
      <c r="I604" t="n">
        <v>0</v>
      </c>
      <c r="J604" t="n">
        <v>0</v>
      </c>
      <c r="K604" t="n">
        <v>0</v>
      </c>
      <c r="L604" t="n">
        <v>0</v>
      </c>
      <c r="M604" t="n">
        <v>0</v>
      </c>
      <c r="N604" t="n">
        <v>0</v>
      </c>
      <c r="O604" t="n">
        <v>0</v>
      </c>
      <c r="P604" t="n">
        <v>0</v>
      </c>
      <c r="Q604" t="n">
        <v>0</v>
      </c>
      <c r="R604" s="2" t="inlineStr"/>
    </row>
    <row r="605" ht="15" customHeight="1">
      <c r="A605" t="inlineStr">
        <is>
          <t>A 43776-2025</t>
        </is>
      </c>
      <c r="B605" s="1" t="n">
        <v>45912.51086805556</v>
      </c>
      <c r="C605" s="1" t="n">
        <v>46109</v>
      </c>
      <c r="D605" t="inlineStr">
        <is>
          <t>JÄMTLANDS LÄN</t>
        </is>
      </c>
      <c r="E605" t="inlineStr">
        <is>
          <t>RAGUNDA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43804-2025</t>
        </is>
      </c>
      <c r="B606" s="1" t="n">
        <v>45912.57373842593</v>
      </c>
      <c r="C606" s="1" t="n">
        <v>46109</v>
      </c>
      <c r="D606" t="inlineStr">
        <is>
          <t>JÄMTLANDS LÄN</t>
        </is>
      </c>
      <c r="E606" t="inlineStr">
        <is>
          <t>RAGUNDA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46549-2023</t>
        </is>
      </c>
      <c r="B607" s="1" t="n">
        <v>45197.94171296297</v>
      </c>
      <c r="C607" s="1" t="n">
        <v>46109</v>
      </c>
      <c r="D607" t="inlineStr">
        <is>
          <t>JÄMTLANDS LÄN</t>
        </is>
      </c>
      <c r="E607" t="inlineStr">
        <is>
          <t>RAGUNDA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43971-2025</t>
        </is>
      </c>
      <c r="B608" s="1" t="n">
        <v>45915.40694444445</v>
      </c>
      <c r="C608" s="1" t="n">
        <v>46109</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63672-2025</t>
        </is>
      </c>
      <c r="B609" s="1" t="n">
        <v>46014.47575231481</v>
      </c>
      <c r="C609" s="1" t="n">
        <v>46109</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63671-2025</t>
        </is>
      </c>
      <c r="B610" s="1" t="n">
        <v>46014.46555555556</v>
      </c>
      <c r="C610" s="1" t="n">
        <v>46109</v>
      </c>
      <c r="D610" t="inlineStr">
        <is>
          <t>JÄMTLANDS LÄN</t>
        </is>
      </c>
      <c r="E610" t="inlineStr">
        <is>
          <t>RAGUNDA</t>
        </is>
      </c>
      <c r="G610" t="n">
        <v>0.9</v>
      </c>
      <c r="H610" t="n">
        <v>0</v>
      </c>
      <c r="I610" t="n">
        <v>0</v>
      </c>
      <c r="J610" t="n">
        <v>0</v>
      </c>
      <c r="K610" t="n">
        <v>0</v>
      </c>
      <c r="L610" t="n">
        <v>0</v>
      </c>
      <c r="M610" t="n">
        <v>0</v>
      </c>
      <c r="N610" t="n">
        <v>0</v>
      </c>
      <c r="O610" t="n">
        <v>0</v>
      </c>
      <c r="P610" t="n">
        <v>0</v>
      </c>
      <c r="Q610" t="n">
        <v>0</v>
      </c>
      <c r="R610" s="2" t="inlineStr"/>
    </row>
    <row r="611" ht="15" customHeight="1">
      <c r="A611" t="inlineStr">
        <is>
          <t>A 10788-2025</t>
        </is>
      </c>
      <c r="B611" s="1" t="n">
        <v>45722.48982638889</v>
      </c>
      <c r="C611" s="1" t="n">
        <v>46109</v>
      </c>
      <c r="D611" t="inlineStr">
        <is>
          <t>JÄMTLANDS LÄN</t>
        </is>
      </c>
      <c r="E611" t="inlineStr">
        <is>
          <t>RAGUNDA</t>
        </is>
      </c>
      <c r="G611" t="n">
        <v>3.5</v>
      </c>
      <c r="H611" t="n">
        <v>0</v>
      </c>
      <c r="I611" t="n">
        <v>0</v>
      </c>
      <c r="J611" t="n">
        <v>0</v>
      </c>
      <c r="K611" t="n">
        <v>0</v>
      </c>
      <c r="L611" t="n">
        <v>0</v>
      </c>
      <c r="M611" t="n">
        <v>0</v>
      </c>
      <c r="N611" t="n">
        <v>0</v>
      </c>
      <c r="O611" t="n">
        <v>0</v>
      </c>
      <c r="P611" t="n">
        <v>0</v>
      </c>
      <c r="Q611" t="n">
        <v>0</v>
      </c>
      <c r="R611" s="2" t="inlineStr"/>
    </row>
    <row r="612" ht="15" customHeight="1">
      <c r="A612" t="inlineStr">
        <is>
          <t>A 63578-2025</t>
        </is>
      </c>
      <c r="B612" s="1" t="n">
        <v>46013.67690972222</v>
      </c>
      <c r="C612" s="1" t="n">
        <v>46109</v>
      </c>
      <c r="D612" t="inlineStr">
        <is>
          <t>JÄMTLANDS LÄN</t>
        </is>
      </c>
      <c r="E612" t="inlineStr">
        <is>
          <t>RAGUNDA</t>
        </is>
      </c>
      <c r="G612" t="n">
        <v>2.7</v>
      </c>
      <c r="H612" t="n">
        <v>0</v>
      </c>
      <c r="I612" t="n">
        <v>0</v>
      </c>
      <c r="J612" t="n">
        <v>0</v>
      </c>
      <c r="K612" t="n">
        <v>0</v>
      </c>
      <c r="L612" t="n">
        <v>0</v>
      </c>
      <c r="M612" t="n">
        <v>0</v>
      </c>
      <c r="N612" t="n">
        <v>0</v>
      </c>
      <c r="O612" t="n">
        <v>0</v>
      </c>
      <c r="P612" t="n">
        <v>0</v>
      </c>
      <c r="Q612" t="n">
        <v>0</v>
      </c>
      <c r="R612" s="2" t="inlineStr"/>
    </row>
    <row r="613" ht="15" customHeight="1">
      <c r="A613" t="inlineStr">
        <is>
          <t>A 55214-2022</t>
        </is>
      </c>
      <c r="B613" s="1" t="n">
        <v>44886</v>
      </c>
      <c r="C613" s="1" t="n">
        <v>46109</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55633-2025</t>
        </is>
      </c>
      <c r="B614" s="1" t="n">
        <v>45972</v>
      </c>
      <c r="C614" s="1" t="n">
        <v>46109</v>
      </c>
      <c r="D614" t="inlineStr">
        <is>
          <t>JÄMTLANDS LÄN</t>
        </is>
      </c>
      <c r="E614" t="inlineStr">
        <is>
          <t>RAGUNDA</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55671-2025</t>
        </is>
      </c>
      <c r="B615" s="1" t="n">
        <v>45972</v>
      </c>
      <c r="C615" s="1" t="n">
        <v>46109</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55797-2025</t>
        </is>
      </c>
      <c r="B616" s="1" t="n">
        <v>45972.65693287037</v>
      </c>
      <c r="C616" s="1" t="n">
        <v>46109</v>
      </c>
      <c r="D616" t="inlineStr">
        <is>
          <t>JÄMTLANDS LÄN</t>
        </is>
      </c>
      <c r="E616" t="inlineStr">
        <is>
          <t>RAGUNDA</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53727-2025</t>
        </is>
      </c>
      <c r="B617" s="1" t="n">
        <v>45960.63630787037</v>
      </c>
      <c r="C617" s="1" t="n">
        <v>46109</v>
      </c>
      <c r="D617" t="inlineStr">
        <is>
          <t>JÄMTLANDS LÄN</t>
        </is>
      </c>
      <c r="E617" t="inlineStr">
        <is>
          <t>RAGUNDA</t>
        </is>
      </c>
      <c r="F617" t="inlineStr">
        <is>
          <t>SCA</t>
        </is>
      </c>
      <c r="G617" t="n">
        <v>6.4</v>
      </c>
      <c r="H617" t="n">
        <v>0</v>
      </c>
      <c r="I617" t="n">
        <v>0</v>
      </c>
      <c r="J617" t="n">
        <v>0</v>
      </c>
      <c r="K617" t="n">
        <v>0</v>
      </c>
      <c r="L617" t="n">
        <v>0</v>
      </c>
      <c r="M617" t="n">
        <v>0</v>
      </c>
      <c r="N617" t="n">
        <v>0</v>
      </c>
      <c r="O617" t="n">
        <v>0</v>
      </c>
      <c r="P617" t="n">
        <v>0</v>
      </c>
      <c r="Q617" t="n">
        <v>0</v>
      </c>
      <c r="R617" s="2" t="inlineStr"/>
    </row>
    <row r="618" ht="15" customHeight="1">
      <c r="A618" t="inlineStr">
        <is>
          <t>A 40246-2024</t>
        </is>
      </c>
      <c r="B618" s="1" t="n">
        <v>45554.61583333334</v>
      </c>
      <c r="C618" s="1" t="n">
        <v>46109</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55547-2025</t>
        </is>
      </c>
      <c r="B619" s="1" t="n">
        <v>45971</v>
      </c>
      <c r="C619" s="1" t="n">
        <v>46109</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26246-2025</t>
        </is>
      </c>
      <c r="B620" s="1" t="n">
        <v>45805.57390046296</v>
      </c>
      <c r="C620" s="1" t="n">
        <v>46109</v>
      </c>
      <c r="D620" t="inlineStr">
        <is>
          <t>JÄMTLANDS LÄN</t>
        </is>
      </c>
      <c r="E620" t="inlineStr">
        <is>
          <t>RAGUNDA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63714-2025</t>
        </is>
      </c>
      <c r="B621" s="1" t="n">
        <v>46014</v>
      </c>
      <c r="C621" s="1" t="n">
        <v>46109</v>
      </c>
      <c r="D621" t="inlineStr">
        <is>
          <t>JÄMTLANDS LÄN</t>
        </is>
      </c>
      <c r="E621" t="inlineStr">
        <is>
          <t>RAGUNDA</t>
        </is>
      </c>
      <c r="F621" t="inlineStr">
        <is>
          <t>Sveaskog</t>
        </is>
      </c>
      <c r="G621" t="n">
        <v>8.5</v>
      </c>
      <c r="H621" t="n">
        <v>0</v>
      </c>
      <c r="I621" t="n">
        <v>0</v>
      </c>
      <c r="J621" t="n">
        <v>0</v>
      </c>
      <c r="K621" t="n">
        <v>0</v>
      </c>
      <c r="L621" t="n">
        <v>0</v>
      </c>
      <c r="M621" t="n">
        <v>0</v>
      </c>
      <c r="N621" t="n">
        <v>0</v>
      </c>
      <c r="O621" t="n">
        <v>0</v>
      </c>
      <c r="P621" t="n">
        <v>0</v>
      </c>
      <c r="Q621" t="n">
        <v>0</v>
      </c>
      <c r="R621" s="2" t="inlineStr"/>
    </row>
    <row r="622" ht="15" customHeight="1">
      <c r="A622" t="inlineStr">
        <is>
          <t>A 2001-2025</t>
        </is>
      </c>
      <c r="B622" s="1" t="n">
        <v>45672.44898148148</v>
      </c>
      <c r="C622" s="1" t="n">
        <v>46109</v>
      </c>
      <c r="D622" t="inlineStr">
        <is>
          <t>JÄMTLANDS LÄN</t>
        </is>
      </c>
      <c r="E622" t="inlineStr">
        <is>
          <t>RAGUNDA</t>
        </is>
      </c>
      <c r="F622" t="inlineStr">
        <is>
          <t>SCA</t>
        </is>
      </c>
      <c r="G622" t="n">
        <v>16.2</v>
      </c>
      <c r="H622" t="n">
        <v>0</v>
      </c>
      <c r="I622" t="n">
        <v>0</v>
      </c>
      <c r="J622" t="n">
        <v>0</v>
      </c>
      <c r="K622" t="n">
        <v>0</v>
      </c>
      <c r="L622" t="n">
        <v>0</v>
      </c>
      <c r="M622" t="n">
        <v>0</v>
      </c>
      <c r="N622" t="n">
        <v>0</v>
      </c>
      <c r="O622" t="n">
        <v>0</v>
      </c>
      <c r="P622" t="n">
        <v>0</v>
      </c>
      <c r="Q622" t="n">
        <v>0</v>
      </c>
      <c r="R622" s="2" t="inlineStr"/>
    </row>
    <row r="623" ht="15" customHeight="1">
      <c r="A623" t="inlineStr">
        <is>
          <t>A 63828-2025</t>
        </is>
      </c>
      <c r="B623" s="1" t="n">
        <v>46020.37814814815</v>
      </c>
      <c r="C623" s="1" t="n">
        <v>46109</v>
      </c>
      <c r="D623" t="inlineStr">
        <is>
          <t>JÄMTLANDS LÄN</t>
        </is>
      </c>
      <c r="E623" t="inlineStr">
        <is>
          <t>RAGUNDA</t>
        </is>
      </c>
      <c r="G623" t="n">
        <v>4.7</v>
      </c>
      <c r="H623" t="n">
        <v>0</v>
      </c>
      <c r="I623" t="n">
        <v>0</v>
      </c>
      <c r="J623" t="n">
        <v>0</v>
      </c>
      <c r="K623" t="n">
        <v>0</v>
      </c>
      <c r="L623" t="n">
        <v>0</v>
      </c>
      <c r="M623" t="n">
        <v>0</v>
      </c>
      <c r="N623" t="n">
        <v>0</v>
      </c>
      <c r="O623" t="n">
        <v>0</v>
      </c>
      <c r="P623" t="n">
        <v>0</v>
      </c>
      <c r="Q623" t="n">
        <v>0</v>
      </c>
      <c r="R623" s="2" t="inlineStr"/>
    </row>
    <row r="624" ht="15" customHeight="1">
      <c r="A624" t="inlineStr">
        <is>
          <t>A 44954-2025</t>
        </is>
      </c>
      <c r="B624" s="1" t="n">
        <v>45918.61203703703</v>
      </c>
      <c r="C624" s="1" t="n">
        <v>46109</v>
      </c>
      <c r="D624" t="inlineStr">
        <is>
          <t>JÄMTLANDS LÄN</t>
        </is>
      </c>
      <c r="E624" t="inlineStr">
        <is>
          <t>RAGUNDA</t>
        </is>
      </c>
      <c r="G624" t="n">
        <v>3</v>
      </c>
      <c r="H624" t="n">
        <v>0</v>
      </c>
      <c r="I624" t="n">
        <v>0</v>
      </c>
      <c r="J624" t="n">
        <v>0</v>
      </c>
      <c r="K624" t="n">
        <v>0</v>
      </c>
      <c r="L624" t="n">
        <v>0</v>
      </c>
      <c r="M624" t="n">
        <v>0</v>
      </c>
      <c r="N624" t="n">
        <v>0</v>
      </c>
      <c r="O624" t="n">
        <v>0</v>
      </c>
      <c r="P624" t="n">
        <v>0</v>
      </c>
      <c r="Q624" t="n">
        <v>0</v>
      </c>
      <c r="R624" s="2" t="inlineStr"/>
    </row>
    <row r="625" ht="15" customHeight="1">
      <c r="A625" t="inlineStr">
        <is>
          <t>A 33650-2025</t>
        </is>
      </c>
      <c r="B625" s="1" t="n">
        <v>45841</v>
      </c>
      <c r="C625" s="1" t="n">
        <v>46109</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21853-2024</t>
        </is>
      </c>
      <c r="B626" s="1" t="n">
        <v>45442.96296296296</v>
      </c>
      <c r="C626" s="1" t="n">
        <v>46109</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29775-2023</t>
        </is>
      </c>
      <c r="B627" s="1" t="n">
        <v>45098</v>
      </c>
      <c r="C627" s="1" t="n">
        <v>46109</v>
      </c>
      <c r="D627" t="inlineStr">
        <is>
          <t>JÄMTLANDS LÄN</t>
        </is>
      </c>
      <c r="E627" t="inlineStr">
        <is>
          <t>RAGUNDA</t>
        </is>
      </c>
      <c r="G627" t="n">
        <v>3.6</v>
      </c>
      <c r="H627" t="n">
        <v>0</v>
      </c>
      <c r="I627" t="n">
        <v>0</v>
      </c>
      <c r="J627" t="n">
        <v>0</v>
      </c>
      <c r="K627" t="n">
        <v>0</v>
      </c>
      <c r="L627" t="n">
        <v>0</v>
      </c>
      <c r="M627" t="n">
        <v>0</v>
      </c>
      <c r="N627" t="n">
        <v>0</v>
      </c>
      <c r="O627" t="n">
        <v>0</v>
      </c>
      <c r="P627" t="n">
        <v>0</v>
      </c>
      <c r="Q627" t="n">
        <v>0</v>
      </c>
      <c r="R627" s="2" t="inlineStr"/>
    </row>
    <row r="628" ht="15" customHeight="1">
      <c r="A628" t="inlineStr">
        <is>
          <t>A 40365-2024</t>
        </is>
      </c>
      <c r="B628" s="1" t="n">
        <v>45555.38509259259</v>
      </c>
      <c r="C628" s="1" t="n">
        <v>46109</v>
      </c>
      <c r="D628" t="inlineStr">
        <is>
          <t>JÄMTLANDS LÄN</t>
        </is>
      </c>
      <c r="E628" t="inlineStr">
        <is>
          <t>RAGUNDA</t>
        </is>
      </c>
      <c r="G628" t="n">
        <v>7.8</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46109</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45279-2025</t>
        </is>
      </c>
      <c r="B630" s="1" t="n">
        <v>45919.71912037037</v>
      </c>
      <c r="C630" s="1" t="n">
        <v>46109</v>
      </c>
      <c r="D630" t="inlineStr">
        <is>
          <t>JÄMTLANDS LÄN</t>
        </is>
      </c>
      <c r="E630" t="inlineStr">
        <is>
          <t>RAGUNDA</t>
        </is>
      </c>
      <c r="F630" t="inlineStr">
        <is>
          <t>SCA</t>
        </is>
      </c>
      <c r="G630" t="n">
        <v>11.5</v>
      </c>
      <c r="H630" t="n">
        <v>0</v>
      </c>
      <c r="I630" t="n">
        <v>0</v>
      </c>
      <c r="J630" t="n">
        <v>0</v>
      </c>
      <c r="K630" t="n">
        <v>0</v>
      </c>
      <c r="L630" t="n">
        <v>0</v>
      </c>
      <c r="M630" t="n">
        <v>0</v>
      </c>
      <c r="N630" t="n">
        <v>0</v>
      </c>
      <c r="O630" t="n">
        <v>0</v>
      </c>
      <c r="P630" t="n">
        <v>0</v>
      </c>
      <c r="Q630" t="n">
        <v>0</v>
      </c>
      <c r="R630" s="2" t="inlineStr"/>
    </row>
    <row r="631" ht="15" customHeight="1">
      <c r="A631" t="inlineStr">
        <is>
          <t>A 122-2026</t>
        </is>
      </c>
      <c r="B631" s="1" t="n">
        <v>46024.57335648148</v>
      </c>
      <c r="C631" s="1" t="n">
        <v>46109</v>
      </c>
      <c r="D631" t="inlineStr">
        <is>
          <t>JÄMTLANDS LÄN</t>
        </is>
      </c>
      <c r="E631" t="inlineStr">
        <is>
          <t>RAGUNDA</t>
        </is>
      </c>
      <c r="F631" t="inlineStr">
        <is>
          <t>SCA</t>
        </is>
      </c>
      <c r="G631" t="n">
        <v>15.3</v>
      </c>
      <c r="H631" t="n">
        <v>0</v>
      </c>
      <c r="I631" t="n">
        <v>0</v>
      </c>
      <c r="J631" t="n">
        <v>0</v>
      </c>
      <c r="K631" t="n">
        <v>0</v>
      </c>
      <c r="L631" t="n">
        <v>0</v>
      </c>
      <c r="M631" t="n">
        <v>0</v>
      </c>
      <c r="N631" t="n">
        <v>0</v>
      </c>
      <c r="O631" t="n">
        <v>0</v>
      </c>
      <c r="P631" t="n">
        <v>0</v>
      </c>
      <c r="Q631" t="n">
        <v>0</v>
      </c>
      <c r="R631" s="2" t="inlineStr"/>
    </row>
    <row r="632" ht="15" customHeight="1">
      <c r="A632" t="inlineStr">
        <is>
          <t>A 60456-2023</t>
        </is>
      </c>
      <c r="B632" s="1" t="n">
        <v>45258</v>
      </c>
      <c r="C632" s="1" t="n">
        <v>46109</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58438-2022</t>
        </is>
      </c>
      <c r="B633" s="1" t="n">
        <v>44901</v>
      </c>
      <c r="C633" s="1" t="n">
        <v>46109</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58442-2022</t>
        </is>
      </c>
      <c r="B634" s="1" t="n">
        <v>44901</v>
      </c>
      <c r="C634" s="1" t="n">
        <v>46109</v>
      </c>
      <c r="D634" t="inlineStr">
        <is>
          <t>JÄMTLANDS LÄN</t>
        </is>
      </c>
      <c r="E634" t="inlineStr">
        <is>
          <t>RAGUNDA</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73278-2021</t>
        </is>
      </c>
      <c r="B635" s="1" t="n">
        <v>44550.92168981482</v>
      </c>
      <c r="C635" s="1" t="n">
        <v>46109</v>
      </c>
      <c r="D635" t="inlineStr">
        <is>
          <t>JÄMTLANDS LÄN</t>
        </is>
      </c>
      <c r="E635" t="inlineStr">
        <is>
          <t>RAGUNDA</t>
        </is>
      </c>
      <c r="G635" t="n">
        <v>4.4</v>
      </c>
      <c r="H635" t="n">
        <v>0</v>
      </c>
      <c r="I635" t="n">
        <v>0</v>
      </c>
      <c r="J635" t="n">
        <v>0</v>
      </c>
      <c r="K635" t="n">
        <v>0</v>
      </c>
      <c r="L635" t="n">
        <v>0</v>
      </c>
      <c r="M635" t="n">
        <v>0</v>
      </c>
      <c r="N635" t="n">
        <v>0</v>
      </c>
      <c r="O635" t="n">
        <v>0</v>
      </c>
      <c r="P635" t="n">
        <v>0</v>
      </c>
      <c r="Q635" t="n">
        <v>0</v>
      </c>
      <c r="R635" s="2" t="inlineStr"/>
    </row>
    <row r="636" ht="15" customHeight="1">
      <c r="A636" t="inlineStr">
        <is>
          <t>A 49229-2024</t>
        </is>
      </c>
      <c r="B636" s="1" t="n">
        <v>45595.42738425926</v>
      </c>
      <c r="C636" s="1" t="n">
        <v>46109</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45894-2025</t>
        </is>
      </c>
      <c r="B637" s="1" t="n">
        <v>45923.67765046296</v>
      </c>
      <c r="C637" s="1" t="n">
        <v>46109</v>
      </c>
      <c r="D637" t="inlineStr">
        <is>
          <t>JÄMTLANDS LÄN</t>
        </is>
      </c>
      <c r="E637" t="inlineStr">
        <is>
          <t>RAGUNDA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9097-2026</t>
        </is>
      </c>
      <c r="B638" s="1" t="n">
        <v>46069.63592592593</v>
      </c>
      <c r="C638" s="1" t="n">
        <v>46109</v>
      </c>
      <c r="D638" t="inlineStr">
        <is>
          <t>JÄMTLANDS LÄN</t>
        </is>
      </c>
      <c r="E638" t="inlineStr">
        <is>
          <t>RAGUNDA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55524-2024</t>
        </is>
      </c>
      <c r="B639" s="1" t="n">
        <v>45622.47435185185</v>
      </c>
      <c r="C639" s="1" t="n">
        <v>46109</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19419-2024</t>
        </is>
      </c>
      <c r="B640" s="1" t="n">
        <v>45429</v>
      </c>
      <c r="C640" s="1" t="n">
        <v>46109</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46192-2025</t>
        </is>
      </c>
      <c r="B641" s="1" t="n">
        <v>45924.67789351852</v>
      </c>
      <c r="C641" s="1" t="n">
        <v>46109</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222-2026</t>
        </is>
      </c>
      <c r="B642" s="1" t="n">
        <v>46026.84054398148</v>
      </c>
      <c r="C642" s="1" t="n">
        <v>46109</v>
      </c>
      <c r="D642" t="inlineStr">
        <is>
          <t>JÄMTLANDS LÄN</t>
        </is>
      </c>
      <c r="E642" t="inlineStr">
        <is>
          <t>RAGUNDA</t>
        </is>
      </c>
      <c r="G642" t="n">
        <v>10.6</v>
      </c>
      <c r="H642" t="n">
        <v>0</v>
      </c>
      <c r="I642" t="n">
        <v>0</v>
      </c>
      <c r="J642" t="n">
        <v>0</v>
      </c>
      <c r="K642" t="n">
        <v>0</v>
      </c>
      <c r="L642" t="n">
        <v>0</v>
      </c>
      <c r="M642" t="n">
        <v>0</v>
      </c>
      <c r="N642" t="n">
        <v>0</v>
      </c>
      <c r="O642" t="n">
        <v>0</v>
      </c>
      <c r="P642" t="n">
        <v>0</v>
      </c>
      <c r="Q642" t="n">
        <v>0</v>
      </c>
      <c r="R642" s="2" t="inlineStr"/>
    </row>
    <row r="643" ht="15" customHeight="1">
      <c r="A643" t="inlineStr">
        <is>
          <t>A 9316-2026</t>
        </is>
      </c>
      <c r="B643" s="1" t="n">
        <v>46070.62200231481</v>
      </c>
      <c r="C643" s="1" t="n">
        <v>46109</v>
      </c>
      <c r="D643" t="inlineStr">
        <is>
          <t>JÄMTLANDS LÄN</t>
        </is>
      </c>
      <c r="E643" t="inlineStr">
        <is>
          <t>RAGUNDA</t>
        </is>
      </c>
      <c r="G643" t="n">
        <v>3</v>
      </c>
      <c r="H643" t="n">
        <v>0</v>
      </c>
      <c r="I643" t="n">
        <v>0</v>
      </c>
      <c r="J643" t="n">
        <v>0</v>
      </c>
      <c r="K643" t="n">
        <v>0</v>
      </c>
      <c r="L643" t="n">
        <v>0</v>
      </c>
      <c r="M643" t="n">
        <v>0</v>
      </c>
      <c r="N643" t="n">
        <v>0</v>
      </c>
      <c r="O643" t="n">
        <v>0</v>
      </c>
      <c r="P643" t="n">
        <v>0</v>
      </c>
      <c r="Q643" t="n">
        <v>0</v>
      </c>
      <c r="R643" s="2" t="inlineStr"/>
    </row>
    <row r="644" ht="15" customHeight="1">
      <c r="A644" t="inlineStr">
        <is>
          <t>A 265-2026</t>
        </is>
      </c>
      <c r="B644" s="1" t="n">
        <v>46027.44956018519</v>
      </c>
      <c r="C644" s="1" t="n">
        <v>46109</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9042-2026</t>
        </is>
      </c>
      <c r="B645" s="1" t="n">
        <v>46069.54721064815</v>
      </c>
      <c r="C645" s="1" t="n">
        <v>46109</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46689-2025</t>
        </is>
      </c>
      <c r="B646" s="1" t="n">
        <v>45926.55307870371</v>
      </c>
      <c r="C646" s="1" t="n">
        <v>46109</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46275-2025</t>
        </is>
      </c>
      <c r="B647" s="1" t="n">
        <v>45925.3711574074</v>
      </c>
      <c r="C647" s="1" t="n">
        <v>46109</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46710-2025</t>
        </is>
      </c>
      <c r="B648" s="1" t="n">
        <v>45926.57337962963</v>
      </c>
      <c r="C648" s="1" t="n">
        <v>46109</v>
      </c>
      <c r="D648" t="inlineStr">
        <is>
          <t>JÄMTLANDS LÄN</t>
        </is>
      </c>
      <c r="E648" t="inlineStr">
        <is>
          <t>RAGUNDA</t>
        </is>
      </c>
      <c r="F648" t="inlineStr">
        <is>
          <t>SCA</t>
        </is>
      </c>
      <c r="G648" t="n">
        <v>6</v>
      </c>
      <c r="H648" t="n">
        <v>0</v>
      </c>
      <c r="I648" t="n">
        <v>0</v>
      </c>
      <c r="J648" t="n">
        <v>0</v>
      </c>
      <c r="K648" t="n">
        <v>0</v>
      </c>
      <c r="L648" t="n">
        <v>0</v>
      </c>
      <c r="M648" t="n">
        <v>0</v>
      </c>
      <c r="N648" t="n">
        <v>0</v>
      </c>
      <c r="O648" t="n">
        <v>0</v>
      </c>
      <c r="P648" t="n">
        <v>0</v>
      </c>
      <c r="Q648" t="n">
        <v>0</v>
      </c>
      <c r="R648" s="2" t="inlineStr"/>
    </row>
    <row r="649" ht="15" customHeight="1">
      <c r="A649" t="inlineStr">
        <is>
          <t>A 46751-2025</t>
        </is>
      </c>
      <c r="B649" s="1" t="n">
        <v>45926.6153125</v>
      </c>
      <c r="C649" s="1" t="n">
        <v>46109</v>
      </c>
      <c r="D649" t="inlineStr">
        <is>
          <t>JÄMTLANDS LÄN</t>
        </is>
      </c>
      <c r="E649" t="inlineStr">
        <is>
          <t>RAGUNDA</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46753-2025</t>
        </is>
      </c>
      <c r="B650" s="1" t="n">
        <v>45926.61552083334</v>
      </c>
      <c r="C650" s="1" t="n">
        <v>46109</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46211-2024</t>
        </is>
      </c>
      <c r="B651" s="1" t="n">
        <v>45581.55260416667</v>
      </c>
      <c r="C651" s="1" t="n">
        <v>46109</v>
      </c>
      <c r="D651" t="inlineStr">
        <is>
          <t>JÄMTLANDS LÄN</t>
        </is>
      </c>
      <c r="E651" t="inlineStr">
        <is>
          <t>RAGUNDA</t>
        </is>
      </c>
      <c r="G651" t="n">
        <v>7.3</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46109</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8679-2023</t>
        </is>
      </c>
      <c r="B653" s="1" t="n">
        <v>44977.98670138889</v>
      </c>
      <c r="C653" s="1" t="n">
        <v>46109</v>
      </c>
      <c r="D653" t="inlineStr">
        <is>
          <t>JÄMTLANDS LÄN</t>
        </is>
      </c>
      <c r="E653" t="inlineStr">
        <is>
          <t>RAGUNDA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9566-2026</t>
        </is>
      </c>
      <c r="B654" s="1" t="n">
        <v>46071.65679398148</v>
      </c>
      <c r="C654" s="1" t="n">
        <v>46109</v>
      </c>
      <c r="D654" t="inlineStr">
        <is>
          <t>JÄMTLANDS LÄN</t>
        </is>
      </c>
      <c r="E654" t="inlineStr">
        <is>
          <t>RAGUNDA</t>
        </is>
      </c>
      <c r="F654" t="inlineStr">
        <is>
          <t>SCA</t>
        </is>
      </c>
      <c r="G654" t="n">
        <v>18.9</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46109</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9538-2026</t>
        </is>
      </c>
      <c r="B656" s="1" t="n">
        <v>46071.61511574074</v>
      </c>
      <c r="C656" s="1" t="n">
        <v>46109</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46109</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647-2026</t>
        </is>
      </c>
      <c r="B658" s="1" t="n">
        <v>46029.57357638889</v>
      </c>
      <c r="C658" s="1" t="n">
        <v>46109</v>
      </c>
      <c r="D658" t="inlineStr">
        <is>
          <t>JÄMTLANDS LÄN</t>
        </is>
      </c>
      <c r="E658" t="inlineStr">
        <is>
          <t>RAGUNDA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9537-2026</t>
        </is>
      </c>
      <c r="B659" s="1" t="n">
        <v>46071.61503472222</v>
      </c>
      <c r="C659" s="1" t="n">
        <v>46109</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46109</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47228-2025</t>
        </is>
      </c>
      <c r="B661" s="1" t="n">
        <v>45930.3990162037</v>
      </c>
      <c r="C661" s="1" t="n">
        <v>46109</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46974-2025</t>
        </is>
      </c>
      <c r="B662" s="1" t="n">
        <v>45929.51104166666</v>
      </c>
      <c r="C662" s="1" t="n">
        <v>46109</v>
      </c>
      <c r="D662" t="inlineStr">
        <is>
          <t>JÄMTLANDS LÄN</t>
        </is>
      </c>
      <c r="E662" t="inlineStr">
        <is>
          <t>RAGUNDA</t>
        </is>
      </c>
      <c r="F662" t="inlineStr">
        <is>
          <t>SCA</t>
        </is>
      </c>
      <c r="G662" t="n">
        <v>12.1</v>
      </c>
      <c r="H662" t="n">
        <v>0</v>
      </c>
      <c r="I662" t="n">
        <v>0</v>
      </c>
      <c r="J662" t="n">
        <v>0</v>
      </c>
      <c r="K662" t="n">
        <v>0</v>
      </c>
      <c r="L662" t="n">
        <v>0</v>
      </c>
      <c r="M662" t="n">
        <v>0</v>
      </c>
      <c r="N662" t="n">
        <v>0</v>
      </c>
      <c r="O662" t="n">
        <v>0</v>
      </c>
      <c r="P662" t="n">
        <v>0</v>
      </c>
      <c r="Q662" t="n">
        <v>0</v>
      </c>
      <c r="R662" s="2" t="inlineStr"/>
    </row>
    <row r="663" ht="15" customHeight="1">
      <c r="A663" t="inlineStr">
        <is>
          <t>A 47037-2025</t>
        </is>
      </c>
      <c r="B663" s="1" t="n">
        <v>45929.59456018519</v>
      </c>
      <c r="C663" s="1" t="n">
        <v>46109</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47119-2025</t>
        </is>
      </c>
      <c r="B664" s="1" t="n">
        <v>45929.67795138889</v>
      </c>
      <c r="C664" s="1" t="n">
        <v>46109</v>
      </c>
      <c r="D664" t="inlineStr">
        <is>
          <t>JÄMTLANDS LÄN</t>
        </is>
      </c>
      <c r="E664" t="inlineStr">
        <is>
          <t>RAGUNDA</t>
        </is>
      </c>
      <c r="F664" t="inlineStr">
        <is>
          <t>SCA</t>
        </is>
      </c>
      <c r="G664" t="n">
        <v>22.7</v>
      </c>
      <c r="H664" t="n">
        <v>0</v>
      </c>
      <c r="I664" t="n">
        <v>0</v>
      </c>
      <c r="J664" t="n">
        <v>0</v>
      </c>
      <c r="K664" t="n">
        <v>0</v>
      </c>
      <c r="L664" t="n">
        <v>0</v>
      </c>
      <c r="M664" t="n">
        <v>0</v>
      </c>
      <c r="N664" t="n">
        <v>0</v>
      </c>
      <c r="O664" t="n">
        <v>0</v>
      </c>
      <c r="P664" t="n">
        <v>0</v>
      </c>
      <c r="Q664" t="n">
        <v>0</v>
      </c>
      <c r="R664" s="2" t="inlineStr"/>
    </row>
    <row r="665" ht="15" customHeight="1">
      <c r="A665" t="inlineStr">
        <is>
          <t>A 47122-2025</t>
        </is>
      </c>
      <c r="B665" s="1" t="n">
        <v>45929.67878472222</v>
      </c>
      <c r="C665" s="1" t="n">
        <v>46109</v>
      </c>
      <c r="D665" t="inlineStr">
        <is>
          <t>JÄMTLANDS LÄN</t>
        </is>
      </c>
      <c r="E665" t="inlineStr">
        <is>
          <t>RAGUNDA</t>
        </is>
      </c>
      <c r="F665" t="inlineStr">
        <is>
          <t>SCA</t>
        </is>
      </c>
      <c r="G665" t="n">
        <v>31.1</v>
      </c>
      <c r="H665" t="n">
        <v>0</v>
      </c>
      <c r="I665" t="n">
        <v>0</v>
      </c>
      <c r="J665" t="n">
        <v>0</v>
      </c>
      <c r="K665" t="n">
        <v>0</v>
      </c>
      <c r="L665" t="n">
        <v>0</v>
      </c>
      <c r="M665" t="n">
        <v>0</v>
      </c>
      <c r="N665" t="n">
        <v>0</v>
      </c>
      <c r="O665" t="n">
        <v>0</v>
      </c>
      <c r="P665" t="n">
        <v>0</v>
      </c>
      <c r="Q665" t="n">
        <v>0</v>
      </c>
      <c r="R665" s="2" t="inlineStr"/>
    </row>
    <row r="666" ht="15" customHeight="1">
      <c r="A666" t="inlineStr">
        <is>
          <t>A 9513-2026</t>
        </is>
      </c>
      <c r="B666" s="1" t="n">
        <v>46071.59444444445</v>
      </c>
      <c r="C666" s="1" t="n">
        <v>46109</v>
      </c>
      <c r="D666" t="inlineStr">
        <is>
          <t>JÄMTLANDS LÄN</t>
        </is>
      </c>
      <c r="E666" t="inlineStr">
        <is>
          <t>RAGUNDA</t>
        </is>
      </c>
      <c r="F666" t="inlineStr">
        <is>
          <t>SCA</t>
        </is>
      </c>
      <c r="G666" t="n">
        <v>26.1</v>
      </c>
      <c r="H666" t="n">
        <v>0</v>
      </c>
      <c r="I666" t="n">
        <v>0</v>
      </c>
      <c r="J666" t="n">
        <v>0</v>
      </c>
      <c r="K666" t="n">
        <v>0</v>
      </c>
      <c r="L666" t="n">
        <v>0</v>
      </c>
      <c r="M666" t="n">
        <v>0</v>
      </c>
      <c r="N666" t="n">
        <v>0</v>
      </c>
      <c r="O666" t="n">
        <v>0</v>
      </c>
      <c r="P666" t="n">
        <v>0</v>
      </c>
      <c r="Q666" t="n">
        <v>0</v>
      </c>
      <c r="R666" s="2" t="inlineStr"/>
    </row>
    <row r="667" ht="15" customHeight="1">
      <c r="A667" t="inlineStr">
        <is>
          <t>A 46909-2025</t>
        </is>
      </c>
      <c r="B667" s="1" t="n">
        <v>45929.40673611111</v>
      </c>
      <c r="C667" s="1" t="n">
        <v>46109</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26640-2025</t>
        </is>
      </c>
      <c r="B668" s="1" t="n">
        <v>45810.36495370371</v>
      </c>
      <c r="C668" s="1" t="n">
        <v>46109</v>
      </c>
      <c r="D668" t="inlineStr">
        <is>
          <t>JÄMTLANDS LÄN</t>
        </is>
      </c>
      <c r="E668" t="inlineStr">
        <is>
          <t>RAGUNDA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40919-2024</t>
        </is>
      </c>
      <c r="B669" s="1" t="n">
        <v>45558.63575231482</v>
      </c>
      <c r="C669" s="1" t="n">
        <v>46109</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9736-2026</t>
        </is>
      </c>
      <c r="B670" s="1" t="n">
        <v>46072.49005787037</v>
      </c>
      <c r="C670" s="1" t="n">
        <v>46109</v>
      </c>
      <c r="D670" t="inlineStr">
        <is>
          <t>JÄMTLANDS LÄN</t>
        </is>
      </c>
      <c r="E670" t="inlineStr">
        <is>
          <t>RAGUNDA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15024-2022</t>
        </is>
      </c>
      <c r="B671" s="1" t="n">
        <v>44657</v>
      </c>
      <c r="C671" s="1" t="n">
        <v>46109</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53762-2023</t>
        </is>
      </c>
      <c r="B672" s="1" t="n">
        <v>45230.96376157407</v>
      </c>
      <c r="C672" s="1" t="n">
        <v>46109</v>
      </c>
      <c r="D672" t="inlineStr">
        <is>
          <t>JÄMTLANDS LÄN</t>
        </is>
      </c>
      <c r="E672" t="inlineStr">
        <is>
          <t>RAGUNDA</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1333-2026</t>
        </is>
      </c>
      <c r="B673" s="1" t="n">
        <v>46031.57340277778</v>
      </c>
      <c r="C673" s="1" t="n">
        <v>46109</v>
      </c>
      <c r="D673" t="inlineStr">
        <is>
          <t>JÄMTLANDS LÄN</t>
        </is>
      </c>
      <c r="E673" t="inlineStr">
        <is>
          <t>RAGUNDA</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47229-2025</t>
        </is>
      </c>
      <c r="B674" s="1" t="n">
        <v>45930.40166666666</v>
      </c>
      <c r="C674" s="1" t="n">
        <v>46109</v>
      </c>
      <c r="D674" t="inlineStr">
        <is>
          <t>JÄMTLANDS LÄN</t>
        </is>
      </c>
      <c r="E674" t="inlineStr">
        <is>
          <t>RAGUNDA</t>
        </is>
      </c>
      <c r="G674" t="n">
        <v>1.8</v>
      </c>
      <c r="H674" t="n">
        <v>0</v>
      </c>
      <c r="I674" t="n">
        <v>0</v>
      </c>
      <c r="J674" t="n">
        <v>0</v>
      </c>
      <c r="K674" t="n">
        <v>0</v>
      </c>
      <c r="L674" t="n">
        <v>0</v>
      </c>
      <c r="M674" t="n">
        <v>0</v>
      </c>
      <c r="N674" t="n">
        <v>0</v>
      </c>
      <c r="O674" t="n">
        <v>0</v>
      </c>
      <c r="P674" t="n">
        <v>0</v>
      </c>
      <c r="Q674" t="n">
        <v>0</v>
      </c>
      <c r="R674" s="2" t="inlineStr"/>
    </row>
    <row r="675" ht="15" customHeight="1">
      <c r="A675" t="inlineStr">
        <is>
          <t>A 47075-2025</t>
        </is>
      </c>
      <c r="B675" s="1" t="n">
        <v>45929.63728009259</v>
      </c>
      <c r="C675" s="1" t="n">
        <v>46109</v>
      </c>
      <c r="D675" t="inlineStr">
        <is>
          <t>JÄMTLANDS LÄN</t>
        </is>
      </c>
      <c r="E675" t="inlineStr">
        <is>
          <t>RAGUNDA</t>
        </is>
      </c>
      <c r="F675" t="inlineStr">
        <is>
          <t>SCA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46825-2025</t>
        </is>
      </c>
      <c r="B676" s="1" t="n">
        <v>45926.92506944444</v>
      </c>
      <c r="C676" s="1" t="n">
        <v>46109</v>
      </c>
      <c r="D676" t="inlineStr">
        <is>
          <t>JÄMTLANDS LÄN</t>
        </is>
      </c>
      <c r="E676" t="inlineStr">
        <is>
          <t>RAGUNDA</t>
        </is>
      </c>
      <c r="G676" t="n">
        <v>1.4</v>
      </c>
      <c r="H676" t="n">
        <v>0</v>
      </c>
      <c r="I676" t="n">
        <v>0</v>
      </c>
      <c r="J676" t="n">
        <v>0</v>
      </c>
      <c r="K676" t="n">
        <v>0</v>
      </c>
      <c r="L676" t="n">
        <v>0</v>
      </c>
      <c r="M676" t="n">
        <v>0</v>
      </c>
      <c r="N676" t="n">
        <v>0</v>
      </c>
      <c r="O676" t="n">
        <v>0</v>
      </c>
      <c r="P676" t="n">
        <v>0</v>
      </c>
      <c r="Q676" t="n">
        <v>0</v>
      </c>
      <c r="R676" s="2" t="inlineStr"/>
    </row>
    <row r="677" ht="15" customHeight="1">
      <c r="A677" t="inlineStr">
        <is>
          <t>A 47749-2025</t>
        </is>
      </c>
      <c r="B677" s="1" t="n">
        <v>45931.65711805555</v>
      </c>
      <c r="C677" s="1" t="n">
        <v>46109</v>
      </c>
      <c r="D677" t="inlineStr">
        <is>
          <t>JÄMTLANDS LÄN</t>
        </is>
      </c>
      <c r="E677" t="inlineStr">
        <is>
          <t>RAGUNDA</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19089-2024</t>
        </is>
      </c>
      <c r="B678" s="1" t="n">
        <v>45428.00471064815</v>
      </c>
      <c r="C678" s="1" t="n">
        <v>46109</v>
      </c>
      <c r="D678" t="inlineStr">
        <is>
          <t>JÄMTLANDS LÄN</t>
        </is>
      </c>
      <c r="E678" t="inlineStr">
        <is>
          <t>RAGUNDA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48192-2024</t>
        </is>
      </c>
      <c r="B679" s="1" t="n">
        <v>45590</v>
      </c>
      <c r="C679" s="1" t="n">
        <v>46109</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12768-2022</t>
        </is>
      </c>
      <c r="B680" s="1" t="n">
        <v>44641</v>
      </c>
      <c r="C680" s="1" t="n">
        <v>46109</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46109</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19438-2023</t>
        </is>
      </c>
      <c r="B682" s="1" t="n">
        <v>45049</v>
      </c>
      <c r="C682" s="1" t="n">
        <v>46109</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10344-2026</t>
        </is>
      </c>
      <c r="B683" s="1" t="n">
        <v>46076.68523148148</v>
      </c>
      <c r="C683" s="1" t="n">
        <v>46109</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10090-2026</t>
        </is>
      </c>
      <c r="B684" s="1" t="n">
        <v>46073.69875</v>
      </c>
      <c r="C684" s="1" t="n">
        <v>46109</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21332-2025</t>
        </is>
      </c>
      <c r="B685" s="1" t="n">
        <v>45782.36506944444</v>
      </c>
      <c r="C685" s="1" t="n">
        <v>46109</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47748-2025</t>
        </is>
      </c>
      <c r="B686" s="1" t="n">
        <v>45931.65693287037</v>
      </c>
      <c r="C686" s="1" t="n">
        <v>46109</v>
      </c>
      <c r="D686" t="inlineStr">
        <is>
          <t>JÄMTLANDS LÄN</t>
        </is>
      </c>
      <c r="E686" t="inlineStr">
        <is>
          <t>RAGUNDA</t>
        </is>
      </c>
      <c r="F686" t="inlineStr">
        <is>
          <t>SCA</t>
        </is>
      </c>
      <c r="G686" t="n">
        <v>8.6</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46109</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48742-2025</t>
        </is>
      </c>
      <c r="B688" s="1" t="n">
        <v>45936.67810185185</v>
      </c>
      <c r="C688" s="1" t="n">
        <v>46109</v>
      </c>
      <c r="D688" t="inlineStr">
        <is>
          <t>JÄMTLANDS LÄN</t>
        </is>
      </c>
      <c r="E688" t="inlineStr">
        <is>
          <t>RAGUNDA</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18375-2022</t>
        </is>
      </c>
      <c r="B689" s="1" t="n">
        <v>44685</v>
      </c>
      <c r="C689" s="1" t="n">
        <v>46109</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55536-2024</t>
        </is>
      </c>
      <c r="B690" s="1" t="n">
        <v>45622</v>
      </c>
      <c r="C690" s="1" t="n">
        <v>46109</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2411-2023</t>
        </is>
      </c>
      <c r="B691" s="1" t="n">
        <v>44942</v>
      </c>
      <c r="C691" s="1" t="n">
        <v>46109</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11834-2023</t>
        </is>
      </c>
      <c r="B692" s="1" t="n">
        <v>44994.94296296296</v>
      </c>
      <c r="C692" s="1" t="n">
        <v>46109</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53264-2024</t>
        </is>
      </c>
      <c r="B693" s="1" t="n">
        <v>45614.34545138889</v>
      </c>
      <c r="C693" s="1" t="n">
        <v>46109</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48748-2025</t>
        </is>
      </c>
      <c r="B694" s="1" t="n">
        <v>45936.67912037037</v>
      </c>
      <c r="C694" s="1" t="n">
        <v>46109</v>
      </c>
      <c r="D694" t="inlineStr">
        <is>
          <t>JÄMTLANDS LÄN</t>
        </is>
      </c>
      <c r="E694" t="inlineStr">
        <is>
          <t>RAGUNDA</t>
        </is>
      </c>
      <c r="F694" t="inlineStr">
        <is>
          <t>SCA</t>
        </is>
      </c>
      <c r="G694" t="n">
        <v>11.1</v>
      </c>
      <c r="H694" t="n">
        <v>0</v>
      </c>
      <c r="I694" t="n">
        <v>0</v>
      </c>
      <c r="J694" t="n">
        <v>0</v>
      </c>
      <c r="K694" t="n">
        <v>0</v>
      </c>
      <c r="L694" t="n">
        <v>0</v>
      </c>
      <c r="M694" t="n">
        <v>0</v>
      </c>
      <c r="N694" t="n">
        <v>0</v>
      </c>
      <c r="O694" t="n">
        <v>0</v>
      </c>
      <c r="P694" t="n">
        <v>0</v>
      </c>
      <c r="Q694" t="n">
        <v>0</v>
      </c>
      <c r="R694" s="2" t="inlineStr"/>
    </row>
    <row r="695" ht="15" customHeight="1">
      <c r="A695" t="inlineStr">
        <is>
          <t>A 50431-2024</t>
        </is>
      </c>
      <c r="B695" s="1" t="n">
        <v>45601.40686342592</v>
      </c>
      <c r="C695" s="1" t="n">
        <v>46109</v>
      </c>
      <c r="D695" t="inlineStr">
        <is>
          <t>JÄMTLANDS LÄN</t>
        </is>
      </c>
      <c r="E695" t="inlineStr">
        <is>
          <t>RAGUNDA</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16334-2025</t>
        </is>
      </c>
      <c r="B696" s="1" t="n">
        <v>45751.36490740741</v>
      </c>
      <c r="C696" s="1" t="n">
        <v>46109</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10740-2026</t>
        </is>
      </c>
      <c r="B697" s="1" t="n">
        <v>46078.5109375</v>
      </c>
      <c r="C697" s="1" t="n">
        <v>46109</v>
      </c>
      <c r="D697" t="inlineStr">
        <is>
          <t>JÄMTLANDS LÄN</t>
        </is>
      </c>
      <c r="E697" t="inlineStr">
        <is>
          <t>RAGUNDA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48746-2025</t>
        </is>
      </c>
      <c r="B698" s="1" t="n">
        <v>45936.67878472222</v>
      </c>
      <c r="C698" s="1" t="n">
        <v>46109</v>
      </c>
      <c r="D698" t="inlineStr">
        <is>
          <t>JÄMTLANDS LÄN</t>
        </is>
      </c>
      <c r="E698" t="inlineStr">
        <is>
          <t>RAGUNDA</t>
        </is>
      </c>
      <c r="F698" t="inlineStr">
        <is>
          <t>SCA</t>
        </is>
      </c>
      <c r="G698" t="n">
        <v>6.5</v>
      </c>
      <c r="H698" t="n">
        <v>0</v>
      </c>
      <c r="I698" t="n">
        <v>0</v>
      </c>
      <c r="J698" t="n">
        <v>0</v>
      </c>
      <c r="K698" t="n">
        <v>0</v>
      </c>
      <c r="L698" t="n">
        <v>0</v>
      </c>
      <c r="M698" t="n">
        <v>0</v>
      </c>
      <c r="N698" t="n">
        <v>0</v>
      </c>
      <c r="O698" t="n">
        <v>0</v>
      </c>
      <c r="P698" t="n">
        <v>0</v>
      </c>
      <c r="Q698" t="n">
        <v>0</v>
      </c>
      <c r="R698" s="2" t="inlineStr"/>
    </row>
    <row r="699" ht="15" customHeight="1">
      <c r="A699" t="inlineStr">
        <is>
          <t>A 2173-2026</t>
        </is>
      </c>
      <c r="B699" s="1" t="n">
        <v>46036.44984953704</v>
      </c>
      <c r="C699" s="1" t="n">
        <v>46109</v>
      </c>
      <c r="D699" t="inlineStr">
        <is>
          <t>JÄMTLANDS LÄN</t>
        </is>
      </c>
      <c r="E699" t="inlineStr">
        <is>
          <t>RAGUNDA</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19404-2025</t>
        </is>
      </c>
      <c r="B700" s="1" t="n">
        <v>45769.67802083334</v>
      </c>
      <c r="C700" s="1" t="n">
        <v>46109</v>
      </c>
      <c r="D700" t="inlineStr">
        <is>
          <t>JÄMTLANDS LÄN</t>
        </is>
      </c>
      <c r="E700" t="inlineStr">
        <is>
          <t>RAGUNDA</t>
        </is>
      </c>
      <c r="F700" t="inlineStr">
        <is>
          <t>SCA</t>
        </is>
      </c>
      <c r="G700" t="n">
        <v>3</v>
      </c>
      <c r="H700" t="n">
        <v>0</v>
      </c>
      <c r="I700" t="n">
        <v>0</v>
      </c>
      <c r="J700" t="n">
        <v>0</v>
      </c>
      <c r="K700" t="n">
        <v>0</v>
      </c>
      <c r="L700" t="n">
        <v>0</v>
      </c>
      <c r="M700" t="n">
        <v>0</v>
      </c>
      <c r="N700" t="n">
        <v>0</v>
      </c>
      <c r="O700" t="n">
        <v>0</v>
      </c>
      <c r="P700" t="n">
        <v>0</v>
      </c>
      <c r="Q700" t="n">
        <v>0</v>
      </c>
      <c r="R700" s="2" t="inlineStr"/>
      <c r="U700">
        <f>HYPERLINK("https://klasma.github.io/Logging_2303/knärot/A 19404-2025 karta knärot.png", "A 19404-2025")</f>
        <v/>
      </c>
      <c r="V700">
        <f>HYPERLINK("https://klasma.github.io/Logging_2303/klagomål/A 19404-2025 FSC-klagomål.docx", "A 19404-2025")</f>
        <v/>
      </c>
      <c r="W700">
        <f>HYPERLINK("https://klasma.github.io/Logging_2303/klagomålsmail/A 19404-2025 FSC-klagomål mail.docx", "A 19404-2025")</f>
        <v/>
      </c>
      <c r="X700">
        <f>HYPERLINK("https://klasma.github.io/Logging_2303/tillsyn/A 19404-2025 tillsynsbegäran.docx", "A 19404-2025")</f>
        <v/>
      </c>
      <c r="Y700">
        <f>HYPERLINK("https://klasma.github.io/Logging_2303/tillsynsmail/A 19404-2025 tillsynsbegäran mail.docx", "A 19404-2025")</f>
        <v/>
      </c>
    </row>
    <row r="701" ht="15" customHeight="1">
      <c r="A701" t="inlineStr">
        <is>
          <t>A 7284-2024</t>
        </is>
      </c>
      <c r="B701" s="1" t="n">
        <v>45344.92865740741</v>
      </c>
      <c r="C701" s="1" t="n">
        <v>46109</v>
      </c>
      <c r="D701" t="inlineStr">
        <is>
          <t>JÄMTLANDS LÄN</t>
        </is>
      </c>
      <c r="E701" t="inlineStr">
        <is>
          <t>RAGUNDA</t>
        </is>
      </c>
      <c r="G701" t="n">
        <v>2.1</v>
      </c>
      <c r="H701" t="n">
        <v>0</v>
      </c>
      <c r="I701" t="n">
        <v>0</v>
      </c>
      <c r="J701" t="n">
        <v>0</v>
      </c>
      <c r="K701" t="n">
        <v>0</v>
      </c>
      <c r="L701" t="n">
        <v>0</v>
      </c>
      <c r="M701" t="n">
        <v>0</v>
      </c>
      <c r="N701" t="n">
        <v>0</v>
      </c>
      <c r="O701" t="n">
        <v>0</v>
      </c>
      <c r="P701" t="n">
        <v>0</v>
      </c>
      <c r="Q701" t="n">
        <v>0</v>
      </c>
      <c r="R701" s="2" t="inlineStr"/>
    </row>
    <row r="702" ht="15" customHeight="1">
      <c r="A702" t="inlineStr">
        <is>
          <t>A 7285-2024</t>
        </is>
      </c>
      <c r="B702" s="1" t="n">
        <v>45344.92873842592</v>
      </c>
      <c r="C702" s="1" t="n">
        <v>46109</v>
      </c>
      <c r="D702" t="inlineStr">
        <is>
          <t>JÄMTLANDS LÄN</t>
        </is>
      </c>
      <c r="E702" t="inlineStr">
        <is>
          <t>RAGUNDA</t>
        </is>
      </c>
      <c r="G702" t="n">
        <v>0.5</v>
      </c>
      <c r="H702" t="n">
        <v>0</v>
      </c>
      <c r="I702" t="n">
        <v>0</v>
      </c>
      <c r="J702" t="n">
        <v>0</v>
      </c>
      <c r="K702" t="n">
        <v>0</v>
      </c>
      <c r="L702" t="n">
        <v>0</v>
      </c>
      <c r="M702" t="n">
        <v>0</v>
      </c>
      <c r="N702" t="n">
        <v>0</v>
      </c>
      <c r="O702" t="n">
        <v>0</v>
      </c>
      <c r="P702" t="n">
        <v>0</v>
      </c>
      <c r="Q702" t="n">
        <v>0</v>
      </c>
      <c r="R702" s="2" t="inlineStr"/>
    </row>
    <row r="703" ht="15" customHeight="1">
      <c r="A703" t="inlineStr">
        <is>
          <t>A 2242-2024</t>
        </is>
      </c>
      <c r="B703" s="1" t="n">
        <v>45309</v>
      </c>
      <c r="C703" s="1" t="n">
        <v>46109</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2248-2024</t>
        </is>
      </c>
      <c r="B704" s="1" t="n">
        <v>45309</v>
      </c>
      <c r="C704" s="1" t="n">
        <v>46109</v>
      </c>
      <c r="D704" t="inlineStr">
        <is>
          <t>JÄMTLANDS LÄN</t>
        </is>
      </c>
      <c r="E704" t="inlineStr">
        <is>
          <t>RAGUNDA</t>
        </is>
      </c>
      <c r="G704" t="n">
        <v>4.2</v>
      </c>
      <c r="H704" t="n">
        <v>0</v>
      </c>
      <c r="I704" t="n">
        <v>0</v>
      </c>
      <c r="J704" t="n">
        <v>0</v>
      </c>
      <c r="K704" t="n">
        <v>0</v>
      </c>
      <c r="L704" t="n">
        <v>0</v>
      </c>
      <c r="M704" t="n">
        <v>0</v>
      </c>
      <c r="N704" t="n">
        <v>0</v>
      </c>
      <c r="O704" t="n">
        <v>0</v>
      </c>
      <c r="P704" t="n">
        <v>0</v>
      </c>
      <c r="Q704" t="n">
        <v>0</v>
      </c>
      <c r="R704" s="2" t="inlineStr"/>
    </row>
    <row r="705" ht="15" customHeight="1">
      <c r="A705" t="inlineStr">
        <is>
          <t>A 2233-2026</t>
        </is>
      </c>
      <c r="B705" s="1" t="n">
        <v>46036.53207175926</v>
      </c>
      <c r="C705" s="1" t="n">
        <v>46109</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49059-2025</t>
        </is>
      </c>
      <c r="B706" s="1" t="n">
        <v>45937.64123842592</v>
      </c>
      <c r="C706" s="1" t="n">
        <v>46109</v>
      </c>
      <c r="D706" t="inlineStr">
        <is>
          <t>JÄMTLANDS LÄN</t>
        </is>
      </c>
      <c r="E706" t="inlineStr">
        <is>
          <t>RAGUNDA</t>
        </is>
      </c>
      <c r="G706" t="n">
        <v>2.1</v>
      </c>
      <c r="H706" t="n">
        <v>0</v>
      </c>
      <c r="I706" t="n">
        <v>0</v>
      </c>
      <c r="J706" t="n">
        <v>0</v>
      </c>
      <c r="K706" t="n">
        <v>0</v>
      </c>
      <c r="L706" t="n">
        <v>0</v>
      </c>
      <c r="M706" t="n">
        <v>0</v>
      </c>
      <c r="N706" t="n">
        <v>0</v>
      </c>
      <c r="O706" t="n">
        <v>0</v>
      </c>
      <c r="P706" t="n">
        <v>0</v>
      </c>
      <c r="Q706" t="n">
        <v>0</v>
      </c>
      <c r="R706" s="2" t="inlineStr"/>
    </row>
    <row r="707" ht="15" customHeight="1">
      <c r="A707" t="inlineStr">
        <is>
          <t>A 49092-2025</t>
        </is>
      </c>
      <c r="B707" s="1" t="n">
        <v>45937.67792824074</v>
      </c>
      <c r="C707" s="1" t="n">
        <v>46109</v>
      </c>
      <c r="D707" t="inlineStr">
        <is>
          <t>JÄMTLANDS LÄN</t>
        </is>
      </c>
      <c r="E707" t="inlineStr">
        <is>
          <t>RAGUNDA</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49193-2025</t>
        </is>
      </c>
      <c r="B708" s="1" t="n">
        <v>45938.40831018519</v>
      </c>
      <c r="C708" s="1" t="n">
        <v>46109</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10649-2026</t>
        </is>
      </c>
      <c r="B709" s="1" t="n">
        <v>46078.34486111111</v>
      </c>
      <c r="C709" s="1" t="n">
        <v>46109</v>
      </c>
      <c r="D709" t="inlineStr">
        <is>
          <t>JÄMTLANDS LÄN</t>
        </is>
      </c>
      <c r="E709" t="inlineStr">
        <is>
          <t>RAGUNDA</t>
        </is>
      </c>
      <c r="F709" t="inlineStr">
        <is>
          <t>SCA</t>
        </is>
      </c>
      <c r="G709" t="n">
        <v>45.5</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46109</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18989-2025</t>
        </is>
      </c>
      <c r="B711" s="1" t="n">
        <v>45764</v>
      </c>
      <c r="C711" s="1" t="n">
        <v>46109</v>
      </c>
      <c r="D711" t="inlineStr">
        <is>
          <t>JÄMTLANDS LÄN</t>
        </is>
      </c>
      <c r="E711" t="inlineStr">
        <is>
          <t>RAGUNDA</t>
        </is>
      </c>
      <c r="G711" t="n">
        <v>0.9</v>
      </c>
      <c r="H711" t="n">
        <v>0</v>
      </c>
      <c r="I711" t="n">
        <v>0</v>
      </c>
      <c r="J711" t="n">
        <v>0</v>
      </c>
      <c r="K711" t="n">
        <v>0</v>
      </c>
      <c r="L711" t="n">
        <v>0</v>
      </c>
      <c r="M711" t="n">
        <v>0</v>
      </c>
      <c r="N711" t="n">
        <v>0</v>
      </c>
      <c r="O711" t="n">
        <v>0</v>
      </c>
      <c r="P711" t="n">
        <v>0</v>
      </c>
      <c r="Q711" t="n">
        <v>0</v>
      </c>
      <c r="R711" s="2" t="inlineStr"/>
    </row>
    <row r="712" ht="15" customHeight="1">
      <c r="A712" t="inlineStr">
        <is>
          <t>A 2271-2026</t>
        </is>
      </c>
      <c r="B712" s="1" t="n">
        <v>46036.57347222222</v>
      </c>
      <c r="C712" s="1" t="n">
        <v>46109</v>
      </c>
      <c r="D712" t="inlineStr">
        <is>
          <t>JÄMTLANDS LÄN</t>
        </is>
      </c>
      <c r="E712" t="inlineStr">
        <is>
          <t>RAGUNDA</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49290-2025</t>
        </is>
      </c>
      <c r="B713" s="1" t="n">
        <v>45938.53168981482</v>
      </c>
      <c r="C713" s="1" t="n">
        <v>46109</v>
      </c>
      <c r="D713" t="inlineStr">
        <is>
          <t>JÄMTLANDS LÄN</t>
        </is>
      </c>
      <c r="E713" t="inlineStr">
        <is>
          <t>RAGUNDA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10410-2026</t>
        </is>
      </c>
      <c r="B714" s="1" t="n">
        <v>46077.34527777778</v>
      </c>
      <c r="C714" s="1" t="n">
        <v>46109</v>
      </c>
      <c r="D714" t="inlineStr">
        <is>
          <t>JÄMTLANDS LÄN</t>
        </is>
      </c>
      <c r="E714" t="inlineStr">
        <is>
          <t>RAGUNDA</t>
        </is>
      </c>
      <c r="F714" t="inlineStr">
        <is>
          <t>SCA</t>
        </is>
      </c>
      <c r="G714" t="n">
        <v>46.5</v>
      </c>
      <c r="H714" t="n">
        <v>0</v>
      </c>
      <c r="I714" t="n">
        <v>0</v>
      </c>
      <c r="J714" t="n">
        <v>0</v>
      </c>
      <c r="K714" t="n">
        <v>0</v>
      </c>
      <c r="L714" t="n">
        <v>0</v>
      </c>
      <c r="M714" t="n">
        <v>0</v>
      </c>
      <c r="N714" t="n">
        <v>0</v>
      </c>
      <c r="O714" t="n">
        <v>0</v>
      </c>
      <c r="P714" t="n">
        <v>0</v>
      </c>
      <c r="Q714" t="n">
        <v>0</v>
      </c>
      <c r="R714" s="2" t="inlineStr"/>
    </row>
    <row r="715" ht="15" customHeight="1">
      <c r="A715" t="inlineStr">
        <is>
          <t>A 49238-2025</t>
        </is>
      </c>
      <c r="B715" s="1" t="n">
        <v>45938.48231481481</v>
      </c>
      <c r="C715" s="1" t="n">
        <v>46109</v>
      </c>
      <c r="D715" t="inlineStr">
        <is>
          <t>JÄMTLANDS LÄN</t>
        </is>
      </c>
      <c r="E715" t="inlineStr">
        <is>
          <t>RAGUNDA</t>
        </is>
      </c>
      <c r="G715" t="n">
        <v>4.7</v>
      </c>
      <c r="H715" t="n">
        <v>0</v>
      </c>
      <c r="I715" t="n">
        <v>0</v>
      </c>
      <c r="J715" t="n">
        <v>0</v>
      </c>
      <c r="K715" t="n">
        <v>0</v>
      </c>
      <c r="L715" t="n">
        <v>0</v>
      </c>
      <c r="M715" t="n">
        <v>0</v>
      </c>
      <c r="N715" t="n">
        <v>0</v>
      </c>
      <c r="O715" t="n">
        <v>0</v>
      </c>
      <c r="P715" t="n">
        <v>0</v>
      </c>
      <c r="Q715" t="n">
        <v>0</v>
      </c>
      <c r="R715" s="2" t="inlineStr"/>
    </row>
    <row r="716" ht="15" customHeight="1">
      <c r="A716" t="inlineStr">
        <is>
          <t>A 24197-2024</t>
        </is>
      </c>
      <c r="B716" s="1" t="n">
        <v>45456.96601851852</v>
      </c>
      <c r="C716" s="1" t="n">
        <v>46109</v>
      </c>
      <c r="D716" t="inlineStr">
        <is>
          <t>JÄMTLANDS LÄN</t>
        </is>
      </c>
      <c r="E716" t="inlineStr">
        <is>
          <t>RAGUNDA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4916-2025</t>
        </is>
      </c>
      <c r="B717" s="1" t="n">
        <v>45688.68196759259</v>
      </c>
      <c r="C717" s="1" t="n">
        <v>46109</v>
      </c>
      <c r="D717" t="inlineStr">
        <is>
          <t>JÄMTLANDS LÄN</t>
        </is>
      </c>
      <c r="E717" t="inlineStr">
        <is>
          <t>RAGUNDA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49639-2025</t>
        </is>
      </c>
      <c r="B718" s="1" t="n">
        <v>45939.61253472222</v>
      </c>
      <c r="C718" s="1" t="n">
        <v>46109</v>
      </c>
      <c r="D718" t="inlineStr">
        <is>
          <t>JÄMTLANDS LÄN</t>
        </is>
      </c>
      <c r="E718" t="inlineStr">
        <is>
          <t>RAGUNDA</t>
        </is>
      </c>
      <c r="F718" t="inlineStr">
        <is>
          <t>Kommuner</t>
        </is>
      </c>
      <c r="G718" t="n">
        <v>13.6</v>
      </c>
      <c r="H718" t="n">
        <v>0</v>
      </c>
      <c r="I718" t="n">
        <v>0</v>
      </c>
      <c r="J718" t="n">
        <v>0</v>
      </c>
      <c r="K718" t="n">
        <v>0</v>
      </c>
      <c r="L718" t="n">
        <v>0</v>
      </c>
      <c r="M718" t="n">
        <v>0</v>
      </c>
      <c r="N718" t="n">
        <v>0</v>
      </c>
      <c r="O718" t="n">
        <v>0</v>
      </c>
      <c r="P718" t="n">
        <v>0</v>
      </c>
      <c r="Q718" t="n">
        <v>0</v>
      </c>
      <c r="R718" s="2" t="inlineStr"/>
    </row>
    <row r="719" ht="15" customHeight="1">
      <c r="A719" t="inlineStr">
        <is>
          <t>A 10570-2026</t>
        </is>
      </c>
      <c r="B719" s="1" t="n">
        <v>46077.6568287037</v>
      </c>
      <c r="C719" s="1" t="n">
        <v>46109</v>
      </c>
      <c r="D719" t="inlineStr">
        <is>
          <t>JÄMTLANDS LÄN</t>
        </is>
      </c>
      <c r="E719" t="inlineStr">
        <is>
          <t>RAGUNDA</t>
        </is>
      </c>
      <c r="F719" t="inlineStr">
        <is>
          <t>SCA</t>
        </is>
      </c>
      <c r="G719" t="n">
        <v>22.9</v>
      </c>
      <c r="H719" t="n">
        <v>0</v>
      </c>
      <c r="I719" t="n">
        <v>0</v>
      </c>
      <c r="J719" t="n">
        <v>0</v>
      </c>
      <c r="K719" t="n">
        <v>0</v>
      </c>
      <c r="L719" t="n">
        <v>0</v>
      </c>
      <c r="M719" t="n">
        <v>0</v>
      </c>
      <c r="N719" t="n">
        <v>0</v>
      </c>
      <c r="O719" t="n">
        <v>0</v>
      </c>
      <c r="P719" t="n">
        <v>0</v>
      </c>
      <c r="Q719" t="n">
        <v>0</v>
      </c>
      <c r="R719" s="2" t="inlineStr"/>
    </row>
    <row r="720" ht="15" customHeight="1">
      <c r="A720" t="inlineStr">
        <is>
          <t>A 2156-2026</t>
        </is>
      </c>
      <c r="B720" s="1" t="n">
        <v>46036.42771990741</v>
      </c>
      <c r="C720" s="1" t="n">
        <v>46109</v>
      </c>
      <c r="D720" t="inlineStr">
        <is>
          <t>JÄMTLANDS LÄN</t>
        </is>
      </c>
      <c r="E720" t="inlineStr">
        <is>
          <t>RAGUNDA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2123-2026</t>
        </is>
      </c>
      <c r="B721" s="1" t="n">
        <v>46036.38618055556</v>
      </c>
      <c r="C721" s="1" t="n">
        <v>46109</v>
      </c>
      <c r="D721" t="inlineStr">
        <is>
          <t>JÄMTLANDS LÄN</t>
        </is>
      </c>
      <c r="E721" t="inlineStr">
        <is>
          <t>RAGUNDA</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28637-2025</t>
        </is>
      </c>
      <c r="B722" s="1" t="n">
        <v>45819.6359375</v>
      </c>
      <c r="C722" s="1" t="n">
        <v>46109</v>
      </c>
      <c r="D722" t="inlineStr">
        <is>
          <t>JÄMTLANDS LÄN</t>
        </is>
      </c>
      <c r="E722" t="inlineStr">
        <is>
          <t>RAGUNDA</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23305-2023</t>
        </is>
      </c>
      <c r="B723" s="1" t="n">
        <v>45075.94506944445</v>
      </c>
      <c r="C723" s="1" t="n">
        <v>46109</v>
      </c>
      <c r="D723" t="inlineStr">
        <is>
          <t>JÄMTLANDS LÄN</t>
        </is>
      </c>
      <c r="E723" t="inlineStr">
        <is>
          <t>RAGUNDA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28973-2025</t>
        </is>
      </c>
      <c r="B724" s="1" t="n">
        <v>45821.34513888889</v>
      </c>
      <c r="C724" s="1" t="n">
        <v>46109</v>
      </c>
      <c r="D724" t="inlineStr">
        <is>
          <t>JÄMTLANDS LÄN</t>
        </is>
      </c>
      <c r="E724" t="inlineStr">
        <is>
          <t>RAGUNDA</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29723-2025</t>
        </is>
      </c>
      <c r="B725" s="1" t="n">
        <v>45825.57675925926</v>
      </c>
      <c r="C725" s="1" t="n">
        <v>46109</v>
      </c>
      <c r="D725" t="inlineStr">
        <is>
          <t>JÄMTLANDS LÄN</t>
        </is>
      </c>
      <c r="E725" t="inlineStr">
        <is>
          <t>RAGUNDA</t>
        </is>
      </c>
      <c r="G725" t="n">
        <v>3.1</v>
      </c>
      <c r="H725" t="n">
        <v>0</v>
      </c>
      <c r="I725" t="n">
        <v>0</v>
      </c>
      <c r="J725" t="n">
        <v>0</v>
      </c>
      <c r="K725" t="n">
        <v>0</v>
      </c>
      <c r="L725" t="n">
        <v>0</v>
      </c>
      <c r="M725" t="n">
        <v>0</v>
      </c>
      <c r="N725" t="n">
        <v>0</v>
      </c>
      <c r="O725" t="n">
        <v>0</v>
      </c>
      <c r="P725" t="n">
        <v>0</v>
      </c>
      <c r="Q725" t="n">
        <v>0</v>
      </c>
      <c r="R725" s="2" t="inlineStr"/>
    </row>
    <row r="726" ht="15" customHeight="1">
      <c r="A726" t="inlineStr">
        <is>
          <t>A 29731-2025</t>
        </is>
      </c>
      <c r="B726" s="1" t="n">
        <v>45825.58252314815</v>
      </c>
      <c r="C726" s="1" t="n">
        <v>46109</v>
      </c>
      <c r="D726" t="inlineStr">
        <is>
          <t>JÄMTLANDS LÄN</t>
        </is>
      </c>
      <c r="E726" t="inlineStr">
        <is>
          <t>RAGUNDA</t>
        </is>
      </c>
      <c r="G726" t="n">
        <v>2.3</v>
      </c>
      <c r="H726" t="n">
        <v>0</v>
      </c>
      <c r="I726" t="n">
        <v>0</v>
      </c>
      <c r="J726" t="n">
        <v>0</v>
      </c>
      <c r="K726" t="n">
        <v>0</v>
      </c>
      <c r="L726" t="n">
        <v>0</v>
      </c>
      <c r="M726" t="n">
        <v>0</v>
      </c>
      <c r="N726" t="n">
        <v>0</v>
      </c>
      <c r="O726" t="n">
        <v>0</v>
      </c>
      <c r="P726" t="n">
        <v>0</v>
      </c>
      <c r="Q726" t="n">
        <v>0</v>
      </c>
      <c r="R726" s="2" t="inlineStr"/>
    </row>
    <row r="727" ht="15" customHeight="1">
      <c r="A727" t="inlineStr">
        <is>
          <t>A 4615-2023</t>
        </is>
      </c>
      <c r="B727" s="1" t="n">
        <v>44956.93924768519</v>
      </c>
      <c r="C727" s="1" t="n">
        <v>46109</v>
      </c>
      <c r="D727" t="inlineStr">
        <is>
          <t>JÄMTLANDS LÄN</t>
        </is>
      </c>
      <c r="E727" t="inlineStr">
        <is>
          <t>RAGUNDA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2673-2024</t>
        </is>
      </c>
      <c r="B728" s="1" t="n">
        <v>45314</v>
      </c>
      <c r="C728" s="1" t="n">
        <v>46109</v>
      </c>
      <c r="D728" t="inlineStr">
        <is>
          <t>JÄMTLANDS LÄN</t>
        </is>
      </c>
      <c r="E728" t="inlineStr">
        <is>
          <t>RAGUNDA</t>
        </is>
      </c>
      <c r="G728" t="n">
        <v>0.9</v>
      </c>
      <c r="H728" t="n">
        <v>0</v>
      </c>
      <c r="I728" t="n">
        <v>0</v>
      </c>
      <c r="J728" t="n">
        <v>0</v>
      </c>
      <c r="K728" t="n">
        <v>0</v>
      </c>
      <c r="L728" t="n">
        <v>0</v>
      </c>
      <c r="M728" t="n">
        <v>0</v>
      </c>
      <c r="N728" t="n">
        <v>0</v>
      </c>
      <c r="O728" t="n">
        <v>0</v>
      </c>
      <c r="P728" t="n">
        <v>0</v>
      </c>
      <c r="Q728" t="n">
        <v>0</v>
      </c>
      <c r="R728" s="2" t="inlineStr"/>
    </row>
    <row r="729" ht="15" customHeight="1">
      <c r="A729" t="inlineStr">
        <is>
          <t>A 34088-2025</t>
        </is>
      </c>
      <c r="B729" s="1" t="n">
        <v>45845</v>
      </c>
      <c r="C729" s="1" t="n">
        <v>46109</v>
      </c>
      <c r="D729" t="inlineStr">
        <is>
          <t>JÄMTLANDS LÄN</t>
        </is>
      </c>
      <c r="E729" t="inlineStr">
        <is>
          <t>RAGUNDA</t>
        </is>
      </c>
      <c r="G729" t="n">
        <v>1.4</v>
      </c>
      <c r="H729" t="n">
        <v>0</v>
      </c>
      <c r="I729" t="n">
        <v>0</v>
      </c>
      <c r="J729" t="n">
        <v>0</v>
      </c>
      <c r="K729" t="n">
        <v>0</v>
      </c>
      <c r="L729" t="n">
        <v>0</v>
      </c>
      <c r="M729" t="n">
        <v>0</v>
      </c>
      <c r="N729" t="n">
        <v>0</v>
      </c>
      <c r="O729" t="n">
        <v>0</v>
      </c>
      <c r="P729" t="n">
        <v>0</v>
      </c>
      <c r="Q729" t="n">
        <v>0</v>
      </c>
      <c r="R729" s="2" t="inlineStr"/>
    </row>
    <row r="730" ht="15" customHeight="1">
      <c r="A730" t="inlineStr">
        <is>
          <t>A 57112-2024</t>
        </is>
      </c>
      <c r="B730" s="1" t="n">
        <v>45629.36486111111</v>
      </c>
      <c r="C730" s="1" t="n">
        <v>46109</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36375-2022</t>
        </is>
      </c>
      <c r="B731" s="1" t="n">
        <v>44803.94351851852</v>
      </c>
      <c r="C731" s="1" t="n">
        <v>46109</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46109</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46109</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50098-2025</t>
        </is>
      </c>
      <c r="B734" s="1" t="n">
        <v>45943.51086805556</v>
      </c>
      <c r="C734" s="1" t="n">
        <v>46109</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50126-2025</t>
        </is>
      </c>
      <c r="B735" s="1" t="n">
        <v>45943.55271990741</v>
      </c>
      <c r="C735" s="1" t="n">
        <v>46109</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50081-2025</t>
        </is>
      </c>
      <c r="B736" s="1" t="n">
        <v>45943.46954861111</v>
      </c>
      <c r="C736" s="1" t="n">
        <v>46109</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30088-2025</t>
        </is>
      </c>
      <c r="B737" s="1" t="n">
        <v>45826.65759259259</v>
      </c>
      <c r="C737" s="1" t="n">
        <v>46109</v>
      </c>
      <c r="D737" t="inlineStr">
        <is>
          <t>JÄMTLANDS LÄN</t>
        </is>
      </c>
      <c r="E737" t="inlineStr">
        <is>
          <t>RAGUNDA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17667-2025</t>
        </is>
      </c>
      <c r="B738" s="1" t="n">
        <v>45758.36487268518</v>
      </c>
      <c r="C738" s="1" t="n">
        <v>46109</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50260-2025</t>
        </is>
      </c>
      <c r="B739" s="1" t="n">
        <v>45944.34515046296</v>
      </c>
      <c r="C739" s="1" t="n">
        <v>46109</v>
      </c>
      <c r="D739" t="inlineStr">
        <is>
          <t>JÄMTLANDS LÄN</t>
        </is>
      </c>
      <c r="E739" t="inlineStr">
        <is>
          <t>RAGUNDA</t>
        </is>
      </c>
      <c r="F739" t="inlineStr">
        <is>
          <t>SCA</t>
        </is>
      </c>
      <c r="G739" t="n">
        <v>7.9</v>
      </c>
      <c r="H739" t="n">
        <v>0</v>
      </c>
      <c r="I739" t="n">
        <v>0</v>
      </c>
      <c r="J739" t="n">
        <v>0</v>
      </c>
      <c r="K739" t="n">
        <v>0</v>
      </c>
      <c r="L739" t="n">
        <v>0</v>
      </c>
      <c r="M739" t="n">
        <v>0</v>
      </c>
      <c r="N739" t="n">
        <v>0</v>
      </c>
      <c r="O739" t="n">
        <v>0</v>
      </c>
      <c r="P739" t="n">
        <v>0</v>
      </c>
      <c r="Q739" t="n">
        <v>0</v>
      </c>
      <c r="R739" s="2" t="inlineStr"/>
    </row>
    <row r="740" ht="15" customHeight="1">
      <c r="A740" t="inlineStr">
        <is>
          <t>A 50215-2025</t>
        </is>
      </c>
      <c r="B740" s="1" t="n">
        <v>45943.67842592593</v>
      </c>
      <c r="C740" s="1" t="n">
        <v>46109</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5148-2023</t>
        </is>
      </c>
      <c r="B741" s="1" t="n">
        <v>44958</v>
      </c>
      <c r="C741" s="1" t="n">
        <v>46109</v>
      </c>
      <c r="D741" t="inlineStr">
        <is>
          <t>JÄMTLANDS LÄN</t>
        </is>
      </c>
      <c r="E741" t="inlineStr">
        <is>
          <t>RAGUNDA</t>
        </is>
      </c>
      <c r="G741" t="n">
        <v>2.9</v>
      </c>
      <c r="H741" t="n">
        <v>0</v>
      </c>
      <c r="I741" t="n">
        <v>0</v>
      </c>
      <c r="J741" t="n">
        <v>0</v>
      </c>
      <c r="K741" t="n">
        <v>0</v>
      </c>
      <c r="L741" t="n">
        <v>0</v>
      </c>
      <c r="M741" t="n">
        <v>0</v>
      </c>
      <c r="N741" t="n">
        <v>0</v>
      </c>
      <c r="O741" t="n">
        <v>0</v>
      </c>
      <c r="P741" t="n">
        <v>0</v>
      </c>
      <c r="Q741" t="n">
        <v>0</v>
      </c>
      <c r="R741" s="2" t="inlineStr"/>
    </row>
    <row r="742" ht="15" customHeight="1">
      <c r="A742" t="inlineStr">
        <is>
          <t>A 49991-2025</t>
        </is>
      </c>
      <c r="B742" s="1" t="n">
        <v>45942.91568287037</v>
      </c>
      <c r="C742" s="1" t="n">
        <v>46109</v>
      </c>
      <c r="D742" t="inlineStr">
        <is>
          <t>JÄMTLANDS LÄN</t>
        </is>
      </c>
      <c r="E742" t="inlineStr">
        <is>
          <t>RAGUNDA</t>
        </is>
      </c>
      <c r="G742" t="n">
        <v>9</v>
      </c>
      <c r="H742" t="n">
        <v>0</v>
      </c>
      <c r="I742" t="n">
        <v>0</v>
      </c>
      <c r="J742" t="n">
        <v>0</v>
      </c>
      <c r="K742" t="n">
        <v>0</v>
      </c>
      <c r="L742" t="n">
        <v>0</v>
      </c>
      <c r="M742" t="n">
        <v>0</v>
      </c>
      <c r="N742" t="n">
        <v>0</v>
      </c>
      <c r="O742" t="n">
        <v>0</v>
      </c>
      <c r="P742" t="n">
        <v>0</v>
      </c>
      <c r="Q742" t="n">
        <v>0</v>
      </c>
      <c r="R742" s="2" t="inlineStr"/>
    </row>
    <row r="743" ht="15" customHeight="1">
      <c r="A743" t="inlineStr">
        <is>
          <t>A 49993-2025</t>
        </is>
      </c>
      <c r="B743" s="1" t="n">
        <v>45942.94371527778</v>
      </c>
      <c r="C743" s="1" t="n">
        <v>46109</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51049-2024</t>
        </is>
      </c>
      <c r="B744" s="1" t="n">
        <v>45603.44644675926</v>
      </c>
      <c r="C744" s="1" t="n">
        <v>46109</v>
      </c>
      <c r="D744" t="inlineStr">
        <is>
          <t>JÄMTLANDS LÄN</t>
        </is>
      </c>
      <c r="E744" t="inlineStr">
        <is>
          <t>RAGUNDA</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50125-2025</t>
        </is>
      </c>
      <c r="B745" s="1" t="n">
        <v>45943.55262731481</v>
      </c>
      <c r="C745" s="1" t="n">
        <v>46109</v>
      </c>
      <c r="D745" t="inlineStr">
        <is>
          <t>JÄMTLANDS LÄN</t>
        </is>
      </c>
      <c r="E745" t="inlineStr">
        <is>
          <t>RAGUNDA</t>
        </is>
      </c>
      <c r="F745" t="inlineStr">
        <is>
          <t>Sveaskog</t>
        </is>
      </c>
      <c r="G745" t="n">
        <v>23.2</v>
      </c>
      <c r="H745" t="n">
        <v>0</v>
      </c>
      <c r="I745" t="n">
        <v>0</v>
      </c>
      <c r="J745" t="n">
        <v>0</v>
      </c>
      <c r="K745" t="n">
        <v>0</v>
      </c>
      <c r="L745" t="n">
        <v>0</v>
      </c>
      <c r="M745" t="n">
        <v>0</v>
      </c>
      <c r="N745" t="n">
        <v>0</v>
      </c>
      <c r="O745" t="n">
        <v>0</v>
      </c>
      <c r="P745" t="n">
        <v>0</v>
      </c>
      <c r="Q745" t="n">
        <v>0</v>
      </c>
      <c r="R745" s="2" t="inlineStr"/>
    </row>
    <row r="746" ht="15" customHeight="1">
      <c r="A746" t="inlineStr">
        <is>
          <t>A 55489-2024</t>
        </is>
      </c>
      <c r="B746" s="1" t="n">
        <v>45622.44774305556</v>
      </c>
      <c r="C746" s="1" t="n">
        <v>46109</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50080-2025</t>
        </is>
      </c>
      <c r="B747" s="1" t="n">
        <v>45943.469375</v>
      </c>
      <c r="C747" s="1" t="n">
        <v>46109</v>
      </c>
      <c r="D747" t="inlineStr">
        <is>
          <t>JÄMTLANDS LÄN</t>
        </is>
      </c>
      <c r="E747" t="inlineStr">
        <is>
          <t>RAGUNDA</t>
        </is>
      </c>
      <c r="F747" t="inlineStr">
        <is>
          <t>Naturvårdsverket</t>
        </is>
      </c>
      <c r="G747" t="n">
        <v>6.1</v>
      </c>
      <c r="H747" t="n">
        <v>0</v>
      </c>
      <c r="I747" t="n">
        <v>0</v>
      </c>
      <c r="J747" t="n">
        <v>0</v>
      </c>
      <c r="K747" t="n">
        <v>0</v>
      </c>
      <c r="L747" t="n">
        <v>0</v>
      </c>
      <c r="M747" t="n">
        <v>0</v>
      </c>
      <c r="N747" t="n">
        <v>0</v>
      </c>
      <c r="O747" t="n">
        <v>0</v>
      </c>
      <c r="P747" t="n">
        <v>0</v>
      </c>
      <c r="Q747" t="n">
        <v>0</v>
      </c>
      <c r="R747" s="2" t="inlineStr"/>
    </row>
    <row r="748" ht="15" customHeight="1">
      <c r="A748" t="inlineStr">
        <is>
          <t>A 14074-2023</t>
        </is>
      </c>
      <c r="B748" s="1" t="n">
        <v>45009.089375</v>
      </c>
      <c r="C748" s="1" t="n">
        <v>46109</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50504-2025</t>
        </is>
      </c>
      <c r="B749" s="1" t="n">
        <v>45945.4284837963</v>
      </c>
      <c r="C749" s="1" t="n">
        <v>46109</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11243-2026</t>
        </is>
      </c>
      <c r="B750" s="1" t="n">
        <v>46080.53181712963</v>
      </c>
      <c r="C750" s="1" t="n">
        <v>46109</v>
      </c>
      <c r="D750" t="inlineStr">
        <is>
          <t>JÄMTLANDS LÄN</t>
        </is>
      </c>
      <c r="E750" t="inlineStr">
        <is>
          <t>RAGUNDA</t>
        </is>
      </c>
      <c r="F750" t="inlineStr">
        <is>
          <t>SCA</t>
        </is>
      </c>
      <c r="G750" t="n">
        <v>52.9</v>
      </c>
      <c r="H750" t="n">
        <v>0</v>
      </c>
      <c r="I750" t="n">
        <v>0</v>
      </c>
      <c r="J750" t="n">
        <v>0</v>
      </c>
      <c r="K750" t="n">
        <v>0</v>
      </c>
      <c r="L750" t="n">
        <v>0</v>
      </c>
      <c r="M750" t="n">
        <v>0</v>
      </c>
      <c r="N750" t="n">
        <v>0</v>
      </c>
      <c r="O750" t="n">
        <v>0</v>
      </c>
      <c r="P750" t="n">
        <v>0</v>
      </c>
      <c r="Q750" t="n">
        <v>0</v>
      </c>
      <c r="R750" s="2" t="inlineStr"/>
    </row>
    <row r="751" ht="15" customHeight="1">
      <c r="A751" t="inlineStr">
        <is>
          <t>A 50473-2025</t>
        </is>
      </c>
      <c r="B751" s="1" t="n">
        <v>45945.36520833334</v>
      </c>
      <c r="C751" s="1" t="n">
        <v>46109</v>
      </c>
      <c r="D751" t="inlineStr">
        <is>
          <t>JÄMTLANDS LÄN</t>
        </is>
      </c>
      <c r="E751" t="inlineStr">
        <is>
          <t>RAGUNDA</t>
        </is>
      </c>
      <c r="F751" t="inlineStr">
        <is>
          <t>SCA</t>
        </is>
      </c>
      <c r="G751" t="n">
        <v>11.2</v>
      </c>
      <c r="H751" t="n">
        <v>0</v>
      </c>
      <c r="I751" t="n">
        <v>0</v>
      </c>
      <c r="J751" t="n">
        <v>0</v>
      </c>
      <c r="K751" t="n">
        <v>0</v>
      </c>
      <c r="L751" t="n">
        <v>0</v>
      </c>
      <c r="M751" t="n">
        <v>0</v>
      </c>
      <c r="N751" t="n">
        <v>0</v>
      </c>
      <c r="O751" t="n">
        <v>0</v>
      </c>
      <c r="P751" t="n">
        <v>0</v>
      </c>
      <c r="Q751" t="n">
        <v>0</v>
      </c>
      <c r="R751" s="2" t="inlineStr"/>
    </row>
    <row r="752" ht="15" customHeight="1">
      <c r="A752" t="inlineStr">
        <is>
          <t>A 54764-2024</t>
        </is>
      </c>
      <c r="B752" s="1" t="n">
        <v>45618.46921296296</v>
      </c>
      <c r="C752" s="1" t="n">
        <v>46109</v>
      </c>
      <c r="D752" t="inlineStr">
        <is>
          <t>JÄMTLANDS LÄN</t>
        </is>
      </c>
      <c r="E752" t="inlineStr">
        <is>
          <t>RAGUNDA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50503-2025</t>
        </is>
      </c>
      <c r="B753" s="1" t="n">
        <v>45945.42746527777</v>
      </c>
      <c r="C753" s="1" t="n">
        <v>46109</v>
      </c>
      <c r="D753" t="inlineStr">
        <is>
          <t>JÄMTLANDS LÄN</t>
        </is>
      </c>
      <c r="E753" t="inlineStr">
        <is>
          <t>RAGUNDA</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50719-2025</t>
        </is>
      </c>
      <c r="B754" s="1" t="n">
        <v>45946.34642361111</v>
      </c>
      <c r="C754" s="1" t="n">
        <v>46109</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50711-2025</t>
        </is>
      </c>
      <c r="B755" s="1" t="n">
        <v>45946.34431712963</v>
      </c>
      <c r="C755" s="1" t="n">
        <v>46109</v>
      </c>
      <c r="D755" t="inlineStr">
        <is>
          <t>JÄMTLANDS LÄN</t>
        </is>
      </c>
      <c r="E755" t="inlineStr">
        <is>
          <t>RAGUNDA</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50716-2025</t>
        </is>
      </c>
      <c r="B756" s="1" t="n">
        <v>45946.34572916666</v>
      </c>
      <c r="C756" s="1" t="n">
        <v>46109</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51395-2025</t>
        </is>
      </c>
      <c r="B757" s="1" t="n">
        <v>45950.46989583333</v>
      </c>
      <c r="C757" s="1" t="n">
        <v>46109</v>
      </c>
      <c r="D757" t="inlineStr">
        <is>
          <t>JÄMTLANDS LÄN</t>
        </is>
      </c>
      <c r="E757" t="inlineStr">
        <is>
          <t>RAGUNDA</t>
        </is>
      </c>
      <c r="F757" t="inlineStr">
        <is>
          <t>SCA</t>
        </is>
      </c>
      <c r="G757" t="n">
        <v>30.7</v>
      </c>
      <c r="H757" t="n">
        <v>0</v>
      </c>
      <c r="I757" t="n">
        <v>0</v>
      </c>
      <c r="J757" t="n">
        <v>0</v>
      </c>
      <c r="K757" t="n">
        <v>0</v>
      </c>
      <c r="L757" t="n">
        <v>0</v>
      </c>
      <c r="M757" t="n">
        <v>0</v>
      </c>
      <c r="N757" t="n">
        <v>0</v>
      </c>
      <c r="O757" t="n">
        <v>0</v>
      </c>
      <c r="P757" t="n">
        <v>0</v>
      </c>
      <c r="Q757" t="n">
        <v>0</v>
      </c>
      <c r="R757" s="2" t="inlineStr"/>
    </row>
    <row r="758" ht="15" customHeight="1">
      <c r="A758" t="inlineStr">
        <is>
          <t>A 31463-2024</t>
        </is>
      </c>
      <c r="B758" s="1" t="n">
        <v>45505</v>
      </c>
      <c r="C758" s="1" t="n">
        <v>46109</v>
      </c>
      <c r="D758" t="inlineStr">
        <is>
          <t>JÄMTLANDS LÄN</t>
        </is>
      </c>
      <c r="E758" t="inlineStr">
        <is>
          <t>RAGUNDA</t>
        </is>
      </c>
      <c r="F758" t="inlineStr">
        <is>
          <t>SCA</t>
        </is>
      </c>
      <c r="G758" t="n">
        <v>20.3</v>
      </c>
      <c r="H758" t="n">
        <v>0</v>
      </c>
      <c r="I758" t="n">
        <v>0</v>
      </c>
      <c r="J758" t="n">
        <v>0</v>
      </c>
      <c r="K758" t="n">
        <v>0</v>
      </c>
      <c r="L758" t="n">
        <v>0</v>
      </c>
      <c r="M758" t="n">
        <v>0</v>
      </c>
      <c r="N758" t="n">
        <v>0</v>
      </c>
      <c r="O758" t="n">
        <v>0</v>
      </c>
      <c r="P758" t="n">
        <v>0</v>
      </c>
      <c r="Q758" t="n">
        <v>0</v>
      </c>
      <c r="R758" s="2" t="inlineStr"/>
    </row>
    <row r="759" ht="15" customHeight="1">
      <c r="A759" t="inlineStr">
        <is>
          <t>A 50985-2025</t>
        </is>
      </c>
      <c r="B759" s="1" t="n">
        <v>45947.34506944445</v>
      </c>
      <c r="C759" s="1" t="n">
        <v>46109</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7279-2024</t>
        </is>
      </c>
      <c r="B760" s="1" t="n">
        <v>45344.92822916667</v>
      </c>
      <c r="C760" s="1" t="n">
        <v>46109</v>
      </c>
      <c r="D760" t="inlineStr">
        <is>
          <t>JÄMTLANDS LÄN</t>
        </is>
      </c>
      <c r="E760" t="inlineStr">
        <is>
          <t>RAGUNDA</t>
        </is>
      </c>
      <c r="G760" t="n">
        <v>2.1</v>
      </c>
      <c r="H760" t="n">
        <v>0</v>
      </c>
      <c r="I760" t="n">
        <v>0</v>
      </c>
      <c r="J760" t="n">
        <v>0</v>
      </c>
      <c r="K760" t="n">
        <v>0</v>
      </c>
      <c r="L760" t="n">
        <v>0</v>
      </c>
      <c r="M760" t="n">
        <v>0</v>
      </c>
      <c r="N760" t="n">
        <v>0</v>
      </c>
      <c r="O760" t="n">
        <v>0</v>
      </c>
      <c r="P760" t="n">
        <v>0</v>
      </c>
      <c r="Q760" t="n">
        <v>0</v>
      </c>
      <c r="R760" s="2" t="inlineStr"/>
    </row>
    <row r="761" ht="15" customHeight="1">
      <c r="A761" t="inlineStr">
        <is>
          <t>A 51034-2025</t>
        </is>
      </c>
      <c r="B761" s="1" t="n">
        <v>45947.40670138889</v>
      </c>
      <c r="C761" s="1" t="n">
        <v>46109</v>
      </c>
      <c r="D761" t="inlineStr">
        <is>
          <t>JÄMTLANDS LÄN</t>
        </is>
      </c>
      <c r="E761" t="inlineStr">
        <is>
          <t>RAGUNDA</t>
        </is>
      </c>
      <c r="F761" t="inlineStr">
        <is>
          <t>SCA</t>
        </is>
      </c>
      <c r="G761" t="n">
        <v>44.1</v>
      </c>
      <c r="H761" t="n">
        <v>0</v>
      </c>
      <c r="I761" t="n">
        <v>0</v>
      </c>
      <c r="J761" t="n">
        <v>0</v>
      </c>
      <c r="K761" t="n">
        <v>0</v>
      </c>
      <c r="L761" t="n">
        <v>0</v>
      </c>
      <c r="M761" t="n">
        <v>0</v>
      </c>
      <c r="N761" t="n">
        <v>0</v>
      </c>
      <c r="O761" t="n">
        <v>0</v>
      </c>
      <c r="P761" t="n">
        <v>0</v>
      </c>
      <c r="Q761" t="n">
        <v>0</v>
      </c>
      <c r="R761" s="2" t="inlineStr"/>
    </row>
    <row r="762" ht="15" customHeight="1">
      <c r="A762" t="inlineStr">
        <is>
          <t>A 30348-2025</t>
        </is>
      </c>
      <c r="B762" s="1" t="n">
        <v>45827.53178240741</v>
      </c>
      <c r="C762" s="1" t="n">
        <v>46109</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30434-2025</t>
        </is>
      </c>
      <c r="B763" s="1" t="n">
        <v>45827.63582175926</v>
      </c>
      <c r="C763" s="1" t="n">
        <v>46109</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46109</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51394-2025</t>
        </is>
      </c>
      <c r="B765" s="1" t="n">
        <v>45950.46972222222</v>
      </c>
      <c r="C765" s="1" t="n">
        <v>46109</v>
      </c>
      <c r="D765" t="inlineStr">
        <is>
          <t>JÄMTLANDS LÄN</t>
        </is>
      </c>
      <c r="E765" t="inlineStr">
        <is>
          <t>RAGUNDA</t>
        </is>
      </c>
      <c r="F765" t="inlineStr">
        <is>
          <t>SCA</t>
        </is>
      </c>
      <c r="G765" t="n">
        <v>36.5</v>
      </c>
      <c r="H765" t="n">
        <v>0</v>
      </c>
      <c r="I765" t="n">
        <v>0</v>
      </c>
      <c r="J765" t="n">
        <v>0</v>
      </c>
      <c r="K765" t="n">
        <v>0</v>
      </c>
      <c r="L765" t="n">
        <v>0</v>
      </c>
      <c r="M765" t="n">
        <v>0</v>
      </c>
      <c r="N765" t="n">
        <v>0</v>
      </c>
      <c r="O765" t="n">
        <v>0</v>
      </c>
      <c r="P765" t="n">
        <v>0</v>
      </c>
      <c r="Q765" t="n">
        <v>0</v>
      </c>
      <c r="R765" s="2" t="inlineStr"/>
    </row>
    <row r="766" ht="15" customHeight="1">
      <c r="A766" t="inlineStr">
        <is>
          <t>A 51484-2025</t>
        </is>
      </c>
      <c r="B766" s="1" t="n">
        <v>45950.62196759259</v>
      </c>
      <c r="C766" s="1" t="n">
        <v>46109</v>
      </c>
      <c r="D766" t="inlineStr">
        <is>
          <t>JÄMTLANDS LÄN</t>
        </is>
      </c>
      <c r="E766" t="inlineStr">
        <is>
          <t>RAGUNDA</t>
        </is>
      </c>
      <c r="F766" t="inlineStr">
        <is>
          <t>SCA</t>
        </is>
      </c>
      <c r="G766" t="n">
        <v>23.1</v>
      </c>
      <c r="H766" t="n">
        <v>0</v>
      </c>
      <c r="I766" t="n">
        <v>0</v>
      </c>
      <c r="J766" t="n">
        <v>0</v>
      </c>
      <c r="K766" t="n">
        <v>0</v>
      </c>
      <c r="L766" t="n">
        <v>0</v>
      </c>
      <c r="M766" t="n">
        <v>0</v>
      </c>
      <c r="N766" t="n">
        <v>0</v>
      </c>
      <c r="O766" t="n">
        <v>0</v>
      </c>
      <c r="P766" t="n">
        <v>0</v>
      </c>
      <c r="Q766" t="n">
        <v>0</v>
      </c>
      <c r="R766" s="2" t="inlineStr"/>
    </row>
    <row r="767" ht="15" customHeight="1">
      <c r="A767" t="inlineStr">
        <is>
          <t>A 51491-2025</t>
        </is>
      </c>
      <c r="B767" s="1" t="n">
        <v>45950.63362268519</v>
      </c>
      <c r="C767" s="1" t="n">
        <v>46109</v>
      </c>
      <c r="D767" t="inlineStr">
        <is>
          <t>JÄMTLANDS LÄN</t>
        </is>
      </c>
      <c r="E767" t="inlineStr">
        <is>
          <t>RAGUNDA</t>
        </is>
      </c>
      <c r="G767" t="n">
        <v>1.1</v>
      </c>
      <c r="H767" t="n">
        <v>0</v>
      </c>
      <c r="I767" t="n">
        <v>0</v>
      </c>
      <c r="J767" t="n">
        <v>0</v>
      </c>
      <c r="K767" t="n">
        <v>0</v>
      </c>
      <c r="L767" t="n">
        <v>0</v>
      </c>
      <c r="M767" t="n">
        <v>0</v>
      </c>
      <c r="N767" t="n">
        <v>0</v>
      </c>
      <c r="O767" t="n">
        <v>0</v>
      </c>
      <c r="P767" t="n">
        <v>0</v>
      </c>
      <c r="Q767" t="n">
        <v>0</v>
      </c>
      <c r="R767" s="2" t="inlineStr"/>
    </row>
    <row r="768" ht="15" customHeight="1">
      <c r="A768" t="inlineStr">
        <is>
          <t>A 3561-2026</t>
        </is>
      </c>
      <c r="B768" s="1" t="n">
        <v>46042.67142361111</v>
      </c>
      <c r="C768" s="1" t="n">
        <v>46109</v>
      </c>
      <c r="D768" t="inlineStr">
        <is>
          <t>JÄMTLANDS LÄN</t>
        </is>
      </c>
      <c r="E768" t="inlineStr">
        <is>
          <t>RAGUNDA</t>
        </is>
      </c>
      <c r="G768" t="n">
        <v>3.8</v>
      </c>
      <c r="H768" t="n">
        <v>0</v>
      </c>
      <c r="I768" t="n">
        <v>0</v>
      </c>
      <c r="J768" t="n">
        <v>0</v>
      </c>
      <c r="K768" t="n">
        <v>0</v>
      </c>
      <c r="L768" t="n">
        <v>0</v>
      </c>
      <c r="M768" t="n">
        <v>0</v>
      </c>
      <c r="N768" t="n">
        <v>0</v>
      </c>
      <c r="O768" t="n">
        <v>0</v>
      </c>
      <c r="P768" t="n">
        <v>0</v>
      </c>
      <c r="Q768" t="n">
        <v>0</v>
      </c>
      <c r="R768" s="2" t="inlineStr"/>
    </row>
    <row r="769" ht="15" customHeight="1">
      <c r="A769" t="inlineStr">
        <is>
          <t>A 30883-2025</t>
        </is>
      </c>
      <c r="B769" s="1" t="n">
        <v>45832.34552083333</v>
      </c>
      <c r="C769" s="1" t="n">
        <v>46109</v>
      </c>
      <c r="D769" t="inlineStr">
        <is>
          <t>JÄMTLANDS LÄN</t>
        </is>
      </c>
      <c r="E769" t="inlineStr">
        <is>
          <t>RAGUNDA</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10706-2023</t>
        </is>
      </c>
      <c r="B770" s="1" t="n">
        <v>44984</v>
      </c>
      <c r="C770" s="1" t="n">
        <v>46109</v>
      </c>
      <c r="D770" t="inlineStr">
        <is>
          <t>JÄMTLANDS LÄN</t>
        </is>
      </c>
      <c r="E770" t="inlineStr">
        <is>
          <t>RAGUNDA</t>
        </is>
      </c>
      <c r="G770" t="n">
        <v>7.7</v>
      </c>
      <c r="H770" t="n">
        <v>0</v>
      </c>
      <c r="I770" t="n">
        <v>0</v>
      </c>
      <c r="J770" t="n">
        <v>0</v>
      </c>
      <c r="K770" t="n">
        <v>0</v>
      </c>
      <c r="L770" t="n">
        <v>0</v>
      </c>
      <c r="M770" t="n">
        <v>0</v>
      </c>
      <c r="N770" t="n">
        <v>0</v>
      </c>
      <c r="O770" t="n">
        <v>0</v>
      </c>
      <c r="P770" t="n">
        <v>0</v>
      </c>
      <c r="Q770" t="n">
        <v>0</v>
      </c>
      <c r="R770" s="2" t="inlineStr"/>
    </row>
    <row r="771" ht="15" customHeight="1">
      <c r="A771" t="inlineStr">
        <is>
          <t>A 51702-2025</t>
        </is>
      </c>
      <c r="B771" s="1" t="n">
        <v>45951.55305555555</v>
      </c>
      <c r="C771" s="1" t="n">
        <v>46109</v>
      </c>
      <c r="D771" t="inlineStr">
        <is>
          <t>JÄMTLANDS LÄN</t>
        </is>
      </c>
      <c r="E771" t="inlineStr">
        <is>
          <t>RAGUNDA</t>
        </is>
      </c>
      <c r="G771" t="n">
        <v>11.4</v>
      </c>
      <c r="H771" t="n">
        <v>0</v>
      </c>
      <c r="I771" t="n">
        <v>0</v>
      </c>
      <c r="J771" t="n">
        <v>0</v>
      </c>
      <c r="K771" t="n">
        <v>0</v>
      </c>
      <c r="L771" t="n">
        <v>0</v>
      </c>
      <c r="M771" t="n">
        <v>0</v>
      </c>
      <c r="N771" t="n">
        <v>0</v>
      </c>
      <c r="O771" t="n">
        <v>0</v>
      </c>
      <c r="P771" t="n">
        <v>0</v>
      </c>
      <c r="Q771" t="n">
        <v>0</v>
      </c>
      <c r="R771" s="2" t="inlineStr"/>
    </row>
    <row r="772" ht="15" customHeight="1">
      <c r="A772" t="inlineStr">
        <is>
          <t>A 891-2022</t>
        </is>
      </c>
      <c r="B772" s="1" t="n">
        <v>44571</v>
      </c>
      <c r="C772" s="1" t="n">
        <v>46109</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51678-2025</t>
        </is>
      </c>
      <c r="B773" s="1" t="n">
        <v>45951.51106481482</v>
      </c>
      <c r="C773" s="1" t="n">
        <v>46109</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30880-2025</t>
        </is>
      </c>
      <c r="B774" s="1" t="n">
        <v>45832.34524305556</v>
      </c>
      <c r="C774" s="1" t="n">
        <v>46109</v>
      </c>
      <c r="D774" t="inlineStr">
        <is>
          <t>JÄMTLANDS LÄN</t>
        </is>
      </c>
      <c r="E774" t="inlineStr">
        <is>
          <t>RAGUNDA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30887-2025</t>
        </is>
      </c>
      <c r="B775" s="1" t="n">
        <v>45832.3459375</v>
      </c>
      <c r="C775" s="1" t="n">
        <v>46109</v>
      </c>
      <c r="D775" t="inlineStr">
        <is>
          <t>JÄMTLANDS LÄN</t>
        </is>
      </c>
      <c r="E775" t="inlineStr">
        <is>
          <t>RAGUNDA</t>
        </is>
      </c>
      <c r="F775" t="inlineStr">
        <is>
          <t>SCA</t>
        </is>
      </c>
      <c r="G775" t="n">
        <v>10.1</v>
      </c>
      <c r="H775" t="n">
        <v>0</v>
      </c>
      <c r="I775" t="n">
        <v>0</v>
      </c>
      <c r="J775" t="n">
        <v>0</v>
      </c>
      <c r="K775" t="n">
        <v>0</v>
      </c>
      <c r="L775" t="n">
        <v>0</v>
      </c>
      <c r="M775" t="n">
        <v>0</v>
      </c>
      <c r="N775" t="n">
        <v>0</v>
      </c>
      <c r="O775" t="n">
        <v>0</v>
      </c>
      <c r="P775" t="n">
        <v>0</v>
      </c>
      <c r="Q775" t="n">
        <v>0</v>
      </c>
      <c r="R775" s="2" t="inlineStr"/>
    </row>
    <row r="776" ht="15" customHeight="1">
      <c r="A776" t="inlineStr">
        <is>
          <t>A 51906-2025</t>
        </is>
      </c>
      <c r="B776" s="1" t="n">
        <v>45952.4615162037</v>
      </c>
      <c r="C776" s="1" t="n">
        <v>46109</v>
      </c>
      <c r="D776" t="inlineStr">
        <is>
          <t>JÄMTLANDS LÄN</t>
        </is>
      </c>
      <c r="E776" t="inlineStr">
        <is>
          <t>RAGUNDA</t>
        </is>
      </c>
      <c r="G776" t="n">
        <v>4.5</v>
      </c>
      <c r="H776" t="n">
        <v>0</v>
      </c>
      <c r="I776" t="n">
        <v>0</v>
      </c>
      <c r="J776" t="n">
        <v>0</v>
      </c>
      <c r="K776" t="n">
        <v>0</v>
      </c>
      <c r="L776" t="n">
        <v>0</v>
      </c>
      <c r="M776" t="n">
        <v>0</v>
      </c>
      <c r="N776" t="n">
        <v>0</v>
      </c>
      <c r="O776" t="n">
        <v>0</v>
      </c>
      <c r="P776" t="n">
        <v>0</v>
      </c>
      <c r="Q776" t="n">
        <v>0</v>
      </c>
      <c r="R776" s="2" t="inlineStr"/>
    </row>
    <row r="777" ht="15" customHeight="1">
      <c r="A777" t="inlineStr">
        <is>
          <t>A 51791-2025</t>
        </is>
      </c>
      <c r="B777" s="1" t="n">
        <v>45951.69833333333</v>
      </c>
      <c r="C777" s="1" t="n">
        <v>46109</v>
      </c>
      <c r="D777" t="inlineStr">
        <is>
          <t>JÄMTLANDS LÄN</t>
        </is>
      </c>
      <c r="E777" t="inlineStr">
        <is>
          <t>RAGUNDA</t>
        </is>
      </c>
      <c r="F777" t="inlineStr">
        <is>
          <t>SCA</t>
        </is>
      </c>
      <c r="G777" t="n">
        <v>43.3</v>
      </c>
      <c r="H777" t="n">
        <v>0</v>
      </c>
      <c r="I777" t="n">
        <v>0</v>
      </c>
      <c r="J777" t="n">
        <v>0</v>
      </c>
      <c r="K777" t="n">
        <v>0</v>
      </c>
      <c r="L777" t="n">
        <v>0</v>
      </c>
      <c r="M777" t="n">
        <v>0</v>
      </c>
      <c r="N777" t="n">
        <v>0</v>
      </c>
      <c r="O777" t="n">
        <v>0</v>
      </c>
      <c r="P777" t="n">
        <v>0</v>
      </c>
      <c r="Q777" t="n">
        <v>0</v>
      </c>
      <c r="R777" s="2" t="inlineStr"/>
    </row>
    <row r="778" ht="15" customHeight="1">
      <c r="A778" t="inlineStr">
        <is>
          <t>A 51592-2025</t>
        </is>
      </c>
      <c r="B778" s="1" t="n">
        <v>45951.36541666667</v>
      </c>
      <c r="C778" s="1" t="n">
        <v>46109</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51593-2025</t>
        </is>
      </c>
      <c r="B779" s="1" t="n">
        <v>45951.36548611111</v>
      </c>
      <c r="C779" s="1" t="n">
        <v>46109</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8416-2023</t>
        </is>
      </c>
      <c r="B780" s="1" t="n">
        <v>44977.44373842593</v>
      </c>
      <c r="C780" s="1" t="n">
        <v>46109</v>
      </c>
      <c r="D780" t="inlineStr">
        <is>
          <t>JÄMTLANDS LÄN</t>
        </is>
      </c>
      <c r="E780" t="inlineStr">
        <is>
          <t>RAGUNDA</t>
        </is>
      </c>
      <c r="G780" t="n">
        <v>0.7</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46109</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52093-2025</t>
        </is>
      </c>
      <c r="B782" s="1" t="n">
        <v>45952.67865740741</v>
      </c>
      <c r="C782" s="1" t="n">
        <v>46109</v>
      </c>
      <c r="D782" t="inlineStr">
        <is>
          <t>JÄMTLANDS LÄN</t>
        </is>
      </c>
      <c r="E782" t="inlineStr">
        <is>
          <t>RAGUNDA</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40801-2023</t>
        </is>
      </c>
      <c r="B783" s="1" t="n">
        <v>45170</v>
      </c>
      <c r="C783" s="1" t="n">
        <v>46109</v>
      </c>
      <c r="D783" t="inlineStr">
        <is>
          <t>JÄMTLANDS LÄN</t>
        </is>
      </c>
      <c r="E783" t="inlineStr">
        <is>
          <t>RAGUNDA</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52122-2025</t>
        </is>
      </c>
      <c r="B784" s="1" t="n">
        <v>45952.71946759259</v>
      </c>
      <c r="C784" s="1" t="n">
        <v>46109</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51882-2025</t>
        </is>
      </c>
      <c r="B785" s="1" t="n">
        <v>45952.40685185185</v>
      </c>
      <c r="C785" s="1" t="n">
        <v>46109</v>
      </c>
      <c r="D785" t="inlineStr">
        <is>
          <t>JÄMTLANDS LÄN</t>
        </is>
      </c>
      <c r="E785" t="inlineStr">
        <is>
          <t>RAGUNDA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51903-2025</t>
        </is>
      </c>
      <c r="B786" s="1" t="n">
        <v>45952.44857638889</v>
      </c>
      <c r="C786" s="1" t="n">
        <v>46109</v>
      </c>
      <c r="D786" t="inlineStr">
        <is>
          <t>JÄMTLANDS LÄN</t>
        </is>
      </c>
      <c r="E786" t="inlineStr">
        <is>
          <t>RAGUNDA</t>
        </is>
      </c>
      <c r="F786" t="inlineStr">
        <is>
          <t>SCA</t>
        </is>
      </c>
      <c r="G786" t="n">
        <v>20.8</v>
      </c>
      <c r="H786" t="n">
        <v>0</v>
      </c>
      <c r="I786" t="n">
        <v>0</v>
      </c>
      <c r="J786" t="n">
        <v>0</v>
      </c>
      <c r="K786" t="n">
        <v>0</v>
      </c>
      <c r="L786" t="n">
        <v>0</v>
      </c>
      <c r="M786" t="n">
        <v>0</v>
      </c>
      <c r="N786" t="n">
        <v>0</v>
      </c>
      <c r="O786" t="n">
        <v>0</v>
      </c>
      <c r="P786" t="n">
        <v>0</v>
      </c>
      <c r="Q786" t="n">
        <v>0</v>
      </c>
      <c r="R786" s="2" t="inlineStr"/>
    </row>
    <row r="787" ht="15" customHeight="1">
      <c r="A787" t="inlineStr">
        <is>
          <t>A 51932-2025</t>
        </is>
      </c>
      <c r="B787" s="1" t="n">
        <v>45952.51094907407</v>
      </c>
      <c r="C787" s="1" t="n">
        <v>46109</v>
      </c>
      <c r="D787" t="inlineStr">
        <is>
          <t>JÄMTLANDS LÄN</t>
        </is>
      </c>
      <c r="E787" t="inlineStr">
        <is>
          <t>RAGUNDA</t>
        </is>
      </c>
      <c r="F787" t="inlineStr">
        <is>
          <t>SCA</t>
        </is>
      </c>
      <c r="G787" t="n">
        <v>39.2</v>
      </c>
      <c r="H787" t="n">
        <v>0</v>
      </c>
      <c r="I787" t="n">
        <v>0</v>
      </c>
      <c r="J787" t="n">
        <v>0</v>
      </c>
      <c r="K787" t="n">
        <v>0</v>
      </c>
      <c r="L787" t="n">
        <v>0</v>
      </c>
      <c r="M787" t="n">
        <v>0</v>
      </c>
      <c r="N787" t="n">
        <v>0</v>
      </c>
      <c r="O787" t="n">
        <v>0</v>
      </c>
      <c r="P787" t="n">
        <v>0</v>
      </c>
      <c r="Q787" t="n">
        <v>0</v>
      </c>
      <c r="R787" s="2" t="inlineStr"/>
    </row>
    <row r="788" ht="15" customHeight="1">
      <c r="A788" t="inlineStr">
        <is>
          <t>A 27499-2024</t>
        </is>
      </c>
      <c r="B788" s="1" t="n">
        <v>45474.50608796296</v>
      </c>
      <c r="C788" s="1" t="n">
        <v>46109</v>
      </c>
      <c r="D788" t="inlineStr">
        <is>
          <t>JÄMTLANDS LÄN</t>
        </is>
      </c>
      <c r="E788" t="inlineStr">
        <is>
          <t>RAGUNDA</t>
        </is>
      </c>
      <c r="G788" t="n">
        <v>1.3</v>
      </c>
      <c r="H788" t="n">
        <v>0</v>
      </c>
      <c r="I788" t="n">
        <v>0</v>
      </c>
      <c r="J788" t="n">
        <v>0</v>
      </c>
      <c r="K788" t="n">
        <v>0</v>
      </c>
      <c r="L788" t="n">
        <v>0</v>
      </c>
      <c r="M788" t="n">
        <v>0</v>
      </c>
      <c r="N788" t="n">
        <v>0</v>
      </c>
      <c r="O788" t="n">
        <v>0</v>
      </c>
      <c r="P788" t="n">
        <v>0</v>
      </c>
      <c r="Q788" t="n">
        <v>0</v>
      </c>
      <c r="R788" s="2" t="inlineStr"/>
    </row>
    <row r="789" ht="15" customHeight="1">
      <c r="A789" t="inlineStr">
        <is>
          <t>A 52148-2024</t>
        </is>
      </c>
      <c r="B789" s="1" t="n">
        <v>45608.52354166667</v>
      </c>
      <c r="C789" s="1" t="n">
        <v>46109</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11876-2026</t>
        </is>
      </c>
      <c r="B790" s="1" t="n">
        <v>46085.50024305555</v>
      </c>
      <c r="C790" s="1" t="n">
        <v>46109</v>
      </c>
      <c r="D790" t="inlineStr">
        <is>
          <t>JÄMTLANDS LÄN</t>
        </is>
      </c>
      <c r="E790" t="inlineStr">
        <is>
          <t>RAGUNDA</t>
        </is>
      </c>
      <c r="G790" t="n">
        <v>2.4</v>
      </c>
      <c r="H790" t="n">
        <v>0</v>
      </c>
      <c r="I790" t="n">
        <v>0</v>
      </c>
      <c r="J790" t="n">
        <v>0</v>
      </c>
      <c r="K790" t="n">
        <v>0</v>
      </c>
      <c r="L790" t="n">
        <v>0</v>
      </c>
      <c r="M790" t="n">
        <v>0</v>
      </c>
      <c r="N790" t="n">
        <v>0</v>
      </c>
      <c r="O790" t="n">
        <v>0</v>
      </c>
      <c r="P790" t="n">
        <v>0</v>
      </c>
      <c r="Q790" t="n">
        <v>0</v>
      </c>
      <c r="R790" s="2" t="inlineStr"/>
    </row>
    <row r="791" ht="15" customHeight="1">
      <c r="A791" t="inlineStr">
        <is>
          <t>A 11878-2026</t>
        </is>
      </c>
      <c r="B791" s="1" t="n">
        <v>46085.50053240741</v>
      </c>
      <c r="C791" s="1" t="n">
        <v>46109</v>
      </c>
      <c r="D791" t="inlineStr">
        <is>
          <t>JÄMTLANDS LÄN</t>
        </is>
      </c>
      <c r="E791" t="inlineStr">
        <is>
          <t>RAGUNDA</t>
        </is>
      </c>
      <c r="G791" t="n">
        <v>13</v>
      </c>
      <c r="H791" t="n">
        <v>0</v>
      </c>
      <c r="I791" t="n">
        <v>0</v>
      </c>
      <c r="J791" t="n">
        <v>0</v>
      </c>
      <c r="K791" t="n">
        <v>0</v>
      </c>
      <c r="L791" t="n">
        <v>0</v>
      </c>
      <c r="M791" t="n">
        <v>0</v>
      </c>
      <c r="N791" t="n">
        <v>0</v>
      </c>
      <c r="O791" t="n">
        <v>0</v>
      </c>
      <c r="P791" t="n">
        <v>0</v>
      </c>
      <c r="Q791" t="n">
        <v>0</v>
      </c>
      <c r="R791" s="2" t="inlineStr"/>
    </row>
    <row r="792" ht="15" customHeight="1">
      <c r="A792" t="inlineStr">
        <is>
          <t>A 11880-2026</t>
        </is>
      </c>
      <c r="B792" s="1" t="n">
        <v>46085.50150462963</v>
      </c>
      <c r="C792" s="1" t="n">
        <v>46109</v>
      </c>
      <c r="D792" t="inlineStr">
        <is>
          <t>JÄMTLANDS LÄN</t>
        </is>
      </c>
      <c r="E792" t="inlineStr">
        <is>
          <t>RAGUNDA</t>
        </is>
      </c>
      <c r="G792" t="n">
        <v>4</v>
      </c>
      <c r="H792" t="n">
        <v>0</v>
      </c>
      <c r="I792" t="n">
        <v>0</v>
      </c>
      <c r="J792" t="n">
        <v>0</v>
      </c>
      <c r="K792" t="n">
        <v>0</v>
      </c>
      <c r="L792" t="n">
        <v>0</v>
      </c>
      <c r="M792" t="n">
        <v>0</v>
      </c>
      <c r="N792" t="n">
        <v>0</v>
      </c>
      <c r="O792" t="n">
        <v>0</v>
      </c>
      <c r="P792" t="n">
        <v>0</v>
      </c>
      <c r="Q792" t="n">
        <v>0</v>
      </c>
      <c r="R792" s="2" t="inlineStr"/>
    </row>
    <row r="793" ht="15" customHeight="1">
      <c r="A793" t="inlineStr">
        <is>
          <t>A 462-2023</t>
        </is>
      </c>
      <c r="B793" s="1" t="n">
        <v>44929</v>
      </c>
      <c r="C793" s="1" t="n">
        <v>46109</v>
      </c>
      <c r="D793" t="inlineStr">
        <is>
          <t>JÄMTLANDS LÄN</t>
        </is>
      </c>
      <c r="E793" t="inlineStr">
        <is>
          <t>RAGUNDA</t>
        </is>
      </c>
      <c r="G793" t="n">
        <v>4.5</v>
      </c>
      <c r="H793" t="n">
        <v>0</v>
      </c>
      <c r="I793" t="n">
        <v>0</v>
      </c>
      <c r="J793" t="n">
        <v>0</v>
      </c>
      <c r="K793" t="n">
        <v>0</v>
      </c>
      <c r="L793" t="n">
        <v>0</v>
      </c>
      <c r="M793" t="n">
        <v>0</v>
      </c>
      <c r="N793" t="n">
        <v>0</v>
      </c>
      <c r="O793" t="n">
        <v>0</v>
      </c>
      <c r="P793" t="n">
        <v>0</v>
      </c>
      <c r="Q793" t="n">
        <v>0</v>
      </c>
      <c r="R793" s="2" t="inlineStr"/>
    </row>
    <row r="794" ht="15" customHeight="1">
      <c r="A794" t="inlineStr">
        <is>
          <t>A 12179-2026</t>
        </is>
      </c>
      <c r="B794" s="1" t="n">
        <v>46086.69835648148</v>
      </c>
      <c r="C794" s="1" t="n">
        <v>46109</v>
      </c>
      <c r="D794" t="inlineStr">
        <is>
          <t>JÄMTLANDS LÄN</t>
        </is>
      </c>
      <c r="E794" t="inlineStr">
        <is>
          <t>RAGUNDA</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31882-2025</t>
        </is>
      </c>
      <c r="B795" s="1" t="n">
        <v>45834.65662037037</v>
      </c>
      <c r="C795" s="1" t="n">
        <v>46109</v>
      </c>
      <c r="D795" t="inlineStr">
        <is>
          <t>JÄMTLANDS LÄN</t>
        </is>
      </c>
      <c r="E795" t="inlineStr">
        <is>
          <t>RAGUNDA</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52317-2025</t>
        </is>
      </c>
      <c r="B796" s="1" t="n">
        <v>45953.65675925926</v>
      </c>
      <c r="C796" s="1" t="n">
        <v>46109</v>
      </c>
      <c r="D796" t="inlineStr">
        <is>
          <t>JÄMTLANDS LÄN</t>
        </is>
      </c>
      <c r="E796" t="inlineStr">
        <is>
          <t>RAGUNDA</t>
        </is>
      </c>
      <c r="F796" t="inlineStr">
        <is>
          <t>SCA</t>
        </is>
      </c>
      <c r="G796" t="n">
        <v>27.2</v>
      </c>
      <c r="H796" t="n">
        <v>0</v>
      </c>
      <c r="I796" t="n">
        <v>0</v>
      </c>
      <c r="J796" t="n">
        <v>0</v>
      </c>
      <c r="K796" t="n">
        <v>0</v>
      </c>
      <c r="L796" t="n">
        <v>0</v>
      </c>
      <c r="M796" t="n">
        <v>0</v>
      </c>
      <c r="N796" t="n">
        <v>0</v>
      </c>
      <c r="O796" t="n">
        <v>0</v>
      </c>
      <c r="P796" t="n">
        <v>0</v>
      </c>
      <c r="Q796" t="n">
        <v>0</v>
      </c>
      <c r="R796" s="2" t="inlineStr"/>
    </row>
    <row r="797" ht="15" customHeight="1">
      <c r="A797" t="inlineStr">
        <is>
          <t>A 52330-2025</t>
        </is>
      </c>
      <c r="B797" s="1" t="n">
        <v>45953.67752314815</v>
      </c>
      <c r="C797" s="1" t="n">
        <v>46109</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3813-2026</t>
        </is>
      </c>
      <c r="B798" s="1" t="n">
        <v>46043.58447916667</v>
      </c>
      <c r="C798" s="1" t="n">
        <v>46109</v>
      </c>
      <c r="D798" t="inlineStr">
        <is>
          <t>JÄMTLANDS LÄN</t>
        </is>
      </c>
      <c r="E798" t="inlineStr">
        <is>
          <t>RAGUNDA</t>
        </is>
      </c>
      <c r="F798" t="inlineStr">
        <is>
          <t>SCA</t>
        </is>
      </c>
      <c r="G798" t="n">
        <v>23.2</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46109</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32258-2024</t>
        </is>
      </c>
      <c r="B800" s="1" t="n">
        <v>45511</v>
      </c>
      <c r="C800" s="1" t="n">
        <v>46109</v>
      </c>
      <c r="D800" t="inlineStr">
        <is>
          <t>JÄMTLANDS LÄN</t>
        </is>
      </c>
      <c r="E800" t="inlineStr">
        <is>
          <t>RAGUNDA</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52395-2025</t>
        </is>
      </c>
      <c r="B801" s="1" t="n">
        <v>45954.34487268519</v>
      </c>
      <c r="C801" s="1" t="n">
        <v>46109</v>
      </c>
      <c r="D801" t="inlineStr">
        <is>
          <t>JÄMTLANDS LÄN</t>
        </is>
      </c>
      <c r="E801" t="inlineStr">
        <is>
          <t>RAGUNDA</t>
        </is>
      </c>
      <c r="F801" t="inlineStr">
        <is>
          <t>SCA</t>
        </is>
      </c>
      <c r="G801" t="n">
        <v>14.2</v>
      </c>
      <c r="H801" t="n">
        <v>0</v>
      </c>
      <c r="I801" t="n">
        <v>0</v>
      </c>
      <c r="J801" t="n">
        <v>0</v>
      </c>
      <c r="K801" t="n">
        <v>0</v>
      </c>
      <c r="L801" t="n">
        <v>0</v>
      </c>
      <c r="M801" t="n">
        <v>0</v>
      </c>
      <c r="N801" t="n">
        <v>0</v>
      </c>
      <c r="O801" t="n">
        <v>0</v>
      </c>
      <c r="P801" t="n">
        <v>0</v>
      </c>
      <c r="Q801" t="n">
        <v>0</v>
      </c>
      <c r="R801" s="2" t="inlineStr"/>
    </row>
    <row r="802" ht="15" customHeight="1">
      <c r="A802" t="inlineStr">
        <is>
          <t>A 11882-2026</t>
        </is>
      </c>
      <c r="B802" s="1" t="n">
        <v>46085.504375</v>
      </c>
      <c r="C802" s="1" t="n">
        <v>46109</v>
      </c>
      <c r="D802" t="inlineStr">
        <is>
          <t>JÄMTLANDS LÄN</t>
        </is>
      </c>
      <c r="E802" t="inlineStr">
        <is>
          <t>RAGUNDA</t>
        </is>
      </c>
      <c r="G802" t="n">
        <v>7</v>
      </c>
      <c r="H802" t="n">
        <v>0</v>
      </c>
      <c r="I802" t="n">
        <v>0</v>
      </c>
      <c r="J802" t="n">
        <v>0</v>
      </c>
      <c r="K802" t="n">
        <v>0</v>
      </c>
      <c r="L802" t="n">
        <v>0</v>
      </c>
      <c r="M802" t="n">
        <v>0</v>
      </c>
      <c r="N802" t="n">
        <v>0</v>
      </c>
      <c r="O802" t="n">
        <v>0</v>
      </c>
      <c r="P802" t="n">
        <v>0</v>
      </c>
      <c r="Q802" t="n">
        <v>0</v>
      </c>
      <c r="R802" s="2" t="inlineStr"/>
    </row>
    <row r="803" ht="15" customHeight="1">
      <c r="A803" t="inlineStr">
        <is>
          <t>A 32762-2025</t>
        </is>
      </c>
      <c r="B803" s="1" t="n">
        <v>45838</v>
      </c>
      <c r="C803" s="1" t="n">
        <v>46109</v>
      </c>
      <c r="D803" t="inlineStr">
        <is>
          <t>JÄMTLANDS LÄN</t>
        </is>
      </c>
      <c r="E803" t="inlineStr">
        <is>
          <t>RAGUNDA</t>
        </is>
      </c>
      <c r="G803" t="n">
        <v>0.6</v>
      </c>
      <c r="H803" t="n">
        <v>0</v>
      </c>
      <c r="I803" t="n">
        <v>0</v>
      </c>
      <c r="J803" t="n">
        <v>0</v>
      </c>
      <c r="K803" t="n">
        <v>0</v>
      </c>
      <c r="L803" t="n">
        <v>0</v>
      </c>
      <c r="M803" t="n">
        <v>0</v>
      </c>
      <c r="N803" t="n">
        <v>0</v>
      </c>
      <c r="O803" t="n">
        <v>0</v>
      </c>
      <c r="P803" t="n">
        <v>0</v>
      </c>
      <c r="Q803" t="n">
        <v>0</v>
      </c>
      <c r="R803" s="2" t="inlineStr"/>
    </row>
    <row r="804" ht="15" customHeight="1">
      <c r="A804" t="inlineStr">
        <is>
          <t>A 4099-2026</t>
        </is>
      </c>
      <c r="B804" s="1" t="n">
        <v>46044.57357638889</v>
      </c>
      <c r="C804" s="1" t="n">
        <v>46109</v>
      </c>
      <c r="D804" t="inlineStr">
        <is>
          <t>JÄMTLANDS LÄN</t>
        </is>
      </c>
      <c r="E804" t="inlineStr">
        <is>
          <t>RAGUNDA</t>
        </is>
      </c>
      <c r="G804" t="n">
        <v>8.4</v>
      </c>
      <c r="H804" t="n">
        <v>0</v>
      </c>
      <c r="I804" t="n">
        <v>0</v>
      </c>
      <c r="J804" t="n">
        <v>0</v>
      </c>
      <c r="K804" t="n">
        <v>0</v>
      </c>
      <c r="L804" t="n">
        <v>0</v>
      </c>
      <c r="M804" t="n">
        <v>0</v>
      </c>
      <c r="N804" t="n">
        <v>0</v>
      </c>
      <c r="O804" t="n">
        <v>0</v>
      </c>
      <c r="P804" t="n">
        <v>0</v>
      </c>
      <c r="Q804" t="n">
        <v>0</v>
      </c>
      <c r="R804" s="2" t="inlineStr"/>
    </row>
    <row r="805" ht="15" customHeight="1">
      <c r="A805" t="inlineStr">
        <is>
          <t>A 4142-2026</t>
        </is>
      </c>
      <c r="B805" s="1" t="n">
        <v>46044.63607638889</v>
      </c>
      <c r="C805" s="1" t="n">
        <v>46109</v>
      </c>
      <c r="D805" t="inlineStr">
        <is>
          <t>JÄMTLANDS LÄN</t>
        </is>
      </c>
      <c r="E805" t="inlineStr">
        <is>
          <t>RAGUNDA</t>
        </is>
      </c>
      <c r="F805" t="inlineStr">
        <is>
          <t>SCA</t>
        </is>
      </c>
      <c r="G805" t="n">
        <v>19.3</v>
      </c>
      <c r="H805" t="n">
        <v>0</v>
      </c>
      <c r="I805" t="n">
        <v>0</v>
      </c>
      <c r="J805" t="n">
        <v>0</v>
      </c>
      <c r="K805" t="n">
        <v>0</v>
      </c>
      <c r="L805" t="n">
        <v>0</v>
      </c>
      <c r="M805" t="n">
        <v>0</v>
      </c>
      <c r="N805" t="n">
        <v>0</v>
      </c>
      <c r="O805" t="n">
        <v>0</v>
      </c>
      <c r="P805" t="n">
        <v>0</v>
      </c>
      <c r="Q805" t="n">
        <v>0</v>
      </c>
      <c r="R805" s="2" t="inlineStr"/>
    </row>
    <row r="806" ht="15" customHeight="1">
      <c r="A806" t="inlineStr">
        <is>
          <t>A 53032-2025</t>
        </is>
      </c>
      <c r="B806" s="1" t="n">
        <v>45958.34462962963</v>
      </c>
      <c r="C806" s="1" t="n">
        <v>46109</v>
      </c>
      <c r="D806" t="inlineStr">
        <is>
          <t>JÄMTLANDS LÄN</t>
        </is>
      </c>
      <c r="E806" t="inlineStr">
        <is>
          <t>RAGUNDA</t>
        </is>
      </c>
      <c r="G806" t="n">
        <v>2.6</v>
      </c>
      <c r="H806" t="n">
        <v>0</v>
      </c>
      <c r="I806" t="n">
        <v>0</v>
      </c>
      <c r="J806" t="n">
        <v>0</v>
      </c>
      <c r="K806" t="n">
        <v>0</v>
      </c>
      <c r="L806" t="n">
        <v>0</v>
      </c>
      <c r="M806" t="n">
        <v>0</v>
      </c>
      <c r="N806" t="n">
        <v>0</v>
      </c>
      <c r="O806" t="n">
        <v>0</v>
      </c>
      <c r="P806" t="n">
        <v>0</v>
      </c>
      <c r="Q806" t="n">
        <v>0</v>
      </c>
      <c r="R806" s="2" t="inlineStr"/>
    </row>
    <row r="807" ht="15" customHeight="1">
      <c r="A807" t="inlineStr">
        <is>
          <t>A 53076-2025</t>
        </is>
      </c>
      <c r="B807" s="1" t="n">
        <v>45958.38604166666</v>
      </c>
      <c r="C807" s="1" t="n">
        <v>46109</v>
      </c>
      <c r="D807" t="inlineStr">
        <is>
          <t>JÄMTLANDS LÄN</t>
        </is>
      </c>
      <c r="E807" t="inlineStr">
        <is>
          <t>RAGUNDA</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32306-2025</t>
        </is>
      </c>
      <c r="B808" s="1" t="n">
        <v>45835.72046296296</v>
      </c>
      <c r="C808" s="1" t="n">
        <v>46109</v>
      </c>
      <c r="D808" t="inlineStr">
        <is>
          <t>JÄMTLANDS LÄN</t>
        </is>
      </c>
      <c r="E808" t="inlineStr">
        <is>
          <t>RAGUNDA</t>
        </is>
      </c>
      <c r="G808" t="n">
        <v>10.2</v>
      </c>
      <c r="H808" t="n">
        <v>0</v>
      </c>
      <c r="I808" t="n">
        <v>0</v>
      </c>
      <c r="J808" t="n">
        <v>0</v>
      </c>
      <c r="K808" t="n">
        <v>0</v>
      </c>
      <c r="L808" t="n">
        <v>0</v>
      </c>
      <c r="M808" t="n">
        <v>0</v>
      </c>
      <c r="N808" t="n">
        <v>0</v>
      </c>
      <c r="O808" t="n">
        <v>0</v>
      </c>
      <c r="P808" t="n">
        <v>0</v>
      </c>
      <c r="Q808" t="n">
        <v>0</v>
      </c>
      <c r="R808" s="2" t="inlineStr"/>
    </row>
    <row r="809" ht="15" customHeight="1">
      <c r="A809" t="inlineStr">
        <is>
          <t>A 32757-2025</t>
        </is>
      </c>
      <c r="B809" s="1" t="n">
        <v>45838</v>
      </c>
      <c r="C809" s="1" t="n">
        <v>46109</v>
      </c>
      <c r="D809" t="inlineStr">
        <is>
          <t>JÄMTLANDS LÄN</t>
        </is>
      </c>
      <c r="E809" t="inlineStr">
        <is>
          <t>RAGUNDA</t>
        </is>
      </c>
      <c r="G809" t="n">
        <v>4.5</v>
      </c>
      <c r="H809" t="n">
        <v>0</v>
      </c>
      <c r="I809" t="n">
        <v>0</v>
      </c>
      <c r="J809" t="n">
        <v>0</v>
      </c>
      <c r="K809" t="n">
        <v>0</v>
      </c>
      <c r="L809" t="n">
        <v>0</v>
      </c>
      <c r="M809" t="n">
        <v>0</v>
      </c>
      <c r="N809" t="n">
        <v>0</v>
      </c>
      <c r="O809" t="n">
        <v>0</v>
      </c>
      <c r="P809" t="n">
        <v>0</v>
      </c>
      <c r="Q809" t="n">
        <v>0</v>
      </c>
      <c r="R809" s="2" t="inlineStr"/>
    </row>
    <row r="810" ht="15" customHeight="1">
      <c r="A810" t="inlineStr">
        <is>
          <t>A 32660-2025</t>
        </is>
      </c>
      <c r="B810" s="1" t="n">
        <v>45838.67887731481</v>
      </c>
      <c r="C810" s="1" t="n">
        <v>46109</v>
      </c>
      <c r="D810" t="inlineStr">
        <is>
          <t>JÄMTLANDS LÄN</t>
        </is>
      </c>
      <c r="E810" t="inlineStr">
        <is>
          <t>RAGUNDA</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32527-2025</t>
        </is>
      </c>
      <c r="B811" s="1" t="n">
        <v>45838.48996527777</v>
      </c>
      <c r="C811" s="1" t="n">
        <v>46109</v>
      </c>
      <c r="D811" t="inlineStr">
        <is>
          <t>JÄMTLANDS LÄN</t>
        </is>
      </c>
      <c r="E811" t="inlineStr">
        <is>
          <t>RAGUNDA</t>
        </is>
      </c>
      <c r="G811" t="n">
        <v>5</v>
      </c>
      <c r="H811" t="n">
        <v>0</v>
      </c>
      <c r="I811" t="n">
        <v>0</v>
      </c>
      <c r="J811" t="n">
        <v>0</v>
      </c>
      <c r="K811" t="n">
        <v>0</v>
      </c>
      <c r="L811" t="n">
        <v>0</v>
      </c>
      <c r="M811" t="n">
        <v>0</v>
      </c>
      <c r="N811" t="n">
        <v>0</v>
      </c>
      <c r="O811" t="n">
        <v>0</v>
      </c>
      <c r="P811" t="n">
        <v>0</v>
      </c>
      <c r="Q811" t="n">
        <v>0</v>
      </c>
      <c r="R811" s="2" t="inlineStr"/>
    </row>
    <row r="812" ht="15" customHeight="1">
      <c r="A812" t="inlineStr">
        <is>
          <t>A 11832-2026</t>
        </is>
      </c>
      <c r="B812" s="1" t="n">
        <v>46085.42788194444</v>
      </c>
      <c r="C812" s="1" t="n">
        <v>46109</v>
      </c>
      <c r="D812" t="inlineStr">
        <is>
          <t>JÄMTLANDS LÄN</t>
        </is>
      </c>
      <c r="E812" t="inlineStr">
        <is>
          <t>RAGUNDA</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52394-2025</t>
        </is>
      </c>
      <c r="B813" s="1" t="n">
        <v>45954.34466435185</v>
      </c>
      <c r="C813" s="1" t="n">
        <v>46109</v>
      </c>
      <c r="D813" t="inlineStr">
        <is>
          <t>JÄMTLANDS LÄN</t>
        </is>
      </c>
      <c r="E813" t="inlineStr">
        <is>
          <t>RAGUNDA</t>
        </is>
      </c>
      <c r="F813" t="inlineStr">
        <is>
          <t>SCA</t>
        </is>
      </c>
      <c r="G813" t="n">
        <v>53.8</v>
      </c>
      <c r="H813" t="n">
        <v>0</v>
      </c>
      <c r="I813" t="n">
        <v>0</v>
      </c>
      <c r="J813" t="n">
        <v>0</v>
      </c>
      <c r="K813" t="n">
        <v>0</v>
      </c>
      <c r="L813" t="n">
        <v>0</v>
      </c>
      <c r="M813" t="n">
        <v>0</v>
      </c>
      <c r="N813" t="n">
        <v>0</v>
      </c>
      <c r="O813" t="n">
        <v>0</v>
      </c>
      <c r="P813" t="n">
        <v>0</v>
      </c>
      <c r="Q813" t="n">
        <v>0</v>
      </c>
      <c r="R813" s="2" t="inlineStr"/>
    </row>
    <row r="814" ht="15" customHeight="1">
      <c r="A814" t="inlineStr">
        <is>
          <t>A 32021-2025</t>
        </is>
      </c>
      <c r="B814" s="1" t="n">
        <v>45835.40668981482</v>
      </c>
      <c r="C814" s="1" t="n">
        <v>46109</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32655-2025</t>
        </is>
      </c>
      <c r="B815" s="1" t="n">
        <v>45838.67800925926</v>
      </c>
      <c r="C815" s="1" t="n">
        <v>46109</v>
      </c>
      <c r="D815" t="inlineStr">
        <is>
          <t>JÄMTLANDS LÄN</t>
        </is>
      </c>
      <c r="E815" t="inlineStr">
        <is>
          <t>RAGUNDA</t>
        </is>
      </c>
      <c r="G815" t="n">
        <v>2.8</v>
      </c>
      <c r="H815" t="n">
        <v>0</v>
      </c>
      <c r="I815" t="n">
        <v>0</v>
      </c>
      <c r="J815" t="n">
        <v>0</v>
      </c>
      <c r="K815" t="n">
        <v>0</v>
      </c>
      <c r="L815" t="n">
        <v>0</v>
      </c>
      <c r="M815" t="n">
        <v>0</v>
      </c>
      <c r="N815" t="n">
        <v>0</v>
      </c>
      <c r="O815" t="n">
        <v>0</v>
      </c>
      <c r="P815" t="n">
        <v>0</v>
      </c>
      <c r="Q815" t="n">
        <v>0</v>
      </c>
      <c r="R815" s="2" t="inlineStr"/>
    </row>
    <row r="816" ht="15" customHeight="1">
      <c r="A816" t="inlineStr">
        <is>
          <t>A 32151-2025</t>
        </is>
      </c>
      <c r="B816" s="1" t="n">
        <v>45835.53166666667</v>
      </c>
      <c r="C816" s="1" t="n">
        <v>46109</v>
      </c>
      <c r="D816" t="inlineStr">
        <is>
          <t>JÄMTLANDS LÄN</t>
        </is>
      </c>
      <c r="E816" t="inlineStr">
        <is>
          <t>RAGUNDA</t>
        </is>
      </c>
      <c r="F816" t="inlineStr">
        <is>
          <t>SCA</t>
        </is>
      </c>
      <c r="G816" t="n">
        <v>12.3</v>
      </c>
      <c r="H816" t="n">
        <v>0</v>
      </c>
      <c r="I816" t="n">
        <v>0</v>
      </c>
      <c r="J816" t="n">
        <v>0</v>
      </c>
      <c r="K816" t="n">
        <v>0</v>
      </c>
      <c r="L816" t="n">
        <v>0</v>
      </c>
      <c r="M816" t="n">
        <v>0</v>
      </c>
      <c r="N816" t="n">
        <v>0</v>
      </c>
      <c r="O816" t="n">
        <v>0</v>
      </c>
      <c r="P816" t="n">
        <v>0</v>
      </c>
      <c r="Q816" t="n">
        <v>0</v>
      </c>
      <c r="R816" s="2" t="inlineStr"/>
    </row>
    <row r="817" ht="15" customHeight="1">
      <c r="A817" t="inlineStr">
        <is>
          <t>A 4047-2026</t>
        </is>
      </c>
      <c r="B817" s="1" t="n">
        <v>46044.46944444445</v>
      </c>
      <c r="C817" s="1" t="n">
        <v>46109</v>
      </c>
      <c r="D817" t="inlineStr">
        <is>
          <t>JÄMTLANDS LÄN</t>
        </is>
      </c>
      <c r="E817" t="inlineStr">
        <is>
          <t>RAGUNDA</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4046-2026</t>
        </is>
      </c>
      <c r="B818" s="1" t="n">
        <v>46044.46921296296</v>
      </c>
      <c r="C818" s="1" t="n">
        <v>46109</v>
      </c>
      <c r="D818" t="inlineStr">
        <is>
          <t>JÄMTLANDS LÄN</t>
        </is>
      </c>
      <c r="E818" t="inlineStr">
        <is>
          <t>RAGUNDA</t>
        </is>
      </c>
      <c r="G818" t="n">
        <v>5.3</v>
      </c>
      <c r="H818" t="n">
        <v>0</v>
      </c>
      <c r="I818" t="n">
        <v>0</v>
      </c>
      <c r="J818" t="n">
        <v>0</v>
      </c>
      <c r="K818" t="n">
        <v>0</v>
      </c>
      <c r="L818" t="n">
        <v>0</v>
      </c>
      <c r="M818" t="n">
        <v>0</v>
      </c>
      <c r="N818" t="n">
        <v>0</v>
      </c>
      <c r="O818" t="n">
        <v>0</v>
      </c>
      <c r="P818" t="n">
        <v>0</v>
      </c>
      <c r="Q818" t="n">
        <v>0</v>
      </c>
      <c r="R818" s="2" t="inlineStr"/>
    </row>
    <row r="819" ht="15" customHeight="1">
      <c r="A819" t="inlineStr">
        <is>
          <t>A 4073-2026</t>
        </is>
      </c>
      <c r="B819" s="1" t="n">
        <v>46044.53168981482</v>
      </c>
      <c r="C819" s="1" t="n">
        <v>46109</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32096-2025</t>
        </is>
      </c>
      <c r="B820" s="1" t="n">
        <v>45835.46334490741</v>
      </c>
      <c r="C820" s="1" t="n">
        <v>46109</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52430-2025</t>
        </is>
      </c>
      <c r="B821" s="1" t="n">
        <v>45954.38592592593</v>
      </c>
      <c r="C821" s="1" t="n">
        <v>46109</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32748-2025</t>
        </is>
      </c>
      <c r="B822" s="1" t="n">
        <v>45839.42822916667</v>
      </c>
      <c r="C822" s="1" t="n">
        <v>46109</v>
      </c>
      <c r="D822" t="inlineStr">
        <is>
          <t>JÄMTLANDS LÄN</t>
        </is>
      </c>
      <c r="E822" t="inlineStr">
        <is>
          <t>RAGUNDA</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32777-2025</t>
        </is>
      </c>
      <c r="B823" s="1" t="n">
        <v>45839.46915509259</v>
      </c>
      <c r="C823" s="1" t="n">
        <v>46109</v>
      </c>
      <c r="D823" t="inlineStr">
        <is>
          <t>JÄMTLANDS LÄN</t>
        </is>
      </c>
      <c r="E823" t="inlineStr">
        <is>
          <t>RAGUNDA</t>
        </is>
      </c>
      <c r="F823" t="inlineStr">
        <is>
          <t>SCA</t>
        </is>
      </c>
      <c r="G823" t="n">
        <v>21.7</v>
      </c>
      <c r="H823" t="n">
        <v>0</v>
      </c>
      <c r="I823" t="n">
        <v>0</v>
      </c>
      <c r="J823" t="n">
        <v>0</v>
      </c>
      <c r="K823" t="n">
        <v>0</v>
      </c>
      <c r="L823" t="n">
        <v>0</v>
      </c>
      <c r="M823" t="n">
        <v>0</v>
      </c>
      <c r="N823" t="n">
        <v>0</v>
      </c>
      <c r="O823" t="n">
        <v>0</v>
      </c>
      <c r="P823" t="n">
        <v>0</v>
      </c>
      <c r="Q823" t="n">
        <v>0</v>
      </c>
      <c r="R823" s="2" t="inlineStr"/>
    </row>
    <row r="824" ht="15" customHeight="1">
      <c r="A824" t="inlineStr">
        <is>
          <t>A 52875-2025</t>
        </is>
      </c>
      <c r="B824" s="1" t="n">
        <v>45957.53211805555</v>
      </c>
      <c r="C824" s="1" t="n">
        <v>46109</v>
      </c>
      <c r="D824" t="inlineStr">
        <is>
          <t>JÄMTLANDS LÄN</t>
        </is>
      </c>
      <c r="E824" t="inlineStr">
        <is>
          <t>RAGUNDA</t>
        </is>
      </c>
      <c r="F824" t="inlineStr">
        <is>
          <t>SCA</t>
        </is>
      </c>
      <c r="G824" t="n">
        <v>34.3</v>
      </c>
      <c r="H824" t="n">
        <v>0</v>
      </c>
      <c r="I824" t="n">
        <v>0</v>
      </c>
      <c r="J824" t="n">
        <v>0</v>
      </c>
      <c r="K824" t="n">
        <v>0</v>
      </c>
      <c r="L824" t="n">
        <v>0</v>
      </c>
      <c r="M824" t="n">
        <v>0</v>
      </c>
      <c r="N824" t="n">
        <v>0</v>
      </c>
      <c r="O824" t="n">
        <v>0</v>
      </c>
      <c r="P824" t="n">
        <v>0</v>
      </c>
      <c r="Q824" t="n">
        <v>0</v>
      </c>
      <c r="R824" s="2" t="inlineStr"/>
    </row>
    <row r="825" ht="15" customHeight="1">
      <c r="A825" t="inlineStr">
        <is>
          <t>A 15672-2021</t>
        </is>
      </c>
      <c r="B825" s="1" t="n">
        <v>44286</v>
      </c>
      <c r="C825" s="1" t="n">
        <v>46109</v>
      </c>
      <c r="D825" t="inlineStr">
        <is>
          <t>JÄMTLANDS LÄN</t>
        </is>
      </c>
      <c r="E825" t="inlineStr">
        <is>
          <t>RAGUNDA</t>
        </is>
      </c>
      <c r="G825" t="n">
        <v>1.7</v>
      </c>
      <c r="H825" t="n">
        <v>0</v>
      </c>
      <c r="I825" t="n">
        <v>0</v>
      </c>
      <c r="J825" t="n">
        <v>0</v>
      </c>
      <c r="K825" t="n">
        <v>0</v>
      </c>
      <c r="L825" t="n">
        <v>0</v>
      </c>
      <c r="M825" t="n">
        <v>0</v>
      </c>
      <c r="N825" t="n">
        <v>0</v>
      </c>
      <c r="O825" t="n">
        <v>0</v>
      </c>
      <c r="P825" t="n">
        <v>0</v>
      </c>
      <c r="Q825" t="n">
        <v>0</v>
      </c>
      <c r="R825" s="2" t="inlineStr"/>
    </row>
    <row r="826" ht="15" customHeight="1">
      <c r="A826" t="inlineStr">
        <is>
          <t>A 4629-2026</t>
        </is>
      </c>
      <c r="B826" s="1" t="n">
        <v>46048.38622685185</v>
      </c>
      <c r="C826" s="1" t="n">
        <v>46109</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50650-2023</t>
        </is>
      </c>
      <c r="B827" s="1" t="n">
        <v>45210</v>
      </c>
      <c r="C827" s="1" t="n">
        <v>46109</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4841-2026</t>
        </is>
      </c>
      <c r="B828" s="1" t="n">
        <v>46048.61550925926</v>
      </c>
      <c r="C828" s="1" t="n">
        <v>46109</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53211-2025</t>
        </is>
      </c>
      <c r="B829" s="1" t="n">
        <v>45958.59490740741</v>
      </c>
      <c r="C829" s="1" t="n">
        <v>46109</v>
      </c>
      <c r="D829" t="inlineStr">
        <is>
          <t>JÄMTLANDS LÄN</t>
        </is>
      </c>
      <c r="E829" t="inlineStr">
        <is>
          <t>RAGUNDA</t>
        </is>
      </c>
      <c r="F829" t="inlineStr">
        <is>
          <t>SCA</t>
        </is>
      </c>
      <c r="G829" t="n">
        <v>7.4</v>
      </c>
      <c r="H829" t="n">
        <v>0</v>
      </c>
      <c r="I829" t="n">
        <v>0</v>
      </c>
      <c r="J829" t="n">
        <v>0</v>
      </c>
      <c r="K829" t="n">
        <v>0</v>
      </c>
      <c r="L829" t="n">
        <v>0</v>
      </c>
      <c r="M829" t="n">
        <v>0</v>
      </c>
      <c r="N829" t="n">
        <v>0</v>
      </c>
      <c r="O829" t="n">
        <v>0</v>
      </c>
      <c r="P829" t="n">
        <v>0</v>
      </c>
      <c r="Q829" t="n">
        <v>0</v>
      </c>
      <c r="R829" s="2" t="inlineStr"/>
    </row>
    <row r="830" ht="15" customHeight="1">
      <c r="A830" t="inlineStr">
        <is>
          <t>A 52972-2025</t>
        </is>
      </c>
      <c r="B830" s="1" t="n">
        <v>45957.67783564814</v>
      </c>
      <c r="C830" s="1" t="n">
        <v>46109</v>
      </c>
      <c r="D830" t="inlineStr">
        <is>
          <t>JÄMTLANDS LÄN</t>
        </is>
      </c>
      <c r="E830" t="inlineStr">
        <is>
          <t>RAGUNDA</t>
        </is>
      </c>
      <c r="F830" t="inlineStr">
        <is>
          <t>SCA</t>
        </is>
      </c>
      <c r="G830" t="n">
        <v>53.4</v>
      </c>
      <c r="H830" t="n">
        <v>0</v>
      </c>
      <c r="I830" t="n">
        <v>0</v>
      </c>
      <c r="J830" t="n">
        <v>0</v>
      </c>
      <c r="K830" t="n">
        <v>0</v>
      </c>
      <c r="L830" t="n">
        <v>0</v>
      </c>
      <c r="M830" t="n">
        <v>0</v>
      </c>
      <c r="N830" t="n">
        <v>0</v>
      </c>
      <c r="O830" t="n">
        <v>0</v>
      </c>
      <c r="P830" t="n">
        <v>0</v>
      </c>
      <c r="Q830" t="n">
        <v>0</v>
      </c>
      <c r="R830" s="2" t="inlineStr"/>
    </row>
    <row r="831" ht="15" customHeight="1">
      <c r="A831" t="inlineStr">
        <is>
          <t>A 53075-2025</t>
        </is>
      </c>
      <c r="B831" s="1" t="n">
        <v>45958.38584490741</v>
      </c>
      <c r="C831" s="1" t="n">
        <v>46109</v>
      </c>
      <c r="D831" t="inlineStr">
        <is>
          <t>JÄMTLANDS LÄN</t>
        </is>
      </c>
      <c r="E831" t="inlineStr">
        <is>
          <t>RAGUNDA</t>
        </is>
      </c>
      <c r="F831" t="inlineStr">
        <is>
          <t>SCA</t>
        </is>
      </c>
      <c r="G831" t="n">
        <v>28.9</v>
      </c>
      <c r="H831" t="n">
        <v>0</v>
      </c>
      <c r="I831" t="n">
        <v>0</v>
      </c>
      <c r="J831" t="n">
        <v>0</v>
      </c>
      <c r="K831" t="n">
        <v>0</v>
      </c>
      <c r="L831" t="n">
        <v>0</v>
      </c>
      <c r="M831" t="n">
        <v>0</v>
      </c>
      <c r="N831" t="n">
        <v>0</v>
      </c>
      <c r="O831" t="n">
        <v>0</v>
      </c>
      <c r="P831" t="n">
        <v>0</v>
      </c>
      <c r="Q831" t="n">
        <v>0</v>
      </c>
      <c r="R831" s="2" t="inlineStr"/>
    </row>
    <row r="832" ht="15" customHeight="1">
      <c r="A832" t="inlineStr">
        <is>
          <t>A 564-2025</t>
        </is>
      </c>
      <c r="B832" s="1" t="n">
        <v>45664.55241898148</v>
      </c>
      <c r="C832" s="1" t="n">
        <v>46109</v>
      </c>
      <c r="D832" t="inlineStr">
        <is>
          <t>JÄMTLANDS LÄN</t>
        </is>
      </c>
      <c r="E832" t="inlineStr">
        <is>
          <t>RAGUNDA</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12499-2026</t>
        </is>
      </c>
      <c r="B833" s="1" t="n">
        <v>46090.57364583333</v>
      </c>
      <c r="C833" s="1" t="n">
        <v>46109</v>
      </c>
      <c r="D833" t="inlineStr">
        <is>
          <t>JÄMTLANDS LÄN</t>
        </is>
      </c>
      <c r="E833" t="inlineStr">
        <is>
          <t>RAGUNDA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53726-2025</t>
        </is>
      </c>
      <c r="B834" s="1" t="n">
        <v>45960.63597222222</v>
      </c>
      <c r="C834" s="1" t="n">
        <v>46109</v>
      </c>
      <c r="D834" t="inlineStr">
        <is>
          <t>JÄMTLANDS LÄN</t>
        </is>
      </c>
      <c r="E834" t="inlineStr">
        <is>
          <t>RAGUNDA</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4616-2026</t>
        </is>
      </c>
      <c r="B835" s="1" t="n">
        <v>46048.37070601852</v>
      </c>
      <c r="C835" s="1" t="n">
        <v>46109</v>
      </c>
      <c r="D835" t="inlineStr">
        <is>
          <t>JÄMTLANDS LÄN</t>
        </is>
      </c>
      <c r="E835" t="inlineStr">
        <is>
          <t>RAGUNDA</t>
        </is>
      </c>
      <c r="G835" t="n">
        <v>2.4</v>
      </c>
      <c r="H835" t="n">
        <v>0</v>
      </c>
      <c r="I835" t="n">
        <v>0</v>
      </c>
      <c r="J835" t="n">
        <v>0</v>
      </c>
      <c r="K835" t="n">
        <v>0</v>
      </c>
      <c r="L835" t="n">
        <v>0</v>
      </c>
      <c r="M835" t="n">
        <v>0</v>
      </c>
      <c r="N835" t="n">
        <v>0</v>
      </c>
      <c r="O835" t="n">
        <v>0</v>
      </c>
      <c r="P835" t="n">
        <v>0</v>
      </c>
      <c r="Q835" t="n">
        <v>0</v>
      </c>
      <c r="R835" s="2" t="inlineStr"/>
    </row>
    <row r="836" ht="15" customHeight="1">
      <c r="A836" t="inlineStr">
        <is>
          <t>A 12344-2026</t>
        </is>
      </c>
      <c r="B836" s="1" t="n">
        <v>46087.67763888889</v>
      </c>
      <c r="C836" s="1" t="n">
        <v>46109</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4627-2026</t>
        </is>
      </c>
      <c r="B837" s="1" t="n">
        <v>46048.3860300926</v>
      </c>
      <c r="C837" s="1" t="n">
        <v>46109</v>
      </c>
      <c r="D837" t="inlineStr">
        <is>
          <t>JÄMTLANDS LÄN</t>
        </is>
      </c>
      <c r="E837" t="inlineStr">
        <is>
          <t>RAGUNDA</t>
        </is>
      </c>
      <c r="G837" t="n">
        <v>0.5</v>
      </c>
      <c r="H837" t="n">
        <v>0</v>
      </c>
      <c r="I837" t="n">
        <v>0</v>
      </c>
      <c r="J837" t="n">
        <v>0</v>
      </c>
      <c r="K837" t="n">
        <v>0</v>
      </c>
      <c r="L837" t="n">
        <v>0</v>
      </c>
      <c r="M837" t="n">
        <v>0</v>
      </c>
      <c r="N837" t="n">
        <v>0</v>
      </c>
      <c r="O837" t="n">
        <v>0</v>
      </c>
      <c r="P837" t="n">
        <v>0</v>
      </c>
      <c r="Q837" t="n">
        <v>0</v>
      </c>
      <c r="R837" s="2" t="inlineStr"/>
    </row>
    <row r="838" ht="15" customHeight="1">
      <c r="A838" t="inlineStr">
        <is>
          <t>A 4628-2026</t>
        </is>
      </c>
      <c r="B838" s="1" t="n">
        <v>46048.3862037037</v>
      </c>
      <c r="C838" s="1" t="n">
        <v>46109</v>
      </c>
      <c r="D838" t="inlineStr">
        <is>
          <t>JÄMTLANDS LÄN</t>
        </is>
      </c>
      <c r="E838" t="inlineStr">
        <is>
          <t>RAGUNDA</t>
        </is>
      </c>
      <c r="G838" t="n">
        <v>0.3</v>
      </c>
      <c r="H838" t="n">
        <v>0</v>
      </c>
      <c r="I838" t="n">
        <v>0</v>
      </c>
      <c r="J838" t="n">
        <v>0</v>
      </c>
      <c r="K838" t="n">
        <v>0</v>
      </c>
      <c r="L838" t="n">
        <v>0</v>
      </c>
      <c r="M838" t="n">
        <v>0</v>
      </c>
      <c r="N838" t="n">
        <v>0</v>
      </c>
      <c r="O838" t="n">
        <v>0</v>
      </c>
      <c r="P838" t="n">
        <v>0</v>
      </c>
      <c r="Q838" t="n">
        <v>0</v>
      </c>
      <c r="R838" s="2" t="inlineStr"/>
    </row>
    <row r="839" ht="15" customHeight="1">
      <c r="A839" t="inlineStr">
        <is>
          <t>A 25304-2023</t>
        </is>
      </c>
      <c r="B839" s="1" t="n">
        <v>45086</v>
      </c>
      <c r="C839" s="1" t="n">
        <v>46109</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32430-2025</t>
        </is>
      </c>
      <c r="B840" s="1" t="n">
        <v>45838.36532407408</v>
      </c>
      <c r="C840" s="1" t="n">
        <v>46109</v>
      </c>
      <c r="D840" t="inlineStr">
        <is>
          <t>JÄMTLANDS LÄN</t>
        </is>
      </c>
      <c r="E840" t="inlineStr">
        <is>
          <t>RAGUNDA</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12347-2026</t>
        </is>
      </c>
      <c r="B841" s="1" t="n">
        <v>46087.67805555555</v>
      </c>
      <c r="C841" s="1" t="n">
        <v>46109</v>
      </c>
      <c r="D841" t="inlineStr">
        <is>
          <t>JÄMTLANDS LÄN</t>
        </is>
      </c>
      <c r="E841" t="inlineStr">
        <is>
          <t>RAGUNDA</t>
        </is>
      </c>
      <c r="F841" t="inlineStr">
        <is>
          <t>SCA</t>
        </is>
      </c>
      <c r="G841" t="n">
        <v>33.1</v>
      </c>
      <c r="H841" t="n">
        <v>0</v>
      </c>
      <c r="I841" t="n">
        <v>0</v>
      </c>
      <c r="J841" t="n">
        <v>0</v>
      </c>
      <c r="K841" t="n">
        <v>0</v>
      </c>
      <c r="L841" t="n">
        <v>0</v>
      </c>
      <c r="M841" t="n">
        <v>0</v>
      </c>
      <c r="N841" t="n">
        <v>0</v>
      </c>
      <c r="O841" t="n">
        <v>0</v>
      </c>
      <c r="P841" t="n">
        <v>0</v>
      </c>
      <c r="Q841" t="n">
        <v>0</v>
      </c>
      <c r="R841" s="2" t="inlineStr"/>
    </row>
    <row r="842" ht="15" customHeight="1">
      <c r="A842" t="inlineStr">
        <is>
          <t>A 3767-2025</t>
        </is>
      </c>
      <c r="B842" s="1" t="n">
        <v>45681.60203703704</v>
      </c>
      <c r="C842" s="1" t="n">
        <v>46109</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52578-2025</t>
        </is>
      </c>
      <c r="B843" s="1" t="n">
        <v>45954.61508101852</v>
      </c>
      <c r="C843" s="1" t="n">
        <v>46109</v>
      </c>
      <c r="D843" t="inlineStr">
        <is>
          <t>JÄMTLANDS LÄN</t>
        </is>
      </c>
      <c r="E843" t="inlineStr">
        <is>
          <t>RAGUNDA</t>
        </is>
      </c>
      <c r="F843" t="inlineStr">
        <is>
          <t>SCA</t>
        </is>
      </c>
      <c r="G843" t="n">
        <v>25.2</v>
      </c>
      <c r="H843" t="n">
        <v>0</v>
      </c>
      <c r="I843" t="n">
        <v>0</v>
      </c>
      <c r="J843" t="n">
        <v>0</v>
      </c>
      <c r="K843" t="n">
        <v>0</v>
      </c>
      <c r="L843" t="n">
        <v>0</v>
      </c>
      <c r="M843" t="n">
        <v>0</v>
      </c>
      <c r="N843" t="n">
        <v>0</v>
      </c>
      <c r="O843" t="n">
        <v>0</v>
      </c>
      <c r="P843" t="n">
        <v>0</v>
      </c>
      <c r="Q843" t="n">
        <v>0</v>
      </c>
      <c r="R843" s="2" t="inlineStr"/>
    </row>
    <row r="844" ht="15" customHeight="1">
      <c r="A844" t="inlineStr">
        <is>
          <t>A 53748-2025</t>
        </is>
      </c>
      <c r="B844" s="1" t="n">
        <v>45960.65673611111</v>
      </c>
      <c r="C844" s="1" t="n">
        <v>46109</v>
      </c>
      <c r="D844" t="inlineStr">
        <is>
          <t>JÄMTLANDS LÄN</t>
        </is>
      </c>
      <c r="E844" t="inlineStr">
        <is>
          <t>RAGUNDA</t>
        </is>
      </c>
      <c r="F844" t="inlineStr">
        <is>
          <t>SCA</t>
        </is>
      </c>
      <c r="G844" t="n">
        <v>14.9</v>
      </c>
      <c r="H844" t="n">
        <v>0</v>
      </c>
      <c r="I844" t="n">
        <v>0</v>
      </c>
      <c r="J844" t="n">
        <v>0</v>
      </c>
      <c r="K844" t="n">
        <v>0</v>
      </c>
      <c r="L844" t="n">
        <v>0</v>
      </c>
      <c r="M844" t="n">
        <v>0</v>
      </c>
      <c r="N844" t="n">
        <v>0</v>
      </c>
      <c r="O844" t="n">
        <v>0</v>
      </c>
      <c r="P844" t="n">
        <v>0</v>
      </c>
      <c r="Q844" t="n">
        <v>0</v>
      </c>
      <c r="R844" s="2" t="inlineStr"/>
    </row>
    <row r="845" ht="15" customHeight="1">
      <c r="A845" t="inlineStr">
        <is>
          <t>A 3186-2025</t>
        </is>
      </c>
      <c r="B845" s="1" t="n">
        <v>45679.40362268518</v>
      </c>
      <c r="C845" s="1" t="n">
        <v>46109</v>
      </c>
      <c r="D845" t="inlineStr">
        <is>
          <t>JÄMTLANDS LÄN</t>
        </is>
      </c>
      <c r="E845" t="inlineStr">
        <is>
          <t>RAGUNDA</t>
        </is>
      </c>
      <c r="G845" t="n">
        <v>5.2</v>
      </c>
      <c r="H845" t="n">
        <v>0</v>
      </c>
      <c r="I845" t="n">
        <v>0</v>
      </c>
      <c r="J845" t="n">
        <v>0</v>
      </c>
      <c r="K845" t="n">
        <v>0</v>
      </c>
      <c r="L845" t="n">
        <v>0</v>
      </c>
      <c r="M845" t="n">
        <v>0</v>
      </c>
      <c r="N845" t="n">
        <v>0</v>
      </c>
      <c r="O845" t="n">
        <v>0</v>
      </c>
      <c r="P845" t="n">
        <v>0</v>
      </c>
      <c r="Q845" t="n">
        <v>0</v>
      </c>
      <c r="R845" s="2" t="inlineStr"/>
    </row>
    <row r="846" ht="15" customHeight="1">
      <c r="A846" t="inlineStr">
        <is>
          <t>A 1308-2025</t>
        </is>
      </c>
      <c r="B846" s="1" t="n">
        <v>45667.55239583334</v>
      </c>
      <c r="C846" s="1" t="n">
        <v>46109</v>
      </c>
      <c r="D846" t="inlineStr">
        <is>
          <t>JÄMTLANDS LÄN</t>
        </is>
      </c>
      <c r="E846" t="inlineStr">
        <is>
          <t>RAGUNDA</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12346-2026</t>
        </is>
      </c>
      <c r="B847" s="1" t="n">
        <v>46087.6778587963</v>
      </c>
      <c r="C847" s="1" t="n">
        <v>46109</v>
      </c>
      <c r="D847" t="inlineStr">
        <is>
          <t>JÄMTLANDS LÄN</t>
        </is>
      </c>
      <c r="E847" t="inlineStr">
        <is>
          <t>RAGUNDA</t>
        </is>
      </c>
      <c r="F847" t="inlineStr">
        <is>
          <t>SCA</t>
        </is>
      </c>
      <c r="G847" t="n">
        <v>38.3</v>
      </c>
      <c r="H847" t="n">
        <v>0</v>
      </c>
      <c r="I847" t="n">
        <v>0</v>
      </c>
      <c r="J847" t="n">
        <v>0</v>
      </c>
      <c r="K847" t="n">
        <v>0</v>
      </c>
      <c r="L847" t="n">
        <v>0</v>
      </c>
      <c r="M847" t="n">
        <v>0</v>
      </c>
      <c r="N847" t="n">
        <v>0</v>
      </c>
      <c r="O847" t="n">
        <v>0</v>
      </c>
      <c r="P847" t="n">
        <v>0</v>
      </c>
      <c r="Q847" t="n">
        <v>0</v>
      </c>
      <c r="R847" s="2" t="inlineStr"/>
    </row>
    <row r="848" ht="15" customHeight="1">
      <c r="A848" t="inlineStr">
        <is>
          <t>A 53549-2025</t>
        </is>
      </c>
      <c r="B848" s="1" t="n">
        <v>45960.38576388889</v>
      </c>
      <c r="C848" s="1" t="n">
        <v>46109</v>
      </c>
      <c r="D848" t="inlineStr">
        <is>
          <t>JÄMTLANDS LÄN</t>
        </is>
      </c>
      <c r="E848" t="inlineStr">
        <is>
          <t>RAGUNDA</t>
        </is>
      </c>
      <c r="G848" t="n">
        <v>5.4</v>
      </c>
      <c r="H848" t="n">
        <v>0</v>
      </c>
      <c r="I848" t="n">
        <v>0</v>
      </c>
      <c r="J848" t="n">
        <v>0</v>
      </c>
      <c r="K848" t="n">
        <v>0</v>
      </c>
      <c r="L848" t="n">
        <v>0</v>
      </c>
      <c r="M848" t="n">
        <v>0</v>
      </c>
      <c r="N848" t="n">
        <v>0</v>
      </c>
      <c r="O848" t="n">
        <v>0</v>
      </c>
      <c r="P848" t="n">
        <v>0</v>
      </c>
      <c r="Q848" t="n">
        <v>0</v>
      </c>
      <c r="R848" s="2" t="inlineStr"/>
    </row>
    <row r="849" ht="15" customHeight="1">
      <c r="A849" t="inlineStr">
        <is>
          <t>A 53765-2025</t>
        </is>
      </c>
      <c r="B849" s="1" t="n">
        <v>45960.67753472222</v>
      </c>
      <c r="C849" s="1" t="n">
        <v>46109</v>
      </c>
      <c r="D849" t="inlineStr">
        <is>
          <t>JÄMTLANDS LÄN</t>
        </is>
      </c>
      <c r="E849" t="inlineStr">
        <is>
          <t>RAGUNDA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32796-2025</t>
        </is>
      </c>
      <c r="B850" s="1" t="n">
        <v>45839.49082175926</v>
      </c>
      <c r="C850" s="1" t="n">
        <v>46109</v>
      </c>
      <c r="D850" t="inlineStr">
        <is>
          <t>JÄMTLANDS LÄN</t>
        </is>
      </c>
      <c r="E850" t="inlineStr">
        <is>
          <t>RAGUNDA</t>
        </is>
      </c>
      <c r="G850" t="n">
        <v>1.7</v>
      </c>
      <c r="H850" t="n">
        <v>0</v>
      </c>
      <c r="I850" t="n">
        <v>0</v>
      </c>
      <c r="J850" t="n">
        <v>0</v>
      </c>
      <c r="K850" t="n">
        <v>0</v>
      </c>
      <c r="L850" t="n">
        <v>0</v>
      </c>
      <c r="M850" t="n">
        <v>0</v>
      </c>
      <c r="N850" t="n">
        <v>0</v>
      </c>
      <c r="O850" t="n">
        <v>0</v>
      </c>
      <c r="P850" t="n">
        <v>0</v>
      </c>
      <c r="Q850" t="n">
        <v>0</v>
      </c>
      <c r="R850" s="2" t="inlineStr"/>
    </row>
    <row r="851" ht="15" customHeight="1">
      <c r="A851" t="inlineStr">
        <is>
          <t>A 4237-2026</t>
        </is>
      </c>
      <c r="B851" s="1" t="n">
        <v>46044.92743055556</v>
      </c>
      <c r="C851" s="1" t="n">
        <v>46109</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32747-2025</t>
        </is>
      </c>
      <c r="B852" s="1" t="n">
        <v>45839.42810185185</v>
      </c>
      <c r="C852" s="1" t="n">
        <v>46109</v>
      </c>
      <c r="D852" t="inlineStr">
        <is>
          <t>JÄMTLANDS LÄN</t>
        </is>
      </c>
      <c r="E852" t="inlineStr">
        <is>
          <t>RAGUNDA</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41262-2021</t>
        </is>
      </c>
      <c r="B853" s="1" t="n">
        <v>44424</v>
      </c>
      <c r="C853" s="1" t="n">
        <v>46109</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36371-2023</t>
        </is>
      </c>
      <c r="B854" s="1" t="n">
        <v>45149</v>
      </c>
      <c r="C854" s="1" t="n">
        <v>46109</v>
      </c>
      <c r="D854" t="inlineStr">
        <is>
          <t>JÄMTLANDS LÄN</t>
        </is>
      </c>
      <c r="E854" t="inlineStr">
        <is>
          <t>RAGUNDA</t>
        </is>
      </c>
      <c r="G854" t="n">
        <v>25.7</v>
      </c>
      <c r="H854" t="n">
        <v>0</v>
      </c>
      <c r="I854" t="n">
        <v>0</v>
      </c>
      <c r="J854" t="n">
        <v>0</v>
      </c>
      <c r="K854" t="n">
        <v>0</v>
      </c>
      <c r="L854" t="n">
        <v>0</v>
      </c>
      <c r="M854" t="n">
        <v>0</v>
      </c>
      <c r="N854" t="n">
        <v>0</v>
      </c>
      <c r="O854" t="n">
        <v>0</v>
      </c>
      <c r="P854" t="n">
        <v>0</v>
      </c>
      <c r="Q854" t="n">
        <v>0</v>
      </c>
      <c r="R854" s="2" t="inlineStr"/>
    </row>
    <row r="855" ht="15" customHeight="1">
      <c r="A855" t="inlineStr">
        <is>
          <t>A 53986-2025</t>
        </is>
      </c>
      <c r="B855" s="1" t="n">
        <v>45961.57381944444</v>
      </c>
      <c r="C855" s="1" t="n">
        <v>46109</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4839-2026</t>
        </is>
      </c>
      <c r="B856" s="1" t="n">
        <v>46048.61520833334</v>
      </c>
      <c r="C856" s="1" t="n">
        <v>46109</v>
      </c>
      <c r="D856" t="inlineStr">
        <is>
          <t>JÄMTLANDS LÄN</t>
        </is>
      </c>
      <c r="E856" t="inlineStr">
        <is>
          <t>RAGUNDA</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53951-2025</t>
        </is>
      </c>
      <c r="B857" s="1" t="n">
        <v>45961.50200231482</v>
      </c>
      <c r="C857" s="1" t="n">
        <v>46109</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53975-2025</t>
        </is>
      </c>
      <c r="B858" s="1" t="n">
        <v>45961.55277777778</v>
      </c>
      <c r="C858" s="1" t="n">
        <v>46109</v>
      </c>
      <c r="D858" t="inlineStr">
        <is>
          <t>JÄMTLANDS LÄN</t>
        </is>
      </c>
      <c r="E858" t="inlineStr">
        <is>
          <t>RAGUNDA</t>
        </is>
      </c>
      <c r="F858" t="inlineStr">
        <is>
          <t>SCA</t>
        </is>
      </c>
      <c r="G858" t="n">
        <v>21.9</v>
      </c>
      <c r="H858" t="n">
        <v>0</v>
      </c>
      <c r="I858" t="n">
        <v>0</v>
      </c>
      <c r="J858" t="n">
        <v>0</v>
      </c>
      <c r="K858" t="n">
        <v>0</v>
      </c>
      <c r="L858" t="n">
        <v>0</v>
      </c>
      <c r="M858" t="n">
        <v>0</v>
      </c>
      <c r="N858" t="n">
        <v>0</v>
      </c>
      <c r="O858" t="n">
        <v>0</v>
      </c>
      <c r="P858" t="n">
        <v>0</v>
      </c>
      <c r="Q858" t="n">
        <v>0</v>
      </c>
      <c r="R858" s="2" t="inlineStr"/>
    </row>
    <row r="859" ht="15" customHeight="1">
      <c r="A859" t="inlineStr">
        <is>
          <t>A 54195-2025</t>
        </is>
      </c>
      <c r="B859" s="1" t="n">
        <v>45964.57413194444</v>
      </c>
      <c r="C859" s="1" t="n">
        <v>46109</v>
      </c>
      <c r="D859" t="inlineStr">
        <is>
          <t>JÄMTLANDS LÄN</t>
        </is>
      </c>
      <c r="E859" t="inlineStr">
        <is>
          <t>RAGUNDA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51579-2024</t>
        </is>
      </c>
      <c r="B860" s="1" t="n">
        <v>45604.63575231482</v>
      </c>
      <c r="C860" s="1" t="n">
        <v>46109</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12985-2026</t>
        </is>
      </c>
      <c r="B861" s="1" t="n">
        <v>46092.66290509259</v>
      </c>
      <c r="C861" s="1" t="n">
        <v>46109</v>
      </c>
      <c r="D861" t="inlineStr">
        <is>
          <t>JÄMTLANDS LÄN</t>
        </is>
      </c>
      <c r="E861" t="inlineStr">
        <is>
          <t>RAGUNDA</t>
        </is>
      </c>
      <c r="G861" t="n">
        <v>5.9</v>
      </c>
      <c r="H861" t="n">
        <v>0</v>
      </c>
      <c r="I861" t="n">
        <v>0</v>
      </c>
      <c r="J861" t="n">
        <v>0</v>
      </c>
      <c r="K861" t="n">
        <v>0</v>
      </c>
      <c r="L861" t="n">
        <v>0</v>
      </c>
      <c r="M861" t="n">
        <v>0</v>
      </c>
      <c r="N861" t="n">
        <v>0</v>
      </c>
      <c r="O861" t="n">
        <v>0</v>
      </c>
      <c r="P861" t="n">
        <v>0</v>
      </c>
      <c r="Q861" t="n">
        <v>0</v>
      </c>
      <c r="R861" s="2" t="inlineStr"/>
    </row>
    <row r="862" ht="15" customHeight="1">
      <c r="A862" t="inlineStr">
        <is>
          <t>A 32751-2025</t>
        </is>
      </c>
      <c r="B862" s="1" t="n">
        <v>45839.42864583333</v>
      </c>
      <c r="C862" s="1" t="n">
        <v>46109</v>
      </c>
      <c r="D862" t="inlineStr">
        <is>
          <t>JÄMTLANDS LÄN</t>
        </is>
      </c>
      <c r="E862" t="inlineStr">
        <is>
          <t>RAGUNDA</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32846-2025</t>
        </is>
      </c>
      <c r="B863" s="1" t="n">
        <v>45839.57331018519</v>
      </c>
      <c r="C863" s="1" t="n">
        <v>46109</v>
      </c>
      <c r="D863" t="inlineStr">
        <is>
          <t>JÄMTLANDS LÄN</t>
        </is>
      </c>
      <c r="E863" t="inlineStr">
        <is>
          <t>RAGUNDA</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53948-2025</t>
        </is>
      </c>
      <c r="B864" s="1" t="n">
        <v>45961.50033564815</v>
      </c>
      <c r="C864" s="1" t="n">
        <v>46109</v>
      </c>
      <c r="D864" t="inlineStr">
        <is>
          <t>JÄMTLANDS LÄN</t>
        </is>
      </c>
      <c r="E864" t="inlineStr">
        <is>
          <t>RAGUNDA</t>
        </is>
      </c>
      <c r="G864" t="n">
        <v>7.9</v>
      </c>
      <c r="H864" t="n">
        <v>0</v>
      </c>
      <c r="I864" t="n">
        <v>0</v>
      </c>
      <c r="J864" t="n">
        <v>0</v>
      </c>
      <c r="K864" t="n">
        <v>0</v>
      </c>
      <c r="L864" t="n">
        <v>0</v>
      </c>
      <c r="M864" t="n">
        <v>0</v>
      </c>
      <c r="N864" t="n">
        <v>0</v>
      </c>
      <c r="O864" t="n">
        <v>0</v>
      </c>
      <c r="P864" t="n">
        <v>0</v>
      </c>
      <c r="Q864" t="n">
        <v>0</v>
      </c>
      <c r="R864" s="2" t="inlineStr"/>
    </row>
    <row r="865" ht="15" customHeight="1">
      <c r="A865" t="inlineStr">
        <is>
          <t>A 53973-2025</t>
        </is>
      </c>
      <c r="B865" s="1" t="n">
        <v>45961.55246527777</v>
      </c>
      <c r="C865" s="1" t="n">
        <v>46109</v>
      </c>
      <c r="D865" t="inlineStr">
        <is>
          <t>JÄMTLANDS LÄN</t>
        </is>
      </c>
      <c r="E865" t="inlineStr">
        <is>
          <t>RAGUNDA</t>
        </is>
      </c>
      <c r="G865" t="n">
        <v>2.4</v>
      </c>
      <c r="H865" t="n">
        <v>0</v>
      </c>
      <c r="I865" t="n">
        <v>0</v>
      </c>
      <c r="J865" t="n">
        <v>0</v>
      </c>
      <c r="K865" t="n">
        <v>0</v>
      </c>
      <c r="L865" t="n">
        <v>0</v>
      </c>
      <c r="M865" t="n">
        <v>0</v>
      </c>
      <c r="N865" t="n">
        <v>0</v>
      </c>
      <c r="O865" t="n">
        <v>0</v>
      </c>
      <c r="P865" t="n">
        <v>0</v>
      </c>
      <c r="Q865" t="n">
        <v>0</v>
      </c>
      <c r="R865" s="2" t="inlineStr"/>
    </row>
    <row r="866" ht="15" customHeight="1">
      <c r="A866" t="inlineStr">
        <is>
          <t>A 33140-2025</t>
        </is>
      </c>
      <c r="B866" s="1" t="n">
        <v>45840.52225694444</v>
      </c>
      <c r="C866" s="1" t="n">
        <v>46109</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54396-2025</t>
        </is>
      </c>
      <c r="B867" s="1" t="n">
        <v>45965.44849537037</v>
      </c>
      <c r="C867" s="1" t="n">
        <v>46109</v>
      </c>
      <c r="D867" t="inlineStr">
        <is>
          <t>JÄMTLANDS LÄN</t>
        </is>
      </c>
      <c r="E867" t="inlineStr">
        <is>
          <t>RAGUNDA</t>
        </is>
      </c>
      <c r="F867" t="inlineStr">
        <is>
          <t>SCA</t>
        </is>
      </c>
      <c r="G867" t="n">
        <v>35.2</v>
      </c>
      <c r="H867" t="n">
        <v>0</v>
      </c>
      <c r="I867" t="n">
        <v>0</v>
      </c>
      <c r="J867" t="n">
        <v>0</v>
      </c>
      <c r="K867" t="n">
        <v>0</v>
      </c>
      <c r="L867" t="n">
        <v>0</v>
      </c>
      <c r="M867" t="n">
        <v>0</v>
      </c>
      <c r="N867" t="n">
        <v>0</v>
      </c>
      <c r="O867" t="n">
        <v>0</v>
      </c>
      <c r="P867" t="n">
        <v>0</v>
      </c>
      <c r="Q867" t="n">
        <v>0</v>
      </c>
      <c r="R867" s="2" t="inlineStr"/>
    </row>
    <row r="868" ht="15" customHeight="1">
      <c r="A868" t="inlineStr">
        <is>
          <t>A 5359-2026</t>
        </is>
      </c>
      <c r="B868" s="1" t="n">
        <v>46050.4484837963</v>
      </c>
      <c r="C868" s="1" t="n">
        <v>46109</v>
      </c>
      <c r="D868" t="inlineStr">
        <is>
          <t>JÄMTLANDS LÄN</t>
        </is>
      </c>
      <c r="E868" t="inlineStr">
        <is>
          <t>RAGUNDA</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44630-2023</t>
        </is>
      </c>
      <c r="B869" s="1" t="n">
        <v>45184</v>
      </c>
      <c r="C869" s="1" t="n">
        <v>46109</v>
      </c>
      <c r="D869" t="inlineStr">
        <is>
          <t>JÄMTLANDS LÄN</t>
        </is>
      </c>
      <c r="E869" t="inlineStr">
        <is>
          <t>RAGUNDA</t>
        </is>
      </c>
      <c r="G869" t="n">
        <v>3.4</v>
      </c>
      <c r="H869" t="n">
        <v>0</v>
      </c>
      <c r="I869" t="n">
        <v>0</v>
      </c>
      <c r="J869" t="n">
        <v>0</v>
      </c>
      <c r="K869" t="n">
        <v>0</v>
      </c>
      <c r="L869" t="n">
        <v>0</v>
      </c>
      <c r="M869" t="n">
        <v>0</v>
      </c>
      <c r="N869" t="n">
        <v>0</v>
      </c>
      <c r="O869" t="n">
        <v>0</v>
      </c>
      <c r="P869" t="n">
        <v>0</v>
      </c>
      <c r="Q869" t="n">
        <v>0</v>
      </c>
      <c r="R869" s="2" t="inlineStr"/>
    </row>
    <row r="870" ht="15" customHeight="1">
      <c r="A870" t="inlineStr">
        <is>
          <t>A 58909-2025</t>
        </is>
      </c>
      <c r="B870" s="1" t="n">
        <v>45987</v>
      </c>
      <c r="C870" s="1" t="n">
        <v>46109</v>
      </c>
      <c r="D870" t="inlineStr">
        <is>
          <t>JÄMTLANDS LÄN</t>
        </is>
      </c>
      <c r="E870" t="inlineStr">
        <is>
          <t>RAGUNDA</t>
        </is>
      </c>
      <c r="G870" t="n">
        <v>9.5</v>
      </c>
      <c r="H870" t="n">
        <v>0</v>
      </c>
      <c r="I870" t="n">
        <v>0</v>
      </c>
      <c r="J870" t="n">
        <v>0</v>
      </c>
      <c r="K870" t="n">
        <v>0</v>
      </c>
      <c r="L870" t="n">
        <v>0</v>
      </c>
      <c r="M870" t="n">
        <v>0</v>
      </c>
      <c r="N870" t="n">
        <v>0</v>
      </c>
      <c r="O870" t="n">
        <v>0</v>
      </c>
      <c r="P870" t="n">
        <v>0</v>
      </c>
      <c r="Q870" t="n">
        <v>0</v>
      </c>
      <c r="R870" s="2" t="inlineStr"/>
    </row>
    <row r="871" ht="15" customHeight="1">
      <c r="A871" t="inlineStr">
        <is>
          <t>A 12960-2026</t>
        </is>
      </c>
      <c r="B871" s="1" t="n">
        <v>46092.64105324074</v>
      </c>
      <c r="C871" s="1" t="n">
        <v>46109</v>
      </c>
      <c r="D871" t="inlineStr">
        <is>
          <t>JÄMTLANDS LÄN</t>
        </is>
      </c>
      <c r="E871" t="inlineStr">
        <is>
          <t>RAGUNDA</t>
        </is>
      </c>
      <c r="G871" t="n">
        <v>3.8</v>
      </c>
      <c r="H871" t="n">
        <v>0</v>
      </c>
      <c r="I871" t="n">
        <v>0</v>
      </c>
      <c r="J871" t="n">
        <v>0</v>
      </c>
      <c r="K871" t="n">
        <v>0</v>
      </c>
      <c r="L871" t="n">
        <v>0</v>
      </c>
      <c r="M871" t="n">
        <v>0</v>
      </c>
      <c r="N871" t="n">
        <v>0</v>
      </c>
      <c r="O871" t="n">
        <v>0</v>
      </c>
      <c r="P871" t="n">
        <v>0</v>
      </c>
      <c r="Q871" t="n">
        <v>0</v>
      </c>
      <c r="R871" s="2" t="inlineStr"/>
    </row>
    <row r="872" ht="15" customHeight="1">
      <c r="A872" t="inlineStr">
        <is>
          <t>A 54820-2025</t>
        </is>
      </c>
      <c r="B872" s="1" t="n">
        <v>45966.65728009259</v>
      </c>
      <c r="C872" s="1" t="n">
        <v>46109</v>
      </c>
      <c r="D872" t="inlineStr">
        <is>
          <t>JÄMTLANDS LÄN</t>
        </is>
      </c>
      <c r="E872" t="inlineStr">
        <is>
          <t>RAGUNDA</t>
        </is>
      </c>
      <c r="G872" t="n">
        <v>15.3</v>
      </c>
      <c r="H872" t="n">
        <v>0</v>
      </c>
      <c r="I872" t="n">
        <v>0</v>
      </c>
      <c r="J872" t="n">
        <v>0</v>
      </c>
      <c r="K872" t="n">
        <v>0</v>
      </c>
      <c r="L872" t="n">
        <v>0</v>
      </c>
      <c r="M872" t="n">
        <v>0</v>
      </c>
      <c r="N872" t="n">
        <v>0</v>
      </c>
      <c r="O872" t="n">
        <v>0</v>
      </c>
      <c r="P872" t="n">
        <v>0</v>
      </c>
      <c r="Q872" t="n">
        <v>0</v>
      </c>
      <c r="R872" s="2" t="inlineStr"/>
    </row>
    <row r="873" ht="15" customHeight="1">
      <c r="A873" t="inlineStr">
        <is>
          <t>A 12522-2023</t>
        </is>
      </c>
      <c r="B873" s="1" t="n">
        <v>45000</v>
      </c>
      <c r="C873" s="1" t="n">
        <v>46109</v>
      </c>
      <c r="D873" t="inlineStr">
        <is>
          <t>JÄMTLANDS LÄN</t>
        </is>
      </c>
      <c r="E873" t="inlineStr">
        <is>
          <t>RAGUNDA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12523-2023</t>
        </is>
      </c>
      <c r="B874" s="1" t="n">
        <v>45000</v>
      </c>
      <c r="C874" s="1" t="n">
        <v>46109</v>
      </c>
      <c r="D874" t="inlineStr">
        <is>
          <t>JÄMTLANDS LÄN</t>
        </is>
      </c>
      <c r="E874" t="inlineStr">
        <is>
          <t>RAGUNDA</t>
        </is>
      </c>
      <c r="F874" t="inlineStr">
        <is>
          <t>SCA</t>
        </is>
      </c>
      <c r="G874" t="n">
        <v>14.3</v>
      </c>
      <c r="H874" t="n">
        <v>0</v>
      </c>
      <c r="I874" t="n">
        <v>0</v>
      </c>
      <c r="J874" t="n">
        <v>0</v>
      </c>
      <c r="K874" t="n">
        <v>0</v>
      </c>
      <c r="L874" t="n">
        <v>0</v>
      </c>
      <c r="M874" t="n">
        <v>0</v>
      </c>
      <c r="N874" t="n">
        <v>0</v>
      </c>
      <c r="O874" t="n">
        <v>0</v>
      </c>
      <c r="P874" t="n">
        <v>0</v>
      </c>
      <c r="Q874" t="n">
        <v>0</v>
      </c>
      <c r="R874" s="2" t="inlineStr"/>
    </row>
    <row r="875" ht="15" customHeight="1">
      <c r="A875" t="inlineStr">
        <is>
          <t>A 5073-2026</t>
        </is>
      </c>
      <c r="B875" s="1" t="n">
        <v>46049.51126157407</v>
      </c>
      <c r="C875" s="1" t="n">
        <v>46109</v>
      </c>
      <c r="D875" t="inlineStr">
        <is>
          <t>JÄMTLANDS LÄN</t>
        </is>
      </c>
      <c r="E875" t="inlineStr">
        <is>
          <t>RAGUNDA</t>
        </is>
      </c>
      <c r="G875" t="n">
        <v>5.9</v>
      </c>
      <c r="H875" t="n">
        <v>0</v>
      </c>
      <c r="I875" t="n">
        <v>0</v>
      </c>
      <c r="J875" t="n">
        <v>0</v>
      </c>
      <c r="K875" t="n">
        <v>0</v>
      </c>
      <c r="L875" t="n">
        <v>0</v>
      </c>
      <c r="M875" t="n">
        <v>0</v>
      </c>
      <c r="N875" t="n">
        <v>0</v>
      </c>
      <c r="O875" t="n">
        <v>0</v>
      </c>
      <c r="P875" t="n">
        <v>0</v>
      </c>
      <c r="Q875" t="n">
        <v>0</v>
      </c>
      <c r="R875" s="2" t="inlineStr"/>
    </row>
    <row r="876" ht="15" customHeight="1">
      <c r="A876" t="inlineStr">
        <is>
          <t>A 54794-2025</t>
        </is>
      </c>
      <c r="B876" s="1" t="n">
        <v>45966.63592592593</v>
      </c>
      <c r="C876" s="1" t="n">
        <v>46109</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5009-2026</t>
        </is>
      </c>
      <c r="B877" s="1" t="n">
        <v>46049.42839120371</v>
      </c>
      <c r="C877" s="1" t="n">
        <v>46109</v>
      </c>
      <c r="D877" t="inlineStr">
        <is>
          <t>JÄMTLANDS LÄN</t>
        </is>
      </c>
      <c r="E877" t="inlineStr">
        <is>
          <t>RAGUNDA</t>
        </is>
      </c>
      <c r="F877" t="inlineStr">
        <is>
          <t>SCA</t>
        </is>
      </c>
      <c r="G877" t="n">
        <v>37.4</v>
      </c>
      <c r="H877" t="n">
        <v>0</v>
      </c>
      <c r="I877" t="n">
        <v>0</v>
      </c>
      <c r="J877" t="n">
        <v>0</v>
      </c>
      <c r="K877" t="n">
        <v>0</v>
      </c>
      <c r="L877" t="n">
        <v>0</v>
      </c>
      <c r="M877" t="n">
        <v>0</v>
      </c>
      <c r="N877" t="n">
        <v>0</v>
      </c>
      <c r="O877" t="n">
        <v>0</v>
      </c>
      <c r="P877" t="n">
        <v>0</v>
      </c>
      <c r="Q877" t="n">
        <v>0</v>
      </c>
      <c r="R877" s="2" t="inlineStr"/>
    </row>
    <row r="878" ht="15" customHeight="1">
      <c r="A878" t="inlineStr">
        <is>
          <t>A 36246-2024</t>
        </is>
      </c>
      <c r="B878" s="1" t="n">
        <v>45534</v>
      </c>
      <c r="C878" s="1" t="n">
        <v>46109</v>
      </c>
      <c r="D878" t="inlineStr">
        <is>
          <t>JÄMTLANDS LÄN</t>
        </is>
      </c>
      <c r="E878" t="inlineStr">
        <is>
          <t>RAGUNDA</t>
        </is>
      </c>
      <c r="G878" t="n">
        <v>1.6</v>
      </c>
      <c r="H878" t="n">
        <v>0</v>
      </c>
      <c r="I878" t="n">
        <v>0</v>
      </c>
      <c r="J878" t="n">
        <v>0</v>
      </c>
      <c r="K878" t="n">
        <v>0</v>
      </c>
      <c r="L878" t="n">
        <v>0</v>
      </c>
      <c r="M878" t="n">
        <v>0</v>
      </c>
      <c r="N878" t="n">
        <v>0</v>
      </c>
      <c r="O878" t="n">
        <v>0</v>
      </c>
      <c r="P878" t="n">
        <v>0</v>
      </c>
      <c r="Q878" t="n">
        <v>0</v>
      </c>
      <c r="R878" s="2" t="inlineStr"/>
    </row>
    <row r="879" ht="15" customHeight="1">
      <c r="A879" t="inlineStr">
        <is>
          <t>A 32063-2024</t>
        </is>
      </c>
      <c r="B879" s="1" t="n">
        <v>45510</v>
      </c>
      <c r="C879" s="1" t="n">
        <v>46109</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13326-2026</t>
        </is>
      </c>
      <c r="B880" s="1" t="n">
        <v>46094.35868055555</v>
      </c>
      <c r="C880" s="1" t="n">
        <v>46109</v>
      </c>
      <c r="D880" t="inlineStr">
        <is>
          <t>JÄMTLANDS LÄN</t>
        </is>
      </c>
      <c r="E880" t="inlineStr">
        <is>
          <t>RAGUNDA</t>
        </is>
      </c>
      <c r="G880" t="n">
        <v>3.7</v>
      </c>
      <c r="H880" t="n">
        <v>0</v>
      </c>
      <c r="I880" t="n">
        <v>0</v>
      </c>
      <c r="J880" t="n">
        <v>0</v>
      </c>
      <c r="K880" t="n">
        <v>0</v>
      </c>
      <c r="L880" t="n">
        <v>0</v>
      </c>
      <c r="M880" t="n">
        <v>0</v>
      </c>
      <c r="N880" t="n">
        <v>0</v>
      </c>
      <c r="O880" t="n">
        <v>0</v>
      </c>
      <c r="P880" t="n">
        <v>0</v>
      </c>
      <c r="Q880" t="n">
        <v>0</v>
      </c>
      <c r="R880" s="2" t="inlineStr"/>
    </row>
    <row r="881" ht="15" customHeight="1">
      <c r="A881" t="inlineStr">
        <is>
          <t>A 5307-2025</t>
        </is>
      </c>
      <c r="B881" s="1" t="n">
        <v>45692.48993055556</v>
      </c>
      <c r="C881" s="1" t="n">
        <v>46109</v>
      </c>
      <c r="D881" t="inlineStr">
        <is>
          <t>JÄMTLANDS LÄN</t>
        </is>
      </c>
      <c r="E881" t="inlineStr">
        <is>
          <t>RAGUNDA</t>
        </is>
      </c>
      <c r="F881" t="inlineStr">
        <is>
          <t>SCA</t>
        </is>
      </c>
      <c r="G881" t="n">
        <v>20.9</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46109</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26942-2021</t>
        </is>
      </c>
      <c r="B883" s="1" t="n">
        <v>44349.91978009259</v>
      </c>
      <c r="C883" s="1" t="n">
        <v>46109</v>
      </c>
      <c r="D883" t="inlineStr">
        <is>
          <t>JÄMTLANDS LÄN</t>
        </is>
      </c>
      <c r="E883" t="inlineStr">
        <is>
          <t>RAGUNDA</t>
        </is>
      </c>
      <c r="G883" t="n">
        <v>6.2</v>
      </c>
      <c r="H883" t="n">
        <v>0</v>
      </c>
      <c r="I883" t="n">
        <v>0</v>
      </c>
      <c r="J883" t="n">
        <v>0</v>
      </c>
      <c r="K883" t="n">
        <v>0</v>
      </c>
      <c r="L883" t="n">
        <v>0</v>
      </c>
      <c r="M883" t="n">
        <v>0</v>
      </c>
      <c r="N883" t="n">
        <v>0</v>
      </c>
      <c r="O883" t="n">
        <v>0</v>
      </c>
      <c r="P883" t="n">
        <v>0</v>
      </c>
      <c r="Q883" t="n">
        <v>0</v>
      </c>
      <c r="R883" s="2" t="inlineStr"/>
    </row>
    <row r="884" ht="15" customHeight="1">
      <c r="A884" t="inlineStr">
        <is>
          <t>A 33556-2025</t>
        </is>
      </c>
      <c r="B884" s="1" t="n">
        <v>45841.57427083333</v>
      </c>
      <c r="C884" s="1" t="n">
        <v>46109</v>
      </c>
      <c r="D884" t="inlineStr">
        <is>
          <t>JÄMTLANDS LÄN</t>
        </is>
      </c>
      <c r="E884" t="inlineStr">
        <is>
          <t>RAGUNDA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56170-2025</t>
        </is>
      </c>
      <c r="B885" s="1" t="n">
        <v>45974.39398148148</v>
      </c>
      <c r="C885" s="1" t="n">
        <v>46109</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56504-2024</t>
        </is>
      </c>
      <c r="B886" s="1" t="n">
        <v>45625.51068287037</v>
      </c>
      <c r="C886" s="1" t="n">
        <v>46109</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33790-2025</t>
        </is>
      </c>
      <c r="B887" s="1" t="n">
        <v>45842.42608796297</v>
      </c>
      <c r="C887" s="1" t="n">
        <v>46109</v>
      </c>
      <c r="D887" t="inlineStr">
        <is>
          <t>JÄMTLANDS LÄN</t>
        </is>
      </c>
      <c r="E887" t="inlineStr">
        <is>
          <t>RAGUNDA</t>
        </is>
      </c>
      <c r="G887" t="n">
        <v>0.3</v>
      </c>
      <c r="H887" t="n">
        <v>0</v>
      </c>
      <c r="I887" t="n">
        <v>0</v>
      </c>
      <c r="J887" t="n">
        <v>0</v>
      </c>
      <c r="K887" t="n">
        <v>0</v>
      </c>
      <c r="L887" t="n">
        <v>0</v>
      </c>
      <c r="M887" t="n">
        <v>0</v>
      </c>
      <c r="N887" t="n">
        <v>0</v>
      </c>
      <c r="O887" t="n">
        <v>0</v>
      </c>
      <c r="P887" t="n">
        <v>0</v>
      </c>
      <c r="Q887" t="n">
        <v>0</v>
      </c>
      <c r="R887" s="2" t="inlineStr"/>
    </row>
    <row r="888" ht="15" customHeight="1">
      <c r="A888" t="inlineStr">
        <is>
          <t>A 55897-2025</t>
        </is>
      </c>
      <c r="B888" s="1" t="n">
        <v>45973.38600694444</v>
      </c>
      <c r="C888" s="1" t="n">
        <v>46109</v>
      </c>
      <c r="D888" t="inlineStr">
        <is>
          <t>JÄMTLANDS LÄN</t>
        </is>
      </c>
      <c r="E888" t="inlineStr">
        <is>
          <t>RAGUNDA</t>
        </is>
      </c>
      <c r="F888" t="inlineStr">
        <is>
          <t>SCA</t>
        </is>
      </c>
      <c r="G888" t="n">
        <v>14.1</v>
      </c>
      <c r="H888" t="n">
        <v>0</v>
      </c>
      <c r="I888" t="n">
        <v>0</v>
      </c>
      <c r="J888" t="n">
        <v>0</v>
      </c>
      <c r="K888" t="n">
        <v>0</v>
      </c>
      <c r="L888" t="n">
        <v>0</v>
      </c>
      <c r="M888" t="n">
        <v>0</v>
      </c>
      <c r="N888" t="n">
        <v>0</v>
      </c>
      <c r="O888" t="n">
        <v>0</v>
      </c>
      <c r="P888" t="n">
        <v>0</v>
      </c>
      <c r="Q888" t="n">
        <v>0</v>
      </c>
      <c r="R888" s="2" t="inlineStr"/>
    </row>
    <row r="889" ht="15" customHeight="1">
      <c r="A889" t="inlineStr">
        <is>
          <t>A 5938-2025</t>
        </is>
      </c>
      <c r="B889" s="1" t="n">
        <v>45695.45868055556</v>
      </c>
      <c r="C889" s="1" t="n">
        <v>46109</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6569-2026</t>
        </is>
      </c>
      <c r="B890" s="1" t="n">
        <v>46052</v>
      </c>
      <c r="C890" s="1" t="n">
        <v>46109</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28173-2024</t>
        </is>
      </c>
      <c r="B891" s="1" t="n">
        <v>45476.94533564815</v>
      </c>
      <c r="C891" s="1" t="n">
        <v>46109</v>
      </c>
      <c r="D891" t="inlineStr">
        <is>
          <t>JÄMTLANDS LÄN</t>
        </is>
      </c>
      <c r="E891" t="inlineStr">
        <is>
          <t>RAGUNDA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46109</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12794-2026</t>
        </is>
      </c>
      <c r="B893" s="1" t="n">
        <v>46092.34559027778</v>
      </c>
      <c r="C893" s="1" t="n">
        <v>46109</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56806-2025</t>
        </is>
      </c>
      <c r="B894" s="1" t="n">
        <v>45978.44842592593</v>
      </c>
      <c r="C894" s="1" t="n">
        <v>46109</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35537-2021</t>
        </is>
      </c>
      <c r="B895" s="1" t="n">
        <v>44384</v>
      </c>
      <c r="C895" s="1" t="n">
        <v>46109</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34296-2025</t>
        </is>
      </c>
      <c r="B896" s="1" t="n">
        <v>45846.34454861111</v>
      </c>
      <c r="C896" s="1" t="n">
        <v>46109</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13712-2026</t>
        </is>
      </c>
      <c r="B897" s="1" t="n">
        <v>46097.58015046296</v>
      </c>
      <c r="C897" s="1" t="n">
        <v>46109</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18248-2023</t>
        </is>
      </c>
      <c r="B898" s="1" t="n">
        <v>45040</v>
      </c>
      <c r="C898" s="1" t="n">
        <v>46109</v>
      </c>
      <c r="D898" t="inlineStr">
        <is>
          <t>JÄMTLANDS LÄN</t>
        </is>
      </c>
      <c r="E898" t="inlineStr">
        <is>
          <t>RAGUNDA</t>
        </is>
      </c>
      <c r="G898" t="n">
        <v>4.3</v>
      </c>
      <c r="H898" t="n">
        <v>0</v>
      </c>
      <c r="I898" t="n">
        <v>0</v>
      </c>
      <c r="J898" t="n">
        <v>0</v>
      </c>
      <c r="K898" t="n">
        <v>0</v>
      </c>
      <c r="L898" t="n">
        <v>0</v>
      </c>
      <c r="M898" t="n">
        <v>0</v>
      </c>
      <c r="N898" t="n">
        <v>0</v>
      </c>
      <c r="O898" t="n">
        <v>0</v>
      </c>
      <c r="P898" t="n">
        <v>0</v>
      </c>
      <c r="Q898" t="n">
        <v>0</v>
      </c>
      <c r="R898" s="2" t="inlineStr"/>
    </row>
    <row r="899" ht="15" customHeight="1">
      <c r="A899" t="inlineStr">
        <is>
          <t>A 45438-2022</t>
        </is>
      </c>
      <c r="B899" s="1" t="n">
        <v>44844.95368055555</v>
      </c>
      <c r="C899" s="1" t="n">
        <v>46109</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13752-2026</t>
        </is>
      </c>
      <c r="B900" s="1" t="n">
        <v>46097.63755787037</v>
      </c>
      <c r="C900" s="1" t="n">
        <v>46109</v>
      </c>
      <c r="D900" t="inlineStr">
        <is>
          <t>JÄMTLANDS LÄN</t>
        </is>
      </c>
      <c r="E900" t="inlineStr">
        <is>
          <t>RAGUNDA</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30459-2021</t>
        </is>
      </c>
      <c r="B901" s="1" t="n">
        <v>44362</v>
      </c>
      <c r="C901" s="1" t="n">
        <v>46109</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29263-2024</t>
        </is>
      </c>
      <c r="B902" s="1" t="n">
        <v>45482.94891203703</v>
      </c>
      <c r="C902" s="1" t="n">
        <v>46109</v>
      </c>
      <c r="D902" t="inlineStr">
        <is>
          <t>JÄMTLANDS LÄN</t>
        </is>
      </c>
      <c r="E902" t="inlineStr">
        <is>
          <t>RAGUNDA</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29265-2024</t>
        </is>
      </c>
      <c r="B903" s="1" t="n">
        <v>45482.9491087963</v>
      </c>
      <c r="C903" s="1" t="n">
        <v>46109</v>
      </c>
      <c r="D903" t="inlineStr">
        <is>
          <t>JÄMTLANDS LÄN</t>
        </is>
      </c>
      <c r="E903" t="inlineStr">
        <is>
          <t>RAGUNDA</t>
        </is>
      </c>
      <c r="F903" t="inlineStr">
        <is>
          <t>SCA</t>
        </is>
      </c>
      <c r="G903" t="n">
        <v>11.6</v>
      </c>
      <c r="H903" t="n">
        <v>0</v>
      </c>
      <c r="I903" t="n">
        <v>0</v>
      </c>
      <c r="J903" t="n">
        <v>0</v>
      </c>
      <c r="K903" t="n">
        <v>0</v>
      </c>
      <c r="L903" t="n">
        <v>0</v>
      </c>
      <c r="M903" t="n">
        <v>0</v>
      </c>
      <c r="N903" t="n">
        <v>0</v>
      </c>
      <c r="O903" t="n">
        <v>0</v>
      </c>
      <c r="P903" t="n">
        <v>0</v>
      </c>
      <c r="Q903" t="n">
        <v>0</v>
      </c>
      <c r="R903" s="2" t="inlineStr"/>
    </row>
    <row r="904" ht="15" customHeight="1">
      <c r="A904" t="inlineStr">
        <is>
          <t>A 13898-2023</t>
        </is>
      </c>
      <c r="B904" s="1" t="n">
        <v>45008.01408564814</v>
      </c>
      <c r="C904" s="1" t="n">
        <v>46109</v>
      </c>
      <c r="D904" t="inlineStr">
        <is>
          <t>JÄMTLANDS LÄN</t>
        </is>
      </c>
      <c r="E904" t="inlineStr">
        <is>
          <t>RAGUNDA</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41693-2023</t>
        </is>
      </c>
      <c r="B905" s="1" t="n">
        <v>45176</v>
      </c>
      <c r="C905" s="1" t="n">
        <v>46109</v>
      </c>
      <c r="D905" t="inlineStr">
        <is>
          <t>JÄMTLANDS LÄN</t>
        </is>
      </c>
      <c r="E905" t="inlineStr">
        <is>
          <t>RAGUNDA</t>
        </is>
      </c>
      <c r="G905" t="n">
        <v>5.5</v>
      </c>
      <c r="H905" t="n">
        <v>0</v>
      </c>
      <c r="I905" t="n">
        <v>0</v>
      </c>
      <c r="J905" t="n">
        <v>0</v>
      </c>
      <c r="K905" t="n">
        <v>0</v>
      </c>
      <c r="L905" t="n">
        <v>0</v>
      </c>
      <c r="M905" t="n">
        <v>0</v>
      </c>
      <c r="N905" t="n">
        <v>0</v>
      </c>
      <c r="O905" t="n">
        <v>0</v>
      </c>
      <c r="P905" t="n">
        <v>0</v>
      </c>
      <c r="Q905" t="n">
        <v>0</v>
      </c>
      <c r="R905" s="2" t="inlineStr"/>
    </row>
    <row r="906" ht="15" customHeight="1">
      <c r="A906" t="inlineStr">
        <is>
          <t>A 34461-2025</t>
        </is>
      </c>
      <c r="B906" s="1" t="n">
        <v>45847.34474537037</v>
      </c>
      <c r="C906" s="1" t="n">
        <v>46109</v>
      </c>
      <c r="D906" t="inlineStr">
        <is>
          <t>JÄMTLANDS LÄN</t>
        </is>
      </c>
      <c r="E906" t="inlineStr">
        <is>
          <t>RAGUNDA</t>
        </is>
      </c>
      <c r="F906" t="inlineStr">
        <is>
          <t>SCA</t>
        </is>
      </c>
      <c r="G906" t="n">
        <v>44.8</v>
      </c>
      <c r="H906" t="n">
        <v>0</v>
      </c>
      <c r="I906" t="n">
        <v>0</v>
      </c>
      <c r="J906" t="n">
        <v>0</v>
      </c>
      <c r="K906" t="n">
        <v>0</v>
      </c>
      <c r="L906" t="n">
        <v>0</v>
      </c>
      <c r="M906" t="n">
        <v>0</v>
      </c>
      <c r="N906" t="n">
        <v>0</v>
      </c>
      <c r="O906" t="n">
        <v>0</v>
      </c>
      <c r="P906" t="n">
        <v>0</v>
      </c>
      <c r="Q906" t="n">
        <v>0</v>
      </c>
      <c r="R906" s="2" t="inlineStr"/>
    </row>
    <row r="907" ht="15" customHeight="1">
      <c r="A907" t="inlineStr">
        <is>
          <t>A 34464-2025</t>
        </is>
      </c>
      <c r="B907" s="1" t="n">
        <v>45847.34528935186</v>
      </c>
      <c r="C907" s="1" t="n">
        <v>46109</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13725-2026</t>
        </is>
      </c>
      <c r="B908" s="1" t="n">
        <v>46097.61016203704</v>
      </c>
      <c r="C908" s="1" t="n">
        <v>46109</v>
      </c>
      <c r="D908" t="inlineStr">
        <is>
          <t>JÄMTLANDS LÄN</t>
        </is>
      </c>
      <c r="E908" t="inlineStr">
        <is>
          <t>RAGUNDA</t>
        </is>
      </c>
      <c r="G908" t="n">
        <v>3.7</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46109</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3770-2025</t>
        </is>
      </c>
      <c r="B910" s="1" t="n">
        <v>45681.6050925926</v>
      </c>
      <c r="C910" s="1" t="n">
        <v>46109</v>
      </c>
      <c r="D910" t="inlineStr">
        <is>
          <t>JÄMTLANDS LÄN</t>
        </is>
      </c>
      <c r="E910" t="inlineStr">
        <is>
          <t>RAGUNDA</t>
        </is>
      </c>
      <c r="G910" t="n">
        <v>2.7</v>
      </c>
      <c r="H910" t="n">
        <v>0</v>
      </c>
      <c r="I910" t="n">
        <v>0</v>
      </c>
      <c r="J910" t="n">
        <v>0</v>
      </c>
      <c r="K910" t="n">
        <v>0</v>
      </c>
      <c r="L910" t="n">
        <v>0</v>
      </c>
      <c r="M910" t="n">
        <v>0</v>
      </c>
      <c r="N910" t="n">
        <v>0</v>
      </c>
      <c r="O910" t="n">
        <v>0</v>
      </c>
      <c r="P910" t="n">
        <v>0</v>
      </c>
      <c r="Q910" t="n">
        <v>0</v>
      </c>
      <c r="R910" s="2" t="inlineStr"/>
    </row>
    <row r="911" ht="15" customHeight="1">
      <c r="A911" t="inlineStr">
        <is>
          <t>A 34586-2025</t>
        </is>
      </c>
      <c r="B911" s="1" t="n">
        <v>45847.61513888889</v>
      </c>
      <c r="C911" s="1" t="n">
        <v>46109</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34607-2025</t>
        </is>
      </c>
      <c r="B912" s="1" t="n">
        <v>45847.65703703704</v>
      </c>
      <c r="C912" s="1" t="n">
        <v>46109</v>
      </c>
      <c r="D912" t="inlineStr">
        <is>
          <t>JÄMTLANDS LÄN</t>
        </is>
      </c>
      <c r="E912" t="inlineStr">
        <is>
          <t>RAGUNDA</t>
        </is>
      </c>
      <c r="F912" t="inlineStr">
        <is>
          <t>SCA</t>
        </is>
      </c>
      <c r="G912" t="n">
        <v>31.4</v>
      </c>
      <c r="H912" t="n">
        <v>0</v>
      </c>
      <c r="I912" t="n">
        <v>0</v>
      </c>
      <c r="J912" t="n">
        <v>0</v>
      </c>
      <c r="K912" t="n">
        <v>0</v>
      </c>
      <c r="L912" t="n">
        <v>0</v>
      </c>
      <c r="M912" t="n">
        <v>0</v>
      </c>
      <c r="N912" t="n">
        <v>0</v>
      </c>
      <c r="O912" t="n">
        <v>0</v>
      </c>
      <c r="P912" t="n">
        <v>0</v>
      </c>
      <c r="Q912" t="n">
        <v>0</v>
      </c>
      <c r="R912" s="2" t="inlineStr"/>
    </row>
    <row r="913" ht="15" customHeight="1">
      <c r="A913" t="inlineStr">
        <is>
          <t>A 6174-2026</t>
        </is>
      </c>
      <c r="B913" s="1" t="n">
        <v>46055.34457175926</v>
      </c>
      <c r="C913" s="1" t="n">
        <v>46109</v>
      </c>
      <c r="D913" t="inlineStr">
        <is>
          <t>JÄMTLANDS LÄN</t>
        </is>
      </c>
      <c r="E913" t="inlineStr">
        <is>
          <t>RAGUNDA</t>
        </is>
      </c>
      <c r="F913" t="inlineStr">
        <is>
          <t>SCA</t>
        </is>
      </c>
      <c r="G913" t="n">
        <v>24.3</v>
      </c>
      <c r="H913" t="n">
        <v>0</v>
      </c>
      <c r="I913" t="n">
        <v>0</v>
      </c>
      <c r="J913" t="n">
        <v>0</v>
      </c>
      <c r="K913" t="n">
        <v>0</v>
      </c>
      <c r="L913" t="n">
        <v>0</v>
      </c>
      <c r="M913" t="n">
        <v>0</v>
      </c>
      <c r="N913" t="n">
        <v>0</v>
      </c>
      <c r="O913" t="n">
        <v>0</v>
      </c>
      <c r="P913" t="n">
        <v>0</v>
      </c>
      <c r="Q913" t="n">
        <v>0</v>
      </c>
      <c r="R913" s="2" t="inlineStr"/>
    </row>
    <row r="914" ht="15" customHeight="1">
      <c r="A914" t="inlineStr">
        <is>
          <t>A 34772-2025</t>
        </is>
      </c>
      <c r="B914" s="1" t="n">
        <v>45848.65658564815</v>
      </c>
      <c r="C914" s="1" t="n">
        <v>46109</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34466-2025</t>
        </is>
      </c>
      <c r="B915" s="1" t="n">
        <v>45847.34565972222</v>
      </c>
      <c r="C915" s="1" t="n">
        <v>46109</v>
      </c>
      <c r="D915" t="inlineStr">
        <is>
          <t>JÄMTLANDS LÄN</t>
        </is>
      </c>
      <c r="E915" t="inlineStr">
        <is>
          <t>RAGUNDA</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34588-2025</t>
        </is>
      </c>
      <c r="B916" s="1" t="n">
        <v>45847.61548611111</v>
      </c>
      <c r="C916" s="1" t="n">
        <v>46109</v>
      </c>
      <c r="D916" t="inlineStr">
        <is>
          <t>JÄMTLANDS LÄN</t>
        </is>
      </c>
      <c r="E916" t="inlineStr">
        <is>
          <t>RAGUNDA</t>
        </is>
      </c>
      <c r="G916" t="n">
        <v>32.3</v>
      </c>
      <c r="H916" t="n">
        <v>0</v>
      </c>
      <c r="I916" t="n">
        <v>0</v>
      </c>
      <c r="J916" t="n">
        <v>0</v>
      </c>
      <c r="K916" t="n">
        <v>0</v>
      </c>
      <c r="L916" t="n">
        <v>0</v>
      </c>
      <c r="M916" t="n">
        <v>0</v>
      </c>
      <c r="N916" t="n">
        <v>0</v>
      </c>
      <c r="O916" t="n">
        <v>0</v>
      </c>
      <c r="P916" t="n">
        <v>0</v>
      </c>
      <c r="Q916" t="n">
        <v>0</v>
      </c>
      <c r="R916" s="2" t="inlineStr"/>
    </row>
    <row r="917" ht="15" customHeight="1">
      <c r="A917" t="inlineStr">
        <is>
          <t>A 13620-2026</t>
        </is>
      </c>
      <c r="B917" s="1" t="n">
        <v>46097.34435185185</v>
      </c>
      <c r="C917" s="1" t="n">
        <v>46109</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13719-2026</t>
        </is>
      </c>
      <c r="B918" s="1" t="n">
        <v>46097.60271990741</v>
      </c>
      <c r="C918" s="1" t="n">
        <v>46109</v>
      </c>
      <c r="D918" t="inlineStr">
        <is>
          <t>JÄMTLANDS LÄN</t>
        </is>
      </c>
      <c r="E918" t="inlineStr">
        <is>
          <t>RAGUNDA</t>
        </is>
      </c>
      <c r="G918" t="n">
        <v>4.1</v>
      </c>
      <c r="H918" t="n">
        <v>0</v>
      </c>
      <c r="I918" t="n">
        <v>0</v>
      </c>
      <c r="J918" t="n">
        <v>0</v>
      </c>
      <c r="K918" t="n">
        <v>0</v>
      </c>
      <c r="L918" t="n">
        <v>0</v>
      </c>
      <c r="M918" t="n">
        <v>0</v>
      </c>
      <c r="N918" t="n">
        <v>0</v>
      </c>
      <c r="O918" t="n">
        <v>0</v>
      </c>
      <c r="P918" t="n">
        <v>0</v>
      </c>
      <c r="Q918" t="n">
        <v>0</v>
      </c>
      <c r="R918" s="2" t="inlineStr"/>
    </row>
    <row r="919" ht="15" customHeight="1">
      <c r="A919" t="inlineStr">
        <is>
          <t>A 13751-2026</t>
        </is>
      </c>
      <c r="B919" s="1" t="n">
        <v>46097.6374074074</v>
      </c>
      <c r="C919" s="1" t="n">
        <v>46109</v>
      </c>
      <c r="D919" t="inlineStr">
        <is>
          <t>JÄMTLANDS LÄN</t>
        </is>
      </c>
      <c r="E919" t="inlineStr">
        <is>
          <t>RAGUNDA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34463-2025</t>
        </is>
      </c>
      <c r="B920" s="1" t="n">
        <v>45847.34515046296</v>
      </c>
      <c r="C920" s="1" t="n">
        <v>46109</v>
      </c>
      <c r="D920" t="inlineStr">
        <is>
          <t>JÄMTLANDS LÄN</t>
        </is>
      </c>
      <c r="E920" t="inlineStr">
        <is>
          <t>RAGUNDA</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6693-2026</t>
        </is>
      </c>
      <c r="B921" s="1" t="n">
        <v>46056</v>
      </c>
      <c r="C921" s="1" t="n">
        <v>46109</v>
      </c>
      <c r="D921" t="inlineStr">
        <is>
          <t>JÄMTLANDS LÄN</t>
        </is>
      </c>
      <c r="E921" t="inlineStr">
        <is>
          <t>RAGUNDA</t>
        </is>
      </c>
      <c r="G921" t="n">
        <v>4.3</v>
      </c>
      <c r="H921" t="n">
        <v>0</v>
      </c>
      <c r="I921" t="n">
        <v>0</v>
      </c>
      <c r="J921" t="n">
        <v>0</v>
      </c>
      <c r="K921" t="n">
        <v>0</v>
      </c>
      <c r="L921" t="n">
        <v>0</v>
      </c>
      <c r="M921" t="n">
        <v>0</v>
      </c>
      <c r="N921" t="n">
        <v>0</v>
      </c>
      <c r="O921" t="n">
        <v>0</v>
      </c>
      <c r="P921" t="n">
        <v>0</v>
      </c>
      <c r="Q921" t="n">
        <v>0</v>
      </c>
      <c r="R921" s="2" t="inlineStr"/>
    </row>
    <row r="922" ht="15" customHeight="1">
      <c r="A922" t="inlineStr">
        <is>
          <t>A 34710-2025</t>
        </is>
      </c>
      <c r="B922" s="1" t="n">
        <v>45848.49774305556</v>
      </c>
      <c r="C922" s="1" t="n">
        <v>46109</v>
      </c>
      <c r="D922" t="inlineStr">
        <is>
          <t>JÄMTLANDS LÄN</t>
        </is>
      </c>
      <c r="E922" t="inlineStr">
        <is>
          <t>RAGUNDA</t>
        </is>
      </c>
      <c r="G922" t="n">
        <v>4.1</v>
      </c>
      <c r="H922" t="n">
        <v>0</v>
      </c>
      <c r="I922" t="n">
        <v>0</v>
      </c>
      <c r="J922" t="n">
        <v>0</v>
      </c>
      <c r="K922" t="n">
        <v>0</v>
      </c>
      <c r="L922" t="n">
        <v>0</v>
      </c>
      <c r="M922" t="n">
        <v>0</v>
      </c>
      <c r="N922" t="n">
        <v>0</v>
      </c>
      <c r="O922" t="n">
        <v>0</v>
      </c>
      <c r="P922" t="n">
        <v>0</v>
      </c>
      <c r="Q922" t="n">
        <v>0</v>
      </c>
      <c r="R922" s="2" t="inlineStr"/>
    </row>
    <row r="923" ht="15" customHeight="1">
      <c r="A923" t="inlineStr">
        <is>
          <t>A 11252-2025</t>
        </is>
      </c>
      <c r="B923" s="1" t="n">
        <v>45726.38615740741</v>
      </c>
      <c r="C923" s="1" t="n">
        <v>46109</v>
      </c>
      <c r="D923" t="inlineStr">
        <is>
          <t>JÄMTLANDS LÄN</t>
        </is>
      </c>
      <c r="E923" t="inlineStr">
        <is>
          <t>RAGUNDA</t>
        </is>
      </c>
      <c r="G923" t="n">
        <v>1.9</v>
      </c>
      <c r="H923" t="n">
        <v>0</v>
      </c>
      <c r="I923" t="n">
        <v>0</v>
      </c>
      <c r="J923" t="n">
        <v>0</v>
      </c>
      <c r="K923" t="n">
        <v>0</v>
      </c>
      <c r="L923" t="n">
        <v>0</v>
      </c>
      <c r="M923" t="n">
        <v>0</v>
      </c>
      <c r="N923" t="n">
        <v>0</v>
      </c>
      <c r="O923" t="n">
        <v>0</v>
      </c>
      <c r="P923" t="n">
        <v>0</v>
      </c>
      <c r="Q923" t="n">
        <v>0</v>
      </c>
      <c r="R923" s="2" t="inlineStr"/>
    </row>
    <row r="924" ht="15" customHeight="1">
      <c r="A924" t="inlineStr">
        <is>
          <t>A 7668-2025</t>
        </is>
      </c>
      <c r="B924" s="1" t="n">
        <v>45706.34450231482</v>
      </c>
      <c r="C924" s="1" t="n">
        <v>46109</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34709-2025</t>
        </is>
      </c>
      <c r="B925" s="1" t="n">
        <v>45848.49761574074</v>
      </c>
      <c r="C925" s="1" t="n">
        <v>46109</v>
      </c>
      <c r="D925" t="inlineStr">
        <is>
          <t>JÄMTLANDS LÄN</t>
        </is>
      </c>
      <c r="E925" t="inlineStr">
        <is>
          <t>RAGUNDA</t>
        </is>
      </c>
      <c r="G925" t="n">
        <v>3.1</v>
      </c>
      <c r="H925" t="n">
        <v>0</v>
      </c>
      <c r="I925" t="n">
        <v>0</v>
      </c>
      <c r="J925" t="n">
        <v>0</v>
      </c>
      <c r="K925" t="n">
        <v>0</v>
      </c>
      <c r="L925" t="n">
        <v>0</v>
      </c>
      <c r="M925" t="n">
        <v>0</v>
      </c>
      <c r="N925" t="n">
        <v>0</v>
      </c>
      <c r="O925" t="n">
        <v>0</v>
      </c>
      <c r="P925" t="n">
        <v>0</v>
      </c>
      <c r="Q925" t="n">
        <v>0</v>
      </c>
      <c r="R925" s="2" t="inlineStr"/>
    </row>
    <row r="926" ht="15" customHeight="1">
      <c r="A926" t="inlineStr">
        <is>
          <t>A 9548-2025</t>
        </is>
      </c>
      <c r="B926" s="1" t="n">
        <v>45715.59405092592</v>
      </c>
      <c r="C926" s="1" t="n">
        <v>46109</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35092-2025</t>
        </is>
      </c>
      <c r="B927" s="1" t="n">
        <v>45852.53185185185</v>
      </c>
      <c r="C927" s="1" t="n">
        <v>46109</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34998-2025</t>
        </is>
      </c>
      <c r="B928" s="1" t="n">
        <v>45850.34434027778</v>
      </c>
      <c r="C928" s="1" t="n">
        <v>46109</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46109</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34999-2025</t>
        </is>
      </c>
      <c r="B930" s="1" t="n">
        <v>45850.34450231482</v>
      </c>
      <c r="C930" s="1" t="n">
        <v>46109</v>
      </c>
      <c r="D930" t="inlineStr">
        <is>
          <t>JÄMTLANDS LÄN</t>
        </is>
      </c>
      <c r="E930" t="inlineStr">
        <is>
          <t>RAGUNDA</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35091-2025</t>
        </is>
      </c>
      <c r="B931" s="1" t="n">
        <v>45852.53168981482</v>
      </c>
      <c r="C931" s="1" t="n">
        <v>46109</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35355-2025</t>
        </is>
      </c>
      <c r="B932" s="1" t="n">
        <v>45854.65663194445</v>
      </c>
      <c r="C932" s="1" t="n">
        <v>46109</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14412-2026</t>
        </is>
      </c>
      <c r="B933" s="1" t="n">
        <v>46100.44820601852</v>
      </c>
      <c r="C933" s="1" t="n">
        <v>46109</v>
      </c>
      <c r="D933" t="inlineStr">
        <is>
          <t>JÄMTLANDS LÄN</t>
        </is>
      </c>
      <c r="E933" t="inlineStr">
        <is>
          <t>RAGUNDA</t>
        </is>
      </c>
      <c r="G933" t="n">
        <v>13.5</v>
      </c>
      <c r="H933" t="n">
        <v>0</v>
      </c>
      <c r="I933" t="n">
        <v>0</v>
      </c>
      <c r="J933" t="n">
        <v>0</v>
      </c>
      <c r="K933" t="n">
        <v>0</v>
      </c>
      <c r="L933" t="n">
        <v>0</v>
      </c>
      <c r="M933" t="n">
        <v>0</v>
      </c>
      <c r="N933" t="n">
        <v>0</v>
      </c>
      <c r="O933" t="n">
        <v>0</v>
      </c>
      <c r="P933" t="n">
        <v>0</v>
      </c>
      <c r="Q933" t="n">
        <v>0</v>
      </c>
      <c r="R933" s="2" t="inlineStr"/>
    </row>
    <row r="934" ht="15" customHeight="1">
      <c r="A934" t="inlineStr">
        <is>
          <t>A 14443-2026</t>
        </is>
      </c>
      <c r="B934" s="1" t="n">
        <v>46100.50819444445</v>
      </c>
      <c r="C934" s="1" t="n">
        <v>46109</v>
      </c>
      <c r="D934" t="inlineStr">
        <is>
          <t>JÄMTLANDS LÄN</t>
        </is>
      </c>
      <c r="E934" t="inlineStr">
        <is>
          <t>RAGUNDA</t>
        </is>
      </c>
      <c r="G934" t="n">
        <v>5.1</v>
      </c>
      <c r="H934" t="n">
        <v>0</v>
      </c>
      <c r="I934" t="n">
        <v>0</v>
      </c>
      <c r="J934" t="n">
        <v>0</v>
      </c>
      <c r="K934" t="n">
        <v>0</v>
      </c>
      <c r="L934" t="n">
        <v>0</v>
      </c>
      <c r="M934" t="n">
        <v>0</v>
      </c>
      <c r="N934" t="n">
        <v>0</v>
      </c>
      <c r="O934" t="n">
        <v>0</v>
      </c>
      <c r="P934" t="n">
        <v>0</v>
      </c>
      <c r="Q934" t="n">
        <v>0</v>
      </c>
      <c r="R934" s="2" t="inlineStr"/>
    </row>
    <row r="935" ht="15" customHeight="1">
      <c r="A935" t="inlineStr">
        <is>
          <t>A 35477-2025</t>
        </is>
      </c>
      <c r="B935" s="1" t="n">
        <v>45855.67899305555</v>
      </c>
      <c r="C935" s="1" t="n">
        <v>46109</v>
      </c>
      <c r="D935" t="inlineStr">
        <is>
          <t>JÄMTLANDS LÄN</t>
        </is>
      </c>
      <c r="E935" t="inlineStr">
        <is>
          <t>RAGUNDA</t>
        </is>
      </c>
      <c r="G935" t="n">
        <v>3.6</v>
      </c>
      <c r="H935" t="n">
        <v>0</v>
      </c>
      <c r="I935" t="n">
        <v>0</v>
      </c>
      <c r="J935" t="n">
        <v>0</v>
      </c>
      <c r="K935" t="n">
        <v>0</v>
      </c>
      <c r="L935" t="n">
        <v>0</v>
      </c>
      <c r="M935" t="n">
        <v>0</v>
      </c>
      <c r="N935" t="n">
        <v>0</v>
      </c>
      <c r="O935" t="n">
        <v>0</v>
      </c>
      <c r="P935" t="n">
        <v>0</v>
      </c>
      <c r="Q935" t="n">
        <v>0</v>
      </c>
      <c r="R935" s="2" t="inlineStr"/>
    </row>
    <row r="936" ht="15" customHeight="1">
      <c r="A936" t="inlineStr">
        <is>
          <t>A 57237-2022</t>
        </is>
      </c>
      <c r="B936" s="1" t="n">
        <v>44889</v>
      </c>
      <c r="C936" s="1" t="n">
        <v>46109</v>
      </c>
      <c r="D936" t="inlineStr">
        <is>
          <t>JÄMTLANDS LÄN</t>
        </is>
      </c>
      <c r="E936" t="inlineStr">
        <is>
          <t>RAGUNDA</t>
        </is>
      </c>
      <c r="G936" t="n">
        <v>2.2</v>
      </c>
      <c r="H936" t="n">
        <v>0</v>
      </c>
      <c r="I936" t="n">
        <v>0</v>
      </c>
      <c r="J936" t="n">
        <v>0</v>
      </c>
      <c r="K936" t="n">
        <v>0</v>
      </c>
      <c r="L936" t="n">
        <v>0</v>
      </c>
      <c r="M936" t="n">
        <v>0</v>
      </c>
      <c r="N936" t="n">
        <v>0</v>
      </c>
      <c r="O936" t="n">
        <v>0</v>
      </c>
      <c r="P936" t="n">
        <v>0</v>
      </c>
      <c r="Q936" t="n">
        <v>0</v>
      </c>
      <c r="R936" s="2" t="inlineStr"/>
    </row>
    <row r="937" ht="15" customHeight="1">
      <c r="A937" t="inlineStr">
        <is>
          <t>A 35541-2025</t>
        </is>
      </c>
      <c r="B937" s="1" t="n">
        <v>45856.46931712963</v>
      </c>
      <c r="C937" s="1" t="n">
        <v>46109</v>
      </c>
      <c r="D937" t="inlineStr">
        <is>
          <t>JÄMTLANDS LÄN</t>
        </is>
      </c>
      <c r="E937" t="inlineStr">
        <is>
          <t>RAGUNDA</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35462-2025</t>
        </is>
      </c>
      <c r="B938" s="1" t="n">
        <v>45855.61523148148</v>
      </c>
      <c r="C938" s="1" t="n">
        <v>46109</v>
      </c>
      <c r="D938" t="inlineStr">
        <is>
          <t>JÄMTLANDS LÄN</t>
        </is>
      </c>
      <c r="E938" t="inlineStr">
        <is>
          <t>RAGUNDA</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14387-2026</t>
        </is>
      </c>
      <c r="B939" s="1" t="n">
        <v>46100.38605324074</v>
      </c>
      <c r="C939" s="1" t="n">
        <v>46109</v>
      </c>
      <c r="D939" t="inlineStr">
        <is>
          <t>JÄMTLANDS LÄN</t>
        </is>
      </c>
      <c r="E939" t="inlineStr">
        <is>
          <t>RAGUNDA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35689-2025</t>
        </is>
      </c>
      <c r="B940" s="1" t="n">
        <v>45860.30229166667</v>
      </c>
      <c r="C940" s="1" t="n">
        <v>46109</v>
      </c>
      <c r="D940" t="inlineStr">
        <is>
          <t>JÄMTLANDS LÄN</t>
        </is>
      </c>
      <c r="E940" t="inlineStr">
        <is>
          <t>RAGUNDA</t>
        </is>
      </c>
      <c r="G940" t="n">
        <v>1.9</v>
      </c>
      <c r="H940" t="n">
        <v>0</v>
      </c>
      <c r="I940" t="n">
        <v>0</v>
      </c>
      <c r="J940" t="n">
        <v>0</v>
      </c>
      <c r="K940" t="n">
        <v>0</v>
      </c>
      <c r="L940" t="n">
        <v>0</v>
      </c>
      <c r="M940" t="n">
        <v>0</v>
      </c>
      <c r="N940" t="n">
        <v>0</v>
      </c>
      <c r="O940" t="n">
        <v>0</v>
      </c>
      <c r="P940" t="n">
        <v>0</v>
      </c>
      <c r="Q940" t="n">
        <v>0</v>
      </c>
      <c r="R940" s="2" t="inlineStr"/>
    </row>
    <row r="941" ht="15" customHeight="1">
      <c r="A941" t="inlineStr">
        <is>
          <t>A 35658-2025</t>
        </is>
      </c>
      <c r="B941" s="1" t="n">
        <v>45859.594375</v>
      </c>
      <c r="C941" s="1" t="n">
        <v>46109</v>
      </c>
      <c r="D941" t="inlineStr">
        <is>
          <t>JÄMTLANDS LÄN</t>
        </is>
      </c>
      <c r="E941" t="inlineStr">
        <is>
          <t>RAGUNDA</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13263-2025</t>
        </is>
      </c>
      <c r="B942" s="1" t="n">
        <v>45735.53177083333</v>
      </c>
      <c r="C942" s="1" t="n">
        <v>46109</v>
      </c>
      <c r="D942" t="inlineStr">
        <is>
          <t>JÄMTLANDS LÄN</t>
        </is>
      </c>
      <c r="E942" t="inlineStr">
        <is>
          <t>RAGUNDA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13276-2025</t>
        </is>
      </c>
      <c r="B943" s="1" t="n">
        <v>45735.5517824074</v>
      </c>
      <c r="C943" s="1" t="n">
        <v>46109</v>
      </c>
      <c r="D943" t="inlineStr">
        <is>
          <t>JÄMTLANDS LÄN</t>
        </is>
      </c>
      <c r="E943" t="inlineStr">
        <is>
          <t>RAGUNDA</t>
        </is>
      </c>
      <c r="G943" t="n">
        <v>16.6</v>
      </c>
      <c r="H943" t="n">
        <v>0</v>
      </c>
      <c r="I943" t="n">
        <v>0</v>
      </c>
      <c r="J943" t="n">
        <v>0</v>
      </c>
      <c r="K943" t="n">
        <v>0</v>
      </c>
      <c r="L943" t="n">
        <v>0</v>
      </c>
      <c r="M943" t="n">
        <v>0</v>
      </c>
      <c r="N943" t="n">
        <v>0</v>
      </c>
      <c r="O943" t="n">
        <v>0</v>
      </c>
      <c r="P943" t="n">
        <v>0</v>
      </c>
      <c r="Q943" t="n">
        <v>0</v>
      </c>
      <c r="R943" s="2" t="inlineStr"/>
    </row>
    <row r="944" ht="15" customHeight="1">
      <c r="A944" t="inlineStr">
        <is>
          <t>A 12405-2025</t>
        </is>
      </c>
      <c r="B944" s="1" t="n">
        <v>45730.42738425926</v>
      </c>
      <c r="C944" s="1" t="n">
        <v>46109</v>
      </c>
      <c r="D944" t="inlineStr">
        <is>
          <t>JÄMTLANDS LÄN</t>
        </is>
      </c>
      <c r="E944" t="inlineStr">
        <is>
          <t>RAGUNDA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12808-2025</t>
        </is>
      </c>
      <c r="B945" s="1" t="n">
        <v>45733.61554398148</v>
      </c>
      <c r="C945" s="1" t="n">
        <v>46109</v>
      </c>
      <c r="D945" t="inlineStr">
        <is>
          <t>JÄMTLANDS LÄN</t>
        </is>
      </c>
      <c r="E945" t="inlineStr">
        <is>
          <t>RAGUNDA</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46546-2023</t>
        </is>
      </c>
      <c r="B946" s="1" t="n">
        <v>45197.94152777778</v>
      </c>
      <c r="C946" s="1" t="n">
        <v>46109</v>
      </c>
      <c r="D946" t="inlineStr">
        <is>
          <t>JÄMTLANDS LÄN</t>
        </is>
      </c>
      <c r="E946" t="inlineStr">
        <is>
          <t>RAGUNDA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6716-2025</t>
        </is>
      </c>
      <c r="B947" s="1" t="n">
        <v>45700.57324074074</v>
      </c>
      <c r="C947" s="1" t="n">
        <v>46109</v>
      </c>
      <c r="D947" t="inlineStr">
        <is>
          <t>JÄMTLANDS LÄN</t>
        </is>
      </c>
      <c r="E947" t="inlineStr">
        <is>
          <t>RAGUNDA</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46109</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30484-2024</t>
        </is>
      </c>
      <c r="B949" s="1" t="n">
        <v>45491</v>
      </c>
      <c r="C949" s="1" t="n">
        <v>46109</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54092-2024</t>
        </is>
      </c>
      <c r="B950" s="1" t="n">
        <v>45616.5108912037</v>
      </c>
      <c r="C950" s="1" t="n">
        <v>46109</v>
      </c>
      <c r="D950" t="inlineStr">
        <is>
          <t>JÄMTLANDS LÄN</t>
        </is>
      </c>
      <c r="E950" t="inlineStr">
        <is>
          <t>RAGUNDA</t>
        </is>
      </c>
      <c r="F950" t="inlineStr">
        <is>
          <t>Naturvårdsverket</t>
        </is>
      </c>
      <c r="G950" t="n">
        <v>1.3</v>
      </c>
      <c r="H950" t="n">
        <v>0</v>
      </c>
      <c r="I950" t="n">
        <v>0</v>
      </c>
      <c r="J950" t="n">
        <v>0</v>
      </c>
      <c r="K950" t="n">
        <v>0</v>
      </c>
      <c r="L950" t="n">
        <v>0</v>
      </c>
      <c r="M950" t="n">
        <v>0</v>
      </c>
      <c r="N950" t="n">
        <v>0</v>
      </c>
      <c r="O950" t="n">
        <v>0</v>
      </c>
      <c r="P950" t="n">
        <v>0</v>
      </c>
      <c r="Q950" t="n">
        <v>0</v>
      </c>
      <c r="R950" s="2" t="inlineStr"/>
    </row>
    <row r="951" ht="15" customHeight="1">
      <c r="A951" t="inlineStr">
        <is>
          <t>A 11288-2022</t>
        </is>
      </c>
      <c r="B951" s="1" t="n">
        <v>44629</v>
      </c>
      <c r="C951" s="1" t="n">
        <v>46109</v>
      </c>
      <c r="D951" t="inlineStr">
        <is>
          <t>JÄMTLANDS LÄN</t>
        </is>
      </c>
      <c r="E951" t="inlineStr">
        <is>
          <t>RAGUNDA</t>
        </is>
      </c>
      <c r="G951" t="n">
        <v>4.9</v>
      </c>
      <c r="H951" t="n">
        <v>0</v>
      </c>
      <c r="I951" t="n">
        <v>0</v>
      </c>
      <c r="J951" t="n">
        <v>0</v>
      </c>
      <c r="K951" t="n">
        <v>0</v>
      </c>
      <c r="L951" t="n">
        <v>0</v>
      </c>
      <c r="M951" t="n">
        <v>0</v>
      </c>
      <c r="N951" t="n">
        <v>0</v>
      </c>
      <c r="O951" t="n">
        <v>0</v>
      </c>
      <c r="P951" t="n">
        <v>0</v>
      </c>
      <c r="Q951" t="n">
        <v>0</v>
      </c>
      <c r="R951" s="2" t="inlineStr"/>
    </row>
    <row r="952" ht="15" customHeight="1">
      <c r="A952" t="inlineStr">
        <is>
          <t>A 19865-2023</t>
        </is>
      </c>
      <c r="B952" s="1" t="n">
        <v>45053.94305555556</v>
      </c>
      <c r="C952" s="1" t="n">
        <v>46109</v>
      </c>
      <c r="D952" t="inlineStr">
        <is>
          <t>JÄMTLANDS LÄN</t>
        </is>
      </c>
      <c r="E952" t="inlineStr">
        <is>
          <t>RAGUNDA</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1554-2024</t>
        </is>
      </c>
      <c r="B953" s="1" t="n">
        <v>45306</v>
      </c>
      <c r="C953" s="1" t="n">
        <v>46109</v>
      </c>
      <c r="D953" t="inlineStr">
        <is>
          <t>JÄMTLANDS LÄN</t>
        </is>
      </c>
      <c r="E953" t="inlineStr">
        <is>
          <t>RAGUNDA</t>
        </is>
      </c>
      <c r="G953" t="n">
        <v>4.3</v>
      </c>
      <c r="H953" t="n">
        <v>0</v>
      </c>
      <c r="I953" t="n">
        <v>0</v>
      </c>
      <c r="J953" t="n">
        <v>0</v>
      </c>
      <c r="K953" t="n">
        <v>0</v>
      </c>
      <c r="L953" t="n">
        <v>0</v>
      </c>
      <c r="M953" t="n">
        <v>0</v>
      </c>
      <c r="N953" t="n">
        <v>0</v>
      </c>
      <c r="O953" t="n">
        <v>0</v>
      </c>
      <c r="P953" t="n">
        <v>0</v>
      </c>
      <c r="Q953" t="n">
        <v>0</v>
      </c>
      <c r="R953" s="2" t="inlineStr"/>
    </row>
    <row r="954" ht="15" customHeight="1">
      <c r="A954" t="inlineStr">
        <is>
          <t>A 14668-2026</t>
        </is>
      </c>
      <c r="B954" s="1" t="n">
        <v>46101.4575462963</v>
      </c>
      <c r="C954" s="1" t="n">
        <v>46109</v>
      </c>
      <c r="D954" t="inlineStr">
        <is>
          <t>JÄMTLANDS LÄN</t>
        </is>
      </c>
      <c r="E954" t="inlineStr">
        <is>
          <t>RAGUNDA</t>
        </is>
      </c>
      <c r="G954" t="n">
        <v>12.8</v>
      </c>
      <c r="H954" t="n">
        <v>0</v>
      </c>
      <c r="I954" t="n">
        <v>0</v>
      </c>
      <c r="J954" t="n">
        <v>0</v>
      </c>
      <c r="K954" t="n">
        <v>0</v>
      </c>
      <c r="L954" t="n">
        <v>0</v>
      </c>
      <c r="M954" t="n">
        <v>0</v>
      </c>
      <c r="N954" t="n">
        <v>0</v>
      </c>
      <c r="O954" t="n">
        <v>0</v>
      </c>
      <c r="P954" t="n">
        <v>0</v>
      </c>
      <c r="Q954" t="n">
        <v>0</v>
      </c>
      <c r="R954" s="2" t="inlineStr"/>
    </row>
    <row r="955" ht="15" customHeight="1">
      <c r="A955" t="inlineStr">
        <is>
          <t>A 22011-2023</t>
        </is>
      </c>
      <c r="B955" s="1" t="n">
        <v>45068</v>
      </c>
      <c r="C955" s="1" t="n">
        <v>46109</v>
      </c>
      <c r="D955" t="inlineStr">
        <is>
          <t>JÄMTLANDS LÄN</t>
        </is>
      </c>
      <c r="E955" t="inlineStr">
        <is>
          <t>RAGUNDA</t>
        </is>
      </c>
      <c r="F955" t="inlineStr">
        <is>
          <t>SCA</t>
        </is>
      </c>
      <c r="G955" t="n">
        <v>12.2</v>
      </c>
      <c r="H955" t="n">
        <v>0</v>
      </c>
      <c r="I955" t="n">
        <v>0</v>
      </c>
      <c r="J955" t="n">
        <v>0</v>
      </c>
      <c r="K955" t="n">
        <v>0</v>
      </c>
      <c r="L955" t="n">
        <v>0</v>
      </c>
      <c r="M955" t="n">
        <v>0</v>
      </c>
      <c r="N955" t="n">
        <v>0</v>
      </c>
      <c r="O955" t="n">
        <v>0</v>
      </c>
      <c r="P955" t="n">
        <v>0</v>
      </c>
      <c r="Q955" t="n">
        <v>0</v>
      </c>
      <c r="R955" s="2" t="inlineStr"/>
    </row>
    <row r="956" ht="15" customHeight="1">
      <c r="A956" t="inlineStr">
        <is>
          <t>A 13389-2025</t>
        </is>
      </c>
      <c r="B956" s="1" t="n">
        <v>45735.69842592593</v>
      </c>
      <c r="C956" s="1" t="n">
        <v>46109</v>
      </c>
      <c r="D956" t="inlineStr">
        <is>
          <t>JÄMTLANDS LÄN</t>
        </is>
      </c>
      <c r="E956" t="inlineStr">
        <is>
          <t>RAGUNDA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2831-2024</t>
        </is>
      </c>
      <c r="B957" s="1" t="n">
        <v>45314.92758101852</v>
      </c>
      <c r="C957" s="1" t="n">
        <v>46109</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13264-2025</t>
        </is>
      </c>
      <c r="B958" s="1" t="n">
        <v>45735</v>
      </c>
      <c r="C958" s="1" t="n">
        <v>46109</v>
      </c>
      <c r="D958" t="inlineStr">
        <is>
          <t>JÄMTLANDS LÄN</t>
        </is>
      </c>
      <c r="E958" t="inlineStr">
        <is>
          <t>RAGUNDA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7777-2026</t>
        </is>
      </c>
      <c r="B959" s="1" t="n">
        <v>46062.57324074074</v>
      </c>
      <c r="C959" s="1" t="n">
        <v>46109</v>
      </c>
      <c r="D959" t="inlineStr">
        <is>
          <t>JÄMTLANDS LÄN</t>
        </is>
      </c>
      <c r="E959" t="inlineStr">
        <is>
          <t>RAGUNDA</t>
        </is>
      </c>
      <c r="G959" t="n">
        <v>6.4</v>
      </c>
      <c r="H959" t="n">
        <v>0</v>
      </c>
      <c r="I959" t="n">
        <v>0</v>
      </c>
      <c r="J959" t="n">
        <v>0</v>
      </c>
      <c r="K959" t="n">
        <v>0</v>
      </c>
      <c r="L959" t="n">
        <v>0</v>
      </c>
      <c r="M959" t="n">
        <v>0</v>
      </c>
      <c r="N959" t="n">
        <v>0</v>
      </c>
      <c r="O959" t="n">
        <v>0</v>
      </c>
      <c r="P959" t="n">
        <v>0</v>
      </c>
      <c r="Q959" t="n">
        <v>0</v>
      </c>
      <c r="R959" s="2" t="inlineStr"/>
    </row>
    <row r="960" ht="15" customHeight="1">
      <c r="A960" t="inlineStr">
        <is>
          <t>A 36541-2025</t>
        </is>
      </c>
      <c r="B960" s="1" t="n">
        <v>45869.65666666667</v>
      </c>
      <c r="C960" s="1" t="n">
        <v>46109</v>
      </c>
      <c r="D960" t="inlineStr">
        <is>
          <t>JÄMTLANDS LÄN</t>
        </is>
      </c>
      <c r="E960" t="inlineStr">
        <is>
          <t>RAGUNDA</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36544-2025</t>
        </is>
      </c>
      <c r="B961" s="1" t="n">
        <v>45869.67744212963</v>
      </c>
      <c r="C961" s="1" t="n">
        <v>46109</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15349-2026</t>
        </is>
      </c>
      <c r="B962" s="1" t="n">
        <v>46105.69865740741</v>
      </c>
      <c r="C962" s="1" t="n">
        <v>46109</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15356-2026</t>
        </is>
      </c>
      <c r="B963" s="1" t="n">
        <v>46105.69986111111</v>
      </c>
      <c r="C963" s="1" t="n">
        <v>46109</v>
      </c>
      <c r="D963" t="inlineStr">
        <is>
          <t>JÄMTLANDS LÄN</t>
        </is>
      </c>
      <c r="E963" t="inlineStr">
        <is>
          <t>RAGUNDA</t>
        </is>
      </c>
      <c r="F963" t="inlineStr">
        <is>
          <t>SCA</t>
        </is>
      </c>
      <c r="G963" t="n">
        <v>35.2</v>
      </c>
      <c r="H963" t="n">
        <v>0</v>
      </c>
      <c r="I963" t="n">
        <v>0</v>
      </c>
      <c r="J963" t="n">
        <v>0</v>
      </c>
      <c r="K963" t="n">
        <v>0</v>
      </c>
      <c r="L963" t="n">
        <v>0</v>
      </c>
      <c r="M963" t="n">
        <v>0</v>
      </c>
      <c r="N963" t="n">
        <v>0</v>
      </c>
      <c r="O963" t="n">
        <v>0</v>
      </c>
      <c r="P963" t="n">
        <v>0</v>
      </c>
      <c r="Q963" t="n">
        <v>0</v>
      </c>
      <c r="R963" s="2" t="inlineStr"/>
    </row>
    <row r="964" ht="15" customHeight="1">
      <c r="A964" t="inlineStr">
        <is>
          <t>A 36553-2025</t>
        </is>
      </c>
      <c r="B964" s="1" t="n">
        <v>45870.34439814815</v>
      </c>
      <c r="C964" s="1" t="n">
        <v>46109</v>
      </c>
      <c r="D964" t="inlineStr">
        <is>
          <t>JÄMTLANDS LÄN</t>
        </is>
      </c>
      <c r="E964" t="inlineStr">
        <is>
          <t>RAGUNDA</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15563-2026</t>
        </is>
      </c>
      <c r="B965" s="1" t="n">
        <v>46106.55273148148</v>
      </c>
      <c r="C965" s="1" t="n">
        <v>46109</v>
      </c>
      <c r="D965" t="inlineStr">
        <is>
          <t>JÄMTLANDS LÄN</t>
        </is>
      </c>
      <c r="E965" t="inlineStr">
        <is>
          <t>RAGUNDA</t>
        </is>
      </c>
      <c r="F965" t="inlineStr">
        <is>
          <t>SCA</t>
        </is>
      </c>
      <c r="G965" t="n">
        <v>31.9</v>
      </c>
      <c r="H965" t="n">
        <v>0</v>
      </c>
      <c r="I965" t="n">
        <v>0</v>
      </c>
      <c r="J965" t="n">
        <v>0</v>
      </c>
      <c r="K965" t="n">
        <v>0</v>
      </c>
      <c r="L965" t="n">
        <v>0</v>
      </c>
      <c r="M965" t="n">
        <v>0</v>
      </c>
      <c r="N965" t="n">
        <v>0</v>
      </c>
      <c r="O965" t="n">
        <v>0</v>
      </c>
      <c r="P965" t="n">
        <v>0</v>
      </c>
      <c r="Q965" t="n">
        <v>0</v>
      </c>
      <c r="R965" s="2" t="inlineStr"/>
    </row>
    <row r="966" ht="15" customHeight="1">
      <c r="A966" t="inlineStr">
        <is>
          <t>A 15564-2026</t>
        </is>
      </c>
      <c r="B966" s="1" t="n">
        <v>46106.55290509259</v>
      </c>
      <c r="C966" s="1" t="n">
        <v>46109</v>
      </c>
      <c r="D966" t="inlineStr">
        <is>
          <t>JÄMTLANDS LÄN</t>
        </is>
      </c>
      <c r="E966" t="inlineStr">
        <is>
          <t>RAGUNDA</t>
        </is>
      </c>
      <c r="F966" t="inlineStr">
        <is>
          <t>SCA</t>
        </is>
      </c>
      <c r="G966" t="n">
        <v>32.2</v>
      </c>
      <c r="H966" t="n">
        <v>0</v>
      </c>
      <c r="I966" t="n">
        <v>0</v>
      </c>
      <c r="J966" t="n">
        <v>0</v>
      </c>
      <c r="K966" t="n">
        <v>0</v>
      </c>
      <c r="L966" t="n">
        <v>0</v>
      </c>
      <c r="M966" t="n">
        <v>0</v>
      </c>
      <c r="N966" t="n">
        <v>0</v>
      </c>
      <c r="O966" t="n">
        <v>0</v>
      </c>
      <c r="P966" t="n">
        <v>0</v>
      </c>
      <c r="Q966" t="n">
        <v>0</v>
      </c>
      <c r="R966" s="2" t="inlineStr"/>
    </row>
    <row r="967" ht="15" customHeight="1">
      <c r="A967" t="inlineStr">
        <is>
          <t>A 37268-2024</t>
        </is>
      </c>
      <c r="B967" s="1" t="n">
        <v>45540.38586805556</v>
      </c>
      <c r="C967" s="1" t="n">
        <v>46109</v>
      </c>
      <c r="D967" t="inlineStr">
        <is>
          <t>JÄMTLANDS LÄN</t>
        </is>
      </c>
      <c r="E967" t="inlineStr">
        <is>
          <t>RAGUNDA</t>
        </is>
      </c>
      <c r="F967" t="inlineStr">
        <is>
          <t>SCA</t>
        </is>
      </c>
      <c r="G967" t="n">
        <v>6.3</v>
      </c>
      <c r="H967" t="n">
        <v>0</v>
      </c>
      <c r="I967" t="n">
        <v>0</v>
      </c>
      <c r="J967" t="n">
        <v>0</v>
      </c>
      <c r="K967" t="n">
        <v>0</v>
      </c>
      <c r="L967" t="n">
        <v>0</v>
      </c>
      <c r="M967" t="n">
        <v>0</v>
      </c>
      <c r="N967" t="n">
        <v>0</v>
      </c>
      <c r="O967" t="n">
        <v>0</v>
      </c>
      <c r="P967" t="n">
        <v>0</v>
      </c>
      <c r="Q967" t="n">
        <v>0</v>
      </c>
      <c r="R967" s="2" t="inlineStr"/>
    </row>
    <row r="968" ht="15" customHeight="1">
      <c r="A968" t="inlineStr">
        <is>
          <t>A 8312-2026</t>
        </is>
      </c>
      <c r="B968" s="1" t="n">
        <v>46064</v>
      </c>
      <c r="C968" s="1" t="n">
        <v>46109</v>
      </c>
      <c r="D968" t="inlineStr">
        <is>
          <t>JÄMTLANDS LÄN</t>
        </is>
      </c>
      <c r="E968" t="inlineStr">
        <is>
          <t>RAGUNDA</t>
        </is>
      </c>
      <c r="G968" t="n">
        <v>4.8</v>
      </c>
      <c r="H968" t="n">
        <v>0</v>
      </c>
      <c r="I968" t="n">
        <v>0</v>
      </c>
      <c r="J968" t="n">
        <v>0</v>
      </c>
      <c r="K968" t="n">
        <v>0</v>
      </c>
      <c r="L968" t="n">
        <v>0</v>
      </c>
      <c r="M968" t="n">
        <v>0</v>
      </c>
      <c r="N968" t="n">
        <v>0</v>
      </c>
      <c r="O968" t="n">
        <v>0</v>
      </c>
      <c r="P968" t="n">
        <v>0</v>
      </c>
      <c r="Q968" t="n">
        <v>0</v>
      </c>
      <c r="R968" s="2" t="inlineStr"/>
    </row>
    <row r="969" ht="15" customHeight="1">
      <c r="A969" t="inlineStr">
        <is>
          <t>A 41179-2022</t>
        </is>
      </c>
      <c r="B969" s="1" t="n">
        <v>44825</v>
      </c>
      <c r="C969" s="1" t="n">
        <v>46109</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46109</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17598-2021</t>
        </is>
      </c>
      <c r="B971" s="1" t="n">
        <v>44299</v>
      </c>
      <c r="C971" s="1" t="n">
        <v>46109</v>
      </c>
      <c r="D971" t="inlineStr">
        <is>
          <t>JÄMTLANDS LÄN</t>
        </is>
      </c>
      <c r="E971" t="inlineStr">
        <is>
          <t>RAGUNDA</t>
        </is>
      </c>
      <c r="G971" t="n">
        <v>4.6</v>
      </c>
      <c r="H971" t="n">
        <v>0</v>
      </c>
      <c r="I971" t="n">
        <v>0</v>
      </c>
      <c r="J971" t="n">
        <v>0</v>
      </c>
      <c r="K971" t="n">
        <v>0</v>
      </c>
      <c r="L971" t="n">
        <v>0</v>
      </c>
      <c r="M971" t="n">
        <v>0</v>
      </c>
      <c r="N971" t="n">
        <v>0</v>
      </c>
      <c r="O971" t="n">
        <v>0</v>
      </c>
      <c r="P971" t="n">
        <v>0</v>
      </c>
      <c r="Q971" t="n">
        <v>0</v>
      </c>
      <c r="R971" s="2" t="inlineStr"/>
    </row>
    <row r="972" ht="15" customHeight="1">
      <c r="A972" t="inlineStr">
        <is>
          <t>A 62541-2022</t>
        </is>
      </c>
      <c r="B972" s="1" t="n">
        <v>44917</v>
      </c>
      <c r="C972" s="1" t="n">
        <v>46109</v>
      </c>
      <c r="D972" t="inlineStr">
        <is>
          <t>JÄMTLANDS LÄN</t>
        </is>
      </c>
      <c r="E972" t="inlineStr">
        <is>
          <t>RAGUNDA</t>
        </is>
      </c>
      <c r="G972" t="n">
        <v>2.6</v>
      </c>
      <c r="H972" t="n">
        <v>0</v>
      </c>
      <c r="I972" t="n">
        <v>0</v>
      </c>
      <c r="J972" t="n">
        <v>0</v>
      </c>
      <c r="K972" t="n">
        <v>0</v>
      </c>
      <c r="L972" t="n">
        <v>0</v>
      </c>
      <c r="M972" t="n">
        <v>0</v>
      </c>
      <c r="N972" t="n">
        <v>0</v>
      </c>
      <c r="O972" t="n">
        <v>0</v>
      </c>
      <c r="P972" t="n">
        <v>0</v>
      </c>
      <c r="Q972" t="n">
        <v>0</v>
      </c>
      <c r="R972" s="2" t="inlineStr"/>
    </row>
    <row r="973" ht="15" customHeight="1">
      <c r="A973" t="inlineStr">
        <is>
          <t>A 15565-2026</t>
        </is>
      </c>
      <c r="B973" s="1" t="n">
        <v>46106.55313657408</v>
      </c>
      <c r="C973" s="1" t="n">
        <v>46109</v>
      </c>
      <c r="D973" t="inlineStr">
        <is>
          <t>JÄMTLANDS LÄN</t>
        </is>
      </c>
      <c r="E973" t="inlineStr">
        <is>
          <t>RAGUNDA</t>
        </is>
      </c>
      <c r="F973" t="inlineStr">
        <is>
          <t>SCA</t>
        </is>
      </c>
      <c r="G973" t="n">
        <v>10.6</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46109</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24861-2023</t>
        </is>
      </c>
      <c r="B975" s="1" t="n">
        <v>45078</v>
      </c>
      <c r="C975" s="1" t="n">
        <v>46109</v>
      </c>
      <c r="D975" t="inlineStr">
        <is>
          <t>JÄMTLANDS LÄN</t>
        </is>
      </c>
      <c r="E975" t="inlineStr">
        <is>
          <t>RAGUNDA</t>
        </is>
      </c>
      <c r="G975" t="n">
        <v>1.3</v>
      </c>
      <c r="H975" t="n">
        <v>0</v>
      </c>
      <c r="I975" t="n">
        <v>0</v>
      </c>
      <c r="J975" t="n">
        <v>0</v>
      </c>
      <c r="K975" t="n">
        <v>0</v>
      </c>
      <c r="L975" t="n">
        <v>0</v>
      </c>
      <c r="M975" t="n">
        <v>0</v>
      </c>
      <c r="N975" t="n">
        <v>0</v>
      </c>
      <c r="O975" t="n">
        <v>0</v>
      </c>
      <c r="P975" t="n">
        <v>0</v>
      </c>
      <c r="Q975" t="n">
        <v>0</v>
      </c>
      <c r="R975" s="2" t="inlineStr"/>
    </row>
    <row r="976" ht="15" customHeight="1">
      <c r="A976" t="inlineStr">
        <is>
          <t>A 15470-2026</t>
        </is>
      </c>
      <c r="B976" s="1" t="n">
        <v>46106.43222222223</v>
      </c>
      <c r="C976" s="1" t="n">
        <v>46109</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15652-2026</t>
        </is>
      </c>
      <c r="B977" s="1" t="n">
        <v>46106.65717592592</v>
      </c>
      <c r="C977" s="1" t="n">
        <v>46109</v>
      </c>
      <c r="D977" t="inlineStr">
        <is>
          <t>JÄMTLANDS LÄN</t>
        </is>
      </c>
      <c r="E977" t="inlineStr">
        <is>
          <t>RAGUNDA</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36947-2025</t>
        </is>
      </c>
      <c r="B978" s="1" t="n">
        <v>45874.59496527778</v>
      </c>
      <c r="C978" s="1" t="n">
        <v>46109</v>
      </c>
      <c r="D978" t="inlineStr">
        <is>
          <t>JÄMTLANDS LÄN</t>
        </is>
      </c>
      <c r="E978" t="inlineStr">
        <is>
          <t>RAGUNDA</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8067-2026</t>
        </is>
      </c>
      <c r="B979" s="1" t="n">
        <v>46063.6358912037</v>
      </c>
      <c r="C979" s="1" t="n">
        <v>46109</v>
      </c>
      <c r="D979" t="inlineStr">
        <is>
          <t>JÄMTLANDS LÄN</t>
        </is>
      </c>
      <c r="E979" t="inlineStr">
        <is>
          <t>RAGUNDA</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38270-2021</t>
        </is>
      </c>
      <c r="B980" s="1" t="n">
        <v>44405.92065972222</v>
      </c>
      <c r="C980" s="1" t="n">
        <v>46109</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4866-2025</t>
        </is>
      </c>
      <c r="B981" s="1" t="n">
        <v>45688.67542824074</v>
      </c>
      <c r="C981" s="1" t="n">
        <v>46109</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32075-2025</t>
        </is>
      </c>
      <c r="B982" s="1" t="n">
        <v>45835.4506712963</v>
      </c>
      <c r="C982" s="1" t="n">
        <v>46109</v>
      </c>
      <c r="D982" t="inlineStr">
        <is>
          <t>JÄMTLANDS LÄN</t>
        </is>
      </c>
      <c r="E982" t="inlineStr">
        <is>
          <t>RAGUNDA</t>
        </is>
      </c>
      <c r="G982" t="n">
        <v>1.1</v>
      </c>
      <c r="H982" t="n">
        <v>0</v>
      </c>
      <c r="I982" t="n">
        <v>0</v>
      </c>
      <c r="J982" t="n">
        <v>0</v>
      </c>
      <c r="K982" t="n">
        <v>0</v>
      </c>
      <c r="L982" t="n">
        <v>0</v>
      </c>
      <c r="M982" t="n">
        <v>0</v>
      </c>
      <c r="N982" t="n">
        <v>0</v>
      </c>
      <c r="O982" t="n">
        <v>0</v>
      </c>
      <c r="P982" t="n">
        <v>0</v>
      </c>
      <c r="Q982" t="n">
        <v>0</v>
      </c>
      <c r="R982" s="2" t="inlineStr"/>
    </row>
    <row r="983" ht="15" customHeight="1">
      <c r="A983" t="inlineStr">
        <is>
          <t>A 36994-2025</t>
        </is>
      </c>
      <c r="B983" s="1" t="n">
        <v>45874.67746527777</v>
      </c>
      <c r="C983" s="1" t="n">
        <v>46109</v>
      </c>
      <c r="D983" t="inlineStr">
        <is>
          <t>JÄMTLANDS LÄN</t>
        </is>
      </c>
      <c r="E983" t="inlineStr">
        <is>
          <t>RAGUNDA</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32874-2025</t>
        </is>
      </c>
      <c r="B984" s="1" t="n">
        <v>45839</v>
      </c>
      <c r="C984" s="1" t="n">
        <v>46109</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179-2025</t>
        </is>
      </c>
      <c r="B985" s="1" t="n">
        <v>45659.69822916666</v>
      </c>
      <c r="C985" s="1" t="n">
        <v>46109</v>
      </c>
      <c r="D985" t="inlineStr">
        <is>
          <t>JÄMTLANDS LÄN</t>
        </is>
      </c>
      <c r="E985" t="inlineStr">
        <is>
          <t>RAGUNDA</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20088-2023</t>
        </is>
      </c>
      <c r="B986" s="1" t="n">
        <v>45054</v>
      </c>
      <c r="C986" s="1" t="n">
        <v>46109</v>
      </c>
      <c r="D986" t="inlineStr">
        <is>
          <t>JÄMTLANDS LÄN</t>
        </is>
      </c>
      <c r="E986" t="inlineStr">
        <is>
          <t>RAGUNDA</t>
        </is>
      </c>
      <c r="F986" t="inlineStr">
        <is>
          <t>SCA</t>
        </is>
      </c>
      <c r="G986" t="n">
        <v>23.4</v>
      </c>
      <c r="H986" t="n">
        <v>0</v>
      </c>
      <c r="I986" t="n">
        <v>0</v>
      </c>
      <c r="J986" t="n">
        <v>0</v>
      </c>
      <c r="K986" t="n">
        <v>0</v>
      </c>
      <c r="L986" t="n">
        <v>0</v>
      </c>
      <c r="M986" t="n">
        <v>0</v>
      </c>
      <c r="N986" t="n">
        <v>0</v>
      </c>
      <c r="O986" t="n">
        <v>0</v>
      </c>
      <c r="P986" t="n">
        <v>0</v>
      </c>
      <c r="Q986" t="n">
        <v>0</v>
      </c>
      <c r="R986" s="2" t="inlineStr"/>
    </row>
    <row r="987" ht="15" customHeight="1">
      <c r="A987" t="inlineStr">
        <is>
          <t>A 59136-2023</t>
        </is>
      </c>
      <c r="B987" s="1" t="n">
        <v>45251</v>
      </c>
      <c r="C987" s="1" t="n">
        <v>46109</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16127-2026</t>
        </is>
      </c>
      <c r="B988" s="1" t="n">
        <v>46108.63616898148</v>
      </c>
      <c r="C988" s="1" t="n">
        <v>46109</v>
      </c>
      <c r="D988" t="inlineStr">
        <is>
          <t>JÄMTLANDS LÄN</t>
        </is>
      </c>
      <c r="E988" t="inlineStr">
        <is>
          <t>RAGUNDA</t>
        </is>
      </c>
      <c r="F988" t="inlineStr">
        <is>
          <t>SCA</t>
        </is>
      </c>
      <c r="G988" t="n">
        <v>16.7</v>
      </c>
      <c r="H988" t="n">
        <v>0</v>
      </c>
      <c r="I988" t="n">
        <v>0</v>
      </c>
      <c r="J988" t="n">
        <v>0</v>
      </c>
      <c r="K988" t="n">
        <v>0</v>
      </c>
      <c r="L988" t="n">
        <v>0</v>
      </c>
      <c r="M988" t="n">
        <v>0</v>
      </c>
      <c r="N988" t="n">
        <v>0</v>
      </c>
      <c r="O988" t="n">
        <v>0</v>
      </c>
      <c r="P988" t="n">
        <v>0</v>
      </c>
      <c r="Q988" t="n">
        <v>0</v>
      </c>
      <c r="R988" s="2" t="inlineStr"/>
    </row>
    <row r="989" ht="15" customHeight="1">
      <c r="A989" t="inlineStr">
        <is>
          <t>A 16129-2026</t>
        </is>
      </c>
      <c r="B989" s="1" t="n">
        <v>46108.63652777778</v>
      </c>
      <c r="C989" s="1" t="n">
        <v>46109</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35274-2023</t>
        </is>
      </c>
      <c r="B990" s="1" t="n">
        <v>45145</v>
      </c>
      <c r="C990" s="1" t="n">
        <v>46109</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37008-2025</t>
        </is>
      </c>
      <c r="B991" s="1" t="n">
        <v>45874.69844907407</v>
      </c>
      <c r="C991" s="1" t="n">
        <v>46109</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15931-2026</t>
        </is>
      </c>
      <c r="B992" s="1" t="n">
        <v>46107.66560185186</v>
      </c>
      <c r="C992" s="1" t="n">
        <v>46109</v>
      </c>
      <c r="D992" t="inlineStr">
        <is>
          <t>JÄMTLANDS LÄN</t>
        </is>
      </c>
      <c r="E992" t="inlineStr">
        <is>
          <t>RAGUNDA</t>
        </is>
      </c>
      <c r="G992" t="n">
        <v>5.6</v>
      </c>
      <c r="H992" t="n">
        <v>0</v>
      </c>
      <c r="I992" t="n">
        <v>0</v>
      </c>
      <c r="J992" t="n">
        <v>0</v>
      </c>
      <c r="K992" t="n">
        <v>0</v>
      </c>
      <c r="L992" t="n">
        <v>0</v>
      </c>
      <c r="M992" t="n">
        <v>0</v>
      </c>
      <c r="N992" t="n">
        <v>0</v>
      </c>
      <c r="O992" t="n">
        <v>0</v>
      </c>
      <c r="P992" t="n">
        <v>0</v>
      </c>
      <c r="Q992" t="n">
        <v>0</v>
      </c>
      <c r="R992" s="2" t="inlineStr"/>
    </row>
    <row r="993" ht="15" customHeight="1">
      <c r="A993" t="inlineStr">
        <is>
          <t>A 64264-2023</t>
        </is>
      </c>
      <c r="B993" s="1" t="n">
        <v>45279.94564814815</v>
      </c>
      <c r="C993" s="1" t="n">
        <v>46109</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26347-2023</t>
        </is>
      </c>
      <c r="B994" s="1" t="n">
        <v>45091</v>
      </c>
      <c r="C994" s="1" t="n">
        <v>46109</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15830-2026</t>
        </is>
      </c>
      <c r="B995" s="1" t="n">
        <v>46107.55273148148</v>
      </c>
      <c r="C995" s="1" t="n">
        <v>46109</v>
      </c>
      <c r="D995" t="inlineStr">
        <is>
          <t>JÄMTLANDS LÄN</t>
        </is>
      </c>
      <c r="E995" t="inlineStr">
        <is>
          <t>RAGUNDA</t>
        </is>
      </c>
      <c r="F995" t="inlineStr">
        <is>
          <t>SCA</t>
        </is>
      </c>
      <c r="G995" t="n">
        <v>49.5</v>
      </c>
      <c r="H995" t="n">
        <v>0</v>
      </c>
      <c r="I995" t="n">
        <v>0</v>
      </c>
      <c r="J995" t="n">
        <v>0</v>
      </c>
      <c r="K995" t="n">
        <v>0</v>
      </c>
      <c r="L995" t="n">
        <v>0</v>
      </c>
      <c r="M995" t="n">
        <v>0</v>
      </c>
      <c r="N995" t="n">
        <v>0</v>
      </c>
      <c r="O995" t="n">
        <v>0</v>
      </c>
      <c r="P995" t="n">
        <v>0</v>
      </c>
      <c r="Q995" t="n">
        <v>0</v>
      </c>
      <c r="R995" s="2" t="inlineStr"/>
    </row>
    <row r="996" ht="15" customHeight="1">
      <c r="A996" t="inlineStr">
        <is>
          <t>A 16126-2026</t>
        </is>
      </c>
      <c r="B996" s="1" t="n">
        <v>46108.63608796296</v>
      </c>
      <c r="C996" s="1" t="n">
        <v>46109</v>
      </c>
      <c r="D996" t="inlineStr">
        <is>
          <t>JÄMTLANDS LÄN</t>
        </is>
      </c>
      <c r="E996" t="inlineStr">
        <is>
          <t>RAGUNDA</t>
        </is>
      </c>
      <c r="F996" t="inlineStr">
        <is>
          <t>SCA</t>
        </is>
      </c>
      <c r="G996" t="n">
        <v>5.9</v>
      </c>
      <c r="H996" t="n">
        <v>0</v>
      </c>
      <c r="I996" t="n">
        <v>0</v>
      </c>
      <c r="J996" t="n">
        <v>0</v>
      </c>
      <c r="K996" t="n">
        <v>0</v>
      </c>
      <c r="L996" t="n">
        <v>0</v>
      </c>
      <c r="M996" t="n">
        <v>0</v>
      </c>
      <c r="N996" t="n">
        <v>0</v>
      </c>
      <c r="O996" t="n">
        <v>0</v>
      </c>
      <c r="P996" t="n">
        <v>0</v>
      </c>
      <c r="Q996" t="n">
        <v>0</v>
      </c>
      <c r="R996" s="2" t="inlineStr"/>
    </row>
    <row r="997" ht="15" customHeight="1">
      <c r="A997" t="inlineStr">
        <is>
          <t>A 16142-2026</t>
        </is>
      </c>
      <c r="B997" s="1" t="n">
        <v>46108.65679398148</v>
      </c>
      <c r="C997" s="1" t="n">
        <v>46109</v>
      </c>
      <c r="D997" t="inlineStr">
        <is>
          <t>JÄMTLANDS LÄN</t>
        </is>
      </c>
      <c r="E997" t="inlineStr">
        <is>
          <t>RAGUNDA</t>
        </is>
      </c>
      <c r="F997" t="inlineStr">
        <is>
          <t>SCA</t>
        </is>
      </c>
      <c r="G997" t="n">
        <v>52.5</v>
      </c>
      <c r="H997" t="n">
        <v>0</v>
      </c>
      <c r="I997" t="n">
        <v>0</v>
      </c>
      <c r="J997" t="n">
        <v>0</v>
      </c>
      <c r="K997" t="n">
        <v>0</v>
      </c>
      <c r="L997" t="n">
        <v>0</v>
      </c>
      <c r="M997" t="n">
        <v>0</v>
      </c>
      <c r="N997" t="n">
        <v>0</v>
      </c>
      <c r="O997" t="n">
        <v>0</v>
      </c>
      <c r="P997" t="n">
        <v>0</v>
      </c>
      <c r="Q997" t="n">
        <v>0</v>
      </c>
      <c r="R997" s="2" t="inlineStr"/>
    </row>
    <row r="998" ht="15" customHeight="1">
      <c r="A998" t="inlineStr">
        <is>
          <t>A 51538-2022</t>
        </is>
      </c>
      <c r="B998" s="1" t="n">
        <v>44869</v>
      </c>
      <c r="C998" s="1" t="n">
        <v>46109</v>
      </c>
      <c r="D998" t="inlineStr">
        <is>
          <t>JÄMTLANDS LÄN</t>
        </is>
      </c>
      <c r="E998" t="inlineStr">
        <is>
          <t>RAGUNDA</t>
        </is>
      </c>
      <c r="G998" t="n">
        <v>6.8</v>
      </c>
      <c r="H998" t="n">
        <v>0</v>
      </c>
      <c r="I998" t="n">
        <v>0</v>
      </c>
      <c r="J998" t="n">
        <v>0</v>
      </c>
      <c r="K998" t="n">
        <v>0</v>
      </c>
      <c r="L998" t="n">
        <v>0</v>
      </c>
      <c r="M998" t="n">
        <v>0</v>
      </c>
      <c r="N998" t="n">
        <v>0</v>
      </c>
      <c r="O998" t="n">
        <v>0</v>
      </c>
      <c r="P998" t="n">
        <v>0</v>
      </c>
      <c r="Q998" t="n">
        <v>0</v>
      </c>
      <c r="R998" s="2" t="inlineStr"/>
    </row>
    <row r="999" ht="15" customHeight="1">
      <c r="A999" t="inlineStr">
        <is>
          <t>A 59492-2024</t>
        </is>
      </c>
      <c r="B999" s="1" t="n">
        <v>45638</v>
      </c>
      <c r="C999" s="1" t="n">
        <v>46109</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61109-2024</t>
        </is>
      </c>
      <c r="B1000" s="1" t="n">
        <v>45645.55672453704</v>
      </c>
      <c r="C1000" s="1" t="n">
        <v>46109</v>
      </c>
      <c r="D1000" t="inlineStr">
        <is>
          <t>JÄMTLANDS LÄN</t>
        </is>
      </c>
      <c r="E1000" t="inlineStr">
        <is>
          <t>RAGUNDA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37292-2025</t>
        </is>
      </c>
      <c r="B1001" s="1" t="n">
        <v>45876.53188657408</v>
      </c>
      <c r="C1001" s="1" t="n">
        <v>46109</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15939-2026</t>
        </is>
      </c>
      <c r="B1002" s="1" t="n">
        <v>46107.6872337963</v>
      </c>
      <c r="C1002" s="1" t="n">
        <v>46109</v>
      </c>
      <c r="D1002" t="inlineStr">
        <is>
          <t>JÄMTLANDS LÄN</t>
        </is>
      </c>
      <c r="E1002" t="inlineStr">
        <is>
          <t>RAGUNDA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27373-2023</t>
        </is>
      </c>
      <c r="B1003" s="1" t="n">
        <v>45096.93866898148</v>
      </c>
      <c r="C1003" s="1" t="n">
        <v>46109</v>
      </c>
      <c r="D1003" t="inlineStr">
        <is>
          <t>JÄMTLANDS LÄN</t>
        </is>
      </c>
      <c r="E1003" t="inlineStr">
        <is>
          <t>RAGUNDA</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16321-2025</t>
        </is>
      </c>
      <c r="B1004" s="1" t="n">
        <v>45751.34873842593</v>
      </c>
      <c r="C1004" s="1" t="n">
        <v>46109</v>
      </c>
      <c r="D1004" t="inlineStr">
        <is>
          <t>JÄMTLANDS LÄN</t>
        </is>
      </c>
      <c r="E1004" t="inlineStr">
        <is>
          <t>RAGUNDA</t>
        </is>
      </c>
      <c r="F1004" t="inlineStr">
        <is>
          <t>SCA</t>
        </is>
      </c>
      <c r="G1004" t="n">
        <v>63.3</v>
      </c>
      <c r="H1004" t="n">
        <v>0</v>
      </c>
      <c r="I1004" t="n">
        <v>0</v>
      </c>
      <c r="J1004" t="n">
        <v>0</v>
      </c>
      <c r="K1004" t="n">
        <v>0</v>
      </c>
      <c r="L1004" t="n">
        <v>0</v>
      </c>
      <c r="M1004" t="n">
        <v>0</v>
      </c>
      <c r="N1004" t="n">
        <v>0</v>
      </c>
      <c r="O1004" t="n">
        <v>0</v>
      </c>
      <c r="P1004" t="n">
        <v>0</v>
      </c>
      <c r="Q1004" t="n">
        <v>0</v>
      </c>
      <c r="R1004" s="2" t="inlineStr"/>
    </row>
    <row r="1005" ht="15" customHeight="1">
      <c r="A1005" t="inlineStr">
        <is>
          <t>A 55904-2022</t>
        </is>
      </c>
      <c r="B1005" s="1" t="n">
        <v>44888</v>
      </c>
      <c r="C1005" s="1" t="n">
        <v>46109</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19854-2025</t>
        </is>
      </c>
      <c r="B1006" s="1" t="n">
        <v>45771.51074074074</v>
      </c>
      <c r="C1006" s="1" t="n">
        <v>46109</v>
      </c>
      <c r="D1006" t="inlineStr">
        <is>
          <t>JÄMTLANDS LÄN</t>
        </is>
      </c>
      <c r="E1006" t="inlineStr">
        <is>
          <t>RAGUNDA</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6688-2024</t>
        </is>
      </c>
      <c r="B1007" s="1" t="n">
        <v>45341</v>
      </c>
      <c r="C1007" s="1" t="n">
        <v>46109</v>
      </c>
      <c r="D1007" t="inlineStr">
        <is>
          <t>JÄMTLANDS LÄN</t>
        </is>
      </c>
      <c r="E1007" t="inlineStr">
        <is>
          <t>RAGUNDA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30642-2024</t>
        </is>
      </c>
      <c r="B1008" s="1" t="n">
        <v>45495.57677083334</v>
      </c>
      <c r="C1008" s="1" t="n">
        <v>46109</v>
      </c>
      <c r="D1008" t="inlineStr">
        <is>
          <t>JÄMTLANDS LÄN</t>
        </is>
      </c>
      <c r="E1008" t="inlineStr">
        <is>
          <t>RAGUNDA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16635-2025</t>
        </is>
      </c>
      <c r="B1009" s="1" t="n">
        <v>45754</v>
      </c>
      <c r="C1009" s="1" t="n">
        <v>46109</v>
      </c>
      <c r="D1009" t="inlineStr">
        <is>
          <t>JÄMTLANDS LÄN</t>
        </is>
      </c>
      <c r="E1009" t="inlineStr">
        <is>
          <t>RAGUNDA</t>
        </is>
      </c>
      <c r="F1009" t="inlineStr">
        <is>
          <t>SCA</t>
        </is>
      </c>
      <c r="G1009" t="n">
        <v>55.4</v>
      </c>
      <c r="H1009" t="n">
        <v>0</v>
      </c>
      <c r="I1009" t="n">
        <v>0</v>
      </c>
      <c r="J1009" t="n">
        <v>0</v>
      </c>
      <c r="K1009" t="n">
        <v>0</v>
      </c>
      <c r="L1009" t="n">
        <v>0</v>
      </c>
      <c r="M1009" t="n">
        <v>0</v>
      </c>
      <c r="N1009" t="n">
        <v>0</v>
      </c>
      <c r="O1009" t="n">
        <v>0</v>
      </c>
      <c r="P1009" t="n">
        <v>0</v>
      </c>
      <c r="Q1009" t="n">
        <v>0</v>
      </c>
      <c r="R1009" s="2" t="inlineStr"/>
    </row>
    <row r="1010" ht="15" customHeight="1">
      <c r="A1010" t="inlineStr">
        <is>
          <t>A 37479-2023</t>
        </is>
      </c>
      <c r="B1010" s="1" t="n">
        <v>45156</v>
      </c>
      <c r="C1010" s="1" t="n">
        <v>46109</v>
      </c>
      <c r="D1010" t="inlineStr">
        <is>
          <t>JÄMTLANDS LÄN</t>
        </is>
      </c>
      <c r="E1010" t="inlineStr">
        <is>
          <t>RAGUNDA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9504-2025</t>
        </is>
      </c>
      <c r="B1011" s="1" t="n">
        <v>45714</v>
      </c>
      <c r="C1011" s="1" t="n">
        <v>46109</v>
      </c>
      <c r="D1011" t="inlineStr">
        <is>
          <t>JÄMTLANDS LÄN</t>
        </is>
      </c>
      <c r="E1011" t="inlineStr">
        <is>
          <t>RAGUNDA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41772-2024</t>
        </is>
      </c>
      <c r="B1012" s="1" t="n">
        <v>45561.34663194444</v>
      </c>
      <c r="C1012" s="1" t="n">
        <v>46109</v>
      </c>
      <c r="D1012" t="inlineStr">
        <is>
          <t>JÄMTLANDS LÄN</t>
        </is>
      </c>
      <c r="E1012" t="inlineStr">
        <is>
          <t>RAGUNDA</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12660-2024</t>
        </is>
      </c>
      <c r="B1013" s="1" t="n">
        <v>45384</v>
      </c>
      <c r="C1013" s="1" t="n">
        <v>46109</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25332-2023</t>
        </is>
      </c>
      <c r="B1014" s="1" t="n">
        <v>45086.94010416666</v>
      </c>
      <c r="C1014" s="1" t="n">
        <v>46109</v>
      </c>
      <c r="D1014" t="inlineStr">
        <is>
          <t>JÄMTLANDS LÄN</t>
        </is>
      </c>
      <c r="E1014" t="inlineStr">
        <is>
          <t>RAGUNDA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33615-2023</t>
        </is>
      </c>
      <c r="B1015" s="1" t="n">
        <v>45119</v>
      </c>
      <c r="C1015" s="1" t="n">
        <v>46109</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43132-2023</t>
        </is>
      </c>
      <c r="B1016" s="1" t="n">
        <v>45182</v>
      </c>
      <c r="C1016" s="1" t="n">
        <v>46109</v>
      </c>
      <c r="D1016" t="inlineStr">
        <is>
          <t>JÄMTLANDS LÄN</t>
        </is>
      </c>
      <c r="E1016" t="inlineStr">
        <is>
          <t>RAGUNDA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8654-2024</t>
        </is>
      </c>
      <c r="B1017" s="1" t="n">
        <v>45356.03784722222</v>
      </c>
      <c r="C1017" s="1" t="n">
        <v>46109</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9325-2024</t>
        </is>
      </c>
      <c r="B1018" s="1" t="n">
        <v>45358.95813657407</v>
      </c>
      <c r="C1018" s="1" t="n">
        <v>46109</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4348-2023</t>
        </is>
      </c>
      <c r="B1019" s="1" t="n">
        <v>44953</v>
      </c>
      <c r="C1019" s="1" t="n">
        <v>46109</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8678-2023</t>
        </is>
      </c>
      <c r="B1020" s="1" t="n">
        <v>44977.98660879629</v>
      </c>
      <c r="C1020" s="1" t="n">
        <v>46109</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29766-2023</t>
        </is>
      </c>
      <c r="B1021" s="1" t="n">
        <v>45098</v>
      </c>
      <c r="C1021" s="1" t="n">
        <v>46109</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60935-2024</t>
        </is>
      </c>
      <c r="B1022" s="1" t="n">
        <v>45645.36740740741</v>
      </c>
      <c r="C1022" s="1" t="n">
        <v>46109</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14156-2024</t>
        </is>
      </c>
      <c r="B1023" s="1" t="n">
        <v>45392</v>
      </c>
      <c r="C1023" s="1" t="n">
        <v>46109</v>
      </c>
      <c r="D1023" t="inlineStr">
        <is>
          <t>JÄMTLANDS LÄN</t>
        </is>
      </c>
      <c r="E1023" t="inlineStr">
        <is>
          <t>RAGUNDA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14157-2024</t>
        </is>
      </c>
      <c r="B1024" s="1" t="n">
        <v>45392.92903935185</v>
      </c>
      <c r="C1024" s="1" t="n">
        <v>46109</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44727-2024</t>
        </is>
      </c>
      <c r="B1025" s="1" t="n">
        <v>45574.57967592592</v>
      </c>
      <c r="C1025" s="1" t="n">
        <v>46109</v>
      </c>
      <c r="D1025" t="inlineStr">
        <is>
          <t>JÄMTLANDS LÄN</t>
        </is>
      </c>
      <c r="E1025" t="inlineStr">
        <is>
          <t>RAGUNDA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46109</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7281-2024</t>
        </is>
      </c>
      <c r="B1027" s="1" t="n">
        <v>45344</v>
      </c>
      <c r="C1027" s="1" t="n">
        <v>46109</v>
      </c>
      <c r="D1027" t="inlineStr">
        <is>
          <t>JÄMTLANDS LÄN</t>
        </is>
      </c>
      <c r="E1027" t="inlineStr">
        <is>
          <t>RAGUNDA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19382-2025</t>
        </is>
      </c>
      <c r="B1028" s="1" t="n">
        <v>45769.65659722222</v>
      </c>
      <c r="C1028" s="1" t="n">
        <v>46109</v>
      </c>
      <c r="D1028" t="inlineStr">
        <is>
          <t>JÄMTLANDS LÄN</t>
        </is>
      </c>
      <c r="E1028" t="inlineStr">
        <is>
          <t>RAGUNDA</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19403-2025</t>
        </is>
      </c>
      <c r="B1029" s="1" t="n">
        <v>45769.67790509259</v>
      </c>
      <c r="C1029" s="1" t="n">
        <v>46109</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60225-2022</t>
        </is>
      </c>
      <c r="B1030" s="1" t="n">
        <v>44903</v>
      </c>
      <c r="C1030" s="1" t="n">
        <v>46109</v>
      </c>
      <c r="D1030" t="inlineStr">
        <is>
          <t>JÄMTLANDS LÄN</t>
        </is>
      </c>
      <c r="E1030" t="inlineStr">
        <is>
          <t>RAGUNDA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61045-2022</t>
        </is>
      </c>
      <c r="B1031" s="1" t="n">
        <v>44914</v>
      </c>
      <c r="C1031" s="1" t="n">
        <v>46109</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16320-2025</t>
        </is>
      </c>
      <c r="B1032" s="1" t="n">
        <v>45751.34859953704</v>
      </c>
      <c r="C1032" s="1" t="n">
        <v>46109</v>
      </c>
      <c r="D1032" t="inlineStr">
        <is>
          <t>JÄMTLANDS LÄN</t>
        </is>
      </c>
      <c r="E1032" t="inlineStr">
        <is>
          <t>RAGUNDA</t>
        </is>
      </c>
      <c r="F1032" t="inlineStr">
        <is>
          <t>SCA</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11557-2023</t>
        </is>
      </c>
      <c r="B1033" s="1" t="n">
        <v>44993.94950231481</v>
      </c>
      <c r="C1033" s="1" t="n">
        <v>46109</v>
      </c>
      <c r="D1033" t="inlineStr">
        <is>
          <t>JÄMTLANDS LÄN</t>
        </is>
      </c>
      <c r="E1033" t="inlineStr">
        <is>
          <t>RAGUNDA</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11562-2023</t>
        </is>
      </c>
      <c r="B1034" s="1" t="n">
        <v>44993</v>
      </c>
      <c r="C1034" s="1" t="n">
        <v>46109</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5175-2023</t>
        </is>
      </c>
      <c r="B1035" s="1" t="n">
        <v>44958.94298611111</v>
      </c>
      <c r="C1035" s="1" t="n">
        <v>46109</v>
      </c>
      <c r="D1035" t="inlineStr">
        <is>
          <t>JÄMTLANDS LÄN</t>
        </is>
      </c>
      <c r="E1035" t="inlineStr">
        <is>
          <t>RAGUNDA</t>
        </is>
      </c>
      <c r="F1035" t="inlineStr">
        <is>
          <t>SCA</t>
        </is>
      </c>
      <c r="G1035" t="n">
        <v>17.9</v>
      </c>
      <c r="H1035" t="n">
        <v>0</v>
      </c>
      <c r="I1035" t="n">
        <v>0</v>
      </c>
      <c r="J1035" t="n">
        <v>0</v>
      </c>
      <c r="K1035" t="n">
        <v>0</v>
      </c>
      <c r="L1035" t="n">
        <v>0</v>
      </c>
      <c r="M1035" t="n">
        <v>0</v>
      </c>
      <c r="N1035" t="n">
        <v>0</v>
      </c>
      <c r="O1035" t="n">
        <v>0</v>
      </c>
      <c r="P1035" t="n">
        <v>0</v>
      </c>
      <c r="Q1035" t="n">
        <v>0</v>
      </c>
      <c r="R1035" s="2" t="inlineStr"/>
    </row>
    <row r="1036" ht="15" customHeight="1">
      <c r="A1036" t="inlineStr">
        <is>
          <t>A 41343-2024</t>
        </is>
      </c>
      <c r="B1036" s="1" t="n">
        <v>45559.67745370371</v>
      </c>
      <c r="C1036" s="1" t="n">
        <v>46109</v>
      </c>
      <c r="D1036" t="inlineStr">
        <is>
          <t>JÄMTLANDS LÄN</t>
        </is>
      </c>
      <c r="E1036" t="inlineStr">
        <is>
          <t>RAGUNDA</t>
        </is>
      </c>
      <c r="F1036" t="inlineStr">
        <is>
          <t>SCA</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44995.98341435185</v>
      </c>
      <c r="C1037" s="1" t="n">
        <v>46109</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12050-2023</t>
        </is>
      </c>
      <c r="B1038" s="1" t="n">
        <v>44995.98644675926</v>
      </c>
      <c r="C1038" s="1" t="n">
        <v>46109</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2751-2024</t>
        </is>
      </c>
      <c r="B1039" s="1" t="n">
        <v>45314</v>
      </c>
      <c r="C1039" s="1" t="n">
        <v>46109</v>
      </c>
      <c r="D1039" t="inlineStr">
        <is>
          <t>JÄMTLANDS LÄN</t>
        </is>
      </c>
      <c r="E1039" t="inlineStr">
        <is>
          <t>RAGUNDA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36986-2023</t>
        </is>
      </c>
      <c r="B1040" s="1" t="n">
        <v>45154.95525462963</v>
      </c>
      <c r="C1040" s="1" t="n">
        <v>46109</v>
      </c>
      <c r="D1040" t="inlineStr">
        <is>
          <t>JÄMTLANDS LÄN</t>
        </is>
      </c>
      <c r="E1040" t="inlineStr">
        <is>
          <t>RAGUNDA</t>
        </is>
      </c>
      <c r="F1040" t="inlineStr">
        <is>
          <t>SCA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14368-2024</t>
        </is>
      </c>
      <c r="B1041" s="1" t="n">
        <v>45393.94431712963</v>
      </c>
      <c r="C1041" s="1" t="n">
        <v>46109</v>
      </c>
      <c r="D1041" t="inlineStr">
        <is>
          <t>JÄMTLANDS LÄN</t>
        </is>
      </c>
      <c r="E1041" t="inlineStr">
        <is>
          <t>RAGUNDA</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45040.94277777777</v>
      </c>
      <c r="C1042" s="1" t="n">
        <v>46109</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13700-2023</t>
        </is>
      </c>
      <c r="B1043" s="1" t="n">
        <v>45006</v>
      </c>
      <c r="C1043" s="1" t="n">
        <v>46109</v>
      </c>
      <c r="D1043" t="inlineStr">
        <is>
          <t>JÄMTLANDS LÄN</t>
        </is>
      </c>
      <c r="E1043" t="inlineStr">
        <is>
          <t>RAGUNDA</t>
        </is>
      </c>
      <c r="F1043" t="inlineStr">
        <is>
          <t>SCA</t>
        </is>
      </c>
      <c r="G1043" t="n">
        <v>50.3</v>
      </c>
      <c r="H1043" t="n">
        <v>0</v>
      </c>
      <c r="I1043" t="n">
        <v>0</v>
      </c>
      <c r="J1043" t="n">
        <v>0</v>
      </c>
      <c r="K1043" t="n">
        <v>0</v>
      </c>
      <c r="L1043" t="n">
        <v>0</v>
      </c>
      <c r="M1043" t="n">
        <v>0</v>
      </c>
      <c r="N1043" t="n">
        <v>0</v>
      </c>
      <c r="O1043" t="n">
        <v>0</v>
      </c>
      <c r="P1043" t="n">
        <v>0</v>
      </c>
      <c r="Q1043" t="n">
        <v>0</v>
      </c>
      <c r="R1043" s="2" t="inlineStr"/>
    </row>
    <row r="1044" ht="15" customHeight="1">
      <c r="A1044" t="inlineStr">
        <is>
          <t>A 37543-2023</t>
        </is>
      </c>
      <c r="B1044" s="1" t="n">
        <v>45158.94231481481</v>
      </c>
      <c r="C1044" s="1" t="n">
        <v>46109</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53171-2024</t>
        </is>
      </c>
      <c r="B1045" s="1" t="n">
        <v>45611.65679398148</v>
      </c>
      <c r="C1045" s="1" t="n">
        <v>46109</v>
      </c>
      <c r="D1045" t="inlineStr">
        <is>
          <t>JÄMTLANDS LÄN</t>
        </is>
      </c>
      <c r="E1045" t="inlineStr">
        <is>
          <t>RAGUNDA</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1523-2024</t>
        </is>
      </c>
      <c r="B1046" s="1" t="n">
        <v>45306</v>
      </c>
      <c r="C1046" s="1" t="n">
        <v>46109</v>
      </c>
      <c r="D1046" t="inlineStr">
        <is>
          <t>JÄMTLANDS LÄN</t>
        </is>
      </c>
      <c r="E1046" t="inlineStr">
        <is>
          <t>RAGUNDA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64265-2023</t>
        </is>
      </c>
      <c r="B1047" s="1" t="n">
        <v>45279.94572916667</v>
      </c>
      <c r="C1047" s="1" t="n">
        <v>46109</v>
      </c>
      <c r="D1047" t="inlineStr">
        <is>
          <t>JÄMTLANDS LÄN</t>
        </is>
      </c>
      <c r="E1047" t="inlineStr">
        <is>
          <t>RAGUNDA</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44605-2024</t>
        </is>
      </c>
      <c r="B1048" s="1" t="n">
        <v>45574.51185185185</v>
      </c>
      <c r="C1048" s="1" t="n">
        <v>46109</v>
      </c>
      <c r="D1048" t="inlineStr">
        <is>
          <t>JÄMTLANDS LÄN</t>
        </is>
      </c>
      <c r="E1048" t="inlineStr">
        <is>
          <t>RAGUNDA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53136-2024</t>
        </is>
      </c>
      <c r="B1049" s="1" t="n">
        <v>45611.5953125</v>
      </c>
      <c r="C1049" s="1" t="n">
        <v>46109</v>
      </c>
      <c r="D1049" t="inlineStr">
        <is>
          <t>JÄMTLANDS LÄN</t>
        </is>
      </c>
      <c r="E1049" t="inlineStr">
        <is>
          <t>RAGUNDA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52228-2024</t>
        </is>
      </c>
      <c r="B1050" s="1" t="n">
        <v>45608.6078587963</v>
      </c>
      <c r="C1050" s="1" t="n">
        <v>46109</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59372-2024</t>
        </is>
      </c>
      <c r="B1051" s="1" t="n">
        <v>45638.34431712963</v>
      </c>
      <c r="C1051" s="1" t="n">
        <v>46109</v>
      </c>
      <c r="D1051" t="inlineStr">
        <is>
          <t>JÄMTLANDS LÄN</t>
        </is>
      </c>
      <c r="E1051" t="inlineStr">
        <is>
          <t>RAGUNDA</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62115-2024</t>
        </is>
      </c>
      <c r="B1052" s="1" t="n">
        <v>45656</v>
      </c>
      <c r="C1052" s="1" t="n">
        <v>46109</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4594-2024</t>
        </is>
      </c>
      <c r="B1053" s="1" t="n">
        <v>45327.94459490741</v>
      </c>
      <c r="C1053" s="1" t="n">
        <v>46109</v>
      </c>
      <c r="D1053" t="inlineStr">
        <is>
          <t>JÄMTLANDS LÄN</t>
        </is>
      </c>
      <c r="E1053" t="inlineStr">
        <is>
          <t>RAGUNDA</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3018-2024</t>
        </is>
      </c>
      <c r="B1054" s="1" t="n">
        <v>45315.9492824074</v>
      </c>
      <c r="C1054" s="1" t="n">
        <v>46109</v>
      </c>
      <c r="D1054" t="inlineStr">
        <is>
          <t>JÄMTLANDS LÄN</t>
        </is>
      </c>
      <c r="E1054" t="inlineStr">
        <is>
          <t>RAGUNDA</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48065-2023</t>
        </is>
      </c>
      <c r="B1055" s="1" t="n">
        <v>45204.94399305555</v>
      </c>
      <c r="C1055" s="1" t="n">
        <v>46109</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44597-2024</t>
        </is>
      </c>
      <c r="B1056" s="1" t="n">
        <v>45574.51087962963</v>
      </c>
      <c r="C1056" s="1" t="n">
        <v>46109</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44598-2024</t>
        </is>
      </c>
      <c r="B1057" s="1" t="n">
        <v>45574.51090277778</v>
      </c>
      <c r="C1057" s="1" t="n">
        <v>46109</v>
      </c>
      <c r="D1057" t="inlineStr">
        <is>
          <t>JÄMTLANDS LÄN</t>
        </is>
      </c>
      <c r="E1057" t="inlineStr">
        <is>
          <t>RAGUNDA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49659-2023</t>
        </is>
      </c>
      <c r="B1058" s="1" t="n">
        <v>45211.95134259259</v>
      </c>
      <c r="C1058" s="1" t="n">
        <v>46109</v>
      </c>
      <c r="D1058" t="inlineStr">
        <is>
          <t>JÄMTLANDS LÄN</t>
        </is>
      </c>
      <c r="E1058" t="inlineStr">
        <is>
          <t>RAGUNDA</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23734-2024</t>
        </is>
      </c>
      <c r="B1059" s="1" t="n">
        <v>45454.95960648148</v>
      </c>
      <c r="C1059" s="1" t="n">
        <v>46109</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12653-2024</t>
        </is>
      </c>
      <c r="B1060" s="1" t="n">
        <v>45384</v>
      </c>
      <c r="C1060" s="1" t="n">
        <v>46109</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34483-2023</t>
        </is>
      </c>
      <c r="B1061" s="1" t="n">
        <v>45139.94681712963</v>
      </c>
      <c r="C1061" s="1" t="n">
        <v>46109</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23567-2024</t>
        </is>
      </c>
      <c r="B1062" s="1" t="n">
        <v>45453.95538194444</v>
      </c>
      <c r="C1062" s="1" t="n">
        <v>46109</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57116-2024</t>
        </is>
      </c>
      <c r="B1063" s="1" t="n">
        <v>45629.36513888889</v>
      </c>
      <c r="C1063" s="1" t="n">
        <v>46109</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38312-2024</t>
        </is>
      </c>
      <c r="B1064" s="1" t="n">
        <v>45545.64957175926</v>
      </c>
      <c r="C1064" s="1" t="n">
        <v>46109</v>
      </c>
      <c r="D1064" t="inlineStr">
        <is>
          <t>JÄMTLANDS LÄN</t>
        </is>
      </c>
      <c r="E1064" t="inlineStr">
        <is>
          <t>RAGUNDA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9262-2025</t>
        </is>
      </c>
      <c r="B1065" s="1" t="n">
        <v>45714.60649305556</v>
      </c>
      <c r="C1065" s="1" t="n">
        <v>46109</v>
      </c>
      <c r="D1065" t="inlineStr">
        <is>
          <t>JÄMTLANDS LÄN</t>
        </is>
      </c>
      <c r="E1065" t="inlineStr">
        <is>
          <t>RAGUNDA</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16982-2024</t>
        </is>
      </c>
      <c r="B1066" s="1" t="n">
        <v>45412.02506944445</v>
      </c>
      <c r="C1066" s="1" t="n">
        <v>46109</v>
      </c>
      <c r="D1066" t="inlineStr">
        <is>
          <t>JÄMTLANDS LÄN</t>
        </is>
      </c>
      <c r="E1066" t="inlineStr">
        <is>
          <t>RAGUNDA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58564-2024</t>
        </is>
      </c>
      <c r="B1067" s="1" t="n">
        <v>45635.47243055556</v>
      </c>
      <c r="C1067" s="1" t="n">
        <v>46109</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53144-2024</t>
        </is>
      </c>
      <c r="B1068" s="1" t="n">
        <v>45611</v>
      </c>
      <c r="C1068" s="1" t="n">
        <v>46109</v>
      </c>
      <c r="D1068" t="inlineStr">
        <is>
          <t>JÄMTLANDS LÄN</t>
        </is>
      </c>
      <c r="E1068" t="inlineStr">
        <is>
          <t>RAGUNDA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5806-2025</t>
        </is>
      </c>
      <c r="B1069" s="1" t="n">
        <v>45694.69826388889</v>
      </c>
      <c r="C1069" s="1" t="n">
        <v>46109</v>
      </c>
      <c r="D1069" t="inlineStr">
        <is>
          <t>JÄMTLANDS LÄN</t>
        </is>
      </c>
      <c r="E1069" t="inlineStr">
        <is>
          <t>RAGUNDA</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20773-2024</t>
        </is>
      </c>
      <c r="B1070" s="1" t="n">
        <v>45436.94636574074</v>
      </c>
      <c r="C1070" s="1" t="n">
        <v>46109</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14076-2023</t>
        </is>
      </c>
      <c r="B1071" s="1" t="n">
        <v>45009.0897337963</v>
      </c>
      <c r="C1071" s="1" t="n">
        <v>46109</v>
      </c>
      <c r="D1071" t="inlineStr">
        <is>
          <t>JÄMTLANDS LÄN</t>
        </is>
      </c>
      <c r="E1071" t="inlineStr">
        <is>
          <t>RAGUNDA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45335-2023</t>
        </is>
      </c>
      <c r="B1072" s="1" t="n">
        <v>45191</v>
      </c>
      <c r="C1072" s="1" t="n">
        <v>46109</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10972-2022</t>
        </is>
      </c>
      <c r="B1073" s="1" t="n">
        <v>44628</v>
      </c>
      <c r="C1073" s="1" t="n">
        <v>46109</v>
      </c>
      <c r="D1073" t="inlineStr">
        <is>
          <t>JÄMTLANDS LÄN</t>
        </is>
      </c>
      <c r="E1073" t="inlineStr">
        <is>
          <t>RAGUNDA</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43102-2023</t>
        </is>
      </c>
      <c r="B1074" s="1" t="n">
        <v>45182</v>
      </c>
      <c r="C1074" s="1" t="n">
        <v>46109</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6694-2024</t>
        </is>
      </c>
      <c r="B1075" s="1" t="n">
        <v>45341.95381944445</v>
      </c>
      <c r="C1075" s="1" t="n">
        <v>46109</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21083-2024</t>
        </is>
      </c>
      <c r="B1076" s="1" t="n">
        <v>45439.92752314815</v>
      </c>
      <c r="C1076" s="1" t="n">
        <v>46109</v>
      </c>
      <c r="D1076" t="inlineStr">
        <is>
          <t>JÄMTLANDS LÄN</t>
        </is>
      </c>
      <c r="E1076" t="inlineStr">
        <is>
          <t>RAGUNDA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59759-2024</t>
        </is>
      </c>
      <c r="B1077" s="1" t="n">
        <v>45639.55240740741</v>
      </c>
      <c r="C1077" s="1" t="n">
        <v>46109</v>
      </c>
      <c r="D1077" t="inlineStr">
        <is>
          <t>JÄMTLANDS LÄN</t>
        </is>
      </c>
      <c r="E1077" t="inlineStr">
        <is>
          <t>RAGUNDA</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12204-2025</t>
        </is>
      </c>
      <c r="B1078" s="1" t="n">
        <v>45729.51074074074</v>
      </c>
      <c r="C1078" s="1" t="n">
        <v>46109</v>
      </c>
      <c r="D1078" t="inlineStr">
        <is>
          <t>JÄMTLANDS LÄN</t>
        </is>
      </c>
      <c r="E1078" t="inlineStr">
        <is>
          <t>RAGUNDA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11245-2025</t>
        </is>
      </c>
      <c r="B1079" s="1" t="n">
        <v>45726.38575231482</v>
      </c>
      <c r="C1079" s="1" t="n">
        <v>46109</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13905-2025</t>
        </is>
      </c>
      <c r="B1080" s="1" t="n">
        <v>45737.63574074074</v>
      </c>
      <c r="C1080" s="1" t="n">
        <v>46109</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4125-2024</t>
        </is>
      </c>
      <c r="B1081" s="1" t="n">
        <v>45323</v>
      </c>
      <c r="C1081" s="1" t="n">
        <v>46109</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44980-2023</t>
        </is>
      </c>
      <c r="B1082" s="1" t="n">
        <v>45190</v>
      </c>
      <c r="C1082" s="1" t="n">
        <v>46109</v>
      </c>
      <c r="D1082" t="inlineStr">
        <is>
          <t>JÄMTLANDS LÄN</t>
        </is>
      </c>
      <c r="E1082" t="inlineStr">
        <is>
          <t>RAGUNDA</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27777-2022</t>
        </is>
      </c>
      <c r="B1083" s="1" t="n">
        <v>44743</v>
      </c>
      <c r="C1083" s="1" t="n">
        <v>46109</v>
      </c>
      <c r="D1083" t="inlineStr">
        <is>
          <t>JÄMTLANDS LÄN</t>
        </is>
      </c>
      <c r="E1083" t="inlineStr">
        <is>
          <t>RAGUNDA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51245-2024</t>
        </is>
      </c>
      <c r="B1084" s="1" t="n">
        <v>45603.67850694444</v>
      </c>
      <c r="C1084" s="1" t="n">
        <v>46109</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61923-2024</t>
        </is>
      </c>
      <c r="B1085" s="1" t="n">
        <v>45653.44836805556</v>
      </c>
      <c r="C1085" s="1" t="n">
        <v>46109</v>
      </c>
      <c r="D1085" t="inlineStr">
        <is>
          <t>JÄMTLANDS LÄN</t>
        </is>
      </c>
      <c r="E1085" t="inlineStr">
        <is>
          <t>RAGUNDA</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50503-2024</t>
        </is>
      </c>
      <c r="B1086" s="1" t="n">
        <v>45601.5315625</v>
      </c>
      <c r="C1086" s="1" t="n">
        <v>46109</v>
      </c>
      <c r="D1086" t="inlineStr">
        <is>
          <t>JÄMTLANDS LÄN</t>
        </is>
      </c>
      <c r="E1086" t="inlineStr">
        <is>
          <t>RAGUNDA</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59556-2024</t>
        </is>
      </c>
      <c r="B1087" s="1" t="n">
        <v>45638.63600694444</v>
      </c>
      <c r="C1087" s="1" t="n">
        <v>46109</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13302-2022</t>
        </is>
      </c>
      <c r="B1088" s="1" t="n">
        <v>44644</v>
      </c>
      <c r="C1088" s="1" t="n">
        <v>46109</v>
      </c>
      <c r="D1088" t="inlineStr">
        <is>
          <t>JÄMTLANDS LÄN</t>
        </is>
      </c>
      <c r="E1088" t="inlineStr">
        <is>
          <t>RAGUNDA</t>
        </is>
      </c>
      <c r="F1088" t="inlineStr">
        <is>
          <t>SCA</t>
        </is>
      </c>
      <c r="G1088" t="n">
        <v>35.6</v>
      </c>
      <c r="H1088" t="n">
        <v>0</v>
      </c>
      <c r="I1088" t="n">
        <v>0</v>
      </c>
      <c r="J1088" t="n">
        <v>0</v>
      </c>
      <c r="K1088" t="n">
        <v>0</v>
      </c>
      <c r="L1088" t="n">
        <v>0</v>
      </c>
      <c r="M1088" t="n">
        <v>0</v>
      </c>
      <c r="N1088" t="n">
        <v>0</v>
      </c>
      <c r="O1088" t="n">
        <v>0</v>
      </c>
      <c r="P1088" t="n">
        <v>0</v>
      </c>
      <c r="Q1088" t="n">
        <v>0</v>
      </c>
      <c r="R1088" s="2" t="inlineStr"/>
    </row>
    <row r="1089" ht="15" customHeight="1">
      <c r="A1089" t="inlineStr">
        <is>
          <t>A 18225-2024</t>
        </is>
      </c>
      <c r="B1089" s="1" t="n">
        <v>45420</v>
      </c>
      <c r="C1089" s="1" t="n">
        <v>46109</v>
      </c>
      <c r="D1089" t="inlineStr">
        <is>
          <t>JÄMTLANDS LÄN</t>
        </is>
      </c>
      <c r="E1089" t="inlineStr">
        <is>
          <t>RAGUNDA</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61598-2024</t>
        </is>
      </c>
      <c r="B1090" s="1" t="n">
        <v>45646.63605324074</v>
      </c>
      <c r="C1090" s="1" t="n">
        <v>46109</v>
      </c>
      <c r="D1090" t="inlineStr">
        <is>
          <t>JÄMTLANDS LÄN</t>
        </is>
      </c>
      <c r="E1090" t="inlineStr">
        <is>
          <t>RAGUNDA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7280-2024</t>
        </is>
      </c>
      <c r="B1091" s="1" t="n">
        <v>45344</v>
      </c>
      <c r="C1091" s="1" t="n">
        <v>46109</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21662-2023</t>
        </is>
      </c>
      <c r="B1092" s="1" t="n">
        <v>45063</v>
      </c>
      <c r="C1092" s="1" t="n">
        <v>46109</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61107-2024</t>
        </is>
      </c>
      <c r="B1093" s="1" t="n">
        <v>45645.55665509259</v>
      </c>
      <c r="C1093" s="1" t="n">
        <v>46109</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5313-2025</t>
        </is>
      </c>
      <c r="B1094" s="1" t="n">
        <v>45692.51069444444</v>
      </c>
      <c r="C1094" s="1" t="n">
        <v>46109</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5357-2025</t>
        </is>
      </c>
      <c r="B1095" s="1" t="n">
        <v>45692.57326388889</v>
      </c>
      <c r="C1095" s="1" t="n">
        <v>46109</v>
      </c>
      <c r="D1095" t="inlineStr">
        <is>
          <t>JÄMTLANDS LÄN</t>
        </is>
      </c>
      <c r="E1095" t="inlineStr">
        <is>
          <t>RAGUNDA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44494-2024</t>
        </is>
      </c>
      <c r="B1096" s="1" t="n">
        <v>45574.39081018518</v>
      </c>
      <c r="C1096" s="1" t="n">
        <v>46109</v>
      </c>
      <c r="D1096" t="inlineStr">
        <is>
          <t>JÄMTLANDS LÄN</t>
        </is>
      </c>
      <c r="E1096" t="inlineStr">
        <is>
          <t>RAGUNDA</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12983-2025</t>
        </is>
      </c>
      <c r="B1097" s="1" t="n">
        <v>45734.4633912037</v>
      </c>
      <c r="C1097" s="1" t="n">
        <v>46109</v>
      </c>
      <c r="D1097" t="inlineStr">
        <is>
          <t>JÄMTLANDS LÄN</t>
        </is>
      </c>
      <c r="E1097" t="inlineStr">
        <is>
          <t>RAGUNDA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39626-2024</t>
        </is>
      </c>
      <c r="B1098" s="1" t="n">
        <v>45552.44096064815</v>
      </c>
      <c r="C1098" s="1" t="n">
        <v>46109</v>
      </c>
      <c r="D1098" t="inlineStr">
        <is>
          <t>JÄMTLANDS LÄN</t>
        </is>
      </c>
      <c r="E1098" t="inlineStr">
        <is>
          <t>RAGUNDA</t>
        </is>
      </c>
      <c r="G1098" t="n">
        <v>23.5</v>
      </c>
      <c r="H1098" t="n">
        <v>0</v>
      </c>
      <c r="I1098" t="n">
        <v>0</v>
      </c>
      <c r="J1098" t="n">
        <v>0</v>
      </c>
      <c r="K1098" t="n">
        <v>0</v>
      </c>
      <c r="L1098" t="n">
        <v>0</v>
      </c>
      <c r="M1098" t="n">
        <v>0</v>
      </c>
      <c r="N1098" t="n">
        <v>0</v>
      </c>
      <c r="O1098" t="n">
        <v>0</v>
      </c>
      <c r="P1098" t="n">
        <v>0</v>
      </c>
      <c r="Q1098" t="n">
        <v>0</v>
      </c>
      <c r="R1098" s="2" t="inlineStr"/>
    </row>
    <row r="1099" ht="15" customHeight="1">
      <c r="A1099" t="inlineStr">
        <is>
          <t>A 45631-2024</t>
        </is>
      </c>
      <c r="B1099" s="1" t="n">
        <v>45579.47052083333</v>
      </c>
      <c r="C1099" s="1" t="n">
        <v>46109</v>
      </c>
      <c r="D1099" t="inlineStr">
        <is>
          <t>JÄMTLANDS LÄN</t>
        </is>
      </c>
      <c r="E1099" t="inlineStr">
        <is>
          <t>RAGUNDA</t>
        </is>
      </c>
      <c r="G1099" t="n">
        <v>15.1</v>
      </c>
      <c r="H1099" t="n">
        <v>0</v>
      </c>
      <c r="I1099" t="n">
        <v>0</v>
      </c>
      <c r="J1099" t="n">
        <v>0</v>
      </c>
      <c r="K1099" t="n">
        <v>0</v>
      </c>
      <c r="L1099" t="n">
        <v>0</v>
      </c>
      <c r="M1099" t="n">
        <v>0</v>
      </c>
      <c r="N1099" t="n">
        <v>0</v>
      </c>
      <c r="O1099" t="n">
        <v>0</v>
      </c>
      <c r="P1099" t="n">
        <v>0</v>
      </c>
      <c r="Q1099" t="n">
        <v>0</v>
      </c>
      <c r="R1099" s="2" t="inlineStr"/>
    </row>
    <row r="1100" ht="15" customHeight="1">
      <c r="A1100" t="inlineStr">
        <is>
          <t>A 62135-2024</t>
        </is>
      </c>
      <c r="B1100" s="1" t="n">
        <v>45656.64223379629</v>
      </c>
      <c r="C1100" s="1" t="n">
        <v>46109</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8802-2022</t>
        </is>
      </c>
      <c r="B1101" s="1" t="n">
        <v>44614</v>
      </c>
      <c r="C1101" s="1" t="n">
        <v>46109</v>
      </c>
      <c r="D1101" t="inlineStr">
        <is>
          <t>JÄMTLANDS LÄN</t>
        </is>
      </c>
      <c r="E1101" t="inlineStr">
        <is>
          <t>RAGUNDA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9823-2025</t>
        </is>
      </c>
      <c r="B1102" s="1" t="n">
        <v>45716</v>
      </c>
      <c r="C1102" s="1" t="n">
        <v>46109</v>
      </c>
      <c r="D1102" t="inlineStr">
        <is>
          <t>JÄMTLANDS LÄN</t>
        </is>
      </c>
      <c r="E1102" t="inlineStr">
        <is>
          <t>RAGUNDA</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9847-2025</t>
        </is>
      </c>
      <c r="B1103" s="1" t="n">
        <v>45716.61487268518</v>
      </c>
      <c r="C1103" s="1" t="n">
        <v>46109</v>
      </c>
      <c r="D1103" t="inlineStr">
        <is>
          <t>JÄMTLANDS LÄN</t>
        </is>
      </c>
      <c r="E1103" t="inlineStr">
        <is>
          <t>RAGUNDA</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20987-2023</t>
        </is>
      </c>
      <c r="B1104" s="1" t="n">
        <v>45056</v>
      </c>
      <c r="C1104" s="1" t="n">
        <v>46109</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20994-2023</t>
        </is>
      </c>
      <c r="B1105" s="1" t="n">
        <v>45056</v>
      </c>
      <c r="C1105" s="1" t="n">
        <v>46109</v>
      </c>
      <c r="D1105" t="inlineStr">
        <is>
          <t>JÄMTLANDS LÄN</t>
        </is>
      </c>
      <c r="E1105" t="inlineStr">
        <is>
          <t>RAGUNDA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46109</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23287-2024</t>
        </is>
      </c>
      <c r="B1107" s="1" t="n">
        <v>45453.42041666667</v>
      </c>
      <c r="C1107" s="1" t="n">
        <v>46109</v>
      </c>
      <c r="D1107" t="inlineStr">
        <is>
          <t>JÄMTLANDS LÄN</t>
        </is>
      </c>
      <c r="E1107" t="inlineStr">
        <is>
          <t>RAGUNDA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53740-2024</t>
        </is>
      </c>
      <c r="B1108" s="1" t="n">
        <v>45615.47091435185</v>
      </c>
      <c r="C1108" s="1" t="n">
        <v>46109</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1325-2025</t>
        </is>
      </c>
      <c r="B1109" s="1" t="n">
        <v>45667.57342592593</v>
      </c>
      <c r="C1109" s="1" t="n">
        <v>46109</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1326-2025</t>
        </is>
      </c>
      <c r="B1110" s="1" t="n">
        <v>45667.57347222222</v>
      </c>
      <c r="C1110" s="1" t="n">
        <v>46109</v>
      </c>
      <c r="D1110" t="inlineStr">
        <is>
          <t>JÄMTLANDS LÄN</t>
        </is>
      </c>
      <c r="E1110" t="inlineStr">
        <is>
          <t>RAGUNDA</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14696-2022</t>
        </is>
      </c>
      <c r="B1111" s="1" t="n">
        <v>44655</v>
      </c>
      <c r="C1111" s="1" t="n">
        <v>46109</v>
      </c>
      <c r="D1111" t="inlineStr">
        <is>
          <t>JÄMTLANDS LÄN</t>
        </is>
      </c>
      <c r="E1111" t="inlineStr">
        <is>
          <t>RAGUNDA</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45952-2023</t>
        </is>
      </c>
      <c r="B1112" s="1" t="n">
        <v>45195</v>
      </c>
      <c r="C1112" s="1" t="n">
        <v>46109</v>
      </c>
      <c r="D1112" t="inlineStr">
        <is>
          <t>JÄMTLANDS LÄN</t>
        </is>
      </c>
      <c r="E1112" t="inlineStr">
        <is>
          <t>RAGUNDA</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45954-2023</t>
        </is>
      </c>
      <c r="B1113" s="1" t="n">
        <v>45195.94679398148</v>
      </c>
      <c r="C1113" s="1" t="n">
        <v>46109</v>
      </c>
      <c r="D1113" t="inlineStr">
        <is>
          <t>JÄMTLANDS LÄN</t>
        </is>
      </c>
      <c r="E1113" t="inlineStr">
        <is>
          <t>RAGUNDA</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45955-2023</t>
        </is>
      </c>
      <c r="B1114" s="1" t="n">
        <v>45195.94685185186</v>
      </c>
      <c r="C1114" s="1" t="n">
        <v>46109</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8787-2022</t>
        </is>
      </c>
      <c r="B1115" s="1" t="n">
        <v>44614</v>
      </c>
      <c r="C1115" s="1" t="n">
        <v>46109</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5308-2025</t>
        </is>
      </c>
      <c r="B1116" s="1" t="n">
        <v>45692.49008101852</v>
      </c>
      <c r="C1116" s="1" t="n">
        <v>46109</v>
      </c>
      <c r="D1116" t="inlineStr">
        <is>
          <t>JÄMTLANDS LÄN</t>
        </is>
      </c>
      <c r="E1116" t="inlineStr">
        <is>
          <t>RAGUNDA</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45253-2023</t>
        </is>
      </c>
      <c r="B1117" s="1" t="n">
        <v>45187</v>
      </c>
      <c r="C1117" s="1" t="n">
        <v>46109</v>
      </c>
      <c r="D1117" t="inlineStr">
        <is>
          <t>JÄMTLANDS LÄN</t>
        </is>
      </c>
      <c r="E1117" t="inlineStr">
        <is>
          <t>RAGUNDA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3104-2025</t>
        </is>
      </c>
      <c r="B1118" s="1" t="n">
        <v>45678.67761574074</v>
      </c>
      <c r="C1118" s="1" t="n">
        <v>46109</v>
      </c>
      <c r="D1118" t="inlineStr">
        <is>
          <t>JÄMTLANDS LÄN</t>
        </is>
      </c>
      <c r="E1118" t="inlineStr">
        <is>
          <t>RAGUNDA</t>
        </is>
      </c>
      <c r="F1118" t="inlineStr">
        <is>
          <t>SCA</t>
        </is>
      </c>
      <c r="G1118" t="n">
        <v>46.2</v>
      </c>
      <c r="H1118" t="n">
        <v>0</v>
      </c>
      <c r="I1118" t="n">
        <v>0</v>
      </c>
      <c r="J1118" t="n">
        <v>0</v>
      </c>
      <c r="K1118" t="n">
        <v>0</v>
      </c>
      <c r="L1118" t="n">
        <v>0</v>
      </c>
      <c r="M1118" t="n">
        <v>0</v>
      </c>
      <c r="N1118" t="n">
        <v>0</v>
      </c>
      <c r="O1118" t="n">
        <v>0</v>
      </c>
      <c r="P1118" t="n">
        <v>0</v>
      </c>
      <c r="Q1118" t="n">
        <v>0</v>
      </c>
      <c r="R1118" s="2" t="inlineStr"/>
    </row>
    <row r="1119" ht="15" customHeight="1">
      <c r="A1119" t="inlineStr">
        <is>
          <t>A 36046-2023</t>
        </is>
      </c>
      <c r="B1119" s="1" t="n">
        <v>45148</v>
      </c>
      <c r="C1119" s="1" t="n">
        <v>46109</v>
      </c>
      <c r="D1119" t="inlineStr">
        <is>
          <t>JÄMTLANDS LÄN</t>
        </is>
      </c>
      <c r="E1119" t="inlineStr">
        <is>
          <t>RAGUNDA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18193-2022</t>
        </is>
      </c>
      <c r="B1120" s="1" t="n">
        <v>44684.94032407407</v>
      </c>
      <c r="C1120" s="1" t="n">
        <v>46109</v>
      </c>
      <c r="D1120" t="inlineStr">
        <is>
          <t>JÄMTLANDS LÄN</t>
        </is>
      </c>
      <c r="E1120" t="inlineStr">
        <is>
          <t>RAGUNDA</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45138.94925925926</v>
      </c>
      <c r="C1121" s="1" t="n">
        <v>46109</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58843-2024</t>
        </is>
      </c>
      <c r="B1122" s="1" t="n">
        <v>45636.38599537037</v>
      </c>
      <c r="C1122" s="1" t="n">
        <v>46109</v>
      </c>
      <c r="D1122" t="inlineStr">
        <is>
          <t>JÄMTLANDS LÄN</t>
        </is>
      </c>
      <c r="E1122" t="inlineStr">
        <is>
          <t>RAGUNDA</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45953-2023</t>
        </is>
      </c>
      <c r="B1123" s="1" t="n">
        <v>45195.94672453704</v>
      </c>
      <c r="C1123" s="1" t="n">
        <v>46109</v>
      </c>
      <c r="D1123" t="inlineStr">
        <is>
          <t>JÄMTLANDS LÄN</t>
        </is>
      </c>
      <c r="E1123" t="inlineStr">
        <is>
          <t>RAGUNDA</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45112.94303240741</v>
      </c>
      <c r="C1124" s="1" t="n">
        <v>46109</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45112.94310185185</v>
      </c>
      <c r="C1125" s="1" t="n">
        <v>46109</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31506-2024</t>
        </is>
      </c>
      <c r="B1126" s="1" t="n">
        <v>45505</v>
      </c>
      <c r="C1126" s="1" t="n">
        <v>46109</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55222-2024</t>
        </is>
      </c>
      <c r="B1127" s="1" t="n">
        <v>45621.57395833333</v>
      </c>
      <c r="C1127" s="1" t="n">
        <v>46109</v>
      </c>
      <c r="D1127" t="inlineStr">
        <is>
          <t>JÄMTLANDS LÄN</t>
        </is>
      </c>
      <c r="E1127" t="inlineStr">
        <is>
          <t>RAGUNDA</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44755-2024</t>
        </is>
      </c>
      <c r="B1128" s="1" t="n">
        <v>45574.61184027778</v>
      </c>
      <c r="C1128" s="1" t="n">
        <v>46109</v>
      </c>
      <c r="D1128" t="inlineStr">
        <is>
          <t>JÄMTLANDS LÄN</t>
        </is>
      </c>
      <c r="E1128" t="inlineStr">
        <is>
          <t>RAGUNDA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44766-2024</t>
        </is>
      </c>
      <c r="B1129" s="1" t="n">
        <v>45574.62297453704</v>
      </c>
      <c r="C1129" s="1" t="n">
        <v>46109</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44778-2024</t>
        </is>
      </c>
      <c r="B1130" s="1" t="n">
        <v>45574.63355324074</v>
      </c>
      <c r="C1130" s="1" t="n">
        <v>46109</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8795-2022</t>
        </is>
      </c>
      <c r="B1131" s="1" t="n">
        <v>44614</v>
      </c>
      <c r="C1131" s="1" t="n">
        <v>46109</v>
      </c>
      <c r="D1131" t="inlineStr">
        <is>
          <t>JÄMTLANDS LÄN</t>
        </is>
      </c>
      <c r="E1131" t="inlineStr">
        <is>
          <t>RAGUNDA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14905-2022</t>
        </is>
      </c>
      <c r="B1132" s="1" t="n">
        <v>44656.94708333333</v>
      </c>
      <c r="C1132" s="1" t="n">
        <v>46109</v>
      </c>
      <c r="D1132" t="inlineStr">
        <is>
          <t>JÄMTLANDS LÄN</t>
        </is>
      </c>
      <c r="E1132" t="inlineStr">
        <is>
          <t>RAGUNDA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46109</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46109</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59286-2023</t>
        </is>
      </c>
      <c r="B1135" s="1" t="n">
        <v>45253</v>
      </c>
      <c r="C1135" s="1" t="n">
        <v>46109</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7284-2025</t>
        </is>
      </c>
      <c r="B1136" s="1" t="n">
        <v>45702.63604166666</v>
      </c>
      <c r="C1136" s="1" t="n">
        <v>46109</v>
      </c>
      <c r="D1136" t="inlineStr">
        <is>
          <t>JÄMTLANDS LÄN</t>
        </is>
      </c>
      <c r="E1136" t="inlineStr">
        <is>
          <t>RAGUNDA</t>
        </is>
      </c>
      <c r="F1136" t="inlineStr">
        <is>
          <t>SCA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60012-2023</t>
        </is>
      </c>
      <c r="B1137" s="1" t="n">
        <v>45257</v>
      </c>
      <c r="C1137" s="1" t="n">
        <v>46109</v>
      </c>
      <c r="D1137" t="inlineStr">
        <is>
          <t>JÄMTLANDS LÄN</t>
        </is>
      </c>
      <c r="E1137" t="inlineStr">
        <is>
          <t>RAGUNDA</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20221-2025</t>
        </is>
      </c>
      <c r="B1138" s="1" t="n">
        <v>45772.6565625</v>
      </c>
      <c r="C1138" s="1" t="n">
        <v>46109</v>
      </c>
      <c r="D1138" t="inlineStr">
        <is>
          <t>JÄMTLANDS LÄN</t>
        </is>
      </c>
      <c r="E1138" t="inlineStr">
        <is>
          <t>RAGUNDA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35265-2023</t>
        </is>
      </c>
      <c r="B1139" s="1" t="n">
        <v>45145.95326388889</v>
      </c>
      <c r="C1139" s="1" t="n">
        <v>46109</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31435-2022</t>
        </is>
      </c>
      <c r="B1140" s="1" t="n">
        <v>44774</v>
      </c>
      <c r="C1140" s="1" t="n">
        <v>46109</v>
      </c>
      <c r="D1140" t="inlineStr">
        <is>
          <t>JÄMTLANDS LÄN</t>
        </is>
      </c>
      <c r="E1140" t="inlineStr">
        <is>
          <t>RAGUNDA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50211-2023</t>
        </is>
      </c>
      <c r="B1141" s="1" t="n">
        <v>45215.94657407407</v>
      </c>
      <c r="C1141" s="1" t="n">
        <v>46109</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16529-2022</t>
        </is>
      </c>
      <c r="B1142" s="1" t="n">
        <v>44671</v>
      </c>
      <c r="C1142" s="1" t="n">
        <v>46109</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40269-2022</t>
        </is>
      </c>
      <c r="B1143" s="1" t="n">
        <v>44820</v>
      </c>
      <c r="C1143" s="1" t="n">
        <v>46109</v>
      </c>
      <c r="D1143" t="inlineStr">
        <is>
          <t>JÄMTLANDS LÄN</t>
        </is>
      </c>
      <c r="E1143" t="inlineStr">
        <is>
          <t>RAGUNDA</t>
        </is>
      </c>
      <c r="F1143" t="inlineStr">
        <is>
          <t>SCA</t>
        </is>
      </c>
      <c r="G1143" t="n">
        <v>77.8</v>
      </c>
      <c r="H1143" t="n">
        <v>0</v>
      </c>
      <c r="I1143" t="n">
        <v>0</v>
      </c>
      <c r="J1143" t="n">
        <v>0</v>
      </c>
      <c r="K1143" t="n">
        <v>0</v>
      </c>
      <c r="L1143" t="n">
        <v>0</v>
      </c>
      <c r="M1143" t="n">
        <v>0</v>
      </c>
      <c r="N1143" t="n">
        <v>0</v>
      </c>
      <c r="O1143" t="n">
        <v>0</v>
      </c>
      <c r="P1143" t="n">
        <v>0</v>
      </c>
      <c r="Q1143" t="n">
        <v>0</v>
      </c>
      <c r="R1143" s="2" t="inlineStr"/>
    </row>
    <row r="1144" ht="15" customHeight="1">
      <c r="A1144" t="inlineStr">
        <is>
          <t>A 44536-2022</t>
        </is>
      </c>
      <c r="B1144" s="1" t="n">
        <v>44839</v>
      </c>
      <c r="C1144" s="1" t="n">
        <v>46109</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36212-2023</t>
        </is>
      </c>
      <c r="B1145" s="1" t="n">
        <v>45149.95241898148</v>
      </c>
      <c r="C1145" s="1" t="n">
        <v>46109</v>
      </c>
      <c r="D1145" t="inlineStr">
        <is>
          <t>JÄMTLANDS LÄN</t>
        </is>
      </c>
      <c r="E1145" t="inlineStr">
        <is>
          <t>RAGUNDA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53860-2023</t>
        </is>
      </c>
      <c r="B1146" s="1" t="n">
        <v>45224</v>
      </c>
      <c r="C1146" s="1" t="n">
        <v>46109</v>
      </c>
      <c r="D1146" t="inlineStr">
        <is>
          <t>JÄMTLANDS LÄN</t>
        </is>
      </c>
      <c r="E1146" t="inlineStr">
        <is>
          <t>RAGUNDA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54599-2023</t>
        </is>
      </c>
      <c r="B1147" s="1" t="n">
        <v>45233.92591435185</v>
      </c>
      <c r="C1147" s="1" t="n">
        <v>46109</v>
      </c>
      <c r="D1147" t="inlineStr">
        <is>
          <t>JÄMTLANDS LÄN</t>
        </is>
      </c>
      <c r="E1147" t="inlineStr">
        <is>
          <t>RAGUNDA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10610-2024</t>
        </is>
      </c>
      <c r="B1148" s="1" t="n">
        <v>45367.04693287037</v>
      </c>
      <c r="C1148" s="1" t="n">
        <v>46109</v>
      </c>
      <c r="D1148" t="inlineStr">
        <is>
          <t>JÄMTLANDS LÄN</t>
        </is>
      </c>
      <c r="E1148" t="inlineStr">
        <is>
          <t>RAGUNDA</t>
        </is>
      </c>
      <c r="F1148" t="inlineStr">
        <is>
          <t>SCA</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8779-2025</t>
        </is>
      </c>
      <c r="B1149" s="1" t="n">
        <v>45712.61552083334</v>
      </c>
      <c r="C1149" s="1" t="n">
        <v>46109</v>
      </c>
      <c r="D1149" t="inlineStr">
        <is>
          <t>JÄMTLANDS LÄN</t>
        </is>
      </c>
      <c r="E1149" t="inlineStr">
        <is>
          <t>RAGUNDA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20574-2025</t>
        </is>
      </c>
      <c r="B1150" s="1" t="n">
        <v>45775.67747685185</v>
      </c>
      <c r="C1150" s="1" t="n">
        <v>46109</v>
      </c>
      <c r="D1150" t="inlineStr">
        <is>
          <t>JÄMTLANDS LÄN</t>
        </is>
      </c>
      <c r="E1150" t="inlineStr">
        <is>
          <t>RAGUNDA</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16676-2022</t>
        </is>
      </c>
      <c r="B1151" s="1" t="n">
        <v>44672.94018518519</v>
      </c>
      <c r="C1151" s="1" t="n">
        <v>46109</v>
      </c>
      <c r="D1151" t="inlineStr">
        <is>
          <t>JÄMTLANDS LÄN</t>
        </is>
      </c>
      <c r="E1151" t="inlineStr">
        <is>
          <t>RAGUNDA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57078-2023</t>
        </is>
      </c>
      <c r="B1152" s="1" t="n">
        <v>45244.96774305555</v>
      </c>
      <c r="C1152" s="1" t="n">
        <v>46109</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12976-2025</t>
        </is>
      </c>
      <c r="B1153" s="1" t="n">
        <v>45734.45268518518</v>
      </c>
      <c r="C1153" s="1" t="n">
        <v>46109</v>
      </c>
      <c r="D1153" t="inlineStr">
        <is>
          <t>JÄMTLANDS LÄN</t>
        </is>
      </c>
      <c r="E1153" t="inlineStr">
        <is>
          <t>RAGUNDA</t>
        </is>
      </c>
      <c r="G1153" t="n">
        <v>24.2</v>
      </c>
      <c r="H1153" t="n">
        <v>0</v>
      </c>
      <c r="I1153" t="n">
        <v>0</v>
      </c>
      <c r="J1153" t="n">
        <v>0</v>
      </c>
      <c r="K1153" t="n">
        <v>0</v>
      </c>
      <c r="L1153" t="n">
        <v>0</v>
      </c>
      <c r="M1153" t="n">
        <v>0</v>
      </c>
      <c r="N1153" t="n">
        <v>0</v>
      </c>
      <c r="O1153" t="n">
        <v>0</v>
      </c>
      <c r="P1153" t="n">
        <v>0</v>
      </c>
      <c r="Q1153" t="n">
        <v>0</v>
      </c>
      <c r="R1153" s="2" t="inlineStr"/>
    </row>
    <row r="1154" ht="15" customHeight="1">
      <c r="A1154" t="inlineStr">
        <is>
          <t>A 56286-2023</t>
        </is>
      </c>
      <c r="B1154" s="1" t="n">
        <v>45241.95741898148</v>
      </c>
      <c r="C1154" s="1" t="n">
        <v>46109</v>
      </c>
      <c r="D1154" t="inlineStr">
        <is>
          <t>JÄMTLANDS LÄN</t>
        </is>
      </c>
      <c r="E1154" t="inlineStr">
        <is>
          <t>RAGUNDA</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56287-2023</t>
        </is>
      </c>
      <c r="B1155" s="1" t="n">
        <v>45241</v>
      </c>
      <c r="C1155" s="1" t="n">
        <v>46109</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59658-2023</t>
        </is>
      </c>
      <c r="B1156" s="1" t="n">
        <v>45254.96402777778</v>
      </c>
      <c r="C1156" s="1" t="n">
        <v>46109</v>
      </c>
      <c r="D1156" t="inlineStr">
        <is>
          <t>JÄMTLANDS LÄN</t>
        </is>
      </c>
      <c r="E1156" t="inlineStr">
        <is>
          <t>RAGUNDA</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28081-2022</t>
        </is>
      </c>
      <c r="B1157" s="1" t="n">
        <v>44746</v>
      </c>
      <c r="C1157" s="1" t="n">
        <v>46109</v>
      </c>
      <c r="D1157" t="inlineStr">
        <is>
          <t>JÄMTLANDS LÄN</t>
        </is>
      </c>
      <c r="E1157" t="inlineStr">
        <is>
          <t>RAGUNDA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37324-2022</t>
        </is>
      </c>
      <c r="B1158" s="1" t="n">
        <v>44806</v>
      </c>
      <c r="C1158" s="1" t="n">
        <v>46109</v>
      </c>
      <c r="D1158" t="inlineStr">
        <is>
          <t>JÄMTLANDS LÄN</t>
        </is>
      </c>
      <c r="E1158" t="inlineStr">
        <is>
          <t>RAGUNDA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62106-2023</t>
        </is>
      </c>
      <c r="B1159" s="1" t="n">
        <v>45266.95082175926</v>
      </c>
      <c r="C1159" s="1" t="n">
        <v>46109</v>
      </c>
      <c r="D1159" t="inlineStr">
        <is>
          <t>JÄMTLANDS LÄN</t>
        </is>
      </c>
      <c r="E1159" t="inlineStr">
        <is>
          <t>RAGUNDA</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4592-2024</t>
        </is>
      </c>
      <c r="B1160" s="1" t="n">
        <v>45327.94443287037</v>
      </c>
      <c r="C1160" s="1" t="n">
        <v>46109</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18984-2023</t>
        </is>
      </c>
      <c r="B1161" s="1" t="n">
        <v>45044</v>
      </c>
      <c r="C1161" s="1" t="n">
        <v>46109</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8241-2024</t>
        </is>
      </c>
      <c r="B1162" s="1" t="n">
        <v>45351.98496527778</v>
      </c>
      <c r="C1162" s="1" t="n">
        <v>46109</v>
      </c>
      <c r="D1162" t="inlineStr">
        <is>
          <t>JÄMTLANDS LÄN</t>
        </is>
      </c>
      <c r="E1162" t="inlineStr">
        <is>
          <t>RAGUNDA</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14512-2025</t>
        </is>
      </c>
      <c r="B1163" s="1" t="n">
        <v>45741.63659722222</v>
      </c>
      <c r="C1163" s="1" t="n">
        <v>46109</v>
      </c>
      <c r="D1163" t="inlineStr">
        <is>
          <t>JÄMTLANDS LÄN</t>
        </is>
      </c>
      <c r="E1163" t="inlineStr">
        <is>
          <t>RAGUNDA</t>
        </is>
      </c>
      <c r="F1163" t="inlineStr">
        <is>
          <t>SCA</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53019-2023</t>
        </is>
      </c>
      <c r="B1164" s="1" t="n">
        <v>45222</v>
      </c>
      <c r="C1164" s="1" t="n">
        <v>46109</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59996-2023</t>
        </is>
      </c>
      <c r="B1165" s="1" t="n">
        <v>45257.92826388889</v>
      </c>
      <c r="C1165" s="1" t="n">
        <v>46109</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1537-2024</t>
        </is>
      </c>
      <c r="B1166" s="1" t="n">
        <v>45306</v>
      </c>
      <c r="C1166" s="1" t="n">
        <v>46109</v>
      </c>
      <c r="D1166" t="inlineStr">
        <is>
          <t>JÄMTLANDS LÄN</t>
        </is>
      </c>
      <c r="E1166" t="inlineStr">
        <is>
          <t>RAGUNDA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29257-2024</t>
        </is>
      </c>
      <c r="B1167" s="1" t="n">
        <v>45482.94815972223</v>
      </c>
      <c r="C1167" s="1" t="n">
        <v>46109</v>
      </c>
      <c r="D1167" t="inlineStr">
        <is>
          <t>JÄMTLANDS LÄN</t>
        </is>
      </c>
      <c r="E1167" t="inlineStr">
        <is>
          <t>RAGUNDA</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55487-2023</t>
        </is>
      </c>
      <c r="B1168" s="1" t="n">
        <v>45238</v>
      </c>
      <c r="C1168" s="1" t="n">
        <v>46109</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20770-2024</t>
        </is>
      </c>
      <c r="B1169" s="1" t="n">
        <v>45436.94613425926</v>
      </c>
      <c r="C1169" s="1" t="n">
        <v>46109</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19383-2025</t>
        </is>
      </c>
      <c r="B1170" s="1" t="n">
        <v>45769.65688657408</v>
      </c>
      <c r="C1170" s="1" t="n">
        <v>46109</v>
      </c>
      <c r="D1170" t="inlineStr">
        <is>
          <t>JÄMTLANDS LÄN</t>
        </is>
      </c>
      <c r="E1170" t="inlineStr">
        <is>
          <t>RAGUNDA</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12783-2023</t>
        </is>
      </c>
      <c r="B1171" s="1" t="n">
        <v>45000</v>
      </c>
      <c r="C1171" s="1" t="n">
        <v>46109</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35153-2024</t>
        </is>
      </c>
      <c r="B1172" s="1" t="n">
        <v>45530</v>
      </c>
      <c r="C1172" s="1" t="n">
        <v>46109</v>
      </c>
      <c r="D1172" t="inlineStr">
        <is>
          <t>JÄMTLANDS LÄN</t>
        </is>
      </c>
      <c r="E1172" t="inlineStr">
        <is>
          <t>RAGUNDA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61197-2023</t>
        </is>
      </c>
      <c r="B1173" s="1" t="n">
        <v>45260</v>
      </c>
      <c r="C1173" s="1" t="n">
        <v>46109</v>
      </c>
      <c r="D1173" t="inlineStr">
        <is>
          <t>JÄMTLANDS LÄN</t>
        </is>
      </c>
      <c r="E1173" t="inlineStr">
        <is>
          <t>RAGUNDA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31135-2023</t>
        </is>
      </c>
      <c r="B1174" s="1" t="n">
        <v>45103</v>
      </c>
      <c r="C1174" s="1" t="n">
        <v>46109</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13767-2022</t>
        </is>
      </c>
      <c r="B1175" s="1" t="n">
        <v>44649.47048611111</v>
      </c>
      <c r="C1175" s="1" t="n">
        <v>46109</v>
      </c>
      <c r="D1175" t="inlineStr">
        <is>
          <t>JÄMTLANDS LÄN</t>
        </is>
      </c>
      <c r="E1175" t="inlineStr">
        <is>
          <t>RAGUNDA</t>
        </is>
      </c>
      <c r="F1175" t="inlineStr">
        <is>
          <t>Kommuner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22569-2023</t>
        </is>
      </c>
      <c r="B1176" s="1" t="n">
        <v>45069</v>
      </c>
      <c r="C1176" s="1" t="n">
        <v>46109</v>
      </c>
      <c r="D1176" t="inlineStr">
        <is>
          <t>JÄMTLANDS LÄN</t>
        </is>
      </c>
      <c r="E1176" t="inlineStr">
        <is>
          <t>RAGUNDA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46109</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43405-2023</t>
        </is>
      </c>
      <c r="B1178" s="1" t="n">
        <v>45183.95563657407</v>
      </c>
      <c r="C1178" s="1" t="n">
        <v>46109</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56984-2022</t>
        </is>
      </c>
      <c r="B1179" s="1" t="n">
        <v>44894.79018518519</v>
      </c>
      <c r="C1179" s="1" t="n">
        <v>46109</v>
      </c>
      <c r="D1179" t="inlineStr">
        <is>
          <t>JÄMTLANDS LÄN</t>
        </is>
      </c>
      <c r="E1179" t="inlineStr">
        <is>
          <t>RAGUNDA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5958-2023</t>
        </is>
      </c>
      <c r="B1180" s="1" t="n">
        <v>44963</v>
      </c>
      <c r="C1180" s="1" t="n">
        <v>46109</v>
      </c>
      <c r="D1180" t="inlineStr">
        <is>
          <t>JÄMTLANDS LÄN</t>
        </is>
      </c>
      <c r="E1180" t="inlineStr">
        <is>
          <t>RAGUNDA</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50521-2024</t>
        </is>
      </c>
      <c r="B1181" s="1" t="n">
        <v>45601.55331018518</v>
      </c>
      <c r="C1181" s="1" t="n">
        <v>46109</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29920-2024</t>
        </is>
      </c>
      <c r="B1182" s="1" t="n">
        <v>45487.92856481481</v>
      </c>
      <c r="C1182" s="1" t="n">
        <v>46109</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62011-2022</t>
        </is>
      </c>
      <c r="B1183" s="1" t="n">
        <v>44914</v>
      </c>
      <c r="C1183" s="1" t="n">
        <v>46109</v>
      </c>
      <c r="D1183" t="inlineStr">
        <is>
          <t>JÄMTLANDS LÄN</t>
        </is>
      </c>
      <c r="E1183" t="inlineStr">
        <is>
          <t>RAGUNDA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22311-2024</t>
        </is>
      </c>
      <c r="B1184" s="1" t="n">
        <v>45446.57052083333</v>
      </c>
      <c r="C1184" s="1" t="n">
        <v>46109</v>
      </c>
      <c r="D1184" t="inlineStr">
        <is>
          <t>JÄMTLANDS LÄN</t>
        </is>
      </c>
      <c r="E1184" t="inlineStr">
        <is>
          <t>RAGUNDA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19866-2023</t>
        </is>
      </c>
      <c r="B1185" s="1" t="n">
        <v>45053.94313657407</v>
      </c>
      <c r="C1185" s="1" t="n">
        <v>46109</v>
      </c>
      <c r="D1185" t="inlineStr">
        <is>
          <t>JÄMTLANDS LÄN</t>
        </is>
      </c>
      <c r="E1185" t="inlineStr">
        <is>
          <t>RAGUNDA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53935-2022</t>
        </is>
      </c>
      <c r="B1186" s="1" t="n">
        <v>44880</v>
      </c>
      <c r="C1186" s="1" t="n">
        <v>46109</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18631-2024</t>
        </is>
      </c>
      <c r="B1187" s="1" t="n">
        <v>45425.96494212963</v>
      </c>
      <c r="C1187" s="1" t="n">
        <v>46109</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12805-2025</t>
        </is>
      </c>
      <c r="B1188" s="1" t="n">
        <v>45733.61497685185</v>
      </c>
      <c r="C1188" s="1" t="n">
        <v>46109</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11062-2023</t>
        </is>
      </c>
      <c r="B1189" s="1" t="n">
        <v>44991</v>
      </c>
      <c r="C1189" s="1" t="n">
        <v>46109</v>
      </c>
      <c r="D1189" t="inlineStr">
        <is>
          <t>JÄMTLANDS LÄN</t>
        </is>
      </c>
      <c r="E1189" t="inlineStr">
        <is>
          <t>RAGUNDA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69153-2021</t>
        </is>
      </c>
      <c r="B1190" s="1" t="n">
        <v>44530.94694444445</v>
      </c>
      <c r="C1190" s="1" t="n">
        <v>46109</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4882-2023</t>
        </is>
      </c>
      <c r="B1191" s="1" t="n">
        <v>44957.94075231482</v>
      </c>
      <c r="C1191" s="1" t="n">
        <v>46109</v>
      </c>
      <c r="D1191" t="inlineStr">
        <is>
          <t>JÄMTLANDS LÄN</t>
        </is>
      </c>
      <c r="E1191" t="inlineStr">
        <is>
          <t>RAGUNDA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39608-2024</t>
        </is>
      </c>
      <c r="B1192" s="1" t="n">
        <v>45552.39113425926</v>
      </c>
      <c r="C1192" s="1" t="n">
        <v>46109</v>
      </c>
      <c r="D1192" t="inlineStr">
        <is>
          <t>JÄMTLANDS LÄN</t>
        </is>
      </c>
      <c r="E1192" t="inlineStr">
        <is>
          <t>RAGUNDA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18454-2021</t>
        </is>
      </c>
      <c r="B1193" s="1" t="n">
        <v>44305.92047453704</v>
      </c>
      <c r="C1193" s="1" t="n">
        <v>46109</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26455-2023</t>
        </is>
      </c>
      <c r="B1194" s="1" t="n">
        <v>45092</v>
      </c>
      <c r="C1194" s="1" t="n">
        <v>46109</v>
      </c>
      <c r="D1194" t="inlineStr">
        <is>
          <t>JÄMTLANDS LÄN</t>
        </is>
      </c>
      <c r="E1194" t="inlineStr">
        <is>
          <t>RAGUNDA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6801-2023</t>
        </is>
      </c>
      <c r="B1195" s="1" t="n">
        <v>44966.95328703704</v>
      </c>
      <c r="C1195" s="1" t="n">
        <v>46109</v>
      </c>
      <c r="D1195" t="inlineStr">
        <is>
          <t>JÄMTLANDS LÄN</t>
        </is>
      </c>
      <c r="E1195" t="inlineStr">
        <is>
          <t>RAGUNDA</t>
        </is>
      </c>
      <c r="F1195" t="inlineStr">
        <is>
          <t>SCA</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10641-2024</t>
        </is>
      </c>
      <c r="B1196" s="1" t="n">
        <v>45367.69850694444</v>
      </c>
      <c r="C1196" s="1" t="n">
        <v>46109</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10644-2024</t>
        </is>
      </c>
      <c r="B1197" s="1" t="n">
        <v>45367.71348379629</v>
      </c>
      <c r="C1197" s="1" t="n">
        <v>46109</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17559-2023</t>
        </is>
      </c>
      <c r="B1198" s="1" t="n">
        <v>45034</v>
      </c>
      <c r="C1198" s="1" t="n">
        <v>46109</v>
      </c>
      <c r="D1198" t="inlineStr">
        <is>
          <t>JÄMTLANDS LÄN</t>
        </is>
      </c>
      <c r="E1198" t="inlineStr">
        <is>
          <t>RAGUNDA</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30826-2023</t>
        </is>
      </c>
      <c r="B1199" s="1" t="n">
        <v>45112</v>
      </c>
      <c r="C1199" s="1" t="n">
        <v>46109</v>
      </c>
      <c r="D1199" t="inlineStr">
        <is>
          <t>JÄMTLANDS LÄN</t>
        </is>
      </c>
      <c r="E1199" t="inlineStr">
        <is>
          <t>RAGUNDA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56191-2022</t>
        </is>
      </c>
      <c r="B1200" s="1" t="n">
        <v>44889.95015046297</v>
      </c>
      <c r="C1200" s="1" t="n">
        <v>46109</v>
      </c>
      <c r="D1200" t="inlineStr">
        <is>
          <t>JÄMTLANDS LÄN</t>
        </is>
      </c>
      <c r="E1200" t="inlineStr">
        <is>
          <t>RAGUNDA</t>
        </is>
      </c>
      <c r="F1200" t="inlineStr">
        <is>
          <t>Sveaskog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33621-2023</t>
        </is>
      </c>
      <c r="B1201" s="1" t="n">
        <v>45119</v>
      </c>
      <c r="C1201" s="1" t="n">
        <v>46109</v>
      </c>
      <c r="D1201" t="inlineStr">
        <is>
          <t>JÄMTLANDS LÄN</t>
        </is>
      </c>
      <c r="E1201" t="inlineStr">
        <is>
          <t>RAGUNDA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65216-2023</t>
        </is>
      </c>
      <c r="B1202" s="1" t="n">
        <v>45289</v>
      </c>
      <c r="C1202" s="1" t="n">
        <v>46109</v>
      </c>
      <c r="D1202" t="inlineStr">
        <is>
          <t>JÄMTLANDS LÄN</t>
        </is>
      </c>
      <c r="E1202" t="inlineStr">
        <is>
          <t>RAGUNDA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60838-2023</t>
        </is>
      </c>
      <c r="B1203" s="1" t="n">
        <v>45260.92561342593</v>
      </c>
      <c r="C1203" s="1" t="n">
        <v>46109</v>
      </c>
      <c r="D1203" t="inlineStr">
        <is>
          <t>JÄMTLANDS LÄN</t>
        </is>
      </c>
      <c r="E1203" t="inlineStr">
        <is>
          <t>RAGUNDA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2133-2023</t>
        </is>
      </c>
      <c r="B1204" s="1" t="n">
        <v>44939</v>
      </c>
      <c r="C1204" s="1" t="n">
        <v>46109</v>
      </c>
      <c r="D1204" t="inlineStr">
        <is>
          <t>JÄMTLANDS LÄN</t>
        </is>
      </c>
      <c r="E1204" t="inlineStr">
        <is>
          <t>RAGUNDA</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49647-2024</t>
        </is>
      </c>
      <c r="B1205" s="1" t="n">
        <v>45596.61533564814</v>
      </c>
      <c r="C1205" s="1" t="n">
        <v>46109</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64415-2023</t>
        </is>
      </c>
      <c r="B1206" s="1" t="n">
        <v>45280</v>
      </c>
      <c r="C1206" s="1" t="n">
        <v>46109</v>
      </c>
      <c r="D1206" t="inlineStr">
        <is>
          <t>JÄMTLANDS LÄN</t>
        </is>
      </c>
      <c r="E1206" t="inlineStr">
        <is>
          <t>RAGUNDA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38782-2021</t>
        </is>
      </c>
      <c r="B1207" s="1" t="n">
        <v>44410</v>
      </c>
      <c r="C1207" s="1" t="n">
        <v>46109</v>
      </c>
      <c r="D1207" t="inlineStr">
        <is>
          <t>JÄMTLANDS LÄN</t>
        </is>
      </c>
      <c r="E1207" t="inlineStr">
        <is>
          <t>RAGUNDA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16250-2022</t>
        </is>
      </c>
      <c r="B1208" s="1" t="n">
        <v>44670</v>
      </c>
      <c r="C1208" s="1" t="n">
        <v>46109</v>
      </c>
      <c r="D1208" t="inlineStr">
        <is>
          <t>JÄMTLANDS LÄN</t>
        </is>
      </c>
      <c r="E1208" t="inlineStr">
        <is>
          <t>RAGUNDA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13334-2024</t>
        </is>
      </c>
      <c r="B1209" s="1" t="n">
        <v>45386</v>
      </c>
      <c r="C1209" s="1" t="n">
        <v>46109</v>
      </c>
      <c r="D1209" t="inlineStr">
        <is>
          <t>JÄMTLANDS LÄN</t>
        </is>
      </c>
      <c r="E1209" t="inlineStr">
        <is>
          <t>RAGUNDA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55669-2023</t>
        </is>
      </c>
      <c r="B1210" s="1" t="n">
        <v>45238.96797453704</v>
      </c>
      <c r="C1210" s="1" t="n">
        <v>46109</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51389-2024</t>
        </is>
      </c>
      <c r="B1211" s="1" t="n">
        <v>45604.40540509259</v>
      </c>
      <c r="C1211" s="1" t="n">
        <v>46109</v>
      </c>
      <c r="D1211" t="inlineStr">
        <is>
          <t>JÄMTLANDS LÄN</t>
        </is>
      </c>
      <c r="E1211" t="inlineStr">
        <is>
          <t>RAGUNDA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51393-2024</t>
        </is>
      </c>
      <c r="B1212" s="1" t="n">
        <v>45604.41625</v>
      </c>
      <c r="C1212" s="1" t="n">
        <v>46109</v>
      </c>
      <c r="D1212" t="inlineStr">
        <is>
          <t>JÄMTLANDS LÄN</t>
        </is>
      </c>
      <c r="E1212" t="inlineStr">
        <is>
          <t>RAGUNDA</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43339-2024</t>
        </is>
      </c>
      <c r="B1213" s="1" t="n">
        <v>45568.51075231482</v>
      </c>
      <c r="C1213" s="1" t="n">
        <v>46109</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38548-2024</t>
        </is>
      </c>
      <c r="B1214" s="1" t="n">
        <v>45546</v>
      </c>
      <c r="C1214" s="1" t="n">
        <v>46109</v>
      </c>
      <c r="D1214" t="inlineStr">
        <is>
          <t>JÄMTLANDS LÄN</t>
        </is>
      </c>
      <c r="E1214" t="inlineStr">
        <is>
          <t>RAGUNDA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26026-2024</t>
        </is>
      </c>
      <c r="B1215" s="1" t="n">
        <v>45467.96207175926</v>
      </c>
      <c r="C1215" s="1" t="n">
        <v>46109</v>
      </c>
      <c r="D1215" t="inlineStr">
        <is>
          <t>JÄMTLANDS LÄN</t>
        </is>
      </c>
      <c r="E1215" t="inlineStr">
        <is>
          <t>RAGUNDA</t>
        </is>
      </c>
      <c r="F1215" t="inlineStr">
        <is>
          <t>SCA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5971-2025</t>
        </is>
      </c>
      <c r="B1216" s="1" t="n">
        <v>45695.51070601852</v>
      </c>
      <c r="C1216" s="1" t="n">
        <v>46109</v>
      </c>
      <c r="D1216" t="inlineStr">
        <is>
          <t>JÄMTLANDS LÄN</t>
        </is>
      </c>
      <c r="E1216" t="inlineStr">
        <is>
          <t>RAGUNDA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51537-2022</t>
        </is>
      </c>
      <c r="B1217" s="1" t="n">
        <v>44869</v>
      </c>
      <c r="C1217" s="1" t="n">
        <v>46109</v>
      </c>
      <c r="D1217" t="inlineStr">
        <is>
          <t>JÄMTLANDS LÄN</t>
        </is>
      </c>
      <c r="E1217" t="inlineStr">
        <is>
          <t>RAGUNDA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12995-2023</t>
        </is>
      </c>
      <c r="B1218" s="1" t="n">
        <v>45002.0328125</v>
      </c>
      <c r="C1218" s="1" t="n">
        <v>46109</v>
      </c>
      <c r="D1218" t="inlineStr">
        <is>
          <t>JÄMTLANDS LÄN</t>
        </is>
      </c>
      <c r="E1218" t="inlineStr">
        <is>
          <t>RAGUNDA</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8800-2025</t>
        </is>
      </c>
      <c r="B1219" s="1" t="n">
        <v>45712.65671296296</v>
      </c>
      <c r="C1219" s="1" t="n">
        <v>46109</v>
      </c>
      <c r="D1219" t="inlineStr">
        <is>
          <t>JÄMTLANDS LÄN</t>
        </is>
      </c>
      <c r="E1219" t="inlineStr">
        <is>
          <t>RAGUNDA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56284-2023</t>
        </is>
      </c>
      <c r="B1220" s="1" t="n">
        <v>45241.95724537037</v>
      </c>
      <c r="C1220" s="1" t="n">
        <v>46109</v>
      </c>
      <c r="D1220" t="inlineStr">
        <is>
          <t>JÄMTLANDS LÄN</t>
        </is>
      </c>
      <c r="E1220" t="inlineStr">
        <is>
          <t>RAGUNDA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18610-2024</t>
        </is>
      </c>
      <c r="B1221" s="1" t="n">
        <v>45425.96230324074</v>
      </c>
      <c r="C1221" s="1" t="n">
        <v>46109</v>
      </c>
      <c r="D1221" t="inlineStr">
        <is>
          <t>JÄMTLANDS LÄN</t>
        </is>
      </c>
      <c r="E1221" t="inlineStr">
        <is>
          <t>RAGUNDA</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30563-2023</t>
        </is>
      </c>
      <c r="B1222" s="1" t="n">
        <v>45111.92793981481</v>
      </c>
      <c r="C1222" s="1" t="n">
        <v>46109</v>
      </c>
      <c r="D1222" t="inlineStr">
        <is>
          <t>JÄMTLANDS LÄN</t>
        </is>
      </c>
      <c r="E1222" t="inlineStr">
        <is>
          <t>RAGUNDA</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8886-2024</t>
        </is>
      </c>
      <c r="B1223" s="1" t="n">
        <v>45357.05300925926</v>
      </c>
      <c r="C1223" s="1" t="n">
        <v>46109</v>
      </c>
      <c r="D1223" t="inlineStr">
        <is>
          <t>JÄMTLANDS LÄN</t>
        </is>
      </c>
      <c r="E1223" t="inlineStr">
        <is>
          <t>RAGUNDA</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18615-2024</t>
        </is>
      </c>
      <c r="B1224" s="1" t="n">
        <v>45425.96275462963</v>
      </c>
      <c r="C1224" s="1" t="n">
        <v>46109</v>
      </c>
      <c r="D1224" t="inlineStr">
        <is>
          <t>JÄMTLANDS LÄN</t>
        </is>
      </c>
      <c r="E1224" t="inlineStr">
        <is>
          <t>RAGUNDA</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23303-2024</t>
        </is>
      </c>
      <c r="B1225" s="1" t="n">
        <v>45453.4444212963</v>
      </c>
      <c r="C1225" s="1" t="n">
        <v>46109</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465-2023</t>
        </is>
      </c>
      <c r="B1226" s="1" t="n">
        <v>44929</v>
      </c>
      <c r="C1226" s="1" t="n">
        <v>46109</v>
      </c>
      <c r="D1226" t="inlineStr">
        <is>
          <t>JÄMTLANDS LÄN</t>
        </is>
      </c>
      <c r="E1226" t="inlineStr">
        <is>
          <t>RAGUNDA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32832-2021</t>
        </is>
      </c>
      <c r="B1227" s="1" t="n">
        <v>44375</v>
      </c>
      <c r="C1227" s="1" t="n">
        <v>46109</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3938-2024</t>
        </is>
      </c>
      <c r="B1228" s="1" t="n">
        <v>45322</v>
      </c>
      <c r="C1228" s="1" t="n">
        <v>46109</v>
      </c>
      <c r="D1228" t="inlineStr">
        <is>
          <t>JÄMTLANDS LÄN</t>
        </is>
      </c>
      <c r="E1228" t="inlineStr">
        <is>
          <t>RAGUNDA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62081-2022</t>
        </is>
      </c>
      <c r="B1229" s="1" t="n">
        <v>44918</v>
      </c>
      <c r="C1229" s="1" t="n">
        <v>46109</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55508-2024</t>
        </is>
      </c>
      <c r="B1230" s="1" t="n">
        <v>45622.46200231482</v>
      </c>
      <c r="C1230" s="1" t="n">
        <v>46109</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12521-2023</t>
        </is>
      </c>
      <c r="B1231" s="1" t="n">
        <v>45000</v>
      </c>
      <c r="C1231" s="1" t="n">
        <v>46109</v>
      </c>
      <c r="D1231" t="inlineStr">
        <is>
          <t>JÄMTLANDS LÄN</t>
        </is>
      </c>
      <c r="E1231" t="inlineStr">
        <is>
          <t>RAGUNDA</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3720-2025</t>
        </is>
      </c>
      <c r="B1232" s="1" t="n">
        <v>45681.5315625</v>
      </c>
      <c r="C1232" s="1" t="n">
        <v>46109</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2339-2025</t>
        </is>
      </c>
      <c r="B1233" s="1" t="n">
        <v>45673.66358796296</v>
      </c>
      <c r="C1233" s="1" t="n">
        <v>46109</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17742-2022</t>
        </is>
      </c>
      <c r="B1234" s="1" t="n">
        <v>44680.95246527778</v>
      </c>
      <c r="C1234" s="1" t="n">
        <v>46109</v>
      </c>
      <c r="D1234" t="inlineStr">
        <is>
          <t>JÄMTLANDS LÄN</t>
        </is>
      </c>
      <c r="E1234" t="inlineStr">
        <is>
          <t>RAGUNDA</t>
        </is>
      </c>
      <c r="F1234" t="inlineStr">
        <is>
          <t>SCA</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50555-2024</t>
        </is>
      </c>
      <c r="B1235" s="1" t="n">
        <v>45601.59518518519</v>
      </c>
      <c r="C1235" s="1" t="n">
        <v>46109</v>
      </c>
      <c r="D1235" t="inlineStr">
        <is>
          <t>JÄMTLANDS LÄN</t>
        </is>
      </c>
      <c r="E1235" t="inlineStr">
        <is>
          <t>RAGUNDA</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53676-2022</t>
        </is>
      </c>
      <c r="B1236" s="1" t="n">
        <v>44879</v>
      </c>
      <c r="C1236" s="1" t="n">
        <v>46109</v>
      </c>
      <c r="D1236" t="inlineStr">
        <is>
          <t>JÄMTLANDS LÄN</t>
        </is>
      </c>
      <c r="E1236" t="inlineStr">
        <is>
          <t>RAGUNDA</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14212-2023</t>
        </is>
      </c>
      <c r="B1237" s="1" t="n">
        <v>45009</v>
      </c>
      <c r="C1237" s="1" t="n">
        <v>46109</v>
      </c>
      <c r="D1237" t="inlineStr">
        <is>
          <t>JÄMTLANDS LÄN</t>
        </is>
      </c>
      <c r="E1237" t="inlineStr">
        <is>
          <t>RAGUNDA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20772-2024</t>
        </is>
      </c>
      <c r="B1238" s="1" t="n">
        <v>45436.94628472222</v>
      </c>
      <c r="C1238" s="1" t="n">
        <v>46109</v>
      </c>
      <c r="D1238" t="inlineStr">
        <is>
          <t>JÄMTLANDS LÄN</t>
        </is>
      </c>
      <c r="E1238" t="inlineStr">
        <is>
          <t>RAGUNDA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18614-2024</t>
        </is>
      </c>
      <c r="B1239" s="1" t="n">
        <v>45425.96263888889</v>
      </c>
      <c r="C1239" s="1" t="n">
        <v>46109</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46109</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19246-2023</t>
        </is>
      </c>
      <c r="B1241" s="1" t="n">
        <v>45048.94340277778</v>
      </c>
      <c r="C1241" s="1" t="n">
        <v>46109</v>
      </c>
      <c r="D1241" t="inlineStr">
        <is>
          <t>JÄMTLANDS LÄN</t>
        </is>
      </c>
      <c r="E1241" t="inlineStr">
        <is>
          <t>RAGUNDA</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464-2023</t>
        </is>
      </c>
      <c r="B1242" s="1" t="n">
        <v>44929.92489583333</v>
      </c>
      <c r="C1242" s="1" t="n">
        <v>46109</v>
      </c>
      <c r="D1242" t="inlineStr">
        <is>
          <t>JÄMTLANDS LÄN</t>
        </is>
      </c>
      <c r="E1242" t="inlineStr">
        <is>
          <t>RAGUNDA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49649-2024</t>
        </is>
      </c>
      <c r="B1243" s="1" t="n">
        <v>45596.61553240741</v>
      </c>
      <c r="C1243" s="1" t="n">
        <v>46109</v>
      </c>
      <c r="D1243" t="inlineStr">
        <is>
          <t>JÄMTLANDS LÄN</t>
        </is>
      </c>
      <c r="E1243" t="inlineStr">
        <is>
          <t>RAGUNDA</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20426-2024</t>
        </is>
      </c>
      <c r="B1244" s="1" t="n">
        <v>45435</v>
      </c>
      <c r="C1244" s="1" t="n">
        <v>46109</v>
      </c>
      <c r="D1244" t="inlineStr">
        <is>
          <t>JÄMTLANDS LÄN</t>
        </is>
      </c>
      <c r="E1244" t="inlineStr">
        <is>
          <t>RAGUNDA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41344-2024</t>
        </is>
      </c>
      <c r="B1245" s="1" t="n">
        <v>45559.67759259259</v>
      </c>
      <c r="C1245" s="1" t="n">
        <v>46109</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58955-2024</t>
        </is>
      </c>
      <c r="B1246" s="1" t="n">
        <v>45636.57329861111</v>
      </c>
      <c r="C1246" s="1" t="n">
        <v>46109</v>
      </c>
      <c r="D1246" t="inlineStr">
        <is>
          <t>JÄMTLANDS LÄN</t>
        </is>
      </c>
      <c r="E1246" t="inlineStr">
        <is>
          <t>RAGUNDA</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4878-2022</t>
        </is>
      </c>
      <c r="B1247" s="1" t="n">
        <v>44593</v>
      </c>
      <c r="C1247" s="1" t="n">
        <v>46109</v>
      </c>
      <c r="D1247" t="inlineStr">
        <is>
          <t>JÄMTLANDS LÄN</t>
        </is>
      </c>
      <c r="E1247" t="inlineStr">
        <is>
          <t>RAGUNDA</t>
        </is>
      </c>
      <c r="G1247" t="n">
        <v>21.7</v>
      </c>
      <c r="H1247" t="n">
        <v>0</v>
      </c>
      <c r="I1247" t="n">
        <v>0</v>
      </c>
      <c r="J1247" t="n">
        <v>0</v>
      </c>
      <c r="K1247" t="n">
        <v>0</v>
      </c>
      <c r="L1247" t="n">
        <v>0</v>
      </c>
      <c r="M1247" t="n">
        <v>0</v>
      </c>
      <c r="N1247" t="n">
        <v>0</v>
      </c>
      <c r="O1247" t="n">
        <v>0</v>
      </c>
      <c r="P1247" t="n">
        <v>0</v>
      </c>
      <c r="Q1247" t="n">
        <v>0</v>
      </c>
      <c r="R1247" s="2" t="inlineStr"/>
    </row>
    <row r="1248" ht="15" customHeight="1">
      <c r="A1248" t="inlineStr">
        <is>
          <t>A 39489-2023</t>
        </is>
      </c>
      <c r="B1248" s="1" t="n">
        <v>45166</v>
      </c>
      <c r="C1248" s="1" t="n">
        <v>46109</v>
      </c>
      <c r="D1248" t="inlineStr">
        <is>
          <t>JÄMTLANDS LÄN</t>
        </is>
      </c>
      <c r="E1248" t="inlineStr">
        <is>
          <t>RAGUNDA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11058-2025</t>
        </is>
      </c>
      <c r="B1249" s="1" t="n">
        <v>45723.51079861111</v>
      </c>
      <c r="C1249" s="1" t="n">
        <v>46109</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15554-2025</t>
        </is>
      </c>
      <c r="B1250" s="1" t="n">
        <v>45747.67739583334</v>
      </c>
      <c r="C1250" s="1" t="n">
        <v>46109</v>
      </c>
      <c r="D1250" t="inlineStr">
        <is>
          <t>JÄMTLANDS LÄN</t>
        </is>
      </c>
      <c r="E1250" t="inlineStr">
        <is>
          <t>RAGUNDA</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57170-2024</t>
        </is>
      </c>
      <c r="B1251" s="1" t="n">
        <v>45629.42759259259</v>
      </c>
      <c r="C1251" s="1" t="n">
        <v>46109</v>
      </c>
      <c r="D1251" t="inlineStr">
        <is>
          <t>JÄMTLANDS LÄN</t>
        </is>
      </c>
      <c r="E1251" t="inlineStr">
        <is>
          <t>RAGUNDA</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29940-2023</t>
        </is>
      </c>
      <c r="B1252" s="1" t="n">
        <v>45107</v>
      </c>
      <c r="C1252" s="1" t="n">
        <v>46109</v>
      </c>
      <c r="D1252" t="inlineStr">
        <is>
          <t>JÄMTLANDS LÄN</t>
        </is>
      </c>
      <c r="E1252" t="inlineStr">
        <is>
          <t>RAGUNDA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66471-2021</t>
        </is>
      </c>
      <c r="B1253" s="1" t="n">
        <v>44518</v>
      </c>
      <c r="C1253" s="1" t="n">
        <v>46109</v>
      </c>
      <c r="D1253" t="inlineStr">
        <is>
          <t>JÄMTLANDS LÄN</t>
        </is>
      </c>
      <c r="E1253" t="inlineStr">
        <is>
          <t>RAGUNDA</t>
        </is>
      </c>
      <c r="G1253" t="n">
        <v>13.4</v>
      </c>
      <c r="H1253" t="n">
        <v>0</v>
      </c>
      <c r="I1253" t="n">
        <v>0</v>
      </c>
      <c r="J1253" t="n">
        <v>0</v>
      </c>
      <c r="K1253" t="n">
        <v>0</v>
      </c>
      <c r="L1253" t="n">
        <v>0</v>
      </c>
      <c r="M1253" t="n">
        <v>0</v>
      </c>
      <c r="N1253" t="n">
        <v>0</v>
      </c>
      <c r="O1253" t="n">
        <v>0</v>
      </c>
      <c r="P1253" t="n">
        <v>0</v>
      </c>
      <c r="Q1253" t="n">
        <v>0</v>
      </c>
      <c r="R1253" s="2" t="inlineStr"/>
    </row>
    <row r="1254" ht="15" customHeight="1">
      <c r="A1254" t="inlineStr">
        <is>
          <t>A 22731-2023</t>
        </is>
      </c>
      <c r="B1254" s="1" t="n">
        <v>45071</v>
      </c>
      <c r="C1254" s="1" t="n">
        <v>46109</v>
      </c>
      <c r="D1254" t="inlineStr">
        <is>
          <t>JÄMTLANDS LÄN</t>
        </is>
      </c>
      <c r="E1254" t="inlineStr">
        <is>
          <t>RAGUNDA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33877-2023</t>
        </is>
      </c>
      <c r="B1255" s="1" t="n">
        <v>45133</v>
      </c>
      <c r="C1255" s="1" t="n">
        <v>46109</v>
      </c>
      <c r="D1255" t="inlineStr">
        <is>
          <t>JÄMTLANDS LÄN</t>
        </is>
      </c>
      <c r="E1255" t="inlineStr">
        <is>
          <t>RAGUNDA</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8775-2025</t>
        </is>
      </c>
      <c r="B1256" s="1" t="n">
        <v>45712.61502314815</v>
      </c>
      <c r="C1256" s="1" t="n">
        <v>46109</v>
      </c>
      <c r="D1256" t="inlineStr">
        <is>
          <t>JÄMTLANDS LÄN</t>
        </is>
      </c>
      <c r="E1256" t="inlineStr">
        <is>
          <t>RAGUNDA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8776-2025</t>
        </is>
      </c>
      <c r="B1257" s="1" t="n">
        <v>45712.61510416667</v>
      </c>
      <c r="C1257" s="1" t="n">
        <v>46109</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57749-2024</t>
        </is>
      </c>
      <c r="B1258" s="1" t="n">
        <v>45630.7862037037</v>
      </c>
      <c r="C1258" s="1" t="n">
        <v>46109</v>
      </c>
      <c r="D1258" t="inlineStr">
        <is>
          <t>JÄMTLANDS LÄN</t>
        </is>
      </c>
      <c r="E1258" t="inlineStr">
        <is>
          <t>RAGUNDA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5067-2024</t>
        </is>
      </c>
      <c r="B1259" s="1" t="n">
        <v>45329.95806712963</v>
      </c>
      <c r="C1259" s="1" t="n">
        <v>46109</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5429-2024</t>
        </is>
      </c>
      <c r="B1260" s="1" t="n">
        <v>45331.92746527777</v>
      </c>
      <c r="C1260" s="1" t="n">
        <v>46109</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28742-2023</t>
        </is>
      </c>
      <c r="B1261" s="1" t="n">
        <v>45103</v>
      </c>
      <c r="C1261" s="1" t="n">
        <v>46109</v>
      </c>
      <c r="D1261" t="inlineStr">
        <is>
          <t>JÄMTLANDS LÄN</t>
        </is>
      </c>
      <c r="E1261" t="inlineStr">
        <is>
          <t>RAGUNDA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22981-2023</t>
        </is>
      </c>
      <c r="B1262" s="1" t="n">
        <v>45072.92737268518</v>
      </c>
      <c r="C1262" s="1" t="n">
        <v>46109</v>
      </c>
      <c r="D1262" t="inlineStr">
        <is>
          <t>JÄMTLANDS LÄN</t>
        </is>
      </c>
      <c r="E1262" t="inlineStr">
        <is>
          <t>RAGUNDA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21726-2023</t>
        </is>
      </c>
      <c r="B1263" s="1" t="n">
        <v>45065.42894675926</v>
      </c>
      <c r="C1263" s="1" t="n">
        <v>46109</v>
      </c>
      <c r="D1263" t="inlineStr">
        <is>
          <t>JÄMTLANDS LÄN</t>
        </is>
      </c>
      <c r="E1263" t="inlineStr">
        <is>
          <t>RAGUNDA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55514-2024</t>
        </is>
      </c>
      <c r="B1264" s="1" t="n">
        <v>45622.46910879629</v>
      </c>
      <c r="C1264" s="1" t="n">
        <v>46109</v>
      </c>
      <c r="D1264" t="inlineStr">
        <is>
          <t>JÄMTLANDS LÄN</t>
        </is>
      </c>
      <c r="E1264" t="inlineStr">
        <is>
          <t>RAGUNDA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24441-2024</t>
        </is>
      </c>
      <c r="B1265" s="1" t="n">
        <v>45457.96372685185</v>
      </c>
      <c r="C1265" s="1" t="n">
        <v>46109</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934-2023</t>
        </is>
      </c>
      <c r="B1266" s="1" t="n">
        <v>44932.93927083333</v>
      </c>
      <c r="C1266" s="1" t="n">
        <v>46109</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37242-2024</t>
        </is>
      </c>
      <c r="B1267" s="1" t="n">
        <v>45540.34428240741</v>
      </c>
      <c r="C1267" s="1" t="n">
        <v>46109</v>
      </c>
      <c r="D1267" t="inlineStr">
        <is>
          <t>JÄMTLANDS LÄN</t>
        </is>
      </c>
      <c r="E1267" t="inlineStr">
        <is>
          <t>RAGUNDA</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9232-2025</t>
        </is>
      </c>
      <c r="B1268" s="1" t="n">
        <v>45714.55064814815</v>
      </c>
      <c r="C1268" s="1" t="n">
        <v>46109</v>
      </c>
      <c r="D1268" t="inlineStr">
        <is>
          <t>JÄMTLANDS LÄN</t>
        </is>
      </c>
      <c r="E1268" t="inlineStr">
        <is>
          <t>RAGUNDA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41656-2023</t>
        </is>
      </c>
      <c r="B1269" s="1" t="n">
        <v>45175</v>
      </c>
      <c r="C1269" s="1" t="n">
        <v>46109</v>
      </c>
      <c r="D1269" t="inlineStr">
        <is>
          <t>JÄMTLANDS LÄN</t>
        </is>
      </c>
      <c r="E1269" t="inlineStr">
        <is>
          <t>RAGUNDA</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36317-2024</t>
        </is>
      </c>
      <c r="B1270" s="1" t="n">
        <v>45534.63537037037</v>
      </c>
      <c r="C1270" s="1" t="n">
        <v>46109</v>
      </c>
      <c r="D1270" t="inlineStr">
        <is>
          <t>JÄMTLANDS LÄN</t>
        </is>
      </c>
      <c r="E1270" t="inlineStr">
        <is>
          <t>RAGUNDA</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36226-2023</t>
        </is>
      </c>
      <c r="B1271" s="1" t="n">
        <v>45149.95372685185</v>
      </c>
      <c r="C1271" s="1" t="n">
        <v>46109</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59368-2022</t>
        </is>
      </c>
      <c r="B1272" s="1" t="n">
        <v>44904.94824074074</v>
      </c>
      <c r="C1272" s="1" t="n">
        <v>46109</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893-2025</t>
        </is>
      </c>
      <c r="B1273" s="1" t="n">
        <v>45665.65684027778</v>
      </c>
      <c r="C1273" s="1" t="n">
        <v>46109</v>
      </c>
      <c r="D1273" t="inlineStr">
        <is>
          <t>JÄMTLANDS LÄN</t>
        </is>
      </c>
      <c r="E1273" t="inlineStr">
        <is>
          <t>RAGUNDA</t>
        </is>
      </c>
      <c r="F1273" t="inlineStr">
        <is>
          <t>SCA</t>
        </is>
      </c>
      <c r="G1273" t="n">
        <v>45.1</v>
      </c>
      <c r="H1273" t="n">
        <v>0</v>
      </c>
      <c r="I1273" t="n">
        <v>0</v>
      </c>
      <c r="J1273" t="n">
        <v>0</v>
      </c>
      <c r="K1273" t="n">
        <v>0</v>
      </c>
      <c r="L1273" t="n">
        <v>0</v>
      </c>
      <c r="M1273" t="n">
        <v>0</v>
      </c>
      <c r="N1273" t="n">
        <v>0</v>
      </c>
      <c r="O1273" t="n">
        <v>0</v>
      </c>
      <c r="P1273" t="n">
        <v>0</v>
      </c>
      <c r="Q1273" t="n">
        <v>0</v>
      </c>
      <c r="R1273" s="2" t="inlineStr"/>
    </row>
    <row r="1274" ht="15" customHeight="1">
      <c r="A1274" t="inlineStr">
        <is>
          <t>A 7520-2023</t>
        </is>
      </c>
      <c r="B1274" s="1" t="n">
        <v>44971</v>
      </c>
      <c r="C1274" s="1" t="n">
        <v>46109</v>
      </c>
      <c r="D1274" t="inlineStr">
        <is>
          <t>JÄMTLANDS LÄN</t>
        </is>
      </c>
      <c r="E1274" t="inlineStr">
        <is>
          <t>RAGUNDA</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53549-2024</t>
        </is>
      </c>
      <c r="B1275" s="1" t="n">
        <v>45614.63869212963</v>
      </c>
      <c r="C1275" s="1" t="n">
        <v>46109</v>
      </c>
      <c r="D1275" t="inlineStr">
        <is>
          <t>JÄMTLANDS LÄN</t>
        </is>
      </c>
      <c r="E1275" t="inlineStr">
        <is>
          <t>RAGUNDA</t>
        </is>
      </c>
      <c r="F1275" t="inlineStr">
        <is>
          <t>Kyrkan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53955-2022</t>
        </is>
      </c>
      <c r="B1276" s="1" t="n">
        <v>44880.95741898148</v>
      </c>
      <c r="C1276" s="1" t="n">
        <v>46109</v>
      </c>
      <c r="D1276" t="inlineStr">
        <is>
          <t>JÄMTLANDS LÄN</t>
        </is>
      </c>
      <c r="E1276" t="inlineStr">
        <is>
          <t>RAGUNDA</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9567-2025</t>
        </is>
      </c>
      <c r="B1277" s="1" t="n">
        <v>45715.61523148148</v>
      </c>
      <c r="C1277" s="1" t="n">
        <v>46109</v>
      </c>
      <c r="D1277" t="inlineStr">
        <is>
          <t>JÄMTLANDS LÄN</t>
        </is>
      </c>
      <c r="E1277" t="inlineStr">
        <is>
          <t>RAGUNDA</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53287-2022</t>
        </is>
      </c>
      <c r="B1278" s="1" t="n">
        <v>44876</v>
      </c>
      <c r="C1278" s="1" t="n">
        <v>46109</v>
      </c>
      <c r="D1278" t="inlineStr">
        <is>
          <t>JÄMTLANDS LÄN</t>
        </is>
      </c>
      <c r="E1278" t="inlineStr">
        <is>
          <t>RAGUNDA</t>
        </is>
      </c>
      <c r="F1278" t="inlineStr">
        <is>
          <t>SCA</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51646-2023</t>
        </is>
      </c>
      <c r="B1279" s="1" t="n">
        <v>45215</v>
      </c>
      <c r="C1279" s="1" t="n">
        <v>46109</v>
      </c>
      <c r="D1279" t="inlineStr">
        <is>
          <t>JÄMTLANDS LÄN</t>
        </is>
      </c>
      <c r="E1279" t="inlineStr">
        <is>
          <t>RAGUNDA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29319-2023</t>
        </is>
      </c>
      <c r="B1280" s="1" t="n">
        <v>45105</v>
      </c>
      <c r="C1280" s="1" t="n">
        <v>46109</v>
      </c>
      <c r="D1280" t="inlineStr">
        <is>
          <t>JÄMTLANDS LÄN</t>
        </is>
      </c>
      <c r="E1280" t="inlineStr">
        <is>
          <t>RAGUNDA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17323-2025</t>
        </is>
      </c>
      <c r="B1281" s="1" t="n">
        <v>45756.63601851852</v>
      </c>
      <c r="C1281" s="1" t="n">
        <v>46109</v>
      </c>
      <c r="D1281" t="inlineStr">
        <is>
          <t>JÄMTLANDS LÄN</t>
        </is>
      </c>
      <c r="E1281" t="inlineStr">
        <is>
          <t>RAGUNDA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19486-2024</t>
        </is>
      </c>
      <c r="B1282" s="1" t="n">
        <v>45429</v>
      </c>
      <c r="C1282" s="1" t="n">
        <v>46109</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13941-2025</t>
        </is>
      </c>
      <c r="B1283" s="1" t="n">
        <v>45737.69822916666</v>
      </c>
      <c r="C1283" s="1" t="n">
        <v>46109</v>
      </c>
      <c r="D1283" t="inlineStr">
        <is>
          <t>JÄMTLANDS LÄN</t>
        </is>
      </c>
      <c r="E1283" t="inlineStr">
        <is>
          <t>RAGUNDA</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26646-2023</t>
        </is>
      </c>
      <c r="B1284" s="1" t="n">
        <v>45092</v>
      </c>
      <c r="C1284" s="1" t="n">
        <v>46109</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27291-2022</t>
        </is>
      </c>
      <c r="B1285" s="1" t="n">
        <v>44741.94070601852</v>
      </c>
      <c r="C1285" s="1" t="n">
        <v>46109</v>
      </c>
      <c r="D1285" t="inlineStr">
        <is>
          <t>JÄMTLANDS LÄN</t>
        </is>
      </c>
      <c r="E1285" t="inlineStr">
        <is>
          <t>RAGUNDA</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49650-2024</t>
        </is>
      </c>
      <c r="B1286" s="1" t="n">
        <v>45596.61569444444</v>
      </c>
      <c r="C1286" s="1" t="n">
        <v>46109</v>
      </c>
      <c r="D1286" t="inlineStr">
        <is>
          <t>JÄMTLANDS LÄN</t>
        </is>
      </c>
      <c r="E1286" t="inlineStr">
        <is>
          <t>RAGUNDA</t>
        </is>
      </c>
      <c r="F1286" t="inlineStr">
        <is>
          <t>Naturvårdsverket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49651-2024</t>
        </is>
      </c>
      <c r="B1287" s="1" t="n">
        <v>45596.61582175926</v>
      </c>
      <c r="C1287" s="1" t="n">
        <v>46109</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6477-2024</t>
        </is>
      </c>
      <c r="B1288" s="1" t="n">
        <v>45338.95405092592</v>
      </c>
      <c r="C1288" s="1" t="n">
        <v>46109</v>
      </c>
      <c r="D1288" t="inlineStr">
        <is>
          <t>JÄMTLANDS LÄN</t>
        </is>
      </c>
      <c r="E1288" t="inlineStr">
        <is>
          <t>RAGUNDA</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60443-2023</t>
        </is>
      </c>
      <c r="B1289" s="1" t="n">
        <v>45258</v>
      </c>
      <c r="C1289" s="1" t="n">
        <v>46109</v>
      </c>
      <c r="D1289" t="inlineStr">
        <is>
          <t>JÄMTLANDS LÄN</t>
        </is>
      </c>
      <c r="E1289" t="inlineStr">
        <is>
          <t>RAGUNDA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44759-2024</t>
        </is>
      </c>
      <c r="B1290" s="1" t="n">
        <v>45574.61634259259</v>
      </c>
      <c r="C1290" s="1" t="n">
        <v>46109</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993-2025</t>
        </is>
      </c>
      <c r="B1291" s="1" t="n">
        <v>45666.44943287037</v>
      </c>
      <c r="C1291" s="1" t="n">
        <v>46109</v>
      </c>
      <c r="D1291" t="inlineStr">
        <is>
          <t>JÄMTLANDS LÄN</t>
        </is>
      </c>
      <c r="E1291" t="inlineStr">
        <is>
          <t>RAGUNDA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57064-2024</t>
        </is>
      </c>
      <c r="B1292" s="1" t="n">
        <v>45629.35326388889</v>
      </c>
      <c r="C1292" s="1" t="n">
        <v>46109</v>
      </c>
      <c r="D1292" t="inlineStr">
        <is>
          <t>JÄMTLANDS LÄN</t>
        </is>
      </c>
      <c r="E1292" t="inlineStr">
        <is>
          <t>RAGUNDA</t>
        </is>
      </c>
      <c r="F1292" t="inlineStr">
        <is>
          <t>Naturvårdsverket</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60936-2024</t>
        </is>
      </c>
      <c r="B1293" s="1" t="n">
        <v>45645.36743055555</v>
      </c>
      <c r="C1293" s="1" t="n">
        <v>46109</v>
      </c>
      <c r="D1293" t="inlineStr">
        <is>
          <t>JÄMTLANDS LÄN</t>
        </is>
      </c>
      <c r="E1293" t="inlineStr">
        <is>
          <t>RAGUNDA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5930-2025</t>
        </is>
      </c>
      <c r="B1294" s="1" t="n">
        <v>45695.44724537037</v>
      </c>
      <c r="C1294" s="1" t="n">
        <v>46109</v>
      </c>
      <c r="D1294" t="inlineStr">
        <is>
          <t>JÄMTLANDS LÄN</t>
        </is>
      </c>
      <c r="E1294" t="inlineStr">
        <is>
          <t>RAGUNDA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58847-2024</t>
        </is>
      </c>
      <c r="B1295" s="1" t="n">
        <v>45636.3864699074</v>
      </c>
      <c r="C1295" s="1" t="n">
        <v>46109</v>
      </c>
      <c r="D1295" t="inlineStr">
        <is>
          <t>JÄMTLANDS LÄN</t>
        </is>
      </c>
      <c r="E1295" t="inlineStr">
        <is>
          <t>RAGUNDA</t>
        </is>
      </c>
      <c r="F1295" t="inlineStr">
        <is>
          <t>SCA</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7722-2023</t>
        </is>
      </c>
      <c r="B1296" s="1" t="n">
        <v>44972.94140046297</v>
      </c>
      <c r="C1296" s="1" t="n">
        <v>46109</v>
      </c>
      <c r="D1296" t="inlineStr">
        <is>
          <t>JÄMTLANDS LÄN</t>
        </is>
      </c>
      <c r="E1296" t="inlineStr">
        <is>
          <t>RAGUNDA</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20653-2025</t>
        </is>
      </c>
      <c r="B1297" s="1" t="n">
        <v>45776.40311342593</v>
      </c>
      <c r="C1297" s="1" t="n">
        <v>46109</v>
      </c>
      <c r="D1297" t="inlineStr">
        <is>
          <t>JÄMTLANDS LÄN</t>
        </is>
      </c>
      <c r="E1297" t="inlineStr">
        <is>
          <t>RAGUNDA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20777-2025</t>
        </is>
      </c>
      <c r="B1298" s="1" t="n">
        <v>45776.59422453704</v>
      </c>
      <c r="C1298" s="1" t="n">
        <v>46109</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20722-2025</t>
        </is>
      </c>
      <c r="B1299" s="1" t="n">
        <v>45776.50651620371</v>
      </c>
      <c r="C1299" s="1" t="n">
        <v>46109</v>
      </c>
      <c r="D1299" t="inlineStr">
        <is>
          <t>JÄMTLANDS LÄN</t>
        </is>
      </c>
      <c r="E1299" t="inlineStr">
        <is>
          <t>RAGUNDA</t>
        </is>
      </c>
      <c r="F1299" t="inlineStr">
        <is>
          <t>Kommuner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20728-2025</t>
        </is>
      </c>
      <c r="B1300" s="1" t="n">
        <v>45776.51130787037</v>
      </c>
      <c r="C1300" s="1" t="n">
        <v>46109</v>
      </c>
      <c r="D1300" t="inlineStr">
        <is>
          <t>JÄMTLANDS LÄN</t>
        </is>
      </c>
      <c r="E1300" t="inlineStr">
        <is>
          <t>RAGUNDA</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21430-2025</t>
        </is>
      </c>
      <c r="B1301" s="1" t="n">
        <v>45782.51099537037</v>
      </c>
      <c r="C1301" s="1" t="n">
        <v>46109</v>
      </c>
      <c r="D1301" t="inlineStr">
        <is>
          <t>JÄMTLANDS LÄN</t>
        </is>
      </c>
      <c r="E1301" t="inlineStr">
        <is>
          <t>RAGUNDA</t>
        </is>
      </c>
      <c r="F1301" t="inlineStr">
        <is>
          <t>SCA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21432-2025</t>
        </is>
      </c>
      <c r="B1302" s="1" t="n">
        <v>45782.51109953703</v>
      </c>
      <c r="C1302" s="1" t="n">
        <v>46109</v>
      </c>
      <c r="D1302" t="inlineStr">
        <is>
          <t>JÄMTLANDS LÄN</t>
        </is>
      </c>
      <c r="E1302" t="inlineStr">
        <is>
          <t>RAGUNDA</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21550-2025</t>
        </is>
      </c>
      <c r="B1303" s="1" t="n">
        <v>45782.67758101852</v>
      </c>
      <c r="C1303" s="1" t="n">
        <v>46109</v>
      </c>
      <c r="D1303" t="inlineStr">
        <is>
          <t>JÄMTLANDS LÄN</t>
        </is>
      </c>
      <c r="E1303" t="inlineStr">
        <is>
          <t>RAGUNDA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21451-2025</t>
        </is>
      </c>
      <c r="B1304" s="1" t="n">
        <v>45782.55287037037</v>
      </c>
      <c r="C1304" s="1" t="n">
        <v>46109</v>
      </c>
      <c r="D1304" t="inlineStr">
        <is>
          <t>JÄMTLANDS LÄN</t>
        </is>
      </c>
      <c r="E1304" t="inlineStr">
        <is>
          <t>RAGUNDA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21150-2025</t>
        </is>
      </c>
      <c r="B1305" s="1" t="n">
        <v>45779.34417824074</v>
      </c>
      <c r="C1305" s="1" t="n">
        <v>46109</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21331-2025</t>
        </is>
      </c>
      <c r="B1306" s="1" t="n">
        <v>45782.36494212963</v>
      </c>
      <c r="C1306" s="1" t="n">
        <v>46109</v>
      </c>
      <c r="D1306" t="inlineStr">
        <is>
          <t>JÄMTLANDS LÄN</t>
        </is>
      </c>
      <c r="E1306" t="inlineStr">
        <is>
          <t>RAGUNDA</t>
        </is>
      </c>
      <c r="F1306" t="inlineStr">
        <is>
          <t>SCA</t>
        </is>
      </c>
      <c r="G1306" t="n">
        <v>23.1</v>
      </c>
      <c r="H1306" t="n">
        <v>0</v>
      </c>
      <c r="I1306" t="n">
        <v>0</v>
      </c>
      <c r="J1306" t="n">
        <v>0</v>
      </c>
      <c r="K1306" t="n">
        <v>0</v>
      </c>
      <c r="L1306" t="n">
        <v>0</v>
      </c>
      <c r="M1306" t="n">
        <v>0</v>
      </c>
      <c r="N1306" t="n">
        <v>0</v>
      </c>
      <c r="O1306" t="n">
        <v>0</v>
      </c>
      <c r="P1306" t="n">
        <v>0</v>
      </c>
      <c r="Q1306" t="n">
        <v>0</v>
      </c>
      <c r="R1306" s="2" t="inlineStr"/>
      <c r="U1306">
        <f>HYPERLINK("https://klasma.github.io/Logging_2303/knärot/A 21331-2025 karta knärot.png", "A 21331-2025")</f>
        <v/>
      </c>
      <c r="V1306">
        <f>HYPERLINK("https://klasma.github.io/Logging_2303/klagomål/A 21331-2025 FSC-klagomål.docx", "A 21331-2025")</f>
        <v/>
      </c>
      <c r="W1306">
        <f>HYPERLINK("https://klasma.github.io/Logging_2303/klagomålsmail/A 21331-2025 FSC-klagomål mail.docx", "A 21331-2025")</f>
        <v/>
      </c>
      <c r="X1306">
        <f>HYPERLINK("https://klasma.github.io/Logging_2303/tillsyn/A 21331-2025 tillsynsbegäran.docx", "A 21331-2025")</f>
        <v/>
      </c>
      <c r="Y1306">
        <f>HYPERLINK("https://klasma.github.io/Logging_2303/tillsynsmail/A 21331-2025 tillsynsbegäran mail.docx", "A 21331-2025")</f>
        <v/>
      </c>
    </row>
    <row r="1307" ht="15" customHeight="1">
      <c r="A1307" t="inlineStr">
        <is>
          <t>A 21214-2025</t>
        </is>
      </c>
      <c r="B1307" s="1" t="n">
        <v>45779.49025462963</v>
      </c>
      <c r="C1307" s="1" t="n">
        <v>46109</v>
      </c>
      <c r="D1307" t="inlineStr">
        <is>
          <t>JÄMTLANDS LÄN</t>
        </is>
      </c>
      <c r="E1307" t="inlineStr">
        <is>
          <t>RAGUNDA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22941-2024</t>
        </is>
      </c>
      <c r="B1308" s="1" t="n">
        <v>45448.94520833333</v>
      </c>
      <c r="C1308" s="1" t="n">
        <v>46109</v>
      </c>
      <c r="D1308" t="inlineStr">
        <is>
          <t>JÄMTLANDS LÄN</t>
        </is>
      </c>
      <c r="E1308" t="inlineStr">
        <is>
          <t>RAGUNDA</t>
        </is>
      </c>
      <c r="F1308" t="inlineStr">
        <is>
          <t>SCA</t>
        </is>
      </c>
      <c r="G1308" t="n">
        <v>2</v>
      </c>
      <c r="H1308" t="n">
        <v>0</v>
      </c>
      <c r="I1308" t="n">
        <v>0</v>
      </c>
      <c r="J1308" t="n">
        <v>0</v>
      </c>
      <c r="K1308" t="n">
        <v>0</v>
      </c>
      <c r="L1308" t="n">
        <v>0</v>
      </c>
      <c r="M1308" t="n">
        <v>0</v>
      </c>
      <c r="N1308" t="n">
        <v>0</v>
      </c>
      <c r="O1308" t="n">
        <v>0</v>
      </c>
      <c r="P1308" t="n">
        <v>0</v>
      </c>
      <c r="Q1308" t="n">
        <v>0</v>
      </c>
      <c r="R1308" s="2" t="inlineStr"/>
    </row>
    <row r="1309">
      <c r="A1309" t="inlineStr">
        <is>
          <t>A 44881-2023</t>
        </is>
      </c>
      <c r="B1309" s="1" t="n">
        <v>45187</v>
      </c>
      <c r="C1309" s="1" t="n">
        <v>46109</v>
      </c>
      <c r="D1309" t="inlineStr">
        <is>
          <t>JÄMTLANDS LÄN</t>
        </is>
      </c>
      <c r="E1309" t="inlineStr">
        <is>
          <t>RAGUNDA</t>
        </is>
      </c>
      <c r="G1309" t="n">
        <v>2.4</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2026-03-28T11:40:06Z</dcterms:created>
  <dcterms:modified xmlns:dcterms="http://purl.org/dc/terms/" xmlns:xsi="http://www.w3.org/2001/XMLSchema-instance" xsi:type="dcterms:W3CDTF">2026-03-28T11:40:07Z</dcterms:modified>
</cp:coreProperties>
</file>