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46043</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46043</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46043</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46043</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46043</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46043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46043</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46043</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46043</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46043</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46043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46043</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46043</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46043</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43533-2025</t>
        </is>
      </c>
      <c r="B18" s="1" t="n">
        <v>45911</v>
      </c>
      <c r="C18" s="1" t="n">
        <v>46043</v>
      </c>
      <c r="D18" t="inlineStr">
        <is>
          <t>JÄMTLANDS LÄN</t>
        </is>
      </c>
      <c r="E18" t="inlineStr">
        <is>
          <t>RAGUNDA</t>
        </is>
      </c>
      <c r="G18" t="n">
        <v>19</v>
      </c>
      <c r="H18" t="n">
        <v>5</v>
      </c>
      <c r="I18" t="n">
        <v>5</v>
      </c>
      <c r="J18" t="n">
        <v>4</v>
      </c>
      <c r="K18" t="n">
        <v>2</v>
      </c>
      <c r="L18" t="n">
        <v>0</v>
      </c>
      <c r="M18" t="n">
        <v>0</v>
      </c>
      <c r="N18" t="n">
        <v>0</v>
      </c>
      <c r="O18" t="n">
        <v>6</v>
      </c>
      <c r="P18" t="n">
        <v>2</v>
      </c>
      <c r="Q18" t="n">
        <v>13</v>
      </c>
      <c r="R18" s="2" t="inlineStr">
        <is>
          <t>Doftticka
Knärot
Garnlav
Lunglav
Skrovellav
Tretåig hackspett
Fjällig taggsvamp s.str.
Kransrams
Stuplav
Svavelriska
Tibast
Lavskrika
Blåsippa</t>
        </is>
      </c>
      <c r="S18">
        <f>HYPERLINK("https://klasma.github.io/Logging_2303/artfynd/A 43533-2025 artfynd.xlsx", "A 43533-2025")</f>
        <v/>
      </c>
      <c r="T18">
        <f>HYPERLINK("https://klasma.github.io/Logging_2303/kartor/A 43533-2025 karta.png", "A 43533-2025")</f>
        <v/>
      </c>
      <c r="U18">
        <f>HYPERLINK("https://klasma.github.io/Logging_2303/knärot/A 43533-2025 karta knärot.png", "A 43533-2025")</f>
        <v/>
      </c>
      <c r="V18">
        <f>HYPERLINK("https://klasma.github.io/Logging_2303/klagomål/A 43533-2025 FSC-klagomål.docx", "A 43533-2025")</f>
        <v/>
      </c>
      <c r="W18">
        <f>HYPERLINK("https://klasma.github.io/Logging_2303/klagomålsmail/A 43533-2025 FSC-klagomål mail.docx", "A 43533-2025")</f>
        <v/>
      </c>
      <c r="X18">
        <f>HYPERLINK("https://klasma.github.io/Logging_2303/tillsyn/A 43533-2025 tillsynsbegäran.docx", "A 43533-2025")</f>
        <v/>
      </c>
      <c r="Y18">
        <f>HYPERLINK("https://klasma.github.io/Logging_2303/tillsynsmail/A 43533-2025 tillsynsbegäran mail.docx", "A 43533-2025")</f>
        <v/>
      </c>
      <c r="Z18">
        <f>HYPERLINK("https://klasma.github.io/Logging_2303/fåglar/A 43533-2025 prioriterade fågelarter.docx", "A 43533-2025")</f>
        <v/>
      </c>
    </row>
    <row r="19" ht="15" customHeight="1">
      <c r="A19" t="inlineStr">
        <is>
          <t>A 55404-2024</t>
        </is>
      </c>
      <c r="B19" s="1" t="n">
        <v>45622</v>
      </c>
      <c r="C19" s="1" t="n">
        <v>46043</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59762-2024</t>
        </is>
      </c>
      <c r="B20" s="1" t="n">
        <v>45639.55269675926</v>
      </c>
      <c r="C20" s="1" t="n">
        <v>46043</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46043</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46043</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46043</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46043</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32741-2025</t>
        </is>
      </c>
      <c r="B25" s="1" t="n">
        <v>45839.42482638889</v>
      </c>
      <c r="C25" s="1" t="n">
        <v>46043</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25632-2025</t>
        </is>
      </c>
      <c r="B26" s="1" t="n">
        <v>45803.59474537037</v>
      </c>
      <c r="C26" s="1" t="n">
        <v>46043</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9347-2024</t>
        </is>
      </c>
      <c r="B27" s="1" t="n">
        <v>45358.99375</v>
      </c>
      <c r="C27" s="1" t="n">
        <v>46043</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46043</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46043</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46043</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46043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4591-2024</t>
        </is>
      </c>
      <c r="B32" s="1" t="n">
        <v>45327</v>
      </c>
      <c r="C32" s="1" t="n">
        <v>46043</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10982-2025</t>
        </is>
      </c>
      <c r="B33" s="1" t="n">
        <v>45723.40688657408</v>
      </c>
      <c r="C33" s="1" t="n">
        <v>46043</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55894-2022</t>
        </is>
      </c>
      <c r="B34" s="1" t="n">
        <v>44888</v>
      </c>
      <c r="C34" s="1" t="n">
        <v>46043</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46043</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58876-2025</t>
        </is>
      </c>
      <c r="B36" s="1" t="n">
        <v>45987.46929398148</v>
      </c>
      <c r="C36" s="1" t="n">
        <v>46043</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46043</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25016-2025</t>
        </is>
      </c>
      <c r="B38" s="1" t="n">
        <v>45799.63574074074</v>
      </c>
      <c r="C38" s="1" t="n">
        <v>46043</v>
      </c>
      <c r="D38" t="inlineStr">
        <is>
          <t>JÄMTLANDS LÄN</t>
        </is>
      </c>
      <c r="E38" t="inlineStr">
        <is>
          <t>RAGUNDA</t>
        </is>
      </c>
      <c r="F38" t="inlineStr">
        <is>
          <t>SCA</t>
        </is>
      </c>
      <c r="G38" t="n">
        <v>17.9</v>
      </c>
      <c r="H38" t="n">
        <v>2</v>
      </c>
      <c r="I38" t="n">
        <v>3</v>
      </c>
      <c r="J38" t="n">
        <v>6</v>
      </c>
      <c r="K38" t="n">
        <v>0</v>
      </c>
      <c r="L38" t="n">
        <v>0</v>
      </c>
      <c r="M38" t="n">
        <v>0</v>
      </c>
      <c r="N38" t="n">
        <v>0</v>
      </c>
      <c r="O38" t="n">
        <v>6</v>
      </c>
      <c r="P38" t="n">
        <v>0</v>
      </c>
      <c r="Q38" t="n">
        <v>9</v>
      </c>
      <c r="R38" s="2" t="inlineStr">
        <is>
          <t>Garnlav
Granticka
Lunglav
Spillkråka
Tretåig hackspett
Ullticka
Bårdlav
Stuplav
Vedticka</t>
        </is>
      </c>
      <c r="S38">
        <f>HYPERLINK("https://klasma.github.io/Logging_2303/artfynd/A 25016-2025 artfynd.xlsx", "A 25016-2025")</f>
        <v/>
      </c>
      <c r="T38">
        <f>HYPERLINK("https://klasma.github.io/Logging_2303/kartor/A 25016-2025 karta.png", "A 25016-2025")</f>
        <v/>
      </c>
      <c r="V38">
        <f>HYPERLINK("https://klasma.github.io/Logging_2303/klagomål/A 25016-2025 FSC-klagomål.docx", "A 25016-2025")</f>
        <v/>
      </c>
      <c r="W38">
        <f>HYPERLINK("https://klasma.github.io/Logging_2303/klagomålsmail/A 25016-2025 FSC-klagomål mail.docx", "A 25016-2025")</f>
        <v/>
      </c>
      <c r="X38">
        <f>HYPERLINK("https://klasma.github.io/Logging_2303/tillsyn/A 25016-2025 tillsynsbegäran.docx", "A 25016-2025")</f>
        <v/>
      </c>
      <c r="Y38">
        <f>HYPERLINK("https://klasma.github.io/Logging_2303/tillsynsmail/A 25016-2025 tillsynsbegäran mail.docx", "A 25016-2025")</f>
        <v/>
      </c>
      <c r="Z38">
        <f>HYPERLINK("https://klasma.github.io/Logging_2303/fåglar/A 25016-2025 prioriterade fågelarter.docx", "A 25016-2025")</f>
        <v/>
      </c>
    </row>
    <row r="39" ht="15" customHeight="1">
      <c r="A39" t="inlineStr">
        <is>
          <t>A 24735-2025</t>
        </is>
      </c>
      <c r="B39" s="1" t="n">
        <v>45799.34461805555</v>
      </c>
      <c r="C39" s="1" t="n">
        <v>46043</v>
      </c>
      <c r="D39" t="inlineStr">
        <is>
          <t>JÄMTLANDS LÄN</t>
        </is>
      </c>
      <c r="E39" t="inlineStr">
        <is>
          <t>RAGUNDA</t>
        </is>
      </c>
      <c r="F39" t="inlineStr">
        <is>
          <t>SCA</t>
        </is>
      </c>
      <c r="G39" t="n">
        <v>7.1</v>
      </c>
      <c r="H39" t="n">
        <v>1</v>
      </c>
      <c r="I39" t="n">
        <v>4</v>
      </c>
      <c r="J39" t="n">
        <v>5</v>
      </c>
      <c r="K39" t="n">
        <v>0</v>
      </c>
      <c r="L39" t="n">
        <v>0</v>
      </c>
      <c r="M39" t="n">
        <v>0</v>
      </c>
      <c r="N39" t="n">
        <v>0</v>
      </c>
      <c r="O39" t="n">
        <v>5</v>
      </c>
      <c r="P39" t="n">
        <v>0</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62948-2021</t>
        </is>
      </c>
      <c r="B40" s="1" t="n">
        <v>44504</v>
      </c>
      <c r="C40" s="1" t="n">
        <v>46043</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30876-2025</t>
        </is>
      </c>
      <c r="B41" s="1" t="n">
        <v>45832.34461805555</v>
      </c>
      <c r="C41" s="1" t="n">
        <v>46043</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32068-2024</t>
        </is>
      </c>
      <c r="B42" s="1" t="n">
        <v>45510</v>
      </c>
      <c r="C42" s="1" t="n">
        <v>46043</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46043</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46043</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46043</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46043</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59107-2025</t>
        </is>
      </c>
      <c r="B47" s="1" t="n">
        <v>45988.46924768519</v>
      </c>
      <c r="C47" s="1" t="n">
        <v>46043</v>
      </c>
      <c r="D47" t="inlineStr">
        <is>
          <t>JÄMTLANDS LÄN</t>
        </is>
      </c>
      <c r="E47" t="inlineStr">
        <is>
          <t>RAGUNDA</t>
        </is>
      </c>
      <c r="F47" t="inlineStr">
        <is>
          <t>SCA</t>
        </is>
      </c>
      <c r="G47" t="n">
        <v>22.6</v>
      </c>
      <c r="H47" t="n">
        <v>1</v>
      </c>
      <c r="I47" t="n">
        <v>4</v>
      </c>
      <c r="J47" t="n">
        <v>4</v>
      </c>
      <c r="K47" t="n">
        <v>0</v>
      </c>
      <c r="L47" t="n">
        <v>0</v>
      </c>
      <c r="M47" t="n">
        <v>0</v>
      </c>
      <c r="N47" t="n">
        <v>0</v>
      </c>
      <c r="O47" t="n">
        <v>4</v>
      </c>
      <c r="P47" t="n">
        <v>0</v>
      </c>
      <c r="Q47" t="n">
        <v>8</v>
      </c>
      <c r="R47" s="2" t="inlineStr">
        <is>
          <t>Garnlav
Lunglav
Skrovellav
Tretåig hackspett
Bårdlav
Luddlav
Skinnlav
Stuplav</t>
        </is>
      </c>
      <c r="S47">
        <f>HYPERLINK("https://klasma.github.io/Logging_2303/artfynd/A 59107-2025 artfynd.xlsx", "A 59107-2025")</f>
        <v/>
      </c>
      <c r="T47">
        <f>HYPERLINK("https://klasma.github.io/Logging_2303/kartor/A 59107-2025 karta.png", "A 59107-2025")</f>
        <v/>
      </c>
      <c r="V47">
        <f>HYPERLINK("https://klasma.github.io/Logging_2303/klagomål/A 59107-2025 FSC-klagomål.docx", "A 59107-2025")</f>
        <v/>
      </c>
      <c r="W47">
        <f>HYPERLINK("https://klasma.github.io/Logging_2303/klagomålsmail/A 59107-2025 FSC-klagomål mail.docx", "A 59107-2025")</f>
        <v/>
      </c>
      <c r="X47">
        <f>HYPERLINK("https://klasma.github.io/Logging_2303/tillsyn/A 59107-2025 tillsynsbegäran.docx", "A 59107-2025")</f>
        <v/>
      </c>
      <c r="Y47">
        <f>HYPERLINK("https://klasma.github.io/Logging_2303/tillsynsmail/A 59107-2025 tillsynsbegäran mail.docx", "A 59107-2025")</f>
        <v/>
      </c>
      <c r="Z47">
        <f>HYPERLINK("https://klasma.github.io/Logging_2303/fåglar/A 59107-2025 prioriterade fågelarter.docx", "A 59107-2025")</f>
        <v/>
      </c>
    </row>
    <row r="48" ht="15" customHeight="1">
      <c r="A48" t="inlineStr">
        <is>
          <t>A 60129-2025</t>
        </is>
      </c>
      <c r="B48" s="1" t="n">
        <v>45994.34461805555</v>
      </c>
      <c r="C48" s="1" t="n">
        <v>46043</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24732-2025</t>
        </is>
      </c>
      <c r="B49" s="1" t="n">
        <v>45799.34421296296</v>
      </c>
      <c r="C49" s="1" t="n">
        <v>46043</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3634-2024</t>
        </is>
      </c>
      <c r="B50" s="1" t="n">
        <v>45320</v>
      </c>
      <c r="C50" s="1" t="n">
        <v>46043</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51037-2025</t>
        </is>
      </c>
      <c r="B51" s="1" t="n">
        <v>45947.40729166667</v>
      </c>
      <c r="C51" s="1" t="n">
        <v>46043</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62738-2025</t>
        </is>
      </c>
      <c r="B52" s="1" t="n">
        <v>46008.57341435185</v>
      </c>
      <c r="C52" s="1" t="n">
        <v>46043</v>
      </c>
      <c r="D52" t="inlineStr">
        <is>
          <t>JÄMTLANDS LÄN</t>
        </is>
      </c>
      <c r="E52" t="inlineStr">
        <is>
          <t>RAGUNDA</t>
        </is>
      </c>
      <c r="F52" t="inlineStr">
        <is>
          <t>SCA</t>
        </is>
      </c>
      <c r="G52" t="n">
        <v>2.2</v>
      </c>
      <c r="H52" t="n">
        <v>1</v>
      </c>
      <c r="I52" t="n">
        <v>3</v>
      </c>
      <c r="J52" t="n">
        <v>4</v>
      </c>
      <c r="K52" t="n">
        <v>1</v>
      </c>
      <c r="L52" t="n">
        <v>0</v>
      </c>
      <c r="M52" t="n">
        <v>0</v>
      </c>
      <c r="N52" t="n">
        <v>0</v>
      </c>
      <c r="O52" t="n">
        <v>5</v>
      </c>
      <c r="P52" t="n">
        <v>1</v>
      </c>
      <c r="Q52" t="n">
        <v>8</v>
      </c>
      <c r="R52" s="2" t="inlineStr">
        <is>
          <t>Knärot
Garnlav
Ullticka
Vedflamlav
Vedtrappmossa
Dropptaggsvamp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30335-2025</t>
        </is>
      </c>
      <c r="B53" s="1" t="n">
        <v>45827.5110300926</v>
      </c>
      <c r="C53" s="1" t="n">
        <v>46043</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46043</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46043</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46043</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41929-2023</t>
        </is>
      </c>
      <c r="B57" s="1" t="n">
        <v>45176</v>
      </c>
      <c r="C57" s="1" t="n">
        <v>46043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46043</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26750-2025</t>
        </is>
      </c>
      <c r="B59" s="1" t="n">
        <v>45810.55061342593</v>
      </c>
      <c r="C59" s="1" t="n">
        <v>46043</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46043</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46043</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24169-2021</t>
        </is>
      </c>
      <c r="B62" s="1" t="n">
        <v>44336</v>
      </c>
      <c r="C62" s="1" t="n">
        <v>46043</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46043</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46043</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46043</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46043</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46043</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27322-2024</t>
        </is>
      </c>
      <c r="B68" s="1" t="n">
        <v>45471.94783564815</v>
      </c>
      <c r="C68" s="1" t="n">
        <v>46043</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39973-2025</t>
        </is>
      </c>
      <c r="B69" s="1" t="n">
        <v>45893.38584490741</v>
      </c>
      <c r="C69" s="1" t="n">
        <v>46043</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47115-2025</t>
        </is>
      </c>
      <c r="B70" s="1" t="n">
        <v>45929</v>
      </c>
      <c r="C70" s="1" t="n">
        <v>46043</v>
      </c>
      <c r="D70" t="inlineStr">
        <is>
          <t>JÄMTLANDS LÄN</t>
        </is>
      </c>
      <c r="E70" t="inlineStr">
        <is>
          <t>RAGUNDA</t>
        </is>
      </c>
      <c r="G70" t="n">
        <v>6.4</v>
      </c>
      <c r="H70" t="n">
        <v>4</v>
      </c>
      <c r="I70" t="n">
        <v>0</v>
      </c>
      <c r="J70" t="n">
        <v>3</v>
      </c>
      <c r="K70" t="n">
        <v>2</v>
      </c>
      <c r="L70" t="n">
        <v>0</v>
      </c>
      <c r="M70" t="n">
        <v>0</v>
      </c>
      <c r="N70" t="n">
        <v>0</v>
      </c>
      <c r="O70" t="n">
        <v>5</v>
      </c>
      <c r="P70" t="n">
        <v>2</v>
      </c>
      <c r="Q70" t="n">
        <v>6</v>
      </c>
      <c r="R70" s="2" t="inlineStr">
        <is>
          <t>Doftticka
Knärot
Garnlav
Lunglav
Tretåig hackspett
Lavskrika</t>
        </is>
      </c>
      <c r="S70">
        <f>HYPERLINK("https://klasma.github.io/Logging_2303/artfynd/A 47115-2025 artfynd.xlsx", "A 47115-2025")</f>
        <v/>
      </c>
      <c r="T70">
        <f>HYPERLINK("https://klasma.github.io/Logging_2303/kartor/A 47115-2025 karta.png", "A 47115-2025")</f>
        <v/>
      </c>
      <c r="U70">
        <f>HYPERLINK("https://klasma.github.io/Logging_2303/knärot/A 47115-2025 karta knärot.png", "A 47115-2025")</f>
        <v/>
      </c>
      <c r="V70">
        <f>HYPERLINK("https://klasma.github.io/Logging_2303/klagomål/A 47115-2025 FSC-klagomål.docx", "A 47115-2025")</f>
        <v/>
      </c>
      <c r="W70">
        <f>HYPERLINK("https://klasma.github.io/Logging_2303/klagomålsmail/A 47115-2025 FSC-klagomål mail.docx", "A 47115-2025")</f>
        <v/>
      </c>
      <c r="X70">
        <f>HYPERLINK("https://klasma.github.io/Logging_2303/tillsyn/A 47115-2025 tillsynsbegäran.docx", "A 47115-2025")</f>
        <v/>
      </c>
      <c r="Y70">
        <f>HYPERLINK("https://klasma.github.io/Logging_2303/tillsynsmail/A 47115-2025 tillsynsbegäran mail.docx", "A 47115-2025")</f>
        <v/>
      </c>
      <c r="Z70">
        <f>HYPERLINK("https://klasma.github.io/Logging_2303/fåglar/A 47115-2025 prioriterade fågelarter.docx", "A 47115-2025")</f>
        <v/>
      </c>
    </row>
    <row r="71" ht="15" customHeight="1">
      <c r="A71" t="inlineStr">
        <is>
          <t>A 53021-2022</t>
        </is>
      </c>
      <c r="B71" s="1" t="n">
        <v>44875</v>
      </c>
      <c r="C71" s="1" t="n">
        <v>46043</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2193-2026</t>
        </is>
      </c>
      <c r="B72" s="1" t="n">
        <v>46036.46946759259</v>
      </c>
      <c r="C72" s="1" t="n">
        <v>46043</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34317-2025</t>
        </is>
      </c>
      <c r="B73" s="1" t="n">
        <v>45846.41361111111</v>
      </c>
      <c r="C73" s="1" t="n">
        <v>46043</v>
      </c>
      <c r="D73" t="inlineStr">
        <is>
          <t>JÄMTLANDS LÄN</t>
        </is>
      </c>
      <c r="E73" t="inlineStr">
        <is>
          <t>RAGUNDA</t>
        </is>
      </c>
      <c r="G73" t="n">
        <v>8.300000000000001</v>
      </c>
      <c r="H73" t="n">
        <v>2</v>
      </c>
      <c r="I73" t="n">
        <v>1</v>
      </c>
      <c r="J73" t="n">
        <v>4</v>
      </c>
      <c r="K73" t="n">
        <v>1</v>
      </c>
      <c r="L73" t="n">
        <v>0</v>
      </c>
      <c r="M73" t="n">
        <v>0</v>
      </c>
      <c r="N73" t="n">
        <v>0</v>
      </c>
      <c r="O73" t="n">
        <v>5</v>
      </c>
      <c r="P73" t="n">
        <v>1</v>
      </c>
      <c r="Q73" t="n">
        <v>6</v>
      </c>
      <c r="R73" s="2" t="inlineStr">
        <is>
          <t>Knärot
Garnlav
Lunglav
Nordtagging
Talltita
Skinnlav</t>
        </is>
      </c>
      <c r="S73">
        <f>HYPERLINK("https://klasma.github.io/Logging_2303/artfynd/A 34317-2025 artfynd.xlsx", "A 34317-2025")</f>
        <v/>
      </c>
      <c r="T73">
        <f>HYPERLINK("https://klasma.github.io/Logging_2303/kartor/A 34317-2025 karta.png", "A 34317-2025")</f>
        <v/>
      </c>
      <c r="U73">
        <f>HYPERLINK("https://klasma.github.io/Logging_2303/knärot/A 34317-2025 karta knärot.png", "A 34317-2025")</f>
        <v/>
      </c>
      <c r="V73">
        <f>HYPERLINK("https://klasma.github.io/Logging_2303/klagomål/A 34317-2025 FSC-klagomål.docx", "A 34317-2025")</f>
        <v/>
      </c>
      <c r="W73">
        <f>HYPERLINK("https://klasma.github.io/Logging_2303/klagomålsmail/A 34317-2025 FSC-klagomål mail.docx", "A 34317-2025")</f>
        <v/>
      </c>
      <c r="X73">
        <f>HYPERLINK("https://klasma.github.io/Logging_2303/tillsyn/A 34317-2025 tillsynsbegäran.docx", "A 34317-2025")</f>
        <v/>
      </c>
      <c r="Y73">
        <f>HYPERLINK("https://klasma.github.io/Logging_2303/tillsynsmail/A 34317-2025 tillsynsbegäran mail.docx", "A 34317-2025")</f>
        <v/>
      </c>
      <c r="Z73">
        <f>HYPERLINK("https://klasma.github.io/Logging_2303/fåglar/A 34317-2025 prioriterade fågelarter.docx", "A 34317-2025")</f>
        <v/>
      </c>
    </row>
    <row r="74" ht="15" customHeight="1">
      <c r="A74" t="inlineStr">
        <is>
          <t>A 55646-2023</t>
        </is>
      </c>
      <c r="B74" s="1" t="n">
        <v>45238</v>
      </c>
      <c r="C74" s="1" t="n">
        <v>46043</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30637-2024</t>
        </is>
      </c>
      <c r="B75" s="1" t="n">
        <v>45495.56244212963</v>
      </c>
      <c r="C75" s="1" t="n">
        <v>46043</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49291-2025</t>
        </is>
      </c>
      <c r="B76" s="1" t="n">
        <v>45938.53188657408</v>
      </c>
      <c r="C76" s="1" t="n">
        <v>46043</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11828-2023</t>
        </is>
      </c>
      <c r="B77" s="1" t="n">
        <v>44994</v>
      </c>
      <c r="C77" s="1" t="n">
        <v>46043</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26326-2024</t>
        </is>
      </c>
      <c r="B78" s="1" t="n">
        <v>45468.97528935185</v>
      </c>
      <c r="C78" s="1" t="n">
        <v>46043</v>
      </c>
      <c r="D78" t="inlineStr">
        <is>
          <t>JÄMTLANDS LÄN</t>
        </is>
      </c>
      <c r="E78" t="inlineStr">
        <is>
          <t>RAGUNDA</t>
        </is>
      </c>
      <c r="F78" t="inlineStr">
        <is>
          <t>SCA</t>
        </is>
      </c>
      <c r="G78" t="n">
        <v>1.8</v>
      </c>
      <c r="H78" t="n">
        <v>1</v>
      </c>
      <c r="I78" t="n">
        <v>1</v>
      </c>
      <c r="J78" t="n">
        <v>4</v>
      </c>
      <c r="K78" t="n">
        <v>1</v>
      </c>
      <c r="L78" t="n">
        <v>0</v>
      </c>
      <c r="M78" t="n">
        <v>0</v>
      </c>
      <c r="N78" t="n">
        <v>0</v>
      </c>
      <c r="O78" t="n">
        <v>5</v>
      </c>
      <c r="P78" t="n">
        <v>1</v>
      </c>
      <c r="Q78" t="n">
        <v>6</v>
      </c>
      <c r="R78" s="2" t="inlineStr">
        <is>
          <t>Knärot
Gammelgransskål
Kortskaftad ärgspik
Mörk kolflarnlav
Vedtrappmossa
Gytterlav</t>
        </is>
      </c>
      <c r="S78">
        <f>HYPERLINK("https://klasma.github.io/Logging_2303/artfynd/A 26326-2024 artfynd.xlsx", "A 26326-2024")</f>
        <v/>
      </c>
      <c r="T78">
        <f>HYPERLINK("https://klasma.github.io/Logging_2303/kartor/A 26326-2024 karta.png", "A 26326-2024")</f>
        <v/>
      </c>
      <c r="U78">
        <f>HYPERLINK("https://klasma.github.io/Logging_2303/knärot/A 26326-2024 karta knärot.png", "A 26326-2024")</f>
        <v/>
      </c>
      <c r="V78">
        <f>HYPERLINK("https://klasma.github.io/Logging_2303/klagomål/A 26326-2024 FSC-klagomål.docx", "A 26326-2024")</f>
        <v/>
      </c>
      <c r="W78">
        <f>HYPERLINK("https://klasma.github.io/Logging_2303/klagomålsmail/A 26326-2024 FSC-klagomål mail.docx", "A 26326-2024")</f>
        <v/>
      </c>
      <c r="X78">
        <f>HYPERLINK("https://klasma.github.io/Logging_2303/tillsyn/A 26326-2024 tillsynsbegäran.docx", "A 26326-2024")</f>
        <v/>
      </c>
      <c r="Y78">
        <f>HYPERLINK("https://klasma.github.io/Logging_2303/tillsynsmail/A 26326-2024 tillsynsbegäran mail.docx", "A 26326-2024")</f>
        <v/>
      </c>
    </row>
    <row r="79" ht="15" customHeight="1">
      <c r="A79" t="inlineStr">
        <is>
          <t>A 24431-2024</t>
        </is>
      </c>
      <c r="B79" s="1" t="n">
        <v>45457</v>
      </c>
      <c r="C79" s="1" t="n">
        <v>46043</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30884-2025</t>
        </is>
      </c>
      <c r="B80" s="1" t="n">
        <v>45832.34564814815</v>
      </c>
      <c r="C80" s="1" t="n">
        <v>46043</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19402-2025</t>
        </is>
      </c>
      <c r="B81" s="1" t="n">
        <v>45769.67778935185</v>
      </c>
      <c r="C81" s="1" t="n">
        <v>46043</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36276-2025</t>
        </is>
      </c>
      <c r="B82" s="1" t="n">
        <v>45867.63619212963</v>
      </c>
      <c r="C82" s="1" t="n">
        <v>46043</v>
      </c>
      <c r="D82" t="inlineStr">
        <is>
          <t>JÄMTLANDS LÄN</t>
        </is>
      </c>
      <c r="E82" t="inlineStr">
        <is>
          <t>RAGUNDA</t>
        </is>
      </c>
      <c r="F82" t="inlineStr">
        <is>
          <t>SCA</t>
        </is>
      </c>
      <c r="G82" t="n">
        <v>3.2</v>
      </c>
      <c r="H82" t="n">
        <v>1</v>
      </c>
      <c r="I82" t="n">
        <v>2</v>
      </c>
      <c r="J82" t="n">
        <v>3</v>
      </c>
      <c r="K82" t="n">
        <v>1</v>
      </c>
      <c r="L82" t="n">
        <v>0</v>
      </c>
      <c r="M82" t="n">
        <v>0</v>
      </c>
      <c r="N82" t="n">
        <v>0</v>
      </c>
      <c r="O82" t="n">
        <v>4</v>
      </c>
      <c r="P82" t="n">
        <v>1</v>
      </c>
      <c r="Q82" t="n">
        <v>6</v>
      </c>
      <c r="R82" s="2" t="inlineStr">
        <is>
          <t>Knärot
Garnlav
Lunglav
Ullticka
Grovticka
Stuplav</t>
        </is>
      </c>
      <c r="S82">
        <f>HYPERLINK("https://klasma.github.io/Logging_2303/artfynd/A 36276-2025 artfynd.xlsx", "A 36276-2025")</f>
        <v/>
      </c>
      <c r="T82">
        <f>HYPERLINK("https://klasma.github.io/Logging_2303/kartor/A 36276-2025 karta.png", "A 36276-2025")</f>
        <v/>
      </c>
      <c r="U82">
        <f>HYPERLINK("https://klasma.github.io/Logging_2303/knärot/A 36276-2025 karta knärot.png", "A 36276-2025")</f>
        <v/>
      </c>
      <c r="V82">
        <f>HYPERLINK("https://klasma.github.io/Logging_2303/klagomål/A 36276-2025 FSC-klagomål.docx", "A 36276-2025")</f>
        <v/>
      </c>
      <c r="W82">
        <f>HYPERLINK("https://klasma.github.io/Logging_2303/klagomålsmail/A 36276-2025 FSC-klagomål mail.docx", "A 36276-2025")</f>
        <v/>
      </c>
      <c r="X82">
        <f>HYPERLINK("https://klasma.github.io/Logging_2303/tillsyn/A 36276-2025 tillsynsbegäran.docx", "A 36276-2025")</f>
        <v/>
      </c>
      <c r="Y82">
        <f>HYPERLINK("https://klasma.github.io/Logging_2303/tillsynsmail/A 36276-2025 tillsynsbegäran mail.docx", "A 36276-2025")</f>
        <v/>
      </c>
    </row>
    <row r="83" ht="15" customHeight="1">
      <c r="A83" t="inlineStr">
        <is>
          <t>A 933-2023</t>
        </is>
      </c>
      <c r="B83" s="1" t="n">
        <v>44932</v>
      </c>
      <c r="C83" s="1" t="n">
        <v>46043</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46043</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46043</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46043</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57073-2023</t>
        </is>
      </c>
      <c r="B87" s="1" t="n">
        <v>45244</v>
      </c>
      <c r="C87" s="1" t="n">
        <v>46043</v>
      </c>
      <c r="D87" t="inlineStr">
        <is>
          <t>JÄMTLANDS LÄN</t>
        </is>
      </c>
      <c r="E87" t="inlineStr">
        <is>
          <t>RAGUNDA</t>
        </is>
      </c>
      <c r="F87" t="inlineStr">
        <is>
          <t>SCA</t>
        </is>
      </c>
      <c r="G87" t="n">
        <v>4.1</v>
      </c>
      <c r="H87" t="n">
        <v>1</v>
      </c>
      <c r="I87" t="n">
        <v>0</v>
      </c>
      <c r="J87" t="n">
        <v>4</v>
      </c>
      <c r="K87" t="n">
        <v>1</v>
      </c>
      <c r="L87" t="n">
        <v>0</v>
      </c>
      <c r="M87" t="n">
        <v>0</v>
      </c>
      <c r="N87" t="n">
        <v>0</v>
      </c>
      <c r="O87" t="n">
        <v>5</v>
      </c>
      <c r="P87" t="n">
        <v>1</v>
      </c>
      <c r="Q87" t="n">
        <v>5</v>
      </c>
      <c r="R87" s="2" t="inlineStr">
        <is>
          <t>Aspgelélav
Granticka
Lunglav
Tretåig hackspett
Ullticka</t>
        </is>
      </c>
      <c r="S87">
        <f>HYPERLINK("https://klasma.github.io/Logging_2303/artfynd/A 57073-2023 artfynd.xlsx", "A 57073-2023")</f>
        <v/>
      </c>
      <c r="T87">
        <f>HYPERLINK("https://klasma.github.io/Logging_2303/kartor/A 57073-2023 karta.png", "A 57073-2023")</f>
        <v/>
      </c>
      <c r="V87">
        <f>HYPERLINK("https://klasma.github.io/Logging_2303/klagomål/A 57073-2023 FSC-klagomål.docx", "A 57073-2023")</f>
        <v/>
      </c>
      <c r="W87">
        <f>HYPERLINK("https://klasma.github.io/Logging_2303/klagomålsmail/A 57073-2023 FSC-klagomål mail.docx", "A 57073-2023")</f>
        <v/>
      </c>
      <c r="X87">
        <f>HYPERLINK("https://klasma.github.io/Logging_2303/tillsyn/A 57073-2023 tillsynsbegäran.docx", "A 57073-2023")</f>
        <v/>
      </c>
      <c r="Y87">
        <f>HYPERLINK("https://klasma.github.io/Logging_2303/tillsynsmail/A 57073-2023 tillsynsbegäran mail.docx", "A 57073-2023")</f>
        <v/>
      </c>
      <c r="Z87">
        <f>HYPERLINK("https://klasma.github.io/Logging_2303/fåglar/A 57073-2023 prioriterade fågelarter.docx", "A 57073-2023")</f>
        <v/>
      </c>
    </row>
    <row r="88" ht="15" customHeight="1">
      <c r="A88" t="inlineStr">
        <is>
          <t>A 39365-2024</t>
        </is>
      </c>
      <c r="B88" s="1" t="n">
        <v>45551.46912037037</v>
      </c>
      <c r="C88" s="1" t="n">
        <v>46043</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18629-2024</t>
        </is>
      </c>
      <c r="B89" s="1" t="n">
        <v>45425.96472222222</v>
      </c>
      <c r="C89" s="1" t="n">
        <v>46043</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46043</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27313-2024</t>
        </is>
      </c>
      <c r="B91" s="1" t="n">
        <v>45471.94623842592</v>
      </c>
      <c r="C91" s="1" t="n">
        <v>46043</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46043</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60683-2022</t>
        </is>
      </c>
      <c r="B93" s="1" t="n">
        <v>44911</v>
      </c>
      <c r="C93" s="1" t="n">
        <v>46043</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46043</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35344-2025</t>
        </is>
      </c>
      <c r="B95" s="1" t="n">
        <v>45854.61494212963</v>
      </c>
      <c r="C95" s="1" t="n">
        <v>46043</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46043</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13266-2023</t>
        </is>
      </c>
      <c r="B97" s="1" t="n">
        <v>45002.94356481481</v>
      </c>
      <c r="C97" s="1" t="n">
        <v>46043</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22469-2024</t>
        </is>
      </c>
      <c r="B98" s="1" t="n">
        <v>45446.95087962963</v>
      </c>
      <c r="C98" s="1" t="n">
        <v>46043</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45969-2023</t>
        </is>
      </c>
      <c r="B99" s="1" t="n">
        <v>45195</v>
      </c>
      <c r="C99" s="1" t="n">
        <v>46043</v>
      </c>
      <c r="D99" t="inlineStr">
        <is>
          <t>JÄMTLANDS LÄN</t>
        </is>
      </c>
      <c r="E99" t="inlineStr">
        <is>
          <t>RAGUNDA</t>
        </is>
      </c>
      <c r="F99" t="inlineStr">
        <is>
          <t>SCA</t>
        </is>
      </c>
      <c r="G99" t="n">
        <v>9.300000000000001</v>
      </c>
      <c r="H99" t="n">
        <v>1</v>
      </c>
      <c r="I99" t="n">
        <v>4</v>
      </c>
      <c r="J99" t="n">
        <v>1</v>
      </c>
      <c r="K99" t="n">
        <v>0</v>
      </c>
      <c r="L99" t="n">
        <v>0</v>
      </c>
      <c r="M99" t="n">
        <v>0</v>
      </c>
      <c r="N99" t="n">
        <v>0</v>
      </c>
      <c r="O99" t="n">
        <v>1</v>
      </c>
      <c r="P99" t="n">
        <v>0</v>
      </c>
      <c r="Q99" t="n">
        <v>5</v>
      </c>
      <c r="R99" s="2" t="inlineStr">
        <is>
          <t>Lunglav
Dropptaggsvamp
Grönpyrola
Plattlummer
Skarp dropptaggsvamp</t>
        </is>
      </c>
      <c r="S99">
        <f>HYPERLINK("https://klasma.github.io/Logging_2303/artfynd/A 45969-2023 artfynd.xlsx", "A 45969-2023")</f>
        <v/>
      </c>
      <c r="T99">
        <f>HYPERLINK("https://klasma.github.io/Logging_2303/kartor/A 45969-2023 karta.png", "A 45969-2023")</f>
        <v/>
      </c>
      <c r="V99">
        <f>HYPERLINK("https://klasma.github.io/Logging_2303/klagomål/A 45969-2023 FSC-klagomål.docx", "A 45969-2023")</f>
        <v/>
      </c>
      <c r="W99">
        <f>HYPERLINK("https://klasma.github.io/Logging_2303/klagomålsmail/A 45969-2023 FSC-klagomål mail.docx", "A 45969-2023")</f>
        <v/>
      </c>
      <c r="X99">
        <f>HYPERLINK("https://klasma.github.io/Logging_2303/tillsyn/A 45969-2023 tillsynsbegäran.docx", "A 45969-2023")</f>
        <v/>
      </c>
      <c r="Y99">
        <f>HYPERLINK("https://klasma.github.io/Logging_2303/tillsynsmail/A 45969-2023 tillsynsbegäran mail.docx", "A 45969-2023")</f>
        <v/>
      </c>
    </row>
    <row r="100" ht="15" customHeight="1">
      <c r="A100" t="inlineStr">
        <is>
          <t>A 12024-2022</t>
        </is>
      </c>
      <c r="B100" s="1" t="n">
        <v>44635</v>
      </c>
      <c r="C100" s="1" t="n">
        <v>46043</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46043</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46043</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46043</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46043</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46043</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12268-2024</t>
        </is>
      </c>
      <c r="B106" s="1" t="n">
        <v>45378</v>
      </c>
      <c r="C106" s="1" t="n">
        <v>46043</v>
      </c>
      <c r="D106" t="inlineStr">
        <is>
          <t>JÄMTLANDS LÄN</t>
        </is>
      </c>
      <c r="E106" t="inlineStr">
        <is>
          <t>RAGUNDA</t>
        </is>
      </c>
      <c r="F106" t="inlineStr">
        <is>
          <t>Kommuner</t>
        </is>
      </c>
      <c r="G106" t="n">
        <v>15.7</v>
      </c>
      <c r="H106" t="n">
        <v>0</v>
      </c>
      <c r="I106" t="n">
        <v>0</v>
      </c>
      <c r="J106" t="n">
        <v>4</v>
      </c>
      <c r="K106" t="n">
        <v>0</v>
      </c>
      <c r="L106" t="n">
        <v>0</v>
      </c>
      <c r="M106" t="n">
        <v>0</v>
      </c>
      <c r="N106" t="n">
        <v>0</v>
      </c>
      <c r="O106" t="n">
        <v>4</v>
      </c>
      <c r="P106" t="n">
        <v>0</v>
      </c>
      <c r="Q106" t="n">
        <v>4</v>
      </c>
      <c r="R106" s="2" t="inlineStr">
        <is>
          <t>Granticka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32903-2024</t>
        </is>
      </c>
      <c r="B107" s="1" t="n">
        <v>45516.94723379629</v>
      </c>
      <c r="C107" s="1" t="n">
        <v>46043</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46043</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46043</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23931-2024</t>
        </is>
      </c>
      <c r="B110" s="1" t="n">
        <v>45455.96195601852</v>
      </c>
      <c r="C110" s="1" t="n">
        <v>46043</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40653-2025</t>
        </is>
      </c>
      <c r="B111" s="1" t="n">
        <v>45896.63618055556</v>
      </c>
      <c r="C111" s="1" t="n">
        <v>46043</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50342-2025</t>
        </is>
      </c>
      <c r="B112" s="1" t="n">
        <v>45944.53186342592</v>
      </c>
      <c r="C112" s="1" t="n">
        <v>46043</v>
      </c>
      <c r="D112" t="inlineStr">
        <is>
          <t>JÄMTLANDS LÄN</t>
        </is>
      </c>
      <c r="E112" t="inlineStr">
        <is>
          <t>RAGUNDA</t>
        </is>
      </c>
      <c r="F112" t="inlineStr">
        <is>
          <t>SCA</t>
        </is>
      </c>
      <c r="G112" t="n">
        <v>20.7</v>
      </c>
      <c r="H112" t="n">
        <v>1</v>
      </c>
      <c r="I112" t="n">
        <v>1</v>
      </c>
      <c r="J112" t="n">
        <v>3</v>
      </c>
      <c r="K112" t="n">
        <v>0</v>
      </c>
      <c r="L112" t="n">
        <v>0</v>
      </c>
      <c r="M112" t="n">
        <v>0</v>
      </c>
      <c r="N112" t="n">
        <v>0</v>
      </c>
      <c r="O112" t="n">
        <v>3</v>
      </c>
      <c r="P112" t="n">
        <v>0</v>
      </c>
      <c r="Q112" t="n">
        <v>4</v>
      </c>
      <c r="R112" s="2" t="inlineStr">
        <is>
          <t>Garnlav
Granticka
Tretåig hackspett
Trådticka</t>
        </is>
      </c>
      <c r="S112">
        <f>HYPERLINK("https://klasma.github.io/Logging_2303/artfynd/A 50342-2025 artfynd.xlsx", "A 50342-2025")</f>
        <v/>
      </c>
      <c r="T112">
        <f>HYPERLINK("https://klasma.github.io/Logging_2303/kartor/A 50342-2025 karta.png", "A 50342-2025")</f>
        <v/>
      </c>
      <c r="V112">
        <f>HYPERLINK("https://klasma.github.io/Logging_2303/klagomål/A 50342-2025 FSC-klagomål.docx", "A 50342-2025")</f>
        <v/>
      </c>
      <c r="W112">
        <f>HYPERLINK("https://klasma.github.io/Logging_2303/klagomålsmail/A 50342-2025 FSC-klagomål mail.docx", "A 50342-2025")</f>
        <v/>
      </c>
      <c r="X112">
        <f>HYPERLINK("https://klasma.github.io/Logging_2303/tillsyn/A 50342-2025 tillsynsbegäran.docx", "A 50342-2025")</f>
        <v/>
      </c>
      <c r="Y112">
        <f>HYPERLINK("https://klasma.github.io/Logging_2303/tillsynsmail/A 50342-2025 tillsynsbegäran mail.docx", "A 50342-2025")</f>
        <v/>
      </c>
      <c r="Z112">
        <f>HYPERLINK("https://klasma.github.io/Logging_2303/fåglar/A 50342-2025 prioriterade fågelarter.docx", "A 50342-2025")</f>
        <v/>
      </c>
    </row>
    <row r="113" ht="15" customHeight="1">
      <c r="A113" t="inlineStr">
        <is>
          <t>A 32067-2024</t>
        </is>
      </c>
      <c r="B113" s="1" t="n">
        <v>45510</v>
      </c>
      <c r="C113" s="1" t="n">
        <v>46043</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15836-2024</t>
        </is>
      </c>
      <c r="B114" s="1" t="n">
        <v>45404</v>
      </c>
      <c r="C114" s="1" t="n">
        <v>46043</v>
      </c>
      <c r="D114" t="inlineStr">
        <is>
          <t>JÄMTLANDS LÄN</t>
        </is>
      </c>
      <c r="E114" t="inlineStr">
        <is>
          <t>RAGUNDA</t>
        </is>
      </c>
      <c r="F114" t="inlineStr">
        <is>
          <t>Kommuner</t>
        </is>
      </c>
      <c r="G114" t="n">
        <v>3.1</v>
      </c>
      <c r="H114" t="n">
        <v>0</v>
      </c>
      <c r="I114" t="n">
        <v>2</v>
      </c>
      <c r="J114" t="n">
        <v>1</v>
      </c>
      <c r="K114" t="n">
        <v>0</v>
      </c>
      <c r="L114" t="n">
        <v>1</v>
      </c>
      <c r="M114" t="n">
        <v>0</v>
      </c>
      <c r="N114" t="n">
        <v>0</v>
      </c>
      <c r="O114" t="n">
        <v>2</v>
      </c>
      <c r="P114" t="n">
        <v>1</v>
      </c>
      <c r="Q114" t="n">
        <v>4</v>
      </c>
      <c r="R114" s="2" t="inlineStr">
        <is>
          <t>Trolldruvemätare
Lunglav
Stor aspticka
Svart trolldruva</t>
        </is>
      </c>
      <c r="S114">
        <f>HYPERLINK("https://klasma.github.io/Logging_2303/artfynd/A 15836-2024 artfynd.xlsx", "A 15836-2024")</f>
        <v/>
      </c>
      <c r="T114">
        <f>HYPERLINK("https://klasma.github.io/Logging_2303/kartor/A 15836-2024 karta.png", "A 15836-2024")</f>
        <v/>
      </c>
      <c r="V114">
        <f>HYPERLINK("https://klasma.github.io/Logging_2303/klagomål/A 15836-2024 FSC-klagomål.docx", "A 15836-2024")</f>
        <v/>
      </c>
      <c r="W114">
        <f>HYPERLINK("https://klasma.github.io/Logging_2303/klagomålsmail/A 15836-2024 FSC-klagomål mail.docx", "A 15836-2024")</f>
        <v/>
      </c>
      <c r="X114">
        <f>HYPERLINK("https://klasma.github.io/Logging_2303/tillsyn/A 15836-2024 tillsynsbegäran.docx", "A 15836-2024")</f>
        <v/>
      </c>
      <c r="Y114">
        <f>HYPERLINK("https://klasma.github.io/Logging_2303/tillsynsmail/A 15836-2024 tillsynsbegäran mail.docx", "A 15836-2024")</f>
        <v/>
      </c>
    </row>
    <row r="115" ht="15" customHeight="1">
      <c r="A115" t="inlineStr">
        <is>
          <t>A 26082-2025</t>
        </is>
      </c>
      <c r="B115" s="1" t="n">
        <v>45805.34415509259</v>
      </c>
      <c r="C115" s="1" t="n">
        <v>46043</v>
      </c>
      <c r="D115" t="inlineStr">
        <is>
          <t>JÄMTLANDS LÄN</t>
        </is>
      </c>
      <c r="E115" t="inlineStr">
        <is>
          <t>RAGUNDA</t>
        </is>
      </c>
      <c r="F115" t="inlineStr">
        <is>
          <t>SCA</t>
        </is>
      </c>
      <c r="G115" t="n">
        <v>5</v>
      </c>
      <c r="H115" t="n">
        <v>1</v>
      </c>
      <c r="I115" t="n">
        <v>0</v>
      </c>
      <c r="J115" t="n">
        <v>3</v>
      </c>
      <c r="K115" t="n">
        <v>1</v>
      </c>
      <c r="L115" t="n">
        <v>0</v>
      </c>
      <c r="M115" t="n">
        <v>0</v>
      </c>
      <c r="N115" t="n">
        <v>0</v>
      </c>
      <c r="O115" t="n">
        <v>4</v>
      </c>
      <c r="P115" t="n">
        <v>1</v>
      </c>
      <c r="Q115" t="n">
        <v>4</v>
      </c>
      <c r="R115" s="2" t="inlineStr">
        <is>
          <t>Knärot
Gammelgransskål
Lunglav
Vitgrynig nållav</t>
        </is>
      </c>
      <c r="S115">
        <f>HYPERLINK("https://klasma.github.io/Logging_2303/artfynd/A 26082-2025 artfynd.xlsx", "A 26082-2025")</f>
        <v/>
      </c>
      <c r="T115">
        <f>HYPERLINK("https://klasma.github.io/Logging_2303/kartor/A 26082-2025 karta.png", "A 26082-2025")</f>
        <v/>
      </c>
      <c r="U115">
        <f>HYPERLINK("https://klasma.github.io/Logging_2303/knärot/A 26082-2025 karta knärot.png", "A 26082-2025")</f>
        <v/>
      </c>
      <c r="V115">
        <f>HYPERLINK("https://klasma.github.io/Logging_2303/klagomål/A 26082-2025 FSC-klagomål.docx", "A 26082-2025")</f>
        <v/>
      </c>
      <c r="W115">
        <f>HYPERLINK("https://klasma.github.io/Logging_2303/klagomålsmail/A 26082-2025 FSC-klagomål mail.docx", "A 26082-2025")</f>
        <v/>
      </c>
      <c r="X115">
        <f>HYPERLINK("https://klasma.github.io/Logging_2303/tillsyn/A 26082-2025 tillsynsbegäran.docx", "A 26082-2025")</f>
        <v/>
      </c>
      <c r="Y115">
        <f>HYPERLINK("https://klasma.github.io/Logging_2303/tillsynsmail/A 26082-2025 tillsynsbegäran mail.docx", "A 26082-2025")</f>
        <v/>
      </c>
    </row>
    <row r="116" ht="15" customHeight="1">
      <c r="A116" t="inlineStr">
        <is>
          <t>A 52168-2025</t>
        </is>
      </c>
      <c r="B116" s="1" t="n">
        <v>45953.365625</v>
      </c>
      <c r="C116" s="1" t="n">
        <v>46043</v>
      </c>
      <c r="D116" t="inlineStr">
        <is>
          <t>JÄMTLANDS LÄN</t>
        </is>
      </c>
      <c r="E116" t="inlineStr">
        <is>
          <t>RAGUNDA</t>
        </is>
      </c>
      <c r="F116" t="inlineStr">
        <is>
          <t>SCA</t>
        </is>
      </c>
      <c r="G116" t="n">
        <v>19.5</v>
      </c>
      <c r="H116" t="n">
        <v>0</v>
      </c>
      <c r="I116" t="n">
        <v>1</v>
      </c>
      <c r="J116" t="n">
        <v>3</v>
      </c>
      <c r="K116" t="n">
        <v>0</v>
      </c>
      <c r="L116" t="n">
        <v>0</v>
      </c>
      <c r="M116" t="n">
        <v>0</v>
      </c>
      <c r="N116" t="n">
        <v>0</v>
      </c>
      <c r="O116" t="n">
        <v>3</v>
      </c>
      <c r="P116" t="n">
        <v>0</v>
      </c>
      <c r="Q116" t="n">
        <v>4</v>
      </c>
      <c r="R116" s="2" t="inlineStr">
        <is>
          <t>Garnlav
Granticka
Vitgrynig nållav
Källmossa</t>
        </is>
      </c>
      <c r="S116">
        <f>HYPERLINK("https://klasma.github.io/Logging_2303/artfynd/A 52168-2025 artfynd.xlsx", "A 52168-2025")</f>
        <v/>
      </c>
      <c r="T116">
        <f>HYPERLINK("https://klasma.github.io/Logging_2303/kartor/A 52168-2025 karta.png", "A 52168-2025")</f>
        <v/>
      </c>
      <c r="V116">
        <f>HYPERLINK("https://klasma.github.io/Logging_2303/klagomål/A 52168-2025 FSC-klagomål.docx", "A 52168-2025")</f>
        <v/>
      </c>
      <c r="W116">
        <f>HYPERLINK("https://klasma.github.io/Logging_2303/klagomålsmail/A 52168-2025 FSC-klagomål mail.docx", "A 52168-2025")</f>
        <v/>
      </c>
      <c r="X116">
        <f>HYPERLINK("https://klasma.github.io/Logging_2303/tillsyn/A 52168-2025 tillsynsbegäran.docx", "A 52168-2025")</f>
        <v/>
      </c>
      <c r="Y116">
        <f>HYPERLINK("https://klasma.github.io/Logging_2303/tillsynsmail/A 52168-2025 tillsynsbegäran mail.docx", "A 52168-2025")</f>
        <v/>
      </c>
    </row>
    <row r="117" ht="15" customHeight="1">
      <c r="A117" t="inlineStr">
        <is>
          <t>A 60670-2022</t>
        </is>
      </c>
      <c r="B117" s="1" t="n">
        <v>44911</v>
      </c>
      <c r="C117" s="1" t="n">
        <v>46043</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30465-2024</t>
        </is>
      </c>
      <c r="B118" s="1" t="n">
        <v>45491</v>
      </c>
      <c r="C118" s="1" t="n">
        <v>46043</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52644-2024</t>
        </is>
      </c>
      <c r="B119" s="1" t="n">
        <v>45610.34415509259</v>
      </c>
      <c r="C119" s="1" t="n">
        <v>46043</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46043</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46043</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46043</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46043</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46043</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46043</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48052-2022</t>
        </is>
      </c>
      <c r="B126" s="1" t="n">
        <v>44855</v>
      </c>
      <c r="C126" s="1" t="n">
        <v>46043</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46043</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46043</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46043</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46043</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57667-2025</t>
        </is>
      </c>
      <c r="B131" s="1" t="n">
        <v>45981.42767361111</v>
      </c>
      <c r="C131" s="1" t="n">
        <v>46043</v>
      </c>
      <c r="D131" t="inlineStr">
        <is>
          <t>JÄMTLANDS LÄN</t>
        </is>
      </c>
      <c r="E131" t="inlineStr">
        <is>
          <t>RAGUNDA</t>
        </is>
      </c>
      <c r="F131" t="inlineStr">
        <is>
          <t>SCA</t>
        </is>
      </c>
      <c r="G131" t="n">
        <v>1.7</v>
      </c>
      <c r="H131" t="n">
        <v>0</v>
      </c>
      <c r="I131" t="n">
        <v>2</v>
      </c>
      <c r="J131" t="n">
        <v>1</v>
      </c>
      <c r="K131" t="n">
        <v>0</v>
      </c>
      <c r="L131" t="n">
        <v>0</v>
      </c>
      <c r="M131" t="n">
        <v>0</v>
      </c>
      <c r="N131" t="n">
        <v>0</v>
      </c>
      <c r="O131" t="n">
        <v>1</v>
      </c>
      <c r="P131" t="n">
        <v>0</v>
      </c>
      <c r="Q131" t="n">
        <v>3</v>
      </c>
      <c r="R131" s="2" t="inlineStr">
        <is>
          <t>Lunglav
Korallblylav
Luddlav</t>
        </is>
      </c>
      <c r="S131">
        <f>HYPERLINK("https://klasma.github.io/Logging_2303/artfynd/A 57667-2025 artfynd.xlsx", "A 57667-2025")</f>
        <v/>
      </c>
      <c r="T131">
        <f>HYPERLINK("https://klasma.github.io/Logging_2303/kartor/A 57667-2025 karta.png", "A 57667-2025")</f>
        <v/>
      </c>
      <c r="V131">
        <f>HYPERLINK("https://klasma.github.io/Logging_2303/klagomål/A 57667-2025 FSC-klagomål.docx", "A 57667-2025")</f>
        <v/>
      </c>
      <c r="W131">
        <f>HYPERLINK("https://klasma.github.io/Logging_2303/klagomålsmail/A 57667-2025 FSC-klagomål mail.docx", "A 57667-2025")</f>
        <v/>
      </c>
      <c r="X131">
        <f>HYPERLINK("https://klasma.github.io/Logging_2303/tillsyn/A 57667-2025 tillsynsbegäran.docx", "A 57667-2025")</f>
        <v/>
      </c>
      <c r="Y131">
        <f>HYPERLINK("https://klasma.github.io/Logging_2303/tillsynsmail/A 57667-2025 tillsynsbegäran mail.docx", "A 57667-2025")</f>
        <v/>
      </c>
    </row>
    <row r="132" ht="15" customHeight="1">
      <c r="A132" t="inlineStr">
        <is>
          <t>A 48054-2022</t>
        </is>
      </c>
      <c r="B132" s="1" t="n">
        <v>44855</v>
      </c>
      <c r="C132" s="1" t="n">
        <v>46043</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46043</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46043</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59179-2025</t>
        </is>
      </c>
      <c r="B135" s="1" t="n">
        <v>45988.57350694444</v>
      </c>
      <c r="C135" s="1" t="n">
        <v>46043</v>
      </c>
      <c r="D135" t="inlineStr">
        <is>
          <t>JÄMTLANDS LÄN</t>
        </is>
      </c>
      <c r="E135" t="inlineStr">
        <is>
          <t>RAGUNDA</t>
        </is>
      </c>
      <c r="F135" t="inlineStr">
        <is>
          <t>SCA</t>
        </is>
      </c>
      <c r="G135" t="n">
        <v>2.3</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HYPERLINK("https://klasma.github.io/Logging_2303/artfynd/A 59179-2025 artfynd.xlsx", "A 59179-2025")</f>
        <v/>
      </c>
      <c r="T135">
        <f>HYPERLINK("https://klasma.github.io/Logging_2303/kartor/A 59179-2025 karta.png", "A 59179-2025")</f>
        <v/>
      </c>
      <c r="V135">
        <f>HYPERLINK("https://klasma.github.io/Logging_2303/klagomål/A 59179-2025 FSC-klagomål.docx", "A 59179-2025")</f>
        <v/>
      </c>
      <c r="W135">
        <f>HYPERLINK("https://klasma.github.io/Logging_2303/klagomålsmail/A 59179-2025 FSC-klagomål mail.docx", "A 59179-2025")</f>
        <v/>
      </c>
      <c r="X135">
        <f>HYPERLINK("https://klasma.github.io/Logging_2303/tillsyn/A 59179-2025 tillsynsbegäran.docx", "A 59179-2025")</f>
        <v/>
      </c>
      <c r="Y135">
        <f>HYPERLINK("https://klasma.github.io/Logging_2303/tillsynsmail/A 59179-2025 tillsynsbegäran mail.docx", "A 59179-2025")</f>
        <v/>
      </c>
    </row>
    <row r="136" ht="15" customHeight="1">
      <c r="A136" t="inlineStr">
        <is>
          <t>A 20776-2024</t>
        </is>
      </c>
      <c r="B136" s="1" t="n">
        <v>45436.94686342592</v>
      </c>
      <c r="C136" s="1" t="n">
        <v>46043</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30470-2024</t>
        </is>
      </c>
      <c r="B137" s="1" t="n">
        <v>45491.94715277778</v>
      </c>
      <c r="C137" s="1" t="n">
        <v>46043</v>
      </c>
      <c r="D137" t="inlineStr">
        <is>
          <t>JÄMTLANDS LÄN</t>
        </is>
      </c>
      <c r="E137" t="inlineStr">
        <is>
          <t>RAGUNDA</t>
        </is>
      </c>
      <c r="F137" t="inlineStr">
        <is>
          <t>SCA</t>
        </is>
      </c>
      <c r="G137" t="n">
        <v>1.4</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HYPERLINK("https://klasma.github.io/Logging_2303/artfynd/A 30470-2024 artfynd.xlsx", "A 30470-2024")</f>
        <v/>
      </c>
      <c r="T137">
        <f>HYPERLINK("https://klasma.github.io/Logging_2303/kartor/A 30470-2024 karta.png", "A 30470-2024")</f>
        <v/>
      </c>
      <c r="U137">
        <f>HYPERLINK("https://klasma.github.io/Logging_2303/knärot/A 30470-2024 karta knärot.png", "A 30470-2024")</f>
        <v/>
      </c>
      <c r="V137">
        <f>HYPERLINK("https://klasma.github.io/Logging_2303/klagomål/A 30470-2024 FSC-klagomål.docx", "A 30470-2024")</f>
        <v/>
      </c>
      <c r="W137">
        <f>HYPERLINK("https://klasma.github.io/Logging_2303/klagomålsmail/A 30470-2024 FSC-klagomål mail.docx", "A 30470-2024")</f>
        <v/>
      </c>
      <c r="X137">
        <f>HYPERLINK("https://klasma.github.io/Logging_2303/tillsyn/A 30470-2024 tillsynsbegäran.docx", "A 30470-2024")</f>
        <v/>
      </c>
      <c r="Y137">
        <f>HYPERLINK("https://klasma.github.io/Logging_2303/tillsynsmail/A 30470-2024 tillsynsbegäran mail.docx", "A 30470-2024")</f>
        <v/>
      </c>
      <c r="Z137">
        <f>HYPERLINK("https://klasma.github.io/Logging_2303/fåglar/A 30470-2024 prioriterade fågelarter.docx", "A 30470-2024")</f>
        <v/>
      </c>
    </row>
    <row r="138" ht="15" customHeight="1">
      <c r="A138" t="inlineStr">
        <is>
          <t>A 7519-2023</t>
        </is>
      </c>
      <c r="B138" s="1" t="n">
        <v>44971</v>
      </c>
      <c r="C138" s="1" t="n">
        <v>46043</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46043</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25769-2025</t>
        </is>
      </c>
      <c r="B140" s="1" t="n">
        <v>45804.34474537037</v>
      </c>
      <c r="C140" s="1" t="n">
        <v>46043</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33432-2023</t>
        </is>
      </c>
      <c r="B141" s="1" t="n">
        <v>45128</v>
      </c>
      <c r="C141" s="1" t="n">
        <v>46043</v>
      </c>
      <c r="D141" t="inlineStr">
        <is>
          <t>JÄMTLANDS LÄN</t>
        </is>
      </c>
      <c r="E141" t="inlineStr">
        <is>
          <t>RAGUNDA</t>
        </is>
      </c>
      <c r="F141" t="inlineStr">
        <is>
          <t>SCA</t>
        </is>
      </c>
      <c r="G141" t="n">
        <v>10</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33432-2023 artfynd.xlsx", "A 33432-2023")</f>
        <v/>
      </c>
      <c r="T141">
        <f>HYPERLINK("https://klasma.github.io/Logging_2303/kartor/A 33432-2023 karta.png", "A 33432-2023")</f>
        <v/>
      </c>
      <c r="V141">
        <f>HYPERLINK("https://klasma.github.io/Logging_2303/klagomål/A 33432-2023 FSC-klagomål.docx", "A 33432-2023")</f>
        <v/>
      </c>
      <c r="W141">
        <f>HYPERLINK("https://klasma.github.io/Logging_2303/klagomålsmail/A 33432-2023 FSC-klagomål mail.docx", "A 33432-2023")</f>
        <v/>
      </c>
      <c r="X141">
        <f>HYPERLINK("https://klasma.github.io/Logging_2303/tillsyn/A 33432-2023 tillsynsbegäran.docx", "A 33432-2023")</f>
        <v/>
      </c>
      <c r="Y141">
        <f>HYPERLINK("https://klasma.github.io/Logging_2303/tillsynsmail/A 33432-2023 tillsynsbegäran mail.docx", "A 33432-2023")</f>
        <v/>
      </c>
      <c r="Z141">
        <f>HYPERLINK("https://klasma.github.io/Logging_2303/fåglar/A 33432-2023 prioriterade fågelarter.docx", "A 33432-2023")</f>
        <v/>
      </c>
    </row>
    <row r="142" ht="15" customHeight="1">
      <c r="A142" t="inlineStr">
        <is>
          <t>A 57941-2024</t>
        </is>
      </c>
      <c r="B142" s="1" t="n">
        <v>45631</v>
      </c>
      <c r="C142" s="1" t="n">
        <v>46043</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61954-2025</t>
        </is>
      </c>
      <c r="B143" s="1" t="n">
        <v>46003.57381944444</v>
      </c>
      <c r="C143" s="1" t="n">
        <v>46043</v>
      </c>
      <c r="D143" t="inlineStr">
        <is>
          <t>JÄMTLANDS LÄN</t>
        </is>
      </c>
      <c r="E143" t="inlineStr">
        <is>
          <t>RAGUNDA</t>
        </is>
      </c>
      <c r="F143" t="inlineStr">
        <is>
          <t>SCA</t>
        </is>
      </c>
      <c r="G143" t="n">
        <v>6.5</v>
      </c>
      <c r="H143" t="n">
        <v>0</v>
      </c>
      <c r="I143" t="n">
        <v>1</v>
      </c>
      <c r="J143" t="n">
        <v>2</v>
      </c>
      <c r="K143" t="n">
        <v>0</v>
      </c>
      <c r="L143" t="n">
        <v>0</v>
      </c>
      <c r="M143" t="n">
        <v>0</v>
      </c>
      <c r="N143" t="n">
        <v>0</v>
      </c>
      <c r="O143" t="n">
        <v>2</v>
      </c>
      <c r="P143" t="n">
        <v>0</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22571-2025</t>
        </is>
      </c>
      <c r="B144" s="1" t="n">
        <v>45789.36503472222</v>
      </c>
      <c r="C144" s="1" t="n">
        <v>46043</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34585-2025</t>
        </is>
      </c>
      <c r="B145" s="1" t="n">
        <v>45847.61498842593</v>
      </c>
      <c r="C145" s="1" t="n">
        <v>46043</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32416-2025</t>
        </is>
      </c>
      <c r="B146" s="1" t="n">
        <v>45838</v>
      </c>
      <c r="C146" s="1" t="n">
        <v>46043</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16305-2025</t>
        </is>
      </c>
      <c r="B147" s="1" t="n">
        <v>45751.34650462963</v>
      </c>
      <c r="C147" s="1" t="n">
        <v>46043</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46043</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46043</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46043</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46043</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46043</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46043</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46043</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46043</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46043</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46043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46043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46043</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46043</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46043</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46043</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30053-2024</t>
        </is>
      </c>
      <c r="B163" s="1" t="n">
        <v>45488.94747685185</v>
      </c>
      <c r="C163" s="1" t="n">
        <v>46043</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11544-2024</t>
        </is>
      </c>
      <c r="B164" s="1" t="n">
        <v>45372.95680555556</v>
      </c>
      <c r="C164" s="1" t="n">
        <v>46043</v>
      </c>
      <c r="D164" t="inlineStr">
        <is>
          <t>JÄMTLANDS LÄN</t>
        </is>
      </c>
      <c r="E164" t="inlineStr">
        <is>
          <t>RAGUNDA</t>
        </is>
      </c>
      <c r="F164" t="inlineStr">
        <is>
          <t>SCA</t>
        </is>
      </c>
      <c r="G164" t="n">
        <v>15.5</v>
      </c>
      <c r="H164" t="n">
        <v>0</v>
      </c>
      <c r="I164" t="n">
        <v>0</v>
      </c>
      <c r="J164" t="n">
        <v>2</v>
      </c>
      <c r="K164" t="n">
        <v>0</v>
      </c>
      <c r="L164" t="n">
        <v>0</v>
      </c>
      <c r="M164" t="n">
        <v>0</v>
      </c>
      <c r="N164" t="n">
        <v>0</v>
      </c>
      <c r="O164" t="n">
        <v>2</v>
      </c>
      <c r="P164" t="n">
        <v>0</v>
      </c>
      <c r="Q164" t="n">
        <v>2</v>
      </c>
      <c r="R164" s="2" t="inlineStr">
        <is>
          <t>Granticka
Mörk kolflarnlav</t>
        </is>
      </c>
      <c r="S164">
        <f>HYPERLINK("https://klasma.github.io/Logging_2303/artfynd/A 11544-2024 artfynd.xlsx", "A 11544-2024")</f>
        <v/>
      </c>
      <c r="T164">
        <f>HYPERLINK("https://klasma.github.io/Logging_2303/kartor/A 11544-2024 karta.png", "A 11544-2024")</f>
        <v/>
      </c>
      <c r="V164">
        <f>HYPERLINK("https://klasma.github.io/Logging_2303/klagomål/A 11544-2024 FSC-klagomål.docx", "A 11544-2024")</f>
        <v/>
      </c>
      <c r="W164">
        <f>HYPERLINK("https://klasma.github.io/Logging_2303/klagomålsmail/A 11544-2024 FSC-klagomål mail.docx", "A 11544-2024")</f>
        <v/>
      </c>
      <c r="X164">
        <f>HYPERLINK("https://klasma.github.io/Logging_2303/tillsyn/A 11544-2024 tillsynsbegäran.docx", "A 11544-2024")</f>
        <v/>
      </c>
      <c r="Y164">
        <f>HYPERLINK("https://klasma.github.io/Logging_2303/tillsynsmail/A 11544-2024 tillsynsbegäran mail.docx", "A 11544-2024")</f>
        <v/>
      </c>
    </row>
    <row r="165" ht="15" customHeight="1">
      <c r="A165" t="inlineStr">
        <is>
          <t>A 25155-2025</t>
        </is>
      </c>
      <c r="B165" s="1" t="n">
        <v>45800.42782407408</v>
      </c>
      <c r="C165" s="1" t="n">
        <v>46043</v>
      </c>
      <c r="D165" t="inlineStr">
        <is>
          <t>JÄMTLANDS LÄN</t>
        </is>
      </c>
      <c r="E165" t="inlineStr">
        <is>
          <t>RAGUNDA</t>
        </is>
      </c>
      <c r="F165" t="inlineStr">
        <is>
          <t>SCA</t>
        </is>
      </c>
      <c r="G165" t="n">
        <v>1.7</v>
      </c>
      <c r="H165" t="n">
        <v>1</v>
      </c>
      <c r="I165" t="n">
        <v>0</v>
      </c>
      <c r="J165" t="n">
        <v>1</v>
      </c>
      <c r="K165" t="n">
        <v>0</v>
      </c>
      <c r="L165" t="n">
        <v>0</v>
      </c>
      <c r="M165" t="n">
        <v>0</v>
      </c>
      <c r="N165" t="n">
        <v>0</v>
      </c>
      <c r="O165" t="n">
        <v>1</v>
      </c>
      <c r="P165" t="n">
        <v>0</v>
      </c>
      <c r="Q165" t="n">
        <v>2</v>
      </c>
      <c r="R165" s="2" t="inlineStr">
        <is>
          <t>Leptoporus mollis
Fläcknycklar</t>
        </is>
      </c>
      <c r="S165">
        <f>HYPERLINK("https://klasma.github.io/Logging_2303/artfynd/A 25155-2025 artfynd.xlsx", "A 25155-2025")</f>
        <v/>
      </c>
      <c r="T165">
        <f>HYPERLINK("https://klasma.github.io/Logging_2303/kartor/A 25155-2025 karta.png", "A 25155-2025")</f>
        <v/>
      </c>
      <c r="V165">
        <f>HYPERLINK("https://klasma.github.io/Logging_2303/klagomål/A 25155-2025 FSC-klagomål.docx", "A 25155-2025")</f>
        <v/>
      </c>
      <c r="W165">
        <f>HYPERLINK("https://klasma.github.io/Logging_2303/klagomålsmail/A 25155-2025 FSC-klagomål mail.docx", "A 25155-2025")</f>
        <v/>
      </c>
      <c r="X165">
        <f>HYPERLINK("https://klasma.github.io/Logging_2303/tillsyn/A 25155-2025 tillsynsbegäran.docx", "A 25155-2025")</f>
        <v/>
      </c>
      <c r="Y165">
        <f>HYPERLINK("https://klasma.github.io/Logging_2303/tillsynsmail/A 25155-2025 tillsynsbegäran mail.docx", "A 25155-2025")</f>
        <v/>
      </c>
    </row>
    <row r="166" ht="15" customHeight="1">
      <c r="A166" t="inlineStr">
        <is>
          <t>A 47850-2025</t>
        </is>
      </c>
      <c r="B166" s="1" t="n">
        <v>45932.38626157407</v>
      </c>
      <c r="C166" s="1" t="n">
        <v>46043</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14502-2024</t>
        </is>
      </c>
      <c r="B167" s="1" t="n">
        <v>45394</v>
      </c>
      <c r="C167" s="1" t="n">
        <v>46043</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26482-2023</t>
        </is>
      </c>
      <c r="B168" s="1" t="n">
        <v>45089</v>
      </c>
      <c r="C168" s="1" t="n">
        <v>46043</v>
      </c>
      <c r="D168" t="inlineStr">
        <is>
          <t>JÄMTLANDS LÄN</t>
        </is>
      </c>
      <c r="E168" t="inlineStr">
        <is>
          <t>RAGUNDA</t>
        </is>
      </c>
      <c r="G168" t="n">
        <v>2</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26482-2023 artfynd.xlsx", "A 26482-2023")</f>
        <v/>
      </c>
      <c r="T168">
        <f>HYPERLINK("https://klasma.github.io/Logging_2303/kartor/A 26482-2023 karta.png", "A 26482-2023")</f>
        <v/>
      </c>
      <c r="V168">
        <f>HYPERLINK("https://klasma.github.io/Logging_2303/klagomål/A 26482-2023 FSC-klagomål.docx", "A 26482-2023")</f>
        <v/>
      </c>
      <c r="W168">
        <f>HYPERLINK("https://klasma.github.io/Logging_2303/klagomålsmail/A 26482-2023 FSC-klagomål mail.docx", "A 26482-2023")</f>
        <v/>
      </c>
      <c r="X168">
        <f>HYPERLINK("https://klasma.github.io/Logging_2303/tillsyn/A 26482-2023 tillsynsbegäran.docx", "A 26482-2023")</f>
        <v/>
      </c>
      <c r="Y168">
        <f>HYPERLINK("https://klasma.github.io/Logging_2303/tillsynsmail/A 26482-2023 tillsynsbegäran mail.docx", "A 26482-2023")</f>
        <v/>
      </c>
      <c r="Z168">
        <f>HYPERLINK("https://klasma.github.io/Logging_2303/fåglar/A 26482-2023 prioriterade fågelarter.docx", "A 26482-2023")</f>
        <v/>
      </c>
    </row>
    <row r="169" ht="15" customHeight="1">
      <c r="A169" t="inlineStr">
        <is>
          <t>A 46771-2024</t>
        </is>
      </c>
      <c r="B169" s="1" t="n">
        <v>45583.49642361111</v>
      </c>
      <c r="C169" s="1" t="n">
        <v>46043</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57940-2024</t>
        </is>
      </c>
      <c r="B170" s="1" t="n">
        <v>45631</v>
      </c>
      <c r="C170" s="1" t="n">
        <v>46043</v>
      </c>
      <c r="D170" t="inlineStr">
        <is>
          <t>JÄMTLANDS LÄN</t>
        </is>
      </c>
      <c r="E170" t="inlineStr">
        <is>
          <t>RAGUNDA</t>
        </is>
      </c>
      <c r="F170" t="inlineStr">
        <is>
          <t>SCA</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HYPERLINK("https://klasma.github.io/Logging_2303/artfynd/A 57940-2024 artfynd.xlsx", "A 57940-2024")</f>
        <v/>
      </c>
      <c r="T170">
        <f>HYPERLINK("https://klasma.github.io/Logging_2303/kartor/A 57940-2024 karta.png", "A 57940-2024")</f>
        <v/>
      </c>
      <c r="V170">
        <f>HYPERLINK("https://klasma.github.io/Logging_2303/klagomål/A 57940-2024 FSC-klagomål.docx", "A 57940-2024")</f>
        <v/>
      </c>
      <c r="W170">
        <f>HYPERLINK("https://klasma.github.io/Logging_2303/klagomålsmail/A 57940-2024 FSC-klagomål mail.docx", "A 57940-2024")</f>
        <v/>
      </c>
      <c r="X170">
        <f>HYPERLINK("https://klasma.github.io/Logging_2303/tillsyn/A 57940-2024 tillsynsbegäran.docx", "A 57940-2024")</f>
        <v/>
      </c>
      <c r="Y170">
        <f>HYPERLINK("https://klasma.github.io/Logging_2303/tillsynsmail/A 57940-2024 tillsynsbegäran mail.docx", "A 57940-2024")</f>
        <v/>
      </c>
      <c r="Z170">
        <f>HYPERLINK("https://klasma.github.io/Logging_2303/fåglar/A 57940-2024 prioriterade fågelarter.docx", "A 57940-2024")</f>
        <v/>
      </c>
    </row>
    <row r="171" ht="15" customHeight="1">
      <c r="A171" t="inlineStr">
        <is>
          <t>A 10866-2025</t>
        </is>
      </c>
      <c r="B171" s="1" t="n">
        <v>45722.61543981481</v>
      </c>
      <c r="C171" s="1" t="n">
        <v>46043</v>
      </c>
      <c r="D171" t="inlineStr">
        <is>
          <t>JÄMTLANDS LÄN</t>
        </is>
      </c>
      <c r="E171" t="inlineStr">
        <is>
          <t>RAGUNDA</t>
        </is>
      </c>
      <c r="F171" t="inlineStr">
        <is>
          <t>SCA</t>
        </is>
      </c>
      <c r="G171" t="n">
        <v>15.9</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10866-2025 artfynd.xlsx", "A 10866-2025")</f>
        <v/>
      </c>
      <c r="T171">
        <f>HYPERLINK("https://klasma.github.io/Logging_2303/kartor/A 10866-2025 karta.png", "A 10866-2025")</f>
        <v/>
      </c>
      <c r="V171">
        <f>HYPERLINK("https://klasma.github.io/Logging_2303/klagomål/A 10866-2025 FSC-klagomål.docx", "A 10866-2025")</f>
        <v/>
      </c>
      <c r="W171">
        <f>HYPERLINK("https://klasma.github.io/Logging_2303/klagomålsmail/A 10866-2025 FSC-klagomål mail.docx", "A 10866-2025")</f>
        <v/>
      </c>
      <c r="X171">
        <f>HYPERLINK("https://klasma.github.io/Logging_2303/tillsyn/A 10866-2025 tillsynsbegäran.docx", "A 10866-2025")</f>
        <v/>
      </c>
      <c r="Y171">
        <f>HYPERLINK("https://klasma.github.io/Logging_2303/tillsynsmail/A 10866-2025 tillsynsbegäran mail.docx", "A 10866-2025")</f>
        <v/>
      </c>
    </row>
    <row r="172" ht="15" customHeight="1">
      <c r="A172" t="inlineStr">
        <is>
          <t>A 10884-2025</t>
        </is>
      </c>
      <c r="B172" s="1" t="n">
        <v>45722.65670138889</v>
      </c>
      <c r="C172" s="1" t="n">
        <v>46043</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46043</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62636-2025</t>
        </is>
      </c>
      <c r="B174" s="1" t="n">
        <v>46008.3653587963</v>
      </c>
      <c r="C174" s="1" t="n">
        <v>46043</v>
      </c>
      <c r="D174" t="inlineStr">
        <is>
          <t>JÄMTLANDS LÄN</t>
        </is>
      </c>
      <c r="E174" t="inlineStr">
        <is>
          <t>RAGUNDA</t>
        </is>
      </c>
      <c r="G174" t="n">
        <v>3.1</v>
      </c>
      <c r="H174" t="n">
        <v>1</v>
      </c>
      <c r="I174" t="n">
        <v>0</v>
      </c>
      <c r="J174" t="n">
        <v>2</v>
      </c>
      <c r="K174" t="n">
        <v>0</v>
      </c>
      <c r="L174" t="n">
        <v>0</v>
      </c>
      <c r="M174" t="n">
        <v>0</v>
      </c>
      <c r="N174" t="n">
        <v>0</v>
      </c>
      <c r="O174" t="n">
        <v>2</v>
      </c>
      <c r="P174" t="n">
        <v>0</v>
      </c>
      <c r="Q174" t="n">
        <v>2</v>
      </c>
      <c r="R174" s="2" t="inlineStr">
        <is>
          <t>Garnlav
Talltita</t>
        </is>
      </c>
      <c r="S174">
        <f>HYPERLINK("https://klasma.github.io/Logging_2303/artfynd/A 62636-2025 artfynd.xlsx", "A 62636-2025")</f>
        <v/>
      </c>
      <c r="T174">
        <f>HYPERLINK("https://klasma.github.io/Logging_2303/kartor/A 62636-2025 karta.png", "A 62636-2025")</f>
        <v/>
      </c>
      <c r="V174">
        <f>HYPERLINK("https://klasma.github.io/Logging_2303/klagomål/A 62636-2025 FSC-klagomål.docx", "A 62636-2025")</f>
        <v/>
      </c>
      <c r="W174">
        <f>HYPERLINK("https://klasma.github.io/Logging_2303/klagomålsmail/A 62636-2025 FSC-klagomål mail.docx", "A 62636-2025")</f>
        <v/>
      </c>
      <c r="X174">
        <f>HYPERLINK("https://klasma.github.io/Logging_2303/tillsyn/A 62636-2025 tillsynsbegäran.docx", "A 62636-2025")</f>
        <v/>
      </c>
      <c r="Y174">
        <f>HYPERLINK("https://klasma.github.io/Logging_2303/tillsynsmail/A 62636-2025 tillsynsbegäran mail.docx", "A 62636-2025")</f>
        <v/>
      </c>
      <c r="Z174">
        <f>HYPERLINK("https://klasma.github.io/Logging_2303/fåglar/A 62636-2025 prioriterade fågelarter.docx", "A 62636-2025")</f>
        <v/>
      </c>
    </row>
    <row r="175" ht="15" customHeight="1">
      <c r="A175" t="inlineStr">
        <is>
          <t>A 48427-2023</t>
        </is>
      </c>
      <c r="B175" s="1" t="n">
        <v>45205</v>
      </c>
      <c r="C175" s="1" t="n">
        <v>46043</v>
      </c>
      <c r="D175" t="inlineStr">
        <is>
          <t>JÄMTLANDS LÄN</t>
        </is>
      </c>
      <c r="E175" t="inlineStr">
        <is>
          <t>RAGUNDA</t>
        </is>
      </c>
      <c r="F175" t="inlineStr">
        <is>
          <t>SCA</t>
        </is>
      </c>
      <c r="G175" t="n">
        <v>10.1</v>
      </c>
      <c r="H175" t="n">
        <v>0</v>
      </c>
      <c r="I175" t="n">
        <v>1</v>
      </c>
      <c r="J175" t="n">
        <v>1</v>
      </c>
      <c r="K175" t="n">
        <v>0</v>
      </c>
      <c r="L175" t="n">
        <v>0</v>
      </c>
      <c r="M175" t="n">
        <v>0</v>
      </c>
      <c r="N175" t="n">
        <v>0</v>
      </c>
      <c r="O175" t="n">
        <v>1</v>
      </c>
      <c r="P175" t="n">
        <v>0</v>
      </c>
      <c r="Q175" t="n">
        <v>2</v>
      </c>
      <c r="R175" s="2" t="inlineStr">
        <is>
          <t>Lunglav
Luddlav</t>
        </is>
      </c>
      <c r="S175">
        <f>HYPERLINK("https://klasma.github.io/Logging_2303/artfynd/A 48427-2023 artfynd.xlsx", "A 48427-2023")</f>
        <v/>
      </c>
      <c r="T175">
        <f>HYPERLINK("https://klasma.github.io/Logging_2303/kartor/A 48427-2023 karta.png", "A 48427-2023")</f>
        <v/>
      </c>
      <c r="V175">
        <f>HYPERLINK("https://klasma.github.io/Logging_2303/klagomål/A 48427-2023 FSC-klagomål.docx", "A 48427-2023")</f>
        <v/>
      </c>
      <c r="W175">
        <f>HYPERLINK("https://klasma.github.io/Logging_2303/klagomålsmail/A 48427-2023 FSC-klagomål mail.docx", "A 48427-2023")</f>
        <v/>
      </c>
      <c r="X175">
        <f>HYPERLINK("https://klasma.github.io/Logging_2303/tillsyn/A 48427-2023 tillsynsbegäran.docx", "A 48427-2023")</f>
        <v/>
      </c>
      <c r="Y175">
        <f>HYPERLINK("https://klasma.github.io/Logging_2303/tillsynsmail/A 48427-2023 tillsynsbegäran mail.docx", "A 48427-2023")</f>
        <v/>
      </c>
    </row>
    <row r="176" ht="15" customHeight="1">
      <c r="A176" t="inlineStr">
        <is>
          <t>A 56634-2025</t>
        </is>
      </c>
      <c r="B176" s="1" t="n">
        <v>45975.61619212963</v>
      </c>
      <c r="C176" s="1" t="n">
        <v>46043</v>
      </c>
      <c r="D176" t="inlineStr">
        <is>
          <t>JÄMTLANDS LÄN</t>
        </is>
      </c>
      <c r="E176" t="inlineStr">
        <is>
          <t>RAGUNDA</t>
        </is>
      </c>
      <c r="F176" t="inlineStr">
        <is>
          <t>SCA</t>
        </is>
      </c>
      <c r="G176" t="n">
        <v>86.59999999999999</v>
      </c>
      <c r="H176" t="n">
        <v>0</v>
      </c>
      <c r="I176" t="n">
        <v>1</v>
      </c>
      <c r="J176" t="n">
        <v>1</v>
      </c>
      <c r="K176" t="n">
        <v>0</v>
      </c>
      <c r="L176" t="n">
        <v>0</v>
      </c>
      <c r="M176" t="n">
        <v>0</v>
      </c>
      <c r="N176" t="n">
        <v>0</v>
      </c>
      <c r="O176" t="n">
        <v>1</v>
      </c>
      <c r="P176" t="n">
        <v>0</v>
      </c>
      <c r="Q176" t="n">
        <v>2</v>
      </c>
      <c r="R176" s="2" t="inlineStr">
        <is>
          <t>Garnlav
Skuggblåslav</t>
        </is>
      </c>
      <c r="S176">
        <f>HYPERLINK("https://klasma.github.io/Logging_2303/artfynd/A 56634-2025 artfynd.xlsx", "A 56634-2025")</f>
        <v/>
      </c>
      <c r="T176">
        <f>HYPERLINK("https://klasma.github.io/Logging_2303/kartor/A 56634-2025 karta.png", "A 56634-2025")</f>
        <v/>
      </c>
      <c r="V176">
        <f>HYPERLINK("https://klasma.github.io/Logging_2303/klagomål/A 56634-2025 FSC-klagomål.docx", "A 56634-2025")</f>
        <v/>
      </c>
      <c r="W176">
        <f>HYPERLINK("https://klasma.github.io/Logging_2303/klagomålsmail/A 56634-2025 FSC-klagomål mail.docx", "A 56634-2025")</f>
        <v/>
      </c>
      <c r="X176">
        <f>HYPERLINK("https://klasma.github.io/Logging_2303/tillsyn/A 56634-2025 tillsynsbegäran.docx", "A 56634-2025")</f>
        <v/>
      </c>
      <c r="Y176">
        <f>HYPERLINK("https://klasma.github.io/Logging_2303/tillsynsmail/A 56634-2025 tillsynsbegäran mail.docx", "A 56634-2025")</f>
        <v/>
      </c>
    </row>
    <row r="177" ht="15" customHeight="1">
      <c r="A177" t="inlineStr">
        <is>
          <t>A 19384-2025</t>
        </is>
      </c>
      <c r="B177" s="1" t="n">
        <v>45769.65692129629</v>
      </c>
      <c r="C177" s="1" t="n">
        <v>46043</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31960-2025</t>
        </is>
      </c>
      <c r="B178" s="1" t="n">
        <v>45835.344375</v>
      </c>
      <c r="C178" s="1" t="n">
        <v>46043</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55647-2023</t>
        </is>
      </c>
      <c r="B179" s="1" t="n">
        <v>45238</v>
      </c>
      <c r="C179" s="1" t="n">
        <v>46043</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35131-2025</t>
        </is>
      </c>
      <c r="B180" s="1" t="n">
        <v>45852.63597222222</v>
      </c>
      <c r="C180" s="1" t="n">
        <v>46043</v>
      </c>
      <c r="D180" t="inlineStr">
        <is>
          <t>JÄMTLANDS LÄN</t>
        </is>
      </c>
      <c r="E180" t="inlineStr">
        <is>
          <t>RAGUNDA</t>
        </is>
      </c>
      <c r="F180" t="inlineStr">
        <is>
          <t>SCA</t>
        </is>
      </c>
      <c r="G180" t="n">
        <v>6.9</v>
      </c>
      <c r="H180" t="n">
        <v>1</v>
      </c>
      <c r="I180" t="n">
        <v>1</v>
      </c>
      <c r="J180" t="n">
        <v>0</v>
      </c>
      <c r="K180" t="n">
        <v>0</v>
      </c>
      <c r="L180" t="n">
        <v>0</v>
      </c>
      <c r="M180" t="n">
        <v>0</v>
      </c>
      <c r="N180" t="n">
        <v>0</v>
      </c>
      <c r="O180" t="n">
        <v>0</v>
      </c>
      <c r="P180" t="n">
        <v>0</v>
      </c>
      <c r="Q180" t="n">
        <v>2</v>
      </c>
      <c r="R180" s="2" t="inlineStr">
        <is>
          <t>Ögonpyrola
Nattviol</t>
        </is>
      </c>
      <c r="S180">
        <f>HYPERLINK("https://klasma.github.io/Logging_2303/artfynd/A 35131-2025 artfynd.xlsx", "A 35131-2025")</f>
        <v/>
      </c>
      <c r="T180">
        <f>HYPERLINK("https://klasma.github.io/Logging_2303/kartor/A 35131-2025 karta.png", "A 35131-2025")</f>
        <v/>
      </c>
      <c r="V180">
        <f>HYPERLINK("https://klasma.github.io/Logging_2303/klagomål/A 35131-2025 FSC-klagomål.docx", "A 35131-2025")</f>
        <v/>
      </c>
      <c r="W180">
        <f>HYPERLINK("https://klasma.github.io/Logging_2303/klagomålsmail/A 35131-2025 FSC-klagomål mail.docx", "A 35131-2025")</f>
        <v/>
      </c>
      <c r="X180">
        <f>HYPERLINK("https://klasma.github.io/Logging_2303/tillsyn/A 35131-2025 tillsynsbegäran.docx", "A 35131-2025")</f>
        <v/>
      </c>
      <c r="Y180">
        <f>HYPERLINK("https://klasma.github.io/Logging_2303/tillsynsmail/A 35131-2025 tillsynsbegäran mail.docx", "A 35131-2025")</f>
        <v/>
      </c>
    </row>
    <row r="181" ht="15" customHeight="1">
      <c r="A181" t="inlineStr">
        <is>
          <t>A 50089-2022</t>
        </is>
      </c>
      <c r="B181" s="1" t="n">
        <v>44865</v>
      </c>
      <c r="C181" s="1" t="n">
        <v>46043</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46043</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46043</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46043</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46043</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46043</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46043</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46043</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46043</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46043</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46043</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46043</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46043</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46043</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46043</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46043</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46043</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46043</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46043</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46043</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46043</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46043</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46043</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46043</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56599-2025</t>
        </is>
      </c>
      <c r="B205" s="1" t="n">
        <v>45975.5734837963</v>
      </c>
      <c r="C205" s="1" t="n">
        <v>46043</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Lunglav</t>
        </is>
      </c>
      <c r="S205">
        <f>HYPERLINK("https://klasma.github.io/Logging_2303/artfynd/A 56599-2025 artfynd.xlsx", "A 56599-2025")</f>
        <v/>
      </c>
      <c r="T205">
        <f>HYPERLINK("https://klasma.github.io/Logging_2303/kartor/A 56599-2025 karta.png", "A 56599-2025")</f>
        <v/>
      </c>
      <c r="V205">
        <f>HYPERLINK("https://klasma.github.io/Logging_2303/klagomål/A 56599-2025 FSC-klagomål.docx", "A 56599-2025")</f>
        <v/>
      </c>
      <c r="W205">
        <f>HYPERLINK("https://klasma.github.io/Logging_2303/klagomålsmail/A 56599-2025 FSC-klagomål mail.docx", "A 56599-2025")</f>
        <v/>
      </c>
      <c r="X205">
        <f>HYPERLINK("https://klasma.github.io/Logging_2303/tillsyn/A 56599-2025 tillsynsbegäran.docx", "A 56599-2025")</f>
        <v/>
      </c>
      <c r="Y205">
        <f>HYPERLINK("https://klasma.github.io/Logging_2303/tillsynsmail/A 56599-2025 tillsynsbegäran mail.docx", "A 56599-2025")</f>
        <v/>
      </c>
    </row>
    <row r="206" ht="15" customHeight="1">
      <c r="A206" t="inlineStr">
        <is>
          <t>A 978-2024</t>
        </is>
      </c>
      <c r="B206" s="1" t="n">
        <v>45301</v>
      </c>
      <c r="C206" s="1" t="n">
        <v>46043</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57478-2025</t>
        </is>
      </c>
      <c r="B207" s="1" t="n">
        <v>45980.57349537037</v>
      </c>
      <c r="C207" s="1" t="n">
        <v>46043</v>
      </c>
      <c r="D207" t="inlineStr">
        <is>
          <t>JÄMTLANDS LÄN</t>
        </is>
      </c>
      <c r="E207" t="inlineStr">
        <is>
          <t>RAGUNDA</t>
        </is>
      </c>
      <c r="F207" t="inlineStr">
        <is>
          <t>SCA</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HYPERLINK("https://klasma.github.io/Logging_2303/artfynd/A 57478-2025 artfynd.xlsx", "A 57478-2025")</f>
        <v/>
      </c>
      <c r="T207">
        <f>HYPERLINK("https://klasma.github.io/Logging_2303/kartor/A 57478-2025 karta.png", "A 57478-2025")</f>
        <v/>
      </c>
      <c r="V207">
        <f>HYPERLINK("https://klasma.github.io/Logging_2303/klagomål/A 57478-2025 FSC-klagomål.docx", "A 57478-2025")</f>
        <v/>
      </c>
      <c r="W207">
        <f>HYPERLINK("https://klasma.github.io/Logging_2303/klagomålsmail/A 57478-2025 FSC-klagomål mail.docx", "A 57478-2025")</f>
        <v/>
      </c>
      <c r="X207">
        <f>HYPERLINK("https://klasma.github.io/Logging_2303/tillsyn/A 57478-2025 tillsynsbegäran.docx", "A 57478-2025")</f>
        <v/>
      </c>
      <c r="Y207">
        <f>HYPERLINK("https://klasma.github.io/Logging_2303/tillsynsmail/A 57478-2025 tillsynsbegäran mail.docx", "A 57478-2025")</f>
        <v/>
      </c>
    </row>
    <row r="208" ht="15" customHeight="1">
      <c r="A208" t="inlineStr">
        <is>
          <t>A 59104-2023</t>
        </is>
      </c>
      <c r="B208" s="1" t="n">
        <v>45252</v>
      </c>
      <c r="C208" s="1" t="n">
        <v>46043</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57253-2025</t>
        </is>
      </c>
      <c r="B209" s="1" t="n">
        <v>45979.64381944444</v>
      </c>
      <c r="C209" s="1" t="n">
        <v>46043</v>
      </c>
      <c r="D209" t="inlineStr">
        <is>
          <t>JÄMTLANDS LÄN</t>
        </is>
      </c>
      <c r="E209" t="inlineStr">
        <is>
          <t>RAGUNDA</t>
        </is>
      </c>
      <c r="G209" t="n">
        <v>1.2</v>
      </c>
      <c r="H209" t="n">
        <v>0</v>
      </c>
      <c r="I209" t="n">
        <v>1</v>
      </c>
      <c r="J209" t="n">
        <v>0</v>
      </c>
      <c r="K209" t="n">
        <v>0</v>
      </c>
      <c r="L209" t="n">
        <v>0</v>
      </c>
      <c r="M209" t="n">
        <v>0</v>
      </c>
      <c r="N209" t="n">
        <v>0</v>
      </c>
      <c r="O209" t="n">
        <v>0</v>
      </c>
      <c r="P209" t="n">
        <v>0</v>
      </c>
      <c r="Q209" t="n">
        <v>1</v>
      </c>
      <c r="R209" s="2" t="inlineStr">
        <is>
          <t>Skinnlav</t>
        </is>
      </c>
      <c r="S209">
        <f>HYPERLINK("https://klasma.github.io/Logging_2303/artfynd/A 57253-2025 artfynd.xlsx", "A 57253-2025")</f>
        <v/>
      </c>
      <c r="T209">
        <f>HYPERLINK("https://klasma.github.io/Logging_2303/kartor/A 57253-2025 karta.png", "A 57253-2025")</f>
        <v/>
      </c>
      <c r="V209">
        <f>HYPERLINK("https://klasma.github.io/Logging_2303/klagomål/A 57253-2025 FSC-klagomål.docx", "A 57253-2025")</f>
        <v/>
      </c>
      <c r="W209">
        <f>HYPERLINK("https://klasma.github.io/Logging_2303/klagomålsmail/A 57253-2025 FSC-klagomål mail.docx", "A 57253-2025")</f>
        <v/>
      </c>
      <c r="X209">
        <f>HYPERLINK("https://klasma.github.io/Logging_2303/tillsyn/A 57253-2025 tillsynsbegäran.docx", "A 57253-2025")</f>
        <v/>
      </c>
      <c r="Y209">
        <f>HYPERLINK("https://klasma.github.io/Logging_2303/tillsynsmail/A 57253-2025 tillsynsbegäran mail.docx", "A 57253-2025")</f>
        <v/>
      </c>
    </row>
    <row r="210" ht="15" customHeight="1">
      <c r="A210" t="inlineStr">
        <is>
          <t>A 57479-2025</t>
        </is>
      </c>
      <c r="B210" s="1" t="n">
        <v>45980.5737037037</v>
      </c>
      <c r="C210" s="1" t="n">
        <v>46043</v>
      </c>
      <c r="D210" t="inlineStr">
        <is>
          <t>JÄMTLANDS LÄN</t>
        </is>
      </c>
      <c r="E210" t="inlineStr">
        <is>
          <t>RAGUNDA</t>
        </is>
      </c>
      <c r="F210" t="inlineStr">
        <is>
          <t>SCA</t>
        </is>
      </c>
      <c r="G210" t="n">
        <v>12</v>
      </c>
      <c r="H210" t="n">
        <v>0</v>
      </c>
      <c r="I210" t="n">
        <v>0</v>
      </c>
      <c r="J210" t="n">
        <v>1</v>
      </c>
      <c r="K210" t="n">
        <v>0</v>
      </c>
      <c r="L210" t="n">
        <v>0</v>
      </c>
      <c r="M210" t="n">
        <v>0</v>
      </c>
      <c r="N210" t="n">
        <v>0</v>
      </c>
      <c r="O210" t="n">
        <v>1</v>
      </c>
      <c r="P210" t="n">
        <v>0</v>
      </c>
      <c r="Q210" t="n">
        <v>1</v>
      </c>
      <c r="R210" s="2" t="inlineStr">
        <is>
          <t>Kolflarnlav</t>
        </is>
      </c>
      <c r="S210">
        <f>HYPERLINK("https://klasma.github.io/Logging_2303/artfynd/A 57479-2025 artfynd.xlsx", "A 57479-2025")</f>
        <v/>
      </c>
      <c r="T210">
        <f>HYPERLINK("https://klasma.github.io/Logging_2303/kartor/A 57479-2025 karta.png", "A 57479-2025")</f>
        <v/>
      </c>
      <c r="V210">
        <f>HYPERLINK("https://klasma.github.io/Logging_2303/klagomål/A 57479-2025 FSC-klagomål.docx", "A 57479-2025")</f>
        <v/>
      </c>
      <c r="W210">
        <f>HYPERLINK("https://klasma.github.io/Logging_2303/klagomålsmail/A 57479-2025 FSC-klagomål mail.docx", "A 57479-2025")</f>
        <v/>
      </c>
      <c r="X210">
        <f>HYPERLINK("https://klasma.github.io/Logging_2303/tillsyn/A 57479-2025 tillsynsbegäran.docx", "A 57479-2025")</f>
        <v/>
      </c>
      <c r="Y210">
        <f>HYPERLINK("https://klasma.github.io/Logging_2303/tillsynsmail/A 57479-2025 tillsynsbegäran mail.docx", "A 57479-2025")</f>
        <v/>
      </c>
    </row>
    <row r="211" ht="15" customHeight="1">
      <c r="A211" t="inlineStr">
        <is>
          <t>A 58990-2025</t>
        </is>
      </c>
      <c r="B211" s="1" t="n">
        <v>45987</v>
      </c>
      <c r="C211" s="1" t="n">
        <v>46043</v>
      </c>
      <c r="D211" t="inlineStr">
        <is>
          <t>JÄMTLANDS LÄN</t>
        </is>
      </c>
      <c r="E211" t="inlineStr">
        <is>
          <t>RAGUNDA</t>
        </is>
      </c>
      <c r="F211" t="inlineStr">
        <is>
          <t>SCA</t>
        </is>
      </c>
      <c r="G211" t="n">
        <v>4.6</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58990-2025 artfynd.xlsx", "A 58990-2025")</f>
        <v/>
      </c>
      <c r="T211">
        <f>HYPERLINK("https://klasma.github.io/Logging_2303/kartor/A 58990-2025 karta.png", "A 58990-2025")</f>
        <v/>
      </c>
      <c r="V211">
        <f>HYPERLINK("https://klasma.github.io/Logging_2303/klagomål/A 58990-2025 FSC-klagomål.docx", "A 58990-2025")</f>
        <v/>
      </c>
      <c r="W211">
        <f>HYPERLINK("https://klasma.github.io/Logging_2303/klagomålsmail/A 58990-2025 FSC-klagomål mail.docx", "A 58990-2025")</f>
        <v/>
      </c>
      <c r="X211">
        <f>HYPERLINK("https://klasma.github.io/Logging_2303/tillsyn/A 58990-2025 tillsynsbegäran.docx", "A 58990-2025")</f>
        <v/>
      </c>
      <c r="Y211">
        <f>HYPERLINK("https://klasma.github.io/Logging_2303/tillsynsmail/A 58990-2025 tillsynsbegäran mail.docx", "A 58990-2025")</f>
        <v/>
      </c>
      <c r="Z211">
        <f>HYPERLINK("https://klasma.github.io/Logging_2303/fåglar/A 58990-2025 prioriterade fågelarter.docx", "A 58990-2025")</f>
        <v/>
      </c>
    </row>
    <row r="212" ht="15" customHeight="1">
      <c r="A212" t="inlineStr">
        <is>
          <t>A 23930-2024</t>
        </is>
      </c>
      <c r="B212" s="1" t="n">
        <v>45455.96184027778</v>
      </c>
      <c r="C212" s="1" t="n">
        <v>46043</v>
      </c>
      <c r="D212" t="inlineStr">
        <is>
          <t>JÄMTLANDS LÄN</t>
        </is>
      </c>
      <c r="E212" t="inlineStr">
        <is>
          <t>RAGUNDA</t>
        </is>
      </c>
      <c r="F212" t="inlineStr">
        <is>
          <t>SCA</t>
        </is>
      </c>
      <c r="G212" t="n">
        <v>4.2</v>
      </c>
      <c r="H212" t="n">
        <v>1</v>
      </c>
      <c r="I212" t="n">
        <v>1</v>
      </c>
      <c r="J212" t="n">
        <v>0</v>
      </c>
      <c r="K212" t="n">
        <v>0</v>
      </c>
      <c r="L212" t="n">
        <v>0</v>
      </c>
      <c r="M212" t="n">
        <v>0</v>
      </c>
      <c r="N212" t="n">
        <v>0</v>
      </c>
      <c r="O212" t="n">
        <v>0</v>
      </c>
      <c r="P212" t="n">
        <v>0</v>
      </c>
      <c r="Q212" t="n">
        <v>1</v>
      </c>
      <c r="R212" s="2" t="inlineStr">
        <is>
          <t>Guckusko</t>
        </is>
      </c>
      <c r="S212">
        <f>HYPERLINK("https://klasma.github.io/Logging_2303/artfynd/A 23930-2024 artfynd.xlsx", "A 23930-2024")</f>
        <v/>
      </c>
      <c r="T212">
        <f>HYPERLINK("https://klasma.github.io/Logging_2303/kartor/A 23930-2024 karta.png", "A 23930-2024")</f>
        <v/>
      </c>
      <c r="V212">
        <f>HYPERLINK("https://klasma.github.io/Logging_2303/klagomål/A 23930-2024 FSC-klagomål.docx", "A 23930-2024")</f>
        <v/>
      </c>
      <c r="W212">
        <f>HYPERLINK("https://klasma.github.io/Logging_2303/klagomålsmail/A 23930-2024 FSC-klagomål mail.docx", "A 23930-2024")</f>
        <v/>
      </c>
      <c r="X212">
        <f>HYPERLINK("https://klasma.github.io/Logging_2303/tillsyn/A 23930-2024 tillsynsbegäran.docx", "A 23930-2024")</f>
        <v/>
      </c>
      <c r="Y212">
        <f>HYPERLINK("https://klasma.github.io/Logging_2303/tillsynsmail/A 23930-2024 tillsynsbegäran mail.docx", "A 23930-2024")</f>
        <v/>
      </c>
    </row>
    <row r="213" ht="15" customHeight="1">
      <c r="A213" t="inlineStr">
        <is>
          <t>A 40841-2025</t>
        </is>
      </c>
      <c r="B213" s="1" t="n">
        <v>45897.531875</v>
      </c>
      <c r="C213" s="1" t="n">
        <v>46043</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6703-2024</t>
        </is>
      </c>
      <c r="B214" s="1" t="n">
        <v>45341</v>
      </c>
      <c r="C214" s="1" t="n">
        <v>46043</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Vitgrynig nållav</t>
        </is>
      </c>
      <c r="S214">
        <f>HYPERLINK("https://klasma.github.io/Logging_2303/artfynd/A 6703-2024 artfynd.xlsx", "A 6703-2024")</f>
        <v/>
      </c>
      <c r="T214">
        <f>HYPERLINK("https://klasma.github.io/Logging_2303/kartor/A 6703-2024 karta.png", "A 6703-2024")</f>
        <v/>
      </c>
      <c r="V214">
        <f>HYPERLINK("https://klasma.github.io/Logging_2303/klagomål/A 6703-2024 FSC-klagomål.docx", "A 6703-2024")</f>
        <v/>
      </c>
      <c r="W214">
        <f>HYPERLINK("https://klasma.github.io/Logging_2303/klagomålsmail/A 6703-2024 FSC-klagomål mail.docx", "A 6703-2024")</f>
        <v/>
      </c>
      <c r="X214">
        <f>HYPERLINK("https://klasma.github.io/Logging_2303/tillsyn/A 6703-2024 tillsynsbegäran.docx", "A 6703-2024")</f>
        <v/>
      </c>
      <c r="Y214">
        <f>HYPERLINK("https://klasma.github.io/Logging_2303/tillsynsmail/A 6703-2024 tillsynsbegäran mail.docx", "A 6703-2024")</f>
        <v/>
      </c>
    </row>
    <row r="215" ht="15" customHeight="1">
      <c r="A215" t="inlineStr">
        <is>
          <t>A 30485-2024</t>
        </is>
      </c>
      <c r="B215" s="1" t="n">
        <v>45491.95008101852</v>
      </c>
      <c r="C215" s="1" t="n">
        <v>46043</v>
      </c>
      <c r="D215" t="inlineStr">
        <is>
          <t>JÄMTLANDS LÄN</t>
        </is>
      </c>
      <c r="E215" t="inlineStr">
        <is>
          <t>RAGUNDA</t>
        </is>
      </c>
      <c r="F215" t="inlineStr">
        <is>
          <t>SCA</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HYPERLINK("https://klasma.github.io/Logging_2303/artfynd/A 30485-2024 artfynd.xlsx", "A 30485-2024")</f>
        <v/>
      </c>
      <c r="T215">
        <f>HYPERLINK("https://klasma.github.io/Logging_2303/kartor/A 30485-2024 karta.png", "A 30485-2024")</f>
        <v/>
      </c>
      <c r="V215">
        <f>HYPERLINK("https://klasma.github.io/Logging_2303/klagomål/A 30485-2024 FSC-klagomål.docx", "A 30485-2024")</f>
        <v/>
      </c>
      <c r="W215">
        <f>HYPERLINK("https://klasma.github.io/Logging_2303/klagomålsmail/A 30485-2024 FSC-klagomål mail.docx", "A 30485-2024")</f>
        <v/>
      </c>
      <c r="X215">
        <f>HYPERLINK("https://klasma.github.io/Logging_2303/tillsyn/A 30485-2024 tillsynsbegäran.docx", "A 30485-2024")</f>
        <v/>
      </c>
      <c r="Y215">
        <f>HYPERLINK("https://klasma.github.io/Logging_2303/tillsynsmail/A 30485-2024 tillsynsbegäran mail.docx", "A 30485-2024")</f>
        <v/>
      </c>
    </row>
    <row r="216" ht="15" customHeight="1">
      <c r="A216" t="inlineStr">
        <is>
          <t>A 29921-2024</t>
        </is>
      </c>
      <c r="B216" s="1" t="n">
        <v>45487.92863425926</v>
      </c>
      <c r="C216" s="1" t="n">
        <v>46043</v>
      </c>
      <c r="D216" t="inlineStr">
        <is>
          <t>JÄMTLANDS LÄN</t>
        </is>
      </c>
      <c r="E216" t="inlineStr">
        <is>
          <t>RAGUNDA</t>
        </is>
      </c>
      <c r="G216" t="n">
        <v>1.6</v>
      </c>
      <c r="H216" t="n">
        <v>1</v>
      </c>
      <c r="I216" t="n">
        <v>0</v>
      </c>
      <c r="J216" t="n">
        <v>0</v>
      </c>
      <c r="K216" t="n">
        <v>1</v>
      </c>
      <c r="L216" t="n">
        <v>0</v>
      </c>
      <c r="M216" t="n">
        <v>0</v>
      </c>
      <c r="N216" t="n">
        <v>0</v>
      </c>
      <c r="O216" t="n">
        <v>1</v>
      </c>
      <c r="P216" t="n">
        <v>1</v>
      </c>
      <c r="Q216" t="n">
        <v>1</v>
      </c>
      <c r="R216" s="2" t="inlineStr">
        <is>
          <t>Knärot</t>
        </is>
      </c>
      <c r="S216">
        <f>HYPERLINK("https://klasma.github.io/Logging_2303/artfynd/A 29921-2024 artfynd.xlsx", "A 29921-2024")</f>
        <v/>
      </c>
      <c r="T216">
        <f>HYPERLINK("https://klasma.github.io/Logging_2303/kartor/A 29921-2024 karta.png", "A 29921-2024")</f>
        <v/>
      </c>
      <c r="U216">
        <f>HYPERLINK("https://klasma.github.io/Logging_2303/knärot/A 29921-2024 karta knärot.png", "A 29921-2024")</f>
        <v/>
      </c>
      <c r="V216">
        <f>HYPERLINK("https://klasma.github.io/Logging_2303/klagomål/A 29921-2024 FSC-klagomål.docx", "A 29921-2024")</f>
        <v/>
      </c>
      <c r="W216">
        <f>HYPERLINK("https://klasma.github.io/Logging_2303/klagomålsmail/A 29921-2024 FSC-klagomål mail.docx", "A 29921-2024")</f>
        <v/>
      </c>
      <c r="X216">
        <f>HYPERLINK("https://klasma.github.io/Logging_2303/tillsyn/A 29921-2024 tillsynsbegäran.docx", "A 29921-2024")</f>
        <v/>
      </c>
      <c r="Y216">
        <f>HYPERLINK("https://klasma.github.io/Logging_2303/tillsynsmail/A 29921-2024 tillsynsbegäran mail.docx", "A 29921-2024")</f>
        <v/>
      </c>
    </row>
    <row r="217" ht="15" customHeight="1">
      <c r="A217" t="inlineStr">
        <is>
          <t>A 24443-2024</t>
        </is>
      </c>
      <c r="B217" s="1" t="n">
        <v>45457.9640625</v>
      </c>
      <c r="C217" s="1" t="n">
        <v>46043</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2097-2026</t>
        </is>
      </c>
      <c r="B218" s="1" t="n">
        <v>46036.36556712963</v>
      </c>
      <c r="C218" s="1" t="n">
        <v>46043</v>
      </c>
      <c r="D218" t="inlineStr">
        <is>
          <t>JÄMTLANDS LÄN</t>
        </is>
      </c>
      <c r="E218" t="inlineStr">
        <is>
          <t>RAGUNDA</t>
        </is>
      </c>
      <c r="F218" t="inlineStr">
        <is>
          <t>SCA</t>
        </is>
      </c>
      <c r="G218" t="n">
        <v>0.9</v>
      </c>
      <c r="H218" t="n">
        <v>0</v>
      </c>
      <c r="I218" t="n">
        <v>0</v>
      </c>
      <c r="J218" t="n">
        <v>0</v>
      </c>
      <c r="K218" t="n">
        <v>0</v>
      </c>
      <c r="L218" t="n">
        <v>1</v>
      </c>
      <c r="M218" t="n">
        <v>0</v>
      </c>
      <c r="N218" t="n">
        <v>0</v>
      </c>
      <c r="O218" t="n">
        <v>1</v>
      </c>
      <c r="P218" t="n">
        <v>1</v>
      </c>
      <c r="Q218" t="n">
        <v>1</v>
      </c>
      <c r="R218" s="2" t="inlineStr">
        <is>
          <t>Trolldruvemätare</t>
        </is>
      </c>
      <c r="S218">
        <f>HYPERLINK("https://klasma.github.io/Logging_2303/artfynd/A 2097-2026 artfynd.xlsx", "A 2097-2026")</f>
        <v/>
      </c>
      <c r="T218">
        <f>HYPERLINK("https://klasma.github.io/Logging_2303/kartor/A 2097-2026 karta.png", "A 2097-2026")</f>
        <v/>
      </c>
      <c r="V218">
        <f>HYPERLINK("https://klasma.github.io/Logging_2303/klagomål/A 2097-2026 FSC-klagomål.docx", "A 2097-2026")</f>
        <v/>
      </c>
      <c r="W218">
        <f>HYPERLINK("https://klasma.github.io/Logging_2303/klagomålsmail/A 2097-2026 FSC-klagomål mail.docx", "A 2097-2026")</f>
        <v/>
      </c>
      <c r="X218">
        <f>HYPERLINK("https://klasma.github.io/Logging_2303/tillsyn/A 2097-2026 tillsynsbegäran.docx", "A 2097-2026")</f>
        <v/>
      </c>
      <c r="Y218">
        <f>HYPERLINK("https://klasma.github.io/Logging_2303/tillsynsmail/A 2097-2026 tillsynsbegäran mail.docx", "A 2097-2026")</f>
        <v/>
      </c>
    </row>
    <row r="219" ht="15" customHeight="1">
      <c r="A219" t="inlineStr">
        <is>
          <t>A 48429-2023</t>
        </is>
      </c>
      <c r="B219" s="1" t="n">
        <v>45205</v>
      </c>
      <c r="C219" s="1" t="n">
        <v>46043</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48429-2023 artfynd.xlsx", "A 48429-2023")</f>
        <v/>
      </c>
      <c r="T219">
        <f>HYPERLINK("https://klasma.github.io/Logging_2303/kartor/A 48429-2023 karta.png", "A 48429-2023")</f>
        <v/>
      </c>
      <c r="V219">
        <f>HYPERLINK("https://klasma.github.io/Logging_2303/klagomål/A 48429-2023 FSC-klagomål.docx", "A 48429-2023")</f>
        <v/>
      </c>
      <c r="W219">
        <f>HYPERLINK("https://klasma.github.io/Logging_2303/klagomålsmail/A 48429-2023 FSC-klagomål mail.docx", "A 48429-2023")</f>
        <v/>
      </c>
      <c r="X219">
        <f>HYPERLINK("https://klasma.github.io/Logging_2303/tillsyn/A 48429-2023 tillsynsbegäran.docx", "A 48429-2023")</f>
        <v/>
      </c>
      <c r="Y219">
        <f>HYPERLINK("https://klasma.github.io/Logging_2303/tillsynsmail/A 48429-2023 tillsynsbegäran mail.docx", "A 48429-2023")</f>
        <v/>
      </c>
    </row>
    <row r="220" ht="15" customHeight="1">
      <c r="A220" t="inlineStr">
        <is>
          <t>A 43526-2025</t>
        </is>
      </c>
      <c r="B220" s="1" t="n">
        <v>45911</v>
      </c>
      <c r="C220" s="1" t="n">
        <v>46043</v>
      </c>
      <c r="D220" t="inlineStr">
        <is>
          <t>JÄMTLANDS LÄN</t>
        </is>
      </c>
      <c r="E220" t="inlineStr">
        <is>
          <t>RAGUNDA</t>
        </is>
      </c>
      <c r="G220" t="n">
        <v>5.5</v>
      </c>
      <c r="H220" t="n">
        <v>0</v>
      </c>
      <c r="I220" t="n">
        <v>0</v>
      </c>
      <c r="J220" t="n">
        <v>1</v>
      </c>
      <c r="K220" t="n">
        <v>0</v>
      </c>
      <c r="L220" t="n">
        <v>0</v>
      </c>
      <c r="M220" t="n">
        <v>0</v>
      </c>
      <c r="N220" t="n">
        <v>0</v>
      </c>
      <c r="O220" t="n">
        <v>1</v>
      </c>
      <c r="P220" t="n">
        <v>0</v>
      </c>
      <c r="Q220" t="n">
        <v>1</v>
      </c>
      <c r="R220" s="2" t="inlineStr">
        <is>
          <t>Lunglav</t>
        </is>
      </c>
      <c r="S220">
        <f>HYPERLINK("https://klasma.github.io/Logging_2303/artfynd/A 43526-2025 artfynd.xlsx", "A 43526-2025")</f>
        <v/>
      </c>
      <c r="T220">
        <f>HYPERLINK("https://klasma.github.io/Logging_2303/kartor/A 43526-2025 karta.png", "A 43526-2025")</f>
        <v/>
      </c>
      <c r="V220">
        <f>HYPERLINK("https://klasma.github.io/Logging_2303/klagomål/A 43526-2025 FSC-klagomål.docx", "A 43526-2025")</f>
        <v/>
      </c>
      <c r="W220">
        <f>HYPERLINK("https://klasma.github.io/Logging_2303/klagomålsmail/A 43526-2025 FSC-klagomål mail.docx", "A 43526-2025")</f>
        <v/>
      </c>
      <c r="X220">
        <f>HYPERLINK("https://klasma.github.io/Logging_2303/tillsyn/A 43526-2025 tillsynsbegäran.docx", "A 43526-2025")</f>
        <v/>
      </c>
      <c r="Y220">
        <f>HYPERLINK("https://klasma.github.io/Logging_2303/tillsynsmail/A 43526-2025 tillsynsbegäran mail.docx", "A 43526-2025")</f>
        <v/>
      </c>
    </row>
    <row r="221" ht="15" customHeight="1">
      <c r="A221" t="inlineStr">
        <is>
          <t>A 11040-2023</t>
        </is>
      </c>
      <c r="B221" s="1" t="n">
        <v>44991</v>
      </c>
      <c r="C221" s="1" t="n">
        <v>46043</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49091-2022</t>
        </is>
      </c>
      <c r="B222" s="1" t="n">
        <v>44860</v>
      </c>
      <c r="C222" s="1" t="n">
        <v>46043</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49053-2025</t>
        </is>
      </c>
      <c r="B223" s="1" t="n">
        <v>45937.64009259259</v>
      </c>
      <c r="C223" s="1" t="n">
        <v>46043</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51912-2025</t>
        </is>
      </c>
      <c r="B224" s="1" t="n">
        <v>45952.46939814815</v>
      </c>
      <c r="C224" s="1" t="n">
        <v>46043</v>
      </c>
      <c r="D224" t="inlineStr">
        <is>
          <t>JÄMTLANDS LÄN</t>
        </is>
      </c>
      <c r="E224" t="inlineStr">
        <is>
          <t>RAGUNDA</t>
        </is>
      </c>
      <c r="F224" t="inlineStr">
        <is>
          <t>SCA</t>
        </is>
      </c>
      <c r="G224" t="n">
        <v>24.2</v>
      </c>
      <c r="H224" t="n">
        <v>1</v>
      </c>
      <c r="I224" t="n">
        <v>0</v>
      </c>
      <c r="J224" t="n">
        <v>0</v>
      </c>
      <c r="K224" t="n">
        <v>1</v>
      </c>
      <c r="L224" t="n">
        <v>0</v>
      </c>
      <c r="M224" t="n">
        <v>0</v>
      </c>
      <c r="N224" t="n">
        <v>0</v>
      </c>
      <c r="O224" t="n">
        <v>1</v>
      </c>
      <c r="P224" t="n">
        <v>1</v>
      </c>
      <c r="Q224" t="n">
        <v>1</v>
      </c>
      <c r="R224" s="2" t="inlineStr">
        <is>
          <t>Norna</t>
        </is>
      </c>
      <c r="S224">
        <f>HYPERLINK("https://klasma.github.io/Logging_2303/artfynd/A 51912-2025 artfynd.xlsx", "A 51912-2025")</f>
        <v/>
      </c>
      <c r="T224">
        <f>HYPERLINK("https://klasma.github.io/Logging_2303/kartor/A 51912-2025 karta.png", "A 51912-2025")</f>
        <v/>
      </c>
      <c r="V224">
        <f>HYPERLINK("https://klasma.github.io/Logging_2303/klagomål/A 51912-2025 FSC-klagomål.docx", "A 51912-2025")</f>
        <v/>
      </c>
      <c r="W224">
        <f>HYPERLINK("https://klasma.github.io/Logging_2303/klagomålsmail/A 51912-2025 FSC-klagomål mail.docx", "A 51912-2025")</f>
        <v/>
      </c>
      <c r="X224">
        <f>HYPERLINK("https://klasma.github.io/Logging_2303/tillsyn/A 51912-2025 tillsynsbegäran.docx", "A 51912-2025")</f>
        <v/>
      </c>
      <c r="Y224">
        <f>HYPERLINK("https://klasma.github.io/Logging_2303/tillsynsmail/A 51912-2025 tillsynsbegäran mail.docx", "A 51912-2025")</f>
        <v/>
      </c>
    </row>
    <row r="225" ht="15" customHeight="1">
      <c r="A225" t="inlineStr">
        <is>
          <t>A 27573-2025</t>
        </is>
      </c>
      <c r="B225" s="1" t="n">
        <v>45813.49061342593</v>
      </c>
      <c r="C225" s="1" t="n">
        <v>46043</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36854-2023</t>
        </is>
      </c>
      <c r="B226" s="1" t="n">
        <v>45153</v>
      </c>
      <c r="C226" s="1" t="n">
        <v>46043</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46043</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46043</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46043</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50164-2023</t>
        </is>
      </c>
      <c r="B230" s="1" t="n">
        <v>45208</v>
      </c>
      <c r="C230" s="1" t="n">
        <v>46043</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55756-2025</t>
        </is>
      </c>
      <c r="B231" s="1" t="n">
        <v>45972.59438657408</v>
      </c>
      <c r="C231" s="1" t="n">
        <v>46043</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HYPERLINK("https://klasma.github.io/Logging_2303/artfynd/A 55756-2025 artfynd.xlsx", "A 55756-2025")</f>
        <v/>
      </c>
      <c r="T231">
        <f>HYPERLINK("https://klasma.github.io/Logging_2303/kartor/A 55756-2025 karta.png", "A 55756-2025")</f>
        <v/>
      </c>
      <c r="V231">
        <f>HYPERLINK("https://klasma.github.io/Logging_2303/klagomål/A 55756-2025 FSC-klagomål.docx", "A 55756-2025")</f>
        <v/>
      </c>
      <c r="W231">
        <f>HYPERLINK("https://klasma.github.io/Logging_2303/klagomålsmail/A 55756-2025 FSC-klagomål mail.docx", "A 55756-2025")</f>
        <v/>
      </c>
      <c r="X231">
        <f>HYPERLINK("https://klasma.github.io/Logging_2303/tillsyn/A 55756-2025 tillsynsbegäran.docx", "A 55756-2025")</f>
        <v/>
      </c>
      <c r="Y231">
        <f>HYPERLINK("https://klasma.github.io/Logging_2303/tillsynsmail/A 55756-2025 tillsynsbegäran mail.docx", "A 55756-2025")</f>
        <v/>
      </c>
    </row>
    <row r="232" ht="15" customHeight="1">
      <c r="A232" t="inlineStr">
        <is>
          <t>A 30390-2025</t>
        </is>
      </c>
      <c r="B232" s="1" t="n">
        <v>45827.57371527778</v>
      </c>
      <c r="C232" s="1" t="n">
        <v>46043</v>
      </c>
      <c r="D232" t="inlineStr">
        <is>
          <t>JÄMTLANDS LÄN</t>
        </is>
      </c>
      <c r="E232" t="inlineStr">
        <is>
          <t>RAGUNDA</t>
        </is>
      </c>
      <c r="F232" t="inlineStr">
        <is>
          <t>SCA</t>
        </is>
      </c>
      <c r="G232" t="n">
        <v>11.2</v>
      </c>
      <c r="H232" t="n">
        <v>0</v>
      </c>
      <c r="I232" t="n">
        <v>0</v>
      </c>
      <c r="J232" t="n">
        <v>1</v>
      </c>
      <c r="K232" t="n">
        <v>0</v>
      </c>
      <c r="L232" t="n">
        <v>0</v>
      </c>
      <c r="M232" t="n">
        <v>0</v>
      </c>
      <c r="N232" t="n">
        <v>0</v>
      </c>
      <c r="O232" t="n">
        <v>1</v>
      </c>
      <c r="P232" t="n">
        <v>0</v>
      </c>
      <c r="Q232" t="n">
        <v>1</v>
      </c>
      <c r="R232" s="2" t="inlineStr">
        <is>
          <t>Lunglav</t>
        </is>
      </c>
      <c r="S232">
        <f>HYPERLINK("https://klasma.github.io/Logging_2303/artfynd/A 30390-2025 artfynd.xlsx", "A 30390-2025")</f>
        <v/>
      </c>
      <c r="T232">
        <f>HYPERLINK("https://klasma.github.io/Logging_2303/kartor/A 30390-2025 karta.png", "A 30390-2025")</f>
        <v/>
      </c>
      <c r="U232">
        <f>HYPERLINK("https://klasma.github.io/Logging_2303/knärot/A 30390-2025 karta knärot.png", "A 30390-2025")</f>
        <v/>
      </c>
      <c r="V232">
        <f>HYPERLINK("https://klasma.github.io/Logging_2303/klagomål/A 30390-2025 FSC-klagomål.docx", "A 30390-2025")</f>
        <v/>
      </c>
      <c r="W232">
        <f>HYPERLINK("https://klasma.github.io/Logging_2303/klagomålsmail/A 30390-2025 FSC-klagomål mail.docx", "A 30390-2025")</f>
        <v/>
      </c>
      <c r="X232">
        <f>HYPERLINK("https://klasma.github.io/Logging_2303/tillsyn/A 30390-2025 tillsynsbegäran.docx", "A 30390-2025")</f>
        <v/>
      </c>
      <c r="Y232">
        <f>HYPERLINK("https://klasma.github.io/Logging_2303/tillsynsmail/A 30390-2025 tillsynsbegäran mail.docx", "A 30390-2025")</f>
        <v/>
      </c>
    </row>
    <row r="233" ht="15" customHeight="1">
      <c r="A233" t="inlineStr">
        <is>
          <t>A 22054-2025</t>
        </is>
      </c>
      <c r="B233" s="1" t="n">
        <v>45785.36525462963</v>
      </c>
      <c r="C233" s="1" t="n">
        <v>46043</v>
      </c>
      <c r="D233" t="inlineStr">
        <is>
          <t>JÄMTLANDS LÄN</t>
        </is>
      </c>
      <c r="E233" t="inlineStr">
        <is>
          <t>RAGUNDA</t>
        </is>
      </c>
      <c r="F233" t="inlineStr">
        <is>
          <t>SCA</t>
        </is>
      </c>
      <c r="G233" t="n">
        <v>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22054-2025 artfynd.xlsx", "A 22054-2025")</f>
        <v/>
      </c>
      <c r="T233">
        <f>HYPERLINK("https://klasma.github.io/Logging_2303/kartor/A 22054-2025 karta.png", "A 22054-2025")</f>
        <v/>
      </c>
      <c r="V233">
        <f>HYPERLINK("https://klasma.github.io/Logging_2303/klagomål/A 22054-2025 FSC-klagomål.docx", "A 22054-2025")</f>
        <v/>
      </c>
      <c r="W233">
        <f>HYPERLINK("https://klasma.github.io/Logging_2303/klagomålsmail/A 22054-2025 FSC-klagomål mail.docx", "A 22054-2025")</f>
        <v/>
      </c>
      <c r="X233">
        <f>HYPERLINK("https://klasma.github.io/Logging_2303/tillsyn/A 22054-2025 tillsynsbegäran.docx", "A 22054-2025")</f>
        <v/>
      </c>
      <c r="Y233">
        <f>HYPERLINK("https://klasma.github.io/Logging_2303/tillsynsmail/A 22054-2025 tillsynsbegäran mail.docx", "A 22054-2025")</f>
        <v/>
      </c>
      <c r="Z233">
        <f>HYPERLINK("https://klasma.github.io/Logging_2303/fåglar/A 22054-2025 prioriterade fågelarter.docx", "A 22054-2025")</f>
        <v/>
      </c>
    </row>
    <row r="234" ht="15" customHeight="1">
      <c r="A234" t="inlineStr">
        <is>
          <t>A 32445-2025</t>
        </is>
      </c>
      <c r="B234" s="1" t="n">
        <v>45838.38627314815</v>
      </c>
      <c r="C234" s="1" t="n">
        <v>46043</v>
      </c>
      <c r="D234" t="inlineStr">
        <is>
          <t>JÄMTLANDS LÄN</t>
        </is>
      </c>
      <c r="E234" t="inlineStr">
        <is>
          <t>RAGUNDA</t>
        </is>
      </c>
      <c r="F234" t="inlineStr">
        <is>
          <t>SCA</t>
        </is>
      </c>
      <c r="G234" t="n">
        <v>1.6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32445-2025 artfynd.xlsx", "A 32445-2025")</f>
        <v/>
      </c>
      <c r="T234">
        <f>HYPERLINK("https://klasma.github.io/Logging_2303/kartor/A 32445-2025 karta.png", "A 32445-2025")</f>
        <v/>
      </c>
      <c r="V234">
        <f>HYPERLINK("https://klasma.github.io/Logging_2303/klagomål/A 32445-2025 FSC-klagomål.docx", "A 32445-2025")</f>
        <v/>
      </c>
      <c r="W234">
        <f>HYPERLINK("https://klasma.github.io/Logging_2303/klagomålsmail/A 32445-2025 FSC-klagomål mail.docx", "A 32445-2025")</f>
        <v/>
      </c>
      <c r="X234">
        <f>HYPERLINK("https://klasma.github.io/Logging_2303/tillsyn/A 32445-2025 tillsynsbegäran.docx", "A 32445-2025")</f>
        <v/>
      </c>
      <c r="Y234">
        <f>HYPERLINK("https://klasma.github.io/Logging_2303/tillsynsmail/A 32445-2025 tillsynsbegäran mail.docx", "A 32445-2025")</f>
        <v/>
      </c>
      <c r="Z234">
        <f>HYPERLINK("https://klasma.github.io/Logging_2303/fåglar/A 32445-2025 prioriterade fågelarter.docx", "A 32445-2025")</f>
        <v/>
      </c>
    </row>
    <row r="235" ht="15" customHeight="1">
      <c r="A235" t="inlineStr">
        <is>
          <t>A 2929-2024</t>
        </is>
      </c>
      <c r="B235" s="1" t="n">
        <v>45315</v>
      </c>
      <c r="C235" s="1" t="n">
        <v>46043</v>
      </c>
      <c r="D235" t="inlineStr">
        <is>
          <t>JÄMTLANDS LÄN</t>
        </is>
      </c>
      <c r="E235" t="inlineStr">
        <is>
          <t>RAGUNDA</t>
        </is>
      </c>
      <c r="G235" t="n">
        <v>1</v>
      </c>
      <c r="H235" t="n">
        <v>0</v>
      </c>
      <c r="I235" t="n">
        <v>0</v>
      </c>
      <c r="J235" t="n">
        <v>1</v>
      </c>
      <c r="K235" t="n">
        <v>0</v>
      </c>
      <c r="L235" t="n">
        <v>0</v>
      </c>
      <c r="M235" t="n">
        <v>0</v>
      </c>
      <c r="N235" t="n">
        <v>0</v>
      </c>
      <c r="O235" t="n">
        <v>1</v>
      </c>
      <c r="P235" t="n">
        <v>0</v>
      </c>
      <c r="Q235" t="n">
        <v>1</v>
      </c>
      <c r="R235" s="2" t="inlineStr">
        <is>
          <t>Klådris</t>
        </is>
      </c>
      <c r="S235">
        <f>HYPERLINK("https://klasma.github.io/Logging_2303/artfynd/A 2929-2024 artfynd.xlsx", "A 2929-2024")</f>
        <v/>
      </c>
      <c r="T235">
        <f>HYPERLINK("https://klasma.github.io/Logging_2303/kartor/A 2929-2024 karta.png", "A 2929-2024")</f>
        <v/>
      </c>
      <c r="V235">
        <f>HYPERLINK("https://klasma.github.io/Logging_2303/klagomål/A 2929-2024 FSC-klagomål.docx", "A 2929-2024")</f>
        <v/>
      </c>
      <c r="W235">
        <f>HYPERLINK("https://klasma.github.io/Logging_2303/klagomålsmail/A 2929-2024 FSC-klagomål mail.docx", "A 2929-2024")</f>
        <v/>
      </c>
      <c r="X235">
        <f>HYPERLINK("https://klasma.github.io/Logging_2303/tillsyn/A 2929-2024 tillsynsbegäran.docx", "A 2929-2024")</f>
        <v/>
      </c>
      <c r="Y235">
        <f>HYPERLINK("https://klasma.github.io/Logging_2303/tillsynsmail/A 2929-2024 tillsynsbegäran mail.docx", "A 2929-2024")</f>
        <v/>
      </c>
    </row>
    <row r="236" ht="15" customHeight="1">
      <c r="A236" t="inlineStr">
        <is>
          <t>A 50233-2024</t>
        </is>
      </c>
      <c r="B236" s="1" t="n">
        <v>45600.55265046296</v>
      </c>
      <c r="C236" s="1" t="n">
        <v>46043</v>
      </c>
      <c r="D236" t="inlineStr">
        <is>
          <t>JÄMTLANDS LÄN</t>
        </is>
      </c>
      <c r="E236" t="inlineStr">
        <is>
          <t>RAGUNDA</t>
        </is>
      </c>
      <c r="F236" t="inlineStr">
        <is>
          <t>SCA</t>
        </is>
      </c>
      <c r="G236" t="n">
        <v>5.6</v>
      </c>
      <c r="H236" t="n">
        <v>0</v>
      </c>
      <c r="I236" t="n">
        <v>0</v>
      </c>
      <c r="J236" t="n">
        <v>1</v>
      </c>
      <c r="K236" t="n">
        <v>0</v>
      </c>
      <c r="L236" t="n">
        <v>0</v>
      </c>
      <c r="M236" t="n">
        <v>0</v>
      </c>
      <c r="N236" t="n">
        <v>0</v>
      </c>
      <c r="O236" t="n">
        <v>1</v>
      </c>
      <c r="P236" t="n">
        <v>0</v>
      </c>
      <c r="Q236" t="n">
        <v>1</v>
      </c>
      <c r="R236" s="2" t="inlineStr">
        <is>
          <t>Granticka</t>
        </is>
      </c>
      <c r="S236">
        <f>HYPERLINK("https://klasma.github.io/Logging_2303/artfynd/A 50233-2024 artfynd.xlsx", "A 50233-2024")</f>
        <v/>
      </c>
      <c r="T236">
        <f>HYPERLINK("https://klasma.github.io/Logging_2303/kartor/A 50233-2024 karta.png", "A 50233-2024")</f>
        <v/>
      </c>
      <c r="V236">
        <f>HYPERLINK("https://klasma.github.io/Logging_2303/klagomål/A 50233-2024 FSC-klagomål.docx", "A 50233-2024")</f>
        <v/>
      </c>
      <c r="W236">
        <f>HYPERLINK("https://klasma.github.io/Logging_2303/klagomålsmail/A 50233-2024 FSC-klagomål mail.docx", "A 50233-2024")</f>
        <v/>
      </c>
      <c r="X236">
        <f>HYPERLINK("https://klasma.github.io/Logging_2303/tillsyn/A 50233-2024 tillsynsbegäran.docx", "A 50233-2024")</f>
        <v/>
      </c>
      <c r="Y236">
        <f>HYPERLINK("https://klasma.github.io/Logging_2303/tillsynsmail/A 50233-2024 tillsynsbegäran mail.docx", "A 50233-2024")</f>
        <v/>
      </c>
    </row>
    <row r="237" ht="15" customHeight="1">
      <c r="A237" t="inlineStr">
        <is>
          <t>A 34474-2025</t>
        </is>
      </c>
      <c r="B237" s="1" t="n">
        <v>45847.36528935185</v>
      </c>
      <c r="C237" s="1" t="n">
        <v>46043</v>
      </c>
      <c r="D237" t="inlineStr">
        <is>
          <t>JÄMTLANDS LÄN</t>
        </is>
      </c>
      <c r="E237" t="inlineStr">
        <is>
          <t>RAGUNDA</t>
        </is>
      </c>
      <c r="F237" t="inlineStr">
        <is>
          <t>SCA</t>
        </is>
      </c>
      <c r="G237" t="n">
        <v>9.699999999999999</v>
      </c>
      <c r="H237" t="n">
        <v>1</v>
      </c>
      <c r="I237" t="n">
        <v>0</v>
      </c>
      <c r="J237" t="n">
        <v>1</v>
      </c>
      <c r="K237" t="n">
        <v>0</v>
      </c>
      <c r="L237" t="n">
        <v>0</v>
      </c>
      <c r="M237" t="n">
        <v>0</v>
      </c>
      <c r="N237" t="n">
        <v>0</v>
      </c>
      <c r="O237" t="n">
        <v>1</v>
      </c>
      <c r="P237" t="n">
        <v>0</v>
      </c>
      <c r="Q237" t="n">
        <v>1</v>
      </c>
      <c r="R237" s="2" t="inlineStr">
        <is>
          <t>Fjällvråk</t>
        </is>
      </c>
      <c r="S237">
        <f>HYPERLINK("https://klasma.github.io/Logging_2303/artfynd/A 34474-2025 artfynd.xlsx", "A 34474-2025")</f>
        <v/>
      </c>
      <c r="T237">
        <f>HYPERLINK("https://klasma.github.io/Logging_2303/kartor/A 34474-2025 karta.png", "A 34474-2025")</f>
        <v/>
      </c>
      <c r="V237">
        <f>HYPERLINK("https://klasma.github.io/Logging_2303/klagomål/A 34474-2025 FSC-klagomål.docx", "A 34474-2025")</f>
        <v/>
      </c>
      <c r="W237">
        <f>HYPERLINK("https://klasma.github.io/Logging_2303/klagomålsmail/A 34474-2025 FSC-klagomål mail.docx", "A 34474-2025")</f>
        <v/>
      </c>
      <c r="X237">
        <f>HYPERLINK("https://klasma.github.io/Logging_2303/tillsyn/A 34474-2025 tillsynsbegäran.docx", "A 34474-2025")</f>
        <v/>
      </c>
      <c r="Y237">
        <f>HYPERLINK("https://klasma.github.io/Logging_2303/tillsynsmail/A 34474-2025 tillsynsbegäran mail.docx", "A 34474-2025")</f>
        <v/>
      </c>
      <c r="Z237">
        <f>HYPERLINK("https://klasma.github.io/Logging_2303/fåglar/A 34474-2025 prioriterade fågelarter.docx", "A 34474-2025")</f>
        <v/>
      </c>
    </row>
    <row r="238" ht="15" customHeight="1">
      <c r="A238" t="inlineStr">
        <is>
          <t>A 19751-2025</t>
        </is>
      </c>
      <c r="B238" s="1" t="n">
        <v>45771.3859837963</v>
      </c>
      <c r="C238" s="1" t="n">
        <v>46043</v>
      </c>
      <c r="D238" t="inlineStr">
        <is>
          <t>JÄMTLANDS LÄN</t>
        </is>
      </c>
      <c r="E238" t="inlineStr">
        <is>
          <t>RAGUNDA</t>
        </is>
      </c>
      <c r="F238" t="inlineStr">
        <is>
          <t>SCA</t>
        </is>
      </c>
      <c r="G238" t="n">
        <v>1.1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19751-2025 artfynd.xlsx", "A 19751-2025")</f>
        <v/>
      </c>
      <c r="T238">
        <f>HYPERLINK("https://klasma.github.io/Logging_2303/kartor/A 19751-2025 karta.png", "A 19751-2025")</f>
        <v/>
      </c>
      <c r="V238">
        <f>HYPERLINK("https://klasma.github.io/Logging_2303/klagomål/A 19751-2025 FSC-klagomål.docx", "A 19751-2025")</f>
        <v/>
      </c>
      <c r="W238">
        <f>HYPERLINK("https://klasma.github.io/Logging_2303/klagomålsmail/A 19751-2025 FSC-klagomål mail.docx", "A 19751-2025")</f>
        <v/>
      </c>
      <c r="X238">
        <f>HYPERLINK("https://klasma.github.io/Logging_2303/tillsyn/A 19751-2025 tillsynsbegäran.docx", "A 19751-2025")</f>
        <v/>
      </c>
      <c r="Y238">
        <f>HYPERLINK("https://klasma.github.io/Logging_2303/tillsynsmail/A 19751-2025 tillsynsbegäran mail.docx", "A 19751-2025")</f>
        <v/>
      </c>
      <c r="Z238">
        <f>HYPERLINK("https://klasma.github.io/Logging_2303/fåglar/A 19751-2025 prioriterade fågelarter.docx", "A 19751-2025")</f>
        <v/>
      </c>
    </row>
    <row r="239" ht="15" customHeight="1">
      <c r="A239" t="inlineStr">
        <is>
          <t>A 36224-2023</t>
        </is>
      </c>
      <c r="B239" s="1" t="n">
        <v>45149</v>
      </c>
      <c r="C239" s="1" t="n">
        <v>46043</v>
      </c>
      <c r="D239" t="inlineStr">
        <is>
          <t>JÄMTLANDS LÄN</t>
        </is>
      </c>
      <c r="E239" t="inlineStr">
        <is>
          <t>RAGUNDA</t>
        </is>
      </c>
      <c r="F239" t="inlineStr">
        <is>
          <t>SCA</t>
        </is>
      </c>
      <c r="G239" t="n">
        <v>8.1</v>
      </c>
      <c r="H239" t="n">
        <v>0</v>
      </c>
      <c r="I239" t="n">
        <v>0</v>
      </c>
      <c r="J239" t="n">
        <v>1</v>
      </c>
      <c r="K239" t="n">
        <v>0</v>
      </c>
      <c r="L239" t="n">
        <v>0</v>
      </c>
      <c r="M239" t="n">
        <v>0</v>
      </c>
      <c r="N239" t="n">
        <v>0</v>
      </c>
      <c r="O239" t="n">
        <v>1</v>
      </c>
      <c r="P239" t="n">
        <v>0</v>
      </c>
      <c r="Q239" t="n">
        <v>1</v>
      </c>
      <c r="R239" s="2" t="inlineStr">
        <is>
          <t>Garnlav</t>
        </is>
      </c>
      <c r="S239">
        <f>HYPERLINK("https://klasma.github.io/Logging_2303/artfynd/A 36224-2023 artfynd.xlsx", "A 36224-2023")</f>
        <v/>
      </c>
      <c r="T239">
        <f>HYPERLINK("https://klasma.github.io/Logging_2303/kartor/A 36224-2023 karta.png", "A 36224-2023")</f>
        <v/>
      </c>
      <c r="V239">
        <f>HYPERLINK("https://klasma.github.io/Logging_2303/klagomål/A 36224-2023 FSC-klagomål.docx", "A 36224-2023")</f>
        <v/>
      </c>
      <c r="W239">
        <f>HYPERLINK("https://klasma.github.io/Logging_2303/klagomålsmail/A 36224-2023 FSC-klagomål mail.docx", "A 36224-2023")</f>
        <v/>
      </c>
      <c r="X239">
        <f>HYPERLINK("https://klasma.github.io/Logging_2303/tillsyn/A 36224-2023 tillsynsbegäran.docx", "A 36224-2023")</f>
        <v/>
      </c>
      <c r="Y239">
        <f>HYPERLINK("https://klasma.github.io/Logging_2303/tillsynsmail/A 36224-2023 tillsynsbegäran mail.docx", "A 36224-2023")</f>
        <v/>
      </c>
    </row>
    <row r="240" ht="15" customHeight="1">
      <c r="A240" t="inlineStr">
        <is>
          <t>A 17340-2023</t>
        </is>
      </c>
      <c r="B240" s="1" t="n">
        <v>45033</v>
      </c>
      <c r="C240" s="1" t="n">
        <v>46043</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16724-2025</t>
        </is>
      </c>
      <c r="B241" s="1" t="n">
        <v>45754.51064814815</v>
      </c>
      <c r="C241" s="1" t="n">
        <v>46043</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62072-2023</t>
        </is>
      </c>
      <c r="B242" s="1" t="n">
        <v>45266</v>
      </c>
      <c r="C242" s="1" t="n">
        <v>46043</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25694-2023</t>
        </is>
      </c>
      <c r="B243" s="1" t="n">
        <v>45089</v>
      </c>
      <c r="C243" s="1" t="n">
        <v>46043</v>
      </c>
      <c r="D243" t="inlineStr">
        <is>
          <t>JÄMTLANDS LÄN</t>
        </is>
      </c>
      <c r="E243" t="inlineStr">
        <is>
          <t>RAGUNDA</t>
        </is>
      </c>
      <c r="F243" t="inlineStr">
        <is>
          <t>SCA</t>
        </is>
      </c>
      <c r="G243" t="n">
        <v>1.5</v>
      </c>
      <c r="H243" t="n">
        <v>0</v>
      </c>
      <c r="I243" t="n">
        <v>0</v>
      </c>
      <c r="J243" t="n">
        <v>1</v>
      </c>
      <c r="K243" t="n">
        <v>0</v>
      </c>
      <c r="L243" t="n">
        <v>0</v>
      </c>
      <c r="M243" t="n">
        <v>0</v>
      </c>
      <c r="N243" t="n">
        <v>0</v>
      </c>
      <c r="O243" t="n">
        <v>1</v>
      </c>
      <c r="P243" t="n">
        <v>0</v>
      </c>
      <c r="Q243" t="n">
        <v>1</v>
      </c>
      <c r="R243" s="2" t="inlineStr">
        <is>
          <t>Ullticka</t>
        </is>
      </c>
      <c r="S243">
        <f>HYPERLINK("https://klasma.github.io/Logging_2303/artfynd/A 25694-2023 artfynd.xlsx", "A 25694-2023")</f>
        <v/>
      </c>
      <c r="T243">
        <f>HYPERLINK("https://klasma.github.io/Logging_2303/kartor/A 25694-2023 karta.png", "A 25694-2023")</f>
        <v/>
      </c>
      <c r="V243">
        <f>HYPERLINK("https://klasma.github.io/Logging_2303/klagomål/A 25694-2023 FSC-klagomål.docx", "A 25694-2023")</f>
        <v/>
      </c>
      <c r="W243">
        <f>HYPERLINK("https://klasma.github.io/Logging_2303/klagomålsmail/A 25694-2023 FSC-klagomål mail.docx", "A 25694-2023")</f>
        <v/>
      </c>
      <c r="X243">
        <f>HYPERLINK("https://klasma.github.io/Logging_2303/tillsyn/A 25694-2023 tillsynsbegäran.docx", "A 25694-2023")</f>
        <v/>
      </c>
      <c r="Y243">
        <f>HYPERLINK("https://klasma.github.io/Logging_2303/tillsynsmail/A 25694-2023 tillsynsbegäran mail.docx", "A 25694-2023")</f>
        <v/>
      </c>
    </row>
    <row r="244" ht="15" customHeight="1">
      <c r="A244" t="inlineStr">
        <is>
          <t>A 49770-2024</t>
        </is>
      </c>
      <c r="B244" s="1" t="n">
        <v>45597.34461805555</v>
      </c>
      <c r="C244" s="1" t="n">
        <v>46043</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36757-2023</t>
        </is>
      </c>
      <c r="B245" s="1" t="n">
        <v>45153</v>
      </c>
      <c r="C245" s="1" t="n">
        <v>46043</v>
      </c>
      <c r="D245" t="inlineStr">
        <is>
          <t>JÄMTLANDS LÄN</t>
        </is>
      </c>
      <c r="E245" t="inlineStr">
        <is>
          <t>RAGUNDA</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36757-2023 artfynd.xlsx", "A 36757-2023")</f>
        <v/>
      </c>
      <c r="T245">
        <f>HYPERLINK("https://klasma.github.io/Logging_2303/kartor/A 36757-2023 karta.png", "A 36757-2023")</f>
        <v/>
      </c>
      <c r="V245">
        <f>HYPERLINK("https://klasma.github.io/Logging_2303/klagomål/A 36757-2023 FSC-klagomål.docx", "A 36757-2023")</f>
        <v/>
      </c>
      <c r="W245">
        <f>HYPERLINK("https://klasma.github.io/Logging_2303/klagomålsmail/A 36757-2023 FSC-klagomål mail.docx", "A 36757-2023")</f>
        <v/>
      </c>
      <c r="X245">
        <f>HYPERLINK("https://klasma.github.io/Logging_2303/tillsyn/A 36757-2023 tillsynsbegäran.docx", "A 36757-2023")</f>
        <v/>
      </c>
      <c r="Y245">
        <f>HYPERLINK("https://klasma.github.io/Logging_2303/tillsynsmail/A 36757-2023 tillsynsbegäran mail.docx", "A 36757-2023")</f>
        <v/>
      </c>
      <c r="Z245">
        <f>HYPERLINK("https://klasma.github.io/Logging_2303/fåglar/A 36757-2023 prioriterade fågelarter.docx", "A 36757-2023")</f>
        <v/>
      </c>
    </row>
    <row r="246" ht="15" customHeight="1">
      <c r="A246" t="inlineStr">
        <is>
          <t>A 43404-2023</t>
        </is>
      </c>
      <c r="B246" s="1" t="n">
        <v>45183</v>
      </c>
      <c r="C246" s="1" t="n">
        <v>46043</v>
      </c>
      <c r="D246" t="inlineStr">
        <is>
          <t>JÄMTLANDS LÄN</t>
        </is>
      </c>
      <c r="E246" t="inlineStr">
        <is>
          <t>RAGUNDA</t>
        </is>
      </c>
      <c r="F246" t="inlineStr">
        <is>
          <t>SCA</t>
        </is>
      </c>
      <c r="G246" t="n">
        <v>0.9</v>
      </c>
      <c r="H246" t="n">
        <v>0</v>
      </c>
      <c r="I246" t="n">
        <v>1</v>
      </c>
      <c r="J246" t="n">
        <v>0</v>
      </c>
      <c r="K246" t="n">
        <v>0</v>
      </c>
      <c r="L246" t="n">
        <v>0</v>
      </c>
      <c r="M246" t="n">
        <v>0</v>
      </c>
      <c r="N246" t="n">
        <v>0</v>
      </c>
      <c r="O246" t="n">
        <v>0</v>
      </c>
      <c r="P246" t="n">
        <v>0</v>
      </c>
      <c r="Q246" t="n">
        <v>1</v>
      </c>
      <c r="R246" s="2" t="inlineStr">
        <is>
          <t>Kryddspindling</t>
        </is>
      </c>
      <c r="S246">
        <f>HYPERLINK("https://klasma.github.io/Logging_2303/artfynd/A 43404-2023 artfynd.xlsx", "A 43404-2023")</f>
        <v/>
      </c>
      <c r="T246">
        <f>HYPERLINK("https://klasma.github.io/Logging_2303/kartor/A 43404-2023 karta.png", "A 43404-2023")</f>
        <v/>
      </c>
      <c r="V246">
        <f>HYPERLINK("https://klasma.github.io/Logging_2303/klagomål/A 43404-2023 FSC-klagomål.docx", "A 43404-2023")</f>
        <v/>
      </c>
      <c r="W246">
        <f>HYPERLINK("https://klasma.github.io/Logging_2303/klagomålsmail/A 43404-2023 FSC-klagomål mail.docx", "A 43404-2023")</f>
        <v/>
      </c>
      <c r="X246">
        <f>HYPERLINK("https://klasma.github.io/Logging_2303/tillsyn/A 43404-2023 tillsynsbegäran.docx", "A 43404-2023")</f>
        <v/>
      </c>
      <c r="Y246">
        <f>HYPERLINK("https://klasma.github.io/Logging_2303/tillsynsmail/A 43404-2023 tillsynsbegäran mail.docx", "A 43404-2023")</f>
        <v/>
      </c>
    </row>
    <row r="247" ht="15" customHeight="1">
      <c r="A247" t="inlineStr">
        <is>
          <t>A 61324-2024</t>
        </is>
      </c>
      <c r="B247" s="1" t="n">
        <v>45646.34438657408</v>
      </c>
      <c r="C247" s="1" t="n">
        <v>46043</v>
      </c>
      <c r="D247" t="inlineStr">
        <is>
          <t>JÄMTLANDS LÄN</t>
        </is>
      </c>
      <c r="E247" t="inlineStr">
        <is>
          <t>RAGUNDA</t>
        </is>
      </c>
      <c r="F247" t="inlineStr">
        <is>
          <t>SCA</t>
        </is>
      </c>
      <c r="G247" t="n">
        <v>11.2</v>
      </c>
      <c r="H247" t="n">
        <v>1</v>
      </c>
      <c r="I247" t="n">
        <v>0</v>
      </c>
      <c r="J247" t="n">
        <v>0</v>
      </c>
      <c r="K247" t="n">
        <v>0</v>
      </c>
      <c r="L247" t="n">
        <v>0</v>
      </c>
      <c r="M247" t="n">
        <v>0</v>
      </c>
      <c r="N247" t="n">
        <v>0</v>
      </c>
      <c r="O247" t="n">
        <v>0</v>
      </c>
      <c r="P247" t="n">
        <v>0</v>
      </c>
      <c r="Q247" t="n">
        <v>1</v>
      </c>
      <c r="R247" s="2" t="inlineStr">
        <is>
          <t>Trana</t>
        </is>
      </c>
      <c r="S247">
        <f>HYPERLINK("https://klasma.github.io/Logging_2303/artfynd/A 61324-2024 artfynd.xlsx", "A 61324-2024")</f>
        <v/>
      </c>
      <c r="T247">
        <f>HYPERLINK("https://klasma.github.io/Logging_2303/kartor/A 61324-2024 karta.png", "A 61324-2024")</f>
        <v/>
      </c>
      <c r="V247">
        <f>HYPERLINK("https://klasma.github.io/Logging_2303/klagomål/A 61324-2024 FSC-klagomål.docx", "A 61324-2024")</f>
        <v/>
      </c>
      <c r="W247">
        <f>HYPERLINK("https://klasma.github.io/Logging_2303/klagomålsmail/A 61324-2024 FSC-klagomål mail.docx", "A 61324-2024")</f>
        <v/>
      </c>
      <c r="X247">
        <f>HYPERLINK("https://klasma.github.io/Logging_2303/tillsyn/A 61324-2024 tillsynsbegäran.docx", "A 61324-2024")</f>
        <v/>
      </c>
      <c r="Y247">
        <f>HYPERLINK("https://klasma.github.io/Logging_2303/tillsynsmail/A 61324-2024 tillsynsbegäran mail.docx", "A 61324-2024")</f>
        <v/>
      </c>
      <c r="Z247">
        <f>HYPERLINK("https://klasma.github.io/Logging_2303/fåglar/A 61324-2024 prioriterade fågelarter.docx", "A 61324-2024")</f>
        <v/>
      </c>
    </row>
    <row r="248" ht="15" customHeight="1">
      <c r="A248" t="inlineStr">
        <is>
          <t>A 19387-2025</t>
        </is>
      </c>
      <c r="B248" s="1" t="n">
        <v>45769.65736111111</v>
      </c>
      <c r="C248" s="1" t="n">
        <v>46043</v>
      </c>
      <c r="D248" t="inlineStr">
        <is>
          <t>JÄMTLANDS LÄN</t>
        </is>
      </c>
      <c r="E248" t="inlineStr">
        <is>
          <t>RAGUNDA</t>
        </is>
      </c>
      <c r="F248" t="inlineStr">
        <is>
          <t>SCA</t>
        </is>
      </c>
      <c r="G248" t="n">
        <v>16.4</v>
      </c>
      <c r="H248" t="n">
        <v>1</v>
      </c>
      <c r="I248" t="n">
        <v>0</v>
      </c>
      <c r="J248" t="n">
        <v>0</v>
      </c>
      <c r="K248" t="n">
        <v>1</v>
      </c>
      <c r="L248" t="n">
        <v>0</v>
      </c>
      <c r="M248" t="n">
        <v>0</v>
      </c>
      <c r="N248" t="n">
        <v>0</v>
      </c>
      <c r="O248" t="n">
        <v>1</v>
      </c>
      <c r="P248" t="n">
        <v>1</v>
      </c>
      <c r="Q248" t="n">
        <v>1</v>
      </c>
      <c r="R248" s="2" t="inlineStr">
        <is>
          <t>Norna</t>
        </is>
      </c>
      <c r="S248">
        <f>HYPERLINK("https://klasma.github.io/Logging_2303/artfynd/A 19387-2025 artfynd.xlsx", "A 19387-2025")</f>
        <v/>
      </c>
      <c r="T248">
        <f>HYPERLINK("https://klasma.github.io/Logging_2303/kartor/A 19387-2025 karta.png", "A 19387-2025")</f>
        <v/>
      </c>
      <c r="V248">
        <f>HYPERLINK("https://klasma.github.io/Logging_2303/klagomål/A 19387-2025 FSC-klagomål.docx", "A 19387-2025")</f>
        <v/>
      </c>
      <c r="W248">
        <f>HYPERLINK("https://klasma.github.io/Logging_2303/klagomålsmail/A 19387-2025 FSC-klagomål mail.docx", "A 19387-2025")</f>
        <v/>
      </c>
      <c r="X248">
        <f>HYPERLINK("https://klasma.github.io/Logging_2303/tillsyn/A 19387-2025 tillsynsbegäran.docx", "A 19387-2025")</f>
        <v/>
      </c>
      <c r="Y248">
        <f>HYPERLINK("https://klasma.github.io/Logging_2303/tillsynsmail/A 19387-2025 tillsynsbegäran mail.docx", "A 19387-2025")</f>
        <v/>
      </c>
    </row>
    <row r="249" ht="15" customHeight="1">
      <c r="A249" t="inlineStr">
        <is>
          <t>A 20575-2025</t>
        </is>
      </c>
      <c r="B249" s="1" t="n">
        <v>45775.67769675926</v>
      </c>
      <c r="C249" s="1" t="n">
        <v>46043</v>
      </c>
      <c r="D249" t="inlineStr">
        <is>
          <t>JÄMTLANDS LÄN</t>
        </is>
      </c>
      <c r="E249" t="inlineStr">
        <is>
          <t>RAGUNDA</t>
        </is>
      </c>
      <c r="F249" t="inlineStr">
        <is>
          <t>SCA</t>
        </is>
      </c>
      <c r="G249" t="n">
        <v>8.1</v>
      </c>
      <c r="H249" t="n">
        <v>1</v>
      </c>
      <c r="I249" t="n">
        <v>0</v>
      </c>
      <c r="J249" t="n">
        <v>1</v>
      </c>
      <c r="K249" t="n">
        <v>0</v>
      </c>
      <c r="L249" t="n">
        <v>0</v>
      </c>
      <c r="M249" t="n">
        <v>0</v>
      </c>
      <c r="N249" t="n">
        <v>0</v>
      </c>
      <c r="O249" t="n">
        <v>1</v>
      </c>
      <c r="P249" t="n">
        <v>0</v>
      </c>
      <c r="Q249" t="n">
        <v>1</v>
      </c>
      <c r="R249" s="2" t="inlineStr">
        <is>
          <t>Skogsfru</t>
        </is>
      </c>
      <c r="S249">
        <f>HYPERLINK("https://klasma.github.io/Logging_2303/artfynd/A 20575-2025 artfynd.xlsx", "A 20575-2025")</f>
        <v/>
      </c>
      <c r="T249">
        <f>HYPERLINK("https://klasma.github.io/Logging_2303/kartor/A 20575-2025 karta.png", "A 20575-2025")</f>
        <v/>
      </c>
      <c r="V249">
        <f>HYPERLINK("https://klasma.github.io/Logging_2303/klagomål/A 20575-2025 FSC-klagomål.docx", "A 20575-2025")</f>
        <v/>
      </c>
      <c r="W249">
        <f>HYPERLINK("https://klasma.github.io/Logging_2303/klagomålsmail/A 20575-2025 FSC-klagomål mail.docx", "A 20575-2025")</f>
        <v/>
      </c>
      <c r="X249">
        <f>HYPERLINK("https://klasma.github.io/Logging_2303/tillsyn/A 20575-2025 tillsynsbegäran.docx", "A 20575-2025")</f>
        <v/>
      </c>
      <c r="Y249">
        <f>HYPERLINK("https://klasma.github.io/Logging_2303/tillsynsmail/A 20575-2025 tillsynsbegäran mail.docx", "A 20575-2025")</f>
        <v/>
      </c>
    </row>
    <row r="250" ht="15" customHeight="1">
      <c r="A250" t="inlineStr">
        <is>
          <t>A 20774-2024</t>
        </is>
      </c>
      <c r="B250" s="1" t="n">
        <v>45436.94644675926</v>
      </c>
      <c r="C250" s="1" t="n">
        <v>46043</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26317-2024</t>
        </is>
      </c>
      <c r="B251" s="1" t="n">
        <v>45468</v>
      </c>
      <c r="C251" s="1" t="n">
        <v>46043</v>
      </c>
      <c r="D251" t="inlineStr">
        <is>
          <t>JÄMTLANDS LÄN</t>
        </is>
      </c>
      <c r="E251" t="inlineStr">
        <is>
          <t>RAGUNDA</t>
        </is>
      </c>
      <c r="F251" t="inlineStr">
        <is>
          <t>SCA</t>
        </is>
      </c>
      <c r="G251" t="n">
        <v>3.8</v>
      </c>
      <c r="H251" t="n">
        <v>0</v>
      </c>
      <c r="I251" t="n">
        <v>0</v>
      </c>
      <c r="J251" t="n">
        <v>1</v>
      </c>
      <c r="K251" t="n">
        <v>0</v>
      </c>
      <c r="L251" t="n">
        <v>0</v>
      </c>
      <c r="M251" t="n">
        <v>0</v>
      </c>
      <c r="N251" t="n">
        <v>0</v>
      </c>
      <c r="O251" t="n">
        <v>1</v>
      </c>
      <c r="P251" t="n">
        <v>0</v>
      </c>
      <c r="Q251" t="n">
        <v>1</v>
      </c>
      <c r="R251" s="2" t="inlineStr">
        <is>
          <t>Kortskaftad ärgspik</t>
        </is>
      </c>
      <c r="S251">
        <f>HYPERLINK("https://klasma.github.io/Logging_2303/artfynd/A 26317-2024 artfynd.xlsx", "A 26317-2024")</f>
        <v/>
      </c>
      <c r="T251">
        <f>HYPERLINK("https://klasma.github.io/Logging_2303/kartor/A 26317-2024 karta.png", "A 26317-2024")</f>
        <v/>
      </c>
      <c r="V251">
        <f>HYPERLINK("https://klasma.github.io/Logging_2303/klagomål/A 26317-2024 FSC-klagomål.docx", "A 26317-2024")</f>
        <v/>
      </c>
      <c r="W251">
        <f>HYPERLINK("https://klasma.github.io/Logging_2303/klagomålsmail/A 26317-2024 FSC-klagomål mail.docx", "A 26317-2024")</f>
        <v/>
      </c>
      <c r="X251">
        <f>HYPERLINK("https://klasma.github.io/Logging_2303/tillsyn/A 26317-2024 tillsynsbegäran.docx", "A 26317-2024")</f>
        <v/>
      </c>
      <c r="Y251">
        <f>HYPERLINK("https://klasma.github.io/Logging_2303/tillsynsmail/A 26317-2024 tillsynsbegäran mail.docx", "A 26317-2024")</f>
        <v/>
      </c>
    </row>
    <row r="252" ht="15" customHeight="1">
      <c r="A252" t="inlineStr">
        <is>
          <t>A 31773-2021</t>
        </is>
      </c>
      <c r="B252" s="1" t="n">
        <v>44369</v>
      </c>
      <c r="C252" s="1" t="n">
        <v>46043</v>
      </c>
      <c r="D252" t="inlineStr">
        <is>
          <t>JÄMTLANDS LÄN</t>
        </is>
      </c>
      <c r="E252" t="inlineStr">
        <is>
          <t>RAGUNDA</t>
        </is>
      </c>
      <c r="G252" t="n">
        <v>0.8</v>
      </c>
      <c r="H252" t="n">
        <v>0</v>
      </c>
      <c r="I252" t="n">
        <v>0</v>
      </c>
      <c r="J252" t="n">
        <v>0</v>
      </c>
      <c r="K252" t="n">
        <v>1</v>
      </c>
      <c r="L252" t="n">
        <v>0</v>
      </c>
      <c r="M252" t="n">
        <v>0</v>
      </c>
      <c r="N252" t="n">
        <v>0</v>
      </c>
      <c r="O252" t="n">
        <v>1</v>
      </c>
      <c r="P252" t="n">
        <v>1</v>
      </c>
      <c r="Q252" t="n">
        <v>1</v>
      </c>
      <c r="R252" s="2" t="inlineStr">
        <is>
          <t>Strandsandjägare</t>
        </is>
      </c>
      <c r="S252">
        <f>HYPERLINK("https://klasma.github.io/Logging_2303/artfynd/A 31773-2021 artfynd.xlsx", "A 31773-2021")</f>
        <v/>
      </c>
      <c r="T252">
        <f>HYPERLINK("https://klasma.github.io/Logging_2303/kartor/A 31773-2021 karta.png", "A 31773-2021")</f>
        <v/>
      </c>
      <c r="V252">
        <f>HYPERLINK("https://klasma.github.io/Logging_2303/klagomål/A 31773-2021 FSC-klagomål.docx", "A 31773-2021")</f>
        <v/>
      </c>
      <c r="W252">
        <f>HYPERLINK("https://klasma.github.io/Logging_2303/klagomålsmail/A 31773-2021 FSC-klagomål mail.docx", "A 31773-2021")</f>
        <v/>
      </c>
      <c r="X252">
        <f>HYPERLINK("https://klasma.github.io/Logging_2303/tillsyn/A 31773-2021 tillsynsbegäran.docx", "A 31773-2021")</f>
        <v/>
      </c>
      <c r="Y252">
        <f>HYPERLINK("https://klasma.github.io/Logging_2303/tillsynsmail/A 31773-2021 tillsynsbegäran mail.docx", "A 31773-2021")</f>
        <v/>
      </c>
    </row>
    <row r="253" ht="15" customHeight="1">
      <c r="A253" t="inlineStr">
        <is>
          <t>A 48477-2023</t>
        </is>
      </c>
      <c r="B253" s="1" t="n">
        <v>45206</v>
      </c>
      <c r="C253" s="1" t="n">
        <v>46043</v>
      </c>
      <c r="D253" t="inlineStr">
        <is>
          <t>JÄMTLANDS LÄN</t>
        </is>
      </c>
      <c r="E253" t="inlineStr">
        <is>
          <t>RAGUNDA</t>
        </is>
      </c>
      <c r="F253" t="inlineStr">
        <is>
          <t>SCA</t>
        </is>
      </c>
      <c r="G253" t="n">
        <v>1.8</v>
      </c>
      <c r="H253" t="n">
        <v>0</v>
      </c>
      <c r="I253" t="n">
        <v>1</v>
      </c>
      <c r="J253" t="n">
        <v>0</v>
      </c>
      <c r="K253" t="n">
        <v>0</v>
      </c>
      <c r="L253" t="n">
        <v>0</v>
      </c>
      <c r="M253" t="n">
        <v>0</v>
      </c>
      <c r="N253" t="n">
        <v>0</v>
      </c>
      <c r="O253" t="n">
        <v>0</v>
      </c>
      <c r="P253" t="n">
        <v>0</v>
      </c>
      <c r="Q253" t="n">
        <v>1</v>
      </c>
      <c r="R253" s="2" t="inlineStr">
        <is>
          <t>Dropptaggsvamp</t>
        </is>
      </c>
      <c r="S253">
        <f>HYPERLINK("https://klasma.github.io/Logging_2303/artfynd/A 48477-2023 artfynd.xlsx", "A 48477-2023")</f>
        <v/>
      </c>
      <c r="T253">
        <f>HYPERLINK("https://klasma.github.io/Logging_2303/kartor/A 48477-2023 karta.png", "A 48477-2023")</f>
        <v/>
      </c>
      <c r="V253">
        <f>HYPERLINK("https://klasma.github.io/Logging_2303/klagomål/A 48477-2023 FSC-klagomål.docx", "A 48477-2023")</f>
        <v/>
      </c>
      <c r="W253">
        <f>HYPERLINK("https://klasma.github.io/Logging_2303/klagomålsmail/A 48477-2023 FSC-klagomål mail.docx", "A 48477-2023")</f>
        <v/>
      </c>
      <c r="X253">
        <f>HYPERLINK("https://klasma.github.io/Logging_2303/tillsyn/A 48477-2023 tillsynsbegäran.docx", "A 48477-2023")</f>
        <v/>
      </c>
      <c r="Y253">
        <f>HYPERLINK("https://klasma.github.io/Logging_2303/tillsynsmail/A 48477-2023 tillsynsbegäran mail.docx", "A 48477-2023")</f>
        <v/>
      </c>
    </row>
    <row r="254" ht="15" customHeight="1">
      <c r="A254" t="inlineStr">
        <is>
          <t>A 18985-2023</t>
        </is>
      </c>
      <c r="B254" s="1" t="n">
        <v>45044</v>
      </c>
      <c r="C254" s="1" t="n">
        <v>46043</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58846-2024</t>
        </is>
      </c>
      <c r="B255" s="1" t="n">
        <v>45636.3863425926</v>
      </c>
      <c r="C255" s="1" t="n">
        <v>46043</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26322-2024</t>
        </is>
      </c>
      <c r="B256" s="1" t="n">
        <v>45468.97461805555</v>
      </c>
      <c r="C256" s="1" t="n">
        <v>46043</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21212-2025</t>
        </is>
      </c>
      <c r="B257" s="1" t="n">
        <v>45779.48993055556</v>
      </c>
      <c r="C257" s="1" t="n">
        <v>46043</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46043</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66059-2021</t>
        </is>
      </c>
      <c r="B259" s="1" t="n">
        <v>44517</v>
      </c>
      <c r="C259" s="1" t="n">
        <v>46043</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46043</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46043</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46043</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46050-2022</t>
        </is>
      </c>
      <c r="B263" s="1" t="n">
        <v>44846</v>
      </c>
      <c r="C263" s="1" t="n">
        <v>46043</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46043</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46043</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46043</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46043</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46043</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46043</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46043</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46043</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46043</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46043</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46043</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46043</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46043</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46043</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46043</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46043</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46043</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46043</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46043</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46043</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46043</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46043</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46043</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46043</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46043</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46043</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46043</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46043</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46043</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46043</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46043</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46043</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46043</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46043</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46043</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46043</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46043</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46043</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46043</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46043</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46043</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46043</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46043</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46043</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46043</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46043</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46043</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19612-2021</t>
        </is>
      </c>
      <c r="B311" s="1" t="n">
        <v>44308</v>
      </c>
      <c r="C311" s="1" t="n">
        <v>46043</v>
      </c>
      <c r="D311" t="inlineStr">
        <is>
          <t>JÄMTLANDS LÄN</t>
        </is>
      </c>
      <c r="E311" t="inlineStr">
        <is>
          <t>RAGUNDA</t>
        </is>
      </c>
      <c r="G311" t="n">
        <v>1</v>
      </c>
      <c r="H311" t="n">
        <v>0</v>
      </c>
      <c r="I311" t="n">
        <v>0</v>
      </c>
      <c r="J311" t="n">
        <v>0</v>
      </c>
      <c r="K311" t="n">
        <v>0</v>
      </c>
      <c r="L311" t="n">
        <v>0</v>
      </c>
      <c r="M311" t="n">
        <v>0</v>
      </c>
      <c r="N311" t="n">
        <v>0</v>
      </c>
      <c r="O311" t="n">
        <v>0</v>
      </c>
      <c r="P311" t="n">
        <v>0</v>
      </c>
      <c r="Q311" t="n">
        <v>0</v>
      </c>
      <c r="R311" s="2" t="inlineStr"/>
    </row>
    <row r="312" ht="15" customHeight="1">
      <c r="A312" t="inlineStr">
        <is>
          <t>A 19615-2021</t>
        </is>
      </c>
      <c r="B312" s="1" t="n">
        <v>44308</v>
      </c>
      <c r="C312" s="1" t="n">
        <v>46043</v>
      </c>
      <c r="D312" t="inlineStr">
        <is>
          <t>JÄMTLANDS LÄN</t>
        </is>
      </c>
      <c r="E312" t="inlineStr">
        <is>
          <t>RAGUNDA</t>
        </is>
      </c>
      <c r="G312" t="n">
        <v>1.4</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46043</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46043</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46043</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46043</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46043</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46043</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46043</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46043</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46043</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46043</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46043</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55932-2021</t>
        </is>
      </c>
      <c r="B324" s="1" t="n">
        <v>44476</v>
      </c>
      <c r="C324" s="1" t="n">
        <v>46043</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46043</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46043</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46043</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46043</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46043</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46043</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46043</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46043</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46043</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46043</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46043</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46043</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46043</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46992-2022</t>
        </is>
      </c>
      <c r="B338" s="1" t="n">
        <v>44851.95488425926</v>
      </c>
      <c r="C338" s="1" t="n">
        <v>46043</v>
      </c>
      <c r="D338" t="inlineStr">
        <is>
          <t>JÄMTLANDS LÄN</t>
        </is>
      </c>
      <c r="E338" t="inlineStr">
        <is>
          <t>RAGUNDA</t>
        </is>
      </c>
      <c r="F338" t="inlineStr">
        <is>
          <t>SCA</t>
        </is>
      </c>
      <c r="G338" t="n">
        <v>26.4</v>
      </c>
      <c r="H338" t="n">
        <v>0</v>
      </c>
      <c r="I338" t="n">
        <v>0</v>
      </c>
      <c r="J338" t="n">
        <v>0</v>
      </c>
      <c r="K338" t="n">
        <v>0</v>
      </c>
      <c r="L338" t="n">
        <v>0</v>
      </c>
      <c r="M338" t="n">
        <v>0</v>
      </c>
      <c r="N338" t="n">
        <v>0</v>
      </c>
      <c r="O338" t="n">
        <v>0</v>
      </c>
      <c r="P338" t="n">
        <v>0</v>
      </c>
      <c r="Q338" t="n">
        <v>0</v>
      </c>
      <c r="R338" s="2" t="inlineStr"/>
    </row>
    <row r="339" ht="15" customHeight="1">
      <c r="A339" t="inlineStr">
        <is>
          <t>A 34348-2021</t>
        </is>
      </c>
      <c r="B339" s="1" t="n">
        <v>44379</v>
      </c>
      <c r="C339" s="1" t="n">
        <v>46043</v>
      </c>
      <c r="D339" t="inlineStr">
        <is>
          <t>JÄMTLANDS LÄN</t>
        </is>
      </c>
      <c r="E339" t="inlineStr">
        <is>
          <t>RAGUNDA</t>
        </is>
      </c>
      <c r="G339" t="n">
        <v>8.1</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46043</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46043</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46043</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46043</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46043</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40978-2022</t>
        </is>
      </c>
      <c r="B345" s="1" t="n">
        <v>44823</v>
      </c>
      <c r="C345" s="1" t="n">
        <v>46043</v>
      </c>
      <c r="D345" t="inlineStr">
        <is>
          <t>JÄMTLANDS LÄN</t>
        </is>
      </c>
      <c r="E345" t="inlineStr">
        <is>
          <t>RAGUNDA</t>
        </is>
      </c>
      <c r="G345" t="n">
        <v>1.5</v>
      </c>
      <c r="H345" t="n">
        <v>0</v>
      </c>
      <c r="I345" t="n">
        <v>0</v>
      </c>
      <c r="J345" t="n">
        <v>0</v>
      </c>
      <c r="K345" t="n">
        <v>0</v>
      </c>
      <c r="L345" t="n">
        <v>0</v>
      </c>
      <c r="M345" t="n">
        <v>0</v>
      </c>
      <c r="N345" t="n">
        <v>0</v>
      </c>
      <c r="O345" t="n">
        <v>0</v>
      </c>
      <c r="P345" t="n">
        <v>0</v>
      </c>
      <c r="Q345" t="n">
        <v>0</v>
      </c>
      <c r="R345" s="2" t="inlineStr"/>
    </row>
    <row r="346" ht="15" customHeight="1">
      <c r="A346" t="inlineStr">
        <is>
          <t>A 24741-2022</t>
        </is>
      </c>
      <c r="B346" s="1" t="n">
        <v>44727</v>
      </c>
      <c r="C346" s="1" t="n">
        <v>46043</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48536-2022</t>
        </is>
      </c>
      <c r="B347" s="1" t="n">
        <v>44858</v>
      </c>
      <c r="C347" s="1" t="n">
        <v>46043</v>
      </c>
      <c r="D347" t="inlineStr">
        <is>
          <t>JÄMTLANDS LÄN</t>
        </is>
      </c>
      <c r="E347" t="inlineStr">
        <is>
          <t>RAGUNDA</t>
        </is>
      </c>
      <c r="F347" t="inlineStr">
        <is>
          <t>SCA</t>
        </is>
      </c>
      <c r="G347" t="n">
        <v>9.5</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46043</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46043</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46043</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46043</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46043</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46043</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20548-2021</t>
        </is>
      </c>
      <c r="B354" s="1" t="n">
        <v>44315</v>
      </c>
      <c r="C354" s="1" t="n">
        <v>46043</v>
      </c>
      <c r="D354" t="inlineStr">
        <is>
          <t>JÄMTLANDS LÄN</t>
        </is>
      </c>
      <c r="E354" t="inlineStr">
        <is>
          <t>RAGUNDA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46043</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46043</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46043</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46043</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46043</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46043</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46043</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46043</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46043</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46043</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46043</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46043</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46043</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46043</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46043</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46043</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46043</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46043</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46043</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46043</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46043</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46043</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39698-2022</t>
        </is>
      </c>
      <c r="B377" s="1" t="n">
        <v>44818</v>
      </c>
      <c r="C377" s="1" t="n">
        <v>46043</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43147-2022</t>
        </is>
      </c>
      <c r="B378" s="1" t="n">
        <v>44833.9519212963</v>
      </c>
      <c r="C378" s="1" t="n">
        <v>46043</v>
      </c>
      <c r="D378" t="inlineStr">
        <is>
          <t>JÄMTLANDS LÄN</t>
        </is>
      </c>
      <c r="E378" t="inlineStr">
        <is>
          <t>RAGUNDA</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46043</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46043</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46043</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46043</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46043</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46043</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46043</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46043</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46043</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46043</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46043</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46043</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13964-2022</t>
        </is>
      </c>
      <c r="B391" s="1" t="n">
        <v>44650</v>
      </c>
      <c r="C391" s="1" t="n">
        <v>46043</v>
      </c>
      <c r="D391" t="inlineStr">
        <is>
          <t>JÄMTLANDS LÄN</t>
        </is>
      </c>
      <c r="E391" t="inlineStr">
        <is>
          <t>RAGUNDA</t>
        </is>
      </c>
      <c r="G391" t="n">
        <v>2.6</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46043</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46043</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46043</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46043</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46043</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46043</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46043</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46043</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26122-2022</t>
        </is>
      </c>
      <c r="B400" s="1" t="n">
        <v>44734.94193287037</v>
      </c>
      <c r="C400" s="1" t="n">
        <v>46043</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46043</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46043</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11147-2025</t>
        </is>
      </c>
      <c r="B403" s="1" t="n">
        <v>45723.67777777778</v>
      </c>
      <c r="C403" s="1" t="n">
        <v>46043</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24280-2021</t>
        </is>
      </c>
      <c r="B404" s="1" t="n">
        <v>44336</v>
      </c>
      <c r="C404" s="1" t="n">
        <v>46043</v>
      </c>
      <c r="D404" t="inlineStr">
        <is>
          <t>JÄMTLANDS LÄN</t>
        </is>
      </c>
      <c r="E404" t="inlineStr">
        <is>
          <t>RAGUNDA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14821-2025</t>
        </is>
      </c>
      <c r="B405" s="1" t="n">
        <v>45743.36</v>
      </c>
      <c r="C405" s="1" t="n">
        <v>46043</v>
      </c>
      <c r="D405" t="inlineStr">
        <is>
          <t>JÄMTLANDS LÄN</t>
        </is>
      </c>
      <c r="E405" t="inlineStr">
        <is>
          <t>RAGUNDA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46043</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18820-2023</t>
        </is>
      </c>
      <c r="B407" s="1" t="n">
        <v>45042</v>
      </c>
      <c r="C407" s="1" t="n">
        <v>46043</v>
      </c>
      <c r="D407" t="inlineStr">
        <is>
          <t>JÄMTLANDS LÄN</t>
        </is>
      </c>
      <c r="E407" t="inlineStr">
        <is>
          <t>RAGUNDA</t>
        </is>
      </c>
      <c r="G407" t="n">
        <v>18.8</v>
      </c>
      <c r="H407" t="n">
        <v>0</v>
      </c>
      <c r="I407" t="n">
        <v>0</v>
      </c>
      <c r="J407" t="n">
        <v>0</v>
      </c>
      <c r="K407" t="n">
        <v>0</v>
      </c>
      <c r="L407" t="n">
        <v>0</v>
      </c>
      <c r="M407" t="n">
        <v>0</v>
      </c>
      <c r="N407" t="n">
        <v>0</v>
      </c>
      <c r="O407" t="n">
        <v>0</v>
      </c>
      <c r="P407" t="n">
        <v>0</v>
      </c>
      <c r="Q407" t="n">
        <v>0</v>
      </c>
      <c r="R407" s="2" t="inlineStr"/>
    </row>
    <row r="408" ht="15" customHeight="1">
      <c r="A408" t="inlineStr">
        <is>
          <t>A 62358-2023</t>
        </is>
      </c>
      <c r="B408" s="1" t="n">
        <v>45267</v>
      </c>
      <c r="C408" s="1" t="n">
        <v>46043</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19264-2025</t>
        </is>
      </c>
      <c r="B409" s="1" t="n">
        <v>45769.51087962963</v>
      </c>
      <c r="C409" s="1" t="n">
        <v>46043</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28596-2021</t>
        </is>
      </c>
      <c r="B410" s="1" t="n">
        <v>44356</v>
      </c>
      <c r="C410" s="1" t="n">
        <v>46043</v>
      </c>
      <c r="D410" t="inlineStr">
        <is>
          <t>JÄMTLANDS LÄN</t>
        </is>
      </c>
      <c r="E410" t="inlineStr">
        <is>
          <t>RAGUNDA</t>
        </is>
      </c>
      <c r="G410" t="n">
        <v>5.4</v>
      </c>
      <c r="H410" t="n">
        <v>0</v>
      </c>
      <c r="I410" t="n">
        <v>0</v>
      </c>
      <c r="J410" t="n">
        <v>0</v>
      </c>
      <c r="K410" t="n">
        <v>0</v>
      </c>
      <c r="L410" t="n">
        <v>0</v>
      </c>
      <c r="M410" t="n">
        <v>0</v>
      </c>
      <c r="N410" t="n">
        <v>0</v>
      </c>
      <c r="O410" t="n">
        <v>0</v>
      </c>
      <c r="P410" t="n">
        <v>0</v>
      </c>
      <c r="Q410" t="n">
        <v>0</v>
      </c>
      <c r="R410" s="2" t="inlineStr"/>
    </row>
    <row r="411" ht="15" customHeight="1">
      <c r="A411" t="inlineStr">
        <is>
          <t>A 23304-2023</t>
        </is>
      </c>
      <c r="B411" s="1" t="n">
        <v>45075.945</v>
      </c>
      <c r="C411" s="1" t="n">
        <v>46043</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36106-2022</t>
        </is>
      </c>
      <c r="B412" s="1" t="n">
        <v>44802.94811342593</v>
      </c>
      <c r="C412" s="1" t="n">
        <v>46043</v>
      </c>
      <c r="D412" t="inlineStr">
        <is>
          <t>JÄMTLANDS LÄN</t>
        </is>
      </c>
      <c r="E412" t="inlineStr">
        <is>
          <t>RAGUNDA</t>
        </is>
      </c>
      <c r="F412" t="inlineStr">
        <is>
          <t>SCA</t>
        </is>
      </c>
      <c r="G412" t="n">
        <v>7.3</v>
      </c>
      <c r="H412" t="n">
        <v>0</v>
      </c>
      <c r="I412" t="n">
        <v>0</v>
      </c>
      <c r="J412" t="n">
        <v>0</v>
      </c>
      <c r="K412" t="n">
        <v>0</v>
      </c>
      <c r="L412" t="n">
        <v>0</v>
      </c>
      <c r="M412" t="n">
        <v>0</v>
      </c>
      <c r="N412" t="n">
        <v>0</v>
      </c>
      <c r="O412" t="n">
        <v>0</v>
      </c>
      <c r="P412" t="n">
        <v>0</v>
      </c>
      <c r="Q412" t="n">
        <v>0</v>
      </c>
      <c r="R412" s="2" t="inlineStr"/>
    </row>
    <row r="413" ht="15" customHeight="1">
      <c r="A413" t="inlineStr">
        <is>
          <t>A 11780-2024</t>
        </is>
      </c>
      <c r="B413" s="1" t="n">
        <v>45374</v>
      </c>
      <c r="C413" s="1" t="n">
        <v>46043</v>
      </c>
      <c r="D413" t="inlineStr">
        <is>
          <t>JÄMTLANDS LÄN</t>
        </is>
      </c>
      <c r="E413" t="inlineStr">
        <is>
          <t>RAGUNDA</t>
        </is>
      </c>
      <c r="G413" t="n">
        <v>14.6</v>
      </c>
      <c r="H413" t="n">
        <v>0</v>
      </c>
      <c r="I413" t="n">
        <v>0</v>
      </c>
      <c r="J413" t="n">
        <v>0</v>
      </c>
      <c r="K413" t="n">
        <v>0</v>
      </c>
      <c r="L413" t="n">
        <v>0</v>
      </c>
      <c r="M413" t="n">
        <v>0</v>
      </c>
      <c r="N413" t="n">
        <v>0</v>
      </c>
      <c r="O413" t="n">
        <v>0</v>
      </c>
      <c r="P413" t="n">
        <v>0</v>
      </c>
      <c r="Q413" t="n">
        <v>0</v>
      </c>
      <c r="R413" s="2" t="inlineStr"/>
    </row>
    <row r="414" ht="15" customHeight="1">
      <c r="A414" t="inlineStr">
        <is>
          <t>A 12585-2024</t>
        </is>
      </c>
      <c r="B414" s="1" t="n">
        <v>45379.93637731481</v>
      </c>
      <c r="C414" s="1" t="n">
        <v>46043</v>
      </c>
      <c r="D414" t="inlineStr">
        <is>
          <t>JÄMTLANDS LÄN</t>
        </is>
      </c>
      <c r="E414" t="inlineStr">
        <is>
          <t>RAGUNDA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15581-2024</t>
        </is>
      </c>
      <c r="B415" s="1" t="n">
        <v>45401</v>
      </c>
      <c r="C415" s="1" t="n">
        <v>46043</v>
      </c>
      <c r="D415" t="inlineStr">
        <is>
          <t>JÄMTLANDS LÄN</t>
        </is>
      </c>
      <c r="E415" t="inlineStr">
        <is>
          <t>RAGUNDA</t>
        </is>
      </c>
      <c r="F415" t="inlineStr">
        <is>
          <t>Kommuner</t>
        </is>
      </c>
      <c r="G415" t="n">
        <v>2.2</v>
      </c>
      <c r="H415" t="n">
        <v>0</v>
      </c>
      <c r="I415" t="n">
        <v>0</v>
      </c>
      <c r="J415" t="n">
        <v>0</v>
      </c>
      <c r="K415" t="n">
        <v>0</v>
      </c>
      <c r="L415" t="n">
        <v>0</v>
      </c>
      <c r="M415" t="n">
        <v>0</v>
      </c>
      <c r="N415" t="n">
        <v>0</v>
      </c>
      <c r="O415" t="n">
        <v>0</v>
      </c>
      <c r="P415" t="n">
        <v>0</v>
      </c>
      <c r="Q415" t="n">
        <v>0</v>
      </c>
      <c r="R415" s="2" t="inlineStr"/>
    </row>
    <row r="416" ht="15" customHeight="1">
      <c r="A416" t="inlineStr">
        <is>
          <t>A 38664-2022</t>
        </is>
      </c>
      <c r="B416" s="1" t="n">
        <v>44813</v>
      </c>
      <c r="C416" s="1" t="n">
        <v>46043</v>
      </c>
      <c r="D416" t="inlineStr">
        <is>
          <t>JÄMTLANDS LÄN</t>
        </is>
      </c>
      <c r="E416" t="inlineStr">
        <is>
          <t>RAGUNDA</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15611-2024</t>
        </is>
      </c>
      <c r="B417" s="1" t="n">
        <v>45401</v>
      </c>
      <c r="C417" s="1" t="n">
        <v>46043</v>
      </c>
      <c r="D417" t="inlineStr">
        <is>
          <t>JÄMTLANDS LÄN</t>
        </is>
      </c>
      <c r="E417" t="inlineStr">
        <is>
          <t>RAGUNDA</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22131-2021</t>
        </is>
      </c>
      <c r="B418" s="1" t="n">
        <v>44323</v>
      </c>
      <c r="C418" s="1" t="n">
        <v>46043</v>
      </c>
      <c r="D418" t="inlineStr">
        <is>
          <t>JÄMTLANDS LÄN</t>
        </is>
      </c>
      <c r="E418" t="inlineStr">
        <is>
          <t>RAGUNDA</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59557-2023</t>
        </is>
      </c>
      <c r="B419" s="1" t="n">
        <v>45253</v>
      </c>
      <c r="C419" s="1" t="n">
        <v>46043</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38425-2022</t>
        </is>
      </c>
      <c r="B420" s="1" t="n">
        <v>44812.94709490741</v>
      </c>
      <c r="C420" s="1" t="n">
        <v>46043</v>
      </c>
      <c r="D420" t="inlineStr">
        <is>
          <t>JÄMTLANDS LÄN</t>
        </is>
      </c>
      <c r="E420" t="inlineStr">
        <is>
          <t>RAGUNDA</t>
        </is>
      </c>
      <c r="F420" t="inlineStr">
        <is>
          <t>SCA</t>
        </is>
      </c>
      <c r="G420" t="n">
        <v>6.1</v>
      </c>
      <c r="H420" t="n">
        <v>0</v>
      </c>
      <c r="I420" t="n">
        <v>0</v>
      </c>
      <c r="J420" t="n">
        <v>0</v>
      </c>
      <c r="K420" t="n">
        <v>0</v>
      </c>
      <c r="L420" t="n">
        <v>0</v>
      </c>
      <c r="M420" t="n">
        <v>0</v>
      </c>
      <c r="N420" t="n">
        <v>0</v>
      </c>
      <c r="O420" t="n">
        <v>0</v>
      </c>
      <c r="P420" t="n">
        <v>0</v>
      </c>
      <c r="Q420" t="n">
        <v>0</v>
      </c>
      <c r="R420" s="2" t="inlineStr"/>
    </row>
    <row r="421" ht="15" customHeight="1">
      <c r="A421" t="inlineStr">
        <is>
          <t>A 36922-2022</t>
        </is>
      </c>
      <c r="B421" s="1" t="n">
        <v>44805.94592592592</v>
      </c>
      <c r="C421" s="1" t="n">
        <v>46043</v>
      </c>
      <c r="D421" t="inlineStr">
        <is>
          <t>JÄMTLANDS LÄN</t>
        </is>
      </c>
      <c r="E421" t="inlineStr">
        <is>
          <t>RAGUNDA</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42893-2022</t>
        </is>
      </c>
      <c r="B422" s="1" t="n">
        <v>44832</v>
      </c>
      <c r="C422" s="1" t="n">
        <v>46043</v>
      </c>
      <c r="D422" t="inlineStr">
        <is>
          <t>JÄMTLANDS LÄN</t>
        </is>
      </c>
      <c r="E422" t="inlineStr">
        <is>
          <t>RAGUNDA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64492-2023</t>
        </is>
      </c>
      <c r="B423" s="1" t="n">
        <v>45280.92645833334</v>
      </c>
      <c r="C423" s="1" t="n">
        <v>46043</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14513-2025</t>
        </is>
      </c>
      <c r="B424" s="1" t="n">
        <v>45741.63675925926</v>
      </c>
      <c r="C424" s="1" t="n">
        <v>46043</v>
      </c>
      <c r="D424" t="inlineStr">
        <is>
          <t>JÄMTLANDS LÄN</t>
        </is>
      </c>
      <c r="E424" t="inlineStr">
        <is>
          <t>RAGUNDA</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9326-2024</t>
        </is>
      </c>
      <c r="B425" s="1" t="n">
        <v>45358.95818287037</v>
      </c>
      <c r="C425" s="1" t="n">
        <v>46043</v>
      </c>
      <c r="D425" t="inlineStr">
        <is>
          <t>JÄMTLANDS LÄN</t>
        </is>
      </c>
      <c r="E425" t="inlineStr">
        <is>
          <t>RAGUNDA</t>
        </is>
      </c>
      <c r="G425" t="n">
        <v>0.7</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46043</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18777-2024</t>
        </is>
      </c>
      <c r="B427" s="1" t="n">
        <v>45426</v>
      </c>
      <c r="C427" s="1" t="n">
        <v>46043</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46043</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57111-2025</t>
        </is>
      </c>
      <c r="B429" s="1" t="n">
        <v>45978</v>
      </c>
      <c r="C429" s="1" t="n">
        <v>46043</v>
      </c>
      <c r="D429" t="inlineStr">
        <is>
          <t>JÄMTLANDS LÄN</t>
        </is>
      </c>
      <c r="E429" t="inlineStr">
        <is>
          <t>RAGUNDA</t>
        </is>
      </c>
      <c r="G429" t="n">
        <v>2.3</v>
      </c>
      <c r="H429" t="n">
        <v>0</v>
      </c>
      <c r="I429" t="n">
        <v>0</v>
      </c>
      <c r="J429" t="n">
        <v>0</v>
      </c>
      <c r="K429" t="n">
        <v>0</v>
      </c>
      <c r="L429" t="n">
        <v>0</v>
      </c>
      <c r="M429" t="n">
        <v>0</v>
      </c>
      <c r="N429" t="n">
        <v>0</v>
      </c>
      <c r="O429" t="n">
        <v>0</v>
      </c>
      <c r="P429" t="n">
        <v>0</v>
      </c>
      <c r="Q429" t="n">
        <v>0</v>
      </c>
      <c r="R429" s="2" t="inlineStr"/>
    </row>
    <row r="430" ht="15" customHeight="1">
      <c r="A430" t="inlineStr">
        <is>
          <t>A 57117-2025</t>
        </is>
      </c>
      <c r="B430" s="1" t="n">
        <v>45978</v>
      </c>
      <c r="C430" s="1" t="n">
        <v>46043</v>
      </c>
      <c r="D430" t="inlineStr">
        <is>
          <t>JÄMTLANDS LÄN</t>
        </is>
      </c>
      <c r="E430" t="inlineStr">
        <is>
          <t>RAGUNDA</t>
        </is>
      </c>
      <c r="G430" t="n">
        <v>4.2</v>
      </c>
      <c r="H430" t="n">
        <v>0</v>
      </c>
      <c r="I430" t="n">
        <v>0</v>
      </c>
      <c r="J430" t="n">
        <v>0</v>
      </c>
      <c r="K430" t="n">
        <v>0</v>
      </c>
      <c r="L430" t="n">
        <v>0</v>
      </c>
      <c r="M430" t="n">
        <v>0</v>
      </c>
      <c r="N430" t="n">
        <v>0</v>
      </c>
      <c r="O430" t="n">
        <v>0</v>
      </c>
      <c r="P430" t="n">
        <v>0</v>
      </c>
      <c r="Q430" t="n">
        <v>0</v>
      </c>
      <c r="R430" s="2" t="inlineStr"/>
    </row>
    <row r="431" ht="15" customHeight="1">
      <c r="A431" t="inlineStr">
        <is>
          <t>A 59670-2023</t>
        </is>
      </c>
      <c r="B431" s="1" t="n">
        <v>45254.96516203704</v>
      </c>
      <c r="C431" s="1" t="n">
        <v>46043</v>
      </c>
      <c r="D431" t="inlineStr">
        <is>
          <t>JÄMTLANDS LÄN</t>
        </is>
      </c>
      <c r="E431" t="inlineStr">
        <is>
          <t>RAGUNDA</t>
        </is>
      </c>
      <c r="F431" t="inlineStr">
        <is>
          <t>SCA</t>
        </is>
      </c>
      <c r="G431" t="n">
        <v>7.6</v>
      </c>
      <c r="H431" t="n">
        <v>0</v>
      </c>
      <c r="I431" t="n">
        <v>0</v>
      </c>
      <c r="J431" t="n">
        <v>0</v>
      </c>
      <c r="K431" t="n">
        <v>0</v>
      </c>
      <c r="L431" t="n">
        <v>0</v>
      </c>
      <c r="M431" t="n">
        <v>0</v>
      </c>
      <c r="N431" t="n">
        <v>0</v>
      </c>
      <c r="O431" t="n">
        <v>0</v>
      </c>
      <c r="P431" t="n">
        <v>0</v>
      </c>
      <c r="Q431" t="n">
        <v>0</v>
      </c>
      <c r="R431" s="2" t="inlineStr"/>
    </row>
    <row r="432" ht="15" customHeight="1">
      <c r="A432" t="inlineStr">
        <is>
          <t>A 57889-2024</t>
        </is>
      </c>
      <c r="B432" s="1" t="n">
        <v>45631.46665509259</v>
      </c>
      <c r="C432" s="1" t="n">
        <v>46043</v>
      </c>
      <c r="D432" t="inlineStr">
        <is>
          <t>JÄMTLANDS LÄN</t>
        </is>
      </c>
      <c r="E432" t="inlineStr">
        <is>
          <t>RAGUNDA</t>
        </is>
      </c>
      <c r="G432" t="n">
        <v>11.1</v>
      </c>
      <c r="H432" t="n">
        <v>0</v>
      </c>
      <c r="I432" t="n">
        <v>0</v>
      </c>
      <c r="J432" t="n">
        <v>0</v>
      </c>
      <c r="K432" t="n">
        <v>0</v>
      </c>
      <c r="L432" t="n">
        <v>0</v>
      </c>
      <c r="M432" t="n">
        <v>0</v>
      </c>
      <c r="N432" t="n">
        <v>0</v>
      </c>
      <c r="O432" t="n">
        <v>0</v>
      </c>
      <c r="P432" t="n">
        <v>0</v>
      </c>
      <c r="Q432" t="n">
        <v>0</v>
      </c>
      <c r="R432" s="2" t="inlineStr"/>
    </row>
    <row r="433" ht="15" customHeight="1">
      <c r="A433" t="inlineStr">
        <is>
          <t>A 56751-2025</t>
        </is>
      </c>
      <c r="B433" s="1" t="n">
        <v>45978.36538194444</v>
      </c>
      <c r="C433" s="1" t="n">
        <v>46043</v>
      </c>
      <c r="D433" t="inlineStr">
        <is>
          <t>JÄMTLANDS LÄN</t>
        </is>
      </c>
      <c r="E433" t="inlineStr">
        <is>
          <t>RAGUNDA</t>
        </is>
      </c>
      <c r="F433" t="inlineStr">
        <is>
          <t>SCA</t>
        </is>
      </c>
      <c r="G433" t="n">
        <v>34.5</v>
      </c>
      <c r="H433" t="n">
        <v>0</v>
      </c>
      <c r="I433" t="n">
        <v>0</v>
      </c>
      <c r="J433" t="n">
        <v>0</v>
      </c>
      <c r="K433" t="n">
        <v>0</v>
      </c>
      <c r="L433" t="n">
        <v>0</v>
      </c>
      <c r="M433" t="n">
        <v>0</v>
      </c>
      <c r="N433" t="n">
        <v>0</v>
      </c>
      <c r="O433" t="n">
        <v>0</v>
      </c>
      <c r="P433" t="n">
        <v>0</v>
      </c>
      <c r="Q433" t="n">
        <v>0</v>
      </c>
      <c r="R433" s="2" t="inlineStr"/>
    </row>
    <row r="434" ht="15" customHeight="1">
      <c r="A434" t="inlineStr">
        <is>
          <t>A 22388-2025</t>
        </is>
      </c>
      <c r="B434" s="1" t="n">
        <v>45786.51077546296</v>
      </c>
      <c r="C434" s="1" t="n">
        <v>46043</v>
      </c>
      <c r="D434" t="inlineStr">
        <is>
          <t>JÄMTLANDS LÄN</t>
        </is>
      </c>
      <c r="E434" t="inlineStr">
        <is>
          <t>RAGUNDA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63828-2025</t>
        </is>
      </c>
      <c r="B435" s="1" t="n">
        <v>46020.37814814815</v>
      </c>
      <c r="C435" s="1" t="n">
        <v>46043</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58193-2022</t>
        </is>
      </c>
      <c r="B436" s="1" t="n">
        <v>44900.95700231481</v>
      </c>
      <c r="C436" s="1" t="n">
        <v>46043</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18194-2025</t>
        </is>
      </c>
      <c r="B437" s="1" t="n">
        <v>45761.67744212963</v>
      </c>
      <c r="C437" s="1" t="n">
        <v>46043</v>
      </c>
      <c r="D437" t="inlineStr">
        <is>
          <t>JÄMTLANDS LÄN</t>
        </is>
      </c>
      <c r="E437" t="inlineStr">
        <is>
          <t>RAGUNDA</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56435-2025</t>
        </is>
      </c>
      <c r="B438" s="1" t="n">
        <v>45975.34679398148</v>
      </c>
      <c r="C438" s="1" t="n">
        <v>46043</v>
      </c>
      <c r="D438" t="inlineStr">
        <is>
          <t>JÄMTLANDS LÄN</t>
        </is>
      </c>
      <c r="E438" t="inlineStr">
        <is>
          <t>RAGUNDA</t>
        </is>
      </c>
      <c r="F438" t="inlineStr">
        <is>
          <t>SCA</t>
        </is>
      </c>
      <c r="G438" t="n">
        <v>9.199999999999999</v>
      </c>
      <c r="H438" t="n">
        <v>0</v>
      </c>
      <c r="I438" t="n">
        <v>0</v>
      </c>
      <c r="J438" t="n">
        <v>0</v>
      </c>
      <c r="K438" t="n">
        <v>0</v>
      </c>
      <c r="L438" t="n">
        <v>0</v>
      </c>
      <c r="M438" t="n">
        <v>0</v>
      </c>
      <c r="N438" t="n">
        <v>0</v>
      </c>
      <c r="O438" t="n">
        <v>0</v>
      </c>
      <c r="P438" t="n">
        <v>0</v>
      </c>
      <c r="Q438" t="n">
        <v>0</v>
      </c>
      <c r="R438" s="2" t="inlineStr"/>
      <c r="U438">
        <f>HYPERLINK("https://klasma.github.io/Logging_2303/knärot/A 56435-2025 karta knärot.png", "A 56435-2025")</f>
        <v/>
      </c>
      <c r="V438">
        <f>HYPERLINK("https://klasma.github.io/Logging_2303/klagomål/A 56435-2025 FSC-klagomål.docx", "A 56435-2025")</f>
        <v/>
      </c>
      <c r="W438">
        <f>HYPERLINK("https://klasma.github.io/Logging_2303/klagomålsmail/A 56435-2025 FSC-klagomål mail.docx", "A 56435-2025")</f>
        <v/>
      </c>
      <c r="X438">
        <f>HYPERLINK("https://klasma.github.io/Logging_2303/tillsyn/A 56435-2025 tillsynsbegäran.docx", "A 56435-2025")</f>
        <v/>
      </c>
      <c r="Y438">
        <f>HYPERLINK("https://klasma.github.io/Logging_2303/tillsynsmail/A 56435-2025 tillsynsbegäran mail.docx", "A 56435-2025")</f>
        <v/>
      </c>
    </row>
    <row r="439" ht="15" customHeight="1">
      <c r="A439" t="inlineStr">
        <is>
          <t>A 26991-2023</t>
        </is>
      </c>
      <c r="B439" s="1" t="n">
        <v>45093.92207175926</v>
      </c>
      <c r="C439" s="1" t="n">
        <v>46043</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63714-2025</t>
        </is>
      </c>
      <c r="B440" s="1" t="n">
        <v>46014</v>
      </c>
      <c r="C440" s="1" t="n">
        <v>46043</v>
      </c>
      <c r="D440" t="inlineStr">
        <is>
          <t>JÄMTLANDS LÄN</t>
        </is>
      </c>
      <c r="E440" t="inlineStr">
        <is>
          <t>RAGUNDA</t>
        </is>
      </c>
      <c r="F440" t="inlineStr">
        <is>
          <t>Sveaskog</t>
        </is>
      </c>
      <c r="G440" t="n">
        <v>8.5</v>
      </c>
      <c r="H440" t="n">
        <v>0</v>
      </c>
      <c r="I440" t="n">
        <v>0</v>
      </c>
      <c r="J440" t="n">
        <v>0</v>
      </c>
      <c r="K440" t="n">
        <v>0</v>
      </c>
      <c r="L440" t="n">
        <v>0</v>
      </c>
      <c r="M440" t="n">
        <v>0</v>
      </c>
      <c r="N440" t="n">
        <v>0</v>
      </c>
      <c r="O440" t="n">
        <v>0</v>
      </c>
      <c r="P440" t="n">
        <v>0</v>
      </c>
      <c r="Q440" t="n">
        <v>0</v>
      </c>
      <c r="R440" s="2" t="inlineStr"/>
    </row>
    <row r="441" ht="15" customHeight="1">
      <c r="A441" t="inlineStr">
        <is>
          <t>A 13299-2024</t>
        </is>
      </c>
      <c r="B441" s="1" t="n">
        <v>45386.68003472222</v>
      </c>
      <c r="C441" s="1" t="n">
        <v>46043</v>
      </c>
      <c r="D441" t="inlineStr">
        <is>
          <t>JÄMTLANDS LÄN</t>
        </is>
      </c>
      <c r="E441" t="inlineStr">
        <is>
          <t>RAGUNDA</t>
        </is>
      </c>
      <c r="G441" t="n">
        <v>1.9</v>
      </c>
      <c r="H441" t="n">
        <v>0</v>
      </c>
      <c r="I441" t="n">
        <v>0</v>
      </c>
      <c r="J441" t="n">
        <v>0</v>
      </c>
      <c r="K441" t="n">
        <v>0</v>
      </c>
      <c r="L441" t="n">
        <v>0</v>
      </c>
      <c r="M441" t="n">
        <v>0</v>
      </c>
      <c r="N441" t="n">
        <v>0</v>
      </c>
      <c r="O441" t="n">
        <v>0</v>
      </c>
      <c r="P441" t="n">
        <v>0</v>
      </c>
      <c r="Q441" t="n">
        <v>0</v>
      </c>
      <c r="R441" s="2" t="inlineStr"/>
    </row>
    <row r="442" ht="15" customHeight="1">
      <c r="A442" t="inlineStr">
        <is>
          <t>A 58537-2022</t>
        </is>
      </c>
      <c r="B442" s="1" t="n">
        <v>44894</v>
      </c>
      <c r="C442" s="1" t="n">
        <v>46043</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53347-2023</t>
        </is>
      </c>
      <c r="B443" s="1" t="n">
        <v>45223</v>
      </c>
      <c r="C443" s="1" t="n">
        <v>46043</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22948-2024</t>
        </is>
      </c>
      <c r="B444" s="1" t="n">
        <v>45448.94600694445</v>
      </c>
      <c r="C444" s="1" t="n">
        <v>46043</v>
      </c>
      <c r="D444" t="inlineStr">
        <is>
          <t>JÄMTLANDS LÄN</t>
        </is>
      </c>
      <c r="E444" t="inlineStr">
        <is>
          <t>RAGUNDA</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57332-2025</t>
        </is>
      </c>
      <c r="B445" s="1" t="n">
        <v>45980.34467592592</v>
      </c>
      <c r="C445" s="1" t="n">
        <v>46043</v>
      </c>
      <c r="D445" t="inlineStr">
        <is>
          <t>JÄMTLANDS LÄN</t>
        </is>
      </c>
      <c r="E445" t="inlineStr">
        <is>
          <t>RAGUNDA</t>
        </is>
      </c>
      <c r="F445" t="inlineStr">
        <is>
          <t>SCA</t>
        </is>
      </c>
      <c r="G445" t="n">
        <v>22.6</v>
      </c>
      <c r="H445" t="n">
        <v>0</v>
      </c>
      <c r="I445" t="n">
        <v>0</v>
      </c>
      <c r="J445" t="n">
        <v>0</v>
      </c>
      <c r="K445" t="n">
        <v>0</v>
      </c>
      <c r="L445" t="n">
        <v>0</v>
      </c>
      <c r="M445" t="n">
        <v>0</v>
      </c>
      <c r="N445" t="n">
        <v>0</v>
      </c>
      <c r="O445" t="n">
        <v>0</v>
      </c>
      <c r="P445" t="n">
        <v>0</v>
      </c>
      <c r="Q445" t="n">
        <v>0</v>
      </c>
      <c r="R445" s="2" t="inlineStr"/>
    </row>
    <row r="446" ht="15" customHeight="1">
      <c r="A446" t="inlineStr">
        <is>
          <t>A 57561-2025</t>
        </is>
      </c>
      <c r="B446" s="1" t="n">
        <v>45980.69885416667</v>
      </c>
      <c r="C446" s="1" t="n">
        <v>46043</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57560-2025</t>
        </is>
      </c>
      <c r="B447" s="1" t="n">
        <v>45980.6987962963</v>
      </c>
      <c r="C447" s="1" t="n">
        <v>46043</v>
      </c>
      <c r="D447" t="inlineStr">
        <is>
          <t>JÄMTLANDS LÄN</t>
        </is>
      </c>
      <c r="E447" t="inlineStr">
        <is>
          <t>RAGUNDA</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53678-2022</t>
        </is>
      </c>
      <c r="B448" s="1" t="n">
        <v>44879.95768518518</v>
      </c>
      <c r="C448" s="1" t="n">
        <v>46043</v>
      </c>
      <c r="D448" t="inlineStr">
        <is>
          <t>JÄMTLANDS LÄN</t>
        </is>
      </c>
      <c r="E448" t="inlineStr">
        <is>
          <t>RAGUNDA</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64108-2025</t>
        </is>
      </c>
      <c r="B449" s="1" t="n">
        <v>46013</v>
      </c>
      <c r="C449" s="1" t="n">
        <v>46043</v>
      </c>
      <c r="D449" t="inlineStr">
        <is>
          <t>JÄMTLANDS LÄN</t>
        </is>
      </c>
      <c r="E449" t="inlineStr">
        <is>
          <t>RAGUNDA</t>
        </is>
      </c>
      <c r="F449" t="inlineStr">
        <is>
          <t>Kyrkan</t>
        </is>
      </c>
      <c r="G449" t="n">
        <v>1.6</v>
      </c>
      <c r="H449" t="n">
        <v>0</v>
      </c>
      <c r="I449" t="n">
        <v>0</v>
      </c>
      <c r="J449" t="n">
        <v>0</v>
      </c>
      <c r="K449" t="n">
        <v>0</v>
      </c>
      <c r="L449" t="n">
        <v>0</v>
      </c>
      <c r="M449" t="n">
        <v>0</v>
      </c>
      <c r="N449" t="n">
        <v>0</v>
      </c>
      <c r="O449" t="n">
        <v>0</v>
      </c>
      <c r="P449" t="n">
        <v>0</v>
      </c>
      <c r="Q449" t="n">
        <v>0</v>
      </c>
      <c r="R449" s="2" t="inlineStr"/>
    </row>
    <row r="450" ht="15" customHeight="1">
      <c r="A450" t="inlineStr">
        <is>
          <t>A 14369-2024</t>
        </is>
      </c>
      <c r="B450" s="1" t="n">
        <v>45393.94459490741</v>
      </c>
      <c r="C450" s="1" t="n">
        <v>46043</v>
      </c>
      <c r="D450" t="inlineStr">
        <is>
          <t>JÄMTLANDS LÄN</t>
        </is>
      </c>
      <c r="E450" t="inlineStr">
        <is>
          <t>RAGUNDA</t>
        </is>
      </c>
      <c r="F450" t="inlineStr">
        <is>
          <t>Naturvårdsverket</t>
        </is>
      </c>
      <c r="G450" t="n">
        <v>1.8</v>
      </c>
      <c r="H450" t="n">
        <v>0</v>
      </c>
      <c r="I450" t="n">
        <v>0</v>
      </c>
      <c r="J450" t="n">
        <v>0</v>
      </c>
      <c r="K450" t="n">
        <v>0</v>
      </c>
      <c r="L450" t="n">
        <v>0</v>
      </c>
      <c r="M450" t="n">
        <v>0</v>
      </c>
      <c r="N450" t="n">
        <v>0</v>
      </c>
      <c r="O450" t="n">
        <v>0</v>
      </c>
      <c r="P450" t="n">
        <v>0</v>
      </c>
      <c r="Q450" t="n">
        <v>0</v>
      </c>
      <c r="R450" s="2" t="inlineStr"/>
    </row>
    <row r="451" ht="15" customHeight="1">
      <c r="A451" t="inlineStr">
        <is>
          <t>A 10639-2024</t>
        </is>
      </c>
      <c r="B451" s="1" t="n">
        <v>45367.67256944445</v>
      </c>
      <c r="C451" s="1" t="n">
        <v>46043</v>
      </c>
      <c r="D451" t="inlineStr">
        <is>
          <t>JÄMTLANDS LÄN</t>
        </is>
      </c>
      <c r="E451" t="inlineStr">
        <is>
          <t>RAGUNDA</t>
        </is>
      </c>
      <c r="G451" t="n">
        <v>2</v>
      </c>
      <c r="H451" t="n">
        <v>0</v>
      </c>
      <c r="I451" t="n">
        <v>0</v>
      </c>
      <c r="J451" t="n">
        <v>0</v>
      </c>
      <c r="K451" t="n">
        <v>0</v>
      </c>
      <c r="L451" t="n">
        <v>0</v>
      </c>
      <c r="M451" t="n">
        <v>0</v>
      </c>
      <c r="N451" t="n">
        <v>0</v>
      </c>
      <c r="O451" t="n">
        <v>0</v>
      </c>
      <c r="P451" t="n">
        <v>0</v>
      </c>
      <c r="Q451" t="n">
        <v>0</v>
      </c>
      <c r="R451" s="2" t="inlineStr"/>
    </row>
    <row r="452" ht="15" customHeight="1">
      <c r="A452" t="inlineStr">
        <is>
          <t>A 57184-2025</t>
        </is>
      </c>
      <c r="B452" s="1" t="n">
        <v>45979.57361111111</v>
      </c>
      <c r="C452" s="1" t="n">
        <v>46043</v>
      </c>
      <c r="D452" t="inlineStr">
        <is>
          <t>JÄMTLANDS LÄN</t>
        </is>
      </c>
      <c r="E452" t="inlineStr">
        <is>
          <t>RAGUNDA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122-2026</t>
        </is>
      </c>
      <c r="B453" s="1" t="n">
        <v>46024.57335648148</v>
      </c>
      <c r="C453" s="1" t="n">
        <v>46043</v>
      </c>
      <c r="D453" t="inlineStr">
        <is>
          <t>JÄMTLANDS LÄN</t>
        </is>
      </c>
      <c r="E453" t="inlineStr">
        <is>
          <t>RAGUNDA</t>
        </is>
      </c>
      <c r="F453" t="inlineStr">
        <is>
          <t>SCA</t>
        </is>
      </c>
      <c r="G453" t="n">
        <v>15.3</v>
      </c>
      <c r="H453" t="n">
        <v>0</v>
      </c>
      <c r="I453" t="n">
        <v>0</v>
      </c>
      <c r="J453" t="n">
        <v>0</v>
      </c>
      <c r="K453" t="n">
        <v>0</v>
      </c>
      <c r="L453" t="n">
        <v>0</v>
      </c>
      <c r="M453" t="n">
        <v>0</v>
      </c>
      <c r="N453" t="n">
        <v>0</v>
      </c>
      <c r="O453" t="n">
        <v>0</v>
      </c>
      <c r="P453" t="n">
        <v>0</v>
      </c>
      <c r="Q453" t="n">
        <v>0</v>
      </c>
      <c r="R453" s="2" t="inlineStr"/>
    </row>
    <row r="454" ht="15" customHeight="1">
      <c r="A454" t="inlineStr">
        <is>
          <t>A 57833-2025</t>
        </is>
      </c>
      <c r="B454" s="1" t="n">
        <v>45981.61541666667</v>
      </c>
      <c r="C454" s="1" t="n">
        <v>46043</v>
      </c>
      <c r="D454" t="inlineStr">
        <is>
          <t>JÄMTLANDS LÄN</t>
        </is>
      </c>
      <c r="E454" t="inlineStr">
        <is>
          <t>RAGUNDA</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50649-2022</t>
        </is>
      </c>
      <c r="B455" s="1" t="n">
        <v>44866</v>
      </c>
      <c r="C455" s="1" t="n">
        <v>46043</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22898-2025</t>
        </is>
      </c>
      <c r="B456" s="1" t="n">
        <v>45790.40670138889</v>
      </c>
      <c r="C456" s="1" t="n">
        <v>46043</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58076-2025</t>
        </is>
      </c>
      <c r="B457" s="1" t="n">
        <v>45982.55273148148</v>
      </c>
      <c r="C457" s="1" t="n">
        <v>46043</v>
      </c>
      <c r="D457" t="inlineStr">
        <is>
          <t>JÄMTLANDS LÄN</t>
        </is>
      </c>
      <c r="E457" t="inlineStr">
        <is>
          <t>RAGUNDA</t>
        </is>
      </c>
      <c r="G457" t="n">
        <v>0.1</v>
      </c>
      <c r="H457" t="n">
        <v>0</v>
      </c>
      <c r="I457" t="n">
        <v>0</v>
      </c>
      <c r="J457" t="n">
        <v>0</v>
      </c>
      <c r="K457" t="n">
        <v>0</v>
      </c>
      <c r="L457" t="n">
        <v>0</v>
      </c>
      <c r="M457" t="n">
        <v>0</v>
      </c>
      <c r="N457" t="n">
        <v>0</v>
      </c>
      <c r="O457" t="n">
        <v>0</v>
      </c>
      <c r="P457" t="n">
        <v>0</v>
      </c>
      <c r="Q457" t="n">
        <v>0</v>
      </c>
      <c r="R457" s="2" t="inlineStr"/>
    </row>
    <row r="458" ht="15" customHeight="1">
      <c r="A458" t="inlineStr">
        <is>
          <t>A 58093-2025</t>
        </is>
      </c>
      <c r="B458" s="1" t="n">
        <v>45982.5741087963</v>
      </c>
      <c r="C458" s="1" t="n">
        <v>46043</v>
      </c>
      <c r="D458" t="inlineStr">
        <is>
          <t>JÄMTLANDS LÄN</t>
        </is>
      </c>
      <c r="E458" t="inlineStr">
        <is>
          <t>RAGUNDA</t>
        </is>
      </c>
      <c r="G458" t="n">
        <v>22.2</v>
      </c>
      <c r="H458" t="n">
        <v>0</v>
      </c>
      <c r="I458" t="n">
        <v>0</v>
      </c>
      <c r="J458" t="n">
        <v>0</v>
      </c>
      <c r="K458" t="n">
        <v>0</v>
      </c>
      <c r="L458" t="n">
        <v>0</v>
      </c>
      <c r="M458" t="n">
        <v>0</v>
      </c>
      <c r="N458" t="n">
        <v>0</v>
      </c>
      <c r="O458" t="n">
        <v>0</v>
      </c>
      <c r="P458" t="n">
        <v>0</v>
      </c>
      <c r="Q458" t="n">
        <v>0</v>
      </c>
      <c r="R458" s="2" t="inlineStr"/>
    </row>
    <row r="459" ht="15" customHeight="1">
      <c r="A459" t="inlineStr">
        <is>
          <t>A 57914-2025</t>
        </is>
      </c>
      <c r="B459" s="1" t="n">
        <v>45981</v>
      </c>
      <c r="C459" s="1" t="n">
        <v>46043</v>
      </c>
      <c r="D459" t="inlineStr">
        <is>
          <t>JÄMTLANDS LÄN</t>
        </is>
      </c>
      <c r="E459" t="inlineStr">
        <is>
          <t>RAGUNDA</t>
        </is>
      </c>
      <c r="G459" t="n">
        <v>3.2</v>
      </c>
      <c r="H459" t="n">
        <v>0</v>
      </c>
      <c r="I459" t="n">
        <v>0</v>
      </c>
      <c r="J459" t="n">
        <v>0</v>
      </c>
      <c r="K459" t="n">
        <v>0</v>
      </c>
      <c r="L459" t="n">
        <v>0</v>
      </c>
      <c r="M459" t="n">
        <v>0</v>
      </c>
      <c r="N459" t="n">
        <v>0</v>
      </c>
      <c r="O459" t="n">
        <v>0</v>
      </c>
      <c r="P459" t="n">
        <v>0</v>
      </c>
      <c r="Q459" t="n">
        <v>0</v>
      </c>
      <c r="R459" s="2" t="inlineStr"/>
    </row>
    <row r="460" ht="15" customHeight="1">
      <c r="A460" t="inlineStr">
        <is>
          <t>A 57915-2025</t>
        </is>
      </c>
      <c r="B460" s="1" t="n">
        <v>45981</v>
      </c>
      <c r="C460" s="1" t="n">
        <v>46043</v>
      </c>
      <c r="D460" t="inlineStr">
        <is>
          <t>JÄMTLANDS LÄN</t>
        </is>
      </c>
      <c r="E460" t="inlineStr">
        <is>
          <t>RAGUNDA</t>
        </is>
      </c>
      <c r="G460" t="n">
        <v>6.4</v>
      </c>
      <c r="H460" t="n">
        <v>0</v>
      </c>
      <c r="I460" t="n">
        <v>0</v>
      </c>
      <c r="J460" t="n">
        <v>0</v>
      </c>
      <c r="K460" t="n">
        <v>0</v>
      </c>
      <c r="L460" t="n">
        <v>0</v>
      </c>
      <c r="M460" t="n">
        <v>0</v>
      </c>
      <c r="N460" t="n">
        <v>0</v>
      </c>
      <c r="O460" t="n">
        <v>0</v>
      </c>
      <c r="P460" t="n">
        <v>0</v>
      </c>
      <c r="Q460" t="n">
        <v>0</v>
      </c>
      <c r="R460" s="2" t="inlineStr"/>
    </row>
    <row r="461" ht="15" customHeight="1">
      <c r="A461" t="inlineStr">
        <is>
          <t>A 57963-2025</t>
        </is>
      </c>
      <c r="B461" s="1" t="n">
        <v>45982.37800925926</v>
      </c>
      <c r="C461" s="1" t="n">
        <v>46043</v>
      </c>
      <c r="D461" t="inlineStr">
        <is>
          <t>JÄMTLANDS LÄN</t>
        </is>
      </c>
      <c r="E461" t="inlineStr">
        <is>
          <t>RAGUNDA</t>
        </is>
      </c>
      <c r="G461" t="n">
        <v>1.7</v>
      </c>
      <c r="H461" t="n">
        <v>0</v>
      </c>
      <c r="I461" t="n">
        <v>0</v>
      </c>
      <c r="J461" t="n">
        <v>0</v>
      </c>
      <c r="K461" t="n">
        <v>0</v>
      </c>
      <c r="L461" t="n">
        <v>0</v>
      </c>
      <c r="M461" t="n">
        <v>0</v>
      </c>
      <c r="N461" t="n">
        <v>0</v>
      </c>
      <c r="O461" t="n">
        <v>0</v>
      </c>
      <c r="P461" t="n">
        <v>0</v>
      </c>
      <c r="Q461" t="n">
        <v>0</v>
      </c>
      <c r="R461" s="2" t="inlineStr"/>
    </row>
    <row r="462" ht="15" customHeight="1">
      <c r="A462" t="inlineStr">
        <is>
          <t>A 57916-2025</t>
        </is>
      </c>
      <c r="B462" s="1" t="n">
        <v>45981</v>
      </c>
      <c r="C462" s="1" t="n">
        <v>46043</v>
      </c>
      <c r="D462" t="inlineStr">
        <is>
          <t>JÄMTLANDS LÄN</t>
        </is>
      </c>
      <c r="E462" t="inlineStr">
        <is>
          <t>RAGUNDA</t>
        </is>
      </c>
      <c r="G462" t="n">
        <v>5.3</v>
      </c>
      <c r="H462" t="n">
        <v>0</v>
      </c>
      <c r="I462" t="n">
        <v>0</v>
      </c>
      <c r="J462" t="n">
        <v>0</v>
      </c>
      <c r="K462" t="n">
        <v>0</v>
      </c>
      <c r="L462" t="n">
        <v>0</v>
      </c>
      <c r="M462" t="n">
        <v>0</v>
      </c>
      <c r="N462" t="n">
        <v>0</v>
      </c>
      <c r="O462" t="n">
        <v>0</v>
      </c>
      <c r="P462" t="n">
        <v>0</v>
      </c>
      <c r="Q462" t="n">
        <v>0</v>
      </c>
      <c r="R462" s="2" t="inlineStr"/>
    </row>
    <row r="463" ht="15" customHeight="1">
      <c r="A463" t="inlineStr">
        <is>
          <t>A 57970-2025</t>
        </is>
      </c>
      <c r="B463" s="1" t="n">
        <v>45982.38582175926</v>
      </c>
      <c r="C463" s="1" t="n">
        <v>46043</v>
      </c>
      <c r="D463" t="inlineStr">
        <is>
          <t>JÄMTLANDS LÄN</t>
        </is>
      </c>
      <c r="E463" t="inlineStr">
        <is>
          <t>RAGUNDA</t>
        </is>
      </c>
      <c r="G463" t="n">
        <v>4.9</v>
      </c>
      <c r="H463" t="n">
        <v>0</v>
      </c>
      <c r="I463" t="n">
        <v>0</v>
      </c>
      <c r="J463" t="n">
        <v>0</v>
      </c>
      <c r="K463" t="n">
        <v>0</v>
      </c>
      <c r="L463" t="n">
        <v>0</v>
      </c>
      <c r="M463" t="n">
        <v>0</v>
      </c>
      <c r="N463" t="n">
        <v>0</v>
      </c>
      <c r="O463" t="n">
        <v>0</v>
      </c>
      <c r="P463" t="n">
        <v>0</v>
      </c>
      <c r="Q463" t="n">
        <v>0</v>
      </c>
      <c r="R463" s="2" t="inlineStr"/>
    </row>
    <row r="464" ht="15" customHeight="1">
      <c r="A464" t="inlineStr">
        <is>
          <t>A 57785-2025</t>
        </is>
      </c>
      <c r="B464" s="1" t="n">
        <v>45981.57393518519</v>
      </c>
      <c r="C464" s="1" t="n">
        <v>46043</v>
      </c>
      <c r="D464" t="inlineStr">
        <is>
          <t>JÄMTLANDS LÄN</t>
        </is>
      </c>
      <c r="E464" t="inlineStr">
        <is>
          <t>RAGUNDA</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60195-2023</t>
        </is>
      </c>
      <c r="B465" s="1" t="n">
        <v>45257</v>
      </c>
      <c r="C465" s="1" t="n">
        <v>46043</v>
      </c>
      <c r="D465" t="inlineStr">
        <is>
          <t>JÄMTLANDS LÄN</t>
        </is>
      </c>
      <c r="E465" t="inlineStr">
        <is>
          <t>RAGUNDA</t>
        </is>
      </c>
      <c r="G465" t="n">
        <v>1.7</v>
      </c>
      <c r="H465" t="n">
        <v>0</v>
      </c>
      <c r="I465" t="n">
        <v>0</v>
      </c>
      <c r="J465" t="n">
        <v>0</v>
      </c>
      <c r="K465" t="n">
        <v>0</v>
      </c>
      <c r="L465" t="n">
        <v>0</v>
      </c>
      <c r="M465" t="n">
        <v>0</v>
      </c>
      <c r="N465" t="n">
        <v>0</v>
      </c>
      <c r="O465" t="n">
        <v>0</v>
      </c>
      <c r="P465" t="n">
        <v>0</v>
      </c>
      <c r="Q465" t="n">
        <v>0</v>
      </c>
      <c r="R465" s="2" t="inlineStr"/>
    </row>
    <row r="466" ht="15" customHeight="1">
      <c r="A466" t="inlineStr">
        <is>
          <t>A 39192-2025</t>
        </is>
      </c>
      <c r="B466" s="1" t="n">
        <v>45888.6775</v>
      </c>
      <c r="C466" s="1" t="n">
        <v>46043</v>
      </c>
      <c r="D466" t="inlineStr">
        <is>
          <t>JÄMTLANDS LÄN</t>
        </is>
      </c>
      <c r="E466" t="inlineStr">
        <is>
          <t>RAGUNDA</t>
        </is>
      </c>
      <c r="F466" t="inlineStr">
        <is>
          <t>Naturvårdsverket</t>
        </is>
      </c>
      <c r="G466" t="n">
        <v>2.3</v>
      </c>
      <c r="H466" t="n">
        <v>0</v>
      </c>
      <c r="I466" t="n">
        <v>0</v>
      </c>
      <c r="J466" t="n">
        <v>0</v>
      </c>
      <c r="K466" t="n">
        <v>0</v>
      </c>
      <c r="L466" t="n">
        <v>0</v>
      </c>
      <c r="M466" t="n">
        <v>0</v>
      </c>
      <c r="N466" t="n">
        <v>0</v>
      </c>
      <c r="O466" t="n">
        <v>0</v>
      </c>
      <c r="P466" t="n">
        <v>0</v>
      </c>
      <c r="Q466" t="n">
        <v>0</v>
      </c>
      <c r="R466" s="2" t="inlineStr"/>
    </row>
    <row r="467" ht="15" customHeight="1">
      <c r="A467" t="inlineStr">
        <is>
          <t>A 2819-2023</t>
        </is>
      </c>
      <c r="B467" s="1" t="n">
        <v>44944</v>
      </c>
      <c r="C467" s="1" t="n">
        <v>46043</v>
      </c>
      <c r="D467" t="inlineStr">
        <is>
          <t>JÄMTLANDS LÄN</t>
        </is>
      </c>
      <c r="E467" t="inlineStr">
        <is>
          <t>RAGUNDA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182-2023</t>
        </is>
      </c>
      <c r="B468" s="1" t="n">
        <v>44922</v>
      </c>
      <c r="C468" s="1" t="n">
        <v>46043</v>
      </c>
      <c r="D468" t="inlineStr">
        <is>
          <t>JÄMTLANDS LÄN</t>
        </is>
      </c>
      <c r="E468" t="inlineStr">
        <is>
          <t>RAGUNDA</t>
        </is>
      </c>
      <c r="G468" t="n">
        <v>1.4</v>
      </c>
      <c r="H468" t="n">
        <v>0</v>
      </c>
      <c r="I468" t="n">
        <v>0</v>
      </c>
      <c r="J468" t="n">
        <v>0</v>
      </c>
      <c r="K468" t="n">
        <v>0</v>
      </c>
      <c r="L468" t="n">
        <v>0</v>
      </c>
      <c r="M468" t="n">
        <v>0</v>
      </c>
      <c r="N468" t="n">
        <v>0</v>
      </c>
      <c r="O468" t="n">
        <v>0</v>
      </c>
      <c r="P468" t="n">
        <v>0</v>
      </c>
      <c r="Q468" t="n">
        <v>0</v>
      </c>
      <c r="R468" s="2" t="inlineStr"/>
    </row>
    <row r="469" ht="15" customHeight="1">
      <c r="A469" t="inlineStr">
        <is>
          <t>A 66011-2021</t>
        </is>
      </c>
      <c r="B469" s="1" t="n">
        <v>44517.58137731482</v>
      </c>
      <c r="C469" s="1" t="n">
        <v>46043</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32904-2024</t>
        </is>
      </c>
      <c r="B470" s="1" t="n">
        <v>45516.94732638889</v>
      </c>
      <c r="C470" s="1" t="n">
        <v>46043</v>
      </c>
      <c r="D470" t="inlineStr">
        <is>
          <t>JÄMTLANDS LÄN</t>
        </is>
      </c>
      <c r="E470" t="inlineStr">
        <is>
          <t>RAGUNDA</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28216-2025</t>
        </is>
      </c>
      <c r="B471" s="1" t="n">
        <v>45818.46898148148</v>
      </c>
      <c r="C471" s="1" t="n">
        <v>46043</v>
      </c>
      <c r="D471" t="inlineStr">
        <is>
          <t>JÄMTLANDS LÄN</t>
        </is>
      </c>
      <c r="E471" t="inlineStr">
        <is>
          <t>RAGUNDA</t>
        </is>
      </c>
      <c r="G471" t="n">
        <v>6.6</v>
      </c>
      <c r="H471" t="n">
        <v>0</v>
      </c>
      <c r="I471" t="n">
        <v>0</v>
      </c>
      <c r="J471" t="n">
        <v>0</v>
      </c>
      <c r="K471" t="n">
        <v>0</v>
      </c>
      <c r="L471" t="n">
        <v>0</v>
      </c>
      <c r="M471" t="n">
        <v>0</v>
      </c>
      <c r="N471" t="n">
        <v>0</v>
      </c>
      <c r="O471" t="n">
        <v>0</v>
      </c>
      <c r="P471" t="n">
        <v>0</v>
      </c>
      <c r="Q471" t="n">
        <v>0</v>
      </c>
      <c r="R471" s="2" t="inlineStr"/>
    </row>
    <row r="472" ht="15" customHeight="1">
      <c r="A472" t="inlineStr">
        <is>
          <t>A 265-2026</t>
        </is>
      </c>
      <c r="B472" s="1" t="n">
        <v>46027.44956018519</v>
      </c>
      <c r="C472" s="1" t="n">
        <v>46043</v>
      </c>
      <c r="D472" t="inlineStr">
        <is>
          <t>JÄMTLANDS LÄN</t>
        </is>
      </c>
      <c r="E472" t="inlineStr">
        <is>
          <t>RAGUNDA</t>
        </is>
      </c>
      <c r="G472" t="n">
        <v>3.8</v>
      </c>
      <c r="H472" t="n">
        <v>0</v>
      </c>
      <c r="I472" t="n">
        <v>0</v>
      </c>
      <c r="J472" t="n">
        <v>0</v>
      </c>
      <c r="K472" t="n">
        <v>0</v>
      </c>
      <c r="L472" t="n">
        <v>0</v>
      </c>
      <c r="M472" t="n">
        <v>0</v>
      </c>
      <c r="N472" t="n">
        <v>0</v>
      </c>
      <c r="O472" t="n">
        <v>0</v>
      </c>
      <c r="P472" t="n">
        <v>0</v>
      </c>
      <c r="Q472" t="n">
        <v>0</v>
      </c>
      <c r="R472" s="2" t="inlineStr"/>
    </row>
    <row r="473" ht="15" customHeight="1">
      <c r="A473" t="inlineStr">
        <is>
          <t>A 23528-2024</t>
        </is>
      </c>
      <c r="B473" s="1" t="n">
        <v>45453.95016203704</v>
      </c>
      <c r="C473" s="1" t="n">
        <v>46043</v>
      </c>
      <c r="D473" t="inlineStr">
        <is>
          <t>JÄMTLANDS LÄN</t>
        </is>
      </c>
      <c r="E473" t="inlineStr">
        <is>
          <t>RAGUNDA</t>
        </is>
      </c>
      <c r="F473" t="inlineStr">
        <is>
          <t>SCA</t>
        </is>
      </c>
      <c r="G473" t="n">
        <v>4.7</v>
      </c>
      <c r="H473" t="n">
        <v>0</v>
      </c>
      <c r="I473" t="n">
        <v>0</v>
      </c>
      <c r="J473" t="n">
        <v>0</v>
      </c>
      <c r="K473" t="n">
        <v>0</v>
      </c>
      <c r="L473" t="n">
        <v>0</v>
      </c>
      <c r="M473" t="n">
        <v>0</v>
      </c>
      <c r="N473" t="n">
        <v>0</v>
      </c>
      <c r="O473" t="n">
        <v>0</v>
      </c>
      <c r="P473" t="n">
        <v>0</v>
      </c>
      <c r="Q473" t="n">
        <v>0</v>
      </c>
      <c r="R473" s="2" t="inlineStr"/>
    </row>
    <row r="474" ht="15" customHeight="1">
      <c r="A474" t="inlineStr">
        <is>
          <t>A 58638-2025</t>
        </is>
      </c>
      <c r="B474" s="1" t="n">
        <v>45986.49016203704</v>
      </c>
      <c r="C474" s="1" t="n">
        <v>46043</v>
      </c>
      <c r="D474" t="inlineStr">
        <is>
          <t>JÄMTLANDS LÄN</t>
        </is>
      </c>
      <c r="E474" t="inlineStr">
        <is>
          <t>RAGUNDA</t>
        </is>
      </c>
      <c r="G474" t="n">
        <v>1.3</v>
      </c>
      <c r="H474" t="n">
        <v>0</v>
      </c>
      <c r="I474" t="n">
        <v>0</v>
      </c>
      <c r="J474" t="n">
        <v>0</v>
      </c>
      <c r="K474" t="n">
        <v>0</v>
      </c>
      <c r="L474" t="n">
        <v>0</v>
      </c>
      <c r="M474" t="n">
        <v>0</v>
      </c>
      <c r="N474" t="n">
        <v>0</v>
      </c>
      <c r="O474" t="n">
        <v>0</v>
      </c>
      <c r="P474" t="n">
        <v>0</v>
      </c>
      <c r="Q474" t="n">
        <v>0</v>
      </c>
      <c r="R474" s="2" t="inlineStr"/>
    </row>
    <row r="475" ht="15" customHeight="1">
      <c r="A475" t="inlineStr">
        <is>
          <t>A 222-2026</t>
        </is>
      </c>
      <c r="B475" s="1" t="n">
        <v>46026.84054398148</v>
      </c>
      <c r="C475" s="1" t="n">
        <v>46043</v>
      </c>
      <c r="D475" t="inlineStr">
        <is>
          <t>JÄMTLANDS LÄN</t>
        </is>
      </c>
      <c r="E475" t="inlineStr">
        <is>
          <t>RAGUNDA</t>
        </is>
      </c>
      <c r="G475" t="n">
        <v>10.6</v>
      </c>
      <c r="H475" t="n">
        <v>0</v>
      </c>
      <c r="I475" t="n">
        <v>0</v>
      </c>
      <c r="J475" t="n">
        <v>0</v>
      </c>
      <c r="K475" t="n">
        <v>0</v>
      </c>
      <c r="L475" t="n">
        <v>0</v>
      </c>
      <c r="M475" t="n">
        <v>0</v>
      </c>
      <c r="N475" t="n">
        <v>0</v>
      </c>
      <c r="O475" t="n">
        <v>0</v>
      </c>
      <c r="P475" t="n">
        <v>0</v>
      </c>
      <c r="Q475" t="n">
        <v>0</v>
      </c>
      <c r="R475" s="2" t="inlineStr"/>
    </row>
    <row r="476" ht="15" customHeight="1">
      <c r="A476" t="inlineStr">
        <is>
          <t>A 58559-2025</t>
        </is>
      </c>
      <c r="B476" s="1" t="n">
        <v>45986.34475694445</v>
      </c>
      <c r="C476" s="1" t="n">
        <v>46043</v>
      </c>
      <c r="D476" t="inlineStr">
        <is>
          <t>JÄMTLANDS LÄN</t>
        </is>
      </c>
      <c r="E476" t="inlineStr">
        <is>
          <t>RAGUNDA</t>
        </is>
      </c>
      <c r="F476" t="inlineStr">
        <is>
          <t>SCA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22412-2024</t>
        </is>
      </c>
      <c r="B477" s="1" t="n">
        <v>45446.68947916666</v>
      </c>
      <c r="C477" s="1" t="n">
        <v>46043</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24196-2024</t>
        </is>
      </c>
      <c r="B478" s="1" t="n">
        <v>45456.96569444444</v>
      </c>
      <c r="C478" s="1" t="n">
        <v>46043</v>
      </c>
      <c r="D478" t="inlineStr">
        <is>
          <t>JÄMTLANDS LÄN</t>
        </is>
      </c>
      <c r="E478" t="inlineStr">
        <is>
          <t>RAGUNDA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39384-2025</t>
        </is>
      </c>
      <c r="B479" s="1" t="n">
        <v>45889.61517361111</v>
      </c>
      <c r="C479" s="1" t="n">
        <v>46043</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55701-2021</t>
        </is>
      </c>
      <c r="B480" s="1" t="n">
        <v>44475</v>
      </c>
      <c r="C480" s="1" t="n">
        <v>46043</v>
      </c>
      <c r="D480" t="inlineStr">
        <is>
          <t>JÄMTLANDS LÄN</t>
        </is>
      </c>
      <c r="E480" t="inlineStr">
        <is>
          <t>RAGUNDA</t>
        </is>
      </c>
      <c r="G480" t="n">
        <v>5.6</v>
      </c>
      <c r="H480" t="n">
        <v>0</v>
      </c>
      <c r="I480" t="n">
        <v>0</v>
      </c>
      <c r="J480" t="n">
        <v>0</v>
      </c>
      <c r="K480" t="n">
        <v>0</v>
      </c>
      <c r="L480" t="n">
        <v>0</v>
      </c>
      <c r="M480" t="n">
        <v>0</v>
      </c>
      <c r="N480" t="n">
        <v>0</v>
      </c>
      <c r="O480" t="n">
        <v>0</v>
      </c>
      <c r="P480" t="n">
        <v>0</v>
      </c>
      <c r="Q480" t="n">
        <v>0</v>
      </c>
      <c r="R480" s="2" t="inlineStr"/>
    </row>
    <row r="481" ht="15" customHeight="1">
      <c r="A481" t="inlineStr">
        <is>
          <t>A 23405-2025</t>
        </is>
      </c>
      <c r="B481" s="1" t="n">
        <v>45792.34527777778</v>
      </c>
      <c r="C481" s="1" t="n">
        <v>46043</v>
      </c>
      <c r="D481" t="inlineStr">
        <is>
          <t>JÄMTLANDS LÄN</t>
        </is>
      </c>
      <c r="E481" t="inlineStr">
        <is>
          <t>RAGUNDA</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24171-2021</t>
        </is>
      </c>
      <c r="B482" s="1" t="n">
        <v>44336</v>
      </c>
      <c r="C482" s="1" t="n">
        <v>46043</v>
      </c>
      <c r="D482" t="inlineStr">
        <is>
          <t>JÄMTLANDS LÄN</t>
        </is>
      </c>
      <c r="E482" t="inlineStr">
        <is>
          <t>RAGUNDA</t>
        </is>
      </c>
      <c r="G482" t="n">
        <v>3.6</v>
      </c>
      <c r="H482" t="n">
        <v>0</v>
      </c>
      <c r="I482" t="n">
        <v>0</v>
      </c>
      <c r="J482" t="n">
        <v>0</v>
      </c>
      <c r="K482" t="n">
        <v>0</v>
      </c>
      <c r="L482" t="n">
        <v>0</v>
      </c>
      <c r="M482" t="n">
        <v>0</v>
      </c>
      <c r="N482" t="n">
        <v>0</v>
      </c>
      <c r="O482" t="n">
        <v>0</v>
      </c>
      <c r="P482" t="n">
        <v>0</v>
      </c>
      <c r="Q482" t="n">
        <v>0</v>
      </c>
      <c r="R482" s="2" t="inlineStr"/>
    </row>
    <row r="483" ht="15" customHeight="1">
      <c r="A483" t="inlineStr">
        <is>
          <t>A 23654-2025</t>
        </is>
      </c>
      <c r="B483" s="1" t="n">
        <v>45792.71905092592</v>
      </c>
      <c r="C483" s="1" t="n">
        <v>46043</v>
      </c>
      <c r="D483" t="inlineStr">
        <is>
          <t>JÄMTLANDS LÄN</t>
        </is>
      </c>
      <c r="E483" t="inlineStr">
        <is>
          <t>RAGUNDA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23507-2025</t>
        </is>
      </c>
      <c r="B484" s="1" t="n">
        <v>45792.49023148148</v>
      </c>
      <c r="C484" s="1" t="n">
        <v>46043</v>
      </c>
      <c r="D484" t="inlineStr">
        <is>
          <t>JÄMTLANDS LÄN</t>
        </is>
      </c>
      <c r="E484" t="inlineStr">
        <is>
          <t>RAGUNDA</t>
        </is>
      </c>
      <c r="F484" t="inlineStr">
        <is>
          <t>SCA</t>
        </is>
      </c>
      <c r="G484" t="n">
        <v>16.4</v>
      </c>
      <c r="H484" t="n">
        <v>0</v>
      </c>
      <c r="I484" t="n">
        <v>0</v>
      </c>
      <c r="J484" t="n">
        <v>0</v>
      </c>
      <c r="K484" t="n">
        <v>0</v>
      </c>
      <c r="L484" t="n">
        <v>0</v>
      </c>
      <c r="M484" t="n">
        <v>0</v>
      </c>
      <c r="N484" t="n">
        <v>0</v>
      </c>
      <c r="O484" t="n">
        <v>0</v>
      </c>
      <c r="P484" t="n">
        <v>0</v>
      </c>
      <c r="Q484" t="n">
        <v>0</v>
      </c>
      <c r="R484" s="2" t="inlineStr"/>
    </row>
    <row r="485" ht="15" customHeight="1">
      <c r="A485" t="inlineStr">
        <is>
          <t>A 39949-2025</t>
        </is>
      </c>
      <c r="B485" s="1" t="n">
        <v>45892.38619212963</v>
      </c>
      <c r="C485" s="1" t="n">
        <v>46043</v>
      </c>
      <c r="D485" t="inlineStr">
        <is>
          <t>JÄMTLANDS LÄN</t>
        </is>
      </c>
      <c r="E485" t="inlineStr">
        <is>
          <t>RAGUNDA</t>
        </is>
      </c>
      <c r="G485" t="n">
        <v>1.4</v>
      </c>
      <c r="H485" t="n">
        <v>0</v>
      </c>
      <c r="I485" t="n">
        <v>0</v>
      </c>
      <c r="J485" t="n">
        <v>0</v>
      </c>
      <c r="K485" t="n">
        <v>0</v>
      </c>
      <c r="L485" t="n">
        <v>0</v>
      </c>
      <c r="M485" t="n">
        <v>0</v>
      </c>
      <c r="N485" t="n">
        <v>0</v>
      </c>
      <c r="O485" t="n">
        <v>0</v>
      </c>
      <c r="P485" t="n">
        <v>0</v>
      </c>
      <c r="Q485" t="n">
        <v>0</v>
      </c>
      <c r="R485" s="2" t="inlineStr"/>
    </row>
    <row r="486" ht="15" customHeight="1">
      <c r="A486" t="inlineStr">
        <is>
          <t>A 53109-2025</t>
        </is>
      </c>
      <c r="B486" s="1" t="n">
        <v>45958</v>
      </c>
      <c r="C486" s="1" t="n">
        <v>46043</v>
      </c>
      <c r="D486" t="inlineStr">
        <is>
          <t>JÄMTLANDS LÄN</t>
        </is>
      </c>
      <c r="E486" t="inlineStr">
        <is>
          <t>RAGUNDA</t>
        </is>
      </c>
      <c r="G486" t="n">
        <v>2.1</v>
      </c>
      <c r="H486" t="n">
        <v>0</v>
      </c>
      <c r="I486" t="n">
        <v>0</v>
      </c>
      <c r="J486" t="n">
        <v>0</v>
      </c>
      <c r="K486" t="n">
        <v>0</v>
      </c>
      <c r="L486" t="n">
        <v>0</v>
      </c>
      <c r="M486" t="n">
        <v>0</v>
      </c>
      <c r="N486" t="n">
        <v>0</v>
      </c>
      <c r="O486" t="n">
        <v>0</v>
      </c>
      <c r="P486" t="n">
        <v>0</v>
      </c>
      <c r="Q486" t="n">
        <v>0</v>
      </c>
      <c r="R486" s="2" t="inlineStr"/>
    </row>
    <row r="487" ht="15" customHeight="1">
      <c r="A487" t="inlineStr">
        <is>
          <t>A 39948-2025</t>
        </is>
      </c>
      <c r="B487" s="1" t="n">
        <v>45892.38591435185</v>
      </c>
      <c r="C487" s="1" t="n">
        <v>46043</v>
      </c>
      <c r="D487" t="inlineStr">
        <is>
          <t>JÄMTLANDS LÄN</t>
        </is>
      </c>
      <c r="E487" t="inlineStr">
        <is>
          <t>RAGUNDA</t>
        </is>
      </c>
      <c r="G487" t="n">
        <v>5</v>
      </c>
      <c r="H487" t="n">
        <v>0</v>
      </c>
      <c r="I487" t="n">
        <v>0</v>
      </c>
      <c r="J487" t="n">
        <v>0</v>
      </c>
      <c r="K487" t="n">
        <v>0</v>
      </c>
      <c r="L487" t="n">
        <v>0</v>
      </c>
      <c r="M487" t="n">
        <v>0</v>
      </c>
      <c r="N487" t="n">
        <v>0</v>
      </c>
      <c r="O487" t="n">
        <v>0</v>
      </c>
      <c r="P487" t="n">
        <v>0</v>
      </c>
      <c r="Q487" t="n">
        <v>0</v>
      </c>
      <c r="R487" s="2" t="inlineStr"/>
    </row>
    <row r="488" ht="15" customHeight="1">
      <c r="A488" t="inlineStr">
        <is>
          <t>A 2224-2024</t>
        </is>
      </c>
      <c r="B488" s="1" t="n">
        <v>45309.92524305556</v>
      </c>
      <c r="C488" s="1" t="n">
        <v>46043</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59214-2025</t>
        </is>
      </c>
      <c r="B489" s="1" t="n">
        <v>45988.61623842592</v>
      </c>
      <c r="C489" s="1" t="n">
        <v>46043</v>
      </c>
      <c r="D489" t="inlineStr">
        <is>
          <t>JÄMTLANDS LÄN</t>
        </is>
      </c>
      <c r="E489" t="inlineStr">
        <is>
          <t>RAGUNDA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23586-2025</t>
        </is>
      </c>
      <c r="B490" s="1" t="n">
        <v>45792.63584490741</v>
      </c>
      <c r="C490" s="1" t="n">
        <v>46043</v>
      </c>
      <c r="D490" t="inlineStr">
        <is>
          <t>JÄMTLANDS LÄN</t>
        </is>
      </c>
      <c r="E490" t="inlineStr">
        <is>
          <t>RAGUNDA</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23413-2025</t>
        </is>
      </c>
      <c r="B491" s="1" t="n">
        <v>45792.34606481482</v>
      </c>
      <c r="C491" s="1" t="n">
        <v>46043</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39947-2025</t>
        </is>
      </c>
      <c r="B492" s="1" t="n">
        <v>45892.34438657408</v>
      </c>
      <c r="C492" s="1" t="n">
        <v>46043</v>
      </c>
      <c r="D492" t="inlineStr">
        <is>
          <t>JÄMTLANDS LÄN</t>
        </is>
      </c>
      <c r="E492" t="inlineStr">
        <is>
          <t>RAGUNDA</t>
        </is>
      </c>
      <c r="G492" t="n">
        <v>6.6</v>
      </c>
      <c r="H492" t="n">
        <v>0</v>
      </c>
      <c r="I492" t="n">
        <v>0</v>
      </c>
      <c r="J492" t="n">
        <v>0</v>
      </c>
      <c r="K492" t="n">
        <v>0</v>
      </c>
      <c r="L492" t="n">
        <v>0</v>
      </c>
      <c r="M492" t="n">
        <v>0</v>
      </c>
      <c r="N492" t="n">
        <v>0</v>
      </c>
      <c r="O492" t="n">
        <v>0</v>
      </c>
      <c r="P492" t="n">
        <v>0</v>
      </c>
      <c r="Q492" t="n">
        <v>0</v>
      </c>
      <c r="R492" s="2" t="inlineStr"/>
    </row>
    <row r="493" ht="15" customHeight="1">
      <c r="A493" t="inlineStr">
        <is>
          <t>A 39951-2025</t>
        </is>
      </c>
      <c r="B493" s="1" t="n">
        <v>45892.38657407407</v>
      </c>
      <c r="C493" s="1" t="n">
        <v>46043</v>
      </c>
      <c r="D493" t="inlineStr">
        <is>
          <t>JÄMTLANDS LÄN</t>
        </is>
      </c>
      <c r="E493" t="inlineStr">
        <is>
          <t>RAGUNDA</t>
        </is>
      </c>
      <c r="G493" t="n">
        <v>2.3</v>
      </c>
      <c r="H493" t="n">
        <v>0</v>
      </c>
      <c r="I493" t="n">
        <v>0</v>
      </c>
      <c r="J493" t="n">
        <v>0</v>
      </c>
      <c r="K493" t="n">
        <v>0</v>
      </c>
      <c r="L493" t="n">
        <v>0</v>
      </c>
      <c r="M493" t="n">
        <v>0</v>
      </c>
      <c r="N493" t="n">
        <v>0</v>
      </c>
      <c r="O493" t="n">
        <v>0</v>
      </c>
      <c r="P493" t="n">
        <v>0</v>
      </c>
      <c r="Q493" t="n">
        <v>0</v>
      </c>
      <c r="R493" s="2" t="inlineStr"/>
    </row>
    <row r="494" ht="15" customHeight="1">
      <c r="A494" t="inlineStr">
        <is>
          <t>A 58918-2025</t>
        </is>
      </c>
      <c r="B494" s="1" t="n">
        <v>45987.52952546296</v>
      </c>
      <c r="C494" s="1" t="n">
        <v>46043</v>
      </c>
      <c r="D494" t="inlineStr">
        <is>
          <t>JÄMTLANDS LÄN</t>
        </is>
      </c>
      <c r="E494" t="inlineStr">
        <is>
          <t>RAGUNDA</t>
        </is>
      </c>
      <c r="G494" t="n">
        <v>2</v>
      </c>
      <c r="H494" t="n">
        <v>0</v>
      </c>
      <c r="I494" t="n">
        <v>0</v>
      </c>
      <c r="J494" t="n">
        <v>0</v>
      </c>
      <c r="K494" t="n">
        <v>0</v>
      </c>
      <c r="L494" t="n">
        <v>0</v>
      </c>
      <c r="M494" t="n">
        <v>0</v>
      </c>
      <c r="N494" t="n">
        <v>0</v>
      </c>
      <c r="O494" t="n">
        <v>0</v>
      </c>
      <c r="P494" t="n">
        <v>0</v>
      </c>
      <c r="Q494" t="n">
        <v>0</v>
      </c>
      <c r="R494" s="2" t="inlineStr"/>
    </row>
    <row r="495" ht="15" customHeight="1">
      <c r="A495" t="inlineStr">
        <is>
          <t>A 557-2026</t>
        </is>
      </c>
      <c r="B495" s="1" t="n">
        <v>46021</v>
      </c>
      <c r="C495" s="1" t="n">
        <v>46043</v>
      </c>
      <c r="D495" t="inlineStr">
        <is>
          <t>JÄMTLANDS LÄN</t>
        </is>
      </c>
      <c r="E495" t="inlineStr">
        <is>
          <t>RAGUNDA</t>
        </is>
      </c>
      <c r="G495" t="n">
        <v>1.5</v>
      </c>
      <c r="H495" t="n">
        <v>0</v>
      </c>
      <c r="I495" t="n">
        <v>0</v>
      </c>
      <c r="J495" t="n">
        <v>0</v>
      </c>
      <c r="K495" t="n">
        <v>0</v>
      </c>
      <c r="L495" t="n">
        <v>0</v>
      </c>
      <c r="M495" t="n">
        <v>0</v>
      </c>
      <c r="N495" t="n">
        <v>0</v>
      </c>
      <c r="O495" t="n">
        <v>0</v>
      </c>
      <c r="P495" t="n">
        <v>0</v>
      </c>
      <c r="Q495" t="n">
        <v>0</v>
      </c>
      <c r="R495" s="2" t="inlineStr"/>
    </row>
    <row r="496" ht="15" customHeight="1">
      <c r="A496" t="inlineStr">
        <is>
          <t>A 39946-2025</t>
        </is>
      </c>
      <c r="B496" s="1" t="n">
        <v>45892.34423611111</v>
      </c>
      <c r="C496" s="1" t="n">
        <v>46043</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39950-2025</t>
        </is>
      </c>
      <c r="B497" s="1" t="n">
        <v>45892.38641203703</v>
      </c>
      <c r="C497" s="1" t="n">
        <v>46043</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39955-2025</t>
        </is>
      </c>
      <c r="B498" s="1" t="n">
        <v>45892.44824074074</v>
      </c>
      <c r="C498" s="1" t="n">
        <v>46043</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647-2026</t>
        </is>
      </c>
      <c r="B499" s="1" t="n">
        <v>46029.57357638889</v>
      </c>
      <c r="C499" s="1" t="n">
        <v>46043</v>
      </c>
      <c r="D499" t="inlineStr">
        <is>
          <t>JÄMTLANDS LÄN</t>
        </is>
      </c>
      <c r="E499" t="inlineStr">
        <is>
          <t>RAGUNDA</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56702-2023</t>
        </is>
      </c>
      <c r="B500" s="1" t="n">
        <v>45243</v>
      </c>
      <c r="C500" s="1" t="n">
        <v>46043</v>
      </c>
      <c r="D500" t="inlineStr">
        <is>
          <t>JÄMTLANDS LÄN</t>
        </is>
      </c>
      <c r="E500" t="inlineStr">
        <is>
          <t>RAGUNDA</t>
        </is>
      </c>
      <c r="F500" t="inlineStr">
        <is>
          <t>SCA</t>
        </is>
      </c>
      <c r="G500" t="n">
        <v>10.3</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46043</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63708-2023</t>
        </is>
      </c>
      <c r="B502" s="1" t="n">
        <v>45275.95060185185</v>
      </c>
      <c r="C502" s="1" t="n">
        <v>46043</v>
      </c>
      <c r="D502" t="inlineStr">
        <is>
          <t>JÄMTLANDS LÄN</t>
        </is>
      </c>
      <c r="E502" t="inlineStr">
        <is>
          <t>RAGUNDA</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26651-2024</t>
        </is>
      </c>
      <c r="B503" s="1" t="n">
        <v>45469.94876157407</v>
      </c>
      <c r="C503" s="1" t="n">
        <v>46043</v>
      </c>
      <c r="D503" t="inlineStr">
        <is>
          <t>JÄMTLANDS LÄN</t>
        </is>
      </c>
      <c r="E503" t="inlineStr">
        <is>
          <t>RAGUNDA</t>
        </is>
      </c>
      <c r="F503" t="inlineStr">
        <is>
          <t>SCA</t>
        </is>
      </c>
      <c r="G503" t="n">
        <v>10.4</v>
      </c>
      <c r="H503" t="n">
        <v>0</v>
      </c>
      <c r="I503" t="n">
        <v>0</v>
      </c>
      <c r="J503" t="n">
        <v>0</v>
      </c>
      <c r="K503" t="n">
        <v>0</v>
      </c>
      <c r="L503" t="n">
        <v>0</v>
      </c>
      <c r="M503" t="n">
        <v>0</v>
      </c>
      <c r="N503" t="n">
        <v>0</v>
      </c>
      <c r="O503" t="n">
        <v>0</v>
      </c>
      <c r="P503" t="n">
        <v>0</v>
      </c>
      <c r="Q503" t="n">
        <v>0</v>
      </c>
      <c r="R503" s="2" t="inlineStr"/>
    </row>
    <row r="504" ht="15" customHeight="1">
      <c r="A504" t="inlineStr">
        <is>
          <t>A 40586-2025</t>
        </is>
      </c>
      <c r="B504" s="1" t="n">
        <v>45896.52478009259</v>
      </c>
      <c r="C504" s="1" t="n">
        <v>46043</v>
      </c>
      <c r="D504" t="inlineStr">
        <is>
          <t>JÄMTLANDS LÄN</t>
        </is>
      </c>
      <c r="E504" t="inlineStr">
        <is>
          <t>RAGUNDA</t>
        </is>
      </c>
      <c r="G504" t="n">
        <v>1.2</v>
      </c>
      <c r="H504" t="n">
        <v>0</v>
      </c>
      <c r="I504" t="n">
        <v>0</v>
      </c>
      <c r="J504" t="n">
        <v>0</v>
      </c>
      <c r="K504" t="n">
        <v>0</v>
      </c>
      <c r="L504" t="n">
        <v>0</v>
      </c>
      <c r="M504" t="n">
        <v>0</v>
      </c>
      <c r="N504" t="n">
        <v>0</v>
      </c>
      <c r="O504" t="n">
        <v>0</v>
      </c>
      <c r="P504" t="n">
        <v>0</v>
      </c>
      <c r="Q504" t="n">
        <v>0</v>
      </c>
      <c r="R504" s="2" t="inlineStr"/>
    </row>
    <row r="505" ht="15" customHeight="1">
      <c r="A505" t="inlineStr">
        <is>
          <t>A 23253-2025</t>
        </is>
      </c>
      <c r="B505" s="1" t="n">
        <v>45791.53238425926</v>
      </c>
      <c r="C505" s="1" t="n">
        <v>46043</v>
      </c>
      <c r="D505" t="inlineStr">
        <is>
          <t>JÄMTLANDS LÄN</t>
        </is>
      </c>
      <c r="E505" t="inlineStr">
        <is>
          <t>RAGUNDA</t>
        </is>
      </c>
      <c r="G505" t="n">
        <v>0.7</v>
      </c>
      <c r="H505" t="n">
        <v>0</v>
      </c>
      <c r="I505" t="n">
        <v>0</v>
      </c>
      <c r="J505" t="n">
        <v>0</v>
      </c>
      <c r="K505" t="n">
        <v>0</v>
      </c>
      <c r="L505" t="n">
        <v>0</v>
      </c>
      <c r="M505" t="n">
        <v>0</v>
      </c>
      <c r="N505" t="n">
        <v>0</v>
      </c>
      <c r="O505" t="n">
        <v>0</v>
      </c>
      <c r="P505" t="n">
        <v>0</v>
      </c>
      <c r="Q505" t="n">
        <v>0</v>
      </c>
      <c r="R505" s="2" t="inlineStr"/>
    </row>
    <row r="506" ht="15" customHeight="1">
      <c r="A506" t="inlineStr">
        <is>
          <t>A 59692-2025</t>
        </is>
      </c>
      <c r="B506" s="1" t="n">
        <v>45992.49001157407</v>
      </c>
      <c r="C506" s="1" t="n">
        <v>46043</v>
      </c>
      <c r="D506" t="inlineStr">
        <is>
          <t>JÄMTLANDS LÄN</t>
        </is>
      </c>
      <c r="E506" t="inlineStr">
        <is>
          <t>RAGUNDA</t>
        </is>
      </c>
      <c r="G506" t="n">
        <v>2.7</v>
      </c>
      <c r="H506" t="n">
        <v>0</v>
      </c>
      <c r="I506" t="n">
        <v>0</v>
      </c>
      <c r="J506" t="n">
        <v>0</v>
      </c>
      <c r="K506" t="n">
        <v>0</v>
      </c>
      <c r="L506" t="n">
        <v>0</v>
      </c>
      <c r="M506" t="n">
        <v>0</v>
      </c>
      <c r="N506" t="n">
        <v>0</v>
      </c>
      <c r="O506" t="n">
        <v>0</v>
      </c>
      <c r="P506" t="n">
        <v>0</v>
      </c>
      <c r="Q506" t="n">
        <v>0</v>
      </c>
      <c r="R506" s="2" t="inlineStr"/>
    </row>
    <row r="507" ht="15" customHeight="1">
      <c r="A507" t="inlineStr">
        <is>
          <t>A 59693-2025</t>
        </is>
      </c>
      <c r="B507" s="1" t="n">
        <v>45992.49009259259</v>
      </c>
      <c r="C507" s="1" t="n">
        <v>46043</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59491-2025</t>
        </is>
      </c>
      <c r="B508" s="1" t="n">
        <v>45989.60376157407</v>
      </c>
      <c r="C508" s="1" t="n">
        <v>46043</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41161-2025</t>
        </is>
      </c>
      <c r="B509" s="1" t="n">
        <v>45898.53193287037</v>
      </c>
      <c r="C509" s="1" t="n">
        <v>46043</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59499-2025</t>
        </is>
      </c>
      <c r="B510" s="1" t="n">
        <v>45989.61846064815</v>
      </c>
      <c r="C510" s="1" t="n">
        <v>46043</v>
      </c>
      <c r="D510" t="inlineStr">
        <is>
          <t>JÄMTLANDS LÄN</t>
        </is>
      </c>
      <c r="E510" t="inlineStr">
        <is>
          <t>RAGUNDA</t>
        </is>
      </c>
      <c r="G510" t="n">
        <v>2</v>
      </c>
      <c r="H510" t="n">
        <v>0</v>
      </c>
      <c r="I510" t="n">
        <v>0</v>
      </c>
      <c r="J510" t="n">
        <v>0</v>
      </c>
      <c r="K510" t="n">
        <v>0</v>
      </c>
      <c r="L510" t="n">
        <v>0</v>
      </c>
      <c r="M510" t="n">
        <v>0</v>
      </c>
      <c r="N510" t="n">
        <v>0</v>
      </c>
      <c r="O510" t="n">
        <v>0</v>
      </c>
      <c r="P510" t="n">
        <v>0</v>
      </c>
      <c r="Q510" t="n">
        <v>0</v>
      </c>
      <c r="R510" s="2" t="inlineStr"/>
    </row>
    <row r="511" ht="15" customHeight="1">
      <c r="A511" t="inlineStr">
        <is>
          <t>A 59503-2025</t>
        </is>
      </c>
      <c r="B511" s="1" t="n">
        <v>45989.62703703704</v>
      </c>
      <c r="C511" s="1" t="n">
        <v>46043</v>
      </c>
      <c r="D511" t="inlineStr">
        <is>
          <t>JÄMTLANDS LÄN</t>
        </is>
      </c>
      <c r="E511" t="inlineStr">
        <is>
          <t>RAGUNDA</t>
        </is>
      </c>
      <c r="G511" t="n">
        <v>0.6</v>
      </c>
      <c r="H511" t="n">
        <v>0</v>
      </c>
      <c r="I511" t="n">
        <v>0</v>
      </c>
      <c r="J511" t="n">
        <v>0</v>
      </c>
      <c r="K511" t="n">
        <v>0</v>
      </c>
      <c r="L511" t="n">
        <v>0</v>
      </c>
      <c r="M511" t="n">
        <v>0</v>
      </c>
      <c r="N511" t="n">
        <v>0</v>
      </c>
      <c r="O511" t="n">
        <v>0</v>
      </c>
      <c r="P511" t="n">
        <v>0</v>
      </c>
      <c r="Q511" t="n">
        <v>0</v>
      </c>
      <c r="R511" s="2" t="inlineStr"/>
    </row>
    <row r="512" ht="15" customHeight="1">
      <c r="A512" t="inlineStr">
        <is>
          <t>A 41140-2025</t>
        </is>
      </c>
      <c r="B512" s="1" t="n">
        <v>45898.49012731481</v>
      </c>
      <c r="C512" s="1" t="n">
        <v>46043</v>
      </c>
      <c r="D512" t="inlineStr">
        <is>
          <t>JÄMTLANDS LÄN</t>
        </is>
      </c>
      <c r="E512" t="inlineStr">
        <is>
          <t>RAGUNDA</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59740-2025</t>
        </is>
      </c>
      <c r="B513" s="1" t="n">
        <v>45992.5743287037</v>
      </c>
      <c r="C513" s="1" t="n">
        <v>46043</v>
      </c>
      <c r="D513" t="inlineStr">
        <is>
          <t>JÄMTLANDS LÄN</t>
        </is>
      </c>
      <c r="E513" t="inlineStr">
        <is>
          <t>RAGUNDA</t>
        </is>
      </c>
      <c r="F513" t="inlineStr">
        <is>
          <t>SCA</t>
        </is>
      </c>
      <c r="G513" t="n">
        <v>14.1</v>
      </c>
      <c r="H513" t="n">
        <v>0</v>
      </c>
      <c r="I513" t="n">
        <v>0</v>
      </c>
      <c r="J513" t="n">
        <v>0</v>
      </c>
      <c r="K513" t="n">
        <v>0</v>
      </c>
      <c r="L513" t="n">
        <v>0</v>
      </c>
      <c r="M513" t="n">
        <v>0</v>
      </c>
      <c r="N513" t="n">
        <v>0</v>
      </c>
      <c r="O513" t="n">
        <v>0</v>
      </c>
      <c r="P513" t="n">
        <v>0</v>
      </c>
      <c r="Q513" t="n">
        <v>0</v>
      </c>
      <c r="R513" s="2" t="inlineStr"/>
    </row>
    <row r="514" ht="15" customHeight="1">
      <c r="A514" t="inlineStr">
        <is>
          <t>A 50486-2023</t>
        </is>
      </c>
      <c r="B514" s="1" t="n">
        <v>45216.92424768519</v>
      </c>
      <c r="C514" s="1" t="n">
        <v>46043</v>
      </c>
      <c r="D514" t="inlineStr">
        <is>
          <t>JÄMTLANDS LÄN</t>
        </is>
      </c>
      <c r="E514" t="inlineStr">
        <is>
          <t>RAGUNDA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18284-2025</t>
        </is>
      </c>
      <c r="B515" s="1" t="n">
        <v>45762.39876157408</v>
      </c>
      <c r="C515" s="1" t="n">
        <v>46043</v>
      </c>
      <c r="D515" t="inlineStr">
        <is>
          <t>JÄMTLANDS LÄN</t>
        </is>
      </c>
      <c r="E515" t="inlineStr">
        <is>
          <t>RAGUNDA</t>
        </is>
      </c>
      <c r="G515" t="n">
        <v>0.2</v>
      </c>
      <c r="H515" t="n">
        <v>0</v>
      </c>
      <c r="I515" t="n">
        <v>0</v>
      </c>
      <c r="J515" t="n">
        <v>0</v>
      </c>
      <c r="K515" t="n">
        <v>0</v>
      </c>
      <c r="L515" t="n">
        <v>0</v>
      </c>
      <c r="M515" t="n">
        <v>0</v>
      </c>
      <c r="N515" t="n">
        <v>0</v>
      </c>
      <c r="O515" t="n">
        <v>0</v>
      </c>
      <c r="P515" t="n">
        <v>0</v>
      </c>
      <c r="Q515" t="n">
        <v>0</v>
      </c>
      <c r="R515" s="2" t="inlineStr"/>
      <c r="U515">
        <f>HYPERLINK("https://klasma.github.io/Logging_2303/knärot/A 18284-2025 karta knärot.png", "A 18284-2025")</f>
        <v/>
      </c>
      <c r="V515">
        <f>HYPERLINK("https://klasma.github.io/Logging_2303/klagomål/A 18284-2025 FSC-klagomål.docx", "A 18284-2025")</f>
        <v/>
      </c>
      <c r="W515">
        <f>HYPERLINK("https://klasma.github.io/Logging_2303/klagomålsmail/A 18284-2025 FSC-klagomål mail.docx", "A 18284-2025")</f>
        <v/>
      </c>
      <c r="X515">
        <f>HYPERLINK("https://klasma.github.io/Logging_2303/tillsyn/A 18284-2025 tillsynsbegäran.docx", "A 18284-2025")</f>
        <v/>
      </c>
      <c r="Y515">
        <f>HYPERLINK("https://klasma.github.io/Logging_2303/tillsynsmail/A 18284-2025 tillsynsbegäran mail.docx", "A 18284-2025")</f>
        <v/>
      </c>
    </row>
    <row r="516" ht="15" customHeight="1">
      <c r="A516" t="inlineStr">
        <is>
          <t>A 41233-2025</t>
        </is>
      </c>
      <c r="B516" s="1" t="n">
        <v>45898.59295138889</v>
      </c>
      <c r="C516" s="1" t="n">
        <v>46043</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41262-2025</t>
        </is>
      </c>
      <c r="B517" s="1" t="n">
        <v>45898.61502314815</v>
      </c>
      <c r="C517" s="1" t="n">
        <v>46043</v>
      </c>
      <c r="D517" t="inlineStr">
        <is>
          <t>JÄMTLANDS LÄN</t>
        </is>
      </c>
      <c r="E517" t="inlineStr">
        <is>
          <t>RAGUNDA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59738-2025</t>
        </is>
      </c>
      <c r="B518" s="1" t="n">
        <v>45992.57408564815</v>
      </c>
      <c r="C518" s="1" t="n">
        <v>46043</v>
      </c>
      <c r="D518" t="inlineStr">
        <is>
          <t>JÄMTLANDS LÄN</t>
        </is>
      </c>
      <c r="E518" t="inlineStr">
        <is>
          <t>RAGUNDA</t>
        </is>
      </c>
      <c r="F518" t="inlineStr">
        <is>
          <t>SCA</t>
        </is>
      </c>
      <c r="G518" t="n">
        <v>12.5</v>
      </c>
      <c r="H518" t="n">
        <v>0</v>
      </c>
      <c r="I518" t="n">
        <v>0</v>
      </c>
      <c r="J518" t="n">
        <v>0</v>
      </c>
      <c r="K518" t="n">
        <v>0</v>
      </c>
      <c r="L518" t="n">
        <v>0</v>
      </c>
      <c r="M518" t="n">
        <v>0</v>
      </c>
      <c r="N518" t="n">
        <v>0</v>
      </c>
      <c r="O518" t="n">
        <v>0</v>
      </c>
      <c r="P518" t="n">
        <v>0</v>
      </c>
      <c r="Q518" t="n">
        <v>0</v>
      </c>
      <c r="R518" s="2" t="inlineStr"/>
    </row>
    <row r="519" ht="15" customHeight="1">
      <c r="A519" t="inlineStr">
        <is>
          <t>A 59739-2025</t>
        </is>
      </c>
      <c r="B519" s="1" t="n">
        <v>45992.57417824074</v>
      </c>
      <c r="C519" s="1" t="n">
        <v>46043</v>
      </c>
      <c r="D519" t="inlineStr">
        <is>
          <t>JÄMTLANDS LÄN</t>
        </is>
      </c>
      <c r="E519" t="inlineStr">
        <is>
          <t>RAGUNDA</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61755-2025</t>
        </is>
      </c>
      <c r="B520" s="1" t="n">
        <v>46002</v>
      </c>
      <c r="C520" s="1" t="n">
        <v>46043</v>
      </c>
      <c r="D520" t="inlineStr">
        <is>
          <t>JÄMTLANDS LÄN</t>
        </is>
      </c>
      <c r="E520" t="inlineStr">
        <is>
          <t>RAGUNDA</t>
        </is>
      </c>
      <c r="G520" t="n">
        <v>0.9</v>
      </c>
      <c r="H520" t="n">
        <v>0</v>
      </c>
      <c r="I520" t="n">
        <v>0</v>
      </c>
      <c r="J520" t="n">
        <v>0</v>
      </c>
      <c r="K520" t="n">
        <v>0</v>
      </c>
      <c r="L520" t="n">
        <v>0</v>
      </c>
      <c r="M520" t="n">
        <v>0</v>
      </c>
      <c r="N520" t="n">
        <v>0</v>
      </c>
      <c r="O520" t="n">
        <v>0</v>
      </c>
      <c r="P520" t="n">
        <v>0</v>
      </c>
      <c r="Q520" t="n">
        <v>0</v>
      </c>
      <c r="R520" s="2" t="inlineStr"/>
    </row>
    <row r="521" ht="15" customHeight="1">
      <c r="A521" t="inlineStr">
        <is>
          <t>A 9084-2023</t>
        </is>
      </c>
      <c r="B521" s="1" t="n">
        <v>44979</v>
      </c>
      <c r="C521" s="1" t="n">
        <v>46043</v>
      </c>
      <c r="D521" t="inlineStr">
        <is>
          <t>JÄMTLANDS LÄN</t>
        </is>
      </c>
      <c r="E521" t="inlineStr">
        <is>
          <t>RAGUNDA</t>
        </is>
      </c>
      <c r="G521" t="n">
        <v>1.9</v>
      </c>
      <c r="H521" t="n">
        <v>0</v>
      </c>
      <c r="I521" t="n">
        <v>0</v>
      </c>
      <c r="J521" t="n">
        <v>0</v>
      </c>
      <c r="K521" t="n">
        <v>0</v>
      </c>
      <c r="L521" t="n">
        <v>0</v>
      </c>
      <c r="M521" t="n">
        <v>0</v>
      </c>
      <c r="N521" t="n">
        <v>0</v>
      </c>
      <c r="O521" t="n">
        <v>0</v>
      </c>
      <c r="P521" t="n">
        <v>0</v>
      </c>
      <c r="Q521" t="n">
        <v>0</v>
      </c>
      <c r="R521" s="2" t="inlineStr"/>
    </row>
    <row r="522" ht="15" customHeight="1">
      <c r="A522" t="inlineStr">
        <is>
          <t>A 9360-2023</t>
        </is>
      </c>
      <c r="B522" s="1" t="n">
        <v>44980.93865740741</v>
      </c>
      <c r="C522" s="1" t="n">
        <v>46043</v>
      </c>
      <c r="D522" t="inlineStr">
        <is>
          <t>JÄMTLANDS LÄN</t>
        </is>
      </c>
      <c r="E522" t="inlineStr">
        <is>
          <t>RAGUNDA</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66706-2021</t>
        </is>
      </c>
      <c r="B523" s="1" t="n">
        <v>44519.94440972222</v>
      </c>
      <c r="C523" s="1" t="n">
        <v>46043</v>
      </c>
      <c r="D523" t="inlineStr">
        <is>
          <t>JÄMTLANDS LÄN</t>
        </is>
      </c>
      <c r="E523" t="inlineStr">
        <is>
          <t>RAGUNDA</t>
        </is>
      </c>
      <c r="F523" t="inlineStr">
        <is>
          <t>SCA</t>
        </is>
      </c>
      <c r="G523" t="n">
        <v>5.3</v>
      </c>
      <c r="H523" t="n">
        <v>0</v>
      </c>
      <c r="I523" t="n">
        <v>0</v>
      </c>
      <c r="J523" t="n">
        <v>0</v>
      </c>
      <c r="K523" t="n">
        <v>0</v>
      </c>
      <c r="L523" t="n">
        <v>0</v>
      </c>
      <c r="M523" t="n">
        <v>0</v>
      </c>
      <c r="N523" t="n">
        <v>0</v>
      </c>
      <c r="O523" t="n">
        <v>0</v>
      </c>
      <c r="P523" t="n">
        <v>0</v>
      </c>
      <c r="Q523" t="n">
        <v>0</v>
      </c>
      <c r="R523" s="2" t="inlineStr"/>
    </row>
    <row r="524" ht="15" customHeight="1">
      <c r="A524" t="inlineStr">
        <is>
          <t>A 19263-2025</t>
        </is>
      </c>
      <c r="B524" s="1" t="n">
        <v>45769.51075231482</v>
      </c>
      <c r="C524" s="1" t="n">
        <v>46043</v>
      </c>
      <c r="D524" t="inlineStr">
        <is>
          <t>JÄMTLANDS LÄN</t>
        </is>
      </c>
      <c r="E524" t="inlineStr">
        <is>
          <t>RAGUNDA</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23840-2025</t>
        </is>
      </c>
      <c r="B525" s="1" t="n">
        <v>45793</v>
      </c>
      <c r="C525" s="1" t="n">
        <v>46043</v>
      </c>
      <c r="D525" t="inlineStr">
        <is>
          <t>JÄMTLANDS LÄN</t>
        </is>
      </c>
      <c r="E525" t="inlineStr">
        <is>
          <t>RAGUNDA</t>
        </is>
      </c>
      <c r="G525" t="n">
        <v>0.8</v>
      </c>
      <c r="H525" t="n">
        <v>0</v>
      </c>
      <c r="I525" t="n">
        <v>0</v>
      </c>
      <c r="J525" t="n">
        <v>0</v>
      </c>
      <c r="K525" t="n">
        <v>0</v>
      </c>
      <c r="L525" t="n">
        <v>0</v>
      </c>
      <c r="M525" t="n">
        <v>0</v>
      </c>
      <c r="N525" t="n">
        <v>0</v>
      </c>
      <c r="O525" t="n">
        <v>0</v>
      </c>
      <c r="P525" t="n">
        <v>0</v>
      </c>
      <c r="Q525" t="n">
        <v>0</v>
      </c>
      <c r="R525" s="2" t="inlineStr"/>
    </row>
    <row r="526" ht="15" customHeight="1">
      <c r="A526" t="inlineStr">
        <is>
          <t>A 24158-2025</t>
        </is>
      </c>
      <c r="B526" s="1" t="n">
        <v>45796</v>
      </c>
      <c r="C526" s="1" t="n">
        <v>46043</v>
      </c>
      <c r="D526" t="inlineStr">
        <is>
          <t>JÄMTLANDS LÄN</t>
        </is>
      </c>
      <c r="E526" t="inlineStr">
        <is>
          <t>RAGUNDA</t>
        </is>
      </c>
      <c r="G526" t="n">
        <v>2.9</v>
      </c>
      <c r="H526" t="n">
        <v>0</v>
      </c>
      <c r="I526" t="n">
        <v>0</v>
      </c>
      <c r="J526" t="n">
        <v>0</v>
      </c>
      <c r="K526" t="n">
        <v>0</v>
      </c>
      <c r="L526" t="n">
        <v>0</v>
      </c>
      <c r="M526" t="n">
        <v>0</v>
      </c>
      <c r="N526" t="n">
        <v>0</v>
      </c>
      <c r="O526" t="n">
        <v>0</v>
      </c>
      <c r="P526" t="n">
        <v>0</v>
      </c>
      <c r="Q526" t="n">
        <v>0</v>
      </c>
      <c r="R526" s="2" t="inlineStr"/>
      <c r="U526">
        <f>HYPERLINK("https://klasma.github.io/Logging_2303/knärot/A 24158-2025 karta knärot.png", "A 24158-2025")</f>
        <v/>
      </c>
      <c r="V526">
        <f>HYPERLINK("https://klasma.github.io/Logging_2303/klagomål/A 24158-2025 FSC-klagomål.docx", "A 24158-2025")</f>
        <v/>
      </c>
      <c r="W526">
        <f>HYPERLINK("https://klasma.github.io/Logging_2303/klagomålsmail/A 24158-2025 FSC-klagomål mail.docx", "A 24158-2025")</f>
        <v/>
      </c>
      <c r="X526">
        <f>HYPERLINK("https://klasma.github.io/Logging_2303/tillsyn/A 24158-2025 tillsynsbegäran.docx", "A 24158-2025")</f>
        <v/>
      </c>
      <c r="Y526">
        <f>HYPERLINK("https://klasma.github.io/Logging_2303/tillsynsmail/A 24158-2025 tillsynsbegäran mail.docx", "A 24158-2025")</f>
        <v/>
      </c>
    </row>
    <row r="527" ht="15" customHeight="1">
      <c r="A527" t="inlineStr">
        <is>
          <t>A 24161-2025</t>
        </is>
      </c>
      <c r="B527" s="1" t="n">
        <v>45796</v>
      </c>
      <c r="C527" s="1" t="n">
        <v>46043</v>
      </c>
      <c r="D527" t="inlineStr">
        <is>
          <t>JÄMTLANDS LÄN</t>
        </is>
      </c>
      <c r="E527" t="inlineStr">
        <is>
          <t>RAGUNDA</t>
        </is>
      </c>
      <c r="G527" t="n">
        <v>2.4</v>
      </c>
      <c r="H527" t="n">
        <v>0</v>
      </c>
      <c r="I527" t="n">
        <v>0</v>
      </c>
      <c r="J527" t="n">
        <v>0</v>
      </c>
      <c r="K527" t="n">
        <v>0</v>
      </c>
      <c r="L527" t="n">
        <v>0</v>
      </c>
      <c r="M527" t="n">
        <v>0</v>
      </c>
      <c r="N527" t="n">
        <v>0</v>
      </c>
      <c r="O527" t="n">
        <v>0</v>
      </c>
      <c r="P527" t="n">
        <v>0</v>
      </c>
      <c r="Q527" t="n">
        <v>0</v>
      </c>
      <c r="R527" s="2" t="inlineStr"/>
    </row>
    <row r="528" ht="15" customHeight="1">
      <c r="A528" t="inlineStr">
        <is>
          <t>A 32259-2024</t>
        </is>
      </c>
      <c r="B528" s="1" t="n">
        <v>45511</v>
      </c>
      <c r="C528" s="1" t="n">
        <v>46043</v>
      </c>
      <c r="D528" t="inlineStr">
        <is>
          <t>JÄMTLANDS LÄN</t>
        </is>
      </c>
      <c r="E528" t="inlineStr">
        <is>
          <t>RAGUNDA</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41422-2025</t>
        </is>
      </c>
      <c r="B529" s="1" t="n">
        <v>45901.38572916666</v>
      </c>
      <c r="C529" s="1" t="n">
        <v>46043</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18778-2024</t>
        </is>
      </c>
      <c r="B530" s="1" t="n">
        <v>45426</v>
      </c>
      <c r="C530" s="1" t="n">
        <v>46043</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18781-2024</t>
        </is>
      </c>
      <c r="B531" s="1" t="n">
        <v>45426</v>
      </c>
      <c r="C531" s="1" t="n">
        <v>46043</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41423-2025</t>
        </is>
      </c>
      <c r="B532" s="1" t="n">
        <v>45901.38578703703</v>
      </c>
      <c r="C532" s="1" t="n">
        <v>46043</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1333-2026</t>
        </is>
      </c>
      <c r="B533" s="1" t="n">
        <v>46031.57340277778</v>
      </c>
      <c r="C533" s="1" t="n">
        <v>46043</v>
      </c>
      <c r="D533" t="inlineStr">
        <is>
          <t>JÄMTLANDS LÄN</t>
        </is>
      </c>
      <c r="E533" t="inlineStr">
        <is>
          <t>RAGUNDA</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41656-2025</t>
        </is>
      </c>
      <c r="B534" s="1" t="n">
        <v>45902.34423611111</v>
      </c>
      <c r="C534" s="1" t="n">
        <v>46043</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41424-2025</t>
        </is>
      </c>
      <c r="B535" s="1" t="n">
        <v>45901.38584490741</v>
      </c>
      <c r="C535" s="1" t="n">
        <v>46043</v>
      </c>
      <c r="D535" t="inlineStr">
        <is>
          <t>JÄMTLANDS LÄN</t>
        </is>
      </c>
      <c r="E535" t="inlineStr">
        <is>
          <t>RAGUNDA</t>
        </is>
      </c>
      <c r="G535" t="n">
        <v>3</v>
      </c>
      <c r="H535" t="n">
        <v>0</v>
      </c>
      <c r="I535" t="n">
        <v>0</v>
      </c>
      <c r="J535" t="n">
        <v>0</v>
      </c>
      <c r="K535" t="n">
        <v>0</v>
      </c>
      <c r="L535" t="n">
        <v>0</v>
      </c>
      <c r="M535" t="n">
        <v>0</v>
      </c>
      <c r="N535" t="n">
        <v>0</v>
      </c>
      <c r="O535" t="n">
        <v>0</v>
      </c>
      <c r="P535" t="n">
        <v>0</v>
      </c>
      <c r="Q535" t="n">
        <v>0</v>
      </c>
      <c r="R535" s="2" t="inlineStr"/>
    </row>
    <row r="536" ht="15" customHeight="1">
      <c r="A536" t="inlineStr">
        <is>
          <t>A 17248-2023</t>
        </is>
      </c>
      <c r="B536" s="1" t="n">
        <v>45033</v>
      </c>
      <c r="C536" s="1" t="n">
        <v>46043</v>
      </c>
      <c r="D536" t="inlineStr">
        <is>
          <t>JÄMTLANDS LÄN</t>
        </is>
      </c>
      <c r="E536" t="inlineStr">
        <is>
          <t>RAGUNDA</t>
        </is>
      </c>
      <c r="G536" t="n">
        <v>3</v>
      </c>
      <c r="H536" t="n">
        <v>0</v>
      </c>
      <c r="I536" t="n">
        <v>0</v>
      </c>
      <c r="J536" t="n">
        <v>0</v>
      </c>
      <c r="K536" t="n">
        <v>0</v>
      </c>
      <c r="L536" t="n">
        <v>0</v>
      </c>
      <c r="M536" t="n">
        <v>0</v>
      </c>
      <c r="N536" t="n">
        <v>0</v>
      </c>
      <c r="O536" t="n">
        <v>0</v>
      </c>
      <c r="P536" t="n">
        <v>0</v>
      </c>
      <c r="Q536" t="n">
        <v>0</v>
      </c>
      <c r="R536" s="2" t="inlineStr"/>
    </row>
    <row r="537" ht="15" customHeight="1">
      <c r="A537" t="inlineStr">
        <is>
          <t>A 2316-2026</t>
        </is>
      </c>
      <c r="B537" s="1" t="n">
        <v>46036.59826388889</v>
      </c>
      <c r="C537" s="1" t="n">
        <v>46043</v>
      </c>
      <c r="D537" t="inlineStr">
        <is>
          <t>JÄMTLANDS LÄN</t>
        </is>
      </c>
      <c r="E537" t="inlineStr">
        <is>
          <t>RAGUNDA</t>
        </is>
      </c>
      <c r="G537" t="n">
        <v>5.1</v>
      </c>
      <c r="H537" t="n">
        <v>0</v>
      </c>
      <c r="I537" t="n">
        <v>0</v>
      </c>
      <c r="J537" t="n">
        <v>0</v>
      </c>
      <c r="K537" t="n">
        <v>0</v>
      </c>
      <c r="L537" t="n">
        <v>0</v>
      </c>
      <c r="M537" t="n">
        <v>0</v>
      </c>
      <c r="N537" t="n">
        <v>0</v>
      </c>
      <c r="O537" t="n">
        <v>0</v>
      </c>
      <c r="P537" t="n">
        <v>0</v>
      </c>
      <c r="Q537" t="n">
        <v>0</v>
      </c>
      <c r="R537" s="2" t="inlineStr"/>
    </row>
    <row r="538" ht="15" customHeight="1">
      <c r="A538" t="inlineStr">
        <is>
          <t>A 60130-2025</t>
        </is>
      </c>
      <c r="B538" s="1" t="n">
        <v>45994.34467592592</v>
      </c>
      <c r="C538" s="1" t="n">
        <v>46043</v>
      </c>
      <c r="D538" t="inlineStr">
        <is>
          <t>JÄMTLANDS LÄN</t>
        </is>
      </c>
      <c r="E538" t="inlineStr">
        <is>
          <t>RAGUNDA</t>
        </is>
      </c>
      <c r="G538" t="n">
        <v>4.9</v>
      </c>
      <c r="H538" t="n">
        <v>0</v>
      </c>
      <c r="I538" t="n">
        <v>0</v>
      </c>
      <c r="J538" t="n">
        <v>0</v>
      </c>
      <c r="K538" t="n">
        <v>0</v>
      </c>
      <c r="L538" t="n">
        <v>0</v>
      </c>
      <c r="M538" t="n">
        <v>0</v>
      </c>
      <c r="N538" t="n">
        <v>0</v>
      </c>
      <c r="O538" t="n">
        <v>0</v>
      </c>
      <c r="P538" t="n">
        <v>0</v>
      </c>
      <c r="Q538" t="n">
        <v>0</v>
      </c>
      <c r="R538" s="2" t="inlineStr"/>
    </row>
    <row r="539" ht="15" customHeight="1">
      <c r="A539" t="inlineStr">
        <is>
          <t>A 53263-2024</t>
        </is>
      </c>
      <c r="B539" s="1" t="n">
        <v>45614.34541666666</v>
      </c>
      <c r="C539" s="1" t="n">
        <v>46043</v>
      </c>
      <c r="D539" t="inlineStr">
        <is>
          <t>JÄMTLANDS LÄN</t>
        </is>
      </c>
      <c r="E539" t="inlineStr">
        <is>
          <t>RAGUNDA</t>
        </is>
      </c>
      <c r="G539" t="n">
        <v>1.9</v>
      </c>
      <c r="H539" t="n">
        <v>0</v>
      </c>
      <c r="I539" t="n">
        <v>0</v>
      </c>
      <c r="J539" t="n">
        <v>0</v>
      </c>
      <c r="K539" t="n">
        <v>0</v>
      </c>
      <c r="L539" t="n">
        <v>0</v>
      </c>
      <c r="M539" t="n">
        <v>0</v>
      </c>
      <c r="N539" t="n">
        <v>0</v>
      </c>
      <c r="O539" t="n">
        <v>0</v>
      </c>
      <c r="P539" t="n">
        <v>0</v>
      </c>
      <c r="Q539" t="n">
        <v>0</v>
      </c>
      <c r="R539" s="2" t="inlineStr"/>
    </row>
    <row r="540" ht="15" customHeight="1">
      <c r="A540" t="inlineStr">
        <is>
          <t>A 23841-2025</t>
        </is>
      </c>
      <c r="B540" s="1" t="n">
        <v>45793.61523148148</v>
      </c>
      <c r="C540" s="1" t="n">
        <v>46043</v>
      </c>
      <c r="D540" t="inlineStr">
        <is>
          <t>JÄMTLANDS LÄN</t>
        </is>
      </c>
      <c r="E540" t="inlineStr">
        <is>
          <t>RAGUNDA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2123-2026</t>
        </is>
      </c>
      <c r="B541" s="1" t="n">
        <v>46036.38618055556</v>
      </c>
      <c r="C541" s="1" t="n">
        <v>46043</v>
      </c>
      <c r="D541" t="inlineStr">
        <is>
          <t>JÄMTLANDS LÄN</t>
        </is>
      </c>
      <c r="E541" t="inlineStr">
        <is>
          <t>RAGUNDA</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59931-2025</t>
        </is>
      </c>
      <c r="B542" s="1" t="n">
        <v>45993.40177083333</v>
      </c>
      <c r="C542" s="1" t="n">
        <v>46043</v>
      </c>
      <c r="D542" t="inlineStr">
        <is>
          <t>JÄMTLANDS LÄN</t>
        </is>
      </c>
      <c r="E542" t="inlineStr">
        <is>
          <t>RAGUNDA</t>
        </is>
      </c>
      <c r="G542" t="n">
        <v>4</v>
      </c>
      <c r="H542" t="n">
        <v>0</v>
      </c>
      <c r="I542" t="n">
        <v>0</v>
      </c>
      <c r="J542" t="n">
        <v>0</v>
      </c>
      <c r="K542" t="n">
        <v>0</v>
      </c>
      <c r="L542" t="n">
        <v>0</v>
      </c>
      <c r="M542" t="n">
        <v>0</v>
      </c>
      <c r="N542" t="n">
        <v>0</v>
      </c>
      <c r="O542" t="n">
        <v>0</v>
      </c>
      <c r="P542" t="n">
        <v>0</v>
      </c>
      <c r="Q542" t="n">
        <v>0</v>
      </c>
      <c r="R542" s="2" t="inlineStr"/>
    </row>
    <row r="543" ht="15" customHeight="1">
      <c r="A543" t="inlineStr">
        <is>
          <t>A 60062-2025</t>
        </is>
      </c>
      <c r="B543" s="1" t="n">
        <v>45993.65694444445</v>
      </c>
      <c r="C543" s="1" t="n">
        <v>46043</v>
      </c>
      <c r="D543" t="inlineStr">
        <is>
          <t>JÄMTLANDS LÄN</t>
        </is>
      </c>
      <c r="E543" t="inlineStr">
        <is>
          <t>RAGUNDA</t>
        </is>
      </c>
      <c r="F543" t="inlineStr">
        <is>
          <t>SCA</t>
        </is>
      </c>
      <c r="G543" t="n">
        <v>5.8</v>
      </c>
      <c r="H543" t="n">
        <v>0</v>
      </c>
      <c r="I543" t="n">
        <v>0</v>
      </c>
      <c r="J543" t="n">
        <v>0</v>
      </c>
      <c r="K543" t="n">
        <v>0</v>
      </c>
      <c r="L543" t="n">
        <v>0</v>
      </c>
      <c r="M543" t="n">
        <v>0</v>
      </c>
      <c r="N543" t="n">
        <v>0</v>
      </c>
      <c r="O543" t="n">
        <v>0</v>
      </c>
      <c r="P543" t="n">
        <v>0</v>
      </c>
      <c r="Q543" t="n">
        <v>0</v>
      </c>
      <c r="R543" s="2" t="inlineStr"/>
    </row>
    <row r="544" ht="15" customHeight="1">
      <c r="A544" t="inlineStr">
        <is>
          <t>A 58630-2024</t>
        </is>
      </c>
      <c r="B544" s="1" t="n">
        <v>45635.57331018519</v>
      </c>
      <c r="C544" s="1" t="n">
        <v>46043</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14896-2022</t>
        </is>
      </c>
      <c r="B545" s="1" t="n">
        <v>44656</v>
      </c>
      <c r="C545" s="1" t="n">
        <v>46043</v>
      </c>
      <c r="D545" t="inlineStr">
        <is>
          <t>JÄMTLANDS LÄN</t>
        </is>
      </c>
      <c r="E545" t="inlineStr">
        <is>
          <t>RAGUNDA</t>
        </is>
      </c>
      <c r="F545" t="inlineStr">
        <is>
          <t>SCA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11551-2024</t>
        </is>
      </c>
      <c r="B546" s="1" t="n">
        <v>45372.95762731481</v>
      </c>
      <c r="C546" s="1" t="n">
        <v>46043</v>
      </c>
      <c r="D546" t="inlineStr">
        <is>
          <t>JÄMTLANDS LÄN</t>
        </is>
      </c>
      <c r="E546" t="inlineStr">
        <is>
          <t>RAGUNDA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41876-2025</t>
        </is>
      </c>
      <c r="B547" s="1" t="n">
        <v>45903.34555555556</v>
      </c>
      <c r="C547" s="1" t="n">
        <v>46043</v>
      </c>
      <c r="D547" t="inlineStr">
        <is>
          <t>JÄMTLANDS LÄN</t>
        </is>
      </c>
      <c r="E547" t="inlineStr">
        <is>
          <t>RAGUNDA</t>
        </is>
      </c>
      <c r="G547" t="n">
        <v>2</v>
      </c>
      <c r="H547" t="n">
        <v>0</v>
      </c>
      <c r="I547" t="n">
        <v>0</v>
      </c>
      <c r="J547" t="n">
        <v>0</v>
      </c>
      <c r="K547" t="n">
        <v>0</v>
      </c>
      <c r="L547" t="n">
        <v>0</v>
      </c>
      <c r="M547" t="n">
        <v>0</v>
      </c>
      <c r="N547" t="n">
        <v>0</v>
      </c>
      <c r="O547" t="n">
        <v>0</v>
      </c>
      <c r="P547" t="n">
        <v>0</v>
      </c>
      <c r="Q547" t="n">
        <v>0</v>
      </c>
      <c r="R547" s="2" t="inlineStr"/>
    </row>
    <row r="548" ht="15" customHeight="1">
      <c r="A548" t="inlineStr">
        <is>
          <t>A 24159-2025</t>
        </is>
      </c>
      <c r="B548" s="1" t="n">
        <v>45796</v>
      </c>
      <c r="C548" s="1" t="n">
        <v>46043</v>
      </c>
      <c r="D548" t="inlineStr">
        <is>
          <t>JÄMTLANDS LÄN</t>
        </is>
      </c>
      <c r="E548" t="inlineStr">
        <is>
          <t>RAGUNDA</t>
        </is>
      </c>
      <c r="G548" t="n">
        <v>0.8</v>
      </c>
      <c r="H548" t="n">
        <v>0</v>
      </c>
      <c r="I548" t="n">
        <v>0</v>
      </c>
      <c r="J548" t="n">
        <v>0</v>
      </c>
      <c r="K548" t="n">
        <v>0</v>
      </c>
      <c r="L548" t="n">
        <v>0</v>
      </c>
      <c r="M548" t="n">
        <v>0</v>
      </c>
      <c r="N548" t="n">
        <v>0</v>
      </c>
      <c r="O548" t="n">
        <v>0</v>
      </c>
      <c r="P548" t="n">
        <v>0</v>
      </c>
      <c r="Q548" t="n">
        <v>0</v>
      </c>
      <c r="R548" s="2" t="inlineStr"/>
    </row>
    <row r="549" ht="15" customHeight="1">
      <c r="A549" t="inlineStr">
        <is>
          <t>A 21524-2024</t>
        </is>
      </c>
      <c r="B549" s="1" t="n">
        <v>45441</v>
      </c>
      <c r="C549" s="1" t="n">
        <v>46043</v>
      </c>
      <c r="D549" t="inlineStr">
        <is>
          <t>JÄMTLANDS LÄN</t>
        </is>
      </c>
      <c r="E549" t="inlineStr">
        <is>
          <t>RAGUNDA</t>
        </is>
      </c>
      <c r="G549" t="n">
        <v>1.6</v>
      </c>
      <c r="H549" t="n">
        <v>0</v>
      </c>
      <c r="I549" t="n">
        <v>0</v>
      </c>
      <c r="J549" t="n">
        <v>0</v>
      </c>
      <c r="K549" t="n">
        <v>0</v>
      </c>
      <c r="L549" t="n">
        <v>0</v>
      </c>
      <c r="M549" t="n">
        <v>0</v>
      </c>
      <c r="N549" t="n">
        <v>0</v>
      </c>
      <c r="O549" t="n">
        <v>0</v>
      </c>
      <c r="P549" t="n">
        <v>0</v>
      </c>
      <c r="Q549" t="n">
        <v>0</v>
      </c>
      <c r="R549" s="2" t="inlineStr"/>
    </row>
    <row r="550" ht="15" customHeight="1">
      <c r="A550" t="inlineStr">
        <is>
          <t>A 57839-2022</t>
        </is>
      </c>
      <c r="B550" s="1" t="n">
        <v>44897</v>
      </c>
      <c r="C550" s="1" t="n">
        <v>46043</v>
      </c>
      <c r="D550" t="inlineStr">
        <is>
          <t>JÄMTLANDS LÄN</t>
        </is>
      </c>
      <c r="E550" t="inlineStr">
        <is>
          <t>RAGUNDA</t>
        </is>
      </c>
      <c r="F550" t="inlineStr">
        <is>
          <t>SCA</t>
        </is>
      </c>
      <c r="G550" t="n">
        <v>8.5</v>
      </c>
      <c r="H550" t="n">
        <v>0</v>
      </c>
      <c r="I550" t="n">
        <v>0</v>
      </c>
      <c r="J550" t="n">
        <v>0</v>
      </c>
      <c r="K550" t="n">
        <v>0</v>
      </c>
      <c r="L550" t="n">
        <v>0</v>
      </c>
      <c r="M550" t="n">
        <v>0</v>
      </c>
      <c r="N550" t="n">
        <v>0</v>
      </c>
      <c r="O550" t="n">
        <v>0</v>
      </c>
      <c r="P550" t="n">
        <v>0</v>
      </c>
      <c r="Q550" t="n">
        <v>0</v>
      </c>
      <c r="R550" s="2" t="inlineStr"/>
    </row>
    <row r="551" ht="15" customHeight="1">
      <c r="A551" t="inlineStr">
        <is>
          <t>A 60663-2022</t>
        </is>
      </c>
      <c r="B551" s="1" t="n">
        <v>44911.93846064815</v>
      </c>
      <c r="C551" s="1" t="n">
        <v>46043</v>
      </c>
      <c r="D551" t="inlineStr">
        <is>
          <t>JÄMTLANDS LÄN</t>
        </is>
      </c>
      <c r="E551" t="inlineStr">
        <is>
          <t>RAGUNDA</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42269-2025</t>
        </is>
      </c>
      <c r="B552" s="1" t="n">
        <v>45904.60431712963</v>
      </c>
      <c r="C552" s="1" t="n">
        <v>46043</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2173-2026</t>
        </is>
      </c>
      <c r="B553" s="1" t="n">
        <v>46036.44984953704</v>
      </c>
      <c r="C553" s="1" t="n">
        <v>46043</v>
      </c>
      <c r="D553" t="inlineStr">
        <is>
          <t>JÄMTLANDS LÄN</t>
        </is>
      </c>
      <c r="E553" t="inlineStr">
        <is>
          <t>RAGUNDA</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60128-2025</t>
        </is>
      </c>
      <c r="B554" s="1" t="n">
        <v>45994.34456018519</v>
      </c>
      <c r="C554" s="1" t="n">
        <v>46043</v>
      </c>
      <c r="D554" t="inlineStr">
        <is>
          <t>JÄMTLANDS LÄN</t>
        </is>
      </c>
      <c r="E554" t="inlineStr">
        <is>
          <t>RAGUNDA</t>
        </is>
      </c>
      <c r="G554" t="n">
        <v>7.1</v>
      </c>
      <c r="H554" t="n">
        <v>0</v>
      </c>
      <c r="I554" t="n">
        <v>0</v>
      </c>
      <c r="J554" t="n">
        <v>0</v>
      </c>
      <c r="K554" t="n">
        <v>0</v>
      </c>
      <c r="L554" t="n">
        <v>0</v>
      </c>
      <c r="M554" t="n">
        <v>0</v>
      </c>
      <c r="N554" t="n">
        <v>0</v>
      </c>
      <c r="O554" t="n">
        <v>0</v>
      </c>
      <c r="P554" t="n">
        <v>0</v>
      </c>
      <c r="Q554" t="n">
        <v>0</v>
      </c>
      <c r="R554" s="2" t="inlineStr"/>
    </row>
    <row r="555" ht="15" customHeight="1">
      <c r="A555" t="inlineStr">
        <is>
          <t>A 59496-2024</t>
        </is>
      </c>
      <c r="B555" s="1" t="n">
        <v>45638</v>
      </c>
      <c r="C555" s="1" t="n">
        <v>46043</v>
      </c>
      <c r="D555" t="inlineStr">
        <is>
          <t>JÄMTLANDS LÄN</t>
        </is>
      </c>
      <c r="E555" t="inlineStr">
        <is>
          <t>RAGUNDA</t>
        </is>
      </c>
      <c r="G555" t="n">
        <v>13.1</v>
      </c>
      <c r="H555" t="n">
        <v>0</v>
      </c>
      <c r="I555" t="n">
        <v>0</v>
      </c>
      <c r="J555" t="n">
        <v>0</v>
      </c>
      <c r="K555" t="n">
        <v>0</v>
      </c>
      <c r="L555" t="n">
        <v>0</v>
      </c>
      <c r="M555" t="n">
        <v>0</v>
      </c>
      <c r="N555" t="n">
        <v>0</v>
      </c>
      <c r="O555" t="n">
        <v>0</v>
      </c>
      <c r="P555" t="n">
        <v>0</v>
      </c>
      <c r="Q555" t="n">
        <v>0</v>
      </c>
      <c r="R555" s="2" t="inlineStr"/>
    </row>
    <row r="556" ht="15" customHeight="1">
      <c r="A556" t="inlineStr">
        <is>
          <t>A 60307-2025</t>
        </is>
      </c>
      <c r="B556" s="1" t="n">
        <v>45994.6842824074</v>
      </c>
      <c r="C556" s="1" t="n">
        <v>46043</v>
      </c>
      <c r="D556" t="inlineStr">
        <is>
          <t>JÄMTLANDS LÄN</t>
        </is>
      </c>
      <c r="E556" t="inlineStr">
        <is>
          <t>RAGUNDA</t>
        </is>
      </c>
      <c r="G556" t="n">
        <v>4</v>
      </c>
      <c r="H556" t="n">
        <v>0</v>
      </c>
      <c r="I556" t="n">
        <v>0</v>
      </c>
      <c r="J556" t="n">
        <v>0</v>
      </c>
      <c r="K556" t="n">
        <v>0</v>
      </c>
      <c r="L556" t="n">
        <v>0</v>
      </c>
      <c r="M556" t="n">
        <v>0</v>
      </c>
      <c r="N556" t="n">
        <v>0</v>
      </c>
      <c r="O556" t="n">
        <v>0</v>
      </c>
      <c r="P556" t="n">
        <v>0</v>
      </c>
      <c r="Q556" t="n">
        <v>0</v>
      </c>
      <c r="R556" s="2" t="inlineStr"/>
    </row>
    <row r="557" ht="15" customHeight="1">
      <c r="A557" t="inlineStr">
        <is>
          <t>A 33763-2025</t>
        </is>
      </c>
      <c r="B557" s="1" t="n">
        <v>45842.38579861111</v>
      </c>
      <c r="C557" s="1" t="n">
        <v>46043</v>
      </c>
      <c r="D557" t="inlineStr">
        <is>
          <t>JÄMTLANDS LÄN</t>
        </is>
      </c>
      <c r="E557" t="inlineStr">
        <is>
          <t>RAGUNDA</t>
        </is>
      </c>
      <c r="F557" t="inlineStr">
        <is>
          <t>SCA</t>
        </is>
      </c>
      <c r="G557" t="n">
        <v>13.4</v>
      </c>
      <c r="H557" t="n">
        <v>0</v>
      </c>
      <c r="I557" t="n">
        <v>0</v>
      </c>
      <c r="J557" t="n">
        <v>0</v>
      </c>
      <c r="K557" t="n">
        <v>0</v>
      </c>
      <c r="L557" t="n">
        <v>0</v>
      </c>
      <c r="M557" t="n">
        <v>0</v>
      </c>
      <c r="N557" t="n">
        <v>0</v>
      </c>
      <c r="O557" t="n">
        <v>0</v>
      </c>
      <c r="P557" t="n">
        <v>0</v>
      </c>
      <c r="Q557" t="n">
        <v>0</v>
      </c>
      <c r="R557" s="2" t="inlineStr"/>
    </row>
    <row r="558" ht="15" customHeight="1">
      <c r="A558" t="inlineStr">
        <is>
          <t>A 37265-2024</t>
        </is>
      </c>
      <c r="B558" s="1" t="n">
        <v>45540.38564814815</v>
      </c>
      <c r="C558" s="1" t="n">
        <v>46043</v>
      </c>
      <c r="D558" t="inlineStr">
        <is>
          <t>JÄMTLANDS LÄN</t>
        </is>
      </c>
      <c r="E558" t="inlineStr">
        <is>
          <t>RAGUNDA</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18612-2024</t>
        </is>
      </c>
      <c r="B559" s="1" t="n">
        <v>45425.96239583333</v>
      </c>
      <c r="C559" s="1" t="n">
        <v>46043</v>
      </c>
      <c r="D559" t="inlineStr">
        <is>
          <t>JÄMTLANDS LÄN</t>
        </is>
      </c>
      <c r="E559" t="inlineStr">
        <is>
          <t>RAGUNDA</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48249-2024</t>
        </is>
      </c>
      <c r="B560" s="1" t="n">
        <v>45590.40675925926</v>
      </c>
      <c r="C560" s="1" t="n">
        <v>46043</v>
      </c>
      <c r="D560" t="inlineStr">
        <is>
          <t>JÄMTLANDS LÄN</t>
        </is>
      </c>
      <c r="E560" t="inlineStr">
        <is>
          <t>RAGUNDA</t>
        </is>
      </c>
      <c r="F560" t="inlineStr">
        <is>
          <t>SCA</t>
        </is>
      </c>
      <c r="G560" t="n">
        <v>14.4</v>
      </c>
      <c r="H560" t="n">
        <v>0</v>
      </c>
      <c r="I560" t="n">
        <v>0</v>
      </c>
      <c r="J560" t="n">
        <v>0</v>
      </c>
      <c r="K560" t="n">
        <v>0</v>
      </c>
      <c r="L560" t="n">
        <v>0</v>
      </c>
      <c r="M560" t="n">
        <v>0</v>
      </c>
      <c r="N560" t="n">
        <v>0</v>
      </c>
      <c r="O560" t="n">
        <v>0</v>
      </c>
      <c r="P560" t="n">
        <v>0</v>
      </c>
      <c r="Q560" t="n">
        <v>0</v>
      </c>
      <c r="R560" s="2" t="inlineStr"/>
    </row>
    <row r="561" ht="15" customHeight="1">
      <c r="A561" t="inlineStr">
        <is>
          <t>A 2156-2026</t>
        </is>
      </c>
      <c r="B561" s="1" t="n">
        <v>46036.42771990741</v>
      </c>
      <c r="C561" s="1" t="n">
        <v>46043</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61934-2022</t>
        </is>
      </c>
      <c r="B562" s="1" t="n">
        <v>44917</v>
      </c>
      <c r="C562" s="1" t="n">
        <v>46043</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2271-2026</t>
        </is>
      </c>
      <c r="B563" s="1" t="n">
        <v>46036.57347222222</v>
      </c>
      <c r="C563" s="1" t="n">
        <v>46043</v>
      </c>
      <c r="D563" t="inlineStr">
        <is>
          <t>JÄMTLANDS LÄN</t>
        </is>
      </c>
      <c r="E563" t="inlineStr">
        <is>
          <t>RAGUNDA</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11558-2023</t>
        </is>
      </c>
      <c r="B564" s="1" t="n">
        <v>44993.94958333333</v>
      </c>
      <c r="C564" s="1" t="n">
        <v>46043</v>
      </c>
      <c r="D564" t="inlineStr">
        <is>
          <t>JÄMTLANDS LÄN</t>
        </is>
      </c>
      <c r="E564" t="inlineStr">
        <is>
          <t>RAGUNDA</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2282-2026</t>
        </is>
      </c>
      <c r="B565" s="1" t="n">
        <v>46036.57798611111</v>
      </c>
      <c r="C565" s="1" t="n">
        <v>46043</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2233-2026</t>
        </is>
      </c>
      <c r="B566" s="1" t="n">
        <v>46036.53207175926</v>
      </c>
      <c r="C566" s="1" t="n">
        <v>46043</v>
      </c>
      <c r="D566" t="inlineStr">
        <is>
          <t>JÄMTLANDS LÄN</t>
        </is>
      </c>
      <c r="E566" t="inlineStr">
        <is>
          <t>RAGUNDA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43330-2025</t>
        </is>
      </c>
      <c r="B567" s="1" t="n">
        <v>45910.67766203704</v>
      </c>
      <c r="C567" s="1" t="n">
        <v>46043</v>
      </c>
      <c r="D567" t="inlineStr">
        <is>
          <t>JÄMTLANDS LÄN</t>
        </is>
      </c>
      <c r="E567" t="inlineStr">
        <is>
          <t>RAGUNDA</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49648-2023</t>
        </is>
      </c>
      <c r="B568" s="1" t="n">
        <v>45211.95061342593</v>
      </c>
      <c r="C568" s="1" t="n">
        <v>46043</v>
      </c>
      <c r="D568" t="inlineStr">
        <is>
          <t>JÄMTLANDS LÄN</t>
        </is>
      </c>
      <c r="E568" t="inlineStr">
        <is>
          <t>RAGUNDA</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43181-2025</t>
        </is>
      </c>
      <c r="B569" s="1" t="n">
        <v>45910.40721064815</v>
      </c>
      <c r="C569" s="1" t="n">
        <v>46043</v>
      </c>
      <c r="D569" t="inlineStr">
        <is>
          <t>JÄMTLANDS LÄN</t>
        </is>
      </c>
      <c r="E569" t="inlineStr">
        <is>
          <t>RAGUNDA</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43177-2025</t>
        </is>
      </c>
      <c r="B570" s="1" t="n">
        <v>45910.40667824074</v>
      </c>
      <c r="C570" s="1" t="n">
        <v>46043</v>
      </c>
      <c r="D570" t="inlineStr">
        <is>
          <t>JÄMTLANDS LÄN</t>
        </is>
      </c>
      <c r="E570" t="inlineStr">
        <is>
          <t>RAGUNDA</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60389-2025</t>
        </is>
      </c>
      <c r="B571" s="1" t="n">
        <v>45995.38628472222</v>
      </c>
      <c r="C571" s="1" t="n">
        <v>46043</v>
      </c>
      <c r="D571" t="inlineStr">
        <is>
          <t>JÄMTLANDS LÄN</t>
        </is>
      </c>
      <c r="E571" t="inlineStr">
        <is>
          <t>RAGUNDA</t>
        </is>
      </c>
      <c r="G571" t="n">
        <v>3.3</v>
      </c>
      <c r="H571" t="n">
        <v>0</v>
      </c>
      <c r="I571" t="n">
        <v>0</v>
      </c>
      <c r="J571" t="n">
        <v>0</v>
      </c>
      <c r="K571" t="n">
        <v>0</v>
      </c>
      <c r="L571" t="n">
        <v>0</v>
      </c>
      <c r="M571" t="n">
        <v>0</v>
      </c>
      <c r="N571" t="n">
        <v>0</v>
      </c>
      <c r="O571" t="n">
        <v>0</v>
      </c>
      <c r="P571" t="n">
        <v>0</v>
      </c>
      <c r="Q571" t="n">
        <v>0</v>
      </c>
      <c r="R571" s="2" t="inlineStr"/>
    </row>
    <row r="572" ht="15" customHeight="1">
      <c r="A572" t="inlineStr">
        <is>
          <t>A 62407-2023</t>
        </is>
      </c>
      <c r="B572" s="1" t="n">
        <v>45266</v>
      </c>
      <c r="C572" s="1" t="n">
        <v>46043</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38191-2024</t>
        </is>
      </c>
      <c r="B573" s="1" t="n">
        <v>45545.49078703704</v>
      </c>
      <c r="C573" s="1" t="n">
        <v>46043</v>
      </c>
      <c r="D573" t="inlineStr">
        <is>
          <t>JÄMTLANDS LÄN</t>
        </is>
      </c>
      <c r="E573" t="inlineStr">
        <is>
          <t>RAGUNDA</t>
        </is>
      </c>
      <c r="G573" t="n">
        <v>1.6</v>
      </c>
      <c r="H573" t="n">
        <v>0</v>
      </c>
      <c r="I573" t="n">
        <v>0</v>
      </c>
      <c r="J573" t="n">
        <v>0</v>
      </c>
      <c r="K573" t="n">
        <v>0</v>
      </c>
      <c r="L573" t="n">
        <v>0</v>
      </c>
      <c r="M573" t="n">
        <v>0</v>
      </c>
      <c r="N573" t="n">
        <v>0</v>
      </c>
      <c r="O573" t="n">
        <v>0</v>
      </c>
      <c r="P573" t="n">
        <v>0</v>
      </c>
      <c r="Q573" t="n">
        <v>0</v>
      </c>
      <c r="R573" s="2" t="inlineStr"/>
    </row>
    <row r="574" ht="15" customHeight="1">
      <c r="A574" t="inlineStr">
        <is>
          <t>A 58194-2022</t>
        </is>
      </c>
      <c r="B574" s="1" t="n">
        <v>44900</v>
      </c>
      <c r="C574" s="1" t="n">
        <v>46043</v>
      </c>
      <c r="D574" t="inlineStr">
        <is>
          <t>JÄMTLANDS LÄN</t>
        </is>
      </c>
      <c r="E574" t="inlineStr">
        <is>
          <t>RAGUNDA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60387-2025</t>
        </is>
      </c>
      <c r="B575" s="1" t="n">
        <v>45995.38611111111</v>
      </c>
      <c r="C575" s="1" t="n">
        <v>46043</v>
      </c>
      <c r="D575" t="inlineStr">
        <is>
          <t>JÄMTLANDS LÄN</t>
        </is>
      </c>
      <c r="E575" t="inlineStr">
        <is>
          <t>RAGUNDA</t>
        </is>
      </c>
      <c r="G575" t="n">
        <v>8.5</v>
      </c>
      <c r="H575" t="n">
        <v>0</v>
      </c>
      <c r="I575" t="n">
        <v>0</v>
      </c>
      <c r="J575" t="n">
        <v>0</v>
      </c>
      <c r="K575" t="n">
        <v>0</v>
      </c>
      <c r="L575" t="n">
        <v>0</v>
      </c>
      <c r="M575" t="n">
        <v>0</v>
      </c>
      <c r="N575" t="n">
        <v>0</v>
      </c>
      <c r="O575" t="n">
        <v>0</v>
      </c>
      <c r="P575" t="n">
        <v>0</v>
      </c>
      <c r="Q575" t="n">
        <v>0</v>
      </c>
      <c r="R575" s="2" t="inlineStr"/>
    </row>
    <row r="576" ht="15" customHeight="1">
      <c r="A576" t="inlineStr">
        <is>
          <t>A 42875-2024</t>
        </is>
      </c>
      <c r="B576" s="1" t="n">
        <v>45566.68125</v>
      </c>
      <c r="C576" s="1" t="n">
        <v>46043</v>
      </c>
      <c r="D576" t="inlineStr">
        <is>
          <t>JÄMTLANDS LÄN</t>
        </is>
      </c>
      <c r="E576" t="inlineStr">
        <is>
          <t>RAGUNDA</t>
        </is>
      </c>
      <c r="G576" t="n">
        <v>0.5</v>
      </c>
      <c r="H576" t="n">
        <v>0</v>
      </c>
      <c r="I576" t="n">
        <v>0</v>
      </c>
      <c r="J576" t="n">
        <v>0</v>
      </c>
      <c r="K576" t="n">
        <v>0</v>
      </c>
      <c r="L576" t="n">
        <v>0</v>
      </c>
      <c r="M576" t="n">
        <v>0</v>
      </c>
      <c r="N576" t="n">
        <v>0</v>
      </c>
      <c r="O576" t="n">
        <v>0</v>
      </c>
      <c r="P576" t="n">
        <v>0</v>
      </c>
      <c r="Q576" t="n">
        <v>0</v>
      </c>
      <c r="R576" s="2" t="inlineStr"/>
    </row>
    <row r="577" ht="15" customHeight="1">
      <c r="A577" t="inlineStr">
        <is>
          <t>A 15864-2024</t>
        </is>
      </c>
      <c r="B577" s="1" t="n">
        <v>45404.99792824074</v>
      </c>
      <c r="C577" s="1" t="n">
        <v>46043</v>
      </c>
      <c r="D577" t="inlineStr">
        <is>
          <t>JÄMTLANDS LÄN</t>
        </is>
      </c>
      <c r="E577" t="inlineStr">
        <is>
          <t>RAGUNDA</t>
        </is>
      </c>
      <c r="F577" t="inlineStr">
        <is>
          <t>SCA</t>
        </is>
      </c>
      <c r="G577" t="n">
        <v>1.1</v>
      </c>
      <c r="H577" t="n">
        <v>0</v>
      </c>
      <c r="I577" t="n">
        <v>0</v>
      </c>
      <c r="J577" t="n">
        <v>0</v>
      </c>
      <c r="K577" t="n">
        <v>0</v>
      </c>
      <c r="L577" t="n">
        <v>0</v>
      </c>
      <c r="M577" t="n">
        <v>0</v>
      </c>
      <c r="N577" t="n">
        <v>0</v>
      </c>
      <c r="O577" t="n">
        <v>0</v>
      </c>
      <c r="P577" t="n">
        <v>0</v>
      </c>
      <c r="Q577" t="n">
        <v>0</v>
      </c>
      <c r="R577" s="2" t="inlineStr"/>
      <c r="U577">
        <f>HYPERLINK("https://klasma.github.io/Logging_2303/knärot/A 15864-2024 karta knärot.png", "A 15864-2024")</f>
        <v/>
      </c>
      <c r="V577">
        <f>HYPERLINK("https://klasma.github.io/Logging_2303/klagomål/A 15864-2024 FSC-klagomål.docx", "A 15864-2024")</f>
        <v/>
      </c>
      <c r="W577">
        <f>HYPERLINK("https://klasma.github.io/Logging_2303/klagomålsmail/A 15864-2024 FSC-klagomål mail.docx", "A 15864-2024")</f>
        <v/>
      </c>
      <c r="X577">
        <f>HYPERLINK("https://klasma.github.io/Logging_2303/tillsyn/A 15864-2024 tillsynsbegäran.docx", "A 15864-2024")</f>
        <v/>
      </c>
      <c r="Y577">
        <f>HYPERLINK("https://klasma.github.io/Logging_2303/tillsynsmail/A 15864-2024 tillsynsbegäran mail.docx", "A 15864-2024")</f>
        <v/>
      </c>
    </row>
    <row r="578" ht="15" customHeight="1">
      <c r="A578" t="inlineStr">
        <is>
          <t>A 4015-2022</t>
        </is>
      </c>
      <c r="B578" s="1" t="n">
        <v>44587.92149305555</v>
      </c>
      <c r="C578" s="1" t="n">
        <v>46043</v>
      </c>
      <c r="D578" t="inlineStr">
        <is>
          <t>JÄMTLANDS LÄN</t>
        </is>
      </c>
      <c r="E578" t="inlineStr">
        <is>
          <t>RAGUNDA</t>
        </is>
      </c>
      <c r="G578" t="n">
        <v>3.9</v>
      </c>
      <c r="H578" t="n">
        <v>0</v>
      </c>
      <c r="I578" t="n">
        <v>0</v>
      </c>
      <c r="J578" t="n">
        <v>0</v>
      </c>
      <c r="K578" t="n">
        <v>0</v>
      </c>
      <c r="L578" t="n">
        <v>0</v>
      </c>
      <c r="M578" t="n">
        <v>0</v>
      </c>
      <c r="N578" t="n">
        <v>0</v>
      </c>
      <c r="O578" t="n">
        <v>0</v>
      </c>
      <c r="P578" t="n">
        <v>0</v>
      </c>
      <c r="Q578" t="n">
        <v>0</v>
      </c>
      <c r="R578" s="2" t="inlineStr"/>
    </row>
    <row r="579" ht="15" customHeight="1">
      <c r="A579" t="inlineStr">
        <is>
          <t>A 62490-2025</t>
        </is>
      </c>
      <c r="B579" s="1" t="n">
        <v>46007.5697337963</v>
      </c>
      <c r="C579" s="1" t="n">
        <v>46043</v>
      </c>
      <c r="D579" t="inlineStr">
        <is>
          <t>JÄMTLANDS LÄN</t>
        </is>
      </c>
      <c r="E579" t="inlineStr">
        <is>
          <t>RAGUNDA</t>
        </is>
      </c>
      <c r="F579" t="inlineStr">
        <is>
          <t>Kommuner</t>
        </is>
      </c>
      <c r="G579" t="n">
        <v>0.8</v>
      </c>
      <c r="H579" t="n">
        <v>0</v>
      </c>
      <c r="I579" t="n">
        <v>0</v>
      </c>
      <c r="J579" t="n">
        <v>0</v>
      </c>
      <c r="K579" t="n">
        <v>0</v>
      </c>
      <c r="L579" t="n">
        <v>0</v>
      </c>
      <c r="M579" t="n">
        <v>0</v>
      </c>
      <c r="N579" t="n">
        <v>0</v>
      </c>
      <c r="O579" t="n">
        <v>0</v>
      </c>
      <c r="P579" t="n">
        <v>0</v>
      </c>
      <c r="Q579" t="n">
        <v>0</v>
      </c>
      <c r="R579" s="2" t="inlineStr"/>
    </row>
    <row r="580" ht="15" customHeight="1">
      <c r="A580" t="inlineStr">
        <is>
          <t>A 2599-2023</t>
        </is>
      </c>
      <c r="B580" s="1" t="n">
        <v>44943.94802083333</v>
      </c>
      <c r="C580" s="1" t="n">
        <v>46043</v>
      </c>
      <c r="D580" t="inlineStr">
        <is>
          <t>JÄMTLANDS LÄN</t>
        </is>
      </c>
      <c r="E580" t="inlineStr">
        <is>
          <t>RAGUNDA</t>
        </is>
      </c>
      <c r="F580" t="inlineStr">
        <is>
          <t>SCA</t>
        </is>
      </c>
      <c r="G580" t="n">
        <v>5.9</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46043</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43804-2025</t>
        </is>
      </c>
      <c r="B582" s="1" t="n">
        <v>45912.57373842593</v>
      </c>
      <c r="C582" s="1" t="n">
        <v>46043</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59044-2022</t>
        </is>
      </c>
      <c r="B583" s="1" t="n">
        <v>44903</v>
      </c>
      <c r="C583" s="1" t="n">
        <v>46043</v>
      </c>
      <c r="D583" t="inlineStr">
        <is>
          <t>JÄMTLANDS LÄN</t>
        </is>
      </c>
      <c r="E583" t="inlineStr">
        <is>
          <t>RAGUNDA</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4014-2022</t>
        </is>
      </c>
      <c r="B584" s="1" t="n">
        <v>44587.92144675926</v>
      </c>
      <c r="C584" s="1" t="n">
        <v>46043</v>
      </c>
      <c r="D584" t="inlineStr">
        <is>
          <t>JÄMTLANDS LÄN</t>
        </is>
      </c>
      <c r="E584" t="inlineStr">
        <is>
          <t>RAGUNDA</t>
        </is>
      </c>
      <c r="G584" t="n">
        <v>3.6</v>
      </c>
      <c r="H584" t="n">
        <v>0</v>
      </c>
      <c r="I584" t="n">
        <v>0</v>
      </c>
      <c r="J584" t="n">
        <v>0</v>
      </c>
      <c r="K584" t="n">
        <v>0</v>
      </c>
      <c r="L584" t="n">
        <v>0</v>
      </c>
      <c r="M584" t="n">
        <v>0</v>
      </c>
      <c r="N584" t="n">
        <v>0</v>
      </c>
      <c r="O584" t="n">
        <v>0</v>
      </c>
      <c r="P584" t="n">
        <v>0</v>
      </c>
      <c r="Q584" t="n">
        <v>0</v>
      </c>
      <c r="R584" s="2" t="inlineStr"/>
    </row>
    <row r="585" ht="15" customHeight="1">
      <c r="A585" t="inlineStr">
        <is>
          <t>A 8243-2024</t>
        </is>
      </c>
      <c r="B585" s="1" t="n">
        <v>45351.98532407408</v>
      </c>
      <c r="C585" s="1" t="n">
        <v>46043</v>
      </c>
      <c r="D585" t="inlineStr">
        <is>
          <t>JÄMTLANDS LÄN</t>
        </is>
      </c>
      <c r="E585" t="inlineStr">
        <is>
          <t>RAGUNDA</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6902-2024</t>
        </is>
      </c>
      <c r="B586" s="1" t="n">
        <v>45342</v>
      </c>
      <c r="C586" s="1" t="n">
        <v>46043</v>
      </c>
      <c r="D586" t="inlineStr">
        <is>
          <t>JÄMTLANDS LÄN</t>
        </is>
      </c>
      <c r="E586" t="inlineStr">
        <is>
          <t>RAGUNDA</t>
        </is>
      </c>
      <c r="F586" t="inlineStr">
        <is>
          <t>SCA</t>
        </is>
      </c>
      <c r="G586" t="n">
        <v>18.7</v>
      </c>
      <c r="H586" t="n">
        <v>0</v>
      </c>
      <c r="I586" t="n">
        <v>0</v>
      </c>
      <c r="J586" t="n">
        <v>0</v>
      </c>
      <c r="K586" t="n">
        <v>0</v>
      </c>
      <c r="L586" t="n">
        <v>0</v>
      </c>
      <c r="M586" t="n">
        <v>0</v>
      </c>
      <c r="N586" t="n">
        <v>0</v>
      </c>
      <c r="O586" t="n">
        <v>0</v>
      </c>
      <c r="P586" t="n">
        <v>0</v>
      </c>
      <c r="Q586" t="n">
        <v>0</v>
      </c>
      <c r="R586" s="2" t="inlineStr"/>
    </row>
    <row r="587" ht="15" customHeight="1">
      <c r="A587" t="inlineStr">
        <is>
          <t>A 6905-2024</t>
        </is>
      </c>
      <c r="B587" s="1" t="n">
        <v>45342.9462037037</v>
      </c>
      <c r="C587" s="1" t="n">
        <v>46043</v>
      </c>
      <c r="D587" t="inlineStr">
        <is>
          <t>JÄMTLANDS LÄN</t>
        </is>
      </c>
      <c r="E587" t="inlineStr">
        <is>
          <t>RAGUNDA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60630-2025</t>
        </is>
      </c>
      <c r="B588" s="1" t="n">
        <v>45996.42120370371</v>
      </c>
      <c r="C588" s="1" t="n">
        <v>46043</v>
      </c>
      <c r="D588" t="inlineStr">
        <is>
          <t>JÄMTLANDS LÄN</t>
        </is>
      </c>
      <c r="E588" t="inlineStr">
        <is>
          <t>RAGUNDA</t>
        </is>
      </c>
      <c r="G588" t="n">
        <v>13.2</v>
      </c>
      <c r="H588" t="n">
        <v>0</v>
      </c>
      <c r="I588" t="n">
        <v>0</v>
      </c>
      <c r="J588" t="n">
        <v>0</v>
      </c>
      <c r="K588" t="n">
        <v>0</v>
      </c>
      <c r="L588" t="n">
        <v>0</v>
      </c>
      <c r="M588" t="n">
        <v>0</v>
      </c>
      <c r="N588" t="n">
        <v>0</v>
      </c>
      <c r="O588" t="n">
        <v>0</v>
      </c>
      <c r="P588" t="n">
        <v>0</v>
      </c>
      <c r="Q588" t="n">
        <v>0</v>
      </c>
      <c r="R588" s="2" t="inlineStr"/>
    </row>
    <row r="589" ht="15" customHeight="1">
      <c r="A589" t="inlineStr">
        <is>
          <t>A 43971-2025</t>
        </is>
      </c>
      <c r="B589" s="1" t="n">
        <v>45915.40694444445</v>
      </c>
      <c r="C589" s="1" t="n">
        <v>46043</v>
      </c>
      <c r="D589" t="inlineStr">
        <is>
          <t>JÄMTLANDS LÄN</t>
        </is>
      </c>
      <c r="E589" t="inlineStr">
        <is>
          <t>RAGUNDA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53989-2024</t>
        </is>
      </c>
      <c r="B590" s="1" t="n">
        <v>45616.34479166667</v>
      </c>
      <c r="C590" s="1" t="n">
        <v>46043</v>
      </c>
      <c r="D590" t="inlineStr">
        <is>
          <t>JÄMTLANDS LÄN</t>
        </is>
      </c>
      <c r="E590" t="inlineStr">
        <is>
          <t>RAGUNDA</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42509-2023</t>
        </is>
      </c>
      <c r="B591" s="1" t="n">
        <v>45180</v>
      </c>
      <c r="C591" s="1" t="n">
        <v>46043</v>
      </c>
      <c r="D591" t="inlineStr">
        <is>
          <t>JÄMTLANDS LÄN</t>
        </is>
      </c>
      <c r="E591" t="inlineStr">
        <is>
          <t>RAGUNDA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42510-2023</t>
        </is>
      </c>
      <c r="B592" s="1" t="n">
        <v>45180.95927083334</v>
      </c>
      <c r="C592" s="1" t="n">
        <v>46043</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11048-2023</t>
        </is>
      </c>
      <c r="B593" s="1" t="n">
        <v>44991</v>
      </c>
      <c r="C593" s="1" t="n">
        <v>46043</v>
      </c>
      <c r="D593" t="inlineStr">
        <is>
          <t>JÄMTLANDS LÄN</t>
        </is>
      </c>
      <c r="E593" t="inlineStr">
        <is>
          <t>RAGUNDA</t>
        </is>
      </c>
      <c r="F593" t="inlineStr">
        <is>
          <t>SCA</t>
        </is>
      </c>
      <c r="G593" t="n">
        <v>13.5</v>
      </c>
      <c r="H593" t="n">
        <v>0</v>
      </c>
      <c r="I593" t="n">
        <v>0</v>
      </c>
      <c r="J593" t="n">
        <v>0</v>
      </c>
      <c r="K593" t="n">
        <v>0</v>
      </c>
      <c r="L593" t="n">
        <v>0</v>
      </c>
      <c r="M593" t="n">
        <v>0</v>
      </c>
      <c r="N593" t="n">
        <v>0</v>
      </c>
      <c r="O593" t="n">
        <v>0</v>
      </c>
      <c r="P593" t="n">
        <v>0</v>
      </c>
      <c r="Q593" t="n">
        <v>0</v>
      </c>
      <c r="R593" s="2" t="inlineStr"/>
    </row>
    <row r="594" ht="15" customHeight="1">
      <c r="A594" t="inlineStr">
        <is>
          <t>A 61233-2025</t>
        </is>
      </c>
      <c r="B594" s="1" t="n">
        <v>46000.6359837963</v>
      </c>
      <c r="C594" s="1" t="n">
        <v>46043</v>
      </c>
      <c r="D594" t="inlineStr">
        <is>
          <t>JÄMTLANDS LÄN</t>
        </is>
      </c>
      <c r="E594" t="inlineStr">
        <is>
          <t>RAGUNDA</t>
        </is>
      </c>
      <c r="F594" t="inlineStr">
        <is>
          <t>SCA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24391-2025</t>
        </is>
      </c>
      <c r="B595" s="1" t="n">
        <v>45797.63627314815</v>
      </c>
      <c r="C595" s="1" t="n">
        <v>46043</v>
      </c>
      <c r="D595" t="inlineStr">
        <is>
          <t>JÄMTLANDS LÄN</t>
        </is>
      </c>
      <c r="E595" t="inlineStr">
        <is>
          <t>RAGUNDA</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61266-2025</t>
        </is>
      </c>
      <c r="B596" s="1" t="n">
        <v>46000.67784722222</v>
      </c>
      <c r="C596" s="1" t="n">
        <v>46043</v>
      </c>
      <c r="D596" t="inlineStr">
        <is>
          <t>JÄMTLANDS LÄN</t>
        </is>
      </c>
      <c r="E596" t="inlineStr">
        <is>
          <t>RAGUNDA</t>
        </is>
      </c>
      <c r="G596" t="n">
        <v>7.9</v>
      </c>
      <c r="H596" t="n">
        <v>0</v>
      </c>
      <c r="I596" t="n">
        <v>0</v>
      </c>
      <c r="J596" t="n">
        <v>0</v>
      </c>
      <c r="K596" t="n">
        <v>0</v>
      </c>
      <c r="L596" t="n">
        <v>0</v>
      </c>
      <c r="M596" t="n">
        <v>0</v>
      </c>
      <c r="N596" t="n">
        <v>0</v>
      </c>
      <c r="O596" t="n">
        <v>0</v>
      </c>
      <c r="P596" t="n">
        <v>0</v>
      </c>
      <c r="Q596" t="n">
        <v>0</v>
      </c>
      <c r="R596" s="2" t="inlineStr"/>
    </row>
    <row r="597" ht="15" customHeight="1">
      <c r="A597" t="inlineStr">
        <is>
          <t>A 25376-2025</t>
        </is>
      </c>
      <c r="B597" s="1" t="n">
        <v>45800.63619212963</v>
      </c>
      <c r="C597" s="1" t="n">
        <v>46043</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44954-2025</t>
        </is>
      </c>
      <c r="B598" s="1" t="n">
        <v>45918.61203703703</v>
      </c>
      <c r="C598" s="1" t="n">
        <v>46043</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16364-2023</t>
        </is>
      </c>
      <c r="B599" s="1" t="n">
        <v>45028</v>
      </c>
      <c r="C599" s="1" t="n">
        <v>46043</v>
      </c>
      <c r="D599" t="inlineStr">
        <is>
          <t>JÄMTLANDS LÄN</t>
        </is>
      </c>
      <c r="E599" t="inlineStr">
        <is>
          <t>RAGUNDA</t>
        </is>
      </c>
      <c r="G599" t="n">
        <v>0.5</v>
      </c>
      <c r="H599" t="n">
        <v>0</v>
      </c>
      <c r="I599" t="n">
        <v>0</v>
      </c>
      <c r="J599" t="n">
        <v>0</v>
      </c>
      <c r="K599" t="n">
        <v>0</v>
      </c>
      <c r="L599" t="n">
        <v>0</v>
      </c>
      <c r="M599" t="n">
        <v>0</v>
      </c>
      <c r="N599" t="n">
        <v>0</v>
      </c>
      <c r="O599" t="n">
        <v>0</v>
      </c>
      <c r="P599" t="n">
        <v>0</v>
      </c>
      <c r="Q599" t="n">
        <v>0</v>
      </c>
      <c r="R599" s="2" t="inlineStr"/>
    </row>
    <row r="600" ht="15" customHeight="1">
      <c r="A600" t="inlineStr">
        <is>
          <t>A 46549-2023</t>
        </is>
      </c>
      <c r="B600" s="1" t="n">
        <v>45197.94171296297</v>
      </c>
      <c r="C600" s="1" t="n">
        <v>46043</v>
      </c>
      <c r="D600" t="inlineStr">
        <is>
          <t>JÄMTLANDS LÄN</t>
        </is>
      </c>
      <c r="E600" t="inlineStr">
        <is>
          <t>RAGUNDA</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45279-2025</t>
        </is>
      </c>
      <c r="B601" s="1" t="n">
        <v>45919.71912037037</v>
      </c>
      <c r="C601" s="1" t="n">
        <v>46043</v>
      </c>
      <c r="D601" t="inlineStr">
        <is>
          <t>JÄMTLANDS LÄN</t>
        </is>
      </c>
      <c r="E601" t="inlineStr">
        <is>
          <t>RAGUNDA</t>
        </is>
      </c>
      <c r="F601" t="inlineStr">
        <is>
          <t>SCA</t>
        </is>
      </c>
      <c r="G601" t="n">
        <v>11.5</v>
      </c>
      <c r="H601" t="n">
        <v>0</v>
      </c>
      <c r="I601" t="n">
        <v>0</v>
      </c>
      <c r="J601" t="n">
        <v>0</v>
      </c>
      <c r="K601" t="n">
        <v>0</v>
      </c>
      <c r="L601" t="n">
        <v>0</v>
      </c>
      <c r="M601" t="n">
        <v>0</v>
      </c>
      <c r="N601" t="n">
        <v>0</v>
      </c>
      <c r="O601" t="n">
        <v>0</v>
      </c>
      <c r="P601" t="n">
        <v>0</v>
      </c>
      <c r="Q601" t="n">
        <v>0</v>
      </c>
      <c r="R601" s="2" t="inlineStr"/>
    </row>
    <row r="602" ht="15" customHeight="1">
      <c r="A602" t="inlineStr">
        <is>
          <t>A 60775-2025</t>
        </is>
      </c>
      <c r="B602" s="1" t="n">
        <v>45999.3905787037</v>
      </c>
      <c r="C602" s="1" t="n">
        <v>46043</v>
      </c>
      <c r="D602" t="inlineStr">
        <is>
          <t>JÄMTLANDS LÄN</t>
        </is>
      </c>
      <c r="E602" t="inlineStr">
        <is>
          <t>RAGUNDA</t>
        </is>
      </c>
      <c r="G602" t="n">
        <v>15.7</v>
      </c>
      <c r="H602" t="n">
        <v>0</v>
      </c>
      <c r="I602" t="n">
        <v>0</v>
      </c>
      <c r="J602" t="n">
        <v>0</v>
      </c>
      <c r="K602" t="n">
        <v>0</v>
      </c>
      <c r="L602" t="n">
        <v>0</v>
      </c>
      <c r="M602" t="n">
        <v>0</v>
      </c>
      <c r="N602" t="n">
        <v>0</v>
      </c>
      <c r="O602" t="n">
        <v>0</v>
      </c>
      <c r="P602" t="n">
        <v>0</v>
      </c>
      <c r="Q602" t="n">
        <v>0</v>
      </c>
      <c r="R602" s="2" t="inlineStr"/>
    </row>
    <row r="603" ht="15" customHeight="1">
      <c r="A603" t="inlineStr">
        <is>
          <t>A 3065-2026</t>
        </is>
      </c>
      <c r="B603" s="1" t="n">
        <v>46040.47866898148</v>
      </c>
      <c r="C603" s="1" t="n">
        <v>46043</v>
      </c>
      <c r="D603" t="inlineStr">
        <is>
          <t>JÄMTLANDS LÄN</t>
        </is>
      </c>
      <c r="E603" t="inlineStr">
        <is>
          <t>RAGUNDA</t>
        </is>
      </c>
      <c r="G603" t="n">
        <v>2</v>
      </c>
      <c r="H603" t="n">
        <v>0</v>
      </c>
      <c r="I603" t="n">
        <v>0</v>
      </c>
      <c r="J603" t="n">
        <v>0</v>
      </c>
      <c r="K603" t="n">
        <v>0</v>
      </c>
      <c r="L603" t="n">
        <v>0</v>
      </c>
      <c r="M603" t="n">
        <v>0</v>
      </c>
      <c r="N603" t="n">
        <v>0</v>
      </c>
      <c r="O603" t="n">
        <v>0</v>
      </c>
      <c r="P603" t="n">
        <v>0</v>
      </c>
      <c r="Q603" t="n">
        <v>0</v>
      </c>
      <c r="R603" s="2" t="inlineStr"/>
    </row>
    <row r="604" ht="15" customHeight="1">
      <c r="A604" t="inlineStr">
        <is>
          <t>A 55214-2022</t>
        </is>
      </c>
      <c r="B604" s="1" t="n">
        <v>44886</v>
      </c>
      <c r="C604" s="1" t="n">
        <v>46043</v>
      </c>
      <c r="D604" t="inlineStr">
        <is>
          <t>JÄMTLANDS LÄN</t>
        </is>
      </c>
      <c r="E604" t="inlineStr">
        <is>
          <t>RAGUNDA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45894-2025</t>
        </is>
      </c>
      <c r="B605" s="1" t="n">
        <v>45923.67765046296</v>
      </c>
      <c r="C605" s="1" t="n">
        <v>46043</v>
      </c>
      <c r="D605" t="inlineStr">
        <is>
          <t>JÄMTLANDS LÄN</t>
        </is>
      </c>
      <c r="E605" t="inlineStr">
        <is>
          <t>RAGUNDA</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40246-2024</t>
        </is>
      </c>
      <c r="B606" s="1" t="n">
        <v>45554.61583333334</v>
      </c>
      <c r="C606" s="1" t="n">
        <v>46043</v>
      </c>
      <c r="D606" t="inlineStr">
        <is>
          <t>JÄMTLANDS LÄN</t>
        </is>
      </c>
      <c r="E606" t="inlineStr">
        <is>
          <t>RAGUNDA</t>
        </is>
      </c>
      <c r="G606" t="n">
        <v>1</v>
      </c>
      <c r="H606" t="n">
        <v>0</v>
      </c>
      <c r="I606" t="n">
        <v>0</v>
      </c>
      <c r="J606" t="n">
        <v>0</v>
      </c>
      <c r="K606" t="n">
        <v>0</v>
      </c>
      <c r="L606" t="n">
        <v>0</v>
      </c>
      <c r="M606" t="n">
        <v>0</v>
      </c>
      <c r="N606" t="n">
        <v>0</v>
      </c>
      <c r="O606" t="n">
        <v>0</v>
      </c>
      <c r="P606" t="n">
        <v>0</v>
      </c>
      <c r="Q606" t="n">
        <v>0</v>
      </c>
      <c r="R606" s="2" t="inlineStr"/>
    </row>
    <row r="607" ht="15" customHeight="1">
      <c r="A607" t="inlineStr">
        <is>
          <t>A 3561-2026</t>
        </is>
      </c>
      <c r="B607" s="1" t="n">
        <v>46042.67142361111</v>
      </c>
      <c r="C607" s="1" t="n">
        <v>46043</v>
      </c>
      <c r="D607" t="inlineStr">
        <is>
          <t>JÄMTLANDS LÄN</t>
        </is>
      </c>
      <c r="E607" t="inlineStr">
        <is>
          <t>RAGUNDA</t>
        </is>
      </c>
      <c r="G607" t="n">
        <v>3.8</v>
      </c>
      <c r="H607" t="n">
        <v>0</v>
      </c>
      <c r="I607" t="n">
        <v>0</v>
      </c>
      <c r="J607" t="n">
        <v>0</v>
      </c>
      <c r="K607" t="n">
        <v>0</v>
      </c>
      <c r="L607" t="n">
        <v>0</v>
      </c>
      <c r="M607" t="n">
        <v>0</v>
      </c>
      <c r="N607" t="n">
        <v>0</v>
      </c>
      <c r="O607" t="n">
        <v>0</v>
      </c>
      <c r="P607" t="n">
        <v>0</v>
      </c>
      <c r="Q607" t="n">
        <v>0</v>
      </c>
      <c r="R607" s="2" t="inlineStr"/>
    </row>
    <row r="608" ht="15" customHeight="1">
      <c r="A608" t="inlineStr">
        <is>
          <t>A 46192-2025</t>
        </is>
      </c>
      <c r="B608" s="1" t="n">
        <v>45924.67789351852</v>
      </c>
      <c r="C608" s="1" t="n">
        <v>46043</v>
      </c>
      <c r="D608" t="inlineStr">
        <is>
          <t>JÄMTLANDS LÄN</t>
        </is>
      </c>
      <c r="E608" t="inlineStr">
        <is>
          <t>RAGUNDA</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60760-2025</t>
        </is>
      </c>
      <c r="B609" s="1" t="n">
        <v>45999.38597222222</v>
      </c>
      <c r="C609" s="1" t="n">
        <v>46043</v>
      </c>
      <c r="D609" t="inlineStr">
        <is>
          <t>JÄMTLANDS LÄN</t>
        </is>
      </c>
      <c r="E609" t="inlineStr">
        <is>
          <t>RAGUNDA</t>
        </is>
      </c>
      <c r="F609" t="inlineStr">
        <is>
          <t>SCA</t>
        </is>
      </c>
      <c r="G609" t="n">
        <v>5.6</v>
      </c>
      <c r="H609" t="n">
        <v>0</v>
      </c>
      <c r="I609" t="n">
        <v>0</v>
      </c>
      <c r="J609" t="n">
        <v>0</v>
      </c>
      <c r="K609" t="n">
        <v>0</v>
      </c>
      <c r="L609" t="n">
        <v>0</v>
      </c>
      <c r="M609" t="n">
        <v>0</v>
      </c>
      <c r="N609" t="n">
        <v>0</v>
      </c>
      <c r="O609" t="n">
        <v>0</v>
      </c>
      <c r="P609" t="n">
        <v>0</v>
      </c>
      <c r="Q609" t="n">
        <v>0</v>
      </c>
      <c r="R609" s="2" t="inlineStr"/>
    </row>
    <row r="610" ht="15" customHeight="1">
      <c r="A610" t="inlineStr">
        <is>
          <t>A 46689-2025</t>
        </is>
      </c>
      <c r="B610" s="1" t="n">
        <v>45926.55307870371</v>
      </c>
      <c r="C610" s="1" t="n">
        <v>46043</v>
      </c>
      <c r="D610" t="inlineStr">
        <is>
          <t>JÄMTLANDS LÄN</t>
        </is>
      </c>
      <c r="E610" t="inlineStr">
        <is>
          <t>RAGUNDA</t>
        </is>
      </c>
      <c r="F610" t="inlineStr">
        <is>
          <t>SCA</t>
        </is>
      </c>
      <c r="G610" t="n">
        <v>8</v>
      </c>
      <c r="H610" t="n">
        <v>0</v>
      </c>
      <c r="I610" t="n">
        <v>0</v>
      </c>
      <c r="J610" t="n">
        <v>0</v>
      </c>
      <c r="K610" t="n">
        <v>0</v>
      </c>
      <c r="L610" t="n">
        <v>0</v>
      </c>
      <c r="M610" t="n">
        <v>0</v>
      </c>
      <c r="N610" t="n">
        <v>0</v>
      </c>
      <c r="O610" t="n">
        <v>0</v>
      </c>
      <c r="P610" t="n">
        <v>0</v>
      </c>
      <c r="Q610" t="n">
        <v>0</v>
      </c>
      <c r="R610" s="2" t="inlineStr"/>
    </row>
    <row r="611" ht="15" customHeight="1">
      <c r="A611" t="inlineStr">
        <is>
          <t>A 25350-2025</t>
        </is>
      </c>
      <c r="B611" s="1" t="n">
        <v>45800</v>
      </c>
      <c r="C611" s="1" t="n">
        <v>46043</v>
      </c>
      <c r="D611" t="inlineStr">
        <is>
          <t>JÄMTLANDS LÄN</t>
        </is>
      </c>
      <c r="E611" t="inlineStr">
        <is>
          <t>RAGUNDA</t>
        </is>
      </c>
      <c r="G611" t="n">
        <v>2.4</v>
      </c>
      <c r="H611" t="n">
        <v>0</v>
      </c>
      <c r="I611" t="n">
        <v>0</v>
      </c>
      <c r="J611" t="n">
        <v>0</v>
      </c>
      <c r="K611" t="n">
        <v>0</v>
      </c>
      <c r="L611" t="n">
        <v>0</v>
      </c>
      <c r="M611" t="n">
        <v>0</v>
      </c>
      <c r="N611" t="n">
        <v>0</v>
      </c>
      <c r="O611" t="n">
        <v>0</v>
      </c>
      <c r="P611" t="n">
        <v>0</v>
      </c>
      <c r="Q611" t="n">
        <v>0</v>
      </c>
      <c r="R611" s="2" t="inlineStr"/>
    </row>
    <row r="612" ht="15" customHeight="1">
      <c r="A612" t="inlineStr">
        <is>
          <t>A 21853-2024</t>
        </is>
      </c>
      <c r="B612" s="1" t="n">
        <v>45442.96296296296</v>
      </c>
      <c r="C612" s="1" t="n">
        <v>46043</v>
      </c>
      <c r="D612" t="inlineStr">
        <is>
          <t>JÄMTLANDS LÄN</t>
        </is>
      </c>
      <c r="E612" t="inlineStr">
        <is>
          <t>RAGUNDA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29775-2023</t>
        </is>
      </c>
      <c r="B613" s="1" t="n">
        <v>45098</v>
      </c>
      <c r="C613" s="1" t="n">
        <v>46043</v>
      </c>
      <c r="D613" t="inlineStr">
        <is>
          <t>JÄMTLANDS LÄN</t>
        </is>
      </c>
      <c r="E613" t="inlineStr">
        <is>
          <t>RAGUNDA</t>
        </is>
      </c>
      <c r="G613" t="n">
        <v>3.6</v>
      </c>
      <c r="H613" t="n">
        <v>0</v>
      </c>
      <c r="I613" t="n">
        <v>0</v>
      </c>
      <c r="J613" t="n">
        <v>0</v>
      </c>
      <c r="K613" t="n">
        <v>0</v>
      </c>
      <c r="L613" t="n">
        <v>0</v>
      </c>
      <c r="M613" t="n">
        <v>0</v>
      </c>
      <c r="N613" t="n">
        <v>0</v>
      </c>
      <c r="O613" t="n">
        <v>0</v>
      </c>
      <c r="P613" t="n">
        <v>0</v>
      </c>
      <c r="Q613" t="n">
        <v>0</v>
      </c>
      <c r="R613" s="2" t="inlineStr"/>
    </row>
    <row r="614" ht="15" customHeight="1">
      <c r="A614" t="inlineStr">
        <is>
          <t>A 40365-2024</t>
        </is>
      </c>
      <c r="B614" s="1" t="n">
        <v>45555.38509259259</v>
      </c>
      <c r="C614" s="1" t="n">
        <v>46043</v>
      </c>
      <c r="D614" t="inlineStr">
        <is>
          <t>JÄMTLANDS LÄN</t>
        </is>
      </c>
      <c r="E614" t="inlineStr">
        <is>
          <t>RAGUNDA</t>
        </is>
      </c>
      <c r="G614" t="n">
        <v>7.8</v>
      </c>
      <c r="H614" t="n">
        <v>0</v>
      </c>
      <c r="I614" t="n">
        <v>0</v>
      </c>
      <c r="J614" t="n">
        <v>0</v>
      </c>
      <c r="K614" t="n">
        <v>0</v>
      </c>
      <c r="L614" t="n">
        <v>0</v>
      </c>
      <c r="M614" t="n">
        <v>0</v>
      </c>
      <c r="N614" t="n">
        <v>0</v>
      </c>
      <c r="O614" t="n">
        <v>0</v>
      </c>
      <c r="P614" t="n">
        <v>0</v>
      </c>
      <c r="Q614" t="n">
        <v>0</v>
      </c>
      <c r="R614" s="2" t="inlineStr"/>
    </row>
    <row r="615" ht="15" customHeight="1">
      <c r="A615" t="inlineStr">
        <is>
          <t>A 46275-2025</t>
        </is>
      </c>
      <c r="B615" s="1" t="n">
        <v>45925.3711574074</v>
      </c>
      <c r="C615" s="1" t="n">
        <v>46043</v>
      </c>
      <c r="D615" t="inlineStr">
        <is>
          <t>JÄMTLANDS LÄN</t>
        </is>
      </c>
      <c r="E615" t="inlineStr">
        <is>
          <t>RAGUNDA</t>
        </is>
      </c>
      <c r="G615" t="n">
        <v>2.7</v>
      </c>
      <c r="H615" t="n">
        <v>0</v>
      </c>
      <c r="I615" t="n">
        <v>0</v>
      </c>
      <c r="J615" t="n">
        <v>0</v>
      </c>
      <c r="K615" t="n">
        <v>0</v>
      </c>
      <c r="L615" t="n">
        <v>0</v>
      </c>
      <c r="M615" t="n">
        <v>0</v>
      </c>
      <c r="N615" t="n">
        <v>0</v>
      </c>
      <c r="O615" t="n">
        <v>0</v>
      </c>
      <c r="P615" t="n">
        <v>0</v>
      </c>
      <c r="Q615" t="n">
        <v>0</v>
      </c>
      <c r="R615" s="2" t="inlineStr"/>
    </row>
    <row r="616" ht="15" customHeight="1">
      <c r="A616" t="inlineStr">
        <is>
          <t>A 46710-2025</t>
        </is>
      </c>
      <c r="B616" s="1" t="n">
        <v>45926.57337962963</v>
      </c>
      <c r="C616" s="1" t="n">
        <v>46043</v>
      </c>
      <c r="D616" t="inlineStr">
        <is>
          <t>JÄMTLANDS LÄN</t>
        </is>
      </c>
      <c r="E616" t="inlineStr">
        <is>
          <t>RAGUNDA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46751-2025</t>
        </is>
      </c>
      <c r="B617" s="1" t="n">
        <v>45926.6153125</v>
      </c>
      <c r="C617" s="1" t="n">
        <v>46043</v>
      </c>
      <c r="D617" t="inlineStr">
        <is>
          <t>JÄMTLANDS LÄN</t>
        </is>
      </c>
      <c r="E617" t="inlineStr">
        <is>
          <t>RAGUNDA</t>
        </is>
      </c>
      <c r="F617" t="inlineStr">
        <is>
          <t>SCA</t>
        </is>
      </c>
      <c r="G617" t="n">
        <v>7.8</v>
      </c>
      <c r="H617" t="n">
        <v>0</v>
      </c>
      <c r="I617" t="n">
        <v>0</v>
      </c>
      <c r="J617" t="n">
        <v>0</v>
      </c>
      <c r="K617" t="n">
        <v>0</v>
      </c>
      <c r="L617" t="n">
        <v>0</v>
      </c>
      <c r="M617" t="n">
        <v>0</v>
      </c>
      <c r="N617" t="n">
        <v>0</v>
      </c>
      <c r="O617" t="n">
        <v>0</v>
      </c>
      <c r="P617" t="n">
        <v>0</v>
      </c>
      <c r="Q617" t="n">
        <v>0</v>
      </c>
      <c r="R617" s="2" t="inlineStr"/>
    </row>
    <row r="618" ht="15" customHeight="1">
      <c r="A618" t="inlineStr">
        <is>
          <t>A 46753-2025</t>
        </is>
      </c>
      <c r="B618" s="1" t="n">
        <v>45926.61552083334</v>
      </c>
      <c r="C618" s="1" t="n">
        <v>46043</v>
      </c>
      <c r="D618" t="inlineStr">
        <is>
          <t>JÄMTLANDS LÄN</t>
        </is>
      </c>
      <c r="E618" t="inlineStr">
        <is>
          <t>RAGUNDA</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25152-2025</t>
        </is>
      </c>
      <c r="B619" s="1" t="n">
        <v>45800.42743055556</v>
      </c>
      <c r="C619" s="1" t="n">
        <v>46043</v>
      </c>
      <c r="D619" t="inlineStr">
        <is>
          <t>JÄMTLANDS LÄN</t>
        </is>
      </c>
      <c r="E619" t="inlineStr">
        <is>
          <t>RAGUNDA</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25175-2025</t>
        </is>
      </c>
      <c r="B620" s="1" t="n">
        <v>45800.44822916666</v>
      </c>
      <c r="C620" s="1" t="n">
        <v>46043</v>
      </c>
      <c r="D620" t="inlineStr">
        <is>
          <t>JÄMTLANDS LÄN</t>
        </is>
      </c>
      <c r="E620" t="inlineStr">
        <is>
          <t>RAGUNDA</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25177-2025</t>
        </is>
      </c>
      <c r="B621" s="1" t="n">
        <v>45800.44862268519</v>
      </c>
      <c r="C621" s="1" t="n">
        <v>46043</v>
      </c>
      <c r="D621" t="inlineStr">
        <is>
          <t>JÄMTLANDS LÄN</t>
        </is>
      </c>
      <c r="E621" t="inlineStr">
        <is>
          <t>RAGUNDA</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60456-2023</t>
        </is>
      </c>
      <c r="B622" s="1" t="n">
        <v>45258</v>
      </c>
      <c r="C622" s="1" t="n">
        <v>46043</v>
      </c>
      <c r="D622" t="inlineStr">
        <is>
          <t>JÄMTLANDS LÄN</t>
        </is>
      </c>
      <c r="E622" t="inlineStr">
        <is>
          <t>RAGUNDA</t>
        </is>
      </c>
      <c r="G622" t="n">
        <v>1.8</v>
      </c>
      <c r="H622" t="n">
        <v>0</v>
      </c>
      <c r="I622" t="n">
        <v>0</v>
      </c>
      <c r="J622" t="n">
        <v>0</v>
      </c>
      <c r="K622" t="n">
        <v>0</v>
      </c>
      <c r="L622" t="n">
        <v>0</v>
      </c>
      <c r="M622" t="n">
        <v>0</v>
      </c>
      <c r="N622" t="n">
        <v>0</v>
      </c>
      <c r="O622" t="n">
        <v>0</v>
      </c>
      <c r="P622" t="n">
        <v>0</v>
      </c>
      <c r="Q622" t="n">
        <v>0</v>
      </c>
      <c r="R622" s="2" t="inlineStr"/>
    </row>
    <row r="623" ht="15" customHeight="1">
      <c r="A623" t="inlineStr">
        <is>
          <t>A 58438-2022</t>
        </is>
      </c>
      <c r="B623" s="1" t="n">
        <v>44901</v>
      </c>
      <c r="C623" s="1" t="n">
        <v>46043</v>
      </c>
      <c r="D623" t="inlineStr">
        <is>
          <t>JÄMTLANDS LÄN</t>
        </is>
      </c>
      <c r="E623" t="inlineStr">
        <is>
          <t>RAGUNDA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58442-2022</t>
        </is>
      </c>
      <c r="B624" s="1" t="n">
        <v>44901</v>
      </c>
      <c r="C624" s="1" t="n">
        <v>46043</v>
      </c>
      <c r="D624" t="inlineStr">
        <is>
          <t>JÄMTLANDS LÄN</t>
        </is>
      </c>
      <c r="E624" t="inlineStr">
        <is>
          <t>RAGUNDA</t>
        </is>
      </c>
      <c r="F624" t="inlineStr">
        <is>
          <t>SCA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47228-2025</t>
        </is>
      </c>
      <c r="B625" s="1" t="n">
        <v>45930.3990162037</v>
      </c>
      <c r="C625" s="1" t="n">
        <v>46043</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46974-2025</t>
        </is>
      </c>
      <c r="B626" s="1" t="n">
        <v>45929.51104166666</v>
      </c>
      <c r="C626" s="1" t="n">
        <v>46043</v>
      </c>
      <c r="D626" t="inlineStr">
        <is>
          <t>JÄMTLANDS LÄN</t>
        </is>
      </c>
      <c r="E626" t="inlineStr">
        <is>
          <t>RAGUNDA</t>
        </is>
      </c>
      <c r="F626" t="inlineStr">
        <is>
          <t>SCA</t>
        </is>
      </c>
      <c r="G626" t="n">
        <v>12.1</v>
      </c>
      <c r="H626" t="n">
        <v>0</v>
      </c>
      <c r="I626" t="n">
        <v>0</v>
      </c>
      <c r="J626" t="n">
        <v>0</v>
      </c>
      <c r="K626" t="n">
        <v>0</v>
      </c>
      <c r="L626" t="n">
        <v>0</v>
      </c>
      <c r="M626" t="n">
        <v>0</v>
      </c>
      <c r="N626" t="n">
        <v>0</v>
      </c>
      <c r="O626" t="n">
        <v>0</v>
      </c>
      <c r="P626" t="n">
        <v>0</v>
      </c>
      <c r="Q626" t="n">
        <v>0</v>
      </c>
      <c r="R626" s="2" t="inlineStr"/>
    </row>
    <row r="627" ht="15" customHeight="1">
      <c r="A627" t="inlineStr">
        <is>
          <t>A 47037-2025</t>
        </is>
      </c>
      <c r="B627" s="1" t="n">
        <v>45929.59456018519</v>
      </c>
      <c r="C627" s="1" t="n">
        <v>46043</v>
      </c>
      <c r="D627" t="inlineStr">
        <is>
          <t>JÄMTLANDS LÄN</t>
        </is>
      </c>
      <c r="E627" t="inlineStr">
        <is>
          <t>RAGUNDA</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47119-2025</t>
        </is>
      </c>
      <c r="B628" s="1" t="n">
        <v>45929.67795138889</v>
      </c>
      <c r="C628" s="1" t="n">
        <v>46043</v>
      </c>
      <c r="D628" t="inlineStr">
        <is>
          <t>JÄMTLANDS LÄN</t>
        </is>
      </c>
      <c r="E628" t="inlineStr">
        <is>
          <t>RAGUNDA</t>
        </is>
      </c>
      <c r="F628" t="inlineStr">
        <is>
          <t>SCA</t>
        </is>
      </c>
      <c r="G628" t="n">
        <v>22.7</v>
      </c>
      <c r="H628" t="n">
        <v>0</v>
      </c>
      <c r="I628" t="n">
        <v>0</v>
      </c>
      <c r="J628" t="n">
        <v>0</v>
      </c>
      <c r="K628" t="n">
        <v>0</v>
      </c>
      <c r="L628" t="n">
        <v>0</v>
      </c>
      <c r="M628" t="n">
        <v>0</v>
      </c>
      <c r="N628" t="n">
        <v>0</v>
      </c>
      <c r="O628" t="n">
        <v>0</v>
      </c>
      <c r="P628" t="n">
        <v>0</v>
      </c>
      <c r="Q628" t="n">
        <v>0</v>
      </c>
      <c r="R628" s="2" t="inlineStr"/>
    </row>
    <row r="629" ht="15" customHeight="1">
      <c r="A629" t="inlineStr">
        <is>
          <t>A 47122-2025</t>
        </is>
      </c>
      <c r="B629" s="1" t="n">
        <v>45929.67878472222</v>
      </c>
      <c r="C629" s="1" t="n">
        <v>46043</v>
      </c>
      <c r="D629" t="inlineStr">
        <is>
          <t>JÄMTLANDS LÄN</t>
        </is>
      </c>
      <c r="E629" t="inlineStr">
        <is>
          <t>RAGUNDA</t>
        </is>
      </c>
      <c r="F629" t="inlineStr">
        <is>
          <t>SCA</t>
        </is>
      </c>
      <c r="G629" t="n">
        <v>31.1</v>
      </c>
      <c r="H629" t="n">
        <v>0</v>
      </c>
      <c r="I629" t="n">
        <v>0</v>
      </c>
      <c r="J629" t="n">
        <v>0</v>
      </c>
      <c r="K629" t="n">
        <v>0</v>
      </c>
      <c r="L629" t="n">
        <v>0</v>
      </c>
      <c r="M629" t="n">
        <v>0</v>
      </c>
      <c r="N629" t="n">
        <v>0</v>
      </c>
      <c r="O629" t="n">
        <v>0</v>
      </c>
      <c r="P629" t="n">
        <v>0</v>
      </c>
      <c r="Q629" t="n">
        <v>0</v>
      </c>
      <c r="R629" s="2" t="inlineStr"/>
    </row>
    <row r="630" ht="15" customHeight="1">
      <c r="A630" t="inlineStr">
        <is>
          <t>A 49229-2024</t>
        </is>
      </c>
      <c r="B630" s="1" t="n">
        <v>45595.42738425926</v>
      </c>
      <c r="C630" s="1" t="n">
        <v>46043</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46909-2025</t>
        </is>
      </c>
      <c r="B631" s="1" t="n">
        <v>45929.40673611111</v>
      </c>
      <c r="C631" s="1" t="n">
        <v>46043</v>
      </c>
      <c r="D631" t="inlineStr">
        <is>
          <t>JÄMTLANDS LÄN</t>
        </is>
      </c>
      <c r="E631" t="inlineStr">
        <is>
          <t>RAGUNDA</t>
        </is>
      </c>
      <c r="G631" t="n">
        <v>5.7</v>
      </c>
      <c r="H631" t="n">
        <v>0</v>
      </c>
      <c r="I631" t="n">
        <v>0</v>
      </c>
      <c r="J631" t="n">
        <v>0</v>
      </c>
      <c r="K631" t="n">
        <v>0</v>
      </c>
      <c r="L631" t="n">
        <v>0</v>
      </c>
      <c r="M631" t="n">
        <v>0</v>
      </c>
      <c r="N631" t="n">
        <v>0</v>
      </c>
      <c r="O631" t="n">
        <v>0</v>
      </c>
      <c r="P631" t="n">
        <v>0</v>
      </c>
      <c r="Q631" t="n">
        <v>0</v>
      </c>
      <c r="R631" s="2" t="inlineStr"/>
    </row>
    <row r="632" ht="15" customHeight="1">
      <c r="A632" t="inlineStr">
        <is>
          <t>A 25631-2025</t>
        </is>
      </c>
      <c r="B632" s="1" t="n">
        <v>45803.5946875</v>
      </c>
      <c r="C632" s="1" t="n">
        <v>46043</v>
      </c>
      <c r="D632" t="inlineStr">
        <is>
          <t>JÄMTLANDS LÄN</t>
        </is>
      </c>
      <c r="E632" t="inlineStr">
        <is>
          <t>RAGUNDA</t>
        </is>
      </c>
      <c r="G632" t="n">
        <v>1.1</v>
      </c>
      <c r="H632" t="n">
        <v>0</v>
      </c>
      <c r="I632" t="n">
        <v>0</v>
      </c>
      <c r="J632" t="n">
        <v>0</v>
      </c>
      <c r="K632" t="n">
        <v>0</v>
      </c>
      <c r="L632" t="n">
        <v>0</v>
      </c>
      <c r="M632" t="n">
        <v>0</v>
      </c>
      <c r="N632" t="n">
        <v>0</v>
      </c>
      <c r="O632" t="n">
        <v>0</v>
      </c>
      <c r="P632" t="n">
        <v>0</v>
      </c>
      <c r="Q632" t="n">
        <v>0</v>
      </c>
      <c r="R632" s="2" t="inlineStr"/>
    </row>
    <row r="633" ht="15" customHeight="1">
      <c r="A633" t="inlineStr">
        <is>
          <t>A 55524-2024</t>
        </is>
      </c>
      <c r="B633" s="1" t="n">
        <v>45622.47435185185</v>
      </c>
      <c r="C633" s="1" t="n">
        <v>46043</v>
      </c>
      <c r="D633" t="inlineStr">
        <is>
          <t>JÄMTLANDS LÄN</t>
        </is>
      </c>
      <c r="E633" t="inlineStr">
        <is>
          <t>RAGUNDA</t>
        </is>
      </c>
      <c r="G633" t="n">
        <v>1.4</v>
      </c>
      <c r="H633" t="n">
        <v>0</v>
      </c>
      <c r="I633" t="n">
        <v>0</v>
      </c>
      <c r="J633" t="n">
        <v>0</v>
      </c>
      <c r="K633" t="n">
        <v>0</v>
      </c>
      <c r="L633" t="n">
        <v>0</v>
      </c>
      <c r="M633" t="n">
        <v>0</v>
      </c>
      <c r="N633" t="n">
        <v>0</v>
      </c>
      <c r="O633" t="n">
        <v>0</v>
      </c>
      <c r="P633" t="n">
        <v>0</v>
      </c>
      <c r="Q633" t="n">
        <v>0</v>
      </c>
      <c r="R633" s="2" t="inlineStr"/>
    </row>
    <row r="634" ht="15" customHeight="1">
      <c r="A634" t="inlineStr">
        <is>
          <t>A 19419-2024</t>
        </is>
      </c>
      <c r="B634" s="1" t="n">
        <v>45429</v>
      </c>
      <c r="C634" s="1" t="n">
        <v>46043</v>
      </c>
      <c r="D634" t="inlineStr">
        <is>
          <t>JÄMTLANDS LÄN</t>
        </is>
      </c>
      <c r="E634" t="inlineStr">
        <is>
          <t>RAGUNDA</t>
        </is>
      </c>
      <c r="G634" t="n">
        <v>3.5</v>
      </c>
      <c r="H634" t="n">
        <v>0</v>
      </c>
      <c r="I634" t="n">
        <v>0</v>
      </c>
      <c r="J634" t="n">
        <v>0</v>
      </c>
      <c r="K634" t="n">
        <v>0</v>
      </c>
      <c r="L634" t="n">
        <v>0</v>
      </c>
      <c r="M634" t="n">
        <v>0</v>
      </c>
      <c r="N634" t="n">
        <v>0</v>
      </c>
      <c r="O634" t="n">
        <v>0</v>
      </c>
      <c r="P634" t="n">
        <v>0</v>
      </c>
      <c r="Q634" t="n">
        <v>0</v>
      </c>
      <c r="R634" s="2" t="inlineStr"/>
    </row>
    <row r="635" ht="15" customHeight="1">
      <c r="A635" t="inlineStr">
        <is>
          <t>A 47229-2025</t>
        </is>
      </c>
      <c r="B635" s="1" t="n">
        <v>45930.40166666666</v>
      </c>
      <c r="C635" s="1" t="n">
        <v>46043</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47075-2025</t>
        </is>
      </c>
      <c r="B636" s="1" t="n">
        <v>45929.63728009259</v>
      </c>
      <c r="C636" s="1" t="n">
        <v>46043</v>
      </c>
      <c r="D636" t="inlineStr">
        <is>
          <t>JÄMTLANDS LÄN</t>
        </is>
      </c>
      <c r="E636" t="inlineStr">
        <is>
          <t>RAGUNDA</t>
        </is>
      </c>
      <c r="F636" t="inlineStr">
        <is>
          <t>SCA</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25659-2025</t>
        </is>
      </c>
      <c r="B637" s="1" t="n">
        <v>45803.61552083334</v>
      </c>
      <c r="C637" s="1" t="n">
        <v>46043</v>
      </c>
      <c r="D637" t="inlineStr">
        <is>
          <t>JÄMTLANDS LÄN</t>
        </is>
      </c>
      <c r="E637" t="inlineStr">
        <is>
          <t>RAGUNDA</t>
        </is>
      </c>
      <c r="G637" t="n">
        <v>1.5</v>
      </c>
      <c r="H637" t="n">
        <v>0</v>
      </c>
      <c r="I637" t="n">
        <v>0</v>
      </c>
      <c r="J637" t="n">
        <v>0</v>
      </c>
      <c r="K637" t="n">
        <v>0</v>
      </c>
      <c r="L637" t="n">
        <v>0</v>
      </c>
      <c r="M637" t="n">
        <v>0</v>
      </c>
      <c r="N637" t="n">
        <v>0</v>
      </c>
      <c r="O637" t="n">
        <v>0</v>
      </c>
      <c r="P637" t="n">
        <v>0</v>
      </c>
      <c r="Q637" t="n">
        <v>0</v>
      </c>
      <c r="R637" s="2" t="inlineStr"/>
    </row>
    <row r="638" ht="15" customHeight="1">
      <c r="A638" t="inlineStr">
        <is>
          <t>A 25661-2025</t>
        </is>
      </c>
      <c r="B638" s="1" t="n">
        <v>45803.61557870371</v>
      </c>
      <c r="C638" s="1" t="n">
        <v>46043</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25944-2025</t>
        </is>
      </c>
      <c r="B639" s="1" t="n">
        <v>45804.59487268519</v>
      </c>
      <c r="C639" s="1" t="n">
        <v>46043</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46825-2025</t>
        </is>
      </c>
      <c r="B640" s="1" t="n">
        <v>45926.92506944444</v>
      </c>
      <c r="C640" s="1" t="n">
        <v>46043</v>
      </c>
      <c r="D640" t="inlineStr">
        <is>
          <t>JÄMTLANDS LÄN</t>
        </is>
      </c>
      <c r="E640" t="inlineStr">
        <is>
          <t>RAGUNDA</t>
        </is>
      </c>
      <c r="G640" t="n">
        <v>1.4</v>
      </c>
      <c r="H640" t="n">
        <v>0</v>
      </c>
      <c r="I640" t="n">
        <v>0</v>
      </c>
      <c r="J640" t="n">
        <v>0</v>
      </c>
      <c r="K640" t="n">
        <v>0</v>
      </c>
      <c r="L640" t="n">
        <v>0</v>
      </c>
      <c r="M640" t="n">
        <v>0</v>
      </c>
      <c r="N640" t="n">
        <v>0</v>
      </c>
      <c r="O640" t="n">
        <v>0</v>
      </c>
      <c r="P640" t="n">
        <v>0</v>
      </c>
      <c r="Q640" t="n">
        <v>0</v>
      </c>
      <c r="R640" s="2" t="inlineStr"/>
    </row>
    <row r="641" ht="15" customHeight="1">
      <c r="A641" t="inlineStr">
        <is>
          <t>A 25814-2025</t>
        </is>
      </c>
      <c r="B641" s="1" t="n">
        <v>45804.42642361111</v>
      </c>
      <c r="C641" s="1" t="n">
        <v>46043</v>
      </c>
      <c r="D641" t="inlineStr">
        <is>
          <t>JÄMTLANDS LÄN</t>
        </is>
      </c>
      <c r="E641" t="inlineStr">
        <is>
          <t>RAGUNDA</t>
        </is>
      </c>
      <c r="G641" t="n">
        <v>0.8</v>
      </c>
      <c r="H641" t="n">
        <v>0</v>
      </c>
      <c r="I641" t="n">
        <v>0</v>
      </c>
      <c r="J641" t="n">
        <v>0</v>
      </c>
      <c r="K641" t="n">
        <v>0</v>
      </c>
      <c r="L641" t="n">
        <v>0</v>
      </c>
      <c r="M641" t="n">
        <v>0</v>
      </c>
      <c r="N641" t="n">
        <v>0</v>
      </c>
      <c r="O641" t="n">
        <v>0</v>
      </c>
      <c r="P641" t="n">
        <v>0</v>
      </c>
      <c r="Q641" t="n">
        <v>0</v>
      </c>
      <c r="R641" s="2" t="inlineStr"/>
    </row>
    <row r="642" ht="15" customHeight="1">
      <c r="A642" t="inlineStr">
        <is>
          <t>A 47749-2025</t>
        </is>
      </c>
      <c r="B642" s="1" t="n">
        <v>45931.65711805555</v>
      </c>
      <c r="C642" s="1" t="n">
        <v>46043</v>
      </c>
      <c r="D642" t="inlineStr">
        <is>
          <t>JÄMTLANDS LÄN</t>
        </is>
      </c>
      <c r="E642" t="inlineStr">
        <is>
          <t>RAGUNDA</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19438-2023</t>
        </is>
      </c>
      <c r="B643" s="1" t="n">
        <v>45049</v>
      </c>
      <c r="C643" s="1" t="n">
        <v>46043</v>
      </c>
      <c r="D643" t="inlineStr">
        <is>
          <t>JÄMTLANDS LÄN</t>
        </is>
      </c>
      <c r="E643" t="inlineStr">
        <is>
          <t>RAGUNDA</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21332-2025</t>
        </is>
      </c>
      <c r="B644" s="1" t="n">
        <v>45782.36506944444</v>
      </c>
      <c r="C644" s="1" t="n">
        <v>46043</v>
      </c>
      <c r="D644" t="inlineStr">
        <is>
          <t>JÄMTLANDS LÄN</t>
        </is>
      </c>
      <c r="E644" t="inlineStr">
        <is>
          <t>RAGUNDA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47748-2025</t>
        </is>
      </c>
      <c r="B645" s="1" t="n">
        <v>45931.65693287037</v>
      </c>
      <c r="C645" s="1" t="n">
        <v>46043</v>
      </c>
      <c r="D645" t="inlineStr">
        <is>
          <t>JÄMTLANDS LÄN</t>
        </is>
      </c>
      <c r="E645" t="inlineStr">
        <is>
          <t>RAGUNDA</t>
        </is>
      </c>
      <c r="F645" t="inlineStr">
        <is>
          <t>SCA</t>
        </is>
      </c>
      <c r="G645" t="n">
        <v>8.6</v>
      </c>
      <c r="H645" t="n">
        <v>0</v>
      </c>
      <c r="I645" t="n">
        <v>0</v>
      </c>
      <c r="J645" t="n">
        <v>0</v>
      </c>
      <c r="K645" t="n">
        <v>0</v>
      </c>
      <c r="L645" t="n">
        <v>0</v>
      </c>
      <c r="M645" t="n">
        <v>0</v>
      </c>
      <c r="N645" t="n">
        <v>0</v>
      </c>
      <c r="O645" t="n">
        <v>0</v>
      </c>
      <c r="P645" t="n">
        <v>0</v>
      </c>
      <c r="Q645" t="n">
        <v>0</v>
      </c>
      <c r="R645" s="2" t="inlineStr"/>
    </row>
    <row r="646" ht="15" customHeight="1">
      <c r="A646" t="inlineStr">
        <is>
          <t>A 46211-2024</t>
        </is>
      </c>
      <c r="B646" s="1" t="n">
        <v>45581.55260416667</v>
      </c>
      <c r="C646" s="1" t="n">
        <v>46043</v>
      </c>
      <c r="D646" t="inlineStr">
        <is>
          <t>JÄMTLANDS LÄN</t>
        </is>
      </c>
      <c r="E646" t="inlineStr">
        <is>
          <t>RAGUNDA</t>
        </is>
      </c>
      <c r="G646" t="n">
        <v>7.3</v>
      </c>
      <c r="H646" t="n">
        <v>0</v>
      </c>
      <c r="I646" t="n">
        <v>0</v>
      </c>
      <c r="J646" t="n">
        <v>0</v>
      </c>
      <c r="K646" t="n">
        <v>0</v>
      </c>
      <c r="L646" t="n">
        <v>0</v>
      </c>
      <c r="M646" t="n">
        <v>0</v>
      </c>
      <c r="N646" t="n">
        <v>0</v>
      </c>
      <c r="O646" t="n">
        <v>0</v>
      </c>
      <c r="P646" t="n">
        <v>0</v>
      </c>
      <c r="Q646" t="n">
        <v>0</v>
      </c>
      <c r="R646" s="2" t="inlineStr"/>
    </row>
    <row r="647" ht="15" customHeight="1">
      <c r="A647" t="inlineStr">
        <is>
          <t>A 48528-2025</t>
        </is>
      </c>
      <c r="B647" s="1" t="n">
        <v>45936.40758101852</v>
      </c>
      <c r="C647" s="1" t="n">
        <v>46043</v>
      </c>
      <c r="D647" t="inlineStr">
        <is>
          <t>JÄMTLANDS LÄN</t>
        </is>
      </c>
      <c r="E647" t="inlineStr">
        <is>
          <t>RAGUNDA</t>
        </is>
      </c>
      <c r="F647" t="inlineStr">
        <is>
          <t>SCA</t>
        </is>
      </c>
      <c r="G647" t="n">
        <v>6.8</v>
      </c>
      <c r="H647" t="n">
        <v>0</v>
      </c>
      <c r="I647" t="n">
        <v>0</v>
      </c>
      <c r="J647" t="n">
        <v>0</v>
      </c>
      <c r="K647" t="n">
        <v>0</v>
      </c>
      <c r="L647" t="n">
        <v>0</v>
      </c>
      <c r="M647" t="n">
        <v>0</v>
      </c>
      <c r="N647" t="n">
        <v>0</v>
      </c>
      <c r="O647" t="n">
        <v>0</v>
      </c>
      <c r="P647" t="n">
        <v>0</v>
      </c>
      <c r="Q647" t="n">
        <v>0</v>
      </c>
      <c r="R647" s="2" t="inlineStr"/>
    </row>
    <row r="648" ht="15" customHeight="1">
      <c r="A648" t="inlineStr">
        <is>
          <t>A 19613-2023</t>
        </is>
      </c>
      <c r="B648" s="1" t="n">
        <v>45050.94020833333</v>
      </c>
      <c r="C648" s="1" t="n">
        <v>46043</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25994-2025</t>
        </is>
      </c>
      <c r="B649" s="1" t="n">
        <v>45804.65672453704</v>
      </c>
      <c r="C649" s="1" t="n">
        <v>46043</v>
      </c>
      <c r="D649" t="inlineStr">
        <is>
          <t>JÄMTLANDS LÄN</t>
        </is>
      </c>
      <c r="E649" t="inlineStr">
        <is>
          <t>RAGUNDA</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48742-2025</t>
        </is>
      </c>
      <c r="B650" s="1" t="n">
        <v>45936.67810185185</v>
      </c>
      <c r="C650" s="1" t="n">
        <v>46043</v>
      </c>
      <c r="D650" t="inlineStr">
        <is>
          <t>JÄMTLANDS LÄN</t>
        </is>
      </c>
      <c r="E650" t="inlineStr">
        <is>
          <t>RAGUNDA</t>
        </is>
      </c>
      <c r="F650" t="inlineStr">
        <is>
          <t>SCA</t>
        </is>
      </c>
      <c r="G650" t="n">
        <v>8.9</v>
      </c>
      <c r="H650" t="n">
        <v>0</v>
      </c>
      <c r="I650" t="n">
        <v>0</v>
      </c>
      <c r="J650" t="n">
        <v>0</v>
      </c>
      <c r="K650" t="n">
        <v>0</v>
      </c>
      <c r="L650" t="n">
        <v>0</v>
      </c>
      <c r="M650" t="n">
        <v>0</v>
      </c>
      <c r="N650" t="n">
        <v>0</v>
      </c>
      <c r="O650" t="n">
        <v>0</v>
      </c>
      <c r="P650" t="n">
        <v>0</v>
      </c>
      <c r="Q650" t="n">
        <v>0</v>
      </c>
      <c r="R650" s="2" t="inlineStr"/>
    </row>
    <row r="651" ht="15" customHeight="1">
      <c r="A651" t="inlineStr">
        <is>
          <t>A 8679-2023</t>
        </is>
      </c>
      <c r="B651" s="1" t="n">
        <v>44977.98670138889</v>
      </c>
      <c r="C651" s="1" t="n">
        <v>46043</v>
      </c>
      <c r="D651" t="inlineStr">
        <is>
          <t>JÄMTLANDS LÄN</t>
        </is>
      </c>
      <c r="E651" t="inlineStr">
        <is>
          <t>RAGUNDA</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14158-2024</t>
        </is>
      </c>
      <c r="B652" s="1" t="n">
        <v>45392</v>
      </c>
      <c r="C652" s="1" t="n">
        <v>46043</v>
      </c>
      <c r="D652" t="inlineStr">
        <is>
          <t>JÄMTLANDS LÄN</t>
        </is>
      </c>
      <c r="E652" t="inlineStr">
        <is>
          <t>RAGUNDA</t>
        </is>
      </c>
      <c r="G652" t="n">
        <v>0.7</v>
      </c>
      <c r="H652" t="n">
        <v>0</v>
      </c>
      <c r="I652" t="n">
        <v>0</v>
      </c>
      <c r="J652" t="n">
        <v>0</v>
      </c>
      <c r="K652" t="n">
        <v>0</v>
      </c>
      <c r="L652" t="n">
        <v>0</v>
      </c>
      <c r="M652" t="n">
        <v>0</v>
      </c>
      <c r="N652" t="n">
        <v>0</v>
      </c>
      <c r="O652" t="n">
        <v>0</v>
      </c>
      <c r="P652" t="n">
        <v>0</v>
      </c>
      <c r="Q652" t="n">
        <v>0</v>
      </c>
      <c r="R652" s="2" t="inlineStr"/>
    </row>
    <row r="653" ht="15" customHeight="1">
      <c r="A653" t="inlineStr">
        <is>
          <t>A 55649-2023</t>
        </is>
      </c>
      <c r="B653" s="1" t="n">
        <v>45238</v>
      </c>
      <c r="C653" s="1" t="n">
        <v>46043</v>
      </c>
      <c r="D653" t="inlineStr">
        <is>
          <t>JÄMTLANDS LÄN</t>
        </is>
      </c>
      <c r="E653" t="inlineStr">
        <is>
          <t>RAGUNDA</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53769-2023</t>
        </is>
      </c>
      <c r="B654" s="1" t="n">
        <v>45230</v>
      </c>
      <c r="C654" s="1" t="n">
        <v>46043</v>
      </c>
      <c r="D654" t="inlineStr">
        <is>
          <t>JÄMTLANDS LÄN</t>
        </is>
      </c>
      <c r="E654" t="inlineStr">
        <is>
          <t>RAGUNDA</t>
        </is>
      </c>
      <c r="F654" t="inlineStr">
        <is>
          <t>SCA</t>
        </is>
      </c>
      <c r="G654" t="n">
        <v>11.6</v>
      </c>
      <c r="H654" t="n">
        <v>0</v>
      </c>
      <c r="I654" t="n">
        <v>0</v>
      </c>
      <c r="J654" t="n">
        <v>0</v>
      </c>
      <c r="K654" t="n">
        <v>0</v>
      </c>
      <c r="L654" t="n">
        <v>0</v>
      </c>
      <c r="M654" t="n">
        <v>0</v>
      </c>
      <c r="N654" t="n">
        <v>0</v>
      </c>
      <c r="O654" t="n">
        <v>0</v>
      </c>
      <c r="P654" t="n">
        <v>0</v>
      </c>
      <c r="Q654" t="n">
        <v>0</v>
      </c>
      <c r="R654" s="2" t="inlineStr"/>
    </row>
    <row r="655" ht="15" customHeight="1">
      <c r="A655" t="inlineStr">
        <is>
          <t>A 48748-2025</t>
        </is>
      </c>
      <c r="B655" s="1" t="n">
        <v>45936.67912037037</v>
      </c>
      <c r="C655" s="1" t="n">
        <v>46043</v>
      </c>
      <c r="D655" t="inlineStr">
        <is>
          <t>JÄMTLANDS LÄN</t>
        </is>
      </c>
      <c r="E655" t="inlineStr">
        <is>
          <t>RAGUNDA</t>
        </is>
      </c>
      <c r="F655" t="inlineStr">
        <is>
          <t>SCA</t>
        </is>
      </c>
      <c r="G655" t="n">
        <v>11.1</v>
      </c>
      <c r="H655" t="n">
        <v>0</v>
      </c>
      <c r="I655" t="n">
        <v>0</v>
      </c>
      <c r="J655" t="n">
        <v>0</v>
      </c>
      <c r="K655" t="n">
        <v>0</v>
      </c>
      <c r="L655" t="n">
        <v>0</v>
      </c>
      <c r="M655" t="n">
        <v>0</v>
      </c>
      <c r="N655" t="n">
        <v>0</v>
      </c>
      <c r="O655" t="n">
        <v>0</v>
      </c>
      <c r="P655" t="n">
        <v>0</v>
      </c>
      <c r="Q655" t="n">
        <v>0</v>
      </c>
      <c r="R655" s="2" t="inlineStr"/>
    </row>
    <row r="656" ht="15" customHeight="1">
      <c r="A656" t="inlineStr">
        <is>
          <t>A 40919-2024</t>
        </is>
      </c>
      <c r="B656" s="1" t="n">
        <v>45558.63575231482</v>
      </c>
      <c r="C656" s="1" t="n">
        <v>46043</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46043</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26283-2025</t>
        </is>
      </c>
      <c r="B658" s="1" t="n">
        <v>45805.61495370371</v>
      </c>
      <c r="C658" s="1" t="n">
        <v>46043</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48746-2025</t>
        </is>
      </c>
      <c r="B659" s="1" t="n">
        <v>45936.67878472222</v>
      </c>
      <c r="C659" s="1" t="n">
        <v>46043</v>
      </c>
      <c r="D659" t="inlineStr">
        <is>
          <t>JÄMTLANDS LÄN</t>
        </is>
      </c>
      <c r="E659" t="inlineStr">
        <is>
          <t>RAGUNDA</t>
        </is>
      </c>
      <c r="F659" t="inlineStr">
        <is>
          <t>SCA</t>
        </is>
      </c>
      <c r="G659" t="n">
        <v>6.5</v>
      </c>
      <c r="H659" t="n">
        <v>0</v>
      </c>
      <c r="I659" t="n">
        <v>0</v>
      </c>
      <c r="J659" t="n">
        <v>0</v>
      </c>
      <c r="K659" t="n">
        <v>0</v>
      </c>
      <c r="L659" t="n">
        <v>0</v>
      </c>
      <c r="M659" t="n">
        <v>0</v>
      </c>
      <c r="N659" t="n">
        <v>0</v>
      </c>
      <c r="O659" t="n">
        <v>0</v>
      </c>
      <c r="P659" t="n">
        <v>0</v>
      </c>
      <c r="Q659" t="n">
        <v>0</v>
      </c>
      <c r="R659" s="2" t="inlineStr"/>
    </row>
    <row r="660" ht="15" customHeight="1">
      <c r="A660" t="inlineStr">
        <is>
          <t>A 48192-2024</t>
        </is>
      </c>
      <c r="B660" s="1" t="n">
        <v>45590</v>
      </c>
      <c r="C660" s="1" t="n">
        <v>46043</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12768-2022</t>
        </is>
      </c>
      <c r="B661" s="1" t="n">
        <v>44641</v>
      </c>
      <c r="C661" s="1" t="n">
        <v>46043</v>
      </c>
      <c r="D661" t="inlineStr">
        <is>
          <t>JÄMTLANDS LÄN</t>
        </is>
      </c>
      <c r="E661" t="inlineStr">
        <is>
          <t>RAGUNDA</t>
        </is>
      </c>
      <c r="F661" t="inlineStr">
        <is>
          <t>SCA</t>
        </is>
      </c>
      <c r="G661" t="n">
        <v>8</v>
      </c>
      <c r="H661" t="n">
        <v>0</v>
      </c>
      <c r="I661" t="n">
        <v>0</v>
      </c>
      <c r="J661" t="n">
        <v>0</v>
      </c>
      <c r="K661" t="n">
        <v>0</v>
      </c>
      <c r="L661" t="n">
        <v>0</v>
      </c>
      <c r="M661" t="n">
        <v>0</v>
      </c>
      <c r="N661" t="n">
        <v>0</v>
      </c>
      <c r="O661" t="n">
        <v>0</v>
      </c>
      <c r="P661" t="n">
        <v>0</v>
      </c>
      <c r="Q661" t="n">
        <v>0</v>
      </c>
      <c r="R661" s="2" t="inlineStr"/>
    </row>
    <row r="662" ht="15" customHeight="1">
      <c r="A662" t="inlineStr">
        <is>
          <t>A 12773-2022</t>
        </is>
      </c>
      <c r="B662" s="1" t="n">
        <v>44641</v>
      </c>
      <c r="C662" s="1" t="n">
        <v>46043</v>
      </c>
      <c r="D662" t="inlineStr">
        <is>
          <t>JÄMTLANDS LÄN</t>
        </is>
      </c>
      <c r="E662" t="inlineStr">
        <is>
          <t>RAGUNDA</t>
        </is>
      </c>
      <c r="F662" t="inlineStr">
        <is>
          <t>SCA</t>
        </is>
      </c>
      <c r="G662" t="n">
        <v>14.7</v>
      </c>
      <c r="H662" t="n">
        <v>0</v>
      </c>
      <c r="I662" t="n">
        <v>0</v>
      </c>
      <c r="J662" t="n">
        <v>0</v>
      </c>
      <c r="K662" t="n">
        <v>0</v>
      </c>
      <c r="L662" t="n">
        <v>0</v>
      </c>
      <c r="M662" t="n">
        <v>0</v>
      </c>
      <c r="N662" t="n">
        <v>0</v>
      </c>
      <c r="O662" t="n">
        <v>0</v>
      </c>
      <c r="P662" t="n">
        <v>0</v>
      </c>
      <c r="Q662" t="n">
        <v>0</v>
      </c>
      <c r="R662" s="2" t="inlineStr"/>
    </row>
    <row r="663" ht="15" customHeight="1">
      <c r="A663" t="inlineStr">
        <is>
          <t>A 49059-2025</t>
        </is>
      </c>
      <c r="B663" s="1" t="n">
        <v>45937.64123842592</v>
      </c>
      <c r="C663" s="1" t="n">
        <v>46043</v>
      </c>
      <c r="D663" t="inlineStr">
        <is>
          <t>JÄMTLANDS LÄN</t>
        </is>
      </c>
      <c r="E663" t="inlineStr">
        <is>
          <t>RAGUNDA</t>
        </is>
      </c>
      <c r="G663" t="n">
        <v>2.1</v>
      </c>
      <c r="H663" t="n">
        <v>0</v>
      </c>
      <c r="I663" t="n">
        <v>0</v>
      </c>
      <c r="J663" t="n">
        <v>0</v>
      </c>
      <c r="K663" t="n">
        <v>0</v>
      </c>
      <c r="L663" t="n">
        <v>0</v>
      </c>
      <c r="M663" t="n">
        <v>0</v>
      </c>
      <c r="N663" t="n">
        <v>0</v>
      </c>
      <c r="O663" t="n">
        <v>0</v>
      </c>
      <c r="P663" t="n">
        <v>0</v>
      </c>
      <c r="Q663" t="n">
        <v>0</v>
      </c>
      <c r="R663" s="2" t="inlineStr"/>
    </row>
    <row r="664" ht="15" customHeight="1">
      <c r="A664" t="inlineStr">
        <is>
          <t>A 49092-2025</t>
        </is>
      </c>
      <c r="B664" s="1" t="n">
        <v>45937.67792824074</v>
      </c>
      <c r="C664" s="1" t="n">
        <v>46043</v>
      </c>
      <c r="D664" t="inlineStr">
        <is>
          <t>JÄMTLANDS LÄN</t>
        </is>
      </c>
      <c r="E664" t="inlineStr">
        <is>
          <t>RAGUNDA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49193-2025</t>
        </is>
      </c>
      <c r="B665" s="1" t="n">
        <v>45938.40831018519</v>
      </c>
      <c r="C665" s="1" t="n">
        <v>46043</v>
      </c>
      <c r="D665" t="inlineStr">
        <is>
          <t>JÄMTLANDS LÄN</t>
        </is>
      </c>
      <c r="E665" t="inlineStr">
        <is>
          <t>RAGUNDA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49290-2025</t>
        </is>
      </c>
      <c r="B666" s="1" t="n">
        <v>45938.53168981482</v>
      </c>
      <c r="C666" s="1" t="n">
        <v>46043</v>
      </c>
      <c r="D666" t="inlineStr">
        <is>
          <t>JÄMTLANDS LÄN</t>
        </is>
      </c>
      <c r="E666" t="inlineStr">
        <is>
          <t>RAGUNDA</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49238-2025</t>
        </is>
      </c>
      <c r="B667" s="1" t="n">
        <v>45938.48231481481</v>
      </c>
      <c r="C667" s="1" t="n">
        <v>46043</v>
      </c>
      <c r="D667" t="inlineStr">
        <is>
          <t>JÄMTLANDS LÄN</t>
        </is>
      </c>
      <c r="E667" t="inlineStr">
        <is>
          <t>RAGUNDA</t>
        </is>
      </c>
      <c r="G667" t="n">
        <v>4.7</v>
      </c>
      <c r="H667" t="n">
        <v>0</v>
      </c>
      <c r="I667" t="n">
        <v>0</v>
      </c>
      <c r="J667" t="n">
        <v>0</v>
      </c>
      <c r="K667" t="n">
        <v>0</v>
      </c>
      <c r="L667" t="n">
        <v>0</v>
      </c>
      <c r="M667" t="n">
        <v>0</v>
      </c>
      <c r="N667" t="n">
        <v>0</v>
      </c>
      <c r="O667" t="n">
        <v>0</v>
      </c>
      <c r="P667" t="n">
        <v>0</v>
      </c>
      <c r="Q667" t="n">
        <v>0</v>
      </c>
      <c r="R667" s="2" t="inlineStr"/>
    </row>
    <row r="668" ht="15" customHeight="1">
      <c r="A668" t="inlineStr">
        <is>
          <t>A 24258-2025</t>
        </is>
      </c>
      <c r="B668" s="1" t="n">
        <v>45797.40800925926</v>
      </c>
      <c r="C668" s="1" t="n">
        <v>46043</v>
      </c>
      <c r="D668" t="inlineStr">
        <is>
          <t>JÄMTLANDS LÄN</t>
        </is>
      </c>
      <c r="E668" t="inlineStr">
        <is>
          <t>RAGUNDA</t>
        </is>
      </c>
      <c r="G668" t="n">
        <v>1.2</v>
      </c>
      <c r="H668" t="n">
        <v>0</v>
      </c>
      <c r="I668" t="n">
        <v>0</v>
      </c>
      <c r="J668" t="n">
        <v>0</v>
      </c>
      <c r="K668" t="n">
        <v>0</v>
      </c>
      <c r="L668" t="n">
        <v>0</v>
      </c>
      <c r="M668" t="n">
        <v>0</v>
      </c>
      <c r="N668" t="n">
        <v>0</v>
      </c>
      <c r="O668" t="n">
        <v>0</v>
      </c>
      <c r="P668" t="n">
        <v>0</v>
      </c>
      <c r="Q668" t="n">
        <v>0</v>
      </c>
      <c r="R668" s="2" t="inlineStr"/>
    </row>
    <row r="669" ht="15" customHeight="1">
      <c r="A669" t="inlineStr">
        <is>
          <t>A 26172-2025</t>
        </is>
      </c>
      <c r="B669" s="1" t="n">
        <v>45805.46613425926</v>
      </c>
      <c r="C669" s="1" t="n">
        <v>46043</v>
      </c>
      <c r="D669" t="inlineStr">
        <is>
          <t>JÄMTLANDS LÄN</t>
        </is>
      </c>
      <c r="E669" t="inlineStr">
        <is>
          <t>RAGUNDA</t>
        </is>
      </c>
      <c r="G669" t="n">
        <v>2.1</v>
      </c>
      <c r="H669" t="n">
        <v>0</v>
      </c>
      <c r="I669" t="n">
        <v>0</v>
      </c>
      <c r="J669" t="n">
        <v>0</v>
      </c>
      <c r="K669" t="n">
        <v>0</v>
      </c>
      <c r="L669" t="n">
        <v>0</v>
      </c>
      <c r="M669" t="n">
        <v>0</v>
      </c>
      <c r="N669" t="n">
        <v>0</v>
      </c>
      <c r="O669" t="n">
        <v>0</v>
      </c>
      <c r="P669" t="n">
        <v>0</v>
      </c>
      <c r="Q669" t="n">
        <v>0</v>
      </c>
      <c r="R669" s="2" t="inlineStr"/>
    </row>
    <row r="670" ht="15" customHeight="1">
      <c r="A670" t="inlineStr">
        <is>
          <t>A 49639-2025</t>
        </is>
      </c>
      <c r="B670" s="1" t="n">
        <v>45939.61253472222</v>
      </c>
      <c r="C670" s="1" t="n">
        <v>46043</v>
      </c>
      <c r="D670" t="inlineStr">
        <is>
          <t>JÄMTLANDS LÄN</t>
        </is>
      </c>
      <c r="E670" t="inlineStr">
        <is>
          <t>RAGUNDA</t>
        </is>
      </c>
      <c r="F670" t="inlineStr">
        <is>
          <t>Kommuner</t>
        </is>
      </c>
      <c r="G670" t="n">
        <v>13.6</v>
      </c>
      <c r="H670" t="n">
        <v>0</v>
      </c>
      <c r="I670" t="n">
        <v>0</v>
      </c>
      <c r="J670" t="n">
        <v>0</v>
      </c>
      <c r="K670" t="n">
        <v>0</v>
      </c>
      <c r="L670" t="n">
        <v>0</v>
      </c>
      <c r="M670" t="n">
        <v>0</v>
      </c>
      <c r="N670" t="n">
        <v>0</v>
      </c>
      <c r="O670" t="n">
        <v>0</v>
      </c>
      <c r="P670" t="n">
        <v>0</v>
      </c>
      <c r="Q670" t="n">
        <v>0</v>
      </c>
      <c r="R670" s="2" t="inlineStr"/>
    </row>
    <row r="671" ht="15" customHeight="1">
      <c r="A671" t="inlineStr">
        <is>
          <t>A 10788-2025</t>
        </is>
      </c>
      <c r="B671" s="1" t="n">
        <v>45722.48982638889</v>
      </c>
      <c r="C671" s="1" t="n">
        <v>46043</v>
      </c>
      <c r="D671" t="inlineStr">
        <is>
          <t>JÄMTLANDS LÄN</t>
        </is>
      </c>
      <c r="E671" t="inlineStr">
        <is>
          <t>RAGUNDA</t>
        </is>
      </c>
      <c r="G671" t="n">
        <v>3.5</v>
      </c>
      <c r="H671" t="n">
        <v>0</v>
      </c>
      <c r="I671" t="n">
        <v>0</v>
      </c>
      <c r="J671" t="n">
        <v>0</v>
      </c>
      <c r="K671" t="n">
        <v>0</v>
      </c>
      <c r="L671" t="n">
        <v>0</v>
      </c>
      <c r="M671" t="n">
        <v>0</v>
      </c>
      <c r="N671" t="n">
        <v>0</v>
      </c>
      <c r="O671" t="n">
        <v>0</v>
      </c>
      <c r="P671" t="n">
        <v>0</v>
      </c>
      <c r="Q671" t="n">
        <v>0</v>
      </c>
      <c r="R671" s="2" t="inlineStr"/>
    </row>
    <row r="672" ht="15" customHeight="1">
      <c r="A672" t="inlineStr">
        <is>
          <t>A 26246-2025</t>
        </is>
      </c>
      <c r="B672" s="1" t="n">
        <v>45805.57390046296</v>
      </c>
      <c r="C672" s="1" t="n">
        <v>46043</v>
      </c>
      <c r="D672" t="inlineStr">
        <is>
          <t>JÄMTLANDS LÄN</t>
        </is>
      </c>
      <c r="E672" t="inlineStr">
        <is>
          <t>RAGUNDA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2001-2025</t>
        </is>
      </c>
      <c r="B673" s="1" t="n">
        <v>45672.44898148148</v>
      </c>
      <c r="C673" s="1" t="n">
        <v>46043</v>
      </c>
      <c r="D673" t="inlineStr">
        <is>
          <t>JÄMTLANDS LÄN</t>
        </is>
      </c>
      <c r="E673" t="inlineStr">
        <is>
          <t>RAGUNDA</t>
        </is>
      </c>
      <c r="F673" t="inlineStr">
        <is>
          <t>SCA</t>
        </is>
      </c>
      <c r="G673" t="n">
        <v>16.2</v>
      </c>
      <c r="H673" t="n">
        <v>0</v>
      </c>
      <c r="I673" t="n">
        <v>0</v>
      </c>
      <c r="J673" t="n">
        <v>0</v>
      </c>
      <c r="K673" t="n">
        <v>0</v>
      </c>
      <c r="L673" t="n">
        <v>0</v>
      </c>
      <c r="M673" t="n">
        <v>0</v>
      </c>
      <c r="N673" t="n">
        <v>0</v>
      </c>
      <c r="O673" t="n">
        <v>0</v>
      </c>
      <c r="P673" t="n">
        <v>0</v>
      </c>
      <c r="Q673" t="n">
        <v>0</v>
      </c>
      <c r="R673" s="2" t="inlineStr"/>
    </row>
    <row r="674" ht="15" customHeight="1">
      <c r="A674" t="inlineStr">
        <is>
          <t>A 18375-2022</t>
        </is>
      </c>
      <c r="B674" s="1" t="n">
        <v>44685</v>
      </c>
      <c r="C674" s="1" t="n">
        <v>46043</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55536-2024</t>
        </is>
      </c>
      <c r="B675" s="1" t="n">
        <v>45622</v>
      </c>
      <c r="C675" s="1" t="n">
        <v>46043</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2411-2023</t>
        </is>
      </c>
      <c r="B676" s="1" t="n">
        <v>44942</v>
      </c>
      <c r="C676" s="1" t="n">
        <v>46043</v>
      </c>
      <c r="D676" t="inlineStr">
        <is>
          <t>JÄMTLANDS LÄN</t>
        </is>
      </c>
      <c r="E676" t="inlineStr">
        <is>
          <t>RAGUNDA</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34088-2025</t>
        </is>
      </c>
      <c r="B677" s="1" t="n">
        <v>45845</v>
      </c>
      <c r="C677" s="1" t="n">
        <v>46043</v>
      </c>
      <c r="D677" t="inlineStr">
        <is>
          <t>JÄMTLANDS LÄN</t>
        </is>
      </c>
      <c r="E677" t="inlineStr">
        <is>
          <t>RAGUNDA</t>
        </is>
      </c>
      <c r="G677" t="n">
        <v>1.4</v>
      </c>
      <c r="H677" t="n">
        <v>0</v>
      </c>
      <c r="I677" t="n">
        <v>0</v>
      </c>
      <c r="J677" t="n">
        <v>0</v>
      </c>
      <c r="K677" t="n">
        <v>0</v>
      </c>
      <c r="L677" t="n">
        <v>0</v>
      </c>
      <c r="M677" t="n">
        <v>0</v>
      </c>
      <c r="N677" t="n">
        <v>0</v>
      </c>
      <c r="O677" t="n">
        <v>0</v>
      </c>
      <c r="P677" t="n">
        <v>0</v>
      </c>
      <c r="Q677" t="n">
        <v>0</v>
      </c>
      <c r="R677" s="2" t="inlineStr"/>
    </row>
    <row r="678" ht="15" customHeight="1">
      <c r="A678" t="inlineStr">
        <is>
          <t>A 11834-2023</t>
        </is>
      </c>
      <c r="B678" s="1" t="n">
        <v>44994.94296296296</v>
      </c>
      <c r="C678" s="1" t="n">
        <v>46043</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53264-2024</t>
        </is>
      </c>
      <c r="B679" s="1" t="n">
        <v>45614.34545138889</v>
      </c>
      <c r="C679" s="1" t="n">
        <v>46043</v>
      </c>
      <c r="D679" t="inlineStr">
        <is>
          <t>JÄMTLANDS LÄN</t>
        </is>
      </c>
      <c r="E679" t="inlineStr">
        <is>
          <t>RAGUNDA</t>
        </is>
      </c>
      <c r="G679" t="n">
        <v>1.4</v>
      </c>
      <c r="H679" t="n">
        <v>0</v>
      </c>
      <c r="I679" t="n">
        <v>0</v>
      </c>
      <c r="J679" t="n">
        <v>0</v>
      </c>
      <c r="K679" t="n">
        <v>0</v>
      </c>
      <c r="L679" t="n">
        <v>0</v>
      </c>
      <c r="M679" t="n">
        <v>0</v>
      </c>
      <c r="N679" t="n">
        <v>0</v>
      </c>
      <c r="O679" t="n">
        <v>0</v>
      </c>
      <c r="P679" t="n">
        <v>0</v>
      </c>
      <c r="Q679" t="n">
        <v>0</v>
      </c>
      <c r="R679" s="2" t="inlineStr"/>
    </row>
    <row r="680" ht="15" customHeight="1">
      <c r="A680" t="inlineStr">
        <is>
          <t>A 50431-2024</t>
        </is>
      </c>
      <c r="B680" s="1" t="n">
        <v>45601.40686342592</v>
      </c>
      <c r="C680" s="1" t="n">
        <v>46043</v>
      </c>
      <c r="D680" t="inlineStr">
        <is>
          <t>JÄMTLANDS LÄN</t>
        </is>
      </c>
      <c r="E680" t="inlineStr">
        <is>
          <t>RAGUNDA</t>
        </is>
      </c>
      <c r="F680" t="inlineStr">
        <is>
          <t>SCA</t>
        </is>
      </c>
      <c r="G680" t="n">
        <v>8.5</v>
      </c>
      <c r="H680" t="n">
        <v>0</v>
      </c>
      <c r="I680" t="n">
        <v>0</v>
      </c>
      <c r="J680" t="n">
        <v>0</v>
      </c>
      <c r="K680" t="n">
        <v>0</v>
      </c>
      <c r="L680" t="n">
        <v>0</v>
      </c>
      <c r="M680" t="n">
        <v>0</v>
      </c>
      <c r="N680" t="n">
        <v>0</v>
      </c>
      <c r="O680" t="n">
        <v>0</v>
      </c>
      <c r="P680" t="n">
        <v>0</v>
      </c>
      <c r="Q680" t="n">
        <v>0</v>
      </c>
      <c r="R680" s="2" t="inlineStr"/>
    </row>
    <row r="681" ht="15" customHeight="1">
      <c r="A681" t="inlineStr">
        <is>
          <t>A 49994-2025</t>
        </is>
      </c>
      <c r="B681" s="1" t="n">
        <v>45942.96922453704</v>
      </c>
      <c r="C681" s="1" t="n">
        <v>46043</v>
      </c>
      <c r="D681" t="inlineStr">
        <is>
          <t>JÄMTLANDS LÄN</t>
        </is>
      </c>
      <c r="E681" t="inlineStr">
        <is>
          <t>RAGUNDA</t>
        </is>
      </c>
      <c r="G681" t="n">
        <v>4.5</v>
      </c>
      <c r="H681" t="n">
        <v>0</v>
      </c>
      <c r="I681" t="n">
        <v>0</v>
      </c>
      <c r="J681" t="n">
        <v>0</v>
      </c>
      <c r="K681" t="n">
        <v>0</v>
      </c>
      <c r="L681" t="n">
        <v>0</v>
      </c>
      <c r="M681" t="n">
        <v>0</v>
      </c>
      <c r="N681" t="n">
        <v>0</v>
      </c>
      <c r="O681" t="n">
        <v>0</v>
      </c>
      <c r="P681" t="n">
        <v>0</v>
      </c>
      <c r="Q681" t="n">
        <v>0</v>
      </c>
      <c r="R681" s="2" t="inlineStr"/>
    </row>
    <row r="682" ht="15" customHeight="1">
      <c r="A682" t="inlineStr">
        <is>
          <t>A 49995-2025</t>
        </is>
      </c>
      <c r="B682" s="1" t="n">
        <v>45943.00986111111</v>
      </c>
      <c r="C682" s="1" t="n">
        <v>46043</v>
      </c>
      <c r="D682" t="inlineStr">
        <is>
          <t>JÄMTLANDS LÄN</t>
        </is>
      </c>
      <c r="E682" t="inlineStr">
        <is>
          <t>RAGUNDA</t>
        </is>
      </c>
      <c r="G682" t="n">
        <v>2.5</v>
      </c>
      <c r="H682" t="n">
        <v>0</v>
      </c>
      <c r="I682" t="n">
        <v>0</v>
      </c>
      <c r="J682" t="n">
        <v>0</v>
      </c>
      <c r="K682" t="n">
        <v>0</v>
      </c>
      <c r="L682" t="n">
        <v>0</v>
      </c>
      <c r="M682" t="n">
        <v>0</v>
      </c>
      <c r="N682" t="n">
        <v>0</v>
      </c>
      <c r="O682" t="n">
        <v>0</v>
      </c>
      <c r="P682" t="n">
        <v>0</v>
      </c>
      <c r="Q682" t="n">
        <v>0</v>
      </c>
      <c r="R682" s="2" t="inlineStr"/>
    </row>
    <row r="683" ht="15" customHeight="1">
      <c r="A683" t="inlineStr">
        <is>
          <t>A 50098-2025</t>
        </is>
      </c>
      <c r="B683" s="1" t="n">
        <v>45943.51086805556</v>
      </c>
      <c r="C683" s="1" t="n">
        <v>46043</v>
      </c>
      <c r="D683" t="inlineStr">
        <is>
          <t>JÄMTLANDS LÄN</t>
        </is>
      </c>
      <c r="E683" t="inlineStr">
        <is>
          <t>RAGUNDA</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16334-2025</t>
        </is>
      </c>
      <c r="B684" s="1" t="n">
        <v>45751.36490740741</v>
      </c>
      <c r="C684" s="1" t="n">
        <v>46043</v>
      </c>
      <c r="D684" t="inlineStr">
        <is>
          <t>JÄMTLANDS LÄN</t>
        </is>
      </c>
      <c r="E684" t="inlineStr">
        <is>
          <t>RAGUNDA</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50126-2025</t>
        </is>
      </c>
      <c r="B685" s="1" t="n">
        <v>45943.55271990741</v>
      </c>
      <c r="C685" s="1" t="n">
        <v>46043</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7284-2024</t>
        </is>
      </c>
      <c r="B686" s="1" t="n">
        <v>45344.92865740741</v>
      </c>
      <c r="C686" s="1" t="n">
        <v>46043</v>
      </c>
      <c r="D686" t="inlineStr">
        <is>
          <t>JÄMTLANDS LÄN</t>
        </is>
      </c>
      <c r="E686" t="inlineStr">
        <is>
          <t>RAGUNDA</t>
        </is>
      </c>
      <c r="G686" t="n">
        <v>2.1</v>
      </c>
      <c r="H686" t="n">
        <v>0</v>
      </c>
      <c r="I686" t="n">
        <v>0</v>
      </c>
      <c r="J686" t="n">
        <v>0</v>
      </c>
      <c r="K686" t="n">
        <v>0</v>
      </c>
      <c r="L686" t="n">
        <v>0</v>
      </c>
      <c r="M686" t="n">
        <v>0</v>
      </c>
      <c r="N686" t="n">
        <v>0</v>
      </c>
      <c r="O686" t="n">
        <v>0</v>
      </c>
      <c r="P686" t="n">
        <v>0</v>
      </c>
      <c r="Q686" t="n">
        <v>0</v>
      </c>
      <c r="R686" s="2" t="inlineStr"/>
    </row>
    <row r="687" ht="15" customHeight="1">
      <c r="A687" t="inlineStr">
        <is>
          <t>A 7285-2024</t>
        </is>
      </c>
      <c r="B687" s="1" t="n">
        <v>45344.92873842592</v>
      </c>
      <c r="C687" s="1" t="n">
        <v>46043</v>
      </c>
      <c r="D687" t="inlineStr">
        <is>
          <t>JÄMTLANDS LÄN</t>
        </is>
      </c>
      <c r="E687" t="inlineStr">
        <is>
          <t>RAGUNDA</t>
        </is>
      </c>
      <c r="G687" t="n">
        <v>0.5</v>
      </c>
      <c r="H687" t="n">
        <v>0</v>
      </c>
      <c r="I687" t="n">
        <v>0</v>
      </c>
      <c r="J687" t="n">
        <v>0</v>
      </c>
      <c r="K687" t="n">
        <v>0</v>
      </c>
      <c r="L687" t="n">
        <v>0</v>
      </c>
      <c r="M687" t="n">
        <v>0</v>
      </c>
      <c r="N687" t="n">
        <v>0</v>
      </c>
      <c r="O687" t="n">
        <v>0</v>
      </c>
      <c r="P687" t="n">
        <v>0</v>
      </c>
      <c r="Q687" t="n">
        <v>0</v>
      </c>
      <c r="R687" s="2" t="inlineStr"/>
    </row>
    <row r="688" ht="15" customHeight="1">
      <c r="A688" t="inlineStr">
        <is>
          <t>A 2242-2024</t>
        </is>
      </c>
      <c r="B688" s="1" t="n">
        <v>45309</v>
      </c>
      <c r="C688" s="1" t="n">
        <v>46043</v>
      </c>
      <c r="D688" t="inlineStr">
        <is>
          <t>JÄMTLANDS LÄN</t>
        </is>
      </c>
      <c r="E688" t="inlineStr">
        <is>
          <t>RAGUNDA</t>
        </is>
      </c>
      <c r="G688" t="n">
        <v>0.9</v>
      </c>
      <c r="H688" t="n">
        <v>0</v>
      </c>
      <c r="I688" t="n">
        <v>0</v>
      </c>
      <c r="J688" t="n">
        <v>0</v>
      </c>
      <c r="K688" t="n">
        <v>0</v>
      </c>
      <c r="L688" t="n">
        <v>0</v>
      </c>
      <c r="M688" t="n">
        <v>0</v>
      </c>
      <c r="N688" t="n">
        <v>0</v>
      </c>
      <c r="O688" t="n">
        <v>0</v>
      </c>
      <c r="P688" t="n">
        <v>0</v>
      </c>
      <c r="Q688" t="n">
        <v>0</v>
      </c>
      <c r="R688" s="2" t="inlineStr"/>
    </row>
    <row r="689" ht="15" customHeight="1">
      <c r="A689" t="inlineStr">
        <is>
          <t>A 2248-2024</t>
        </is>
      </c>
      <c r="B689" s="1" t="n">
        <v>45309</v>
      </c>
      <c r="C689" s="1" t="n">
        <v>46043</v>
      </c>
      <c r="D689" t="inlineStr">
        <is>
          <t>JÄMTLANDS LÄN</t>
        </is>
      </c>
      <c r="E689" t="inlineStr">
        <is>
          <t>RAGUNDA</t>
        </is>
      </c>
      <c r="G689" t="n">
        <v>4.2</v>
      </c>
      <c r="H689" t="n">
        <v>0</v>
      </c>
      <c r="I689" t="n">
        <v>0</v>
      </c>
      <c r="J689" t="n">
        <v>0</v>
      </c>
      <c r="K689" t="n">
        <v>0</v>
      </c>
      <c r="L689" t="n">
        <v>0</v>
      </c>
      <c r="M689" t="n">
        <v>0</v>
      </c>
      <c r="N689" t="n">
        <v>0</v>
      </c>
      <c r="O689" t="n">
        <v>0</v>
      </c>
      <c r="P689" t="n">
        <v>0</v>
      </c>
      <c r="Q689" t="n">
        <v>0</v>
      </c>
      <c r="R689" s="2" t="inlineStr"/>
    </row>
    <row r="690" ht="15" customHeight="1">
      <c r="A690" t="inlineStr">
        <is>
          <t>A 5958-2021</t>
        </is>
      </c>
      <c r="B690" s="1" t="n">
        <v>44231</v>
      </c>
      <c r="C690" s="1" t="n">
        <v>46043</v>
      </c>
      <c r="D690" t="inlineStr">
        <is>
          <t>JÄMTLANDS LÄN</t>
        </is>
      </c>
      <c r="E690" t="inlineStr">
        <is>
          <t>RAGUNDA</t>
        </is>
      </c>
      <c r="G690" t="n">
        <v>3.1</v>
      </c>
      <c r="H690" t="n">
        <v>0</v>
      </c>
      <c r="I690" t="n">
        <v>0</v>
      </c>
      <c r="J690" t="n">
        <v>0</v>
      </c>
      <c r="K690" t="n">
        <v>0</v>
      </c>
      <c r="L690" t="n">
        <v>0</v>
      </c>
      <c r="M690" t="n">
        <v>0</v>
      </c>
      <c r="N690" t="n">
        <v>0</v>
      </c>
      <c r="O690" t="n">
        <v>0</v>
      </c>
      <c r="P690" t="n">
        <v>0</v>
      </c>
      <c r="Q690" t="n">
        <v>0</v>
      </c>
      <c r="R690" s="2" t="inlineStr"/>
    </row>
    <row r="691" ht="15" customHeight="1">
      <c r="A691" t="inlineStr">
        <is>
          <t>A 24197-2024</t>
        </is>
      </c>
      <c r="B691" s="1" t="n">
        <v>45456.96601851852</v>
      </c>
      <c r="C691" s="1" t="n">
        <v>46043</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4916-2025</t>
        </is>
      </c>
      <c r="B692" s="1" t="n">
        <v>45688.68196759259</v>
      </c>
      <c r="C692" s="1" t="n">
        <v>46043</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73278-2021</t>
        </is>
      </c>
      <c r="B693" s="1" t="n">
        <v>44550.92168981482</v>
      </c>
      <c r="C693" s="1" t="n">
        <v>46043</v>
      </c>
      <c r="D693" t="inlineStr">
        <is>
          <t>JÄMTLANDS LÄN</t>
        </is>
      </c>
      <c r="E693" t="inlineStr">
        <is>
          <t>RAGUNDA</t>
        </is>
      </c>
      <c r="G693" t="n">
        <v>4.4</v>
      </c>
      <c r="H693" t="n">
        <v>0</v>
      </c>
      <c r="I693" t="n">
        <v>0</v>
      </c>
      <c r="J693" t="n">
        <v>0</v>
      </c>
      <c r="K693" t="n">
        <v>0</v>
      </c>
      <c r="L693" t="n">
        <v>0</v>
      </c>
      <c r="M693" t="n">
        <v>0</v>
      </c>
      <c r="N693" t="n">
        <v>0</v>
      </c>
      <c r="O693" t="n">
        <v>0</v>
      </c>
      <c r="P693" t="n">
        <v>0</v>
      </c>
      <c r="Q693" t="n">
        <v>0</v>
      </c>
      <c r="R693" s="2" t="inlineStr"/>
    </row>
    <row r="694" ht="15" customHeight="1">
      <c r="A694" t="inlineStr">
        <is>
          <t>A 50081-2025</t>
        </is>
      </c>
      <c r="B694" s="1" t="n">
        <v>45943.46954861111</v>
      </c>
      <c r="C694" s="1" t="n">
        <v>46043</v>
      </c>
      <c r="D694" t="inlineStr">
        <is>
          <t>JÄMTLANDS LÄN</t>
        </is>
      </c>
      <c r="E694" t="inlineStr">
        <is>
          <t>RAGUNDA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50260-2025</t>
        </is>
      </c>
      <c r="B695" s="1" t="n">
        <v>45944.34515046296</v>
      </c>
      <c r="C695" s="1" t="n">
        <v>46043</v>
      </c>
      <c r="D695" t="inlineStr">
        <is>
          <t>JÄMTLANDS LÄN</t>
        </is>
      </c>
      <c r="E695" t="inlineStr">
        <is>
          <t>RAGUNDA</t>
        </is>
      </c>
      <c r="F695" t="inlineStr">
        <is>
          <t>SCA</t>
        </is>
      </c>
      <c r="G695" t="n">
        <v>7.9</v>
      </c>
      <c r="H695" t="n">
        <v>0</v>
      </c>
      <c r="I695" t="n">
        <v>0</v>
      </c>
      <c r="J695" t="n">
        <v>0</v>
      </c>
      <c r="K695" t="n">
        <v>0</v>
      </c>
      <c r="L695" t="n">
        <v>0</v>
      </c>
      <c r="M695" t="n">
        <v>0</v>
      </c>
      <c r="N695" t="n">
        <v>0</v>
      </c>
      <c r="O695" t="n">
        <v>0</v>
      </c>
      <c r="P695" t="n">
        <v>0</v>
      </c>
      <c r="Q695" t="n">
        <v>0</v>
      </c>
      <c r="R695" s="2" t="inlineStr"/>
    </row>
    <row r="696" ht="15" customHeight="1">
      <c r="A696" t="inlineStr">
        <is>
          <t>A 50215-2025</t>
        </is>
      </c>
      <c r="B696" s="1" t="n">
        <v>45943.67842592593</v>
      </c>
      <c r="C696" s="1" t="n">
        <v>46043</v>
      </c>
      <c r="D696" t="inlineStr">
        <is>
          <t>JÄMTLANDS LÄN</t>
        </is>
      </c>
      <c r="E696" t="inlineStr">
        <is>
          <t>RAGUNDA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49991-2025</t>
        </is>
      </c>
      <c r="B697" s="1" t="n">
        <v>45942.91568287037</v>
      </c>
      <c r="C697" s="1" t="n">
        <v>46043</v>
      </c>
      <c r="D697" t="inlineStr">
        <is>
          <t>JÄMTLANDS LÄN</t>
        </is>
      </c>
      <c r="E697" t="inlineStr">
        <is>
          <t>RAGUNDA</t>
        </is>
      </c>
      <c r="G697" t="n">
        <v>9</v>
      </c>
      <c r="H697" t="n">
        <v>0</v>
      </c>
      <c r="I697" t="n">
        <v>0</v>
      </c>
      <c r="J697" t="n">
        <v>0</v>
      </c>
      <c r="K697" t="n">
        <v>0</v>
      </c>
      <c r="L697" t="n">
        <v>0</v>
      </c>
      <c r="M697" t="n">
        <v>0</v>
      </c>
      <c r="N697" t="n">
        <v>0</v>
      </c>
      <c r="O697" t="n">
        <v>0</v>
      </c>
      <c r="P697" t="n">
        <v>0</v>
      </c>
      <c r="Q697" t="n">
        <v>0</v>
      </c>
      <c r="R697" s="2" t="inlineStr"/>
    </row>
    <row r="698" ht="15" customHeight="1">
      <c r="A698" t="inlineStr">
        <is>
          <t>A 49993-2025</t>
        </is>
      </c>
      <c r="B698" s="1" t="n">
        <v>45942.94371527778</v>
      </c>
      <c r="C698" s="1" t="n">
        <v>46043</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50125-2025</t>
        </is>
      </c>
      <c r="B699" s="1" t="n">
        <v>45943.55262731481</v>
      </c>
      <c r="C699" s="1" t="n">
        <v>46043</v>
      </c>
      <c r="D699" t="inlineStr">
        <is>
          <t>JÄMTLANDS LÄN</t>
        </is>
      </c>
      <c r="E699" t="inlineStr">
        <is>
          <t>RAGUNDA</t>
        </is>
      </c>
      <c r="F699" t="inlineStr">
        <is>
          <t>Sveaskog</t>
        </is>
      </c>
      <c r="G699" t="n">
        <v>23.2</v>
      </c>
      <c r="H699" t="n">
        <v>0</v>
      </c>
      <c r="I699" t="n">
        <v>0</v>
      </c>
      <c r="J699" t="n">
        <v>0</v>
      </c>
      <c r="K699" t="n">
        <v>0</v>
      </c>
      <c r="L699" t="n">
        <v>0</v>
      </c>
      <c r="M699" t="n">
        <v>0</v>
      </c>
      <c r="N699" t="n">
        <v>0</v>
      </c>
      <c r="O699" t="n">
        <v>0</v>
      </c>
      <c r="P699" t="n">
        <v>0</v>
      </c>
      <c r="Q699" t="n">
        <v>0</v>
      </c>
      <c r="R699" s="2" t="inlineStr"/>
    </row>
    <row r="700" ht="15" customHeight="1">
      <c r="A700" t="inlineStr">
        <is>
          <t>A 23305-2023</t>
        </is>
      </c>
      <c r="B700" s="1" t="n">
        <v>45075.94506944445</v>
      </c>
      <c r="C700" s="1" t="n">
        <v>46043</v>
      </c>
      <c r="D700" t="inlineStr">
        <is>
          <t>JÄMTLANDS LÄN</t>
        </is>
      </c>
      <c r="E700" t="inlineStr">
        <is>
          <t>RAGUNDA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50080-2025</t>
        </is>
      </c>
      <c r="B701" s="1" t="n">
        <v>45943.469375</v>
      </c>
      <c r="C701" s="1" t="n">
        <v>46043</v>
      </c>
      <c r="D701" t="inlineStr">
        <is>
          <t>JÄMTLANDS LÄN</t>
        </is>
      </c>
      <c r="E701" t="inlineStr">
        <is>
          <t>RAGUNDA</t>
        </is>
      </c>
      <c r="F701" t="inlineStr">
        <is>
          <t>Naturvårdsverket</t>
        </is>
      </c>
      <c r="G701" t="n">
        <v>6.1</v>
      </c>
      <c r="H701" t="n">
        <v>0</v>
      </c>
      <c r="I701" t="n">
        <v>0</v>
      </c>
      <c r="J701" t="n">
        <v>0</v>
      </c>
      <c r="K701" t="n">
        <v>0</v>
      </c>
      <c r="L701" t="n">
        <v>0</v>
      </c>
      <c r="M701" t="n">
        <v>0</v>
      </c>
      <c r="N701" t="n">
        <v>0</v>
      </c>
      <c r="O701" t="n">
        <v>0</v>
      </c>
      <c r="P701" t="n">
        <v>0</v>
      </c>
      <c r="Q701" t="n">
        <v>0</v>
      </c>
      <c r="R701" s="2" t="inlineStr"/>
    </row>
    <row r="702" ht="15" customHeight="1">
      <c r="A702" t="inlineStr">
        <is>
          <t>A 50055-2025</t>
        </is>
      </c>
      <c r="B702" s="1" t="n">
        <v>45943.43287037037</v>
      </c>
      <c r="C702" s="1" t="n">
        <v>46043</v>
      </c>
      <c r="D702" t="inlineStr">
        <is>
          <t>JÄMTLANDS LÄN</t>
        </is>
      </c>
      <c r="E702" t="inlineStr">
        <is>
          <t>RAGUNDA</t>
        </is>
      </c>
      <c r="G702" t="n">
        <v>17.6</v>
      </c>
      <c r="H702" t="n">
        <v>0</v>
      </c>
      <c r="I702" t="n">
        <v>0</v>
      </c>
      <c r="J702" t="n">
        <v>0</v>
      </c>
      <c r="K702" t="n">
        <v>0</v>
      </c>
      <c r="L702" t="n">
        <v>0</v>
      </c>
      <c r="M702" t="n">
        <v>0</v>
      </c>
      <c r="N702" t="n">
        <v>0</v>
      </c>
      <c r="O702" t="n">
        <v>0</v>
      </c>
      <c r="P702" t="n">
        <v>0</v>
      </c>
      <c r="Q702" t="n">
        <v>0</v>
      </c>
      <c r="R702" s="2" t="inlineStr"/>
    </row>
    <row r="703" ht="15" customHeight="1">
      <c r="A703" t="inlineStr">
        <is>
          <t>A 33650-2025</t>
        </is>
      </c>
      <c r="B703" s="1" t="n">
        <v>45841</v>
      </c>
      <c r="C703" s="1" t="n">
        <v>46043</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4615-2023</t>
        </is>
      </c>
      <c r="B704" s="1" t="n">
        <v>44956.93924768519</v>
      </c>
      <c r="C704" s="1" t="n">
        <v>46043</v>
      </c>
      <c r="D704" t="inlineStr">
        <is>
          <t>JÄMTLANDS LÄN</t>
        </is>
      </c>
      <c r="E704" t="inlineStr">
        <is>
          <t>RAGUNDA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2673-2024</t>
        </is>
      </c>
      <c r="B705" s="1" t="n">
        <v>45314</v>
      </c>
      <c r="C705" s="1" t="n">
        <v>46043</v>
      </c>
      <c r="D705" t="inlineStr">
        <is>
          <t>JÄMTLANDS LÄN</t>
        </is>
      </c>
      <c r="E705" t="inlineStr">
        <is>
          <t>RAGUNDA</t>
        </is>
      </c>
      <c r="G705" t="n">
        <v>0.9</v>
      </c>
      <c r="H705" t="n">
        <v>0</v>
      </c>
      <c r="I705" t="n">
        <v>0</v>
      </c>
      <c r="J705" t="n">
        <v>0</v>
      </c>
      <c r="K705" t="n">
        <v>0</v>
      </c>
      <c r="L705" t="n">
        <v>0</v>
      </c>
      <c r="M705" t="n">
        <v>0</v>
      </c>
      <c r="N705" t="n">
        <v>0</v>
      </c>
      <c r="O705" t="n">
        <v>0</v>
      </c>
      <c r="P705" t="n">
        <v>0</v>
      </c>
      <c r="Q705" t="n">
        <v>0</v>
      </c>
      <c r="R705" s="2" t="inlineStr"/>
    </row>
    <row r="706" ht="15" customHeight="1">
      <c r="A706" t="inlineStr">
        <is>
          <t>A 57112-2024</t>
        </is>
      </c>
      <c r="B706" s="1" t="n">
        <v>45629.36486111111</v>
      </c>
      <c r="C706" s="1" t="n">
        <v>46043</v>
      </c>
      <c r="D706" t="inlineStr">
        <is>
          <t>JÄMTLANDS LÄN</t>
        </is>
      </c>
      <c r="E706" t="inlineStr">
        <is>
          <t>RAGUNDA</t>
        </is>
      </c>
      <c r="G706" t="n">
        <v>0.7</v>
      </c>
      <c r="H706" t="n">
        <v>0</v>
      </c>
      <c r="I706" t="n">
        <v>0</v>
      </c>
      <c r="J706" t="n">
        <v>0</v>
      </c>
      <c r="K706" t="n">
        <v>0</v>
      </c>
      <c r="L706" t="n">
        <v>0</v>
      </c>
      <c r="M706" t="n">
        <v>0</v>
      </c>
      <c r="N706" t="n">
        <v>0</v>
      </c>
      <c r="O706" t="n">
        <v>0</v>
      </c>
      <c r="P706" t="n">
        <v>0</v>
      </c>
      <c r="Q706" t="n">
        <v>0</v>
      </c>
      <c r="R706" s="2" t="inlineStr"/>
    </row>
    <row r="707" ht="15" customHeight="1">
      <c r="A707" t="inlineStr">
        <is>
          <t>A 36375-2022</t>
        </is>
      </c>
      <c r="B707" s="1" t="n">
        <v>44803.94351851852</v>
      </c>
      <c r="C707" s="1" t="n">
        <v>46043</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50504-2025</t>
        </is>
      </c>
      <c r="B708" s="1" t="n">
        <v>45945.4284837963</v>
      </c>
      <c r="C708" s="1" t="n">
        <v>46043</v>
      </c>
      <c r="D708" t="inlineStr">
        <is>
          <t>JÄMTLANDS LÄN</t>
        </is>
      </c>
      <c r="E708" t="inlineStr">
        <is>
          <t>RAGUNDA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50473-2025</t>
        </is>
      </c>
      <c r="B709" s="1" t="n">
        <v>45945.36520833334</v>
      </c>
      <c r="C709" s="1" t="n">
        <v>46043</v>
      </c>
      <c r="D709" t="inlineStr">
        <is>
          <t>JÄMTLANDS LÄN</t>
        </is>
      </c>
      <c r="E709" t="inlineStr">
        <is>
          <t>RAGUNDA</t>
        </is>
      </c>
      <c r="F709" t="inlineStr">
        <is>
          <t>SCA</t>
        </is>
      </c>
      <c r="G709" t="n">
        <v>11.2</v>
      </c>
      <c r="H709" t="n">
        <v>0</v>
      </c>
      <c r="I709" t="n">
        <v>0</v>
      </c>
      <c r="J709" t="n">
        <v>0</v>
      </c>
      <c r="K709" t="n">
        <v>0</v>
      </c>
      <c r="L709" t="n">
        <v>0</v>
      </c>
      <c r="M709" t="n">
        <v>0</v>
      </c>
      <c r="N709" t="n">
        <v>0</v>
      </c>
      <c r="O709" t="n">
        <v>0</v>
      </c>
      <c r="P709" t="n">
        <v>0</v>
      </c>
      <c r="Q709" t="n">
        <v>0</v>
      </c>
      <c r="R709" s="2" t="inlineStr"/>
    </row>
    <row r="710" ht="15" customHeight="1">
      <c r="A710" t="inlineStr">
        <is>
          <t>A 17667-2025</t>
        </is>
      </c>
      <c r="B710" s="1" t="n">
        <v>45758.36487268518</v>
      </c>
      <c r="C710" s="1" t="n">
        <v>46043</v>
      </c>
      <c r="D710" t="inlineStr">
        <is>
          <t>JÄMTLANDS LÄN</t>
        </is>
      </c>
      <c r="E710" t="inlineStr">
        <is>
          <t>RAGUNDA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5148-2023</t>
        </is>
      </c>
      <c r="B711" s="1" t="n">
        <v>44958</v>
      </c>
      <c r="C711" s="1" t="n">
        <v>46043</v>
      </c>
      <c r="D711" t="inlineStr">
        <is>
          <t>JÄMTLANDS LÄN</t>
        </is>
      </c>
      <c r="E711" t="inlineStr">
        <is>
          <t>RAGUNDA</t>
        </is>
      </c>
      <c r="G711" t="n">
        <v>2.9</v>
      </c>
      <c r="H711" t="n">
        <v>0</v>
      </c>
      <c r="I711" t="n">
        <v>0</v>
      </c>
      <c r="J711" t="n">
        <v>0</v>
      </c>
      <c r="K711" t="n">
        <v>0</v>
      </c>
      <c r="L711" t="n">
        <v>0</v>
      </c>
      <c r="M711" t="n">
        <v>0</v>
      </c>
      <c r="N711" t="n">
        <v>0</v>
      </c>
      <c r="O711" t="n">
        <v>0</v>
      </c>
      <c r="P711" t="n">
        <v>0</v>
      </c>
      <c r="Q711" t="n">
        <v>0</v>
      </c>
      <c r="R711" s="2" t="inlineStr"/>
    </row>
    <row r="712" ht="15" customHeight="1">
      <c r="A712" t="inlineStr">
        <is>
          <t>A 51049-2024</t>
        </is>
      </c>
      <c r="B712" s="1" t="n">
        <v>45603.44644675926</v>
      </c>
      <c r="C712" s="1" t="n">
        <v>46043</v>
      </c>
      <c r="D712" t="inlineStr">
        <is>
          <t>JÄMTLANDS LÄN</t>
        </is>
      </c>
      <c r="E712" t="inlineStr">
        <is>
          <t>RAGUNDA</t>
        </is>
      </c>
      <c r="F712" t="inlineStr">
        <is>
          <t>SCA</t>
        </is>
      </c>
      <c r="G712" t="n">
        <v>6.9</v>
      </c>
      <c r="H712" t="n">
        <v>0</v>
      </c>
      <c r="I712" t="n">
        <v>0</v>
      </c>
      <c r="J712" t="n">
        <v>0</v>
      </c>
      <c r="K712" t="n">
        <v>0</v>
      </c>
      <c r="L712" t="n">
        <v>0</v>
      </c>
      <c r="M712" t="n">
        <v>0</v>
      </c>
      <c r="N712" t="n">
        <v>0</v>
      </c>
      <c r="O712" t="n">
        <v>0</v>
      </c>
      <c r="P712" t="n">
        <v>0</v>
      </c>
      <c r="Q712" t="n">
        <v>0</v>
      </c>
      <c r="R712" s="2" t="inlineStr"/>
    </row>
    <row r="713" ht="15" customHeight="1">
      <c r="A713" t="inlineStr">
        <is>
          <t>A 50503-2025</t>
        </is>
      </c>
      <c r="B713" s="1" t="n">
        <v>45945.42746527777</v>
      </c>
      <c r="C713" s="1" t="n">
        <v>46043</v>
      </c>
      <c r="D713" t="inlineStr">
        <is>
          <t>JÄMTLANDS LÄN</t>
        </is>
      </c>
      <c r="E713" t="inlineStr">
        <is>
          <t>RAGUNDA</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55489-2024</t>
        </is>
      </c>
      <c r="B714" s="1" t="n">
        <v>45622.44774305556</v>
      </c>
      <c r="C714" s="1" t="n">
        <v>46043</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51396-2024</t>
        </is>
      </c>
      <c r="B715" s="1" t="n">
        <v>45604.4190625</v>
      </c>
      <c r="C715" s="1" t="n">
        <v>46043</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14074-2023</t>
        </is>
      </c>
      <c r="B716" s="1" t="n">
        <v>45009.089375</v>
      </c>
      <c r="C716" s="1" t="n">
        <v>46043</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26640-2025</t>
        </is>
      </c>
      <c r="B717" s="1" t="n">
        <v>45810.36495370371</v>
      </c>
      <c r="C717" s="1" t="n">
        <v>46043</v>
      </c>
      <c r="D717" t="inlineStr">
        <is>
          <t>JÄMTLANDS LÄN</t>
        </is>
      </c>
      <c r="E717" t="inlineStr">
        <is>
          <t>RAGUNDA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50719-2025</t>
        </is>
      </c>
      <c r="B718" s="1" t="n">
        <v>45946.34642361111</v>
      </c>
      <c r="C718" s="1" t="n">
        <v>46043</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53762-2023</t>
        </is>
      </c>
      <c r="B719" s="1" t="n">
        <v>45230.96376157407</v>
      </c>
      <c r="C719" s="1" t="n">
        <v>46043</v>
      </c>
      <c r="D719" t="inlineStr">
        <is>
          <t>JÄMTLANDS LÄN</t>
        </is>
      </c>
      <c r="E719" t="inlineStr">
        <is>
          <t>RAGUNDA</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50711-2025</t>
        </is>
      </c>
      <c r="B720" s="1" t="n">
        <v>45946.34431712963</v>
      </c>
      <c r="C720" s="1" t="n">
        <v>46043</v>
      </c>
      <c r="D720" t="inlineStr">
        <is>
          <t>JÄMTLANDS LÄN</t>
        </is>
      </c>
      <c r="E720" t="inlineStr">
        <is>
          <t>RAGUNDA</t>
        </is>
      </c>
      <c r="F720" t="inlineStr">
        <is>
          <t>SCA</t>
        </is>
      </c>
      <c r="G720" t="n">
        <v>8</v>
      </c>
      <c r="H720" t="n">
        <v>0</v>
      </c>
      <c r="I720" t="n">
        <v>0</v>
      </c>
      <c r="J720" t="n">
        <v>0</v>
      </c>
      <c r="K720" t="n">
        <v>0</v>
      </c>
      <c r="L720" t="n">
        <v>0</v>
      </c>
      <c r="M720" t="n">
        <v>0</v>
      </c>
      <c r="N720" t="n">
        <v>0</v>
      </c>
      <c r="O720" t="n">
        <v>0</v>
      </c>
      <c r="P720" t="n">
        <v>0</v>
      </c>
      <c r="Q720" t="n">
        <v>0</v>
      </c>
      <c r="R720" s="2" t="inlineStr"/>
    </row>
    <row r="721" ht="15" customHeight="1">
      <c r="A721" t="inlineStr">
        <is>
          <t>A 50716-2025</t>
        </is>
      </c>
      <c r="B721" s="1" t="n">
        <v>45946.34572916666</v>
      </c>
      <c r="C721" s="1" t="n">
        <v>46043</v>
      </c>
      <c r="D721" t="inlineStr">
        <is>
          <t>JÄMTLANDS LÄN</t>
        </is>
      </c>
      <c r="E721" t="inlineStr">
        <is>
          <t>RAGUNDA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51395-2025</t>
        </is>
      </c>
      <c r="B722" s="1" t="n">
        <v>45950.46989583333</v>
      </c>
      <c r="C722" s="1" t="n">
        <v>46043</v>
      </c>
      <c r="D722" t="inlineStr">
        <is>
          <t>JÄMTLANDS LÄN</t>
        </is>
      </c>
      <c r="E722" t="inlineStr">
        <is>
          <t>RAGUNDA</t>
        </is>
      </c>
      <c r="F722" t="inlineStr">
        <is>
          <t>SCA</t>
        </is>
      </c>
      <c r="G722" t="n">
        <v>30.7</v>
      </c>
      <c r="H722" t="n">
        <v>0</v>
      </c>
      <c r="I722" t="n">
        <v>0</v>
      </c>
      <c r="J722" t="n">
        <v>0</v>
      </c>
      <c r="K722" t="n">
        <v>0</v>
      </c>
      <c r="L722" t="n">
        <v>0</v>
      </c>
      <c r="M722" t="n">
        <v>0</v>
      </c>
      <c r="N722" t="n">
        <v>0</v>
      </c>
      <c r="O722" t="n">
        <v>0</v>
      </c>
      <c r="P722" t="n">
        <v>0</v>
      </c>
      <c r="Q722" t="n">
        <v>0</v>
      </c>
      <c r="R722" s="2" t="inlineStr"/>
    </row>
    <row r="723" ht="15" customHeight="1">
      <c r="A723" t="inlineStr">
        <is>
          <t>A 54764-2024</t>
        </is>
      </c>
      <c r="B723" s="1" t="n">
        <v>45618.46921296296</v>
      </c>
      <c r="C723" s="1" t="n">
        <v>46043</v>
      </c>
      <c r="D723" t="inlineStr">
        <is>
          <t>JÄMTLANDS LÄN</t>
        </is>
      </c>
      <c r="E723" t="inlineStr">
        <is>
          <t>RAGUNDA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50985-2025</t>
        </is>
      </c>
      <c r="B724" s="1" t="n">
        <v>45947.34506944445</v>
      </c>
      <c r="C724" s="1" t="n">
        <v>46043</v>
      </c>
      <c r="D724" t="inlineStr">
        <is>
          <t>JÄMTLANDS LÄN</t>
        </is>
      </c>
      <c r="E724" t="inlineStr">
        <is>
          <t>RAGUNDA</t>
        </is>
      </c>
      <c r="F724" t="inlineStr">
        <is>
          <t>SCA</t>
        </is>
      </c>
      <c r="G724" t="n">
        <v>8</v>
      </c>
      <c r="H724" t="n">
        <v>0</v>
      </c>
      <c r="I724" t="n">
        <v>0</v>
      </c>
      <c r="J724" t="n">
        <v>0</v>
      </c>
      <c r="K724" t="n">
        <v>0</v>
      </c>
      <c r="L724" t="n">
        <v>0</v>
      </c>
      <c r="M724" t="n">
        <v>0</v>
      </c>
      <c r="N724" t="n">
        <v>0</v>
      </c>
      <c r="O724" t="n">
        <v>0</v>
      </c>
      <c r="P724" t="n">
        <v>0</v>
      </c>
      <c r="Q724" t="n">
        <v>0</v>
      </c>
      <c r="R724" s="2" t="inlineStr"/>
    </row>
    <row r="725" ht="15" customHeight="1">
      <c r="A725" t="inlineStr">
        <is>
          <t>A 51034-2025</t>
        </is>
      </c>
      <c r="B725" s="1" t="n">
        <v>45947.40670138889</v>
      </c>
      <c r="C725" s="1" t="n">
        <v>46043</v>
      </c>
      <c r="D725" t="inlineStr">
        <is>
          <t>JÄMTLANDS LÄN</t>
        </is>
      </c>
      <c r="E725" t="inlineStr">
        <is>
          <t>RAGUNDA</t>
        </is>
      </c>
      <c r="F725" t="inlineStr">
        <is>
          <t>SCA</t>
        </is>
      </c>
      <c r="G725" t="n">
        <v>44.1</v>
      </c>
      <c r="H725" t="n">
        <v>0</v>
      </c>
      <c r="I725" t="n">
        <v>0</v>
      </c>
      <c r="J725" t="n">
        <v>0</v>
      </c>
      <c r="K725" t="n">
        <v>0</v>
      </c>
      <c r="L725" t="n">
        <v>0</v>
      </c>
      <c r="M725" t="n">
        <v>0</v>
      </c>
      <c r="N725" t="n">
        <v>0</v>
      </c>
      <c r="O725" t="n">
        <v>0</v>
      </c>
      <c r="P725" t="n">
        <v>0</v>
      </c>
      <c r="Q725" t="n">
        <v>0</v>
      </c>
      <c r="R725" s="2" t="inlineStr"/>
    </row>
    <row r="726" ht="15" customHeight="1">
      <c r="A726" t="inlineStr">
        <is>
          <t>A 19089-2024</t>
        </is>
      </c>
      <c r="B726" s="1" t="n">
        <v>45428.00471064815</v>
      </c>
      <c r="C726" s="1" t="n">
        <v>46043</v>
      </c>
      <c r="D726" t="inlineStr">
        <is>
          <t>JÄMTLANDS LÄN</t>
        </is>
      </c>
      <c r="E726" t="inlineStr">
        <is>
          <t>RAGUNDA</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51019-2025</t>
        </is>
      </c>
      <c r="B727" s="1" t="n">
        <v>45947.38623842593</v>
      </c>
      <c r="C727" s="1" t="n">
        <v>46043</v>
      </c>
      <c r="D727" t="inlineStr">
        <is>
          <t>JÄMTLANDS LÄN</t>
        </is>
      </c>
      <c r="E727" t="inlineStr">
        <is>
          <t>RAGUNDA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51394-2025</t>
        </is>
      </c>
      <c r="B728" s="1" t="n">
        <v>45950.46972222222</v>
      </c>
      <c r="C728" s="1" t="n">
        <v>46043</v>
      </c>
      <c r="D728" t="inlineStr">
        <is>
          <t>JÄMTLANDS LÄN</t>
        </is>
      </c>
      <c r="E728" t="inlineStr">
        <is>
          <t>RAGUNDA</t>
        </is>
      </c>
      <c r="F728" t="inlineStr">
        <is>
          <t>SCA</t>
        </is>
      </c>
      <c r="G728" t="n">
        <v>36.5</v>
      </c>
      <c r="H728" t="n">
        <v>0</v>
      </c>
      <c r="I728" t="n">
        <v>0</v>
      </c>
      <c r="J728" t="n">
        <v>0</v>
      </c>
      <c r="K728" t="n">
        <v>0</v>
      </c>
      <c r="L728" t="n">
        <v>0</v>
      </c>
      <c r="M728" t="n">
        <v>0</v>
      </c>
      <c r="N728" t="n">
        <v>0</v>
      </c>
      <c r="O728" t="n">
        <v>0</v>
      </c>
      <c r="P728" t="n">
        <v>0</v>
      </c>
      <c r="Q728" t="n">
        <v>0</v>
      </c>
      <c r="R728" s="2" t="inlineStr"/>
    </row>
    <row r="729" ht="15" customHeight="1">
      <c r="A729" t="inlineStr">
        <is>
          <t>A 51484-2025</t>
        </is>
      </c>
      <c r="B729" s="1" t="n">
        <v>45950.62196759259</v>
      </c>
      <c r="C729" s="1" t="n">
        <v>46043</v>
      </c>
      <c r="D729" t="inlineStr">
        <is>
          <t>JÄMTLANDS LÄN</t>
        </is>
      </c>
      <c r="E729" t="inlineStr">
        <is>
          <t>RAGUNDA</t>
        </is>
      </c>
      <c r="F729" t="inlineStr">
        <is>
          <t>SCA</t>
        </is>
      </c>
      <c r="G729" t="n">
        <v>23.1</v>
      </c>
      <c r="H729" t="n">
        <v>0</v>
      </c>
      <c r="I729" t="n">
        <v>0</v>
      </c>
      <c r="J729" t="n">
        <v>0</v>
      </c>
      <c r="K729" t="n">
        <v>0</v>
      </c>
      <c r="L729" t="n">
        <v>0</v>
      </c>
      <c r="M729" t="n">
        <v>0</v>
      </c>
      <c r="N729" t="n">
        <v>0</v>
      </c>
      <c r="O729" t="n">
        <v>0</v>
      </c>
      <c r="P729" t="n">
        <v>0</v>
      </c>
      <c r="Q729" t="n">
        <v>0</v>
      </c>
      <c r="R729" s="2" t="inlineStr"/>
    </row>
    <row r="730" ht="15" customHeight="1">
      <c r="A730" t="inlineStr">
        <is>
          <t>A 51491-2025</t>
        </is>
      </c>
      <c r="B730" s="1" t="n">
        <v>45950.63362268519</v>
      </c>
      <c r="C730" s="1" t="n">
        <v>46043</v>
      </c>
      <c r="D730" t="inlineStr">
        <is>
          <t>JÄMTLANDS LÄN</t>
        </is>
      </c>
      <c r="E730" t="inlineStr">
        <is>
          <t>RAGUNDA</t>
        </is>
      </c>
      <c r="G730" t="n">
        <v>1.1</v>
      </c>
      <c r="H730" t="n">
        <v>0</v>
      </c>
      <c r="I730" t="n">
        <v>0</v>
      </c>
      <c r="J730" t="n">
        <v>0</v>
      </c>
      <c r="K730" t="n">
        <v>0</v>
      </c>
      <c r="L730" t="n">
        <v>0</v>
      </c>
      <c r="M730" t="n">
        <v>0</v>
      </c>
      <c r="N730" t="n">
        <v>0</v>
      </c>
      <c r="O730" t="n">
        <v>0</v>
      </c>
      <c r="P730" t="n">
        <v>0</v>
      </c>
      <c r="Q730" t="n">
        <v>0</v>
      </c>
      <c r="R730" s="2" t="inlineStr"/>
    </row>
    <row r="731" ht="15" customHeight="1">
      <c r="A731" t="inlineStr">
        <is>
          <t>A 7279-2024</t>
        </is>
      </c>
      <c r="B731" s="1" t="n">
        <v>45344.92822916667</v>
      </c>
      <c r="C731" s="1" t="n">
        <v>46043</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51702-2025</t>
        </is>
      </c>
      <c r="B732" s="1" t="n">
        <v>45951.55305555555</v>
      </c>
      <c r="C732" s="1" t="n">
        <v>46043</v>
      </c>
      <c r="D732" t="inlineStr">
        <is>
          <t>JÄMTLANDS LÄN</t>
        </is>
      </c>
      <c r="E732" t="inlineStr">
        <is>
          <t>RAGUNDA</t>
        </is>
      </c>
      <c r="G732" t="n">
        <v>11.4</v>
      </c>
      <c r="H732" t="n">
        <v>0</v>
      </c>
      <c r="I732" t="n">
        <v>0</v>
      </c>
      <c r="J732" t="n">
        <v>0</v>
      </c>
      <c r="K732" t="n">
        <v>0</v>
      </c>
      <c r="L732" t="n">
        <v>0</v>
      </c>
      <c r="M732" t="n">
        <v>0</v>
      </c>
      <c r="N732" t="n">
        <v>0</v>
      </c>
      <c r="O732" t="n">
        <v>0</v>
      </c>
      <c r="P732" t="n">
        <v>0</v>
      </c>
      <c r="Q732" t="n">
        <v>0</v>
      </c>
      <c r="R732" s="2" t="inlineStr"/>
    </row>
    <row r="733" ht="15" customHeight="1">
      <c r="A733" t="inlineStr">
        <is>
          <t>A 51678-2025</t>
        </is>
      </c>
      <c r="B733" s="1" t="n">
        <v>45951.51106481482</v>
      </c>
      <c r="C733" s="1" t="n">
        <v>46043</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51906-2025</t>
        </is>
      </c>
      <c r="B734" s="1" t="n">
        <v>45952.4615162037</v>
      </c>
      <c r="C734" s="1" t="n">
        <v>46043</v>
      </c>
      <c r="D734" t="inlineStr">
        <is>
          <t>JÄMTLANDS LÄN</t>
        </is>
      </c>
      <c r="E734" t="inlineStr">
        <is>
          <t>RAGUNDA</t>
        </is>
      </c>
      <c r="G734" t="n">
        <v>4.5</v>
      </c>
      <c r="H734" t="n">
        <v>0</v>
      </c>
      <c r="I734" t="n">
        <v>0</v>
      </c>
      <c r="J734" t="n">
        <v>0</v>
      </c>
      <c r="K734" t="n">
        <v>0</v>
      </c>
      <c r="L734" t="n">
        <v>0</v>
      </c>
      <c r="M734" t="n">
        <v>0</v>
      </c>
      <c r="N734" t="n">
        <v>0</v>
      </c>
      <c r="O734" t="n">
        <v>0</v>
      </c>
      <c r="P734" t="n">
        <v>0</v>
      </c>
      <c r="Q734" t="n">
        <v>0</v>
      </c>
      <c r="R734" s="2" t="inlineStr"/>
    </row>
    <row r="735" ht="15" customHeight="1">
      <c r="A735" t="inlineStr">
        <is>
          <t>A 10706-2023</t>
        </is>
      </c>
      <c r="B735" s="1" t="n">
        <v>44984</v>
      </c>
      <c r="C735" s="1" t="n">
        <v>46043</v>
      </c>
      <c r="D735" t="inlineStr">
        <is>
          <t>JÄMTLANDS LÄN</t>
        </is>
      </c>
      <c r="E735" t="inlineStr">
        <is>
          <t>RAGUNDA</t>
        </is>
      </c>
      <c r="G735" t="n">
        <v>7.7</v>
      </c>
      <c r="H735" t="n">
        <v>0</v>
      </c>
      <c r="I735" t="n">
        <v>0</v>
      </c>
      <c r="J735" t="n">
        <v>0</v>
      </c>
      <c r="K735" t="n">
        <v>0</v>
      </c>
      <c r="L735" t="n">
        <v>0</v>
      </c>
      <c r="M735" t="n">
        <v>0</v>
      </c>
      <c r="N735" t="n">
        <v>0</v>
      </c>
      <c r="O735" t="n">
        <v>0</v>
      </c>
      <c r="P735" t="n">
        <v>0</v>
      </c>
      <c r="Q735" t="n">
        <v>0</v>
      </c>
      <c r="R735" s="2" t="inlineStr"/>
    </row>
    <row r="736" ht="15" customHeight="1">
      <c r="A736" t="inlineStr">
        <is>
          <t>A 51791-2025</t>
        </is>
      </c>
      <c r="B736" s="1" t="n">
        <v>45951.69833333333</v>
      </c>
      <c r="C736" s="1" t="n">
        <v>46043</v>
      </c>
      <c r="D736" t="inlineStr">
        <is>
          <t>JÄMTLANDS LÄN</t>
        </is>
      </c>
      <c r="E736" t="inlineStr">
        <is>
          <t>RAGUNDA</t>
        </is>
      </c>
      <c r="F736" t="inlineStr">
        <is>
          <t>SCA</t>
        </is>
      </c>
      <c r="G736" t="n">
        <v>43.3</v>
      </c>
      <c r="H736" t="n">
        <v>0</v>
      </c>
      <c r="I736" t="n">
        <v>0</v>
      </c>
      <c r="J736" t="n">
        <v>0</v>
      </c>
      <c r="K736" t="n">
        <v>0</v>
      </c>
      <c r="L736" t="n">
        <v>0</v>
      </c>
      <c r="M736" t="n">
        <v>0</v>
      </c>
      <c r="N736" t="n">
        <v>0</v>
      </c>
      <c r="O736" t="n">
        <v>0</v>
      </c>
      <c r="P736" t="n">
        <v>0</v>
      </c>
      <c r="Q736" t="n">
        <v>0</v>
      </c>
      <c r="R736" s="2" t="inlineStr"/>
    </row>
    <row r="737" ht="15" customHeight="1">
      <c r="A737" t="inlineStr">
        <is>
          <t>A 891-2022</t>
        </is>
      </c>
      <c r="B737" s="1" t="n">
        <v>44571</v>
      </c>
      <c r="C737" s="1" t="n">
        <v>46043</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51592-2025</t>
        </is>
      </c>
      <c r="B738" s="1" t="n">
        <v>45951.36541666667</v>
      </c>
      <c r="C738" s="1" t="n">
        <v>46043</v>
      </c>
      <c r="D738" t="inlineStr">
        <is>
          <t>JÄMTLANDS LÄN</t>
        </is>
      </c>
      <c r="E738" t="inlineStr">
        <is>
          <t>RAGUNDA</t>
        </is>
      </c>
      <c r="G738" t="n">
        <v>1.3</v>
      </c>
      <c r="H738" t="n">
        <v>0</v>
      </c>
      <c r="I738" t="n">
        <v>0</v>
      </c>
      <c r="J738" t="n">
        <v>0</v>
      </c>
      <c r="K738" t="n">
        <v>0</v>
      </c>
      <c r="L738" t="n">
        <v>0</v>
      </c>
      <c r="M738" t="n">
        <v>0</v>
      </c>
      <c r="N738" t="n">
        <v>0</v>
      </c>
      <c r="O738" t="n">
        <v>0</v>
      </c>
      <c r="P738" t="n">
        <v>0</v>
      </c>
      <c r="Q738" t="n">
        <v>0</v>
      </c>
      <c r="R738" s="2" t="inlineStr"/>
    </row>
    <row r="739" ht="15" customHeight="1">
      <c r="A739" t="inlineStr">
        <is>
          <t>A 51593-2025</t>
        </is>
      </c>
      <c r="B739" s="1" t="n">
        <v>45951.36548611111</v>
      </c>
      <c r="C739" s="1" t="n">
        <v>46043</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8416-2023</t>
        </is>
      </c>
      <c r="B740" s="1" t="n">
        <v>44977.44373842593</v>
      </c>
      <c r="C740" s="1" t="n">
        <v>46043</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52093-2025</t>
        </is>
      </c>
      <c r="B741" s="1" t="n">
        <v>45952.67865740741</v>
      </c>
      <c r="C741" s="1" t="n">
        <v>46043</v>
      </c>
      <c r="D741" t="inlineStr">
        <is>
          <t>JÄMTLANDS LÄN</t>
        </is>
      </c>
      <c r="E741" t="inlineStr">
        <is>
          <t>RAGUNDA</t>
        </is>
      </c>
      <c r="F741" t="inlineStr">
        <is>
          <t>SCA</t>
        </is>
      </c>
      <c r="G741" t="n">
        <v>22.7</v>
      </c>
      <c r="H741" t="n">
        <v>0</v>
      </c>
      <c r="I741" t="n">
        <v>0</v>
      </c>
      <c r="J741" t="n">
        <v>0</v>
      </c>
      <c r="K741" t="n">
        <v>0</v>
      </c>
      <c r="L741" t="n">
        <v>0</v>
      </c>
      <c r="M741" t="n">
        <v>0</v>
      </c>
      <c r="N741" t="n">
        <v>0</v>
      </c>
      <c r="O741" t="n">
        <v>0</v>
      </c>
      <c r="P741" t="n">
        <v>0</v>
      </c>
      <c r="Q741" t="n">
        <v>0</v>
      </c>
      <c r="R741" s="2" t="inlineStr"/>
    </row>
    <row r="742" ht="15" customHeight="1">
      <c r="A742" t="inlineStr">
        <is>
          <t>A 40801-2023</t>
        </is>
      </c>
      <c r="B742" s="1" t="n">
        <v>45170</v>
      </c>
      <c r="C742" s="1" t="n">
        <v>46043</v>
      </c>
      <c r="D742" t="inlineStr">
        <is>
          <t>JÄMTLANDS LÄN</t>
        </is>
      </c>
      <c r="E742" t="inlineStr">
        <is>
          <t>RAGUNDA</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52122-2025</t>
        </is>
      </c>
      <c r="B743" s="1" t="n">
        <v>45952.71946759259</v>
      </c>
      <c r="C743" s="1" t="n">
        <v>46043</v>
      </c>
      <c r="D743" t="inlineStr">
        <is>
          <t>JÄMTLANDS LÄN</t>
        </is>
      </c>
      <c r="E743" t="inlineStr">
        <is>
          <t>RAGUNDA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51882-2025</t>
        </is>
      </c>
      <c r="B744" s="1" t="n">
        <v>45952.40685185185</v>
      </c>
      <c r="C744" s="1" t="n">
        <v>46043</v>
      </c>
      <c r="D744" t="inlineStr">
        <is>
          <t>JÄMTLANDS LÄN</t>
        </is>
      </c>
      <c r="E744" t="inlineStr">
        <is>
          <t>RAGUNDA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51903-2025</t>
        </is>
      </c>
      <c r="B745" s="1" t="n">
        <v>45952.44857638889</v>
      </c>
      <c r="C745" s="1" t="n">
        <v>46043</v>
      </c>
      <c r="D745" t="inlineStr">
        <is>
          <t>JÄMTLANDS LÄN</t>
        </is>
      </c>
      <c r="E745" t="inlineStr">
        <is>
          <t>RAGUNDA</t>
        </is>
      </c>
      <c r="F745" t="inlineStr">
        <is>
          <t>SCA</t>
        </is>
      </c>
      <c r="G745" t="n">
        <v>20.8</v>
      </c>
      <c r="H745" t="n">
        <v>0</v>
      </c>
      <c r="I745" t="n">
        <v>0</v>
      </c>
      <c r="J745" t="n">
        <v>0</v>
      </c>
      <c r="K745" t="n">
        <v>0</v>
      </c>
      <c r="L745" t="n">
        <v>0</v>
      </c>
      <c r="M745" t="n">
        <v>0</v>
      </c>
      <c r="N745" t="n">
        <v>0</v>
      </c>
      <c r="O745" t="n">
        <v>0</v>
      </c>
      <c r="P745" t="n">
        <v>0</v>
      </c>
      <c r="Q745" t="n">
        <v>0</v>
      </c>
      <c r="R745" s="2" t="inlineStr"/>
    </row>
    <row r="746" ht="15" customHeight="1">
      <c r="A746" t="inlineStr">
        <is>
          <t>A 51932-2025</t>
        </is>
      </c>
      <c r="B746" s="1" t="n">
        <v>45952.51094907407</v>
      </c>
      <c r="C746" s="1" t="n">
        <v>46043</v>
      </c>
      <c r="D746" t="inlineStr">
        <is>
          <t>JÄMTLANDS LÄN</t>
        </is>
      </c>
      <c r="E746" t="inlineStr">
        <is>
          <t>RAGUNDA</t>
        </is>
      </c>
      <c r="F746" t="inlineStr">
        <is>
          <t>SCA</t>
        </is>
      </c>
      <c r="G746" t="n">
        <v>39.2</v>
      </c>
      <c r="H746" t="n">
        <v>0</v>
      </c>
      <c r="I746" t="n">
        <v>0</v>
      </c>
      <c r="J746" t="n">
        <v>0</v>
      </c>
      <c r="K746" t="n">
        <v>0</v>
      </c>
      <c r="L746" t="n">
        <v>0</v>
      </c>
      <c r="M746" t="n">
        <v>0</v>
      </c>
      <c r="N746" t="n">
        <v>0</v>
      </c>
      <c r="O746" t="n">
        <v>0</v>
      </c>
      <c r="P746" t="n">
        <v>0</v>
      </c>
      <c r="Q746" t="n">
        <v>0</v>
      </c>
      <c r="R746" s="2" t="inlineStr"/>
    </row>
    <row r="747" ht="15" customHeight="1">
      <c r="A747" t="inlineStr">
        <is>
          <t>A 27499-2024</t>
        </is>
      </c>
      <c r="B747" s="1" t="n">
        <v>45474.50608796296</v>
      </c>
      <c r="C747" s="1" t="n">
        <v>46043</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52148-2024</t>
        </is>
      </c>
      <c r="B748" s="1" t="n">
        <v>45608.52354166667</v>
      </c>
      <c r="C748" s="1" t="n">
        <v>46043</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462-2023</t>
        </is>
      </c>
      <c r="B749" s="1" t="n">
        <v>44929</v>
      </c>
      <c r="C749" s="1" t="n">
        <v>46043</v>
      </c>
      <c r="D749" t="inlineStr">
        <is>
          <t>JÄMTLANDS LÄN</t>
        </is>
      </c>
      <c r="E749" t="inlineStr">
        <is>
          <t>RAGUNDA</t>
        </is>
      </c>
      <c r="G749" t="n">
        <v>4.5</v>
      </c>
      <c r="H749" t="n">
        <v>0</v>
      </c>
      <c r="I749" t="n">
        <v>0</v>
      </c>
      <c r="J749" t="n">
        <v>0</v>
      </c>
      <c r="K749" t="n">
        <v>0</v>
      </c>
      <c r="L749" t="n">
        <v>0</v>
      </c>
      <c r="M749" t="n">
        <v>0</v>
      </c>
      <c r="N749" t="n">
        <v>0</v>
      </c>
      <c r="O749" t="n">
        <v>0</v>
      </c>
      <c r="P749" t="n">
        <v>0</v>
      </c>
      <c r="Q749" t="n">
        <v>0</v>
      </c>
      <c r="R749" s="2" t="inlineStr"/>
    </row>
    <row r="750" ht="15" customHeight="1">
      <c r="A750" t="inlineStr">
        <is>
          <t>A 52317-2025</t>
        </is>
      </c>
      <c r="B750" s="1" t="n">
        <v>45953.65675925926</v>
      </c>
      <c r="C750" s="1" t="n">
        <v>46043</v>
      </c>
      <c r="D750" t="inlineStr">
        <is>
          <t>JÄMTLANDS LÄN</t>
        </is>
      </c>
      <c r="E750" t="inlineStr">
        <is>
          <t>RAGUNDA</t>
        </is>
      </c>
      <c r="F750" t="inlineStr">
        <is>
          <t>SCA</t>
        </is>
      </c>
      <c r="G750" t="n">
        <v>27.2</v>
      </c>
      <c r="H750" t="n">
        <v>0</v>
      </c>
      <c r="I750" t="n">
        <v>0</v>
      </c>
      <c r="J750" t="n">
        <v>0</v>
      </c>
      <c r="K750" t="n">
        <v>0</v>
      </c>
      <c r="L750" t="n">
        <v>0</v>
      </c>
      <c r="M750" t="n">
        <v>0</v>
      </c>
      <c r="N750" t="n">
        <v>0</v>
      </c>
      <c r="O750" t="n">
        <v>0</v>
      </c>
      <c r="P750" t="n">
        <v>0</v>
      </c>
      <c r="Q750" t="n">
        <v>0</v>
      </c>
      <c r="R750" s="2" t="inlineStr"/>
    </row>
    <row r="751" ht="15" customHeight="1">
      <c r="A751" t="inlineStr">
        <is>
          <t>A 52330-2025</t>
        </is>
      </c>
      <c r="B751" s="1" t="n">
        <v>45953.67752314815</v>
      </c>
      <c r="C751" s="1" t="n">
        <v>46043</v>
      </c>
      <c r="D751" t="inlineStr">
        <is>
          <t>JÄMTLANDS LÄN</t>
        </is>
      </c>
      <c r="E751" t="inlineStr">
        <is>
          <t>RAGUNDA</t>
        </is>
      </c>
      <c r="F751" t="inlineStr">
        <is>
          <t>SCA</t>
        </is>
      </c>
      <c r="G751" t="n">
        <v>10.1</v>
      </c>
      <c r="H751" t="n">
        <v>0</v>
      </c>
      <c r="I751" t="n">
        <v>0</v>
      </c>
      <c r="J751" t="n">
        <v>0</v>
      </c>
      <c r="K751" t="n">
        <v>0</v>
      </c>
      <c r="L751" t="n">
        <v>0</v>
      </c>
      <c r="M751" t="n">
        <v>0</v>
      </c>
      <c r="N751" t="n">
        <v>0</v>
      </c>
      <c r="O751" t="n">
        <v>0</v>
      </c>
      <c r="P751" t="n">
        <v>0</v>
      </c>
      <c r="Q751" t="n">
        <v>0</v>
      </c>
      <c r="R751" s="2" t="inlineStr"/>
    </row>
    <row r="752" ht="15" customHeight="1">
      <c r="A752" t="inlineStr">
        <is>
          <t>A 26645-2024</t>
        </is>
      </c>
      <c r="B752" s="1" t="n">
        <v>45469.94667824074</v>
      </c>
      <c r="C752" s="1" t="n">
        <v>46043</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52395-2025</t>
        </is>
      </c>
      <c r="B753" s="1" t="n">
        <v>45954.34487268519</v>
      </c>
      <c r="C753" s="1" t="n">
        <v>46043</v>
      </c>
      <c r="D753" t="inlineStr">
        <is>
          <t>JÄMTLANDS LÄN</t>
        </is>
      </c>
      <c r="E753" t="inlineStr">
        <is>
          <t>RAGUNDA</t>
        </is>
      </c>
      <c r="F753" t="inlineStr">
        <is>
          <t>SCA</t>
        </is>
      </c>
      <c r="G753" t="n">
        <v>14.2</v>
      </c>
      <c r="H753" t="n">
        <v>0</v>
      </c>
      <c r="I753" t="n">
        <v>0</v>
      </c>
      <c r="J753" t="n">
        <v>0</v>
      </c>
      <c r="K753" t="n">
        <v>0</v>
      </c>
      <c r="L753" t="n">
        <v>0</v>
      </c>
      <c r="M753" t="n">
        <v>0</v>
      </c>
      <c r="N753" t="n">
        <v>0</v>
      </c>
      <c r="O753" t="n">
        <v>0</v>
      </c>
      <c r="P753" t="n">
        <v>0</v>
      </c>
      <c r="Q753" t="n">
        <v>0</v>
      </c>
      <c r="R753" s="2" t="inlineStr"/>
    </row>
    <row r="754" ht="15" customHeight="1">
      <c r="A754" t="inlineStr">
        <is>
          <t>A 32258-2024</t>
        </is>
      </c>
      <c r="B754" s="1" t="n">
        <v>45511</v>
      </c>
      <c r="C754" s="1" t="n">
        <v>46043</v>
      </c>
      <c r="D754" t="inlineStr">
        <is>
          <t>JÄMTLANDS LÄN</t>
        </is>
      </c>
      <c r="E754" t="inlineStr">
        <is>
          <t>RAGUNDA</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53032-2025</t>
        </is>
      </c>
      <c r="B755" s="1" t="n">
        <v>45958.34462962963</v>
      </c>
      <c r="C755" s="1" t="n">
        <v>46043</v>
      </c>
      <c r="D755" t="inlineStr">
        <is>
          <t>JÄMTLANDS LÄN</t>
        </is>
      </c>
      <c r="E755" t="inlineStr">
        <is>
          <t>RAGUNDA</t>
        </is>
      </c>
      <c r="G755" t="n">
        <v>2.6</v>
      </c>
      <c r="H755" t="n">
        <v>0</v>
      </c>
      <c r="I755" t="n">
        <v>0</v>
      </c>
      <c r="J755" t="n">
        <v>0</v>
      </c>
      <c r="K755" t="n">
        <v>0</v>
      </c>
      <c r="L755" t="n">
        <v>0</v>
      </c>
      <c r="M755" t="n">
        <v>0</v>
      </c>
      <c r="N755" t="n">
        <v>0</v>
      </c>
      <c r="O755" t="n">
        <v>0</v>
      </c>
      <c r="P755" t="n">
        <v>0</v>
      </c>
      <c r="Q755" t="n">
        <v>0</v>
      </c>
      <c r="R755" s="2" t="inlineStr"/>
    </row>
    <row r="756" ht="15" customHeight="1">
      <c r="A756" t="inlineStr">
        <is>
          <t>A 53076-2025</t>
        </is>
      </c>
      <c r="B756" s="1" t="n">
        <v>45958.38604166666</v>
      </c>
      <c r="C756" s="1" t="n">
        <v>46043</v>
      </c>
      <c r="D756" t="inlineStr">
        <is>
          <t>JÄMTLANDS LÄN</t>
        </is>
      </c>
      <c r="E756" t="inlineStr">
        <is>
          <t>RAGUNDA</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52394-2025</t>
        </is>
      </c>
      <c r="B757" s="1" t="n">
        <v>45954.34466435185</v>
      </c>
      <c r="C757" s="1" t="n">
        <v>46043</v>
      </c>
      <c r="D757" t="inlineStr">
        <is>
          <t>JÄMTLANDS LÄN</t>
        </is>
      </c>
      <c r="E757" t="inlineStr">
        <is>
          <t>RAGUNDA</t>
        </is>
      </c>
      <c r="F757" t="inlineStr">
        <is>
          <t>SCA</t>
        </is>
      </c>
      <c r="G757" t="n">
        <v>53.8</v>
      </c>
      <c r="H757" t="n">
        <v>0</v>
      </c>
      <c r="I757" t="n">
        <v>0</v>
      </c>
      <c r="J757" t="n">
        <v>0</v>
      </c>
      <c r="K757" t="n">
        <v>0</v>
      </c>
      <c r="L757" t="n">
        <v>0</v>
      </c>
      <c r="M757" t="n">
        <v>0</v>
      </c>
      <c r="N757" t="n">
        <v>0</v>
      </c>
      <c r="O757" t="n">
        <v>0</v>
      </c>
      <c r="P757" t="n">
        <v>0</v>
      </c>
      <c r="Q757" t="n">
        <v>0</v>
      </c>
      <c r="R757" s="2" t="inlineStr"/>
    </row>
    <row r="758" ht="15" customHeight="1">
      <c r="A758" t="inlineStr">
        <is>
          <t>A 52430-2025</t>
        </is>
      </c>
      <c r="B758" s="1" t="n">
        <v>45954.38592592593</v>
      </c>
      <c r="C758" s="1" t="n">
        <v>46043</v>
      </c>
      <c r="D758" t="inlineStr">
        <is>
          <t>JÄMTLANDS LÄN</t>
        </is>
      </c>
      <c r="E758" t="inlineStr">
        <is>
          <t>RAGUNDA</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15672-2021</t>
        </is>
      </c>
      <c r="B759" s="1" t="n">
        <v>44286</v>
      </c>
      <c r="C759" s="1" t="n">
        <v>46043</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52875-2025</t>
        </is>
      </c>
      <c r="B760" s="1" t="n">
        <v>45957.53211805555</v>
      </c>
      <c r="C760" s="1" t="n">
        <v>46043</v>
      </c>
      <c r="D760" t="inlineStr">
        <is>
          <t>JÄMTLANDS LÄN</t>
        </is>
      </c>
      <c r="E760" t="inlineStr">
        <is>
          <t>RAGUNDA</t>
        </is>
      </c>
      <c r="F760" t="inlineStr">
        <is>
          <t>SCA</t>
        </is>
      </c>
      <c r="G760" t="n">
        <v>34.3</v>
      </c>
      <c r="H760" t="n">
        <v>0</v>
      </c>
      <c r="I760" t="n">
        <v>0</v>
      </c>
      <c r="J760" t="n">
        <v>0</v>
      </c>
      <c r="K760" t="n">
        <v>0</v>
      </c>
      <c r="L760" t="n">
        <v>0</v>
      </c>
      <c r="M760" t="n">
        <v>0</v>
      </c>
      <c r="N760" t="n">
        <v>0</v>
      </c>
      <c r="O760" t="n">
        <v>0</v>
      </c>
      <c r="P760" t="n">
        <v>0</v>
      </c>
      <c r="Q760" t="n">
        <v>0</v>
      </c>
      <c r="R760" s="2" t="inlineStr"/>
    </row>
    <row r="761" ht="15" customHeight="1">
      <c r="A761" t="inlineStr">
        <is>
          <t>A 50650-2023</t>
        </is>
      </c>
      <c r="B761" s="1" t="n">
        <v>45210</v>
      </c>
      <c r="C761" s="1" t="n">
        <v>46043</v>
      </c>
      <c r="D761" t="inlineStr">
        <is>
          <t>JÄMTLANDS LÄN</t>
        </is>
      </c>
      <c r="E761" t="inlineStr">
        <is>
          <t>RAGUNDA</t>
        </is>
      </c>
      <c r="G761" t="n">
        <v>1.3</v>
      </c>
      <c r="H761" t="n">
        <v>0</v>
      </c>
      <c r="I761" t="n">
        <v>0</v>
      </c>
      <c r="J761" t="n">
        <v>0</v>
      </c>
      <c r="K761" t="n">
        <v>0</v>
      </c>
      <c r="L761" t="n">
        <v>0</v>
      </c>
      <c r="M761" t="n">
        <v>0</v>
      </c>
      <c r="N761" t="n">
        <v>0</v>
      </c>
      <c r="O761" t="n">
        <v>0</v>
      </c>
      <c r="P761" t="n">
        <v>0</v>
      </c>
      <c r="Q761" t="n">
        <v>0</v>
      </c>
      <c r="R761" s="2" t="inlineStr"/>
    </row>
    <row r="762" ht="15" customHeight="1">
      <c r="A762" t="inlineStr">
        <is>
          <t>A 53211-2025</t>
        </is>
      </c>
      <c r="B762" s="1" t="n">
        <v>45958.59490740741</v>
      </c>
      <c r="C762" s="1" t="n">
        <v>46043</v>
      </c>
      <c r="D762" t="inlineStr">
        <is>
          <t>JÄMTLANDS LÄN</t>
        </is>
      </c>
      <c r="E762" t="inlineStr">
        <is>
          <t>RAGUNDA</t>
        </is>
      </c>
      <c r="F762" t="inlineStr">
        <is>
          <t>SCA</t>
        </is>
      </c>
      <c r="G762" t="n">
        <v>7.4</v>
      </c>
      <c r="H762" t="n">
        <v>0</v>
      </c>
      <c r="I762" t="n">
        <v>0</v>
      </c>
      <c r="J762" t="n">
        <v>0</v>
      </c>
      <c r="K762" t="n">
        <v>0</v>
      </c>
      <c r="L762" t="n">
        <v>0</v>
      </c>
      <c r="M762" t="n">
        <v>0</v>
      </c>
      <c r="N762" t="n">
        <v>0</v>
      </c>
      <c r="O762" t="n">
        <v>0</v>
      </c>
      <c r="P762" t="n">
        <v>0</v>
      </c>
      <c r="Q762" t="n">
        <v>0</v>
      </c>
      <c r="R762" s="2" t="inlineStr"/>
    </row>
    <row r="763" ht="15" customHeight="1">
      <c r="A763" t="inlineStr">
        <is>
          <t>A 564-2025</t>
        </is>
      </c>
      <c r="B763" s="1" t="n">
        <v>45664.55241898148</v>
      </c>
      <c r="C763" s="1" t="n">
        <v>46043</v>
      </c>
      <c r="D763" t="inlineStr">
        <is>
          <t>JÄMTLANDS LÄN</t>
        </is>
      </c>
      <c r="E763" t="inlineStr">
        <is>
          <t>RAGUNDA</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52972-2025</t>
        </is>
      </c>
      <c r="B764" s="1" t="n">
        <v>45957.67783564814</v>
      </c>
      <c r="C764" s="1" t="n">
        <v>46043</v>
      </c>
      <c r="D764" t="inlineStr">
        <is>
          <t>JÄMTLANDS LÄN</t>
        </is>
      </c>
      <c r="E764" t="inlineStr">
        <is>
          <t>RAGUNDA</t>
        </is>
      </c>
      <c r="F764" t="inlineStr">
        <is>
          <t>SCA</t>
        </is>
      </c>
      <c r="G764" t="n">
        <v>53.4</v>
      </c>
      <c r="H764" t="n">
        <v>0</v>
      </c>
      <c r="I764" t="n">
        <v>0</v>
      </c>
      <c r="J764" t="n">
        <v>0</v>
      </c>
      <c r="K764" t="n">
        <v>0</v>
      </c>
      <c r="L764" t="n">
        <v>0</v>
      </c>
      <c r="M764" t="n">
        <v>0</v>
      </c>
      <c r="N764" t="n">
        <v>0</v>
      </c>
      <c r="O764" t="n">
        <v>0</v>
      </c>
      <c r="P764" t="n">
        <v>0</v>
      </c>
      <c r="Q764" t="n">
        <v>0</v>
      </c>
      <c r="R764" s="2" t="inlineStr"/>
    </row>
    <row r="765" ht="15" customHeight="1">
      <c r="A765" t="inlineStr">
        <is>
          <t>A 53075-2025</t>
        </is>
      </c>
      <c r="B765" s="1" t="n">
        <v>45958.38584490741</v>
      </c>
      <c r="C765" s="1" t="n">
        <v>46043</v>
      </c>
      <c r="D765" t="inlineStr">
        <is>
          <t>JÄMTLANDS LÄN</t>
        </is>
      </c>
      <c r="E765" t="inlineStr">
        <is>
          <t>RAGUNDA</t>
        </is>
      </c>
      <c r="F765" t="inlineStr">
        <is>
          <t>SCA</t>
        </is>
      </c>
      <c r="G765" t="n">
        <v>28.9</v>
      </c>
      <c r="H765" t="n">
        <v>0</v>
      </c>
      <c r="I765" t="n">
        <v>0</v>
      </c>
      <c r="J765" t="n">
        <v>0</v>
      </c>
      <c r="K765" t="n">
        <v>0</v>
      </c>
      <c r="L765" t="n">
        <v>0</v>
      </c>
      <c r="M765" t="n">
        <v>0</v>
      </c>
      <c r="N765" t="n">
        <v>0</v>
      </c>
      <c r="O765" t="n">
        <v>0</v>
      </c>
      <c r="P765" t="n">
        <v>0</v>
      </c>
      <c r="Q765" t="n">
        <v>0</v>
      </c>
      <c r="R765" s="2" t="inlineStr"/>
    </row>
    <row r="766" ht="15" customHeight="1">
      <c r="A766" t="inlineStr">
        <is>
          <t>A 19404-2025</t>
        </is>
      </c>
      <c r="B766" s="1" t="n">
        <v>45769.67802083334</v>
      </c>
      <c r="C766" s="1" t="n">
        <v>46043</v>
      </c>
      <c r="D766" t="inlineStr">
        <is>
          <t>JÄMTLANDS LÄN</t>
        </is>
      </c>
      <c r="E766" t="inlineStr">
        <is>
          <t>RAGUNDA</t>
        </is>
      </c>
      <c r="F766" t="inlineStr">
        <is>
          <t>SCA</t>
        </is>
      </c>
      <c r="G766" t="n">
        <v>3</v>
      </c>
      <c r="H766" t="n">
        <v>0</v>
      </c>
      <c r="I766" t="n">
        <v>0</v>
      </c>
      <c r="J766" t="n">
        <v>0</v>
      </c>
      <c r="K766" t="n">
        <v>0</v>
      </c>
      <c r="L766" t="n">
        <v>0</v>
      </c>
      <c r="M766" t="n">
        <v>0</v>
      </c>
      <c r="N766" t="n">
        <v>0</v>
      </c>
      <c r="O766" t="n">
        <v>0</v>
      </c>
      <c r="P766" t="n">
        <v>0</v>
      </c>
      <c r="Q766" t="n">
        <v>0</v>
      </c>
      <c r="R766" s="2" t="inlineStr"/>
      <c r="U766">
        <f>HYPERLINK("https://klasma.github.io/Logging_2303/knärot/A 19404-2025 karta knärot.png", "A 19404-2025")</f>
        <v/>
      </c>
      <c r="V766">
        <f>HYPERLINK("https://klasma.github.io/Logging_2303/klagomål/A 19404-2025 FSC-klagomål.docx", "A 19404-2025")</f>
        <v/>
      </c>
      <c r="W766">
        <f>HYPERLINK("https://klasma.github.io/Logging_2303/klagomålsmail/A 19404-2025 FSC-klagomål mail.docx", "A 19404-2025")</f>
        <v/>
      </c>
      <c r="X766">
        <f>HYPERLINK("https://klasma.github.io/Logging_2303/tillsyn/A 19404-2025 tillsynsbegäran.docx", "A 19404-2025")</f>
        <v/>
      </c>
      <c r="Y766">
        <f>HYPERLINK("https://klasma.github.io/Logging_2303/tillsynsmail/A 19404-2025 tillsynsbegäran mail.docx", "A 19404-2025")</f>
        <v/>
      </c>
    </row>
    <row r="767" ht="15" customHeight="1">
      <c r="A767" t="inlineStr">
        <is>
          <t>A 61509-2025</t>
        </is>
      </c>
      <c r="B767" s="1" t="n">
        <v>46001.68189814815</v>
      </c>
      <c r="C767" s="1" t="n">
        <v>46043</v>
      </c>
      <c r="D767" t="inlineStr">
        <is>
          <t>JÄMTLANDS LÄN</t>
        </is>
      </c>
      <c r="E767" t="inlineStr">
        <is>
          <t>RAGUNDA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53726-2025</t>
        </is>
      </c>
      <c r="B768" s="1" t="n">
        <v>45960.63597222222</v>
      </c>
      <c r="C768" s="1" t="n">
        <v>46043</v>
      </c>
      <c r="D768" t="inlineStr">
        <is>
          <t>JÄMTLANDS LÄN</t>
        </is>
      </c>
      <c r="E768" t="inlineStr">
        <is>
          <t>RAGUNDA</t>
        </is>
      </c>
      <c r="F768" t="inlineStr">
        <is>
          <t>SCA</t>
        </is>
      </c>
      <c r="G768" t="n">
        <v>10.9</v>
      </c>
      <c r="H768" t="n">
        <v>0</v>
      </c>
      <c r="I768" t="n">
        <v>0</v>
      </c>
      <c r="J768" t="n">
        <v>0</v>
      </c>
      <c r="K768" t="n">
        <v>0</v>
      </c>
      <c r="L768" t="n">
        <v>0</v>
      </c>
      <c r="M768" t="n">
        <v>0</v>
      </c>
      <c r="N768" t="n">
        <v>0</v>
      </c>
      <c r="O768" t="n">
        <v>0</v>
      </c>
      <c r="P768" t="n">
        <v>0</v>
      </c>
      <c r="Q768" t="n">
        <v>0</v>
      </c>
      <c r="R768" s="2" t="inlineStr"/>
    </row>
    <row r="769" ht="15" customHeight="1">
      <c r="A769" t="inlineStr">
        <is>
          <t>A 61697-2025</t>
        </is>
      </c>
      <c r="B769" s="1" t="n">
        <v>46002</v>
      </c>
      <c r="C769" s="1" t="n">
        <v>46043</v>
      </c>
      <c r="D769" t="inlineStr">
        <is>
          <t>JÄMTLANDS LÄN</t>
        </is>
      </c>
      <c r="E769" t="inlineStr">
        <is>
          <t>RAGUNDA</t>
        </is>
      </c>
      <c r="G769" t="n">
        <v>1.3</v>
      </c>
      <c r="H769" t="n">
        <v>0</v>
      </c>
      <c r="I769" t="n">
        <v>0</v>
      </c>
      <c r="J769" t="n">
        <v>0</v>
      </c>
      <c r="K769" t="n">
        <v>0</v>
      </c>
      <c r="L769" t="n">
        <v>0</v>
      </c>
      <c r="M769" t="n">
        <v>0</v>
      </c>
      <c r="N769" t="n">
        <v>0</v>
      </c>
      <c r="O769" t="n">
        <v>0</v>
      </c>
      <c r="P769" t="n">
        <v>0</v>
      </c>
      <c r="Q769" t="n">
        <v>0</v>
      </c>
      <c r="R769" s="2" t="inlineStr"/>
    </row>
    <row r="770" ht="15" customHeight="1">
      <c r="A770" t="inlineStr">
        <is>
          <t>A 3767-2025</t>
        </is>
      </c>
      <c r="B770" s="1" t="n">
        <v>45681.60203703704</v>
      </c>
      <c r="C770" s="1" t="n">
        <v>46043</v>
      </c>
      <c r="D770" t="inlineStr">
        <is>
          <t>JÄMTLANDS LÄN</t>
        </is>
      </c>
      <c r="E770" t="inlineStr">
        <is>
          <t>RAGUNDA</t>
        </is>
      </c>
      <c r="G770" t="n">
        <v>4.9</v>
      </c>
      <c r="H770" t="n">
        <v>0</v>
      </c>
      <c r="I770" t="n">
        <v>0</v>
      </c>
      <c r="J770" t="n">
        <v>0</v>
      </c>
      <c r="K770" t="n">
        <v>0</v>
      </c>
      <c r="L770" t="n">
        <v>0</v>
      </c>
      <c r="M770" t="n">
        <v>0</v>
      </c>
      <c r="N770" t="n">
        <v>0</v>
      </c>
      <c r="O770" t="n">
        <v>0</v>
      </c>
      <c r="P770" t="n">
        <v>0</v>
      </c>
      <c r="Q770" t="n">
        <v>0</v>
      </c>
      <c r="R770" s="2" t="inlineStr"/>
    </row>
    <row r="771" ht="15" customHeight="1">
      <c r="A771" t="inlineStr">
        <is>
          <t>A 3186-2025</t>
        </is>
      </c>
      <c r="B771" s="1" t="n">
        <v>45679.40362268518</v>
      </c>
      <c r="C771" s="1" t="n">
        <v>46043</v>
      </c>
      <c r="D771" t="inlineStr">
        <is>
          <t>JÄMTLANDS LÄN</t>
        </is>
      </c>
      <c r="E771" t="inlineStr">
        <is>
          <t>RAGUNDA</t>
        </is>
      </c>
      <c r="G771" t="n">
        <v>5.2</v>
      </c>
      <c r="H771" t="n">
        <v>0</v>
      </c>
      <c r="I771" t="n">
        <v>0</v>
      </c>
      <c r="J771" t="n">
        <v>0</v>
      </c>
      <c r="K771" t="n">
        <v>0</v>
      </c>
      <c r="L771" t="n">
        <v>0</v>
      </c>
      <c r="M771" t="n">
        <v>0</v>
      </c>
      <c r="N771" t="n">
        <v>0</v>
      </c>
      <c r="O771" t="n">
        <v>0</v>
      </c>
      <c r="P771" t="n">
        <v>0</v>
      </c>
      <c r="Q771" t="n">
        <v>0</v>
      </c>
      <c r="R771" s="2" t="inlineStr"/>
    </row>
    <row r="772" ht="15" customHeight="1">
      <c r="A772" t="inlineStr">
        <is>
          <t>A 1308-2025</t>
        </is>
      </c>
      <c r="B772" s="1" t="n">
        <v>45667.55239583334</v>
      </c>
      <c r="C772" s="1" t="n">
        <v>46043</v>
      </c>
      <c r="D772" t="inlineStr">
        <is>
          <t>JÄMTLANDS LÄN</t>
        </is>
      </c>
      <c r="E772" t="inlineStr">
        <is>
          <t>RAGUNDA</t>
        </is>
      </c>
      <c r="F772" t="inlineStr">
        <is>
          <t>SCA</t>
        </is>
      </c>
      <c r="G772" t="n">
        <v>6.4</v>
      </c>
      <c r="H772" t="n">
        <v>0</v>
      </c>
      <c r="I772" t="n">
        <v>0</v>
      </c>
      <c r="J772" t="n">
        <v>0</v>
      </c>
      <c r="K772" t="n">
        <v>0</v>
      </c>
      <c r="L772" t="n">
        <v>0</v>
      </c>
      <c r="M772" t="n">
        <v>0</v>
      </c>
      <c r="N772" t="n">
        <v>0</v>
      </c>
      <c r="O772" t="n">
        <v>0</v>
      </c>
      <c r="P772" t="n">
        <v>0</v>
      </c>
      <c r="Q772" t="n">
        <v>0</v>
      </c>
      <c r="R772" s="2" t="inlineStr"/>
    </row>
    <row r="773" ht="15" customHeight="1">
      <c r="A773" t="inlineStr">
        <is>
          <t>A 27510-2025</t>
        </is>
      </c>
      <c r="B773" s="1" t="n">
        <v>45813.42790509259</v>
      </c>
      <c r="C773" s="1" t="n">
        <v>46043</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25304-2023</t>
        </is>
      </c>
      <c r="B774" s="1" t="n">
        <v>45086</v>
      </c>
      <c r="C774" s="1" t="n">
        <v>46043</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52578-2025</t>
        </is>
      </c>
      <c r="B775" s="1" t="n">
        <v>45954.61508101852</v>
      </c>
      <c r="C775" s="1" t="n">
        <v>46043</v>
      </c>
      <c r="D775" t="inlineStr">
        <is>
          <t>JÄMTLANDS LÄN</t>
        </is>
      </c>
      <c r="E775" t="inlineStr">
        <is>
          <t>RAGUNDA</t>
        </is>
      </c>
      <c r="F775" t="inlineStr">
        <is>
          <t>SCA</t>
        </is>
      </c>
      <c r="G775" t="n">
        <v>25.2</v>
      </c>
      <c r="H775" t="n">
        <v>0</v>
      </c>
      <c r="I775" t="n">
        <v>0</v>
      </c>
      <c r="J775" t="n">
        <v>0</v>
      </c>
      <c r="K775" t="n">
        <v>0</v>
      </c>
      <c r="L775" t="n">
        <v>0</v>
      </c>
      <c r="M775" t="n">
        <v>0</v>
      </c>
      <c r="N775" t="n">
        <v>0</v>
      </c>
      <c r="O775" t="n">
        <v>0</v>
      </c>
      <c r="P775" t="n">
        <v>0</v>
      </c>
      <c r="Q775" t="n">
        <v>0</v>
      </c>
      <c r="R775" s="2" t="inlineStr"/>
    </row>
    <row r="776" ht="15" customHeight="1">
      <c r="A776" t="inlineStr">
        <is>
          <t>A 41262-2021</t>
        </is>
      </c>
      <c r="B776" s="1" t="n">
        <v>44424</v>
      </c>
      <c r="C776" s="1" t="n">
        <v>46043</v>
      </c>
      <c r="D776" t="inlineStr">
        <is>
          <t>JÄMTLANDS LÄN</t>
        </is>
      </c>
      <c r="E776" t="inlineStr">
        <is>
          <t>RAGUNDA</t>
        </is>
      </c>
      <c r="G776" t="n">
        <v>2.6</v>
      </c>
      <c r="H776" t="n">
        <v>0</v>
      </c>
      <c r="I776" t="n">
        <v>0</v>
      </c>
      <c r="J776" t="n">
        <v>0</v>
      </c>
      <c r="K776" t="n">
        <v>0</v>
      </c>
      <c r="L776" t="n">
        <v>0</v>
      </c>
      <c r="M776" t="n">
        <v>0</v>
      </c>
      <c r="N776" t="n">
        <v>0</v>
      </c>
      <c r="O776" t="n">
        <v>0</v>
      </c>
      <c r="P776" t="n">
        <v>0</v>
      </c>
      <c r="Q776" t="n">
        <v>0</v>
      </c>
      <c r="R776" s="2" t="inlineStr"/>
    </row>
    <row r="777" ht="15" customHeight="1">
      <c r="A777" t="inlineStr">
        <is>
          <t>A 36371-2023</t>
        </is>
      </c>
      <c r="B777" s="1" t="n">
        <v>45149</v>
      </c>
      <c r="C777" s="1" t="n">
        <v>46043</v>
      </c>
      <c r="D777" t="inlineStr">
        <is>
          <t>JÄMTLANDS LÄN</t>
        </is>
      </c>
      <c r="E777" t="inlineStr">
        <is>
          <t>RAGUNDA</t>
        </is>
      </c>
      <c r="G777" t="n">
        <v>25.7</v>
      </c>
      <c r="H777" t="n">
        <v>0</v>
      </c>
      <c r="I777" t="n">
        <v>0</v>
      </c>
      <c r="J777" t="n">
        <v>0</v>
      </c>
      <c r="K777" t="n">
        <v>0</v>
      </c>
      <c r="L777" t="n">
        <v>0</v>
      </c>
      <c r="M777" t="n">
        <v>0</v>
      </c>
      <c r="N777" t="n">
        <v>0</v>
      </c>
      <c r="O777" t="n">
        <v>0</v>
      </c>
      <c r="P777" t="n">
        <v>0</v>
      </c>
      <c r="Q777" t="n">
        <v>0</v>
      </c>
      <c r="R777" s="2" t="inlineStr"/>
    </row>
    <row r="778" ht="15" customHeight="1">
      <c r="A778" t="inlineStr">
        <is>
          <t>A 53727-2025</t>
        </is>
      </c>
      <c r="B778" s="1" t="n">
        <v>45960.63630787037</v>
      </c>
      <c r="C778" s="1" t="n">
        <v>46043</v>
      </c>
      <c r="D778" t="inlineStr">
        <is>
          <t>JÄMTLANDS LÄN</t>
        </is>
      </c>
      <c r="E778" t="inlineStr">
        <is>
          <t>RAGUNDA</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53748-2025</t>
        </is>
      </c>
      <c r="B779" s="1" t="n">
        <v>45960.65673611111</v>
      </c>
      <c r="C779" s="1" t="n">
        <v>46043</v>
      </c>
      <c r="D779" t="inlineStr">
        <is>
          <t>JÄMTLANDS LÄN</t>
        </is>
      </c>
      <c r="E779" t="inlineStr">
        <is>
          <t>RAGUNDA</t>
        </is>
      </c>
      <c r="F779" t="inlineStr">
        <is>
          <t>SCA</t>
        </is>
      </c>
      <c r="G779" t="n">
        <v>14.9</v>
      </c>
      <c r="H779" t="n">
        <v>0</v>
      </c>
      <c r="I779" t="n">
        <v>0</v>
      </c>
      <c r="J779" t="n">
        <v>0</v>
      </c>
      <c r="K779" t="n">
        <v>0</v>
      </c>
      <c r="L779" t="n">
        <v>0</v>
      </c>
      <c r="M779" t="n">
        <v>0</v>
      </c>
      <c r="N779" t="n">
        <v>0</v>
      </c>
      <c r="O779" t="n">
        <v>0</v>
      </c>
      <c r="P779" t="n">
        <v>0</v>
      </c>
      <c r="Q779" t="n">
        <v>0</v>
      </c>
      <c r="R779" s="2" t="inlineStr"/>
    </row>
    <row r="780" ht="15" customHeight="1">
      <c r="A780" t="inlineStr">
        <is>
          <t>A 51579-2024</t>
        </is>
      </c>
      <c r="B780" s="1" t="n">
        <v>45604.63575231482</v>
      </c>
      <c r="C780" s="1" t="n">
        <v>46043</v>
      </c>
      <c r="D780" t="inlineStr">
        <is>
          <t>JÄMTLANDS LÄN</t>
        </is>
      </c>
      <c r="E780" t="inlineStr">
        <is>
          <t>RAGUNDA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53549-2025</t>
        </is>
      </c>
      <c r="B781" s="1" t="n">
        <v>45960.38576388889</v>
      </c>
      <c r="C781" s="1" t="n">
        <v>46043</v>
      </c>
      <c r="D781" t="inlineStr">
        <is>
          <t>JÄMTLANDS LÄN</t>
        </is>
      </c>
      <c r="E781" t="inlineStr">
        <is>
          <t>RAGUNDA</t>
        </is>
      </c>
      <c r="G781" t="n">
        <v>5.4</v>
      </c>
      <c r="H781" t="n">
        <v>0</v>
      </c>
      <c r="I781" t="n">
        <v>0</v>
      </c>
      <c r="J781" t="n">
        <v>0</v>
      </c>
      <c r="K781" t="n">
        <v>0</v>
      </c>
      <c r="L781" t="n">
        <v>0</v>
      </c>
      <c r="M781" t="n">
        <v>0</v>
      </c>
      <c r="N781" t="n">
        <v>0</v>
      </c>
      <c r="O781" t="n">
        <v>0</v>
      </c>
      <c r="P781" t="n">
        <v>0</v>
      </c>
      <c r="Q781" t="n">
        <v>0</v>
      </c>
      <c r="R781" s="2" t="inlineStr"/>
    </row>
    <row r="782" ht="15" customHeight="1">
      <c r="A782" t="inlineStr">
        <is>
          <t>A 53765-2025</t>
        </is>
      </c>
      <c r="B782" s="1" t="n">
        <v>45960.67753472222</v>
      </c>
      <c r="C782" s="1" t="n">
        <v>46043</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53986-2025</t>
        </is>
      </c>
      <c r="B783" s="1" t="n">
        <v>45961.57381944444</v>
      </c>
      <c r="C783" s="1" t="n">
        <v>46043</v>
      </c>
      <c r="D783" t="inlineStr">
        <is>
          <t>JÄMTLANDS LÄN</t>
        </is>
      </c>
      <c r="E783" t="inlineStr">
        <is>
          <t>RAGUNDA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53951-2025</t>
        </is>
      </c>
      <c r="B784" s="1" t="n">
        <v>45961.50200231482</v>
      </c>
      <c r="C784" s="1" t="n">
        <v>46043</v>
      </c>
      <c r="D784" t="inlineStr">
        <is>
          <t>JÄMTLANDS LÄN</t>
        </is>
      </c>
      <c r="E784" t="inlineStr">
        <is>
          <t>RAGUNDA</t>
        </is>
      </c>
      <c r="G784" t="n">
        <v>1.8</v>
      </c>
      <c r="H784" t="n">
        <v>0</v>
      </c>
      <c r="I784" t="n">
        <v>0</v>
      </c>
      <c r="J784" t="n">
        <v>0</v>
      </c>
      <c r="K784" t="n">
        <v>0</v>
      </c>
      <c r="L784" t="n">
        <v>0</v>
      </c>
      <c r="M784" t="n">
        <v>0</v>
      </c>
      <c r="N784" t="n">
        <v>0</v>
      </c>
      <c r="O784" t="n">
        <v>0</v>
      </c>
      <c r="P784" t="n">
        <v>0</v>
      </c>
      <c r="Q784" t="n">
        <v>0</v>
      </c>
      <c r="R784" s="2" t="inlineStr"/>
    </row>
    <row r="785" ht="15" customHeight="1">
      <c r="A785" t="inlineStr">
        <is>
          <t>A 18989-2025</t>
        </is>
      </c>
      <c r="B785" s="1" t="n">
        <v>45764</v>
      </c>
      <c r="C785" s="1" t="n">
        <v>46043</v>
      </c>
      <c r="D785" t="inlineStr">
        <is>
          <t>JÄMTLANDS LÄN</t>
        </is>
      </c>
      <c r="E785" t="inlineStr">
        <is>
          <t>RAGUNDA</t>
        </is>
      </c>
      <c r="G785" t="n">
        <v>0.9</v>
      </c>
      <c r="H785" t="n">
        <v>0</v>
      </c>
      <c r="I785" t="n">
        <v>0</v>
      </c>
      <c r="J785" t="n">
        <v>0</v>
      </c>
      <c r="K785" t="n">
        <v>0</v>
      </c>
      <c r="L785" t="n">
        <v>0</v>
      </c>
      <c r="M785" t="n">
        <v>0</v>
      </c>
      <c r="N785" t="n">
        <v>0</v>
      </c>
      <c r="O785" t="n">
        <v>0</v>
      </c>
      <c r="P785" t="n">
        <v>0</v>
      </c>
      <c r="Q785" t="n">
        <v>0</v>
      </c>
      <c r="R785" s="2" t="inlineStr"/>
    </row>
    <row r="786" ht="15" customHeight="1">
      <c r="A786" t="inlineStr">
        <is>
          <t>A 53975-2025</t>
        </is>
      </c>
      <c r="B786" s="1" t="n">
        <v>45961.55277777778</v>
      </c>
      <c r="C786" s="1" t="n">
        <v>46043</v>
      </c>
      <c r="D786" t="inlineStr">
        <is>
          <t>JÄMTLANDS LÄN</t>
        </is>
      </c>
      <c r="E786" t="inlineStr">
        <is>
          <t>RAGUNDA</t>
        </is>
      </c>
      <c r="F786" t="inlineStr">
        <is>
          <t>SCA</t>
        </is>
      </c>
      <c r="G786" t="n">
        <v>21.9</v>
      </c>
      <c r="H786" t="n">
        <v>0</v>
      </c>
      <c r="I786" t="n">
        <v>0</v>
      </c>
      <c r="J786" t="n">
        <v>0</v>
      </c>
      <c r="K786" t="n">
        <v>0</v>
      </c>
      <c r="L786" t="n">
        <v>0</v>
      </c>
      <c r="M786" t="n">
        <v>0</v>
      </c>
      <c r="N786" t="n">
        <v>0</v>
      </c>
      <c r="O786" t="n">
        <v>0</v>
      </c>
      <c r="P786" t="n">
        <v>0</v>
      </c>
      <c r="Q786" t="n">
        <v>0</v>
      </c>
      <c r="R786" s="2" t="inlineStr"/>
    </row>
    <row r="787" ht="15" customHeight="1">
      <c r="A787" t="inlineStr">
        <is>
          <t>A 54195-2025</t>
        </is>
      </c>
      <c r="B787" s="1" t="n">
        <v>45964.57413194444</v>
      </c>
      <c r="C787" s="1" t="n">
        <v>46043</v>
      </c>
      <c r="D787" t="inlineStr">
        <is>
          <t>JÄMTLANDS LÄN</t>
        </is>
      </c>
      <c r="E787" t="inlineStr">
        <is>
          <t>RAGUNDA</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44630-2023</t>
        </is>
      </c>
      <c r="B788" s="1" t="n">
        <v>45184</v>
      </c>
      <c r="C788" s="1" t="n">
        <v>46043</v>
      </c>
      <c r="D788" t="inlineStr">
        <is>
          <t>JÄMTLANDS LÄN</t>
        </is>
      </c>
      <c r="E788" t="inlineStr">
        <is>
          <t>RAGUNDA</t>
        </is>
      </c>
      <c r="G788" t="n">
        <v>3.4</v>
      </c>
      <c r="H788" t="n">
        <v>0</v>
      </c>
      <c r="I788" t="n">
        <v>0</v>
      </c>
      <c r="J788" t="n">
        <v>0</v>
      </c>
      <c r="K788" t="n">
        <v>0</v>
      </c>
      <c r="L788" t="n">
        <v>0</v>
      </c>
      <c r="M788" t="n">
        <v>0</v>
      </c>
      <c r="N788" t="n">
        <v>0</v>
      </c>
      <c r="O788" t="n">
        <v>0</v>
      </c>
      <c r="P788" t="n">
        <v>0</v>
      </c>
      <c r="Q788" t="n">
        <v>0</v>
      </c>
      <c r="R788" s="2" t="inlineStr"/>
    </row>
    <row r="789" ht="15" customHeight="1">
      <c r="A789" t="inlineStr">
        <is>
          <t>A 12522-2023</t>
        </is>
      </c>
      <c r="B789" s="1" t="n">
        <v>45000</v>
      </c>
      <c r="C789" s="1" t="n">
        <v>46043</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12523-2023</t>
        </is>
      </c>
      <c r="B790" s="1" t="n">
        <v>45000</v>
      </c>
      <c r="C790" s="1" t="n">
        <v>46043</v>
      </c>
      <c r="D790" t="inlineStr">
        <is>
          <t>JÄMTLANDS LÄN</t>
        </is>
      </c>
      <c r="E790" t="inlineStr">
        <is>
          <t>RAGUNDA</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36246-2024</t>
        </is>
      </c>
      <c r="B791" s="1" t="n">
        <v>45534</v>
      </c>
      <c r="C791" s="1" t="n">
        <v>46043</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53948-2025</t>
        </is>
      </c>
      <c r="B792" s="1" t="n">
        <v>45961.50033564815</v>
      </c>
      <c r="C792" s="1" t="n">
        <v>46043</v>
      </c>
      <c r="D792" t="inlineStr">
        <is>
          <t>JÄMTLANDS LÄN</t>
        </is>
      </c>
      <c r="E792" t="inlineStr">
        <is>
          <t>RAGUNDA</t>
        </is>
      </c>
      <c r="G792" t="n">
        <v>7.9</v>
      </c>
      <c r="H792" t="n">
        <v>0</v>
      </c>
      <c r="I792" t="n">
        <v>0</v>
      </c>
      <c r="J792" t="n">
        <v>0</v>
      </c>
      <c r="K792" t="n">
        <v>0</v>
      </c>
      <c r="L792" t="n">
        <v>0</v>
      </c>
      <c r="M792" t="n">
        <v>0</v>
      </c>
      <c r="N792" t="n">
        <v>0</v>
      </c>
      <c r="O792" t="n">
        <v>0</v>
      </c>
      <c r="P792" t="n">
        <v>0</v>
      </c>
      <c r="Q792" t="n">
        <v>0</v>
      </c>
      <c r="R792" s="2" t="inlineStr"/>
    </row>
    <row r="793" ht="15" customHeight="1">
      <c r="A793" t="inlineStr">
        <is>
          <t>A 53973-2025</t>
        </is>
      </c>
      <c r="B793" s="1" t="n">
        <v>45961.55246527777</v>
      </c>
      <c r="C793" s="1" t="n">
        <v>46043</v>
      </c>
      <c r="D793" t="inlineStr">
        <is>
          <t>JÄMTLANDS LÄN</t>
        </is>
      </c>
      <c r="E793" t="inlineStr">
        <is>
          <t>RAGUNDA</t>
        </is>
      </c>
      <c r="G793" t="n">
        <v>2.4</v>
      </c>
      <c r="H793" t="n">
        <v>0</v>
      </c>
      <c r="I793" t="n">
        <v>0</v>
      </c>
      <c r="J793" t="n">
        <v>0</v>
      </c>
      <c r="K793" t="n">
        <v>0</v>
      </c>
      <c r="L793" t="n">
        <v>0</v>
      </c>
      <c r="M793" t="n">
        <v>0</v>
      </c>
      <c r="N793" t="n">
        <v>0</v>
      </c>
      <c r="O793" t="n">
        <v>0</v>
      </c>
      <c r="P793" t="n">
        <v>0</v>
      </c>
      <c r="Q793" t="n">
        <v>0</v>
      </c>
      <c r="R793" s="2" t="inlineStr"/>
    </row>
    <row r="794" ht="15" customHeight="1">
      <c r="A794" t="inlineStr">
        <is>
          <t>A 62819-2025</t>
        </is>
      </c>
      <c r="B794" s="1" t="n">
        <v>46008</v>
      </c>
      <c r="C794" s="1" t="n">
        <v>46043</v>
      </c>
      <c r="D794" t="inlineStr">
        <is>
          <t>JÄMTLANDS LÄN</t>
        </is>
      </c>
      <c r="E794" t="inlineStr">
        <is>
          <t>RAGUNDA</t>
        </is>
      </c>
      <c r="G794" t="n">
        <v>3.5</v>
      </c>
      <c r="H794" t="n">
        <v>0</v>
      </c>
      <c r="I794" t="n">
        <v>0</v>
      </c>
      <c r="J794" t="n">
        <v>0</v>
      </c>
      <c r="K794" t="n">
        <v>0</v>
      </c>
      <c r="L794" t="n">
        <v>0</v>
      </c>
      <c r="M794" t="n">
        <v>0</v>
      </c>
      <c r="N794" t="n">
        <v>0</v>
      </c>
      <c r="O794" t="n">
        <v>0</v>
      </c>
      <c r="P794" t="n">
        <v>0</v>
      </c>
      <c r="Q794" t="n">
        <v>0</v>
      </c>
      <c r="R794" s="2" t="inlineStr"/>
    </row>
    <row r="795" ht="15" customHeight="1">
      <c r="A795" t="inlineStr">
        <is>
          <t>A 32063-2024</t>
        </is>
      </c>
      <c r="B795" s="1" t="n">
        <v>45510</v>
      </c>
      <c r="C795" s="1" t="n">
        <v>46043</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62432-2025</t>
        </is>
      </c>
      <c r="B796" s="1" t="n">
        <v>46007</v>
      </c>
      <c r="C796" s="1" t="n">
        <v>46043</v>
      </c>
      <c r="D796" t="inlineStr">
        <is>
          <t>JÄMTLANDS LÄN</t>
        </is>
      </c>
      <c r="E796" t="inlineStr">
        <is>
          <t>RAGUNDA</t>
        </is>
      </c>
      <c r="G796" t="n">
        <v>4.7</v>
      </c>
      <c r="H796" t="n">
        <v>0</v>
      </c>
      <c r="I796" t="n">
        <v>0</v>
      </c>
      <c r="J796" t="n">
        <v>0</v>
      </c>
      <c r="K796" t="n">
        <v>0</v>
      </c>
      <c r="L796" t="n">
        <v>0</v>
      </c>
      <c r="M796" t="n">
        <v>0</v>
      </c>
      <c r="N796" t="n">
        <v>0</v>
      </c>
      <c r="O796" t="n">
        <v>0</v>
      </c>
      <c r="P796" t="n">
        <v>0</v>
      </c>
      <c r="Q796" t="n">
        <v>0</v>
      </c>
      <c r="R796" s="2" t="inlineStr"/>
    </row>
    <row r="797" ht="15" customHeight="1">
      <c r="A797" t="inlineStr">
        <is>
          <t>A 62436-2025</t>
        </is>
      </c>
      <c r="B797" s="1" t="n">
        <v>46007</v>
      </c>
      <c r="C797" s="1" t="n">
        <v>46043</v>
      </c>
      <c r="D797" t="inlineStr">
        <is>
          <t>JÄMTLANDS LÄN</t>
        </is>
      </c>
      <c r="E797" t="inlineStr">
        <is>
          <t>RAGUNDA</t>
        </is>
      </c>
      <c r="G797" t="n">
        <v>0.7</v>
      </c>
      <c r="H797" t="n">
        <v>0</v>
      </c>
      <c r="I797" t="n">
        <v>0</v>
      </c>
      <c r="J797" t="n">
        <v>0</v>
      </c>
      <c r="K797" t="n">
        <v>0</v>
      </c>
      <c r="L797" t="n">
        <v>0</v>
      </c>
      <c r="M797" t="n">
        <v>0</v>
      </c>
      <c r="N797" t="n">
        <v>0</v>
      </c>
      <c r="O797" t="n">
        <v>0</v>
      </c>
      <c r="P797" t="n">
        <v>0</v>
      </c>
      <c r="Q797" t="n">
        <v>0</v>
      </c>
      <c r="R797" s="2" t="inlineStr"/>
    </row>
    <row r="798" ht="15" customHeight="1">
      <c r="A798" t="inlineStr">
        <is>
          <t>A 54396-2025</t>
        </is>
      </c>
      <c r="B798" s="1" t="n">
        <v>45965.44849537037</v>
      </c>
      <c r="C798" s="1" t="n">
        <v>46043</v>
      </c>
      <c r="D798" t="inlineStr">
        <is>
          <t>JÄMTLANDS LÄN</t>
        </is>
      </c>
      <c r="E798" t="inlineStr">
        <is>
          <t>RAGUNDA</t>
        </is>
      </c>
      <c r="F798" t="inlineStr">
        <is>
          <t>SCA</t>
        </is>
      </c>
      <c r="G798" t="n">
        <v>35.2</v>
      </c>
      <c r="H798" t="n">
        <v>0</v>
      </c>
      <c r="I798" t="n">
        <v>0</v>
      </c>
      <c r="J798" t="n">
        <v>0</v>
      </c>
      <c r="K798" t="n">
        <v>0</v>
      </c>
      <c r="L798" t="n">
        <v>0</v>
      </c>
      <c r="M798" t="n">
        <v>0</v>
      </c>
      <c r="N798" t="n">
        <v>0</v>
      </c>
      <c r="O798" t="n">
        <v>0</v>
      </c>
      <c r="P798" t="n">
        <v>0</v>
      </c>
      <c r="Q798" t="n">
        <v>0</v>
      </c>
      <c r="R798" s="2" t="inlineStr"/>
    </row>
    <row r="799" ht="15" customHeight="1">
      <c r="A799" t="inlineStr">
        <is>
          <t>A 5307-2025</t>
        </is>
      </c>
      <c r="B799" s="1" t="n">
        <v>45692.48993055556</v>
      </c>
      <c r="C799" s="1" t="n">
        <v>46043</v>
      </c>
      <c r="D799" t="inlineStr">
        <is>
          <t>JÄMTLANDS LÄN</t>
        </is>
      </c>
      <c r="E799" t="inlineStr">
        <is>
          <t>RAGUNDA</t>
        </is>
      </c>
      <c r="F799" t="inlineStr">
        <is>
          <t>SCA</t>
        </is>
      </c>
      <c r="G799" t="n">
        <v>20.9</v>
      </c>
      <c r="H799" t="n">
        <v>0</v>
      </c>
      <c r="I799" t="n">
        <v>0</v>
      </c>
      <c r="J799" t="n">
        <v>0</v>
      </c>
      <c r="K799" t="n">
        <v>0</v>
      </c>
      <c r="L799" t="n">
        <v>0</v>
      </c>
      <c r="M799" t="n">
        <v>0</v>
      </c>
      <c r="N799" t="n">
        <v>0</v>
      </c>
      <c r="O799" t="n">
        <v>0</v>
      </c>
      <c r="P799" t="n">
        <v>0</v>
      </c>
      <c r="Q799" t="n">
        <v>0</v>
      </c>
      <c r="R799" s="2" t="inlineStr"/>
    </row>
    <row r="800" ht="15" customHeight="1">
      <c r="A800" t="inlineStr">
        <is>
          <t>A 48066-2022</t>
        </is>
      </c>
      <c r="B800" s="1" t="n">
        <v>44855</v>
      </c>
      <c r="C800" s="1" t="n">
        <v>46043</v>
      </c>
      <c r="D800" t="inlineStr">
        <is>
          <t>JÄMTLANDS LÄN</t>
        </is>
      </c>
      <c r="E800" t="inlineStr">
        <is>
          <t>RAGUNDA</t>
        </is>
      </c>
      <c r="F800" t="inlineStr">
        <is>
          <t>SCA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50157-2023</t>
        </is>
      </c>
      <c r="B801" s="1" t="n">
        <v>45208</v>
      </c>
      <c r="C801" s="1" t="n">
        <v>46043</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26942-2021</t>
        </is>
      </c>
      <c r="B802" s="1" t="n">
        <v>44349.91978009259</v>
      </c>
      <c r="C802" s="1" t="n">
        <v>46043</v>
      </c>
      <c r="D802" t="inlineStr">
        <is>
          <t>JÄMTLANDS LÄN</t>
        </is>
      </c>
      <c r="E802" t="inlineStr">
        <is>
          <t>RAGUNDA</t>
        </is>
      </c>
      <c r="G802" t="n">
        <v>6.2</v>
      </c>
      <c r="H802" t="n">
        <v>0</v>
      </c>
      <c r="I802" t="n">
        <v>0</v>
      </c>
      <c r="J802" t="n">
        <v>0</v>
      </c>
      <c r="K802" t="n">
        <v>0</v>
      </c>
      <c r="L802" t="n">
        <v>0</v>
      </c>
      <c r="M802" t="n">
        <v>0</v>
      </c>
      <c r="N802" t="n">
        <v>0</v>
      </c>
      <c r="O802" t="n">
        <v>0</v>
      </c>
      <c r="P802" t="n">
        <v>0</v>
      </c>
      <c r="Q802" t="n">
        <v>0</v>
      </c>
      <c r="R802" s="2" t="inlineStr"/>
    </row>
    <row r="803" ht="15" customHeight="1">
      <c r="A803" t="inlineStr">
        <is>
          <t>A 58909-2025</t>
        </is>
      </c>
      <c r="B803" s="1" t="n">
        <v>45987</v>
      </c>
      <c r="C803" s="1" t="n">
        <v>46043</v>
      </c>
      <c r="D803" t="inlineStr">
        <is>
          <t>JÄMTLANDS LÄN</t>
        </is>
      </c>
      <c r="E803" t="inlineStr">
        <is>
          <t>RAGUNDA</t>
        </is>
      </c>
      <c r="G803" t="n">
        <v>9.5</v>
      </c>
      <c r="H803" t="n">
        <v>0</v>
      </c>
      <c r="I803" t="n">
        <v>0</v>
      </c>
      <c r="J803" t="n">
        <v>0</v>
      </c>
      <c r="K803" t="n">
        <v>0</v>
      </c>
      <c r="L803" t="n">
        <v>0</v>
      </c>
      <c r="M803" t="n">
        <v>0</v>
      </c>
      <c r="N803" t="n">
        <v>0</v>
      </c>
      <c r="O803" t="n">
        <v>0</v>
      </c>
      <c r="P803" t="n">
        <v>0</v>
      </c>
      <c r="Q803" t="n">
        <v>0</v>
      </c>
      <c r="R803" s="2" t="inlineStr"/>
    </row>
    <row r="804" ht="15" customHeight="1">
      <c r="A804" t="inlineStr">
        <is>
          <t>A 62638-2025</t>
        </is>
      </c>
      <c r="B804" s="1" t="n">
        <v>46008.36564814814</v>
      </c>
      <c r="C804" s="1" t="n">
        <v>46043</v>
      </c>
      <c r="D804" t="inlineStr">
        <is>
          <t>JÄMTLANDS LÄN</t>
        </is>
      </c>
      <c r="E804" t="inlineStr">
        <is>
          <t>RAGUNDA</t>
        </is>
      </c>
      <c r="G804" t="n">
        <v>0.9</v>
      </c>
      <c r="H804" t="n">
        <v>0</v>
      </c>
      <c r="I804" t="n">
        <v>0</v>
      </c>
      <c r="J804" t="n">
        <v>0</v>
      </c>
      <c r="K804" t="n">
        <v>0</v>
      </c>
      <c r="L804" t="n">
        <v>0</v>
      </c>
      <c r="M804" t="n">
        <v>0</v>
      </c>
      <c r="N804" t="n">
        <v>0</v>
      </c>
      <c r="O804" t="n">
        <v>0</v>
      </c>
      <c r="P804" t="n">
        <v>0</v>
      </c>
      <c r="Q804" t="n">
        <v>0</v>
      </c>
      <c r="R804" s="2" t="inlineStr"/>
    </row>
    <row r="805" ht="15" customHeight="1">
      <c r="A805" t="inlineStr">
        <is>
          <t>A 62467-2025</t>
        </is>
      </c>
      <c r="B805" s="1" t="n">
        <v>46007.5108912037</v>
      </c>
      <c r="C805" s="1" t="n">
        <v>46043</v>
      </c>
      <c r="D805" t="inlineStr">
        <is>
          <t>JÄMTLANDS LÄN</t>
        </is>
      </c>
      <c r="E805" t="inlineStr">
        <is>
          <t>RAGUNDA</t>
        </is>
      </c>
      <c r="F805" t="inlineStr">
        <is>
          <t>SCA</t>
        </is>
      </c>
      <c r="G805" t="n">
        <v>4.7</v>
      </c>
      <c r="H805" t="n">
        <v>0</v>
      </c>
      <c r="I805" t="n">
        <v>0</v>
      </c>
      <c r="J805" t="n">
        <v>0</v>
      </c>
      <c r="K805" t="n">
        <v>0</v>
      </c>
      <c r="L805" t="n">
        <v>0</v>
      </c>
      <c r="M805" t="n">
        <v>0</v>
      </c>
      <c r="N805" t="n">
        <v>0</v>
      </c>
      <c r="O805" t="n">
        <v>0</v>
      </c>
      <c r="P805" t="n">
        <v>0</v>
      </c>
      <c r="Q805" t="n">
        <v>0</v>
      </c>
      <c r="R805" s="2" t="inlineStr"/>
    </row>
    <row r="806" ht="15" customHeight="1">
      <c r="A806" t="inlineStr">
        <is>
          <t>A 56504-2024</t>
        </is>
      </c>
      <c r="B806" s="1" t="n">
        <v>45625.51068287037</v>
      </c>
      <c r="C806" s="1" t="n">
        <v>46043</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54820-2025</t>
        </is>
      </c>
      <c r="B807" s="1" t="n">
        <v>45966.65728009259</v>
      </c>
      <c r="C807" s="1" t="n">
        <v>46043</v>
      </c>
      <c r="D807" t="inlineStr">
        <is>
          <t>JÄMTLANDS LÄN</t>
        </is>
      </c>
      <c r="E807" t="inlineStr">
        <is>
          <t>RAGUNDA</t>
        </is>
      </c>
      <c r="G807" t="n">
        <v>15.3</v>
      </c>
      <c r="H807" t="n">
        <v>0</v>
      </c>
      <c r="I807" t="n">
        <v>0</v>
      </c>
      <c r="J807" t="n">
        <v>0</v>
      </c>
      <c r="K807" t="n">
        <v>0</v>
      </c>
      <c r="L807" t="n">
        <v>0</v>
      </c>
      <c r="M807" t="n">
        <v>0</v>
      </c>
      <c r="N807" t="n">
        <v>0</v>
      </c>
      <c r="O807" t="n">
        <v>0</v>
      </c>
      <c r="P807" t="n">
        <v>0</v>
      </c>
      <c r="Q807" t="n">
        <v>0</v>
      </c>
      <c r="R807" s="2" t="inlineStr"/>
    </row>
    <row r="808" ht="15" customHeight="1">
      <c r="A808" t="inlineStr">
        <is>
          <t>A 5938-2025</t>
        </is>
      </c>
      <c r="B808" s="1" t="n">
        <v>45695.45868055556</v>
      </c>
      <c r="C808" s="1" t="n">
        <v>46043</v>
      </c>
      <c r="D808" t="inlineStr">
        <is>
          <t>JÄMTLANDS LÄN</t>
        </is>
      </c>
      <c r="E808" t="inlineStr">
        <is>
          <t>RAGUNDA</t>
        </is>
      </c>
      <c r="G808" t="n">
        <v>1</v>
      </c>
      <c r="H808" t="n">
        <v>0</v>
      </c>
      <c r="I808" t="n">
        <v>0</v>
      </c>
      <c r="J808" t="n">
        <v>0</v>
      </c>
      <c r="K808" t="n">
        <v>0</v>
      </c>
      <c r="L808" t="n">
        <v>0</v>
      </c>
      <c r="M808" t="n">
        <v>0</v>
      </c>
      <c r="N808" t="n">
        <v>0</v>
      </c>
      <c r="O808" t="n">
        <v>0</v>
      </c>
      <c r="P808" t="n">
        <v>0</v>
      </c>
      <c r="Q808" t="n">
        <v>0</v>
      </c>
      <c r="R808" s="2" t="inlineStr"/>
    </row>
    <row r="809" ht="15" customHeight="1">
      <c r="A809" t="inlineStr">
        <is>
          <t>A 50160-2023</t>
        </is>
      </c>
      <c r="B809" s="1" t="n">
        <v>45208</v>
      </c>
      <c r="C809" s="1" t="n">
        <v>46043</v>
      </c>
      <c r="D809" t="inlineStr">
        <is>
          <t>JÄMTLANDS LÄN</t>
        </is>
      </c>
      <c r="E809" t="inlineStr">
        <is>
          <t>RAGUNDA</t>
        </is>
      </c>
      <c r="G809" t="n">
        <v>4.6</v>
      </c>
      <c r="H809" t="n">
        <v>0</v>
      </c>
      <c r="I809" t="n">
        <v>0</v>
      </c>
      <c r="J809" t="n">
        <v>0</v>
      </c>
      <c r="K809" t="n">
        <v>0</v>
      </c>
      <c r="L809" t="n">
        <v>0</v>
      </c>
      <c r="M809" t="n">
        <v>0</v>
      </c>
      <c r="N809" t="n">
        <v>0</v>
      </c>
      <c r="O809" t="n">
        <v>0</v>
      </c>
      <c r="P809" t="n">
        <v>0</v>
      </c>
      <c r="Q809" t="n">
        <v>0</v>
      </c>
      <c r="R809" s="2" t="inlineStr"/>
    </row>
    <row r="810" ht="15" customHeight="1">
      <c r="A810" t="inlineStr">
        <is>
          <t>A 62691-2025</t>
        </is>
      </c>
      <c r="B810" s="1" t="n">
        <v>46008.4759837963</v>
      </c>
      <c r="C810" s="1" t="n">
        <v>46043</v>
      </c>
      <c r="D810" t="inlineStr">
        <is>
          <t>JÄMTLANDS LÄN</t>
        </is>
      </c>
      <c r="E810" t="inlineStr">
        <is>
          <t>RAGUNDA</t>
        </is>
      </c>
      <c r="G810" t="n">
        <v>2.6</v>
      </c>
      <c r="H810" t="n">
        <v>0</v>
      </c>
      <c r="I810" t="n">
        <v>0</v>
      </c>
      <c r="J810" t="n">
        <v>0</v>
      </c>
      <c r="K810" t="n">
        <v>0</v>
      </c>
      <c r="L810" t="n">
        <v>0</v>
      </c>
      <c r="M810" t="n">
        <v>0</v>
      </c>
      <c r="N810" t="n">
        <v>0</v>
      </c>
      <c r="O810" t="n">
        <v>0</v>
      </c>
      <c r="P810" t="n">
        <v>0</v>
      </c>
      <c r="Q810" t="n">
        <v>0</v>
      </c>
      <c r="R810" s="2" t="inlineStr"/>
    </row>
    <row r="811" ht="15" customHeight="1">
      <c r="A811" t="inlineStr">
        <is>
          <t>A 54794-2025</t>
        </is>
      </c>
      <c r="B811" s="1" t="n">
        <v>45966.63592592593</v>
      </c>
      <c r="C811" s="1" t="n">
        <v>46043</v>
      </c>
      <c r="D811" t="inlineStr">
        <is>
          <t>JÄMTLANDS LÄN</t>
        </is>
      </c>
      <c r="E811" t="inlineStr">
        <is>
          <t>RAGUNDA</t>
        </is>
      </c>
      <c r="G811" t="n">
        <v>4</v>
      </c>
      <c r="H811" t="n">
        <v>0</v>
      </c>
      <c r="I811" t="n">
        <v>0</v>
      </c>
      <c r="J811" t="n">
        <v>0</v>
      </c>
      <c r="K811" t="n">
        <v>0</v>
      </c>
      <c r="L811" t="n">
        <v>0</v>
      </c>
      <c r="M811" t="n">
        <v>0</v>
      </c>
      <c r="N811" t="n">
        <v>0</v>
      </c>
      <c r="O811" t="n">
        <v>0</v>
      </c>
      <c r="P811" t="n">
        <v>0</v>
      </c>
      <c r="Q811" t="n">
        <v>0</v>
      </c>
      <c r="R811" s="2" t="inlineStr"/>
    </row>
    <row r="812" ht="15" customHeight="1">
      <c r="A812" t="inlineStr">
        <is>
          <t>A 28173-2024</t>
        </is>
      </c>
      <c r="B812" s="1" t="n">
        <v>45476.94533564815</v>
      </c>
      <c r="C812" s="1" t="n">
        <v>46043</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28637-2025</t>
        </is>
      </c>
      <c r="B813" s="1" t="n">
        <v>45819.6359375</v>
      </c>
      <c r="C813" s="1" t="n">
        <v>46043</v>
      </c>
      <c r="D813" t="inlineStr">
        <is>
          <t>JÄMTLANDS LÄN</t>
        </is>
      </c>
      <c r="E813" t="inlineStr">
        <is>
          <t>RAGUNDA</t>
        </is>
      </c>
      <c r="F813" t="inlineStr">
        <is>
          <t>SCA</t>
        </is>
      </c>
      <c r="G813" t="n">
        <v>6.6</v>
      </c>
      <c r="H813" t="n">
        <v>0</v>
      </c>
      <c r="I813" t="n">
        <v>0</v>
      </c>
      <c r="J813" t="n">
        <v>0</v>
      </c>
      <c r="K813" t="n">
        <v>0</v>
      </c>
      <c r="L813" t="n">
        <v>0</v>
      </c>
      <c r="M813" t="n">
        <v>0</v>
      </c>
      <c r="N813" t="n">
        <v>0</v>
      </c>
      <c r="O813" t="n">
        <v>0</v>
      </c>
      <c r="P813" t="n">
        <v>0</v>
      </c>
      <c r="Q813" t="n">
        <v>0</v>
      </c>
      <c r="R813" s="2" t="inlineStr"/>
    </row>
    <row r="814" ht="15" customHeight="1">
      <c r="A814" t="inlineStr">
        <is>
          <t>A 35537-2021</t>
        </is>
      </c>
      <c r="B814" s="1" t="n">
        <v>44384</v>
      </c>
      <c r="C814" s="1" t="n">
        <v>46043</v>
      </c>
      <c r="D814" t="inlineStr">
        <is>
          <t>JÄMTLANDS LÄN</t>
        </is>
      </c>
      <c r="E814" t="inlineStr">
        <is>
          <t>RAGUNDA</t>
        </is>
      </c>
      <c r="G814" t="n">
        <v>3.1</v>
      </c>
      <c r="H814" t="n">
        <v>0</v>
      </c>
      <c r="I814" t="n">
        <v>0</v>
      </c>
      <c r="J814" t="n">
        <v>0</v>
      </c>
      <c r="K814" t="n">
        <v>0</v>
      </c>
      <c r="L814" t="n">
        <v>0</v>
      </c>
      <c r="M814" t="n">
        <v>0</v>
      </c>
      <c r="N814" t="n">
        <v>0</v>
      </c>
      <c r="O814" t="n">
        <v>0</v>
      </c>
      <c r="P814" t="n">
        <v>0</v>
      </c>
      <c r="Q814" t="n">
        <v>0</v>
      </c>
      <c r="R814" s="2" t="inlineStr"/>
    </row>
    <row r="815" ht="15" customHeight="1">
      <c r="A815" t="inlineStr">
        <is>
          <t>A 63060-2025</t>
        </is>
      </c>
      <c r="B815" s="1" t="n">
        <v>46009.64414351852</v>
      </c>
      <c r="C815" s="1" t="n">
        <v>46043</v>
      </c>
      <c r="D815" t="inlineStr">
        <is>
          <t>JÄMTLANDS LÄN</t>
        </is>
      </c>
      <c r="E815" t="inlineStr">
        <is>
          <t>RAGUNDA</t>
        </is>
      </c>
      <c r="G815" t="n">
        <v>6.5</v>
      </c>
      <c r="H815" t="n">
        <v>0</v>
      </c>
      <c r="I815" t="n">
        <v>0</v>
      </c>
      <c r="J815" t="n">
        <v>0</v>
      </c>
      <c r="K815" t="n">
        <v>0</v>
      </c>
      <c r="L815" t="n">
        <v>0</v>
      </c>
      <c r="M815" t="n">
        <v>0</v>
      </c>
      <c r="N815" t="n">
        <v>0</v>
      </c>
      <c r="O815" t="n">
        <v>0</v>
      </c>
      <c r="P815" t="n">
        <v>0</v>
      </c>
      <c r="Q815" t="n">
        <v>0</v>
      </c>
      <c r="R815" s="2" t="inlineStr"/>
    </row>
    <row r="816" ht="15" customHeight="1">
      <c r="A816" t="inlineStr">
        <is>
          <t>A 63057-2025</t>
        </is>
      </c>
      <c r="B816" s="1" t="n">
        <v>46009.63837962963</v>
      </c>
      <c r="C816" s="1" t="n">
        <v>46043</v>
      </c>
      <c r="D816" t="inlineStr">
        <is>
          <t>JÄMTLANDS LÄN</t>
        </is>
      </c>
      <c r="E816" t="inlineStr">
        <is>
          <t>RAGUNDA</t>
        </is>
      </c>
      <c r="G816" t="n">
        <v>13.7</v>
      </c>
      <c r="H816" t="n">
        <v>0</v>
      </c>
      <c r="I816" t="n">
        <v>0</v>
      </c>
      <c r="J816" t="n">
        <v>0</v>
      </c>
      <c r="K816" t="n">
        <v>0</v>
      </c>
      <c r="L816" t="n">
        <v>0</v>
      </c>
      <c r="M816" t="n">
        <v>0</v>
      </c>
      <c r="N816" t="n">
        <v>0</v>
      </c>
      <c r="O816" t="n">
        <v>0</v>
      </c>
      <c r="P816" t="n">
        <v>0</v>
      </c>
      <c r="Q816" t="n">
        <v>0</v>
      </c>
      <c r="R816" s="2" t="inlineStr"/>
    </row>
    <row r="817" ht="15" customHeight="1">
      <c r="A817" t="inlineStr">
        <is>
          <t>A 18248-2023</t>
        </is>
      </c>
      <c r="B817" s="1" t="n">
        <v>45040</v>
      </c>
      <c r="C817" s="1" t="n">
        <v>46043</v>
      </c>
      <c r="D817" t="inlineStr">
        <is>
          <t>JÄMTLANDS LÄN</t>
        </is>
      </c>
      <c r="E817" t="inlineStr">
        <is>
          <t>RAGUNDA</t>
        </is>
      </c>
      <c r="G817" t="n">
        <v>4.3</v>
      </c>
      <c r="H817" t="n">
        <v>0</v>
      </c>
      <c r="I817" t="n">
        <v>0</v>
      </c>
      <c r="J817" t="n">
        <v>0</v>
      </c>
      <c r="K817" t="n">
        <v>0</v>
      </c>
      <c r="L817" t="n">
        <v>0</v>
      </c>
      <c r="M817" t="n">
        <v>0</v>
      </c>
      <c r="N817" t="n">
        <v>0</v>
      </c>
      <c r="O817" t="n">
        <v>0</v>
      </c>
      <c r="P817" t="n">
        <v>0</v>
      </c>
      <c r="Q817" t="n">
        <v>0</v>
      </c>
      <c r="R817" s="2" t="inlineStr"/>
    </row>
    <row r="818" ht="15" customHeight="1">
      <c r="A818" t="inlineStr">
        <is>
          <t>A 62927-2025</t>
        </is>
      </c>
      <c r="B818" s="1" t="n">
        <v>46009.38609953703</v>
      </c>
      <c r="C818" s="1" t="n">
        <v>46043</v>
      </c>
      <c r="D818" t="inlineStr">
        <is>
          <t>JÄMTLANDS LÄN</t>
        </is>
      </c>
      <c r="E818" t="inlineStr">
        <is>
          <t>RAGUNDA</t>
        </is>
      </c>
      <c r="G818" t="n">
        <v>6.3</v>
      </c>
      <c r="H818" t="n">
        <v>0</v>
      </c>
      <c r="I818" t="n">
        <v>0</v>
      </c>
      <c r="J818" t="n">
        <v>0</v>
      </c>
      <c r="K818" t="n">
        <v>0</v>
      </c>
      <c r="L818" t="n">
        <v>0</v>
      </c>
      <c r="M818" t="n">
        <v>0</v>
      </c>
      <c r="N818" t="n">
        <v>0</v>
      </c>
      <c r="O818" t="n">
        <v>0</v>
      </c>
      <c r="P818" t="n">
        <v>0</v>
      </c>
      <c r="Q818" t="n">
        <v>0</v>
      </c>
      <c r="R818" s="2" t="inlineStr"/>
      <c r="U818">
        <f>HYPERLINK("https://klasma.github.io/Logging_2303/knärot/A 62927-2025 karta knärot.png", "A 62927-2025")</f>
        <v/>
      </c>
      <c r="V818">
        <f>HYPERLINK("https://klasma.github.io/Logging_2303/klagomål/A 62927-2025 FSC-klagomål.docx", "A 62927-2025")</f>
        <v/>
      </c>
      <c r="W818">
        <f>HYPERLINK("https://klasma.github.io/Logging_2303/klagomålsmail/A 62927-2025 FSC-klagomål mail.docx", "A 62927-2025")</f>
        <v/>
      </c>
      <c r="X818">
        <f>HYPERLINK("https://klasma.github.io/Logging_2303/tillsyn/A 62927-2025 tillsynsbegäran.docx", "A 62927-2025")</f>
        <v/>
      </c>
      <c r="Y818">
        <f>HYPERLINK("https://klasma.github.io/Logging_2303/tillsynsmail/A 62927-2025 tillsynsbegäran mail.docx", "A 62927-2025")</f>
        <v/>
      </c>
    </row>
    <row r="819" ht="15" customHeight="1">
      <c r="A819" t="inlineStr">
        <is>
          <t>A 45438-2022</t>
        </is>
      </c>
      <c r="B819" s="1" t="n">
        <v>44844.95368055555</v>
      </c>
      <c r="C819" s="1" t="n">
        <v>46043</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63141-2025</t>
        </is>
      </c>
      <c r="B820" s="1" t="n">
        <v>46010.34440972222</v>
      </c>
      <c r="C820" s="1" t="n">
        <v>46043</v>
      </c>
      <c r="D820" t="inlineStr">
        <is>
          <t>JÄMTLANDS LÄN</t>
        </is>
      </c>
      <c r="E820" t="inlineStr">
        <is>
          <t>RAGUNDA</t>
        </is>
      </c>
      <c r="F820" t="inlineStr">
        <is>
          <t>SCA</t>
        </is>
      </c>
      <c r="G820" t="n">
        <v>24.4</v>
      </c>
      <c r="H820" t="n">
        <v>0</v>
      </c>
      <c r="I820" t="n">
        <v>0</v>
      </c>
      <c r="J820" t="n">
        <v>0</v>
      </c>
      <c r="K820" t="n">
        <v>0</v>
      </c>
      <c r="L820" t="n">
        <v>0</v>
      </c>
      <c r="M820" t="n">
        <v>0</v>
      </c>
      <c r="N820" t="n">
        <v>0</v>
      </c>
      <c r="O820" t="n">
        <v>0</v>
      </c>
      <c r="P820" t="n">
        <v>0</v>
      </c>
      <c r="Q820" t="n">
        <v>0</v>
      </c>
      <c r="R820" s="2" t="inlineStr"/>
    </row>
    <row r="821" ht="15" customHeight="1">
      <c r="A821" t="inlineStr">
        <is>
          <t>A 30459-2021</t>
        </is>
      </c>
      <c r="B821" s="1" t="n">
        <v>44362</v>
      </c>
      <c r="C821" s="1" t="n">
        <v>46043</v>
      </c>
      <c r="D821" t="inlineStr">
        <is>
          <t>JÄMTLANDS LÄN</t>
        </is>
      </c>
      <c r="E821" t="inlineStr">
        <is>
          <t>RAGUNDA</t>
        </is>
      </c>
      <c r="G821" t="n">
        <v>1</v>
      </c>
      <c r="H821" t="n">
        <v>0</v>
      </c>
      <c r="I821" t="n">
        <v>0</v>
      </c>
      <c r="J821" t="n">
        <v>0</v>
      </c>
      <c r="K821" t="n">
        <v>0</v>
      </c>
      <c r="L821" t="n">
        <v>0</v>
      </c>
      <c r="M821" t="n">
        <v>0</v>
      </c>
      <c r="N821" t="n">
        <v>0</v>
      </c>
      <c r="O821" t="n">
        <v>0</v>
      </c>
      <c r="P821" t="n">
        <v>0</v>
      </c>
      <c r="Q821" t="n">
        <v>0</v>
      </c>
      <c r="R821" s="2" t="inlineStr"/>
    </row>
    <row r="822" ht="15" customHeight="1">
      <c r="A822" t="inlineStr">
        <is>
          <t>A 29263-2024</t>
        </is>
      </c>
      <c r="B822" s="1" t="n">
        <v>45482.94891203703</v>
      </c>
      <c r="C822" s="1" t="n">
        <v>46043</v>
      </c>
      <c r="D822" t="inlineStr">
        <is>
          <t>JÄMTLANDS LÄN</t>
        </is>
      </c>
      <c r="E822" t="inlineStr">
        <is>
          <t>RAGUNDA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29265-2024</t>
        </is>
      </c>
      <c r="B823" s="1" t="n">
        <v>45482.9491087963</v>
      </c>
      <c r="C823" s="1" t="n">
        <v>46043</v>
      </c>
      <c r="D823" t="inlineStr">
        <is>
          <t>JÄMTLANDS LÄN</t>
        </is>
      </c>
      <c r="E823" t="inlineStr">
        <is>
          <t>RAGUNDA</t>
        </is>
      </c>
      <c r="F823" t="inlineStr">
        <is>
          <t>SCA</t>
        </is>
      </c>
      <c r="G823" t="n">
        <v>11.6</v>
      </c>
      <c r="H823" t="n">
        <v>0</v>
      </c>
      <c r="I823" t="n">
        <v>0</v>
      </c>
      <c r="J823" t="n">
        <v>0</v>
      </c>
      <c r="K823" t="n">
        <v>0</v>
      </c>
      <c r="L823" t="n">
        <v>0</v>
      </c>
      <c r="M823" t="n">
        <v>0</v>
      </c>
      <c r="N823" t="n">
        <v>0</v>
      </c>
      <c r="O823" t="n">
        <v>0</v>
      </c>
      <c r="P823" t="n">
        <v>0</v>
      </c>
      <c r="Q823" t="n">
        <v>0</v>
      </c>
      <c r="R823" s="2" t="inlineStr"/>
    </row>
    <row r="824" ht="15" customHeight="1">
      <c r="A824" t="inlineStr">
        <is>
          <t>A 28973-2025</t>
        </is>
      </c>
      <c r="B824" s="1" t="n">
        <v>45821.34513888889</v>
      </c>
      <c r="C824" s="1" t="n">
        <v>46043</v>
      </c>
      <c r="D824" t="inlineStr">
        <is>
          <t>JÄMTLANDS LÄN</t>
        </is>
      </c>
      <c r="E824" t="inlineStr">
        <is>
          <t>RAGUNDA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13898-2023</t>
        </is>
      </c>
      <c r="B825" s="1" t="n">
        <v>45008.01408564814</v>
      </c>
      <c r="C825" s="1" t="n">
        <v>46043</v>
      </c>
      <c r="D825" t="inlineStr">
        <is>
          <t>JÄMTLANDS LÄN</t>
        </is>
      </c>
      <c r="E825" t="inlineStr">
        <is>
          <t>RAGUNDA</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41693-2023</t>
        </is>
      </c>
      <c r="B826" s="1" t="n">
        <v>45176</v>
      </c>
      <c r="C826" s="1" t="n">
        <v>46043</v>
      </c>
      <c r="D826" t="inlineStr">
        <is>
          <t>JÄMTLANDS LÄN</t>
        </is>
      </c>
      <c r="E826" t="inlineStr">
        <is>
          <t>RAGUNDA</t>
        </is>
      </c>
      <c r="G826" t="n">
        <v>5.5</v>
      </c>
      <c r="H826" t="n">
        <v>0</v>
      </c>
      <c r="I826" t="n">
        <v>0</v>
      </c>
      <c r="J826" t="n">
        <v>0</v>
      </c>
      <c r="K826" t="n">
        <v>0</v>
      </c>
      <c r="L826" t="n">
        <v>0</v>
      </c>
      <c r="M826" t="n">
        <v>0</v>
      </c>
      <c r="N826" t="n">
        <v>0</v>
      </c>
      <c r="O826" t="n">
        <v>0</v>
      </c>
      <c r="P826" t="n">
        <v>0</v>
      </c>
      <c r="Q826" t="n">
        <v>0</v>
      </c>
      <c r="R826" s="2" t="inlineStr"/>
    </row>
    <row r="827" ht="15" customHeight="1">
      <c r="A827" t="inlineStr">
        <is>
          <t>A 29723-2025</t>
        </is>
      </c>
      <c r="B827" s="1" t="n">
        <v>45825.57675925926</v>
      </c>
      <c r="C827" s="1" t="n">
        <v>46043</v>
      </c>
      <c r="D827" t="inlineStr">
        <is>
          <t>JÄMTLANDS LÄN</t>
        </is>
      </c>
      <c r="E827" t="inlineStr">
        <is>
          <t>RAGUNDA</t>
        </is>
      </c>
      <c r="G827" t="n">
        <v>3.1</v>
      </c>
      <c r="H827" t="n">
        <v>0</v>
      </c>
      <c r="I827" t="n">
        <v>0</v>
      </c>
      <c r="J827" t="n">
        <v>0</v>
      </c>
      <c r="K827" t="n">
        <v>0</v>
      </c>
      <c r="L827" t="n">
        <v>0</v>
      </c>
      <c r="M827" t="n">
        <v>0</v>
      </c>
      <c r="N827" t="n">
        <v>0</v>
      </c>
      <c r="O827" t="n">
        <v>0</v>
      </c>
      <c r="P827" t="n">
        <v>0</v>
      </c>
      <c r="Q827" t="n">
        <v>0</v>
      </c>
      <c r="R827" s="2" t="inlineStr"/>
    </row>
    <row r="828" ht="15" customHeight="1">
      <c r="A828" t="inlineStr">
        <is>
          <t>A 29731-2025</t>
        </is>
      </c>
      <c r="B828" s="1" t="n">
        <v>45825.58252314815</v>
      </c>
      <c r="C828" s="1" t="n">
        <v>46043</v>
      </c>
      <c r="D828" t="inlineStr">
        <is>
          <t>JÄMTLANDS LÄN</t>
        </is>
      </c>
      <c r="E828" t="inlineStr">
        <is>
          <t>RAGUNDA</t>
        </is>
      </c>
      <c r="G828" t="n">
        <v>2.3</v>
      </c>
      <c r="H828" t="n">
        <v>0</v>
      </c>
      <c r="I828" t="n">
        <v>0</v>
      </c>
      <c r="J828" t="n">
        <v>0</v>
      </c>
      <c r="K828" t="n">
        <v>0</v>
      </c>
      <c r="L828" t="n">
        <v>0</v>
      </c>
      <c r="M828" t="n">
        <v>0</v>
      </c>
      <c r="N828" t="n">
        <v>0</v>
      </c>
      <c r="O828" t="n">
        <v>0</v>
      </c>
      <c r="P828" t="n">
        <v>0</v>
      </c>
      <c r="Q828" t="n">
        <v>0</v>
      </c>
      <c r="R828" s="2" t="inlineStr"/>
    </row>
    <row r="829" ht="15" customHeight="1">
      <c r="A829" t="inlineStr">
        <is>
          <t>A 55633-2025</t>
        </is>
      </c>
      <c r="B829" s="1" t="n">
        <v>45972</v>
      </c>
      <c r="C829" s="1" t="n">
        <v>46043</v>
      </c>
      <c r="D829" t="inlineStr">
        <is>
          <t>JÄMTLANDS LÄN</t>
        </is>
      </c>
      <c r="E829" t="inlineStr">
        <is>
          <t>RAGUNDA</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55547-2025</t>
        </is>
      </c>
      <c r="B830" s="1" t="n">
        <v>45971</v>
      </c>
      <c r="C830" s="1" t="n">
        <v>46043</v>
      </c>
      <c r="D830" t="inlineStr">
        <is>
          <t>JÄMTLANDS LÄN</t>
        </is>
      </c>
      <c r="E830" t="inlineStr">
        <is>
          <t>RAGUNDA</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63578-2025</t>
        </is>
      </c>
      <c r="B831" s="1" t="n">
        <v>46013.67690972222</v>
      </c>
      <c r="C831" s="1" t="n">
        <v>46043</v>
      </c>
      <c r="D831" t="inlineStr">
        <is>
          <t>JÄMTLANDS LÄN</t>
        </is>
      </c>
      <c r="E831" t="inlineStr">
        <is>
          <t>RAGUNDA</t>
        </is>
      </c>
      <c r="G831" t="n">
        <v>2.7</v>
      </c>
      <c r="H831" t="n">
        <v>0</v>
      </c>
      <c r="I831" t="n">
        <v>0</v>
      </c>
      <c r="J831" t="n">
        <v>0</v>
      </c>
      <c r="K831" t="n">
        <v>0</v>
      </c>
      <c r="L831" t="n">
        <v>0</v>
      </c>
      <c r="M831" t="n">
        <v>0</v>
      </c>
      <c r="N831" t="n">
        <v>0</v>
      </c>
      <c r="O831" t="n">
        <v>0</v>
      </c>
      <c r="P831" t="n">
        <v>0</v>
      </c>
      <c r="Q831" t="n">
        <v>0</v>
      </c>
      <c r="R831" s="2" t="inlineStr"/>
    </row>
    <row r="832" ht="15" customHeight="1">
      <c r="A832" t="inlineStr">
        <is>
          <t>A 3770-2025</t>
        </is>
      </c>
      <c r="B832" s="1" t="n">
        <v>45681.6050925926</v>
      </c>
      <c r="C832" s="1" t="n">
        <v>46043</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63672-2025</t>
        </is>
      </c>
      <c r="B833" s="1" t="n">
        <v>46014.47575231481</v>
      </c>
      <c r="C833" s="1" t="n">
        <v>46043</v>
      </c>
      <c r="D833" t="inlineStr">
        <is>
          <t>JÄMTLANDS LÄN</t>
        </is>
      </c>
      <c r="E833" t="inlineStr">
        <is>
          <t>RAGUNDA</t>
        </is>
      </c>
      <c r="G833" t="n">
        <v>0.8</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46043</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46043</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9548-2025</t>
        </is>
      </c>
      <c r="B836" s="1" t="n">
        <v>45715.59405092592</v>
      </c>
      <c r="C836" s="1" t="n">
        <v>46043</v>
      </c>
      <c r="D836" t="inlineStr">
        <is>
          <t>JÄMTLANDS LÄN</t>
        </is>
      </c>
      <c r="E836" t="inlineStr">
        <is>
          <t>RAGUNDA</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55671-2025</t>
        </is>
      </c>
      <c r="B837" s="1" t="n">
        <v>45972</v>
      </c>
      <c r="C837" s="1" t="n">
        <v>46043</v>
      </c>
      <c r="D837" t="inlineStr">
        <is>
          <t>JÄMTLANDS LÄN</t>
        </is>
      </c>
      <c r="E837" t="inlineStr">
        <is>
          <t>RAGUNDA</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63671-2025</t>
        </is>
      </c>
      <c r="B838" s="1" t="n">
        <v>46014.46555555556</v>
      </c>
      <c r="C838" s="1" t="n">
        <v>46043</v>
      </c>
      <c r="D838" t="inlineStr">
        <is>
          <t>JÄMTLANDS LÄN</t>
        </is>
      </c>
      <c r="E838" t="inlineStr">
        <is>
          <t>RAGUNDA</t>
        </is>
      </c>
      <c r="G838" t="n">
        <v>0.9</v>
      </c>
      <c r="H838" t="n">
        <v>0</v>
      </c>
      <c r="I838" t="n">
        <v>0</v>
      </c>
      <c r="J838" t="n">
        <v>0</v>
      </c>
      <c r="K838" t="n">
        <v>0</v>
      </c>
      <c r="L838" t="n">
        <v>0</v>
      </c>
      <c r="M838" t="n">
        <v>0</v>
      </c>
      <c r="N838" t="n">
        <v>0</v>
      </c>
      <c r="O838" t="n">
        <v>0</v>
      </c>
      <c r="P838" t="n">
        <v>0</v>
      </c>
      <c r="Q838" t="n">
        <v>0</v>
      </c>
      <c r="R838" s="2" t="inlineStr"/>
    </row>
    <row r="839" ht="15" customHeight="1">
      <c r="A839" t="inlineStr">
        <is>
          <t>A 56170-2025</t>
        </is>
      </c>
      <c r="B839" s="1" t="n">
        <v>45974.39398148148</v>
      </c>
      <c r="C839" s="1" t="n">
        <v>46043</v>
      </c>
      <c r="D839" t="inlineStr">
        <is>
          <t>JÄMTLANDS LÄN</t>
        </is>
      </c>
      <c r="E839" t="inlineStr">
        <is>
          <t>RAGUNDA</t>
        </is>
      </c>
      <c r="G839" t="n">
        <v>2</v>
      </c>
      <c r="H839" t="n">
        <v>0</v>
      </c>
      <c r="I839" t="n">
        <v>0</v>
      </c>
      <c r="J839" t="n">
        <v>0</v>
      </c>
      <c r="K839" t="n">
        <v>0</v>
      </c>
      <c r="L839" t="n">
        <v>0</v>
      </c>
      <c r="M839" t="n">
        <v>0</v>
      </c>
      <c r="N839" t="n">
        <v>0</v>
      </c>
      <c r="O839" t="n">
        <v>0</v>
      </c>
      <c r="P839" t="n">
        <v>0</v>
      </c>
      <c r="Q839" t="n">
        <v>0</v>
      </c>
      <c r="R839" s="2" t="inlineStr"/>
    </row>
    <row r="840" ht="15" customHeight="1">
      <c r="A840" t="inlineStr">
        <is>
          <t>A 30088-2025</t>
        </is>
      </c>
      <c r="B840" s="1" t="n">
        <v>45826.65759259259</v>
      </c>
      <c r="C840" s="1" t="n">
        <v>46043</v>
      </c>
      <c r="D840" t="inlineStr">
        <is>
          <t>JÄMTLANDS LÄN</t>
        </is>
      </c>
      <c r="E840" t="inlineStr">
        <is>
          <t>RAGUNDA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55897-2025</t>
        </is>
      </c>
      <c r="B841" s="1" t="n">
        <v>45973.38600694444</v>
      </c>
      <c r="C841" s="1" t="n">
        <v>46043</v>
      </c>
      <c r="D841" t="inlineStr">
        <is>
          <t>JÄMTLANDS LÄN</t>
        </is>
      </c>
      <c r="E841" t="inlineStr">
        <is>
          <t>RAGUNDA</t>
        </is>
      </c>
      <c r="F841" t="inlineStr">
        <is>
          <t>SCA</t>
        </is>
      </c>
      <c r="G841" t="n">
        <v>14.1</v>
      </c>
      <c r="H841" t="n">
        <v>0</v>
      </c>
      <c r="I841" t="n">
        <v>0</v>
      </c>
      <c r="J841" t="n">
        <v>0</v>
      </c>
      <c r="K841" t="n">
        <v>0</v>
      </c>
      <c r="L841" t="n">
        <v>0</v>
      </c>
      <c r="M841" t="n">
        <v>0</v>
      </c>
      <c r="N841" t="n">
        <v>0</v>
      </c>
      <c r="O841" t="n">
        <v>0</v>
      </c>
      <c r="P841" t="n">
        <v>0</v>
      </c>
      <c r="Q841" t="n">
        <v>0</v>
      </c>
      <c r="R841" s="2" t="inlineStr"/>
    </row>
    <row r="842" ht="15" customHeight="1">
      <c r="A842" t="inlineStr">
        <is>
          <t>A 57237-2022</t>
        </is>
      </c>
      <c r="B842" s="1" t="n">
        <v>44889</v>
      </c>
      <c r="C842" s="1" t="n">
        <v>46043</v>
      </c>
      <c r="D842" t="inlineStr">
        <is>
          <t>JÄMTLANDS LÄN</t>
        </is>
      </c>
      <c r="E842" t="inlineStr">
        <is>
          <t>RAGUNDA</t>
        </is>
      </c>
      <c r="G842" t="n">
        <v>2.2</v>
      </c>
      <c r="H842" t="n">
        <v>0</v>
      </c>
      <c r="I842" t="n">
        <v>0</v>
      </c>
      <c r="J842" t="n">
        <v>0</v>
      </c>
      <c r="K842" t="n">
        <v>0</v>
      </c>
      <c r="L842" t="n">
        <v>0</v>
      </c>
      <c r="M842" t="n">
        <v>0</v>
      </c>
      <c r="N842" t="n">
        <v>0</v>
      </c>
      <c r="O842" t="n">
        <v>0</v>
      </c>
      <c r="P842" t="n">
        <v>0</v>
      </c>
      <c r="Q842" t="n">
        <v>0</v>
      </c>
      <c r="R842" s="2" t="inlineStr"/>
    </row>
    <row r="843" ht="15" customHeight="1">
      <c r="A843" t="inlineStr">
        <is>
          <t>A 55797-2025</t>
        </is>
      </c>
      <c r="B843" s="1" t="n">
        <v>45972.65693287037</v>
      </c>
      <c r="C843" s="1" t="n">
        <v>46043</v>
      </c>
      <c r="D843" t="inlineStr">
        <is>
          <t>JÄMTLANDS LÄN</t>
        </is>
      </c>
      <c r="E843" t="inlineStr">
        <is>
          <t>RAGUNDA</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31463-2024</t>
        </is>
      </c>
      <c r="B844" s="1" t="n">
        <v>45505</v>
      </c>
      <c r="C844" s="1" t="n">
        <v>46043</v>
      </c>
      <c r="D844" t="inlineStr">
        <is>
          <t>JÄMTLANDS LÄN</t>
        </is>
      </c>
      <c r="E844" t="inlineStr">
        <is>
          <t>RAGUNDA</t>
        </is>
      </c>
      <c r="F844" t="inlineStr">
        <is>
          <t>SCA</t>
        </is>
      </c>
      <c r="G844" t="n">
        <v>20.3</v>
      </c>
      <c r="H844" t="n">
        <v>0</v>
      </c>
      <c r="I844" t="n">
        <v>0</v>
      </c>
      <c r="J844" t="n">
        <v>0</v>
      </c>
      <c r="K844" t="n">
        <v>0</v>
      </c>
      <c r="L844" t="n">
        <v>0</v>
      </c>
      <c r="M844" t="n">
        <v>0</v>
      </c>
      <c r="N844" t="n">
        <v>0</v>
      </c>
      <c r="O844" t="n">
        <v>0</v>
      </c>
      <c r="P844" t="n">
        <v>0</v>
      </c>
      <c r="Q844" t="n">
        <v>0</v>
      </c>
      <c r="R844" s="2" t="inlineStr"/>
    </row>
    <row r="845" ht="15" customHeight="1">
      <c r="A845" t="inlineStr">
        <is>
          <t>A 13263-2025</t>
        </is>
      </c>
      <c r="B845" s="1" t="n">
        <v>45735.53177083333</v>
      </c>
      <c r="C845" s="1" t="n">
        <v>46043</v>
      </c>
      <c r="D845" t="inlineStr">
        <is>
          <t>JÄMTLANDS LÄN</t>
        </is>
      </c>
      <c r="E845" t="inlineStr">
        <is>
          <t>RAGUNDA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13276-2025</t>
        </is>
      </c>
      <c r="B846" s="1" t="n">
        <v>45735.5517824074</v>
      </c>
      <c r="C846" s="1" t="n">
        <v>46043</v>
      </c>
      <c r="D846" t="inlineStr">
        <is>
          <t>JÄMTLANDS LÄN</t>
        </is>
      </c>
      <c r="E846" t="inlineStr">
        <is>
          <t>RAGUNDA</t>
        </is>
      </c>
      <c r="G846" t="n">
        <v>16.6</v>
      </c>
      <c r="H846" t="n">
        <v>0</v>
      </c>
      <c r="I846" t="n">
        <v>0</v>
      </c>
      <c r="J846" t="n">
        <v>0</v>
      </c>
      <c r="K846" t="n">
        <v>0</v>
      </c>
      <c r="L846" t="n">
        <v>0</v>
      </c>
      <c r="M846" t="n">
        <v>0</v>
      </c>
      <c r="N846" t="n">
        <v>0</v>
      </c>
      <c r="O846" t="n">
        <v>0</v>
      </c>
      <c r="P846" t="n">
        <v>0</v>
      </c>
      <c r="Q846" t="n">
        <v>0</v>
      </c>
      <c r="R846" s="2" t="inlineStr"/>
    </row>
    <row r="847" ht="15" customHeight="1">
      <c r="A847" t="inlineStr">
        <is>
          <t>A 30348-2025</t>
        </is>
      </c>
      <c r="B847" s="1" t="n">
        <v>45827.53178240741</v>
      </c>
      <c r="C847" s="1" t="n">
        <v>46043</v>
      </c>
      <c r="D847" t="inlineStr">
        <is>
          <t>JÄMTLANDS LÄN</t>
        </is>
      </c>
      <c r="E847" t="inlineStr">
        <is>
          <t>RAGUNDA</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30434-2025</t>
        </is>
      </c>
      <c r="B848" s="1" t="n">
        <v>45827.63582175926</v>
      </c>
      <c r="C848" s="1" t="n">
        <v>46043</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12405-2025</t>
        </is>
      </c>
      <c r="B849" s="1" t="n">
        <v>45730.42738425926</v>
      </c>
      <c r="C849" s="1" t="n">
        <v>46043</v>
      </c>
      <c r="D849" t="inlineStr">
        <is>
          <t>JÄMTLANDS LÄN</t>
        </is>
      </c>
      <c r="E849" t="inlineStr">
        <is>
          <t>RAGUNDA</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12808-2025</t>
        </is>
      </c>
      <c r="B850" s="1" t="n">
        <v>45733.61554398148</v>
      </c>
      <c r="C850" s="1" t="n">
        <v>46043</v>
      </c>
      <c r="D850" t="inlineStr">
        <is>
          <t>JÄMTLANDS LÄN</t>
        </is>
      </c>
      <c r="E850" t="inlineStr">
        <is>
          <t>RAGUNDA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56806-2025</t>
        </is>
      </c>
      <c r="B851" s="1" t="n">
        <v>45978.44842592593</v>
      </c>
      <c r="C851" s="1" t="n">
        <v>46043</v>
      </c>
      <c r="D851" t="inlineStr">
        <is>
          <t>JÄMTLANDS LÄN</t>
        </is>
      </c>
      <c r="E851" t="inlineStr">
        <is>
          <t>RAGUNDA</t>
        </is>
      </c>
      <c r="F851" t="inlineStr">
        <is>
          <t>SCA</t>
        </is>
      </c>
      <c r="G851" t="n">
        <v>7.5</v>
      </c>
      <c r="H851" t="n">
        <v>0</v>
      </c>
      <c r="I851" t="n">
        <v>0</v>
      </c>
      <c r="J851" t="n">
        <v>0</v>
      </c>
      <c r="K851" t="n">
        <v>0</v>
      </c>
      <c r="L851" t="n">
        <v>0</v>
      </c>
      <c r="M851" t="n">
        <v>0</v>
      </c>
      <c r="N851" t="n">
        <v>0</v>
      </c>
      <c r="O851" t="n">
        <v>0</v>
      </c>
      <c r="P851" t="n">
        <v>0</v>
      </c>
      <c r="Q851" t="n">
        <v>0</v>
      </c>
      <c r="R851" s="2" t="inlineStr"/>
    </row>
    <row r="852" ht="15" customHeight="1">
      <c r="A852" t="inlineStr">
        <is>
          <t>A 46546-2023</t>
        </is>
      </c>
      <c r="B852" s="1" t="n">
        <v>45197.94152777778</v>
      </c>
      <c r="C852" s="1" t="n">
        <v>46043</v>
      </c>
      <c r="D852" t="inlineStr">
        <is>
          <t>JÄMTLANDS LÄN</t>
        </is>
      </c>
      <c r="E852" t="inlineStr">
        <is>
          <t>RAGUNDA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6716-2025</t>
        </is>
      </c>
      <c r="B853" s="1" t="n">
        <v>45700.57324074074</v>
      </c>
      <c r="C853" s="1" t="n">
        <v>46043</v>
      </c>
      <c r="D853" t="inlineStr">
        <is>
          <t>JÄMTLANDS LÄN</t>
        </is>
      </c>
      <c r="E853" t="inlineStr">
        <is>
          <t>RAGUNDA</t>
        </is>
      </c>
      <c r="F853" t="inlineStr">
        <is>
          <t>SCA</t>
        </is>
      </c>
      <c r="G853" t="n">
        <v>5.1</v>
      </c>
      <c r="H853" t="n">
        <v>0</v>
      </c>
      <c r="I853" t="n">
        <v>0</v>
      </c>
      <c r="J853" t="n">
        <v>0</v>
      </c>
      <c r="K853" t="n">
        <v>0</v>
      </c>
      <c r="L853" t="n">
        <v>0</v>
      </c>
      <c r="M853" t="n">
        <v>0</v>
      </c>
      <c r="N853" t="n">
        <v>0</v>
      </c>
      <c r="O853" t="n">
        <v>0</v>
      </c>
      <c r="P853" t="n">
        <v>0</v>
      </c>
      <c r="Q853" t="n">
        <v>0</v>
      </c>
      <c r="R853" s="2" t="inlineStr"/>
    </row>
    <row r="854" ht="15" customHeight="1">
      <c r="A854" t="inlineStr">
        <is>
          <t>A 30823-2023</t>
        </is>
      </c>
      <c r="B854" s="1" t="n">
        <v>45112</v>
      </c>
      <c r="C854" s="1" t="n">
        <v>46043</v>
      </c>
      <c r="D854" t="inlineStr">
        <is>
          <t>JÄMTLANDS LÄN</t>
        </is>
      </c>
      <c r="E854" t="inlineStr">
        <is>
          <t>RAGUNDA</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30484-2024</t>
        </is>
      </c>
      <c r="B855" s="1" t="n">
        <v>45491</v>
      </c>
      <c r="C855" s="1" t="n">
        <v>46043</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30883-2025</t>
        </is>
      </c>
      <c r="B856" s="1" t="n">
        <v>45832.34552083333</v>
      </c>
      <c r="C856" s="1" t="n">
        <v>46043</v>
      </c>
      <c r="D856" t="inlineStr">
        <is>
          <t>JÄMTLANDS LÄN</t>
        </is>
      </c>
      <c r="E856" t="inlineStr">
        <is>
          <t>RAGUNDA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11288-2022</t>
        </is>
      </c>
      <c r="B857" s="1" t="n">
        <v>44629</v>
      </c>
      <c r="C857" s="1" t="n">
        <v>46043</v>
      </c>
      <c r="D857" t="inlineStr">
        <is>
          <t>JÄMTLANDS LÄN</t>
        </is>
      </c>
      <c r="E857" t="inlineStr">
        <is>
          <t>RAGUNDA</t>
        </is>
      </c>
      <c r="G857" t="n">
        <v>4.9</v>
      </c>
      <c r="H857" t="n">
        <v>0</v>
      </c>
      <c r="I857" t="n">
        <v>0</v>
      </c>
      <c r="J857" t="n">
        <v>0</v>
      </c>
      <c r="K857" t="n">
        <v>0</v>
      </c>
      <c r="L857" t="n">
        <v>0</v>
      </c>
      <c r="M857" t="n">
        <v>0</v>
      </c>
      <c r="N857" t="n">
        <v>0</v>
      </c>
      <c r="O857" t="n">
        <v>0</v>
      </c>
      <c r="P857" t="n">
        <v>0</v>
      </c>
      <c r="Q857" t="n">
        <v>0</v>
      </c>
      <c r="R857" s="2" t="inlineStr"/>
    </row>
    <row r="858" ht="15" customHeight="1">
      <c r="A858" t="inlineStr">
        <is>
          <t>A 19865-2023</t>
        </is>
      </c>
      <c r="B858" s="1" t="n">
        <v>45053.94305555556</v>
      </c>
      <c r="C858" s="1" t="n">
        <v>46043</v>
      </c>
      <c r="D858" t="inlineStr">
        <is>
          <t>JÄMTLANDS LÄN</t>
        </is>
      </c>
      <c r="E858" t="inlineStr">
        <is>
          <t>RAGUNDA</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1554-2024</t>
        </is>
      </c>
      <c r="B859" s="1" t="n">
        <v>45306</v>
      </c>
      <c r="C859" s="1" t="n">
        <v>46043</v>
      </c>
      <c r="D859" t="inlineStr">
        <is>
          <t>JÄMTLANDS LÄN</t>
        </is>
      </c>
      <c r="E859" t="inlineStr">
        <is>
          <t>RAGUNDA</t>
        </is>
      </c>
      <c r="G859" t="n">
        <v>4.3</v>
      </c>
      <c r="H859" t="n">
        <v>0</v>
      </c>
      <c r="I859" t="n">
        <v>0</v>
      </c>
      <c r="J859" t="n">
        <v>0</v>
      </c>
      <c r="K859" t="n">
        <v>0</v>
      </c>
      <c r="L859" t="n">
        <v>0</v>
      </c>
      <c r="M859" t="n">
        <v>0</v>
      </c>
      <c r="N859" t="n">
        <v>0</v>
      </c>
      <c r="O859" t="n">
        <v>0</v>
      </c>
      <c r="P859" t="n">
        <v>0</v>
      </c>
      <c r="Q859" t="n">
        <v>0</v>
      </c>
      <c r="R859" s="2" t="inlineStr"/>
    </row>
    <row r="860" ht="15" customHeight="1">
      <c r="A860" t="inlineStr">
        <is>
          <t>A 22011-2023</t>
        </is>
      </c>
      <c r="B860" s="1" t="n">
        <v>45068</v>
      </c>
      <c r="C860" s="1" t="n">
        <v>46043</v>
      </c>
      <c r="D860" t="inlineStr">
        <is>
          <t>JÄMTLANDS LÄN</t>
        </is>
      </c>
      <c r="E860" t="inlineStr">
        <is>
          <t>RAGUNDA</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13389-2025</t>
        </is>
      </c>
      <c r="B861" s="1" t="n">
        <v>45735.69842592593</v>
      </c>
      <c r="C861" s="1" t="n">
        <v>46043</v>
      </c>
      <c r="D861" t="inlineStr">
        <is>
          <t>JÄMTLANDS LÄN</t>
        </is>
      </c>
      <c r="E861" t="inlineStr">
        <is>
          <t>RAGUNDA</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30880-2025</t>
        </is>
      </c>
      <c r="B862" s="1" t="n">
        <v>45832.34524305556</v>
      </c>
      <c r="C862" s="1" t="n">
        <v>46043</v>
      </c>
      <c r="D862" t="inlineStr">
        <is>
          <t>JÄMTLANDS LÄN</t>
        </is>
      </c>
      <c r="E862" t="inlineStr">
        <is>
          <t>RAGUNDA</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30887-2025</t>
        </is>
      </c>
      <c r="B863" s="1" t="n">
        <v>45832.3459375</v>
      </c>
      <c r="C863" s="1" t="n">
        <v>46043</v>
      </c>
      <c r="D863" t="inlineStr">
        <is>
          <t>JÄMTLANDS LÄN</t>
        </is>
      </c>
      <c r="E863" t="inlineStr">
        <is>
          <t>RAGUNDA</t>
        </is>
      </c>
      <c r="F863" t="inlineStr">
        <is>
          <t>SCA</t>
        </is>
      </c>
      <c r="G863" t="n">
        <v>10.1</v>
      </c>
      <c r="H863" t="n">
        <v>0</v>
      </c>
      <c r="I863" t="n">
        <v>0</v>
      </c>
      <c r="J863" t="n">
        <v>0</v>
      </c>
      <c r="K863" t="n">
        <v>0</v>
      </c>
      <c r="L863" t="n">
        <v>0</v>
      </c>
      <c r="M863" t="n">
        <v>0</v>
      </c>
      <c r="N863" t="n">
        <v>0</v>
      </c>
      <c r="O863" t="n">
        <v>0</v>
      </c>
      <c r="P863" t="n">
        <v>0</v>
      </c>
      <c r="Q863" t="n">
        <v>0</v>
      </c>
      <c r="R863" s="2" t="inlineStr"/>
    </row>
    <row r="864" ht="15" customHeight="1">
      <c r="A864" t="inlineStr">
        <is>
          <t>A 2831-2024</t>
        </is>
      </c>
      <c r="B864" s="1" t="n">
        <v>45314.92758101852</v>
      </c>
      <c r="C864" s="1" t="n">
        <v>46043</v>
      </c>
      <c r="D864" t="inlineStr">
        <is>
          <t>JÄMTLANDS LÄN</t>
        </is>
      </c>
      <c r="E864" t="inlineStr">
        <is>
          <t>RAGUNDA</t>
        </is>
      </c>
      <c r="G864" t="n">
        <v>0.6</v>
      </c>
      <c r="H864" t="n">
        <v>0</v>
      </c>
      <c r="I864" t="n">
        <v>0</v>
      </c>
      <c r="J864" t="n">
        <v>0</v>
      </c>
      <c r="K864" t="n">
        <v>0</v>
      </c>
      <c r="L864" t="n">
        <v>0</v>
      </c>
      <c r="M864" t="n">
        <v>0</v>
      </c>
      <c r="N864" t="n">
        <v>0</v>
      </c>
      <c r="O864" t="n">
        <v>0</v>
      </c>
      <c r="P864" t="n">
        <v>0</v>
      </c>
      <c r="Q864" t="n">
        <v>0</v>
      </c>
      <c r="R864" s="2" t="inlineStr"/>
    </row>
    <row r="865" ht="15" customHeight="1">
      <c r="A865" t="inlineStr">
        <is>
          <t>A 13264-2025</t>
        </is>
      </c>
      <c r="B865" s="1" t="n">
        <v>45735</v>
      </c>
      <c r="C865" s="1" t="n">
        <v>46043</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37268-2024</t>
        </is>
      </c>
      <c r="B866" s="1" t="n">
        <v>45540.38586805556</v>
      </c>
      <c r="C866" s="1" t="n">
        <v>46043</v>
      </c>
      <c r="D866" t="inlineStr">
        <is>
          <t>JÄMTLANDS LÄN</t>
        </is>
      </c>
      <c r="E866" t="inlineStr">
        <is>
          <t>RAGUNDA</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31882-2025</t>
        </is>
      </c>
      <c r="B867" s="1" t="n">
        <v>45834.65662037037</v>
      </c>
      <c r="C867" s="1" t="n">
        <v>46043</v>
      </c>
      <c r="D867" t="inlineStr">
        <is>
          <t>JÄMTLANDS LÄN</t>
        </is>
      </c>
      <c r="E867" t="inlineStr">
        <is>
          <t>RAGUNDA</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41179-2022</t>
        </is>
      </c>
      <c r="B868" s="1" t="n">
        <v>44825</v>
      </c>
      <c r="C868" s="1" t="n">
        <v>46043</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17598-2021</t>
        </is>
      </c>
      <c r="B869" s="1" t="n">
        <v>44299</v>
      </c>
      <c r="C869" s="1" t="n">
        <v>46043</v>
      </c>
      <c r="D869" t="inlineStr">
        <is>
          <t>JÄMTLANDS LÄN</t>
        </is>
      </c>
      <c r="E869" t="inlineStr">
        <is>
          <t>RAGUNDA</t>
        </is>
      </c>
      <c r="G869" t="n">
        <v>4.6</v>
      </c>
      <c r="H869" t="n">
        <v>0</v>
      </c>
      <c r="I869" t="n">
        <v>0</v>
      </c>
      <c r="J869" t="n">
        <v>0</v>
      </c>
      <c r="K869" t="n">
        <v>0</v>
      </c>
      <c r="L869" t="n">
        <v>0</v>
      </c>
      <c r="M869" t="n">
        <v>0</v>
      </c>
      <c r="N869" t="n">
        <v>0</v>
      </c>
      <c r="O869" t="n">
        <v>0</v>
      </c>
      <c r="P869" t="n">
        <v>0</v>
      </c>
      <c r="Q869" t="n">
        <v>0</v>
      </c>
      <c r="R869" s="2" t="inlineStr"/>
    </row>
    <row r="870" ht="15" customHeight="1">
      <c r="A870" t="inlineStr">
        <is>
          <t>A 62541-2022</t>
        </is>
      </c>
      <c r="B870" s="1" t="n">
        <v>44917</v>
      </c>
      <c r="C870" s="1" t="n">
        <v>46043</v>
      </c>
      <c r="D870" t="inlineStr">
        <is>
          <t>JÄMTLANDS LÄN</t>
        </is>
      </c>
      <c r="E870" t="inlineStr">
        <is>
          <t>RAGUNDA</t>
        </is>
      </c>
      <c r="G870" t="n">
        <v>2.6</v>
      </c>
      <c r="H870" t="n">
        <v>0</v>
      </c>
      <c r="I870" t="n">
        <v>0</v>
      </c>
      <c r="J870" t="n">
        <v>0</v>
      </c>
      <c r="K870" t="n">
        <v>0</v>
      </c>
      <c r="L870" t="n">
        <v>0</v>
      </c>
      <c r="M870" t="n">
        <v>0</v>
      </c>
      <c r="N870" t="n">
        <v>0</v>
      </c>
      <c r="O870" t="n">
        <v>0</v>
      </c>
      <c r="P870" t="n">
        <v>0</v>
      </c>
      <c r="Q870" t="n">
        <v>0</v>
      </c>
      <c r="R870" s="2" t="inlineStr"/>
    </row>
    <row r="871" ht="15" customHeight="1">
      <c r="A871" t="inlineStr">
        <is>
          <t>A 32762-2025</t>
        </is>
      </c>
      <c r="B871" s="1" t="n">
        <v>45838</v>
      </c>
      <c r="C871" s="1" t="n">
        <v>46043</v>
      </c>
      <c r="D871" t="inlineStr">
        <is>
          <t>JÄMTLANDS LÄN</t>
        </is>
      </c>
      <c r="E871" t="inlineStr">
        <is>
          <t>RAGUNDA</t>
        </is>
      </c>
      <c r="G871" t="n">
        <v>0.6</v>
      </c>
      <c r="H871" t="n">
        <v>0</v>
      </c>
      <c r="I871" t="n">
        <v>0</v>
      </c>
      <c r="J871" t="n">
        <v>0</v>
      </c>
      <c r="K871" t="n">
        <v>0</v>
      </c>
      <c r="L871" t="n">
        <v>0</v>
      </c>
      <c r="M871" t="n">
        <v>0</v>
      </c>
      <c r="N871" t="n">
        <v>0</v>
      </c>
      <c r="O871" t="n">
        <v>0</v>
      </c>
      <c r="P871" t="n">
        <v>0</v>
      </c>
      <c r="Q871" t="n">
        <v>0</v>
      </c>
      <c r="R871" s="2" t="inlineStr"/>
    </row>
    <row r="872" ht="15" customHeight="1">
      <c r="A872" t="inlineStr">
        <is>
          <t>A 61400-2022</t>
        </is>
      </c>
      <c r="B872" s="1" t="n">
        <v>44915</v>
      </c>
      <c r="C872" s="1" t="n">
        <v>46043</v>
      </c>
      <c r="D872" t="inlineStr">
        <is>
          <t>JÄMTLANDS LÄN</t>
        </is>
      </c>
      <c r="E872" t="inlineStr">
        <is>
          <t>RAGUNDA</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32306-2025</t>
        </is>
      </c>
      <c r="B873" s="1" t="n">
        <v>45835.72046296296</v>
      </c>
      <c r="C873" s="1" t="n">
        <v>46043</v>
      </c>
      <c r="D873" t="inlineStr">
        <is>
          <t>JÄMTLANDS LÄN</t>
        </is>
      </c>
      <c r="E873" t="inlineStr">
        <is>
          <t>RAGUNDA</t>
        </is>
      </c>
      <c r="G873" t="n">
        <v>10.2</v>
      </c>
      <c r="H873" t="n">
        <v>0</v>
      </c>
      <c r="I873" t="n">
        <v>0</v>
      </c>
      <c r="J873" t="n">
        <v>0</v>
      </c>
      <c r="K873" t="n">
        <v>0</v>
      </c>
      <c r="L873" t="n">
        <v>0</v>
      </c>
      <c r="M873" t="n">
        <v>0</v>
      </c>
      <c r="N873" t="n">
        <v>0</v>
      </c>
      <c r="O873" t="n">
        <v>0</v>
      </c>
      <c r="P873" t="n">
        <v>0</v>
      </c>
      <c r="Q873" t="n">
        <v>0</v>
      </c>
      <c r="R873" s="2" t="inlineStr"/>
    </row>
    <row r="874" ht="15" customHeight="1">
      <c r="A874" t="inlineStr">
        <is>
          <t>A 32757-2025</t>
        </is>
      </c>
      <c r="B874" s="1" t="n">
        <v>45838</v>
      </c>
      <c r="C874" s="1" t="n">
        <v>46043</v>
      </c>
      <c r="D874" t="inlineStr">
        <is>
          <t>JÄMTLANDS LÄN</t>
        </is>
      </c>
      <c r="E874" t="inlineStr">
        <is>
          <t>RAGUNDA</t>
        </is>
      </c>
      <c r="G874" t="n">
        <v>4.5</v>
      </c>
      <c r="H874" t="n">
        <v>0</v>
      </c>
      <c r="I874" t="n">
        <v>0</v>
      </c>
      <c r="J874" t="n">
        <v>0</v>
      </c>
      <c r="K874" t="n">
        <v>0</v>
      </c>
      <c r="L874" t="n">
        <v>0</v>
      </c>
      <c r="M874" t="n">
        <v>0</v>
      </c>
      <c r="N874" t="n">
        <v>0</v>
      </c>
      <c r="O874" t="n">
        <v>0</v>
      </c>
      <c r="P874" t="n">
        <v>0</v>
      </c>
      <c r="Q874" t="n">
        <v>0</v>
      </c>
      <c r="R874" s="2" t="inlineStr"/>
    </row>
    <row r="875" ht="15" customHeight="1">
      <c r="A875" t="inlineStr">
        <is>
          <t>A 24861-2023</t>
        </is>
      </c>
      <c r="B875" s="1" t="n">
        <v>45078</v>
      </c>
      <c r="C875" s="1" t="n">
        <v>46043</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32660-2025</t>
        </is>
      </c>
      <c r="B876" s="1" t="n">
        <v>45838.67887731481</v>
      </c>
      <c r="C876" s="1" t="n">
        <v>46043</v>
      </c>
      <c r="D876" t="inlineStr">
        <is>
          <t>JÄMTLANDS LÄN</t>
        </is>
      </c>
      <c r="E876" t="inlineStr">
        <is>
          <t>RAGUNDA</t>
        </is>
      </c>
      <c r="F876" t="inlineStr">
        <is>
          <t>SCA</t>
        </is>
      </c>
      <c r="G876" t="n">
        <v>10.3</v>
      </c>
      <c r="H876" t="n">
        <v>0</v>
      </c>
      <c r="I876" t="n">
        <v>0</v>
      </c>
      <c r="J876" t="n">
        <v>0</v>
      </c>
      <c r="K876" t="n">
        <v>0</v>
      </c>
      <c r="L876" t="n">
        <v>0</v>
      </c>
      <c r="M876" t="n">
        <v>0</v>
      </c>
      <c r="N876" t="n">
        <v>0</v>
      </c>
      <c r="O876" t="n">
        <v>0</v>
      </c>
      <c r="P876" t="n">
        <v>0</v>
      </c>
      <c r="Q876" t="n">
        <v>0</v>
      </c>
      <c r="R876" s="2" t="inlineStr"/>
    </row>
    <row r="877" ht="15" customHeight="1">
      <c r="A877" t="inlineStr">
        <is>
          <t>A 32527-2025</t>
        </is>
      </c>
      <c r="B877" s="1" t="n">
        <v>45838.48996527777</v>
      </c>
      <c r="C877" s="1" t="n">
        <v>46043</v>
      </c>
      <c r="D877" t="inlineStr">
        <is>
          <t>JÄMTLANDS LÄN</t>
        </is>
      </c>
      <c r="E877" t="inlineStr">
        <is>
          <t>RAGUNDA</t>
        </is>
      </c>
      <c r="G877" t="n">
        <v>5</v>
      </c>
      <c r="H877" t="n">
        <v>0</v>
      </c>
      <c r="I877" t="n">
        <v>0</v>
      </c>
      <c r="J877" t="n">
        <v>0</v>
      </c>
      <c r="K877" t="n">
        <v>0</v>
      </c>
      <c r="L877" t="n">
        <v>0</v>
      </c>
      <c r="M877" t="n">
        <v>0</v>
      </c>
      <c r="N877" t="n">
        <v>0</v>
      </c>
      <c r="O877" t="n">
        <v>0</v>
      </c>
      <c r="P877" t="n">
        <v>0</v>
      </c>
      <c r="Q877" t="n">
        <v>0</v>
      </c>
      <c r="R877" s="2" t="inlineStr"/>
    </row>
    <row r="878" ht="15" customHeight="1">
      <c r="A878" t="inlineStr">
        <is>
          <t>A 32021-2025</t>
        </is>
      </c>
      <c r="B878" s="1" t="n">
        <v>45835.40668981482</v>
      </c>
      <c r="C878" s="1" t="n">
        <v>46043</v>
      </c>
      <c r="D878" t="inlineStr">
        <is>
          <t>JÄMTLANDS LÄN</t>
        </is>
      </c>
      <c r="E878" t="inlineStr">
        <is>
          <t>RAGUNDA</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32655-2025</t>
        </is>
      </c>
      <c r="B879" s="1" t="n">
        <v>45838.67800925926</v>
      </c>
      <c r="C879" s="1" t="n">
        <v>46043</v>
      </c>
      <c r="D879" t="inlineStr">
        <is>
          <t>JÄMTLANDS LÄN</t>
        </is>
      </c>
      <c r="E879" t="inlineStr">
        <is>
          <t>RAGUNDA</t>
        </is>
      </c>
      <c r="G879" t="n">
        <v>2.8</v>
      </c>
      <c r="H879" t="n">
        <v>0</v>
      </c>
      <c r="I879" t="n">
        <v>0</v>
      </c>
      <c r="J879" t="n">
        <v>0</v>
      </c>
      <c r="K879" t="n">
        <v>0</v>
      </c>
      <c r="L879" t="n">
        <v>0</v>
      </c>
      <c r="M879" t="n">
        <v>0</v>
      </c>
      <c r="N879" t="n">
        <v>0</v>
      </c>
      <c r="O879" t="n">
        <v>0</v>
      </c>
      <c r="P879" t="n">
        <v>0</v>
      </c>
      <c r="Q879" t="n">
        <v>0</v>
      </c>
      <c r="R879" s="2" t="inlineStr"/>
    </row>
    <row r="880" ht="15" customHeight="1">
      <c r="A880" t="inlineStr">
        <is>
          <t>A 38270-2021</t>
        </is>
      </c>
      <c r="B880" s="1" t="n">
        <v>44405.92065972222</v>
      </c>
      <c r="C880" s="1" t="n">
        <v>46043</v>
      </c>
      <c r="D880" t="inlineStr">
        <is>
          <t>JÄMTLANDS LÄN</t>
        </is>
      </c>
      <c r="E880" t="inlineStr">
        <is>
          <t>RAGUNDA</t>
        </is>
      </c>
      <c r="G880" t="n">
        <v>1.3</v>
      </c>
      <c r="H880" t="n">
        <v>0</v>
      </c>
      <c r="I880" t="n">
        <v>0</v>
      </c>
      <c r="J880" t="n">
        <v>0</v>
      </c>
      <c r="K880" t="n">
        <v>0</v>
      </c>
      <c r="L880" t="n">
        <v>0</v>
      </c>
      <c r="M880" t="n">
        <v>0</v>
      </c>
      <c r="N880" t="n">
        <v>0</v>
      </c>
      <c r="O880" t="n">
        <v>0</v>
      </c>
      <c r="P880" t="n">
        <v>0</v>
      </c>
      <c r="Q880" t="n">
        <v>0</v>
      </c>
      <c r="R880" s="2" t="inlineStr"/>
    </row>
    <row r="881" ht="15" customHeight="1">
      <c r="A881" t="inlineStr">
        <is>
          <t>A 4866-2025</t>
        </is>
      </c>
      <c r="B881" s="1" t="n">
        <v>45688.67542824074</v>
      </c>
      <c r="C881" s="1" t="n">
        <v>46043</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32151-2025</t>
        </is>
      </c>
      <c r="B882" s="1" t="n">
        <v>45835.53166666667</v>
      </c>
      <c r="C882" s="1" t="n">
        <v>46043</v>
      </c>
      <c r="D882" t="inlineStr">
        <is>
          <t>JÄMTLANDS LÄN</t>
        </is>
      </c>
      <c r="E882" t="inlineStr">
        <is>
          <t>RAGUNDA</t>
        </is>
      </c>
      <c r="F882" t="inlineStr">
        <is>
          <t>SCA</t>
        </is>
      </c>
      <c r="G882" t="n">
        <v>12.3</v>
      </c>
      <c r="H882" t="n">
        <v>0</v>
      </c>
      <c r="I882" t="n">
        <v>0</v>
      </c>
      <c r="J882" t="n">
        <v>0</v>
      </c>
      <c r="K882" t="n">
        <v>0</v>
      </c>
      <c r="L882" t="n">
        <v>0</v>
      </c>
      <c r="M882" t="n">
        <v>0</v>
      </c>
      <c r="N882" t="n">
        <v>0</v>
      </c>
      <c r="O882" t="n">
        <v>0</v>
      </c>
      <c r="P882" t="n">
        <v>0</v>
      </c>
      <c r="Q882" t="n">
        <v>0</v>
      </c>
      <c r="R882" s="2" t="inlineStr"/>
    </row>
    <row r="883" ht="15" customHeight="1">
      <c r="A883" t="inlineStr">
        <is>
          <t>A 32096-2025</t>
        </is>
      </c>
      <c r="B883" s="1" t="n">
        <v>45835.46334490741</v>
      </c>
      <c r="C883" s="1" t="n">
        <v>46043</v>
      </c>
      <c r="D883" t="inlineStr">
        <is>
          <t>JÄMTLANDS LÄN</t>
        </is>
      </c>
      <c r="E883" t="inlineStr">
        <is>
          <t>RAGUNDA</t>
        </is>
      </c>
      <c r="G883" t="n">
        <v>0.9</v>
      </c>
      <c r="H883" t="n">
        <v>0</v>
      </c>
      <c r="I883" t="n">
        <v>0</v>
      </c>
      <c r="J883" t="n">
        <v>0</v>
      </c>
      <c r="K883" t="n">
        <v>0</v>
      </c>
      <c r="L883" t="n">
        <v>0</v>
      </c>
      <c r="M883" t="n">
        <v>0</v>
      </c>
      <c r="N883" t="n">
        <v>0</v>
      </c>
      <c r="O883" t="n">
        <v>0</v>
      </c>
      <c r="P883" t="n">
        <v>0</v>
      </c>
      <c r="Q883" t="n">
        <v>0</v>
      </c>
      <c r="R883" s="2" t="inlineStr"/>
    </row>
    <row r="884" ht="15" customHeight="1">
      <c r="A884" t="inlineStr">
        <is>
          <t>A 32748-2025</t>
        </is>
      </c>
      <c r="B884" s="1" t="n">
        <v>45839.42822916667</v>
      </c>
      <c r="C884" s="1" t="n">
        <v>46043</v>
      </c>
      <c r="D884" t="inlineStr">
        <is>
          <t>JÄMTLANDS LÄN</t>
        </is>
      </c>
      <c r="E884" t="inlineStr">
        <is>
          <t>RAGUNDA</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32777-2025</t>
        </is>
      </c>
      <c r="B885" s="1" t="n">
        <v>45839.46915509259</v>
      </c>
      <c r="C885" s="1" t="n">
        <v>46043</v>
      </c>
      <c r="D885" t="inlineStr">
        <is>
          <t>JÄMTLANDS LÄN</t>
        </is>
      </c>
      <c r="E885" t="inlineStr">
        <is>
          <t>RAGUNDA</t>
        </is>
      </c>
      <c r="F885" t="inlineStr">
        <is>
          <t>SCA</t>
        </is>
      </c>
      <c r="G885" t="n">
        <v>21.7</v>
      </c>
      <c r="H885" t="n">
        <v>0</v>
      </c>
      <c r="I885" t="n">
        <v>0</v>
      </c>
      <c r="J885" t="n">
        <v>0</v>
      </c>
      <c r="K885" t="n">
        <v>0</v>
      </c>
      <c r="L885" t="n">
        <v>0</v>
      </c>
      <c r="M885" t="n">
        <v>0</v>
      </c>
      <c r="N885" t="n">
        <v>0</v>
      </c>
      <c r="O885" t="n">
        <v>0</v>
      </c>
      <c r="P885" t="n">
        <v>0</v>
      </c>
      <c r="Q885" t="n">
        <v>0</v>
      </c>
      <c r="R885" s="2" t="inlineStr"/>
    </row>
    <row r="886" ht="15" customHeight="1">
      <c r="A886" t="inlineStr">
        <is>
          <t>A 179-2025</t>
        </is>
      </c>
      <c r="B886" s="1" t="n">
        <v>45659.69822916666</v>
      </c>
      <c r="C886" s="1" t="n">
        <v>46043</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20088-2023</t>
        </is>
      </c>
      <c r="B887" s="1" t="n">
        <v>45054</v>
      </c>
      <c r="C887" s="1" t="n">
        <v>46043</v>
      </c>
      <c r="D887" t="inlineStr">
        <is>
          <t>JÄMTLANDS LÄN</t>
        </is>
      </c>
      <c r="E887" t="inlineStr">
        <is>
          <t>RAGUNDA</t>
        </is>
      </c>
      <c r="F887" t="inlineStr">
        <is>
          <t>SCA</t>
        </is>
      </c>
      <c r="G887" t="n">
        <v>23.4</v>
      </c>
      <c r="H887" t="n">
        <v>0</v>
      </c>
      <c r="I887" t="n">
        <v>0</v>
      </c>
      <c r="J887" t="n">
        <v>0</v>
      </c>
      <c r="K887" t="n">
        <v>0</v>
      </c>
      <c r="L887" t="n">
        <v>0</v>
      </c>
      <c r="M887" t="n">
        <v>0</v>
      </c>
      <c r="N887" t="n">
        <v>0</v>
      </c>
      <c r="O887" t="n">
        <v>0</v>
      </c>
      <c r="P887" t="n">
        <v>0</v>
      </c>
      <c r="Q887" t="n">
        <v>0</v>
      </c>
      <c r="R887" s="2" t="inlineStr"/>
    </row>
    <row r="888" ht="15" customHeight="1">
      <c r="A888" t="inlineStr">
        <is>
          <t>A 32430-2025</t>
        </is>
      </c>
      <c r="B888" s="1" t="n">
        <v>45838.36532407408</v>
      </c>
      <c r="C888" s="1" t="n">
        <v>46043</v>
      </c>
      <c r="D888" t="inlineStr">
        <is>
          <t>JÄMTLANDS LÄN</t>
        </is>
      </c>
      <c r="E888" t="inlineStr">
        <is>
          <t>RAGUNDA</t>
        </is>
      </c>
      <c r="F888" t="inlineStr">
        <is>
          <t>SCA</t>
        </is>
      </c>
      <c r="G888" t="n">
        <v>4.3</v>
      </c>
      <c r="H888" t="n">
        <v>0</v>
      </c>
      <c r="I888" t="n">
        <v>0</v>
      </c>
      <c r="J888" t="n">
        <v>0</v>
      </c>
      <c r="K888" t="n">
        <v>0</v>
      </c>
      <c r="L888" t="n">
        <v>0</v>
      </c>
      <c r="M888" t="n">
        <v>0</v>
      </c>
      <c r="N888" t="n">
        <v>0</v>
      </c>
      <c r="O888" t="n">
        <v>0</v>
      </c>
      <c r="P888" t="n">
        <v>0</v>
      </c>
      <c r="Q888" t="n">
        <v>0</v>
      </c>
      <c r="R888" s="2" t="inlineStr"/>
    </row>
    <row r="889" ht="15" customHeight="1">
      <c r="A889" t="inlineStr">
        <is>
          <t>A 32796-2025</t>
        </is>
      </c>
      <c r="B889" s="1" t="n">
        <v>45839.49082175926</v>
      </c>
      <c r="C889" s="1" t="n">
        <v>46043</v>
      </c>
      <c r="D889" t="inlineStr">
        <is>
          <t>JÄMTLANDS LÄN</t>
        </is>
      </c>
      <c r="E889" t="inlineStr">
        <is>
          <t>RAGUNDA</t>
        </is>
      </c>
      <c r="G889" t="n">
        <v>1.7</v>
      </c>
      <c r="H889" t="n">
        <v>0</v>
      </c>
      <c r="I889" t="n">
        <v>0</v>
      </c>
      <c r="J889" t="n">
        <v>0</v>
      </c>
      <c r="K889" t="n">
        <v>0</v>
      </c>
      <c r="L889" t="n">
        <v>0</v>
      </c>
      <c r="M889" t="n">
        <v>0</v>
      </c>
      <c r="N889" t="n">
        <v>0</v>
      </c>
      <c r="O889" t="n">
        <v>0</v>
      </c>
      <c r="P889" t="n">
        <v>0</v>
      </c>
      <c r="Q889" t="n">
        <v>0</v>
      </c>
      <c r="R889" s="2" t="inlineStr"/>
    </row>
    <row r="890" ht="15" customHeight="1">
      <c r="A890" t="inlineStr">
        <is>
          <t>A 32747-2025</t>
        </is>
      </c>
      <c r="B890" s="1" t="n">
        <v>45839.42810185185</v>
      </c>
      <c r="C890" s="1" t="n">
        <v>46043</v>
      </c>
      <c r="D890" t="inlineStr">
        <is>
          <t>JÄMTLANDS LÄN</t>
        </is>
      </c>
      <c r="E890" t="inlineStr">
        <is>
          <t>RAGUNDA</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59136-2023</t>
        </is>
      </c>
      <c r="B891" s="1" t="n">
        <v>45251</v>
      </c>
      <c r="C891" s="1" t="n">
        <v>46043</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35274-2023</t>
        </is>
      </c>
      <c r="B892" s="1" t="n">
        <v>45145</v>
      </c>
      <c r="C892" s="1" t="n">
        <v>46043</v>
      </c>
      <c r="D892" t="inlineStr">
        <is>
          <t>JÄMTLANDS LÄN</t>
        </is>
      </c>
      <c r="E892" t="inlineStr">
        <is>
          <t>RAGUNDA</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64264-2023</t>
        </is>
      </c>
      <c r="B893" s="1" t="n">
        <v>45279.94564814815</v>
      </c>
      <c r="C893" s="1" t="n">
        <v>46043</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32751-2025</t>
        </is>
      </c>
      <c r="B894" s="1" t="n">
        <v>45839.42864583333</v>
      </c>
      <c r="C894" s="1" t="n">
        <v>46043</v>
      </c>
      <c r="D894" t="inlineStr">
        <is>
          <t>JÄMTLANDS LÄN</t>
        </is>
      </c>
      <c r="E894" t="inlineStr">
        <is>
          <t>RAGUNDA</t>
        </is>
      </c>
      <c r="F894" t="inlineStr">
        <is>
          <t>SCA</t>
        </is>
      </c>
      <c r="G894" t="n">
        <v>10</v>
      </c>
      <c r="H894" t="n">
        <v>0</v>
      </c>
      <c r="I894" t="n">
        <v>0</v>
      </c>
      <c r="J894" t="n">
        <v>0</v>
      </c>
      <c r="K894" t="n">
        <v>0</v>
      </c>
      <c r="L894" t="n">
        <v>0</v>
      </c>
      <c r="M894" t="n">
        <v>0</v>
      </c>
      <c r="N894" t="n">
        <v>0</v>
      </c>
      <c r="O894" t="n">
        <v>0</v>
      </c>
      <c r="P894" t="n">
        <v>0</v>
      </c>
      <c r="Q894" t="n">
        <v>0</v>
      </c>
      <c r="R894" s="2" t="inlineStr"/>
    </row>
    <row r="895" ht="15" customHeight="1">
      <c r="A895" t="inlineStr">
        <is>
          <t>A 32846-2025</t>
        </is>
      </c>
      <c r="B895" s="1" t="n">
        <v>45839.57331018519</v>
      </c>
      <c r="C895" s="1" t="n">
        <v>46043</v>
      </c>
      <c r="D895" t="inlineStr">
        <is>
          <t>JÄMTLANDS LÄN</t>
        </is>
      </c>
      <c r="E895" t="inlineStr">
        <is>
          <t>RAGUNDA</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26347-2023</t>
        </is>
      </c>
      <c r="B896" s="1" t="n">
        <v>45091</v>
      </c>
      <c r="C896" s="1" t="n">
        <v>46043</v>
      </c>
      <c r="D896" t="inlineStr">
        <is>
          <t>JÄMTLANDS LÄN</t>
        </is>
      </c>
      <c r="E896" t="inlineStr">
        <is>
          <t>RAGUNDA</t>
        </is>
      </c>
      <c r="F896" t="inlineStr">
        <is>
          <t>SCA</t>
        </is>
      </c>
      <c r="G896" t="n">
        <v>6.6</v>
      </c>
      <c r="H896" t="n">
        <v>0</v>
      </c>
      <c r="I896" t="n">
        <v>0</v>
      </c>
      <c r="J896" t="n">
        <v>0</v>
      </c>
      <c r="K896" t="n">
        <v>0</v>
      </c>
      <c r="L896" t="n">
        <v>0</v>
      </c>
      <c r="M896" t="n">
        <v>0</v>
      </c>
      <c r="N896" t="n">
        <v>0</v>
      </c>
      <c r="O896" t="n">
        <v>0</v>
      </c>
      <c r="P896" t="n">
        <v>0</v>
      </c>
      <c r="Q896" t="n">
        <v>0</v>
      </c>
      <c r="R896" s="2" t="inlineStr"/>
    </row>
    <row r="897" ht="15" customHeight="1">
      <c r="A897" t="inlineStr">
        <is>
          <t>A 33140-2025</t>
        </is>
      </c>
      <c r="B897" s="1" t="n">
        <v>45840.52225694444</v>
      </c>
      <c r="C897" s="1" t="n">
        <v>46043</v>
      </c>
      <c r="D897" t="inlineStr">
        <is>
          <t>JÄMTLANDS LÄN</t>
        </is>
      </c>
      <c r="E897" t="inlineStr">
        <is>
          <t>RAGUNDA</t>
        </is>
      </c>
      <c r="G897" t="n">
        <v>2</v>
      </c>
      <c r="H897" t="n">
        <v>0</v>
      </c>
      <c r="I897" t="n">
        <v>0</v>
      </c>
      <c r="J897" t="n">
        <v>0</v>
      </c>
      <c r="K897" t="n">
        <v>0</v>
      </c>
      <c r="L897" t="n">
        <v>0</v>
      </c>
      <c r="M897" t="n">
        <v>0</v>
      </c>
      <c r="N897" t="n">
        <v>0</v>
      </c>
      <c r="O897" t="n">
        <v>0</v>
      </c>
      <c r="P897" t="n">
        <v>0</v>
      </c>
      <c r="Q897" t="n">
        <v>0</v>
      </c>
      <c r="R897" s="2" t="inlineStr"/>
    </row>
    <row r="898" ht="15" customHeight="1">
      <c r="A898" t="inlineStr">
        <is>
          <t>A 51538-2022</t>
        </is>
      </c>
      <c r="B898" s="1" t="n">
        <v>44869</v>
      </c>
      <c r="C898" s="1" t="n">
        <v>46043</v>
      </c>
      <c r="D898" t="inlineStr">
        <is>
          <t>JÄMTLANDS LÄN</t>
        </is>
      </c>
      <c r="E898" t="inlineStr">
        <is>
          <t>RAGUNDA</t>
        </is>
      </c>
      <c r="G898" t="n">
        <v>6.8</v>
      </c>
      <c r="H898" t="n">
        <v>0</v>
      </c>
      <c r="I898" t="n">
        <v>0</v>
      </c>
      <c r="J898" t="n">
        <v>0</v>
      </c>
      <c r="K898" t="n">
        <v>0</v>
      </c>
      <c r="L898" t="n">
        <v>0</v>
      </c>
      <c r="M898" t="n">
        <v>0</v>
      </c>
      <c r="N898" t="n">
        <v>0</v>
      </c>
      <c r="O898" t="n">
        <v>0</v>
      </c>
      <c r="P898" t="n">
        <v>0</v>
      </c>
      <c r="Q898" t="n">
        <v>0</v>
      </c>
      <c r="R898" s="2" t="inlineStr"/>
    </row>
    <row r="899" ht="15" customHeight="1">
      <c r="A899" t="inlineStr">
        <is>
          <t>A 59492-2024</t>
        </is>
      </c>
      <c r="B899" s="1" t="n">
        <v>45638</v>
      </c>
      <c r="C899" s="1" t="n">
        <v>46043</v>
      </c>
      <c r="D899" t="inlineStr">
        <is>
          <t>JÄMTLANDS LÄN</t>
        </is>
      </c>
      <c r="E899" t="inlineStr">
        <is>
          <t>RAGUNDA</t>
        </is>
      </c>
      <c r="G899" t="n">
        <v>1.2</v>
      </c>
      <c r="H899" t="n">
        <v>0</v>
      </c>
      <c r="I899" t="n">
        <v>0</v>
      </c>
      <c r="J899" t="n">
        <v>0</v>
      </c>
      <c r="K899" t="n">
        <v>0</v>
      </c>
      <c r="L899" t="n">
        <v>0</v>
      </c>
      <c r="M899" t="n">
        <v>0</v>
      </c>
      <c r="N899" t="n">
        <v>0</v>
      </c>
      <c r="O899" t="n">
        <v>0</v>
      </c>
      <c r="P899" t="n">
        <v>0</v>
      </c>
      <c r="Q899" t="n">
        <v>0</v>
      </c>
      <c r="R899" s="2" t="inlineStr"/>
    </row>
    <row r="900" ht="15" customHeight="1">
      <c r="A900" t="inlineStr">
        <is>
          <t>A 61109-2024</t>
        </is>
      </c>
      <c r="B900" s="1" t="n">
        <v>45645.55672453704</v>
      </c>
      <c r="C900" s="1" t="n">
        <v>46043</v>
      </c>
      <c r="D900" t="inlineStr">
        <is>
          <t>JÄMTLANDS LÄN</t>
        </is>
      </c>
      <c r="E900" t="inlineStr">
        <is>
          <t>RAGUNDA</t>
        </is>
      </c>
      <c r="G900" t="n">
        <v>4</v>
      </c>
      <c r="H900" t="n">
        <v>0</v>
      </c>
      <c r="I900" t="n">
        <v>0</v>
      </c>
      <c r="J900" t="n">
        <v>0</v>
      </c>
      <c r="K900" t="n">
        <v>0</v>
      </c>
      <c r="L900" t="n">
        <v>0</v>
      </c>
      <c r="M900" t="n">
        <v>0</v>
      </c>
      <c r="N900" t="n">
        <v>0</v>
      </c>
      <c r="O900" t="n">
        <v>0</v>
      </c>
      <c r="P900" t="n">
        <v>0</v>
      </c>
      <c r="Q900" t="n">
        <v>0</v>
      </c>
      <c r="R900" s="2" t="inlineStr"/>
    </row>
    <row r="901" ht="15" customHeight="1">
      <c r="A901" t="inlineStr">
        <is>
          <t>A 27373-2023</t>
        </is>
      </c>
      <c r="B901" s="1" t="n">
        <v>45096.93866898148</v>
      </c>
      <c r="C901" s="1" t="n">
        <v>46043</v>
      </c>
      <c r="D901" t="inlineStr">
        <is>
          <t>JÄMTLANDS LÄN</t>
        </is>
      </c>
      <c r="E901" t="inlineStr">
        <is>
          <t>RAGUNDA</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33556-2025</t>
        </is>
      </c>
      <c r="B902" s="1" t="n">
        <v>45841.57427083333</v>
      </c>
      <c r="C902" s="1" t="n">
        <v>46043</v>
      </c>
      <c r="D902" t="inlineStr">
        <is>
          <t>JÄMTLANDS LÄN</t>
        </is>
      </c>
      <c r="E902" t="inlineStr">
        <is>
          <t>RAGUNDA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33790-2025</t>
        </is>
      </c>
      <c r="B903" s="1" t="n">
        <v>45842.42608796297</v>
      </c>
      <c r="C903" s="1" t="n">
        <v>46043</v>
      </c>
      <c r="D903" t="inlineStr">
        <is>
          <t>JÄMTLANDS LÄN</t>
        </is>
      </c>
      <c r="E903" t="inlineStr">
        <is>
          <t>RAGUNDA</t>
        </is>
      </c>
      <c r="G903" t="n">
        <v>0.3</v>
      </c>
      <c r="H903" t="n">
        <v>0</v>
      </c>
      <c r="I903" t="n">
        <v>0</v>
      </c>
      <c r="J903" t="n">
        <v>0</v>
      </c>
      <c r="K903" t="n">
        <v>0</v>
      </c>
      <c r="L903" t="n">
        <v>0</v>
      </c>
      <c r="M903" t="n">
        <v>0</v>
      </c>
      <c r="N903" t="n">
        <v>0</v>
      </c>
      <c r="O903" t="n">
        <v>0</v>
      </c>
      <c r="P903" t="n">
        <v>0</v>
      </c>
      <c r="Q903" t="n">
        <v>0</v>
      </c>
      <c r="R903" s="2" t="inlineStr"/>
    </row>
    <row r="904" ht="15" customHeight="1">
      <c r="A904" t="inlineStr">
        <is>
          <t>A 16321-2025</t>
        </is>
      </c>
      <c r="B904" s="1" t="n">
        <v>45751.34873842593</v>
      </c>
      <c r="C904" s="1" t="n">
        <v>46043</v>
      </c>
      <c r="D904" t="inlineStr">
        <is>
          <t>JÄMTLANDS LÄN</t>
        </is>
      </c>
      <c r="E904" t="inlineStr">
        <is>
          <t>RAGUNDA</t>
        </is>
      </c>
      <c r="F904" t="inlineStr">
        <is>
          <t>SCA</t>
        </is>
      </c>
      <c r="G904" t="n">
        <v>63.3</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46043</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19854-2025</t>
        </is>
      </c>
      <c r="B906" s="1" t="n">
        <v>45771.51074074074</v>
      </c>
      <c r="C906" s="1" t="n">
        <v>46043</v>
      </c>
      <c r="D906" t="inlineStr">
        <is>
          <t>JÄMTLANDS LÄN</t>
        </is>
      </c>
      <c r="E906" t="inlineStr">
        <is>
          <t>RAGUNDA</t>
        </is>
      </c>
      <c r="F906" t="inlineStr">
        <is>
          <t>SCA</t>
        </is>
      </c>
      <c r="G906" t="n">
        <v>8.4</v>
      </c>
      <c r="H906" t="n">
        <v>0</v>
      </c>
      <c r="I906" t="n">
        <v>0</v>
      </c>
      <c r="J906" t="n">
        <v>0</v>
      </c>
      <c r="K906" t="n">
        <v>0</v>
      </c>
      <c r="L906" t="n">
        <v>0</v>
      </c>
      <c r="M906" t="n">
        <v>0</v>
      </c>
      <c r="N906" t="n">
        <v>0</v>
      </c>
      <c r="O906" t="n">
        <v>0</v>
      </c>
      <c r="P906" t="n">
        <v>0</v>
      </c>
      <c r="Q906" t="n">
        <v>0</v>
      </c>
      <c r="R906" s="2" t="inlineStr"/>
    </row>
    <row r="907" ht="15" customHeight="1">
      <c r="A907" t="inlineStr">
        <is>
          <t>A 6688-2024</t>
        </is>
      </c>
      <c r="B907" s="1" t="n">
        <v>45341</v>
      </c>
      <c r="C907" s="1" t="n">
        <v>46043</v>
      </c>
      <c r="D907" t="inlineStr">
        <is>
          <t>JÄMTLANDS LÄN</t>
        </is>
      </c>
      <c r="E907" t="inlineStr">
        <is>
          <t>RAGUNDA</t>
        </is>
      </c>
      <c r="G907" t="n">
        <v>2</v>
      </c>
      <c r="H907" t="n">
        <v>0</v>
      </c>
      <c r="I907" t="n">
        <v>0</v>
      </c>
      <c r="J907" t="n">
        <v>0</v>
      </c>
      <c r="K907" t="n">
        <v>0</v>
      </c>
      <c r="L907" t="n">
        <v>0</v>
      </c>
      <c r="M907" t="n">
        <v>0</v>
      </c>
      <c r="N907" t="n">
        <v>0</v>
      </c>
      <c r="O907" t="n">
        <v>0</v>
      </c>
      <c r="P907" t="n">
        <v>0</v>
      </c>
      <c r="Q907" t="n">
        <v>0</v>
      </c>
      <c r="R907" s="2" t="inlineStr"/>
    </row>
    <row r="908" ht="15" customHeight="1">
      <c r="A908" t="inlineStr">
        <is>
          <t>A 30642-2024</t>
        </is>
      </c>
      <c r="B908" s="1" t="n">
        <v>45495.57677083334</v>
      </c>
      <c r="C908" s="1" t="n">
        <v>46043</v>
      </c>
      <c r="D908" t="inlineStr">
        <is>
          <t>JÄMTLANDS LÄN</t>
        </is>
      </c>
      <c r="E908" t="inlineStr">
        <is>
          <t>RAGUNDA</t>
        </is>
      </c>
      <c r="G908" t="n">
        <v>2.7</v>
      </c>
      <c r="H908" t="n">
        <v>0</v>
      </c>
      <c r="I908" t="n">
        <v>0</v>
      </c>
      <c r="J908" t="n">
        <v>0</v>
      </c>
      <c r="K908" t="n">
        <v>0</v>
      </c>
      <c r="L908" t="n">
        <v>0</v>
      </c>
      <c r="M908" t="n">
        <v>0</v>
      </c>
      <c r="N908" t="n">
        <v>0</v>
      </c>
      <c r="O908" t="n">
        <v>0</v>
      </c>
      <c r="P908" t="n">
        <v>0</v>
      </c>
      <c r="Q908" t="n">
        <v>0</v>
      </c>
      <c r="R908" s="2" t="inlineStr"/>
    </row>
    <row r="909" ht="15" customHeight="1">
      <c r="A909" t="inlineStr">
        <is>
          <t>A 34296-2025</t>
        </is>
      </c>
      <c r="B909" s="1" t="n">
        <v>45846.34454861111</v>
      </c>
      <c r="C909" s="1" t="n">
        <v>46043</v>
      </c>
      <c r="D909" t="inlineStr">
        <is>
          <t>JÄMTLANDS LÄN</t>
        </is>
      </c>
      <c r="E909" t="inlineStr">
        <is>
          <t>RAGUNDA</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16635-2025</t>
        </is>
      </c>
      <c r="B910" s="1" t="n">
        <v>45754</v>
      </c>
      <c r="C910" s="1" t="n">
        <v>46043</v>
      </c>
      <c r="D910" t="inlineStr">
        <is>
          <t>JÄMTLANDS LÄN</t>
        </is>
      </c>
      <c r="E910" t="inlineStr">
        <is>
          <t>RAGUNDA</t>
        </is>
      </c>
      <c r="F910" t="inlineStr">
        <is>
          <t>SCA</t>
        </is>
      </c>
      <c r="G910" t="n">
        <v>55.4</v>
      </c>
      <c r="H910" t="n">
        <v>0</v>
      </c>
      <c r="I910" t="n">
        <v>0</v>
      </c>
      <c r="J910" t="n">
        <v>0</v>
      </c>
      <c r="K910" t="n">
        <v>0</v>
      </c>
      <c r="L910" t="n">
        <v>0</v>
      </c>
      <c r="M910" t="n">
        <v>0</v>
      </c>
      <c r="N910" t="n">
        <v>0</v>
      </c>
      <c r="O910" t="n">
        <v>0</v>
      </c>
      <c r="P910" t="n">
        <v>0</v>
      </c>
      <c r="Q910" t="n">
        <v>0</v>
      </c>
      <c r="R910" s="2" t="inlineStr"/>
    </row>
    <row r="911" ht="15" customHeight="1">
      <c r="A911" t="inlineStr">
        <is>
          <t>A 37479-2023</t>
        </is>
      </c>
      <c r="B911" s="1" t="n">
        <v>45156</v>
      </c>
      <c r="C911" s="1" t="n">
        <v>46043</v>
      </c>
      <c r="D911" t="inlineStr">
        <is>
          <t>JÄMTLANDS LÄN</t>
        </is>
      </c>
      <c r="E911" t="inlineStr">
        <is>
          <t>RAGUNDA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41772-2024</t>
        </is>
      </c>
      <c r="B912" s="1" t="n">
        <v>45561.34663194444</v>
      </c>
      <c r="C912" s="1" t="n">
        <v>46043</v>
      </c>
      <c r="D912" t="inlineStr">
        <is>
          <t>JÄMTLANDS LÄN</t>
        </is>
      </c>
      <c r="E912" t="inlineStr">
        <is>
          <t>RAGUNDA</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34461-2025</t>
        </is>
      </c>
      <c r="B913" s="1" t="n">
        <v>45847.34474537037</v>
      </c>
      <c r="C913" s="1" t="n">
        <v>46043</v>
      </c>
      <c r="D913" t="inlineStr">
        <is>
          <t>JÄMTLANDS LÄN</t>
        </is>
      </c>
      <c r="E913" t="inlineStr">
        <is>
          <t>RAGUNDA</t>
        </is>
      </c>
      <c r="F913" t="inlineStr">
        <is>
          <t>SCA</t>
        </is>
      </c>
      <c r="G913" t="n">
        <v>44.8</v>
      </c>
      <c r="H913" t="n">
        <v>0</v>
      </c>
      <c r="I913" t="n">
        <v>0</v>
      </c>
      <c r="J913" t="n">
        <v>0</v>
      </c>
      <c r="K913" t="n">
        <v>0</v>
      </c>
      <c r="L913" t="n">
        <v>0</v>
      </c>
      <c r="M913" t="n">
        <v>0</v>
      </c>
      <c r="N913" t="n">
        <v>0</v>
      </c>
      <c r="O913" t="n">
        <v>0</v>
      </c>
      <c r="P913" t="n">
        <v>0</v>
      </c>
      <c r="Q913" t="n">
        <v>0</v>
      </c>
      <c r="R913" s="2" t="inlineStr"/>
    </row>
    <row r="914" ht="15" customHeight="1">
      <c r="A914" t="inlineStr">
        <is>
          <t>A 34464-2025</t>
        </is>
      </c>
      <c r="B914" s="1" t="n">
        <v>45847.34528935186</v>
      </c>
      <c r="C914" s="1" t="n">
        <v>46043</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34468-2025</t>
        </is>
      </c>
      <c r="B915" s="1" t="n">
        <v>45847.34597222223</v>
      </c>
      <c r="C915" s="1" t="n">
        <v>46043</v>
      </c>
      <c r="D915" t="inlineStr">
        <is>
          <t>JÄMTLANDS LÄN</t>
        </is>
      </c>
      <c r="E915" t="inlineStr">
        <is>
          <t>RAGUNDA</t>
        </is>
      </c>
      <c r="F915" t="inlineStr">
        <is>
          <t>SCA</t>
        </is>
      </c>
      <c r="G915" t="n">
        <v>10</v>
      </c>
      <c r="H915" t="n">
        <v>0</v>
      </c>
      <c r="I915" t="n">
        <v>0</v>
      </c>
      <c r="J915" t="n">
        <v>0</v>
      </c>
      <c r="K915" t="n">
        <v>0</v>
      </c>
      <c r="L915" t="n">
        <v>0</v>
      </c>
      <c r="M915" t="n">
        <v>0</v>
      </c>
      <c r="N915" t="n">
        <v>0</v>
      </c>
      <c r="O915" t="n">
        <v>0</v>
      </c>
      <c r="P915" t="n">
        <v>0</v>
      </c>
      <c r="Q915" t="n">
        <v>0</v>
      </c>
      <c r="R915" s="2" t="inlineStr"/>
    </row>
    <row r="916" ht="15" customHeight="1">
      <c r="A916" t="inlineStr">
        <is>
          <t>A 34586-2025</t>
        </is>
      </c>
      <c r="B916" s="1" t="n">
        <v>45847.61513888889</v>
      </c>
      <c r="C916" s="1" t="n">
        <v>46043</v>
      </c>
      <c r="D916" t="inlineStr">
        <is>
          <t>JÄMTLANDS LÄN</t>
        </is>
      </c>
      <c r="E916" t="inlineStr">
        <is>
          <t>RAGUNDA</t>
        </is>
      </c>
      <c r="G916" t="n">
        <v>1.6</v>
      </c>
      <c r="H916" t="n">
        <v>0</v>
      </c>
      <c r="I916" t="n">
        <v>0</v>
      </c>
      <c r="J916" t="n">
        <v>0</v>
      </c>
      <c r="K916" t="n">
        <v>0</v>
      </c>
      <c r="L916" t="n">
        <v>0</v>
      </c>
      <c r="M916" t="n">
        <v>0</v>
      </c>
      <c r="N916" t="n">
        <v>0</v>
      </c>
      <c r="O916" t="n">
        <v>0</v>
      </c>
      <c r="P916" t="n">
        <v>0</v>
      </c>
      <c r="Q916" t="n">
        <v>0</v>
      </c>
      <c r="R916" s="2" t="inlineStr"/>
    </row>
    <row r="917" ht="15" customHeight="1">
      <c r="A917" t="inlineStr">
        <is>
          <t>A 34607-2025</t>
        </is>
      </c>
      <c r="B917" s="1" t="n">
        <v>45847.65703703704</v>
      </c>
      <c r="C917" s="1" t="n">
        <v>46043</v>
      </c>
      <c r="D917" t="inlineStr">
        <is>
          <t>JÄMTLANDS LÄN</t>
        </is>
      </c>
      <c r="E917" t="inlineStr">
        <is>
          <t>RAGUNDA</t>
        </is>
      </c>
      <c r="F917" t="inlineStr">
        <is>
          <t>SCA</t>
        </is>
      </c>
      <c r="G917" t="n">
        <v>31.4</v>
      </c>
      <c r="H917" t="n">
        <v>0</v>
      </c>
      <c r="I917" t="n">
        <v>0</v>
      </c>
      <c r="J917" t="n">
        <v>0</v>
      </c>
      <c r="K917" t="n">
        <v>0</v>
      </c>
      <c r="L917" t="n">
        <v>0</v>
      </c>
      <c r="M917" t="n">
        <v>0</v>
      </c>
      <c r="N917" t="n">
        <v>0</v>
      </c>
      <c r="O917" t="n">
        <v>0</v>
      </c>
      <c r="P917" t="n">
        <v>0</v>
      </c>
      <c r="Q917" t="n">
        <v>0</v>
      </c>
      <c r="R917" s="2" t="inlineStr"/>
    </row>
    <row r="918" ht="15" customHeight="1">
      <c r="A918" t="inlineStr">
        <is>
          <t>A 12660-2024</t>
        </is>
      </c>
      <c r="B918" s="1" t="n">
        <v>45384</v>
      </c>
      <c r="C918" s="1" t="n">
        <v>46043</v>
      </c>
      <c r="D918" t="inlineStr">
        <is>
          <t>JÄMTLANDS LÄN</t>
        </is>
      </c>
      <c r="E918" t="inlineStr">
        <is>
          <t>RAGUNDA</t>
        </is>
      </c>
      <c r="G918" t="n">
        <v>1.3</v>
      </c>
      <c r="H918" t="n">
        <v>0</v>
      </c>
      <c r="I918" t="n">
        <v>0</v>
      </c>
      <c r="J918" t="n">
        <v>0</v>
      </c>
      <c r="K918" t="n">
        <v>0</v>
      </c>
      <c r="L918" t="n">
        <v>0</v>
      </c>
      <c r="M918" t="n">
        <v>0</v>
      </c>
      <c r="N918" t="n">
        <v>0</v>
      </c>
      <c r="O918" t="n">
        <v>0</v>
      </c>
      <c r="P918" t="n">
        <v>0</v>
      </c>
      <c r="Q918" t="n">
        <v>0</v>
      </c>
      <c r="R918" s="2" t="inlineStr"/>
    </row>
    <row r="919" ht="15" customHeight="1">
      <c r="A919" t="inlineStr">
        <is>
          <t>A 34772-2025</t>
        </is>
      </c>
      <c r="B919" s="1" t="n">
        <v>45848.65658564815</v>
      </c>
      <c r="C919" s="1" t="n">
        <v>46043</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34466-2025</t>
        </is>
      </c>
      <c r="B920" s="1" t="n">
        <v>45847.34565972222</v>
      </c>
      <c r="C920" s="1" t="n">
        <v>46043</v>
      </c>
      <c r="D920" t="inlineStr">
        <is>
          <t>JÄMTLANDS LÄN</t>
        </is>
      </c>
      <c r="E920" t="inlineStr">
        <is>
          <t>RAGUNDA</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25332-2023</t>
        </is>
      </c>
      <c r="B921" s="1" t="n">
        <v>45086.94010416666</v>
      </c>
      <c r="C921" s="1" t="n">
        <v>46043</v>
      </c>
      <c r="D921" t="inlineStr">
        <is>
          <t>JÄMTLANDS LÄN</t>
        </is>
      </c>
      <c r="E921" t="inlineStr">
        <is>
          <t>RAGUNDA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34588-2025</t>
        </is>
      </c>
      <c r="B922" s="1" t="n">
        <v>45847.61548611111</v>
      </c>
      <c r="C922" s="1" t="n">
        <v>46043</v>
      </c>
      <c r="D922" t="inlineStr">
        <is>
          <t>JÄMTLANDS LÄN</t>
        </is>
      </c>
      <c r="E922" t="inlineStr">
        <is>
          <t>RAGUNDA</t>
        </is>
      </c>
      <c r="G922" t="n">
        <v>32.3</v>
      </c>
      <c r="H922" t="n">
        <v>0</v>
      </c>
      <c r="I922" t="n">
        <v>0</v>
      </c>
      <c r="J922" t="n">
        <v>0</v>
      </c>
      <c r="K922" t="n">
        <v>0</v>
      </c>
      <c r="L922" t="n">
        <v>0</v>
      </c>
      <c r="M922" t="n">
        <v>0</v>
      </c>
      <c r="N922" t="n">
        <v>0</v>
      </c>
      <c r="O922" t="n">
        <v>0</v>
      </c>
      <c r="P922" t="n">
        <v>0</v>
      </c>
      <c r="Q922" t="n">
        <v>0</v>
      </c>
      <c r="R922" s="2" t="inlineStr"/>
    </row>
    <row r="923" ht="15" customHeight="1">
      <c r="A923" t="inlineStr">
        <is>
          <t>A 33615-2023</t>
        </is>
      </c>
      <c r="B923" s="1" t="n">
        <v>45119</v>
      </c>
      <c r="C923" s="1" t="n">
        <v>46043</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43132-2023</t>
        </is>
      </c>
      <c r="B924" s="1" t="n">
        <v>45182</v>
      </c>
      <c r="C924" s="1" t="n">
        <v>46043</v>
      </c>
      <c r="D924" t="inlineStr">
        <is>
          <t>JÄMTLANDS LÄN</t>
        </is>
      </c>
      <c r="E924" t="inlineStr">
        <is>
          <t>RAGUNDA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34463-2025</t>
        </is>
      </c>
      <c r="B925" s="1" t="n">
        <v>45847.34515046296</v>
      </c>
      <c r="C925" s="1" t="n">
        <v>46043</v>
      </c>
      <c r="D925" t="inlineStr">
        <is>
          <t>JÄMTLANDS LÄN</t>
        </is>
      </c>
      <c r="E925" t="inlineStr">
        <is>
          <t>RAGUNDA</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34710-2025</t>
        </is>
      </c>
      <c r="B926" s="1" t="n">
        <v>45848.49774305556</v>
      </c>
      <c r="C926" s="1" t="n">
        <v>46043</v>
      </c>
      <c r="D926" t="inlineStr">
        <is>
          <t>JÄMTLANDS LÄN</t>
        </is>
      </c>
      <c r="E926" t="inlineStr">
        <is>
          <t>RAGUNDA</t>
        </is>
      </c>
      <c r="G926" t="n">
        <v>4.1</v>
      </c>
      <c r="H926" t="n">
        <v>0</v>
      </c>
      <c r="I926" t="n">
        <v>0</v>
      </c>
      <c r="J926" t="n">
        <v>0</v>
      </c>
      <c r="K926" t="n">
        <v>0</v>
      </c>
      <c r="L926" t="n">
        <v>0</v>
      </c>
      <c r="M926" t="n">
        <v>0</v>
      </c>
      <c r="N926" t="n">
        <v>0</v>
      </c>
      <c r="O926" t="n">
        <v>0</v>
      </c>
      <c r="P926" t="n">
        <v>0</v>
      </c>
      <c r="Q926" t="n">
        <v>0</v>
      </c>
      <c r="R926" s="2" t="inlineStr"/>
    </row>
    <row r="927" ht="15" customHeight="1">
      <c r="A927" t="inlineStr">
        <is>
          <t>A 34709-2025</t>
        </is>
      </c>
      <c r="B927" s="1" t="n">
        <v>45848.49761574074</v>
      </c>
      <c r="C927" s="1" t="n">
        <v>46043</v>
      </c>
      <c r="D927" t="inlineStr">
        <is>
          <t>JÄMTLANDS LÄN</t>
        </is>
      </c>
      <c r="E927" t="inlineStr">
        <is>
          <t>RAGUNDA</t>
        </is>
      </c>
      <c r="G927" t="n">
        <v>3.1</v>
      </c>
      <c r="H927" t="n">
        <v>0</v>
      </c>
      <c r="I927" t="n">
        <v>0</v>
      </c>
      <c r="J927" t="n">
        <v>0</v>
      </c>
      <c r="K927" t="n">
        <v>0</v>
      </c>
      <c r="L927" t="n">
        <v>0</v>
      </c>
      <c r="M927" t="n">
        <v>0</v>
      </c>
      <c r="N927" t="n">
        <v>0</v>
      </c>
      <c r="O927" t="n">
        <v>0</v>
      </c>
      <c r="P927" t="n">
        <v>0</v>
      </c>
      <c r="Q927" t="n">
        <v>0</v>
      </c>
      <c r="R927" s="2" t="inlineStr"/>
    </row>
    <row r="928" ht="15" customHeight="1">
      <c r="A928" t="inlineStr">
        <is>
          <t>A 8654-2024</t>
        </is>
      </c>
      <c r="B928" s="1" t="n">
        <v>45356.03784722222</v>
      </c>
      <c r="C928" s="1" t="n">
        <v>46043</v>
      </c>
      <c r="D928" t="inlineStr">
        <is>
          <t>JÄMTLANDS LÄN</t>
        </is>
      </c>
      <c r="E928" t="inlineStr">
        <is>
          <t>RAGUNDA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9325-2024</t>
        </is>
      </c>
      <c r="B929" s="1" t="n">
        <v>45358.95813657407</v>
      </c>
      <c r="C929" s="1" t="n">
        <v>46043</v>
      </c>
      <c r="D929" t="inlineStr">
        <is>
          <t>JÄMTLANDS LÄN</t>
        </is>
      </c>
      <c r="E929" t="inlineStr">
        <is>
          <t>RAGUNDA</t>
        </is>
      </c>
      <c r="G929" t="n">
        <v>3.1</v>
      </c>
      <c r="H929" t="n">
        <v>0</v>
      </c>
      <c r="I929" t="n">
        <v>0</v>
      </c>
      <c r="J929" t="n">
        <v>0</v>
      </c>
      <c r="K929" t="n">
        <v>0</v>
      </c>
      <c r="L929" t="n">
        <v>0</v>
      </c>
      <c r="M929" t="n">
        <v>0</v>
      </c>
      <c r="N929" t="n">
        <v>0</v>
      </c>
      <c r="O929" t="n">
        <v>0</v>
      </c>
      <c r="P929" t="n">
        <v>0</v>
      </c>
      <c r="Q929" t="n">
        <v>0</v>
      </c>
      <c r="R929" s="2" t="inlineStr"/>
    </row>
    <row r="930" ht="15" customHeight="1">
      <c r="A930" t="inlineStr">
        <is>
          <t>A 35092-2025</t>
        </is>
      </c>
      <c r="B930" s="1" t="n">
        <v>45852.53185185185</v>
      </c>
      <c r="C930" s="1" t="n">
        <v>46043</v>
      </c>
      <c r="D930" t="inlineStr">
        <is>
          <t>JÄMTLANDS LÄN</t>
        </is>
      </c>
      <c r="E930" t="inlineStr">
        <is>
          <t>RAGUNDA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34998-2025</t>
        </is>
      </c>
      <c r="B931" s="1" t="n">
        <v>45850.34434027778</v>
      </c>
      <c r="C931" s="1" t="n">
        <v>46043</v>
      </c>
      <c r="D931" t="inlineStr">
        <is>
          <t>JÄMTLANDS LÄN</t>
        </is>
      </c>
      <c r="E931" t="inlineStr">
        <is>
          <t>RAGUNDA</t>
        </is>
      </c>
      <c r="G931" t="n">
        <v>1.4</v>
      </c>
      <c r="H931" t="n">
        <v>0</v>
      </c>
      <c r="I931" t="n">
        <v>0</v>
      </c>
      <c r="J931" t="n">
        <v>0</v>
      </c>
      <c r="K931" t="n">
        <v>0</v>
      </c>
      <c r="L931" t="n">
        <v>0</v>
      </c>
      <c r="M931" t="n">
        <v>0</v>
      </c>
      <c r="N931" t="n">
        <v>0</v>
      </c>
      <c r="O931" t="n">
        <v>0</v>
      </c>
      <c r="P931" t="n">
        <v>0</v>
      </c>
      <c r="Q931" t="n">
        <v>0</v>
      </c>
      <c r="R931" s="2" t="inlineStr"/>
    </row>
    <row r="932" ht="15" customHeight="1">
      <c r="A932" t="inlineStr">
        <is>
          <t>A 4348-2023</t>
        </is>
      </c>
      <c r="B932" s="1" t="n">
        <v>44953</v>
      </c>
      <c r="C932" s="1" t="n">
        <v>46043</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8678-2023</t>
        </is>
      </c>
      <c r="B933" s="1" t="n">
        <v>44977.98660879629</v>
      </c>
      <c r="C933" s="1" t="n">
        <v>46043</v>
      </c>
      <c r="D933" t="inlineStr">
        <is>
          <t>JÄMTLANDS LÄN</t>
        </is>
      </c>
      <c r="E933" t="inlineStr">
        <is>
          <t>RAGUNDA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34968-2025</t>
        </is>
      </c>
      <c r="B934" s="1" t="n">
        <v>45849.65663194445</v>
      </c>
      <c r="C934" s="1" t="n">
        <v>46043</v>
      </c>
      <c r="D934" t="inlineStr">
        <is>
          <t>JÄMTLANDS LÄN</t>
        </is>
      </c>
      <c r="E934" t="inlineStr">
        <is>
          <t>RAGUNDA</t>
        </is>
      </c>
      <c r="F934" t="inlineStr">
        <is>
          <t>SCA</t>
        </is>
      </c>
      <c r="G934" t="n">
        <v>20.2</v>
      </c>
      <c r="H934" t="n">
        <v>0</v>
      </c>
      <c r="I934" t="n">
        <v>0</v>
      </c>
      <c r="J934" t="n">
        <v>0</v>
      </c>
      <c r="K934" t="n">
        <v>0</v>
      </c>
      <c r="L934" t="n">
        <v>0</v>
      </c>
      <c r="M934" t="n">
        <v>0</v>
      </c>
      <c r="N934" t="n">
        <v>0</v>
      </c>
      <c r="O934" t="n">
        <v>0</v>
      </c>
      <c r="P934" t="n">
        <v>0</v>
      </c>
      <c r="Q934" t="n">
        <v>0</v>
      </c>
      <c r="R934" s="2" t="inlineStr"/>
    </row>
    <row r="935" ht="15" customHeight="1">
      <c r="A935" t="inlineStr">
        <is>
          <t>A 29766-2023</t>
        </is>
      </c>
      <c r="B935" s="1" t="n">
        <v>45098</v>
      </c>
      <c r="C935" s="1" t="n">
        <v>46043</v>
      </c>
      <c r="D935" t="inlineStr">
        <is>
          <t>JÄMTLANDS LÄN</t>
        </is>
      </c>
      <c r="E935" t="inlineStr">
        <is>
          <t>RAGUNDA</t>
        </is>
      </c>
      <c r="G935" t="n">
        <v>2.7</v>
      </c>
      <c r="H935" t="n">
        <v>0</v>
      </c>
      <c r="I935" t="n">
        <v>0</v>
      </c>
      <c r="J935" t="n">
        <v>0</v>
      </c>
      <c r="K935" t="n">
        <v>0</v>
      </c>
      <c r="L935" t="n">
        <v>0</v>
      </c>
      <c r="M935" t="n">
        <v>0</v>
      </c>
      <c r="N935" t="n">
        <v>0</v>
      </c>
      <c r="O935" t="n">
        <v>0</v>
      </c>
      <c r="P935" t="n">
        <v>0</v>
      </c>
      <c r="Q935" t="n">
        <v>0</v>
      </c>
      <c r="R935" s="2" t="inlineStr"/>
    </row>
    <row r="936" ht="15" customHeight="1">
      <c r="A936" t="inlineStr">
        <is>
          <t>A 34999-2025</t>
        </is>
      </c>
      <c r="B936" s="1" t="n">
        <v>45850.34450231482</v>
      </c>
      <c r="C936" s="1" t="n">
        <v>46043</v>
      </c>
      <c r="D936" t="inlineStr">
        <is>
          <t>JÄMTLANDS LÄN</t>
        </is>
      </c>
      <c r="E936" t="inlineStr">
        <is>
          <t>RAGUNDA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35091-2025</t>
        </is>
      </c>
      <c r="B937" s="1" t="n">
        <v>45852.53168981482</v>
      </c>
      <c r="C937" s="1" t="n">
        <v>46043</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35355-2025</t>
        </is>
      </c>
      <c r="B938" s="1" t="n">
        <v>45854.65663194445</v>
      </c>
      <c r="C938" s="1" t="n">
        <v>46043</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60935-2024</t>
        </is>
      </c>
      <c r="B939" s="1" t="n">
        <v>45645.36740740741</v>
      </c>
      <c r="C939" s="1" t="n">
        <v>46043</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35477-2025</t>
        </is>
      </c>
      <c r="B940" s="1" t="n">
        <v>45855.67899305555</v>
      </c>
      <c r="C940" s="1" t="n">
        <v>46043</v>
      </c>
      <c r="D940" t="inlineStr">
        <is>
          <t>JÄMTLANDS LÄN</t>
        </is>
      </c>
      <c r="E940" t="inlineStr">
        <is>
          <t>RAGUNDA</t>
        </is>
      </c>
      <c r="G940" t="n">
        <v>3.6</v>
      </c>
      <c r="H940" t="n">
        <v>0</v>
      </c>
      <c r="I940" t="n">
        <v>0</v>
      </c>
      <c r="J940" t="n">
        <v>0</v>
      </c>
      <c r="K940" t="n">
        <v>0</v>
      </c>
      <c r="L940" t="n">
        <v>0</v>
      </c>
      <c r="M940" t="n">
        <v>0</v>
      </c>
      <c r="N940" t="n">
        <v>0</v>
      </c>
      <c r="O940" t="n">
        <v>0</v>
      </c>
      <c r="P940" t="n">
        <v>0</v>
      </c>
      <c r="Q940" t="n">
        <v>0</v>
      </c>
      <c r="R940" s="2" t="inlineStr"/>
    </row>
    <row r="941" ht="15" customHeight="1">
      <c r="A941" t="inlineStr">
        <is>
          <t>A 35541-2025</t>
        </is>
      </c>
      <c r="B941" s="1" t="n">
        <v>45856.46931712963</v>
      </c>
      <c r="C941" s="1" t="n">
        <v>46043</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35462-2025</t>
        </is>
      </c>
      <c r="B942" s="1" t="n">
        <v>45855.61523148148</v>
      </c>
      <c r="C942" s="1" t="n">
        <v>46043</v>
      </c>
      <c r="D942" t="inlineStr">
        <is>
          <t>JÄMTLANDS LÄN</t>
        </is>
      </c>
      <c r="E942" t="inlineStr">
        <is>
          <t>RAGUNDA</t>
        </is>
      </c>
      <c r="F942" t="inlineStr">
        <is>
          <t>SCA</t>
        </is>
      </c>
      <c r="G942" t="n">
        <v>5.7</v>
      </c>
      <c r="H942" t="n">
        <v>0</v>
      </c>
      <c r="I942" t="n">
        <v>0</v>
      </c>
      <c r="J942" t="n">
        <v>0</v>
      </c>
      <c r="K942" t="n">
        <v>0</v>
      </c>
      <c r="L942" t="n">
        <v>0</v>
      </c>
      <c r="M942" t="n">
        <v>0</v>
      </c>
      <c r="N942" t="n">
        <v>0</v>
      </c>
      <c r="O942" t="n">
        <v>0</v>
      </c>
      <c r="P942" t="n">
        <v>0</v>
      </c>
      <c r="Q942" t="n">
        <v>0</v>
      </c>
      <c r="R942" s="2" t="inlineStr"/>
    </row>
    <row r="943" ht="15" customHeight="1">
      <c r="A943" t="inlineStr">
        <is>
          <t>A 14156-2024</t>
        </is>
      </c>
      <c r="B943" s="1" t="n">
        <v>45392</v>
      </c>
      <c r="C943" s="1" t="n">
        <v>46043</v>
      </c>
      <c r="D943" t="inlineStr">
        <is>
          <t>JÄMTLANDS LÄN</t>
        </is>
      </c>
      <c r="E943" t="inlineStr">
        <is>
          <t>RAGUNDA</t>
        </is>
      </c>
      <c r="G943" t="n">
        <v>0.6</v>
      </c>
      <c r="H943" t="n">
        <v>0</v>
      </c>
      <c r="I943" t="n">
        <v>0</v>
      </c>
      <c r="J943" t="n">
        <v>0</v>
      </c>
      <c r="K943" t="n">
        <v>0</v>
      </c>
      <c r="L943" t="n">
        <v>0</v>
      </c>
      <c r="M943" t="n">
        <v>0</v>
      </c>
      <c r="N943" t="n">
        <v>0</v>
      </c>
      <c r="O943" t="n">
        <v>0</v>
      </c>
      <c r="P943" t="n">
        <v>0</v>
      </c>
      <c r="Q943" t="n">
        <v>0</v>
      </c>
      <c r="R943" s="2" t="inlineStr"/>
    </row>
    <row r="944" ht="15" customHeight="1">
      <c r="A944" t="inlineStr">
        <is>
          <t>A 14157-2024</t>
        </is>
      </c>
      <c r="B944" s="1" t="n">
        <v>45392.92903935185</v>
      </c>
      <c r="C944" s="1" t="n">
        <v>46043</v>
      </c>
      <c r="D944" t="inlineStr">
        <is>
          <t>JÄMTLANDS LÄN</t>
        </is>
      </c>
      <c r="E944" t="inlineStr">
        <is>
          <t>RAGUNDA</t>
        </is>
      </c>
      <c r="G944" t="n">
        <v>1.7</v>
      </c>
      <c r="H944" t="n">
        <v>0</v>
      </c>
      <c r="I944" t="n">
        <v>0</v>
      </c>
      <c r="J944" t="n">
        <v>0</v>
      </c>
      <c r="K944" t="n">
        <v>0</v>
      </c>
      <c r="L944" t="n">
        <v>0</v>
      </c>
      <c r="M944" t="n">
        <v>0</v>
      </c>
      <c r="N944" t="n">
        <v>0</v>
      </c>
      <c r="O944" t="n">
        <v>0</v>
      </c>
      <c r="P944" t="n">
        <v>0</v>
      </c>
      <c r="Q944" t="n">
        <v>0</v>
      </c>
      <c r="R944" s="2" t="inlineStr"/>
    </row>
    <row r="945" ht="15" customHeight="1">
      <c r="A945" t="inlineStr">
        <is>
          <t>A 35689-2025</t>
        </is>
      </c>
      <c r="B945" s="1" t="n">
        <v>45860.30229166667</v>
      </c>
      <c r="C945" s="1" t="n">
        <v>46043</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35658-2025</t>
        </is>
      </c>
      <c r="B946" s="1" t="n">
        <v>45859.594375</v>
      </c>
      <c r="C946" s="1" t="n">
        <v>46043</v>
      </c>
      <c r="D946" t="inlineStr">
        <is>
          <t>JÄMTLANDS LÄN</t>
        </is>
      </c>
      <c r="E946" t="inlineStr">
        <is>
          <t>RAGUNDA</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44727-2024</t>
        </is>
      </c>
      <c r="B947" s="1" t="n">
        <v>45574.57967592592</v>
      </c>
      <c r="C947" s="1" t="n">
        <v>46043</v>
      </c>
      <c r="D947" t="inlineStr">
        <is>
          <t>JÄMTLANDS LÄN</t>
        </is>
      </c>
      <c r="E947" t="inlineStr">
        <is>
          <t>RAGUNDA</t>
        </is>
      </c>
      <c r="G947" t="n">
        <v>4.7</v>
      </c>
      <c r="H947" t="n">
        <v>0</v>
      </c>
      <c r="I947" t="n">
        <v>0</v>
      </c>
      <c r="J947" t="n">
        <v>0</v>
      </c>
      <c r="K947" t="n">
        <v>0</v>
      </c>
      <c r="L947" t="n">
        <v>0</v>
      </c>
      <c r="M947" t="n">
        <v>0</v>
      </c>
      <c r="N947" t="n">
        <v>0</v>
      </c>
      <c r="O947" t="n">
        <v>0</v>
      </c>
      <c r="P947" t="n">
        <v>0</v>
      </c>
      <c r="Q947" t="n">
        <v>0</v>
      </c>
      <c r="R947" s="2" t="inlineStr"/>
    </row>
    <row r="948" ht="15" customHeight="1">
      <c r="A948" t="inlineStr">
        <is>
          <t>A 21661-2023</t>
        </is>
      </c>
      <c r="B948" s="1" t="n">
        <v>45063</v>
      </c>
      <c r="C948" s="1" t="n">
        <v>46043</v>
      </c>
      <c r="D948" t="inlineStr">
        <is>
          <t>JÄMTLANDS LÄN</t>
        </is>
      </c>
      <c r="E948" t="inlineStr">
        <is>
          <t>RAGUNDA</t>
        </is>
      </c>
      <c r="G948" t="n">
        <v>1.5</v>
      </c>
      <c r="H948" t="n">
        <v>0</v>
      </c>
      <c r="I948" t="n">
        <v>0</v>
      </c>
      <c r="J948" t="n">
        <v>0</v>
      </c>
      <c r="K948" t="n">
        <v>0</v>
      </c>
      <c r="L948" t="n">
        <v>0</v>
      </c>
      <c r="M948" t="n">
        <v>0</v>
      </c>
      <c r="N948" t="n">
        <v>0</v>
      </c>
      <c r="O948" t="n">
        <v>0</v>
      </c>
      <c r="P948" t="n">
        <v>0</v>
      </c>
      <c r="Q948" t="n">
        <v>0</v>
      </c>
      <c r="R948" s="2" t="inlineStr"/>
    </row>
    <row r="949" ht="15" customHeight="1">
      <c r="A949" t="inlineStr">
        <is>
          <t>A 7281-2024</t>
        </is>
      </c>
      <c r="B949" s="1" t="n">
        <v>45344</v>
      </c>
      <c r="C949" s="1" t="n">
        <v>46043</v>
      </c>
      <c r="D949" t="inlineStr">
        <is>
          <t>JÄMTLANDS LÄN</t>
        </is>
      </c>
      <c r="E949" t="inlineStr">
        <is>
          <t>RAGUNDA</t>
        </is>
      </c>
      <c r="G949" t="n">
        <v>1.2</v>
      </c>
      <c r="H949" t="n">
        <v>0</v>
      </c>
      <c r="I949" t="n">
        <v>0</v>
      </c>
      <c r="J949" t="n">
        <v>0</v>
      </c>
      <c r="K949" t="n">
        <v>0</v>
      </c>
      <c r="L949" t="n">
        <v>0</v>
      </c>
      <c r="M949" t="n">
        <v>0</v>
      </c>
      <c r="N949" t="n">
        <v>0</v>
      </c>
      <c r="O949" t="n">
        <v>0</v>
      </c>
      <c r="P949" t="n">
        <v>0</v>
      </c>
      <c r="Q949" t="n">
        <v>0</v>
      </c>
      <c r="R949" s="2" t="inlineStr"/>
    </row>
    <row r="950" ht="15" customHeight="1">
      <c r="A950" t="inlineStr">
        <is>
          <t>A 19382-2025</t>
        </is>
      </c>
      <c r="B950" s="1" t="n">
        <v>45769.65659722222</v>
      </c>
      <c r="C950" s="1" t="n">
        <v>46043</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19403-2025</t>
        </is>
      </c>
      <c r="B951" s="1" t="n">
        <v>45769.67790509259</v>
      </c>
      <c r="C951" s="1" t="n">
        <v>46043</v>
      </c>
      <c r="D951" t="inlineStr">
        <is>
          <t>JÄMTLANDS LÄN</t>
        </is>
      </c>
      <c r="E951" t="inlineStr">
        <is>
          <t>RAGUNDA</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60225-2022</t>
        </is>
      </c>
      <c r="B952" s="1" t="n">
        <v>44903</v>
      </c>
      <c r="C952" s="1" t="n">
        <v>46043</v>
      </c>
      <c r="D952" t="inlineStr">
        <is>
          <t>JÄMTLANDS LÄN</t>
        </is>
      </c>
      <c r="E952" t="inlineStr">
        <is>
          <t>RAGUNDA</t>
        </is>
      </c>
      <c r="G952" t="n">
        <v>1</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46043</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54092-2024</t>
        </is>
      </c>
      <c r="B954" s="1" t="n">
        <v>45616.5108912037</v>
      </c>
      <c r="C954" s="1" t="n">
        <v>46043</v>
      </c>
      <c r="D954" t="inlineStr">
        <is>
          <t>JÄMTLANDS LÄN</t>
        </is>
      </c>
      <c r="E954" t="inlineStr">
        <is>
          <t>RAGUNDA</t>
        </is>
      </c>
      <c r="F954" t="inlineStr">
        <is>
          <t>Naturvårdsverket</t>
        </is>
      </c>
      <c r="G954" t="n">
        <v>1.3</v>
      </c>
      <c r="H954" t="n">
        <v>0</v>
      </c>
      <c r="I954" t="n">
        <v>0</v>
      </c>
      <c r="J954" t="n">
        <v>0</v>
      </c>
      <c r="K954" t="n">
        <v>0</v>
      </c>
      <c r="L954" t="n">
        <v>0</v>
      </c>
      <c r="M954" t="n">
        <v>0</v>
      </c>
      <c r="N954" t="n">
        <v>0</v>
      </c>
      <c r="O954" t="n">
        <v>0</v>
      </c>
      <c r="P954" t="n">
        <v>0</v>
      </c>
      <c r="Q954" t="n">
        <v>0</v>
      </c>
      <c r="R954" s="2" t="inlineStr"/>
    </row>
    <row r="955" ht="15" customHeight="1">
      <c r="A955" t="inlineStr">
        <is>
          <t>A 16320-2025</t>
        </is>
      </c>
      <c r="B955" s="1" t="n">
        <v>45751.34859953704</v>
      </c>
      <c r="C955" s="1" t="n">
        <v>46043</v>
      </c>
      <c r="D955" t="inlineStr">
        <is>
          <t>JÄMTLANDS LÄN</t>
        </is>
      </c>
      <c r="E955" t="inlineStr">
        <is>
          <t>RAGUNDA</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11557-2023</t>
        </is>
      </c>
      <c r="B956" s="1" t="n">
        <v>44993.94950231481</v>
      </c>
      <c r="C956" s="1" t="n">
        <v>46043</v>
      </c>
      <c r="D956" t="inlineStr">
        <is>
          <t>JÄMTLANDS LÄN</t>
        </is>
      </c>
      <c r="E956" t="inlineStr">
        <is>
          <t>RAGUNDA</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11562-2023</t>
        </is>
      </c>
      <c r="B957" s="1" t="n">
        <v>44993</v>
      </c>
      <c r="C957" s="1" t="n">
        <v>46043</v>
      </c>
      <c r="D957" t="inlineStr">
        <is>
          <t>JÄMTLANDS LÄN</t>
        </is>
      </c>
      <c r="E957" t="inlineStr">
        <is>
          <t>RAGUNDA</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44958.94298611111</v>
      </c>
      <c r="C958" s="1" t="n">
        <v>46043</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36541-2025</t>
        </is>
      </c>
      <c r="B959" s="1" t="n">
        <v>45869.65666666667</v>
      </c>
      <c r="C959" s="1" t="n">
        <v>46043</v>
      </c>
      <c r="D959" t="inlineStr">
        <is>
          <t>JÄMTLANDS LÄN</t>
        </is>
      </c>
      <c r="E959" t="inlineStr">
        <is>
          <t>RAGUNDA</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36544-2025</t>
        </is>
      </c>
      <c r="B960" s="1" t="n">
        <v>45869.67744212963</v>
      </c>
      <c r="C960" s="1" t="n">
        <v>46043</v>
      </c>
      <c r="D960" t="inlineStr">
        <is>
          <t>JÄMTLANDS LÄN</t>
        </is>
      </c>
      <c r="E960" t="inlineStr">
        <is>
          <t>RAGUNDA</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36553-2025</t>
        </is>
      </c>
      <c r="B961" s="1" t="n">
        <v>45870.34439814815</v>
      </c>
      <c r="C961" s="1" t="n">
        <v>46043</v>
      </c>
      <c r="D961" t="inlineStr">
        <is>
          <t>JÄMTLANDS LÄN</t>
        </is>
      </c>
      <c r="E961" t="inlineStr">
        <is>
          <t>RAGUNDA</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41343-2024</t>
        </is>
      </c>
      <c r="B962" s="1" t="n">
        <v>45559.67745370371</v>
      </c>
      <c r="C962" s="1" t="n">
        <v>46043</v>
      </c>
      <c r="D962" t="inlineStr">
        <is>
          <t>JÄMTLANDS LÄN</t>
        </is>
      </c>
      <c r="E962" t="inlineStr">
        <is>
          <t>RAGUNDA</t>
        </is>
      </c>
      <c r="F962" t="inlineStr">
        <is>
          <t>SCA</t>
        </is>
      </c>
      <c r="G962" t="n">
        <v>25.1</v>
      </c>
      <c r="H962" t="n">
        <v>0</v>
      </c>
      <c r="I962" t="n">
        <v>0</v>
      </c>
      <c r="J962" t="n">
        <v>0</v>
      </c>
      <c r="K962" t="n">
        <v>0</v>
      </c>
      <c r="L962" t="n">
        <v>0</v>
      </c>
      <c r="M962" t="n">
        <v>0</v>
      </c>
      <c r="N962" t="n">
        <v>0</v>
      </c>
      <c r="O962" t="n">
        <v>0</v>
      </c>
      <c r="P962" t="n">
        <v>0</v>
      </c>
      <c r="Q962" t="n">
        <v>0</v>
      </c>
      <c r="R962" s="2" t="inlineStr"/>
    </row>
    <row r="963" ht="15" customHeight="1">
      <c r="A963" t="inlineStr">
        <is>
          <t>A 12039-2023</t>
        </is>
      </c>
      <c r="B963" s="1" t="n">
        <v>44995.98341435185</v>
      </c>
      <c r="C963" s="1" t="n">
        <v>46043</v>
      </c>
      <c r="D963" t="inlineStr">
        <is>
          <t>JÄMTLANDS LÄN</t>
        </is>
      </c>
      <c r="E963" t="inlineStr">
        <is>
          <t>RAGUNDA</t>
        </is>
      </c>
      <c r="F963" t="inlineStr">
        <is>
          <t>SCA</t>
        </is>
      </c>
      <c r="G963" t="n">
        <v>0.5</v>
      </c>
      <c r="H963" t="n">
        <v>0</v>
      </c>
      <c r="I963" t="n">
        <v>0</v>
      </c>
      <c r="J963" t="n">
        <v>0</v>
      </c>
      <c r="K963" t="n">
        <v>0</v>
      </c>
      <c r="L963" t="n">
        <v>0</v>
      </c>
      <c r="M963" t="n">
        <v>0</v>
      </c>
      <c r="N963" t="n">
        <v>0</v>
      </c>
      <c r="O963" t="n">
        <v>0</v>
      </c>
      <c r="P963" t="n">
        <v>0</v>
      </c>
      <c r="Q963" t="n">
        <v>0</v>
      </c>
      <c r="R963" s="2" t="inlineStr"/>
    </row>
    <row r="964" ht="15" customHeight="1">
      <c r="A964" t="inlineStr">
        <is>
          <t>A 12050-2023</t>
        </is>
      </c>
      <c r="B964" s="1" t="n">
        <v>44995.98644675926</v>
      </c>
      <c r="C964" s="1" t="n">
        <v>46043</v>
      </c>
      <c r="D964" t="inlineStr">
        <is>
          <t>JÄMTLANDS LÄN</t>
        </is>
      </c>
      <c r="E964" t="inlineStr">
        <is>
          <t>RAGUNDA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2751-2024</t>
        </is>
      </c>
      <c r="B965" s="1" t="n">
        <v>45314</v>
      </c>
      <c r="C965" s="1" t="n">
        <v>46043</v>
      </c>
      <c r="D965" t="inlineStr">
        <is>
          <t>JÄMTLANDS LÄN</t>
        </is>
      </c>
      <c r="E965" t="inlineStr">
        <is>
          <t>RAGUNDA</t>
        </is>
      </c>
      <c r="G965" t="n">
        <v>1.8</v>
      </c>
      <c r="H965" t="n">
        <v>0</v>
      </c>
      <c r="I965" t="n">
        <v>0</v>
      </c>
      <c r="J965" t="n">
        <v>0</v>
      </c>
      <c r="K965" t="n">
        <v>0</v>
      </c>
      <c r="L965" t="n">
        <v>0</v>
      </c>
      <c r="M965" t="n">
        <v>0</v>
      </c>
      <c r="N965" t="n">
        <v>0</v>
      </c>
      <c r="O965" t="n">
        <v>0</v>
      </c>
      <c r="P965" t="n">
        <v>0</v>
      </c>
      <c r="Q965" t="n">
        <v>0</v>
      </c>
      <c r="R965" s="2" t="inlineStr"/>
    </row>
    <row r="966" ht="15" customHeight="1">
      <c r="A966" t="inlineStr">
        <is>
          <t>A 36986-2023</t>
        </is>
      </c>
      <c r="B966" s="1" t="n">
        <v>45154.95525462963</v>
      </c>
      <c r="C966" s="1" t="n">
        <v>46043</v>
      </c>
      <c r="D966" t="inlineStr">
        <is>
          <t>JÄMTLANDS LÄN</t>
        </is>
      </c>
      <c r="E966" t="inlineStr">
        <is>
          <t>RAGUNDA</t>
        </is>
      </c>
      <c r="F966" t="inlineStr">
        <is>
          <t>SCA</t>
        </is>
      </c>
      <c r="G966" t="n">
        <v>0.2</v>
      </c>
      <c r="H966" t="n">
        <v>0</v>
      </c>
      <c r="I966" t="n">
        <v>0</v>
      </c>
      <c r="J966" t="n">
        <v>0</v>
      </c>
      <c r="K966" t="n">
        <v>0</v>
      </c>
      <c r="L966" t="n">
        <v>0</v>
      </c>
      <c r="M966" t="n">
        <v>0</v>
      </c>
      <c r="N966" t="n">
        <v>0</v>
      </c>
      <c r="O966" t="n">
        <v>0</v>
      </c>
      <c r="P966" t="n">
        <v>0</v>
      </c>
      <c r="Q966" t="n">
        <v>0</v>
      </c>
      <c r="R966" s="2" t="inlineStr"/>
    </row>
    <row r="967" ht="15" customHeight="1">
      <c r="A967" t="inlineStr">
        <is>
          <t>A 14368-2024</t>
        </is>
      </c>
      <c r="B967" s="1" t="n">
        <v>45393.94431712963</v>
      </c>
      <c r="C967" s="1" t="n">
        <v>46043</v>
      </c>
      <c r="D967" t="inlineStr">
        <is>
          <t>JÄMTLANDS LÄN</t>
        </is>
      </c>
      <c r="E967" t="inlineStr">
        <is>
          <t>RAGUNDA</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18159-2023</t>
        </is>
      </c>
      <c r="B968" s="1" t="n">
        <v>45040.94277777777</v>
      </c>
      <c r="C968" s="1" t="n">
        <v>46043</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36947-2025</t>
        </is>
      </c>
      <c r="B969" s="1" t="n">
        <v>45874.59496527778</v>
      </c>
      <c r="C969" s="1" t="n">
        <v>46043</v>
      </c>
      <c r="D969" t="inlineStr">
        <is>
          <t>JÄMTLANDS LÄN</t>
        </is>
      </c>
      <c r="E969" t="inlineStr">
        <is>
          <t>RAGUNDA</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13700-2023</t>
        </is>
      </c>
      <c r="B970" s="1" t="n">
        <v>45006</v>
      </c>
      <c r="C970" s="1" t="n">
        <v>46043</v>
      </c>
      <c r="D970" t="inlineStr">
        <is>
          <t>JÄMTLANDS LÄN</t>
        </is>
      </c>
      <c r="E970" t="inlineStr">
        <is>
          <t>RAGUNDA</t>
        </is>
      </c>
      <c r="F970" t="inlineStr">
        <is>
          <t>SCA</t>
        </is>
      </c>
      <c r="G970" t="n">
        <v>50.3</v>
      </c>
      <c r="H970" t="n">
        <v>0</v>
      </c>
      <c r="I970" t="n">
        <v>0</v>
      </c>
      <c r="J970" t="n">
        <v>0</v>
      </c>
      <c r="K970" t="n">
        <v>0</v>
      </c>
      <c r="L970" t="n">
        <v>0</v>
      </c>
      <c r="M970" t="n">
        <v>0</v>
      </c>
      <c r="N970" t="n">
        <v>0</v>
      </c>
      <c r="O970" t="n">
        <v>0</v>
      </c>
      <c r="P970" t="n">
        <v>0</v>
      </c>
      <c r="Q970" t="n">
        <v>0</v>
      </c>
      <c r="R970" s="2" t="inlineStr"/>
    </row>
    <row r="971" ht="15" customHeight="1">
      <c r="A971" t="inlineStr">
        <is>
          <t>A 32075-2025</t>
        </is>
      </c>
      <c r="B971" s="1" t="n">
        <v>45835.4506712963</v>
      </c>
      <c r="C971" s="1" t="n">
        <v>46043</v>
      </c>
      <c r="D971" t="inlineStr">
        <is>
          <t>JÄMTLANDS LÄN</t>
        </is>
      </c>
      <c r="E971" t="inlineStr">
        <is>
          <t>RAGUNDA</t>
        </is>
      </c>
      <c r="G971" t="n">
        <v>1.1</v>
      </c>
      <c r="H971" t="n">
        <v>0</v>
      </c>
      <c r="I971" t="n">
        <v>0</v>
      </c>
      <c r="J971" t="n">
        <v>0</v>
      </c>
      <c r="K971" t="n">
        <v>0</v>
      </c>
      <c r="L971" t="n">
        <v>0</v>
      </c>
      <c r="M971" t="n">
        <v>0</v>
      </c>
      <c r="N971" t="n">
        <v>0</v>
      </c>
      <c r="O971" t="n">
        <v>0</v>
      </c>
      <c r="P971" t="n">
        <v>0</v>
      </c>
      <c r="Q971" t="n">
        <v>0</v>
      </c>
      <c r="R971" s="2" t="inlineStr"/>
    </row>
    <row r="972" ht="15" customHeight="1">
      <c r="A972" t="inlineStr">
        <is>
          <t>A 36994-2025</t>
        </is>
      </c>
      <c r="B972" s="1" t="n">
        <v>45874.67746527777</v>
      </c>
      <c r="C972" s="1" t="n">
        <v>46043</v>
      </c>
      <c r="D972" t="inlineStr">
        <is>
          <t>JÄMTLANDS LÄN</t>
        </is>
      </c>
      <c r="E972" t="inlineStr">
        <is>
          <t>RAGUNDA</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32874-2025</t>
        </is>
      </c>
      <c r="B973" s="1" t="n">
        <v>45839</v>
      </c>
      <c r="C973" s="1" t="n">
        <v>46043</v>
      </c>
      <c r="D973" t="inlineStr">
        <is>
          <t>JÄMTLANDS LÄN</t>
        </is>
      </c>
      <c r="E973" t="inlineStr">
        <is>
          <t>RAGUNDA</t>
        </is>
      </c>
      <c r="G973" t="n">
        <v>2.3</v>
      </c>
      <c r="H973" t="n">
        <v>0</v>
      </c>
      <c r="I973" t="n">
        <v>0</v>
      </c>
      <c r="J973" t="n">
        <v>0</v>
      </c>
      <c r="K973" t="n">
        <v>0</v>
      </c>
      <c r="L973" t="n">
        <v>0</v>
      </c>
      <c r="M973" t="n">
        <v>0</v>
      </c>
      <c r="N973" t="n">
        <v>0</v>
      </c>
      <c r="O973" t="n">
        <v>0</v>
      </c>
      <c r="P973" t="n">
        <v>0</v>
      </c>
      <c r="Q973" t="n">
        <v>0</v>
      </c>
      <c r="R973" s="2" t="inlineStr"/>
    </row>
    <row r="974" ht="15" customHeight="1">
      <c r="A974" t="inlineStr">
        <is>
          <t>A 37543-2023</t>
        </is>
      </c>
      <c r="B974" s="1" t="n">
        <v>45158.94231481481</v>
      </c>
      <c r="C974" s="1" t="n">
        <v>46043</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37008-2025</t>
        </is>
      </c>
      <c r="B975" s="1" t="n">
        <v>45874.69844907407</v>
      </c>
      <c r="C975" s="1" t="n">
        <v>46043</v>
      </c>
      <c r="D975" t="inlineStr">
        <is>
          <t>JÄMTLANDS LÄN</t>
        </is>
      </c>
      <c r="E975" t="inlineStr">
        <is>
          <t>RAGUNDA</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53171-2024</t>
        </is>
      </c>
      <c r="B976" s="1" t="n">
        <v>45611.65679398148</v>
      </c>
      <c r="C976" s="1" t="n">
        <v>46043</v>
      </c>
      <c r="D976" t="inlineStr">
        <is>
          <t>JÄMTLANDS LÄN</t>
        </is>
      </c>
      <c r="E976" t="inlineStr">
        <is>
          <t>RAGUNDA</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1523-2024</t>
        </is>
      </c>
      <c r="B977" s="1" t="n">
        <v>45306</v>
      </c>
      <c r="C977" s="1" t="n">
        <v>46043</v>
      </c>
      <c r="D977" t="inlineStr">
        <is>
          <t>JÄMTLANDS LÄN</t>
        </is>
      </c>
      <c r="E977" t="inlineStr">
        <is>
          <t>RAGUNDA</t>
        </is>
      </c>
      <c r="G977" t="n">
        <v>4.1</v>
      </c>
      <c r="H977" t="n">
        <v>0</v>
      </c>
      <c r="I977" t="n">
        <v>0</v>
      </c>
      <c r="J977" t="n">
        <v>0</v>
      </c>
      <c r="K977" t="n">
        <v>0</v>
      </c>
      <c r="L977" t="n">
        <v>0</v>
      </c>
      <c r="M977" t="n">
        <v>0</v>
      </c>
      <c r="N977" t="n">
        <v>0</v>
      </c>
      <c r="O977" t="n">
        <v>0</v>
      </c>
      <c r="P977" t="n">
        <v>0</v>
      </c>
      <c r="Q977" t="n">
        <v>0</v>
      </c>
      <c r="R977" s="2" t="inlineStr"/>
    </row>
    <row r="978" ht="15" customHeight="1">
      <c r="A978" t="inlineStr">
        <is>
          <t>A 64265-2023</t>
        </is>
      </c>
      <c r="B978" s="1" t="n">
        <v>45279.94572916667</v>
      </c>
      <c r="C978" s="1" t="n">
        <v>46043</v>
      </c>
      <c r="D978" t="inlineStr">
        <is>
          <t>JÄMTLANDS LÄN</t>
        </is>
      </c>
      <c r="E978" t="inlineStr">
        <is>
          <t>RAGUNDA</t>
        </is>
      </c>
      <c r="F978" t="inlineStr">
        <is>
          <t>SCA</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37292-2025</t>
        </is>
      </c>
      <c r="B979" s="1" t="n">
        <v>45876.53188657408</v>
      </c>
      <c r="C979" s="1" t="n">
        <v>46043</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44605-2024</t>
        </is>
      </c>
      <c r="B980" s="1" t="n">
        <v>45574.51185185185</v>
      </c>
      <c r="C980" s="1" t="n">
        <v>46043</v>
      </c>
      <c r="D980" t="inlineStr">
        <is>
          <t>JÄMTLANDS LÄN</t>
        </is>
      </c>
      <c r="E980" t="inlineStr">
        <is>
          <t>RAGUNDA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53136-2024</t>
        </is>
      </c>
      <c r="B981" s="1" t="n">
        <v>45611.5953125</v>
      </c>
      <c r="C981" s="1" t="n">
        <v>46043</v>
      </c>
      <c r="D981" t="inlineStr">
        <is>
          <t>JÄMTLANDS LÄN</t>
        </is>
      </c>
      <c r="E981" t="inlineStr">
        <is>
          <t>RAGUNDA</t>
        </is>
      </c>
      <c r="G981" t="n">
        <v>3.8</v>
      </c>
      <c r="H981" t="n">
        <v>0</v>
      </c>
      <c r="I981" t="n">
        <v>0</v>
      </c>
      <c r="J981" t="n">
        <v>0</v>
      </c>
      <c r="K981" t="n">
        <v>0</v>
      </c>
      <c r="L981" t="n">
        <v>0</v>
      </c>
      <c r="M981" t="n">
        <v>0</v>
      </c>
      <c r="N981" t="n">
        <v>0</v>
      </c>
      <c r="O981" t="n">
        <v>0</v>
      </c>
      <c r="P981" t="n">
        <v>0</v>
      </c>
      <c r="Q981" t="n">
        <v>0</v>
      </c>
      <c r="R981" s="2" t="inlineStr"/>
    </row>
    <row r="982" ht="15" customHeight="1">
      <c r="A982" t="inlineStr">
        <is>
          <t>A 52228-2024</t>
        </is>
      </c>
      <c r="B982" s="1" t="n">
        <v>45608.6078587963</v>
      </c>
      <c r="C982" s="1" t="n">
        <v>46043</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59372-2024</t>
        </is>
      </c>
      <c r="B983" s="1" t="n">
        <v>45638.34431712963</v>
      </c>
      <c r="C983" s="1" t="n">
        <v>46043</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62115-2024</t>
        </is>
      </c>
      <c r="B984" s="1" t="n">
        <v>45656</v>
      </c>
      <c r="C984" s="1" t="n">
        <v>46043</v>
      </c>
      <c r="D984" t="inlineStr">
        <is>
          <t>JÄMTLANDS LÄN</t>
        </is>
      </c>
      <c r="E984" t="inlineStr">
        <is>
          <t>RAGUNDA</t>
        </is>
      </c>
      <c r="G984" t="n">
        <v>3.3</v>
      </c>
      <c r="H984" t="n">
        <v>0</v>
      </c>
      <c r="I984" t="n">
        <v>0</v>
      </c>
      <c r="J984" t="n">
        <v>0</v>
      </c>
      <c r="K984" t="n">
        <v>0</v>
      </c>
      <c r="L984" t="n">
        <v>0</v>
      </c>
      <c r="M984" t="n">
        <v>0</v>
      </c>
      <c r="N984" t="n">
        <v>0</v>
      </c>
      <c r="O984" t="n">
        <v>0</v>
      </c>
      <c r="P984" t="n">
        <v>0</v>
      </c>
      <c r="Q984" t="n">
        <v>0</v>
      </c>
      <c r="R984" s="2" t="inlineStr"/>
    </row>
    <row r="985" ht="15" customHeight="1">
      <c r="A985" t="inlineStr">
        <is>
          <t>A 4594-2024</t>
        </is>
      </c>
      <c r="B985" s="1" t="n">
        <v>45327.94459490741</v>
      </c>
      <c r="C985" s="1" t="n">
        <v>46043</v>
      </c>
      <c r="D985" t="inlineStr">
        <is>
          <t>JÄMTLANDS LÄN</t>
        </is>
      </c>
      <c r="E985" t="inlineStr">
        <is>
          <t>RAGUNDA</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3018-2024</t>
        </is>
      </c>
      <c r="B986" s="1" t="n">
        <v>45315.9492824074</v>
      </c>
      <c r="C986" s="1" t="n">
        <v>46043</v>
      </c>
      <c r="D986" t="inlineStr">
        <is>
          <t>JÄMTLANDS LÄN</t>
        </is>
      </c>
      <c r="E986" t="inlineStr">
        <is>
          <t>RAGUNDA</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48065-2023</t>
        </is>
      </c>
      <c r="B987" s="1" t="n">
        <v>45204.94399305555</v>
      </c>
      <c r="C987" s="1" t="n">
        <v>46043</v>
      </c>
      <c r="D987" t="inlineStr">
        <is>
          <t>JÄMTLANDS LÄN</t>
        </is>
      </c>
      <c r="E987" t="inlineStr">
        <is>
          <t>RAGUNDA</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44597-2024</t>
        </is>
      </c>
      <c r="B988" s="1" t="n">
        <v>45574.51087962963</v>
      </c>
      <c r="C988" s="1" t="n">
        <v>46043</v>
      </c>
      <c r="D988" t="inlineStr">
        <is>
          <t>JÄMTLANDS LÄN</t>
        </is>
      </c>
      <c r="E988" t="inlineStr">
        <is>
          <t>RAGUNDA</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44598-2024</t>
        </is>
      </c>
      <c r="B989" s="1" t="n">
        <v>45574.51090277778</v>
      </c>
      <c r="C989" s="1" t="n">
        <v>46043</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9504-2025</t>
        </is>
      </c>
      <c r="B990" s="1" t="n">
        <v>45714</v>
      </c>
      <c r="C990" s="1" t="n">
        <v>46043</v>
      </c>
      <c r="D990" t="inlineStr">
        <is>
          <t>JÄMTLANDS LÄN</t>
        </is>
      </c>
      <c r="E990" t="inlineStr">
        <is>
          <t>RAGUNDA</t>
        </is>
      </c>
      <c r="G990" t="n">
        <v>6</v>
      </c>
      <c r="H990" t="n">
        <v>0</v>
      </c>
      <c r="I990" t="n">
        <v>0</v>
      </c>
      <c r="J990" t="n">
        <v>0</v>
      </c>
      <c r="K990" t="n">
        <v>0</v>
      </c>
      <c r="L990" t="n">
        <v>0</v>
      </c>
      <c r="M990" t="n">
        <v>0</v>
      </c>
      <c r="N990" t="n">
        <v>0</v>
      </c>
      <c r="O990" t="n">
        <v>0</v>
      </c>
      <c r="P990" t="n">
        <v>0</v>
      </c>
      <c r="Q990" t="n">
        <v>0</v>
      </c>
      <c r="R990" s="2" t="inlineStr"/>
    </row>
    <row r="991" ht="15" customHeight="1">
      <c r="A991" t="inlineStr">
        <is>
          <t>A 49659-2023</t>
        </is>
      </c>
      <c r="B991" s="1" t="n">
        <v>45211.95134259259</v>
      </c>
      <c r="C991" s="1" t="n">
        <v>46043</v>
      </c>
      <c r="D991" t="inlineStr">
        <is>
          <t>JÄMTLANDS LÄN</t>
        </is>
      </c>
      <c r="E991" t="inlineStr">
        <is>
          <t>RAGUNDA</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23734-2024</t>
        </is>
      </c>
      <c r="B992" s="1" t="n">
        <v>45454.95960648148</v>
      </c>
      <c r="C992" s="1" t="n">
        <v>46043</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12653-2024</t>
        </is>
      </c>
      <c r="B993" s="1" t="n">
        <v>45384</v>
      </c>
      <c r="C993" s="1" t="n">
        <v>46043</v>
      </c>
      <c r="D993" t="inlineStr">
        <is>
          <t>JÄMTLANDS LÄN</t>
        </is>
      </c>
      <c r="E993" t="inlineStr">
        <is>
          <t>RAGUNDA</t>
        </is>
      </c>
      <c r="G993" t="n">
        <v>1.1</v>
      </c>
      <c r="H993" t="n">
        <v>0</v>
      </c>
      <c r="I993" t="n">
        <v>0</v>
      </c>
      <c r="J993" t="n">
        <v>0</v>
      </c>
      <c r="K993" t="n">
        <v>0</v>
      </c>
      <c r="L993" t="n">
        <v>0</v>
      </c>
      <c r="M993" t="n">
        <v>0</v>
      </c>
      <c r="N993" t="n">
        <v>0</v>
      </c>
      <c r="O993" t="n">
        <v>0</v>
      </c>
      <c r="P993" t="n">
        <v>0</v>
      </c>
      <c r="Q993" t="n">
        <v>0</v>
      </c>
      <c r="R993" s="2" t="inlineStr"/>
    </row>
    <row r="994" ht="15" customHeight="1">
      <c r="A994" t="inlineStr">
        <is>
          <t>A 34483-2023</t>
        </is>
      </c>
      <c r="B994" s="1" t="n">
        <v>45139.94681712963</v>
      </c>
      <c r="C994" s="1" t="n">
        <v>46043</v>
      </c>
      <c r="D994" t="inlineStr">
        <is>
          <t>JÄMTLANDS LÄN</t>
        </is>
      </c>
      <c r="E994" t="inlineStr">
        <is>
          <t>RAGUNDA</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23567-2024</t>
        </is>
      </c>
      <c r="B995" s="1" t="n">
        <v>45453.95538194444</v>
      </c>
      <c r="C995" s="1" t="n">
        <v>46043</v>
      </c>
      <c r="D995" t="inlineStr">
        <is>
          <t>JÄMTLANDS LÄN</t>
        </is>
      </c>
      <c r="E995" t="inlineStr">
        <is>
          <t>RAGUNDA</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57116-2024</t>
        </is>
      </c>
      <c r="B996" s="1" t="n">
        <v>45629.36513888889</v>
      </c>
      <c r="C996" s="1" t="n">
        <v>46043</v>
      </c>
      <c r="D996" t="inlineStr">
        <is>
          <t>JÄMTLANDS LÄN</t>
        </is>
      </c>
      <c r="E996" t="inlineStr">
        <is>
          <t>RAGUNDA</t>
        </is>
      </c>
      <c r="G996" t="n">
        <v>0.6</v>
      </c>
      <c r="H996" t="n">
        <v>0</v>
      </c>
      <c r="I996" t="n">
        <v>0</v>
      </c>
      <c r="J996" t="n">
        <v>0</v>
      </c>
      <c r="K996" t="n">
        <v>0</v>
      </c>
      <c r="L996" t="n">
        <v>0</v>
      </c>
      <c r="M996" t="n">
        <v>0</v>
      </c>
      <c r="N996" t="n">
        <v>0</v>
      </c>
      <c r="O996" t="n">
        <v>0</v>
      </c>
      <c r="P996" t="n">
        <v>0</v>
      </c>
      <c r="Q996" t="n">
        <v>0</v>
      </c>
      <c r="R996" s="2" t="inlineStr"/>
    </row>
    <row r="997" ht="15" customHeight="1">
      <c r="A997" t="inlineStr">
        <is>
          <t>A 38312-2024</t>
        </is>
      </c>
      <c r="B997" s="1" t="n">
        <v>45545.64957175926</v>
      </c>
      <c r="C997" s="1" t="n">
        <v>46043</v>
      </c>
      <c r="D997" t="inlineStr">
        <is>
          <t>JÄMTLANDS LÄN</t>
        </is>
      </c>
      <c r="E997" t="inlineStr">
        <is>
          <t>RAGUNDA</t>
        </is>
      </c>
      <c r="G997" t="n">
        <v>1.2</v>
      </c>
      <c r="H997" t="n">
        <v>0</v>
      </c>
      <c r="I997" t="n">
        <v>0</v>
      </c>
      <c r="J997" t="n">
        <v>0</v>
      </c>
      <c r="K997" t="n">
        <v>0</v>
      </c>
      <c r="L997" t="n">
        <v>0</v>
      </c>
      <c r="M997" t="n">
        <v>0</v>
      </c>
      <c r="N997" t="n">
        <v>0</v>
      </c>
      <c r="O997" t="n">
        <v>0</v>
      </c>
      <c r="P997" t="n">
        <v>0</v>
      </c>
      <c r="Q997" t="n">
        <v>0</v>
      </c>
      <c r="R997" s="2" t="inlineStr"/>
    </row>
    <row r="998" ht="15" customHeight="1">
      <c r="A998" t="inlineStr">
        <is>
          <t>A 9262-2025</t>
        </is>
      </c>
      <c r="B998" s="1" t="n">
        <v>45714.60649305556</v>
      </c>
      <c r="C998" s="1" t="n">
        <v>46043</v>
      </c>
      <c r="D998" t="inlineStr">
        <is>
          <t>JÄMTLANDS LÄN</t>
        </is>
      </c>
      <c r="E998" t="inlineStr">
        <is>
          <t>RAGUNDA</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16982-2024</t>
        </is>
      </c>
      <c r="B999" s="1" t="n">
        <v>45412.02506944445</v>
      </c>
      <c r="C999" s="1" t="n">
        <v>46043</v>
      </c>
      <c r="D999" t="inlineStr">
        <is>
          <t>JÄMTLANDS LÄN</t>
        </is>
      </c>
      <c r="E999" t="inlineStr">
        <is>
          <t>RAGUNDA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58564-2024</t>
        </is>
      </c>
      <c r="B1000" s="1" t="n">
        <v>45635.47243055556</v>
      </c>
      <c r="C1000" s="1" t="n">
        <v>46043</v>
      </c>
      <c r="D1000" t="inlineStr">
        <is>
          <t>JÄMTLANDS LÄN</t>
        </is>
      </c>
      <c r="E1000" t="inlineStr">
        <is>
          <t>RAGUNDA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53144-2024</t>
        </is>
      </c>
      <c r="B1001" s="1" t="n">
        <v>45611</v>
      </c>
      <c r="C1001" s="1" t="n">
        <v>46043</v>
      </c>
      <c r="D1001" t="inlineStr">
        <is>
          <t>JÄMTLANDS LÄN</t>
        </is>
      </c>
      <c r="E1001" t="inlineStr">
        <is>
          <t>RAGUNDA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5806-2025</t>
        </is>
      </c>
      <c r="B1002" s="1" t="n">
        <v>45694.69826388889</v>
      </c>
      <c r="C1002" s="1" t="n">
        <v>46043</v>
      </c>
      <c r="D1002" t="inlineStr">
        <is>
          <t>JÄMTLANDS LÄN</t>
        </is>
      </c>
      <c r="E1002" t="inlineStr">
        <is>
          <t>RAGUNDA</t>
        </is>
      </c>
      <c r="F1002" t="inlineStr">
        <is>
          <t>SCA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20773-2024</t>
        </is>
      </c>
      <c r="B1003" s="1" t="n">
        <v>45436.94636574074</v>
      </c>
      <c r="C1003" s="1" t="n">
        <v>46043</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14076-2023</t>
        </is>
      </c>
      <c r="B1004" s="1" t="n">
        <v>45009.0897337963</v>
      </c>
      <c r="C1004" s="1" t="n">
        <v>46043</v>
      </c>
      <c r="D1004" t="inlineStr">
        <is>
          <t>JÄMTLANDS LÄN</t>
        </is>
      </c>
      <c r="E1004" t="inlineStr">
        <is>
          <t>RAGUNDA</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45335-2023</t>
        </is>
      </c>
      <c r="B1005" s="1" t="n">
        <v>45191</v>
      </c>
      <c r="C1005" s="1" t="n">
        <v>46043</v>
      </c>
      <c r="D1005" t="inlineStr">
        <is>
          <t>JÄMTLANDS LÄN</t>
        </is>
      </c>
      <c r="E1005" t="inlineStr">
        <is>
          <t>RAGUNDA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10972-2022</t>
        </is>
      </c>
      <c r="B1006" s="1" t="n">
        <v>44628</v>
      </c>
      <c r="C1006" s="1" t="n">
        <v>46043</v>
      </c>
      <c r="D1006" t="inlineStr">
        <is>
          <t>JÄMTLANDS LÄN</t>
        </is>
      </c>
      <c r="E1006" t="inlineStr">
        <is>
          <t>RAGUNDA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43102-2023</t>
        </is>
      </c>
      <c r="B1007" s="1" t="n">
        <v>45182</v>
      </c>
      <c r="C1007" s="1" t="n">
        <v>46043</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6694-2024</t>
        </is>
      </c>
      <c r="B1008" s="1" t="n">
        <v>45341.95381944445</v>
      </c>
      <c r="C1008" s="1" t="n">
        <v>46043</v>
      </c>
      <c r="D1008" t="inlineStr">
        <is>
          <t>JÄMTLANDS LÄN</t>
        </is>
      </c>
      <c r="E1008" t="inlineStr">
        <is>
          <t>RAGUNDA</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21083-2024</t>
        </is>
      </c>
      <c r="B1009" s="1" t="n">
        <v>45439.92752314815</v>
      </c>
      <c r="C1009" s="1" t="n">
        <v>46043</v>
      </c>
      <c r="D1009" t="inlineStr">
        <is>
          <t>JÄMTLANDS LÄN</t>
        </is>
      </c>
      <c r="E1009" t="inlineStr">
        <is>
          <t>RAGUNDA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59759-2024</t>
        </is>
      </c>
      <c r="B1010" s="1" t="n">
        <v>45639.55240740741</v>
      </c>
      <c r="C1010" s="1" t="n">
        <v>46043</v>
      </c>
      <c r="D1010" t="inlineStr">
        <is>
          <t>JÄMTLANDS LÄN</t>
        </is>
      </c>
      <c r="E1010" t="inlineStr">
        <is>
          <t>RAGUNDA</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12204-2025</t>
        </is>
      </c>
      <c r="B1011" s="1" t="n">
        <v>45729.51074074074</v>
      </c>
      <c r="C1011" s="1" t="n">
        <v>46043</v>
      </c>
      <c r="D1011" t="inlineStr">
        <is>
          <t>JÄMTLANDS LÄN</t>
        </is>
      </c>
      <c r="E1011" t="inlineStr">
        <is>
          <t>RAGUNDA</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11245-2025</t>
        </is>
      </c>
      <c r="B1012" s="1" t="n">
        <v>45726.38575231482</v>
      </c>
      <c r="C1012" s="1" t="n">
        <v>46043</v>
      </c>
      <c r="D1012" t="inlineStr">
        <is>
          <t>JÄMTLANDS LÄN</t>
        </is>
      </c>
      <c r="E1012" t="inlineStr">
        <is>
          <t>RAGUNDA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13905-2025</t>
        </is>
      </c>
      <c r="B1013" s="1" t="n">
        <v>45737.63574074074</v>
      </c>
      <c r="C1013" s="1" t="n">
        <v>46043</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4125-2024</t>
        </is>
      </c>
      <c r="B1014" s="1" t="n">
        <v>45323</v>
      </c>
      <c r="C1014" s="1" t="n">
        <v>46043</v>
      </c>
      <c r="D1014" t="inlineStr">
        <is>
          <t>JÄMTLANDS LÄN</t>
        </is>
      </c>
      <c r="E1014" t="inlineStr">
        <is>
          <t>RAGUNDA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44980-2023</t>
        </is>
      </c>
      <c r="B1015" s="1" t="n">
        <v>45190</v>
      </c>
      <c r="C1015" s="1" t="n">
        <v>46043</v>
      </c>
      <c r="D1015" t="inlineStr">
        <is>
          <t>JÄMTLANDS LÄN</t>
        </is>
      </c>
      <c r="E1015" t="inlineStr">
        <is>
          <t>RAGUNDA</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27777-2022</t>
        </is>
      </c>
      <c r="B1016" s="1" t="n">
        <v>44743</v>
      </c>
      <c r="C1016" s="1" t="n">
        <v>46043</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51245-2024</t>
        </is>
      </c>
      <c r="B1017" s="1" t="n">
        <v>45603.67850694444</v>
      </c>
      <c r="C1017" s="1" t="n">
        <v>46043</v>
      </c>
      <c r="D1017" t="inlineStr">
        <is>
          <t>JÄMTLANDS LÄN</t>
        </is>
      </c>
      <c r="E1017" t="inlineStr">
        <is>
          <t>RAGUNDA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61923-2024</t>
        </is>
      </c>
      <c r="B1018" s="1" t="n">
        <v>45653.44836805556</v>
      </c>
      <c r="C1018" s="1" t="n">
        <v>46043</v>
      </c>
      <c r="D1018" t="inlineStr">
        <is>
          <t>JÄMTLANDS LÄN</t>
        </is>
      </c>
      <c r="E1018" t="inlineStr">
        <is>
          <t>RAGUNDA</t>
        </is>
      </c>
      <c r="F1018" t="inlineStr">
        <is>
          <t>SCA</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50503-2024</t>
        </is>
      </c>
      <c r="B1019" s="1" t="n">
        <v>45601.5315625</v>
      </c>
      <c r="C1019" s="1" t="n">
        <v>46043</v>
      </c>
      <c r="D1019" t="inlineStr">
        <is>
          <t>JÄMTLANDS LÄN</t>
        </is>
      </c>
      <c r="E1019" t="inlineStr">
        <is>
          <t>RAGUNDA</t>
        </is>
      </c>
      <c r="F1019" t="inlineStr">
        <is>
          <t>SCA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59556-2024</t>
        </is>
      </c>
      <c r="B1020" s="1" t="n">
        <v>45638.63600694444</v>
      </c>
      <c r="C1020" s="1" t="n">
        <v>46043</v>
      </c>
      <c r="D1020" t="inlineStr">
        <is>
          <t>JÄMTLANDS LÄN</t>
        </is>
      </c>
      <c r="E1020" t="inlineStr">
        <is>
          <t>RAGUNDA</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13302-2022</t>
        </is>
      </c>
      <c r="B1021" s="1" t="n">
        <v>44644</v>
      </c>
      <c r="C1021" s="1" t="n">
        <v>46043</v>
      </c>
      <c r="D1021" t="inlineStr">
        <is>
          <t>JÄMTLANDS LÄN</t>
        </is>
      </c>
      <c r="E1021" t="inlineStr">
        <is>
          <t>RAGUNDA</t>
        </is>
      </c>
      <c r="F1021" t="inlineStr">
        <is>
          <t>SCA</t>
        </is>
      </c>
      <c r="G1021" t="n">
        <v>35.6</v>
      </c>
      <c r="H1021" t="n">
        <v>0</v>
      </c>
      <c r="I1021" t="n">
        <v>0</v>
      </c>
      <c r="J1021" t="n">
        <v>0</v>
      </c>
      <c r="K1021" t="n">
        <v>0</v>
      </c>
      <c r="L1021" t="n">
        <v>0</v>
      </c>
      <c r="M1021" t="n">
        <v>0</v>
      </c>
      <c r="N1021" t="n">
        <v>0</v>
      </c>
      <c r="O1021" t="n">
        <v>0</v>
      </c>
      <c r="P1021" t="n">
        <v>0</v>
      </c>
      <c r="Q1021" t="n">
        <v>0</v>
      </c>
      <c r="R1021" s="2" t="inlineStr"/>
    </row>
    <row r="1022" ht="15" customHeight="1">
      <c r="A1022" t="inlineStr">
        <is>
          <t>A 18225-2024</t>
        </is>
      </c>
      <c r="B1022" s="1" t="n">
        <v>45420</v>
      </c>
      <c r="C1022" s="1" t="n">
        <v>46043</v>
      </c>
      <c r="D1022" t="inlineStr">
        <is>
          <t>JÄMTLANDS LÄN</t>
        </is>
      </c>
      <c r="E1022" t="inlineStr">
        <is>
          <t>RAGUNDA</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61598-2024</t>
        </is>
      </c>
      <c r="B1023" s="1" t="n">
        <v>45646.63605324074</v>
      </c>
      <c r="C1023" s="1" t="n">
        <v>46043</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7280-2024</t>
        </is>
      </c>
      <c r="B1024" s="1" t="n">
        <v>45344</v>
      </c>
      <c r="C1024" s="1" t="n">
        <v>46043</v>
      </c>
      <c r="D1024" t="inlineStr">
        <is>
          <t>JÄMTLANDS LÄN</t>
        </is>
      </c>
      <c r="E1024" t="inlineStr">
        <is>
          <t>RAGUNDA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21662-2023</t>
        </is>
      </c>
      <c r="B1025" s="1" t="n">
        <v>45063</v>
      </c>
      <c r="C1025" s="1" t="n">
        <v>46043</v>
      </c>
      <c r="D1025" t="inlineStr">
        <is>
          <t>JÄMTLANDS LÄN</t>
        </is>
      </c>
      <c r="E1025" t="inlineStr">
        <is>
          <t>RAGUNDA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61107-2024</t>
        </is>
      </c>
      <c r="B1026" s="1" t="n">
        <v>45645.55665509259</v>
      </c>
      <c r="C1026" s="1" t="n">
        <v>46043</v>
      </c>
      <c r="D1026" t="inlineStr">
        <is>
          <t>JÄMTLANDS LÄN</t>
        </is>
      </c>
      <c r="E1026" t="inlineStr">
        <is>
          <t>RAGUNDA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5313-2025</t>
        </is>
      </c>
      <c r="B1027" s="1" t="n">
        <v>45692.51069444444</v>
      </c>
      <c r="C1027" s="1" t="n">
        <v>46043</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5357-2025</t>
        </is>
      </c>
      <c r="B1028" s="1" t="n">
        <v>45692.57326388889</v>
      </c>
      <c r="C1028" s="1" t="n">
        <v>46043</v>
      </c>
      <c r="D1028" t="inlineStr">
        <is>
          <t>JÄMTLANDS LÄN</t>
        </is>
      </c>
      <c r="E1028" t="inlineStr">
        <is>
          <t>RAGUNDA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44494-2024</t>
        </is>
      </c>
      <c r="B1029" s="1" t="n">
        <v>45574.39081018518</v>
      </c>
      <c r="C1029" s="1" t="n">
        <v>46043</v>
      </c>
      <c r="D1029" t="inlineStr">
        <is>
          <t>JÄMTLANDS LÄN</t>
        </is>
      </c>
      <c r="E1029" t="inlineStr">
        <is>
          <t>RAGUNDA</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12983-2025</t>
        </is>
      </c>
      <c r="B1030" s="1" t="n">
        <v>45734.4633912037</v>
      </c>
      <c r="C1030" s="1" t="n">
        <v>46043</v>
      </c>
      <c r="D1030" t="inlineStr">
        <is>
          <t>JÄMTLANDS LÄN</t>
        </is>
      </c>
      <c r="E1030" t="inlineStr">
        <is>
          <t>RAGUNDA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39626-2024</t>
        </is>
      </c>
      <c r="B1031" s="1" t="n">
        <v>45552.44096064815</v>
      </c>
      <c r="C1031" s="1" t="n">
        <v>46043</v>
      </c>
      <c r="D1031" t="inlineStr">
        <is>
          <t>JÄMTLANDS LÄN</t>
        </is>
      </c>
      <c r="E1031" t="inlineStr">
        <is>
          <t>RAGUNDA</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45631-2024</t>
        </is>
      </c>
      <c r="B1032" s="1" t="n">
        <v>45579.47052083333</v>
      </c>
      <c r="C1032" s="1" t="n">
        <v>46043</v>
      </c>
      <c r="D1032" t="inlineStr">
        <is>
          <t>JÄMTLANDS LÄN</t>
        </is>
      </c>
      <c r="E1032" t="inlineStr">
        <is>
          <t>RAGUNDA</t>
        </is>
      </c>
      <c r="G1032" t="n">
        <v>15.1</v>
      </c>
      <c r="H1032" t="n">
        <v>0</v>
      </c>
      <c r="I1032" t="n">
        <v>0</v>
      </c>
      <c r="J1032" t="n">
        <v>0</v>
      </c>
      <c r="K1032" t="n">
        <v>0</v>
      </c>
      <c r="L1032" t="n">
        <v>0</v>
      </c>
      <c r="M1032" t="n">
        <v>0</v>
      </c>
      <c r="N1032" t="n">
        <v>0</v>
      </c>
      <c r="O1032" t="n">
        <v>0</v>
      </c>
      <c r="P1032" t="n">
        <v>0</v>
      </c>
      <c r="Q1032" t="n">
        <v>0</v>
      </c>
      <c r="R1032" s="2" t="inlineStr"/>
    </row>
    <row r="1033" ht="15" customHeight="1">
      <c r="A1033" t="inlineStr">
        <is>
          <t>A 62135-2024</t>
        </is>
      </c>
      <c r="B1033" s="1" t="n">
        <v>45656.64223379629</v>
      </c>
      <c r="C1033" s="1" t="n">
        <v>46043</v>
      </c>
      <c r="D1033" t="inlineStr">
        <is>
          <t>JÄMTLANDS LÄN</t>
        </is>
      </c>
      <c r="E1033" t="inlineStr">
        <is>
          <t>RAGUNDA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8802-2022</t>
        </is>
      </c>
      <c r="B1034" s="1" t="n">
        <v>44614</v>
      </c>
      <c r="C1034" s="1" t="n">
        <v>46043</v>
      </c>
      <c r="D1034" t="inlineStr">
        <is>
          <t>JÄMTLANDS LÄN</t>
        </is>
      </c>
      <c r="E1034" t="inlineStr">
        <is>
          <t>RAGUNDA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9823-2025</t>
        </is>
      </c>
      <c r="B1035" s="1" t="n">
        <v>45716</v>
      </c>
      <c r="C1035" s="1" t="n">
        <v>46043</v>
      </c>
      <c r="D1035" t="inlineStr">
        <is>
          <t>JÄMTLANDS LÄN</t>
        </is>
      </c>
      <c r="E1035" t="inlineStr">
        <is>
          <t>RAGUNDA</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9847-2025</t>
        </is>
      </c>
      <c r="B1036" s="1" t="n">
        <v>45716.61487268518</v>
      </c>
      <c r="C1036" s="1" t="n">
        <v>46043</v>
      </c>
      <c r="D1036" t="inlineStr">
        <is>
          <t>JÄMTLANDS LÄN</t>
        </is>
      </c>
      <c r="E1036" t="inlineStr">
        <is>
          <t>RAGUNDA</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20987-2023</t>
        </is>
      </c>
      <c r="B1037" s="1" t="n">
        <v>45056</v>
      </c>
      <c r="C1037" s="1" t="n">
        <v>46043</v>
      </c>
      <c r="D1037" t="inlineStr">
        <is>
          <t>JÄMTLANDS LÄN</t>
        </is>
      </c>
      <c r="E1037" t="inlineStr">
        <is>
          <t>RAGUNDA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20994-2023</t>
        </is>
      </c>
      <c r="B1038" s="1" t="n">
        <v>45056</v>
      </c>
      <c r="C1038" s="1" t="n">
        <v>46043</v>
      </c>
      <c r="D1038" t="inlineStr">
        <is>
          <t>JÄMTLANDS LÄN</t>
        </is>
      </c>
      <c r="E1038" t="inlineStr">
        <is>
          <t>RAGUNDA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6490-2022</t>
        </is>
      </c>
      <c r="B1039" s="1" t="n">
        <v>44601</v>
      </c>
      <c r="C1039" s="1" t="n">
        <v>46043</v>
      </c>
      <c r="D1039" t="inlineStr">
        <is>
          <t>JÄMTLANDS LÄN</t>
        </is>
      </c>
      <c r="E1039" t="inlineStr">
        <is>
          <t>RAGUNDA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23287-2024</t>
        </is>
      </c>
      <c r="B1040" s="1" t="n">
        <v>45453.42041666667</v>
      </c>
      <c r="C1040" s="1" t="n">
        <v>46043</v>
      </c>
      <c r="D1040" t="inlineStr">
        <is>
          <t>JÄMTLANDS LÄN</t>
        </is>
      </c>
      <c r="E1040" t="inlineStr">
        <is>
          <t>RAGUNDA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53740-2024</t>
        </is>
      </c>
      <c r="B1041" s="1" t="n">
        <v>45615.47091435185</v>
      </c>
      <c r="C1041" s="1" t="n">
        <v>46043</v>
      </c>
      <c r="D1041" t="inlineStr">
        <is>
          <t>JÄMTLANDS LÄN</t>
        </is>
      </c>
      <c r="E1041" t="inlineStr">
        <is>
          <t>RAGUNDA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1325-2025</t>
        </is>
      </c>
      <c r="B1042" s="1" t="n">
        <v>45667.57342592593</v>
      </c>
      <c r="C1042" s="1" t="n">
        <v>46043</v>
      </c>
      <c r="D1042" t="inlineStr">
        <is>
          <t>JÄMTLANDS LÄN</t>
        </is>
      </c>
      <c r="E1042" t="inlineStr">
        <is>
          <t>RAGUNDA</t>
        </is>
      </c>
      <c r="F1042" t="inlineStr">
        <is>
          <t>SCA</t>
        </is>
      </c>
      <c r="G1042" t="n">
        <v>20.2</v>
      </c>
      <c r="H1042" t="n">
        <v>0</v>
      </c>
      <c r="I1042" t="n">
        <v>0</v>
      </c>
      <c r="J1042" t="n">
        <v>0</v>
      </c>
      <c r="K1042" t="n">
        <v>0</v>
      </c>
      <c r="L1042" t="n">
        <v>0</v>
      </c>
      <c r="M1042" t="n">
        <v>0</v>
      </c>
      <c r="N1042" t="n">
        <v>0</v>
      </c>
      <c r="O1042" t="n">
        <v>0</v>
      </c>
      <c r="P1042" t="n">
        <v>0</v>
      </c>
      <c r="Q1042" t="n">
        <v>0</v>
      </c>
      <c r="R1042" s="2" t="inlineStr"/>
    </row>
    <row r="1043" ht="15" customHeight="1">
      <c r="A1043" t="inlineStr">
        <is>
          <t>A 1326-2025</t>
        </is>
      </c>
      <c r="B1043" s="1" t="n">
        <v>45667.57347222222</v>
      </c>
      <c r="C1043" s="1" t="n">
        <v>46043</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14696-2022</t>
        </is>
      </c>
      <c r="B1044" s="1" t="n">
        <v>44655</v>
      </c>
      <c r="C1044" s="1" t="n">
        <v>46043</v>
      </c>
      <c r="D1044" t="inlineStr">
        <is>
          <t>JÄMTLANDS LÄN</t>
        </is>
      </c>
      <c r="E1044" t="inlineStr">
        <is>
          <t>RAGUNDA</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45952-2023</t>
        </is>
      </c>
      <c r="B1045" s="1" t="n">
        <v>45195</v>
      </c>
      <c r="C1045" s="1" t="n">
        <v>46043</v>
      </c>
      <c r="D1045" t="inlineStr">
        <is>
          <t>JÄMTLANDS LÄN</t>
        </is>
      </c>
      <c r="E1045" t="inlineStr">
        <is>
          <t>RAGUNDA</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45954-2023</t>
        </is>
      </c>
      <c r="B1046" s="1" t="n">
        <v>45195.94679398148</v>
      </c>
      <c r="C1046" s="1" t="n">
        <v>46043</v>
      </c>
      <c r="D1046" t="inlineStr">
        <is>
          <t>JÄMTLANDS LÄN</t>
        </is>
      </c>
      <c r="E1046" t="inlineStr">
        <is>
          <t>RAGUNDA</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45955-2023</t>
        </is>
      </c>
      <c r="B1047" s="1" t="n">
        <v>45195.94685185186</v>
      </c>
      <c r="C1047" s="1" t="n">
        <v>46043</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8787-2022</t>
        </is>
      </c>
      <c r="B1048" s="1" t="n">
        <v>44614</v>
      </c>
      <c r="C1048" s="1" t="n">
        <v>46043</v>
      </c>
      <c r="D1048" t="inlineStr">
        <is>
          <t>JÄMTLANDS LÄN</t>
        </is>
      </c>
      <c r="E1048" t="inlineStr">
        <is>
          <t>RAGUNDA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5308-2025</t>
        </is>
      </c>
      <c r="B1049" s="1" t="n">
        <v>45692.49008101852</v>
      </c>
      <c r="C1049" s="1" t="n">
        <v>46043</v>
      </c>
      <c r="D1049" t="inlineStr">
        <is>
          <t>JÄMTLANDS LÄN</t>
        </is>
      </c>
      <c r="E1049" t="inlineStr">
        <is>
          <t>RAGUNDA</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45253-2023</t>
        </is>
      </c>
      <c r="B1050" s="1" t="n">
        <v>45187</v>
      </c>
      <c r="C1050" s="1" t="n">
        <v>46043</v>
      </c>
      <c r="D1050" t="inlineStr">
        <is>
          <t>JÄMTLANDS LÄN</t>
        </is>
      </c>
      <c r="E1050" t="inlineStr">
        <is>
          <t>RAGUNDA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3104-2025</t>
        </is>
      </c>
      <c r="B1051" s="1" t="n">
        <v>45678.67761574074</v>
      </c>
      <c r="C1051" s="1" t="n">
        <v>46043</v>
      </c>
      <c r="D1051" t="inlineStr">
        <is>
          <t>JÄMTLANDS LÄN</t>
        </is>
      </c>
      <c r="E1051" t="inlineStr">
        <is>
          <t>RAGUNDA</t>
        </is>
      </c>
      <c r="F1051" t="inlineStr">
        <is>
          <t>SCA</t>
        </is>
      </c>
      <c r="G1051" t="n">
        <v>46.2</v>
      </c>
      <c r="H1051" t="n">
        <v>0</v>
      </c>
      <c r="I1051" t="n">
        <v>0</v>
      </c>
      <c r="J1051" t="n">
        <v>0</v>
      </c>
      <c r="K1051" t="n">
        <v>0</v>
      </c>
      <c r="L1051" t="n">
        <v>0</v>
      </c>
      <c r="M1051" t="n">
        <v>0</v>
      </c>
      <c r="N1051" t="n">
        <v>0</v>
      </c>
      <c r="O1051" t="n">
        <v>0</v>
      </c>
      <c r="P1051" t="n">
        <v>0</v>
      </c>
      <c r="Q1051" t="n">
        <v>0</v>
      </c>
      <c r="R1051" s="2" t="inlineStr"/>
    </row>
    <row r="1052" ht="15" customHeight="1">
      <c r="A1052" t="inlineStr">
        <is>
          <t>A 36046-2023</t>
        </is>
      </c>
      <c r="B1052" s="1" t="n">
        <v>45148</v>
      </c>
      <c r="C1052" s="1" t="n">
        <v>46043</v>
      </c>
      <c r="D1052" t="inlineStr">
        <is>
          <t>JÄMTLANDS LÄN</t>
        </is>
      </c>
      <c r="E1052" t="inlineStr">
        <is>
          <t>RAGUNDA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18193-2022</t>
        </is>
      </c>
      <c r="B1053" s="1" t="n">
        <v>44684.94032407407</v>
      </c>
      <c r="C1053" s="1" t="n">
        <v>46043</v>
      </c>
      <c r="D1053" t="inlineStr">
        <is>
          <t>JÄMTLANDS LÄN</t>
        </is>
      </c>
      <c r="E1053" t="inlineStr">
        <is>
          <t>RAGUNDA</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34323-2023</t>
        </is>
      </c>
      <c r="B1054" s="1" t="n">
        <v>45138.94925925926</v>
      </c>
      <c r="C1054" s="1" t="n">
        <v>46043</v>
      </c>
      <c r="D1054" t="inlineStr">
        <is>
          <t>JÄMTLANDS LÄN</t>
        </is>
      </c>
      <c r="E1054" t="inlineStr">
        <is>
          <t>RAGUNDA</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58843-2024</t>
        </is>
      </c>
      <c r="B1055" s="1" t="n">
        <v>45636.38599537037</v>
      </c>
      <c r="C1055" s="1" t="n">
        <v>46043</v>
      </c>
      <c r="D1055" t="inlineStr">
        <is>
          <t>JÄMTLANDS LÄN</t>
        </is>
      </c>
      <c r="E1055" t="inlineStr">
        <is>
          <t>RAGUNDA</t>
        </is>
      </c>
      <c r="F1055" t="inlineStr">
        <is>
          <t>SCA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45953-2023</t>
        </is>
      </c>
      <c r="B1056" s="1" t="n">
        <v>45195.94672453704</v>
      </c>
      <c r="C1056" s="1" t="n">
        <v>46043</v>
      </c>
      <c r="D1056" t="inlineStr">
        <is>
          <t>JÄMTLANDS LÄN</t>
        </is>
      </c>
      <c r="E1056" t="inlineStr">
        <is>
          <t>RAGUNDA</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30824-2023</t>
        </is>
      </c>
      <c r="B1057" s="1" t="n">
        <v>45112.94303240741</v>
      </c>
      <c r="C1057" s="1" t="n">
        <v>46043</v>
      </c>
      <c r="D1057" t="inlineStr">
        <is>
          <t>JÄMTLANDS LÄN</t>
        </is>
      </c>
      <c r="E1057" t="inlineStr">
        <is>
          <t>RAGUNDA</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30825-2023</t>
        </is>
      </c>
      <c r="B1058" s="1" t="n">
        <v>45112.94310185185</v>
      </c>
      <c r="C1058" s="1" t="n">
        <v>46043</v>
      </c>
      <c r="D1058" t="inlineStr">
        <is>
          <t>JÄMTLANDS LÄN</t>
        </is>
      </c>
      <c r="E1058" t="inlineStr">
        <is>
          <t>RAGUNDA</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31506-2024</t>
        </is>
      </c>
      <c r="B1059" s="1" t="n">
        <v>45505</v>
      </c>
      <c r="C1059" s="1" t="n">
        <v>46043</v>
      </c>
      <c r="D1059" t="inlineStr">
        <is>
          <t>JÄMTLANDS LÄN</t>
        </is>
      </c>
      <c r="E1059" t="inlineStr">
        <is>
          <t>RAGUNDA</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55222-2024</t>
        </is>
      </c>
      <c r="B1060" s="1" t="n">
        <v>45621.57395833333</v>
      </c>
      <c r="C1060" s="1" t="n">
        <v>46043</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44755-2024</t>
        </is>
      </c>
      <c r="B1061" s="1" t="n">
        <v>45574.61184027778</v>
      </c>
      <c r="C1061" s="1" t="n">
        <v>46043</v>
      </c>
      <c r="D1061" t="inlineStr">
        <is>
          <t>JÄMTLANDS LÄN</t>
        </is>
      </c>
      <c r="E1061" t="inlineStr">
        <is>
          <t>RAGUNDA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44766-2024</t>
        </is>
      </c>
      <c r="B1062" s="1" t="n">
        <v>45574.62297453704</v>
      </c>
      <c r="C1062" s="1" t="n">
        <v>46043</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44778-2024</t>
        </is>
      </c>
      <c r="B1063" s="1" t="n">
        <v>45574.63355324074</v>
      </c>
      <c r="C1063" s="1" t="n">
        <v>46043</v>
      </c>
      <c r="D1063" t="inlineStr">
        <is>
          <t>JÄMTLANDS LÄN</t>
        </is>
      </c>
      <c r="E1063" t="inlineStr">
        <is>
          <t>RAGUNDA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8795-2022</t>
        </is>
      </c>
      <c r="B1064" s="1" t="n">
        <v>44614</v>
      </c>
      <c r="C1064" s="1" t="n">
        <v>46043</v>
      </c>
      <c r="D1064" t="inlineStr">
        <is>
          <t>JÄMTLANDS LÄN</t>
        </is>
      </c>
      <c r="E1064" t="inlineStr">
        <is>
          <t>RAGUNDA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14905-2022</t>
        </is>
      </c>
      <c r="B1065" s="1" t="n">
        <v>44656.94708333333</v>
      </c>
      <c r="C1065" s="1" t="n">
        <v>46043</v>
      </c>
      <c r="D1065" t="inlineStr">
        <is>
          <t>JÄMTLANDS LÄN</t>
        </is>
      </c>
      <c r="E1065" t="inlineStr">
        <is>
          <t>RAGUNDA</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6257-2025</t>
        </is>
      </c>
      <c r="B1066" s="1" t="n">
        <v>45698.59409722222</v>
      </c>
      <c r="C1066" s="1" t="n">
        <v>46043</v>
      </c>
      <c r="D1066" t="inlineStr">
        <is>
          <t>JÄMTLANDS LÄN</t>
        </is>
      </c>
      <c r="E1066" t="inlineStr">
        <is>
          <t>RAGUNDA</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42508-2023</t>
        </is>
      </c>
      <c r="B1067" s="1" t="n">
        <v>45180.95907407408</v>
      </c>
      <c r="C1067" s="1" t="n">
        <v>46043</v>
      </c>
      <c r="D1067" t="inlineStr">
        <is>
          <t>JÄMTLANDS LÄN</t>
        </is>
      </c>
      <c r="E1067" t="inlineStr">
        <is>
          <t>RAGUNDA</t>
        </is>
      </c>
      <c r="F1067" t="inlineStr">
        <is>
          <t>SCA</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59286-2023</t>
        </is>
      </c>
      <c r="B1068" s="1" t="n">
        <v>45253</v>
      </c>
      <c r="C1068" s="1" t="n">
        <v>46043</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7284-2025</t>
        </is>
      </c>
      <c r="B1069" s="1" t="n">
        <v>45702.63604166666</v>
      </c>
      <c r="C1069" s="1" t="n">
        <v>46043</v>
      </c>
      <c r="D1069" t="inlineStr">
        <is>
          <t>JÄMTLANDS LÄN</t>
        </is>
      </c>
      <c r="E1069" t="inlineStr">
        <is>
          <t>RAGUNDA</t>
        </is>
      </c>
      <c r="F1069" t="inlineStr">
        <is>
          <t>SCA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60012-2023</t>
        </is>
      </c>
      <c r="B1070" s="1" t="n">
        <v>45257</v>
      </c>
      <c r="C1070" s="1" t="n">
        <v>46043</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20221-2025</t>
        </is>
      </c>
      <c r="B1071" s="1" t="n">
        <v>45772.6565625</v>
      </c>
      <c r="C1071" s="1" t="n">
        <v>46043</v>
      </c>
      <c r="D1071" t="inlineStr">
        <is>
          <t>JÄMTLANDS LÄN</t>
        </is>
      </c>
      <c r="E1071" t="inlineStr">
        <is>
          <t>RAGUNDA</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35265-2023</t>
        </is>
      </c>
      <c r="B1072" s="1" t="n">
        <v>45145.95326388889</v>
      </c>
      <c r="C1072" s="1" t="n">
        <v>46043</v>
      </c>
      <c r="D1072" t="inlineStr">
        <is>
          <t>JÄMTLANDS LÄN</t>
        </is>
      </c>
      <c r="E1072" t="inlineStr">
        <is>
          <t>RAGUNDA</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31435-2022</t>
        </is>
      </c>
      <c r="B1073" s="1" t="n">
        <v>44774</v>
      </c>
      <c r="C1073" s="1" t="n">
        <v>46043</v>
      </c>
      <c r="D1073" t="inlineStr">
        <is>
          <t>JÄMTLANDS LÄN</t>
        </is>
      </c>
      <c r="E1073" t="inlineStr">
        <is>
          <t>RAGUNDA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50211-2023</t>
        </is>
      </c>
      <c r="B1074" s="1" t="n">
        <v>45215.94657407407</v>
      </c>
      <c r="C1074" s="1" t="n">
        <v>46043</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16529-2022</t>
        </is>
      </c>
      <c r="B1075" s="1" t="n">
        <v>44671</v>
      </c>
      <c r="C1075" s="1" t="n">
        <v>46043</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40269-2022</t>
        </is>
      </c>
      <c r="B1076" s="1" t="n">
        <v>44820</v>
      </c>
      <c r="C1076" s="1" t="n">
        <v>46043</v>
      </c>
      <c r="D1076" t="inlineStr">
        <is>
          <t>JÄMTLANDS LÄN</t>
        </is>
      </c>
      <c r="E1076" t="inlineStr">
        <is>
          <t>RAGUNDA</t>
        </is>
      </c>
      <c r="F1076" t="inlineStr">
        <is>
          <t>SCA</t>
        </is>
      </c>
      <c r="G1076" t="n">
        <v>77.8</v>
      </c>
      <c r="H1076" t="n">
        <v>0</v>
      </c>
      <c r="I1076" t="n">
        <v>0</v>
      </c>
      <c r="J1076" t="n">
        <v>0</v>
      </c>
      <c r="K1076" t="n">
        <v>0</v>
      </c>
      <c r="L1076" t="n">
        <v>0</v>
      </c>
      <c r="M1076" t="n">
        <v>0</v>
      </c>
      <c r="N1076" t="n">
        <v>0</v>
      </c>
      <c r="O1076" t="n">
        <v>0</v>
      </c>
      <c r="P1076" t="n">
        <v>0</v>
      </c>
      <c r="Q1076" t="n">
        <v>0</v>
      </c>
      <c r="R1076" s="2" t="inlineStr"/>
    </row>
    <row r="1077" ht="15" customHeight="1">
      <c r="A1077" t="inlineStr">
        <is>
          <t>A 44536-2022</t>
        </is>
      </c>
      <c r="B1077" s="1" t="n">
        <v>44839</v>
      </c>
      <c r="C1077" s="1" t="n">
        <v>46043</v>
      </c>
      <c r="D1077" t="inlineStr">
        <is>
          <t>JÄMTLANDS LÄN</t>
        </is>
      </c>
      <c r="E1077" t="inlineStr">
        <is>
          <t>RAGUNDA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36212-2023</t>
        </is>
      </c>
      <c r="B1078" s="1" t="n">
        <v>45149.95241898148</v>
      </c>
      <c r="C1078" s="1" t="n">
        <v>46043</v>
      </c>
      <c r="D1078" t="inlineStr">
        <is>
          <t>JÄMTLANDS LÄN</t>
        </is>
      </c>
      <c r="E1078" t="inlineStr">
        <is>
          <t>RAGUNDA</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53860-2023</t>
        </is>
      </c>
      <c r="B1079" s="1" t="n">
        <v>45224</v>
      </c>
      <c r="C1079" s="1" t="n">
        <v>46043</v>
      </c>
      <c r="D1079" t="inlineStr">
        <is>
          <t>JÄMTLANDS LÄN</t>
        </is>
      </c>
      <c r="E1079" t="inlineStr">
        <is>
          <t>RAGUNDA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54599-2023</t>
        </is>
      </c>
      <c r="B1080" s="1" t="n">
        <v>45233.92591435185</v>
      </c>
      <c r="C1080" s="1" t="n">
        <v>46043</v>
      </c>
      <c r="D1080" t="inlineStr">
        <is>
          <t>JÄMTLANDS LÄN</t>
        </is>
      </c>
      <c r="E1080" t="inlineStr">
        <is>
          <t>RAGUNDA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10610-2024</t>
        </is>
      </c>
      <c r="B1081" s="1" t="n">
        <v>45367.04693287037</v>
      </c>
      <c r="C1081" s="1" t="n">
        <v>46043</v>
      </c>
      <c r="D1081" t="inlineStr">
        <is>
          <t>JÄMTLANDS LÄN</t>
        </is>
      </c>
      <c r="E1081" t="inlineStr">
        <is>
          <t>RAGUNDA</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8779-2025</t>
        </is>
      </c>
      <c r="B1082" s="1" t="n">
        <v>45712.61552083334</v>
      </c>
      <c r="C1082" s="1" t="n">
        <v>46043</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20574-2025</t>
        </is>
      </c>
      <c r="B1083" s="1" t="n">
        <v>45775.67747685185</v>
      </c>
      <c r="C1083" s="1" t="n">
        <v>46043</v>
      </c>
      <c r="D1083" t="inlineStr">
        <is>
          <t>JÄMTLANDS LÄN</t>
        </is>
      </c>
      <c r="E1083" t="inlineStr">
        <is>
          <t>RAGUNDA</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16676-2022</t>
        </is>
      </c>
      <c r="B1084" s="1" t="n">
        <v>44672.94018518519</v>
      </c>
      <c r="C1084" s="1" t="n">
        <v>46043</v>
      </c>
      <c r="D1084" t="inlineStr">
        <is>
          <t>JÄMTLANDS LÄN</t>
        </is>
      </c>
      <c r="E1084" t="inlineStr">
        <is>
          <t>RAGUNDA</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57078-2023</t>
        </is>
      </c>
      <c r="B1085" s="1" t="n">
        <v>45244.96774305555</v>
      </c>
      <c r="C1085" s="1" t="n">
        <v>46043</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12976-2025</t>
        </is>
      </c>
      <c r="B1086" s="1" t="n">
        <v>45734.45268518518</v>
      </c>
      <c r="C1086" s="1" t="n">
        <v>46043</v>
      </c>
      <c r="D1086" t="inlineStr">
        <is>
          <t>JÄMTLANDS LÄN</t>
        </is>
      </c>
      <c r="E1086" t="inlineStr">
        <is>
          <t>RAGUNDA</t>
        </is>
      </c>
      <c r="G1086" t="n">
        <v>24.2</v>
      </c>
      <c r="H1086" t="n">
        <v>0</v>
      </c>
      <c r="I1086" t="n">
        <v>0</v>
      </c>
      <c r="J1086" t="n">
        <v>0</v>
      </c>
      <c r="K1086" t="n">
        <v>0</v>
      </c>
      <c r="L1086" t="n">
        <v>0</v>
      </c>
      <c r="M1086" t="n">
        <v>0</v>
      </c>
      <c r="N1086" t="n">
        <v>0</v>
      </c>
      <c r="O1086" t="n">
        <v>0</v>
      </c>
      <c r="P1086" t="n">
        <v>0</v>
      </c>
      <c r="Q1086" t="n">
        <v>0</v>
      </c>
      <c r="R1086" s="2" t="inlineStr"/>
    </row>
    <row r="1087" ht="15" customHeight="1">
      <c r="A1087" t="inlineStr">
        <is>
          <t>A 56286-2023</t>
        </is>
      </c>
      <c r="B1087" s="1" t="n">
        <v>45241.95741898148</v>
      </c>
      <c r="C1087" s="1" t="n">
        <v>46043</v>
      </c>
      <c r="D1087" t="inlineStr">
        <is>
          <t>JÄMTLANDS LÄN</t>
        </is>
      </c>
      <c r="E1087" t="inlineStr">
        <is>
          <t>RAGUNDA</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56287-2023</t>
        </is>
      </c>
      <c r="B1088" s="1" t="n">
        <v>45241</v>
      </c>
      <c r="C1088" s="1" t="n">
        <v>46043</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59658-2023</t>
        </is>
      </c>
      <c r="B1089" s="1" t="n">
        <v>45254.96402777778</v>
      </c>
      <c r="C1089" s="1" t="n">
        <v>46043</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28081-2022</t>
        </is>
      </c>
      <c r="B1090" s="1" t="n">
        <v>44746</v>
      </c>
      <c r="C1090" s="1" t="n">
        <v>46043</v>
      </c>
      <c r="D1090" t="inlineStr">
        <is>
          <t>JÄMTLANDS LÄN</t>
        </is>
      </c>
      <c r="E1090" t="inlineStr">
        <is>
          <t>RAGUNDA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37324-2022</t>
        </is>
      </c>
      <c r="B1091" s="1" t="n">
        <v>44806</v>
      </c>
      <c r="C1091" s="1" t="n">
        <v>46043</v>
      </c>
      <c r="D1091" t="inlineStr">
        <is>
          <t>JÄMTLANDS LÄN</t>
        </is>
      </c>
      <c r="E1091" t="inlineStr">
        <is>
          <t>RAGUNDA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62106-2023</t>
        </is>
      </c>
      <c r="B1092" s="1" t="n">
        <v>45266.95082175926</v>
      </c>
      <c r="C1092" s="1" t="n">
        <v>46043</v>
      </c>
      <c r="D1092" t="inlineStr">
        <is>
          <t>JÄMTLANDS LÄN</t>
        </is>
      </c>
      <c r="E1092" t="inlineStr">
        <is>
          <t>RAGUNDA</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4592-2024</t>
        </is>
      </c>
      <c r="B1093" s="1" t="n">
        <v>45327.94443287037</v>
      </c>
      <c r="C1093" s="1" t="n">
        <v>46043</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18984-2023</t>
        </is>
      </c>
      <c r="B1094" s="1" t="n">
        <v>45044</v>
      </c>
      <c r="C1094" s="1" t="n">
        <v>46043</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8241-2024</t>
        </is>
      </c>
      <c r="B1095" s="1" t="n">
        <v>45351.98496527778</v>
      </c>
      <c r="C1095" s="1" t="n">
        <v>46043</v>
      </c>
      <c r="D1095" t="inlineStr">
        <is>
          <t>JÄMTLANDS LÄN</t>
        </is>
      </c>
      <c r="E1095" t="inlineStr">
        <is>
          <t>RAGUNDA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14512-2025</t>
        </is>
      </c>
      <c r="B1096" s="1" t="n">
        <v>45741.63659722222</v>
      </c>
      <c r="C1096" s="1" t="n">
        <v>46043</v>
      </c>
      <c r="D1096" t="inlineStr">
        <is>
          <t>JÄMTLANDS LÄN</t>
        </is>
      </c>
      <c r="E1096" t="inlineStr">
        <is>
          <t>RAGUNDA</t>
        </is>
      </c>
      <c r="F1096" t="inlineStr">
        <is>
          <t>SCA</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53019-2023</t>
        </is>
      </c>
      <c r="B1097" s="1" t="n">
        <v>45222</v>
      </c>
      <c r="C1097" s="1" t="n">
        <v>46043</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59996-2023</t>
        </is>
      </c>
      <c r="B1098" s="1" t="n">
        <v>45257.92826388889</v>
      </c>
      <c r="C1098" s="1" t="n">
        <v>46043</v>
      </c>
      <c r="D1098" t="inlineStr">
        <is>
          <t>JÄMTLANDS LÄN</t>
        </is>
      </c>
      <c r="E1098" t="inlineStr">
        <is>
          <t>RAGUNDA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1537-2024</t>
        </is>
      </c>
      <c r="B1099" s="1" t="n">
        <v>45306</v>
      </c>
      <c r="C1099" s="1" t="n">
        <v>46043</v>
      </c>
      <c r="D1099" t="inlineStr">
        <is>
          <t>JÄMTLANDS LÄN</t>
        </is>
      </c>
      <c r="E1099" t="inlineStr">
        <is>
          <t>RAGUNDA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29257-2024</t>
        </is>
      </c>
      <c r="B1100" s="1" t="n">
        <v>45482.94815972223</v>
      </c>
      <c r="C1100" s="1" t="n">
        <v>46043</v>
      </c>
      <c r="D1100" t="inlineStr">
        <is>
          <t>JÄMTLANDS LÄN</t>
        </is>
      </c>
      <c r="E1100" t="inlineStr">
        <is>
          <t>RAGUNDA</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55487-2023</t>
        </is>
      </c>
      <c r="B1101" s="1" t="n">
        <v>45238</v>
      </c>
      <c r="C1101" s="1" t="n">
        <v>46043</v>
      </c>
      <c r="D1101" t="inlineStr">
        <is>
          <t>JÄMTLANDS LÄN</t>
        </is>
      </c>
      <c r="E1101" t="inlineStr">
        <is>
          <t>RAGUNDA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20770-2024</t>
        </is>
      </c>
      <c r="B1102" s="1" t="n">
        <v>45436.94613425926</v>
      </c>
      <c r="C1102" s="1" t="n">
        <v>46043</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19383-2025</t>
        </is>
      </c>
      <c r="B1103" s="1" t="n">
        <v>45769.65688657408</v>
      </c>
      <c r="C1103" s="1" t="n">
        <v>46043</v>
      </c>
      <c r="D1103" t="inlineStr">
        <is>
          <t>JÄMTLANDS LÄN</t>
        </is>
      </c>
      <c r="E1103" t="inlineStr">
        <is>
          <t>RAGUNDA</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12783-2023</t>
        </is>
      </c>
      <c r="B1104" s="1" t="n">
        <v>45000</v>
      </c>
      <c r="C1104" s="1" t="n">
        <v>46043</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35153-2024</t>
        </is>
      </c>
      <c r="B1105" s="1" t="n">
        <v>45530</v>
      </c>
      <c r="C1105" s="1" t="n">
        <v>46043</v>
      </c>
      <c r="D1105" t="inlineStr">
        <is>
          <t>JÄMTLANDS LÄN</t>
        </is>
      </c>
      <c r="E1105" t="inlineStr">
        <is>
          <t>RAGUNDA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61197-2023</t>
        </is>
      </c>
      <c r="B1106" s="1" t="n">
        <v>45260</v>
      </c>
      <c r="C1106" s="1" t="n">
        <v>46043</v>
      </c>
      <c r="D1106" t="inlineStr">
        <is>
          <t>JÄMTLANDS LÄN</t>
        </is>
      </c>
      <c r="E1106" t="inlineStr">
        <is>
          <t>RAGUNDA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31135-2023</t>
        </is>
      </c>
      <c r="B1107" s="1" t="n">
        <v>45103</v>
      </c>
      <c r="C1107" s="1" t="n">
        <v>46043</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13767-2022</t>
        </is>
      </c>
      <c r="B1108" s="1" t="n">
        <v>44649.47048611111</v>
      </c>
      <c r="C1108" s="1" t="n">
        <v>46043</v>
      </c>
      <c r="D1108" t="inlineStr">
        <is>
          <t>JÄMTLANDS LÄN</t>
        </is>
      </c>
      <c r="E1108" t="inlineStr">
        <is>
          <t>RAGUNDA</t>
        </is>
      </c>
      <c r="F1108" t="inlineStr">
        <is>
          <t>Kommuner</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22569-2023</t>
        </is>
      </c>
      <c r="B1109" s="1" t="n">
        <v>45069</v>
      </c>
      <c r="C1109" s="1" t="n">
        <v>46043</v>
      </c>
      <c r="D1109" t="inlineStr">
        <is>
          <t>JÄMTLANDS LÄN</t>
        </is>
      </c>
      <c r="E1109" t="inlineStr">
        <is>
          <t>RAGUNDA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4212-2024</t>
        </is>
      </c>
      <c r="B1110" s="1" t="n">
        <v>45324</v>
      </c>
      <c r="C1110" s="1" t="n">
        <v>46043</v>
      </c>
      <c r="D1110" t="inlineStr">
        <is>
          <t>JÄMTLANDS LÄN</t>
        </is>
      </c>
      <c r="E1110" t="inlineStr">
        <is>
          <t>RAGUNDA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43405-2023</t>
        </is>
      </c>
      <c r="B1111" s="1" t="n">
        <v>45183.95563657407</v>
      </c>
      <c r="C1111" s="1" t="n">
        <v>46043</v>
      </c>
      <c r="D1111" t="inlineStr">
        <is>
          <t>JÄMTLANDS LÄN</t>
        </is>
      </c>
      <c r="E1111" t="inlineStr">
        <is>
          <t>RAGUNDA</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56984-2022</t>
        </is>
      </c>
      <c r="B1112" s="1" t="n">
        <v>44894.79018518519</v>
      </c>
      <c r="C1112" s="1" t="n">
        <v>46043</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5958-2023</t>
        </is>
      </c>
      <c r="B1113" s="1" t="n">
        <v>44963</v>
      </c>
      <c r="C1113" s="1" t="n">
        <v>46043</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50521-2024</t>
        </is>
      </c>
      <c r="B1114" s="1" t="n">
        <v>45601.55331018518</v>
      </c>
      <c r="C1114" s="1" t="n">
        <v>46043</v>
      </c>
      <c r="D1114" t="inlineStr">
        <is>
          <t>JÄMTLANDS LÄN</t>
        </is>
      </c>
      <c r="E1114" t="inlineStr">
        <is>
          <t>RAGUNDA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29920-2024</t>
        </is>
      </c>
      <c r="B1115" s="1" t="n">
        <v>45487.92856481481</v>
      </c>
      <c r="C1115" s="1" t="n">
        <v>46043</v>
      </c>
      <c r="D1115" t="inlineStr">
        <is>
          <t>JÄMTLANDS LÄN</t>
        </is>
      </c>
      <c r="E1115" t="inlineStr">
        <is>
          <t>RAGUNDA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62011-2022</t>
        </is>
      </c>
      <c r="B1116" s="1" t="n">
        <v>44914</v>
      </c>
      <c r="C1116" s="1" t="n">
        <v>46043</v>
      </c>
      <c r="D1116" t="inlineStr">
        <is>
          <t>JÄMTLANDS LÄN</t>
        </is>
      </c>
      <c r="E1116" t="inlineStr">
        <is>
          <t>RAGUNDA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22311-2024</t>
        </is>
      </c>
      <c r="B1117" s="1" t="n">
        <v>45446.57052083333</v>
      </c>
      <c r="C1117" s="1" t="n">
        <v>46043</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19866-2023</t>
        </is>
      </c>
      <c r="B1118" s="1" t="n">
        <v>45053.94313657407</v>
      </c>
      <c r="C1118" s="1" t="n">
        <v>46043</v>
      </c>
      <c r="D1118" t="inlineStr">
        <is>
          <t>JÄMTLANDS LÄN</t>
        </is>
      </c>
      <c r="E1118" t="inlineStr">
        <is>
          <t>RAGUNDA</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53935-2022</t>
        </is>
      </c>
      <c r="B1119" s="1" t="n">
        <v>44880</v>
      </c>
      <c r="C1119" s="1" t="n">
        <v>46043</v>
      </c>
      <c r="D1119" t="inlineStr">
        <is>
          <t>JÄMTLANDS LÄN</t>
        </is>
      </c>
      <c r="E1119" t="inlineStr">
        <is>
          <t>RAGUNDA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18631-2024</t>
        </is>
      </c>
      <c r="B1120" s="1" t="n">
        <v>45425.96494212963</v>
      </c>
      <c r="C1120" s="1" t="n">
        <v>46043</v>
      </c>
      <c r="D1120" t="inlineStr">
        <is>
          <t>JÄMTLANDS LÄN</t>
        </is>
      </c>
      <c r="E1120" t="inlineStr">
        <is>
          <t>RAGUNDA</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12805-2025</t>
        </is>
      </c>
      <c r="B1121" s="1" t="n">
        <v>45733.61497685185</v>
      </c>
      <c r="C1121" s="1" t="n">
        <v>46043</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11062-2023</t>
        </is>
      </c>
      <c r="B1122" s="1" t="n">
        <v>44991</v>
      </c>
      <c r="C1122" s="1" t="n">
        <v>46043</v>
      </c>
      <c r="D1122" t="inlineStr">
        <is>
          <t>JÄMTLANDS LÄN</t>
        </is>
      </c>
      <c r="E1122" t="inlineStr">
        <is>
          <t>RAGUNDA</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69153-2021</t>
        </is>
      </c>
      <c r="B1123" s="1" t="n">
        <v>44530.94694444445</v>
      </c>
      <c r="C1123" s="1" t="n">
        <v>46043</v>
      </c>
      <c r="D1123" t="inlineStr">
        <is>
          <t>JÄMTLANDS LÄN</t>
        </is>
      </c>
      <c r="E1123" t="inlineStr">
        <is>
          <t>RAGUNDA</t>
        </is>
      </c>
      <c r="F1123" t="inlineStr">
        <is>
          <t>SCA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4882-2023</t>
        </is>
      </c>
      <c r="B1124" s="1" t="n">
        <v>44957.94075231482</v>
      </c>
      <c r="C1124" s="1" t="n">
        <v>46043</v>
      </c>
      <c r="D1124" t="inlineStr">
        <is>
          <t>JÄMTLANDS LÄN</t>
        </is>
      </c>
      <c r="E1124" t="inlineStr">
        <is>
          <t>RAGUNDA</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39608-2024</t>
        </is>
      </c>
      <c r="B1125" s="1" t="n">
        <v>45552.39113425926</v>
      </c>
      <c r="C1125" s="1" t="n">
        <v>46043</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18454-2021</t>
        </is>
      </c>
      <c r="B1126" s="1" t="n">
        <v>44305.92047453704</v>
      </c>
      <c r="C1126" s="1" t="n">
        <v>46043</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26455-2023</t>
        </is>
      </c>
      <c r="B1127" s="1" t="n">
        <v>45092</v>
      </c>
      <c r="C1127" s="1" t="n">
        <v>46043</v>
      </c>
      <c r="D1127" t="inlineStr">
        <is>
          <t>JÄMTLANDS LÄN</t>
        </is>
      </c>
      <c r="E1127" t="inlineStr">
        <is>
          <t>RAGUNDA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6801-2023</t>
        </is>
      </c>
      <c r="B1128" s="1" t="n">
        <v>44966.95328703704</v>
      </c>
      <c r="C1128" s="1" t="n">
        <v>46043</v>
      </c>
      <c r="D1128" t="inlineStr">
        <is>
          <t>JÄMTLANDS LÄN</t>
        </is>
      </c>
      <c r="E1128" t="inlineStr">
        <is>
          <t>RAGUNDA</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5967-2021</t>
        </is>
      </c>
      <c r="B1129" s="1" t="n">
        <v>44231</v>
      </c>
      <c r="C1129" s="1" t="n">
        <v>46043</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10641-2024</t>
        </is>
      </c>
      <c r="B1130" s="1" t="n">
        <v>45367.69850694444</v>
      </c>
      <c r="C1130" s="1" t="n">
        <v>46043</v>
      </c>
      <c r="D1130" t="inlineStr">
        <is>
          <t>JÄMTLANDS LÄN</t>
        </is>
      </c>
      <c r="E1130" t="inlineStr">
        <is>
          <t>RAGUNDA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10644-2024</t>
        </is>
      </c>
      <c r="B1131" s="1" t="n">
        <v>45367.71348379629</v>
      </c>
      <c r="C1131" s="1" t="n">
        <v>46043</v>
      </c>
      <c r="D1131" t="inlineStr">
        <is>
          <t>JÄMTLANDS LÄN</t>
        </is>
      </c>
      <c r="E1131" t="inlineStr">
        <is>
          <t>RAGUNDA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17559-2023</t>
        </is>
      </c>
      <c r="B1132" s="1" t="n">
        <v>45034</v>
      </c>
      <c r="C1132" s="1" t="n">
        <v>46043</v>
      </c>
      <c r="D1132" t="inlineStr">
        <is>
          <t>JÄMTLANDS LÄN</t>
        </is>
      </c>
      <c r="E1132" t="inlineStr">
        <is>
          <t>RAGUNDA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30826-2023</t>
        </is>
      </c>
      <c r="B1133" s="1" t="n">
        <v>45112</v>
      </c>
      <c r="C1133" s="1" t="n">
        <v>46043</v>
      </c>
      <c r="D1133" t="inlineStr">
        <is>
          <t>JÄMTLANDS LÄN</t>
        </is>
      </c>
      <c r="E1133" t="inlineStr">
        <is>
          <t>RAGUNDA</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56191-2022</t>
        </is>
      </c>
      <c r="B1134" s="1" t="n">
        <v>44889.95015046297</v>
      </c>
      <c r="C1134" s="1" t="n">
        <v>46043</v>
      </c>
      <c r="D1134" t="inlineStr">
        <is>
          <t>JÄMTLANDS LÄN</t>
        </is>
      </c>
      <c r="E1134" t="inlineStr">
        <is>
          <t>RAGUNDA</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33621-2023</t>
        </is>
      </c>
      <c r="B1135" s="1" t="n">
        <v>45119</v>
      </c>
      <c r="C1135" s="1" t="n">
        <v>46043</v>
      </c>
      <c r="D1135" t="inlineStr">
        <is>
          <t>JÄMTLANDS LÄN</t>
        </is>
      </c>
      <c r="E1135" t="inlineStr">
        <is>
          <t>RAGUNDA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65216-2023</t>
        </is>
      </c>
      <c r="B1136" s="1" t="n">
        <v>45289</v>
      </c>
      <c r="C1136" s="1" t="n">
        <v>46043</v>
      </c>
      <c r="D1136" t="inlineStr">
        <is>
          <t>JÄMTLANDS LÄN</t>
        </is>
      </c>
      <c r="E1136" t="inlineStr">
        <is>
          <t>RAGUNDA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60838-2023</t>
        </is>
      </c>
      <c r="B1137" s="1" t="n">
        <v>45260.92561342593</v>
      </c>
      <c r="C1137" s="1" t="n">
        <v>46043</v>
      </c>
      <c r="D1137" t="inlineStr">
        <is>
          <t>JÄMTLANDS LÄN</t>
        </is>
      </c>
      <c r="E1137" t="inlineStr">
        <is>
          <t>RAGUNDA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2133-2023</t>
        </is>
      </c>
      <c r="B1138" s="1" t="n">
        <v>44939</v>
      </c>
      <c r="C1138" s="1" t="n">
        <v>46043</v>
      </c>
      <c r="D1138" t="inlineStr">
        <is>
          <t>JÄMTLANDS LÄN</t>
        </is>
      </c>
      <c r="E1138" t="inlineStr">
        <is>
          <t>RAGUNDA</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49647-2024</t>
        </is>
      </c>
      <c r="B1139" s="1" t="n">
        <v>45596.61533564814</v>
      </c>
      <c r="C1139" s="1" t="n">
        <v>46043</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6802-2021</t>
        </is>
      </c>
      <c r="B1140" s="1" t="n">
        <v>44236</v>
      </c>
      <c r="C1140" s="1" t="n">
        <v>46043</v>
      </c>
      <c r="D1140" t="inlineStr">
        <is>
          <t>JÄMTLANDS LÄN</t>
        </is>
      </c>
      <c r="E1140" t="inlineStr">
        <is>
          <t>RAGUNDA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64415-2023</t>
        </is>
      </c>
      <c r="B1141" s="1" t="n">
        <v>45280</v>
      </c>
      <c r="C1141" s="1" t="n">
        <v>46043</v>
      </c>
      <c r="D1141" t="inlineStr">
        <is>
          <t>JÄMTLANDS LÄN</t>
        </is>
      </c>
      <c r="E1141" t="inlineStr">
        <is>
          <t>RAGUNDA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38782-2021</t>
        </is>
      </c>
      <c r="B1142" s="1" t="n">
        <v>44410</v>
      </c>
      <c r="C1142" s="1" t="n">
        <v>46043</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16250-2022</t>
        </is>
      </c>
      <c r="B1143" s="1" t="n">
        <v>44670</v>
      </c>
      <c r="C1143" s="1" t="n">
        <v>46043</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13334-2024</t>
        </is>
      </c>
      <c r="B1144" s="1" t="n">
        <v>45386</v>
      </c>
      <c r="C1144" s="1" t="n">
        <v>46043</v>
      </c>
      <c r="D1144" t="inlineStr">
        <is>
          <t>JÄMTLANDS LÄN</t>
        </is>
      </c>
      <c r="E1144" t="inlineStr">
        <is>
          <t>RAGUNDA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55669-2023</t>
        </is>
      </c>
      <c r="B1145" s="1" t="n">
        <v>45238.96797453704</v>
      </c>
      <c r="C1145" s="1" t="n">
        <v>46043</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51389-2024</t>
        </is>
      </c>
      <c r="B1146" s="1" t="n">
        <v>45604.40540509259</v>
      </c>
      <c r="C1146" s="1" t="n">
        <v>46043</v>
      </c>
      <c r="D1146" t="inlineStr">
        <is>
          <t>JÄMTLANDS LÄN</t>
        </is>
      </c>
      <c r="E1146" t="inlineStr">
        <is>
          <t>RAGUNDA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51393-2024</t>
        </is>
      </c>
      <c r="B1147" s="1" t="n">
        <v>45604.41625</v>
      </c>
      <c r="C1147" s="1" t="n">
        <v>46043</v>
      </c>
      <c r="D1147" t="inlineStr">
        <is>
          <t>JÄMTLANDS LÄN</t>
        </is>
      </c>
      <c r="E1147" t="inlineStr">
        <is>
          <t>RAGUNDA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43339-2024</t>
        </is>
      </c>
      <c r="B1148" s="1" t="n">
        <v>45568.51075231482</v>
      </c>
      <c r="C1148" s="1" t="n">
        <v>46043</v>
      </c>
      <c r="D1148" t="inlineStr">
        <is>
          <t>JÄMTLANDS LÄN</t>
        </is>
      </c>
      <c r="E1148" t="inlineStr">
        <is>
          <t>RAGUNDA</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38548-2024</t>
        </is>
      </c>
      <c r="B1149" s="1" t="n">
        <v>45546</v>
      </c>
      <c r="C1149" s="1" t="n">
        <v>46043</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26026-2024</t>
        </is>
      </c>
      <c r="B1150" s="1" t="n">
        <v>45467.96207175926</v>
      </c>
      <c r="C1150" s="1" t="n">
        <v>46043</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5971-2025</t>
        </is>
      </c>
      <c r="B1151" s="1" t="n">
        <v>45695.51070601852</v>
      </c>
      <c r="C1151" s="1" t="n">
        <v>46043</v>
      </c>
      <c r="D1151" t="inlineStr">
        <is>
          <t>JÄMTLANDS LÄN</t>
        </is>
      </c>
      <c r="E1151" t="inlineStr">
        <is>
          <t>RAGUNDA</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51537-2022</t>
        </is>
      </c>
      <c r="B1152" s="1" t="n">
        <v>44869</v>
      </c>
      <c r="C1152" s="1" t="n">
        <v>46043</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12995-2023</t>
        </is>
      </c>
      <c r="B1153" s="1" t="n">
        <v>45002.0328125</v>
      </c>
      <c r="C1153" s="1" t="n">
        <v>46043</v>
      </c>
      <c r="D1153" t="inlineStr">
        <is>
          <t>JÄMTLANDS LÄN</t>
        </is>
      </c>
      <c r="E1153" t="inlineStr">
        <is>
          <t>RAGUNDA</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8800-2025</t>
        </is>
      </c>
      <c r="B1154" s="1" t="n">
        <v>45712.65671296296</v>
      </c>
      <c r="C1154" s="1" t="n">
        <v>46043</v>
      </c>
      <c r="D1154" t="inlineStr">
        <is>
          <t>JÄMTLANDS LÄN</t>
        </is>
      </c>
      <c r="E1154" t="inlineStr">
        <is>
          <t>RAGUNDA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56284-2023</t>
        </is>
      </c>
      <c r="B1155" s="1" t="n">
        <v>45241.95724537037</v>
      </c>
      <c r="C1155" s="1" t="n">
        <v>46043</v>
      </c>
      <c r="D1155" t="inlineStr">
        <is>
          <t>JÄMTLANDS LÄN</t>
        </is>
      </c>
      <c r="E1155" t="inlineStr">
        <is>
          <t>RAGUNDA</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18610-2024</t>
        </is>
      </c>
      <c r="B1156" s="1" t="n">
        <v>45425.96230324074</v>
      </c>
      <c r="C1156" s="1" t="n">
        <v>46043</v>
      </c>
      <c r="D1156" t="inlineStr">
        <is>
          <t>JÄMTLANDS LÄN</t>
        </is>
      </c>
      <c r="E1156" t="inlineStr">
        <is>
          <t>RAGUNDA</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30563-2023</t>
        </is>
      </c>
      <c r="B1157" s="1" t="n">
        <v>45111.92793981481</v>
      </c>
      <c r="C1157" s="1" t="n">
        <v>46043</v>
      </c>
      <c r="D1157" t="inlineStr">
        <is>
          <t>JÄMTLANDS LÄN</t>
        </is>
      </c>
      <c r="E1157" t="inlineStr">
        <is>
          <t>RAGUNDA</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8886-2024</t>
        </is>
      </c>
      <c r="B1158" s="1" t="n">
        <v>45357.05300925926</v>
      </c>
      <c r="C1158" s="1" t="n">
        <v>46043</v>
      </c>
      <c r="D1158" t="inlineStr">
        <is>
          <t>JÄMTLANDS LÄN</t>
        </is>
      </c>
      <c r="E1158" t="inlineStr">
        <is>
          <t>RAGUNDA</t>
        </is>
      </c>
      <c r="F1158" t="inlineStr">
        <is>
          <t>SCA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18615-2024</t>
        </is>
      </c>
      <c r="B1159" s="1" t="n">
        <v>45425.96275462963</v>
      </c>
      <c r="C1159" s="1" t="n">
        <v>46043</v>
      </c>
      <c r="D1159" t="inlineStr">
        <is>
          <t>JÄMTLANDS LÄN</t>
        </is>
      </c>
      <c r="E1159" t="inlineStr">
        <is>
          <t>RAGUNDA</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23303-2024</t>
        </is>
      </c>
      <c r="B1160" s="1" t="n">
        <v>45453.4444212963</v>
      </c>
      <c r="C1160" s="1" t="n">
        <v>46043</v>
      </c>
      <c r="D1160" t="inlineStr">
        <is>
          <t>JÄMTLANDS LÄN</t>
        </is>
      </c>
      <c r="E1160" t="inlineStr">
        <is>
          <t>RAGUNDA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465-2023</t>
        </is>
      </c>
      <c r="B1161" s="1" t="n">
        <v>44929</v>
      </c>
      <c r="C1161" s="1" t="n">
        <v>46043</v>
      </c>
      <c r="D1161" t="inlineStr">
        <is>
          <t>JÄMTLANDS LÄN</t>
        </is>
      </c>
      <c r="E1161" t="inlineStr">
        <is>
          <t>RAGUNDA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32832-2021</t>
        </is>
      </c>
      <c r="B1162" s="1" t="n">
        <v>44375</v>
      </c>
      <c r="C1162" s="1" t="n">
        <v>46043</v>
      </c>
      <c r="D1162" t="inlineStr">
        <is>
          <t>JÄMTLANDS LÄN</t>
        </is>
      </c>
      <c r="E1162" t="inlineStr">
        <is>
          <t>RAGUNDA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3938-2024</t>
        </is>
      </c>
      <c r="B1163" s="1" t="n">
        <v>45322</v>
      </c>
      <c r="C1163" s="1" t="n">
        <v>46043</v>
      </c>
      <c r="D1163" t="inlineStr">
        <is>
          <t>JÄMTLANDS LÄN</t>
        </is>
      </c>
      <c r="E1163" t="inlineStr">
        <is>
          <t>RAGUNDA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62081-2022</t>
        </is>
      </c>
      <c r="B1164" s="1" t="n">
        <v>44918</v>
      </c>
      <c r="C1164" s="1" t="n">
        <v>46043</v>
      </c>
      <c r="D1164" t="inlineStr">
        <is>
          <t>JÄMTLANDS LÄN</t>
        </is>
      </c>
      <c r="E1164" t="inlineStr">
        <is>
          <t>RAGUNDA</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55508-2024</t>
        </is>
      </c>
      <c r="B1165" s="1" t="n">
        <v>45622.46200231482</v>
      </c>
      <c r="C1165" s="1" t="n">
        <v>46043</v>
      </c>
      <c r="D1165" t="inlineStr">
        <is>
          <t>JÄMTLANDS LÄN</t>
        </is>
      </c>
      <c r="E1165" t="inlineStr">
        <is>
          <t>RAGUNDA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12521-2023</t>
        </is>
      </c>
      <c r="B1166" s="1" t="n">
        <v>45000</v>
      </c>
      <c r="C1166" s="1" t="n">
        <v>46043</v>
      </c>
      <c r="D1166" t="inlineStr">
        <is>
          <t>JÄMTLANDS LÄN</t>
        </is>
      </c>
      <c r="E1166" t="inlineStr">
        <is>
          <t>RAGUNDA</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3720-2025</t>
        </is>
      </c>
      <c r="B1167" s="1" t="n">
        <v>45681.5315625</v>
      </c>
      <c r="C1167" s="1" t="n">
        <v>46043</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2339-2025</t>
        </is>
      </c>
      <c r="B1168" s="1" t="n">
        <v>45673.66358796296</v>
      </c>
      <c r="C1168" s="1" t="n">
        <v>46043</v>
      </c>
      <c r="D1168" t="inlineStr">
        <is>
          <t>JÄMTLANDS LÄN</t>
        </is>
      </c>
      <c r="E1168" t="inlineStr">
        <is>
          <t>RAGUNDA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17742-2022</t>
        </is>
      </c>
      <c r="B1169" s="1" t="n">
        <v>44680.95246527778</v>
      </c>
      <c r="C1169" s="1" t="n">
        <v>46043</v>
      </c>
      <c r="D1169" t="inlineStr">
        <is>
          <t>JÄMTLANDS LÄN</t>
        </is>
      </c>
      <c r="E1169" t="inlineStr">
        <is>
          <t>RAGUNDA</t>
        </is>
      </c>
      <c r="F1169" t="inlineStr">
        <is>
          <t>SCA</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50555-2024</t>
        </is>
      </c>
      <c r="B1170" s="1" t="n">
        <v>45601.59518518519</v>
      </c>
      <c r="C1170" s="1" t="n">
        <v>46043</v>
      </c>
      <c r="D1170" t="inlineStr">
        <is>
          <t>JÄMTLANDS LÄN</t>
        </is>
      </c>
      <c r="E1170" t="inlineStr">
        <is>
          <t>RAGUNDA</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53676-2022</t>
        </is>
      </c>
      <c r="B1171" s="1" t="n">
        <v>44879</v>
      </c>
      <c r="C1171" s="1" t="n">
        <v>46043</v>
      </c>
      <c r="D1171" t="inlineStr">
        <is>
          <t>JÄMTLANDS LÄN</t>
        </is>
      </c>
      <c r="E1171" t="inlineStr">
        <is>
          <t>RAGUNDA</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14212-2023</t>
        </is>
      </c>
      <c r="B1172" s="1" t="n">
        <v>45009</v>
      </c>
      <c r="C1172" s="1" t="n">
        <v>46043</v>
      </c>
      <c r="D1172" t="inlineStr">
        <is>
          <t>JÄMTLANDS LÄN</t>
        </is>
      </c>
      <c r="E1172" t="inlineStr">
        <is>
          <t>RAGUNDA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20772-2024</t>
        </is>
      </c>
      <c r="B1173" s="1" t="n">
        <v>45436.94628472222</v>
      </c>
      <c r="C1173" s="1" t="n">
        <v>46043</v>
      </c>
      <c r="D1173" t="inlineStr">
        <is>
          <t>JÄMTLANDS LÄN</t>
        </is>
      </c>
      <c r="E1173" t="inlineStr">
        <is>
          <t>RAGUNDA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18614-2024</t>
        </is>
      </c>
      <c r="B1174" s="1" t="n">
        <v>45425.96263888889</v>
      </c>
      <c r="C1174" s="1" t="n">
        <v>46043</v>
      </c>
      <c r="D1174" t="inlineStr">
        <is>
          <t>JÄMTLANDS LÄN</t>
        </is>
      </c>
      <c r="E1174" t="inlineStr">
        <is>
          <t>RAGUNDA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53757-2024</t>
        </is>
      </c>
      <c r="B1175" s="1" t="n">
        <v>45615.50034722222</v>
      </c>
      <c r="C1175" s="1" t="n">
        <v>46043</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19246-2023</t>
        </is>
      </c>
      <c r="B1176" s="1" t="n">
        <v>45048.94340277778</v>
      </c>
      <c r="C1176" s="1" t="n">
        <v>46043</v>
      </c>
      <c r="D1176" t="inlineStr">
        <is>
          <t>JÄMTLANDS LÄN</t>
        </is>
      </c>
      <c r="E1176" t="inlineStr">
        <is>
          <t>RAGUNDA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464-2023</t>
        </is>
      </c>
      <c r="B1177" s="1" t="n">
        <v>44929.92489583333</v>
      </c>
      <c r="C1177" s="1" t="n">
        <v>46043</v>
      </c>
      <c r="D1177" t="inlineStr">
        <is>
          <t>JÄMTLANDS LÄN</t>
        </is>
      </c>
      <c r="E1177" t="inlineStr">
        <is>
          <t>RAGUNDA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49649-2024</t>
        </is>
      </c>
      <c r="B1178" s="1" t="n">
        <v>45596.61553240741</v>
      </c>
      <c r="C1178" s="1" t="n">
        <v>46043</v>
      </c>
      <c r="D1178" t="inlineStr">
        <is>
          <t>JÄMTLANDS LÄN</t>
        </is>
      </c>
      <c r="E1178" t="inlineStr">
        <is>
          <t>RAGUNDA</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20426-2024</t>
        </is>
      </c>
      <c r="B1179" s="1" t="n">
        <v>45435</v>
      </c>
      <c r="C1179" s="1" t="n">
        <v>46043</v>
      </c>
      <c r="D1179" t="inlineStr">
        <is>
          <t>JÄMTLANDS LÄN</t>
        </is>
      </c>
      <c r="E1179" t="inlineStr">
        <is>
          <t>RAGUNDA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41344-2024</t>
        </is>
      </c>
      <c r="B1180" s="1" t="n">
        <v>45559.67759259259</v>
      </c>
      <c r="C1180" s="1" t="n">
        <v>46043</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58955-2024</t>
        </is>
      </c>
      <c r="B1181" s="1" t="n">
        <v>45636.57329861111</v>
      </c>
      <c r="C1181" s="1" t="n">
        <v>46043</v>
      </c>
      <c r="D1181" t="inlineStr">
        <is>
          <t>JÄMTLANDS LÄN</t>
        </is>
      </c>
      <c r="E1181" t="inlineStr">
        <is>
          <t>RAGUNDA</t>
        </is>
      </c>
      <c r="F1181" t="inlineStr">
        <is>
          <t>SCA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4878-2022</t>
        </is>
      </c>
      <c r="B1182" s="1" t="n">
        <v>44593</v>
      </c>
      <c r="C1182" s="1" t="n">
        <v>46043</v>
      </c>
      <c r="D1182" t="inlineStr">
        <is>
          <t>JÄMTLANDS LÄN</t>
        </is>
      </c>
      <c r="E1182" t="inlineStr">
        <is>
          <t>RAGUNDA</t>
        </is>
      </c>
      <c r="G1182" t="n">
        <v>21.7</v>
      </c>
      <c r="H1182" t="n">
        <v>0</v>
      </c>
      <c r="I1182" t="n">
        <v>0</v>
      </c>
      <c r="J1182" t="n">
        <v>0</v>
      </c>
      <c r="K1182" t="n">
        <v>0</v>
      </c>
      <c r="L1182" t="n">
        <v>0</v>
      </c>
      <c r="M1182" t="n">
        <v>0</v>
      </c>
      <c r="N1182" t="n">
        <v>0</v>
      </c>
      <c r="O1182" t="n">
        <v>0</v>
      </c>
      <c r="P1182" t="n">
        <v>0</v>
      </c>
      <c r="Q1182" t="n">
        <v>0</v>
      </c>
      <c r="R1182" s="2" t="inlineStr"/>
    </row>
    <row r="1183" ht="15" customHeight="1">
      <c r="A1183" t="inlineStr">
        <is>
          <t>A 39489-2023</t>
        </is>
      </c>
      <c r="B1183" s="1" t="n">
        <v>45166</v>
      </c>
      <c r="C1183" s="1" t="n">
        <v>46043</v>
      </c>
      <c r="D1183" t="inlineStr">
        <is>
          <t>JÄMTLANDS LÄN</t>
        </is>
      </c>
      <c r="E1183" t="inlineStr">
        <is>
          <t>RAGUNDA</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11058-2025</t>
        </is>
      </c>
      <c r="B1184" s="1" t="n">
        <v>45723.51079861111</v>
      </c>
      <c r="C1184" s="1" t="n">
        <v>46043</v>
      </c>
      <c r="D1184" t="inlineStr">
        <is>
          <t>JÄMTLANDS LÄN</t>
        </is>
      </c>
      <c r="E1184" t="inlineStr">
        <is>
          <t>RAGUNDA</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15554-2025</t>
        </is>
      </c>
      <c r="B1185" s="1" t="n">
        <v>45747.67739583334</v>
      </c>
      <c r="C1185" s="1" t="n">
        <v>46043</v>
      </c>
      <c r="D1185" t="inlineStr">
        <is>
          <t>JÄMTLANDS LÄN</t>
        </is>
      </c>
      <c r="E1185" t="inlineStr">
        <is>
          <t>RAGUNDA</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57170-2024</t>
        </is>
      </c>
      <c r="B1186" s="1" t="n">
        <v>45629.42759259259</v>
      </c>
      <c r="C1186" s="1" t="n">
        <v>46043</v>
      </c>
      <c r="D1186" t="inlineStr">
        <is>
          <t>JÄMTLANDS LÄN</t>
        </is>
      </c>
      <c r="E1186" t="inlineStr">
        <is>
          <t>RAGUNDA</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29940-2023</t>
        </is>
      </c>
      <c r="B1187" s="1" t="n">
        <v>45107</v>
      </c>
      <c r="C1187" s="1" t="n">
        <v>46043</v>
      </c>
      <c r="D1187" t="inlineStr">
        <is>
          <t>JÄMTLANDS LÄN</t>
        </is>
      </c>
      <c r="E1187" t="inlineStr">
        <is>
          <t>RAGUNDA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66471-2021</t>
        </is>
      </c>
      <c r="B1188" s="1" t="n">
        <v>44518</v>
      </c>
      <c r="C1188" s="1" t="n">
        <v>46043</v>
      </c>
      <c r="D1188" t="inlineStr">
        <is>
          <t>JÄMTLANDS LÄN</t>
        </is>
      </c>
      <c r="E1188" t="inlineStr">
        <is>
          <t>RAGUNDA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22731-2023</t>
        </is>
      </c>
      <c r="B1189" s="1" t="n">
        <v>45071</v>
      </c>
      <c r="C1189" s="1" t="n">
        <v>46043</v>
      </c>
      <c r="D1189" t="inlineStr">
        <is>
          <t>JÄMTLANDS LÄN</t>
        </is>
      </c>
      <c r="E1189" t="inlineStr">
        <is>
          <t>RAGUNDA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33877-2023</t>
        </is>
      </c>
      <c r="B1190" s="1" t="n">
        <v>45133</v>
      </c>
      <c r="C1190" s="1" t="n">
        <v>46043</v>
      </c>
      <c r="D1190" t="inlineStr">
        <is>
          <t>JÄMTLANDS LÄN</t>
        </is>
      </c>
      <c r="E1190" t="inlineStr">
        <is>
          <t>RAGUNDA</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8775-2025</t>
        </is>
      </c>
      <c r="B1191" s="1" t="n">
        <v>45712.61502314815</v>
      </c>
      <c r="C1191" s="1" t="n">
        <v>46043</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8776-2025</t>
        </is>
      </c>
      <c r="B1192" s="1" t="n">
        <v>45712.61510416667</v>
      </c>
      <c r="C1192" s="1" t="n">
        <v>46043</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57749-2024</t>
        </is>
      </c>
      <c r="B1193" s="1" t="n">
        <v>45630.7862037037</v>
      </c>
      <c r="C1193" s="1" t="n">
        <v>46043</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5067-2024</t>
        </is>
      </c>
      <c r="B1194" s="1" t="n">
        <v>45329.95806712963</v>
      </c>
      <c r="C1194" s="1" t="n">
        <v>46043</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5429-2024</t>
        </is>
      </c>
      <c r="B1195" s="1" t="n">
        <v>45331.92746527777</v>
      </c>
      <c r="C1195" s="1" t="n">
        <v>46043</v>
      </c>
      <c r="D1195" t="inlineStr">
        <is>
          <t>JÄMTLANDS LÄN</t>
        </is>
      </c>
      <c r="E1195" t="inlineStr">
        <is>
          <t>RAGUNDA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28742-2023</t>
        </is>
      </c>
      <c r="B1196" s="1" t="n">
        <v>45103</v>
      </c>
      <c r="C1196" s="1" t="n">
        <v>46043</v>
      </c>
      <c r="D1196" t="inlineStr">
        <is>
          <t>JÄMTLANDS LÄN</t>
        </is>
      </c>
      <c r="E1196" t="inlineStr">
        <is>
          <t>RAGUNDA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22981-2023</t>
        </is>
      </c>
      <c r="B1197" s="1" t="n">
        <v>45072.92737268518</v>
      </c>
      <c r="C1197" s="1" t="n">
        <v>46043</v>
      </c>
      <c r="D1197" t="inlineStr">
        <is>
          <t>JÄMTLANDS LÄN</t>
        </is>
      </c>
      <c r="E1197" t="inlineStr">
        <is>
          <t>RAGUNDA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21726-2023</t>
        </is>
      </c>
      <c r="B1198" s="1" t="n">
        <v>45065.42894675926</v>
      </c>
      <c r="C1198" s="1" t="n">
        <v>46043</v>
      </c>
      <c r="D1198" t="inlineStr">
        <is>
          <t>JÄMTLANDS LÄN</t>
        </is>
      </c>
      <c r="E1198" t="inlineStr">
        <is>
          <t>RAGUNDA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55514-2024</t>
        </is>
      </c>
      <c r="B1199" s="1" t="n">
        <v>45622.46910879629</v>
      </c>
      <c r="C1199" s="1" t="n">
        <v>46043</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24441-2024</t>
        </is>
      </c>
      <c r="B1200" s="1" t="n">
        <v>45457.96372685185</v>
      </c>
      <c r="C1200" s="1" t="n">
        <v>46043</v>
      </c>
      <c r="D1200" t="inlineStr">
        <is>
          <t>JÄMTLANDS LÄN</t>
        </is>
      </c>
      <c r="E1200" t="inlineStr">
        <is>
          <t>RAGUNDA</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934-2023</t>
        </is>
      </c>
      <c r="B1201" s="1" t="n">
        <v>44932.93927083333</v>
      </c>
      <c r="C1201" s="1" t="n">
        <v>46043</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37242-2024</t>
        </is>
      </c>
      <c r="B1202" s="1" t="n">
        <v>45540.34428240741</v>
      </c>
      <c r="C1202" s="1" t="n">
        <v>46043</v>
      </c>
      <c r="D1202" t="inlineStr">
        <is>
          <t>JÄMTLANDS LÄN</t>
        </is>
      </c>
      <c r="E1202" t="inlineStr">
        <is>
          <t>RAGUNDA</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9232-2025</t>
        </is>
      </c>
      <c r="B1203" s="1" t="n">
        <v>45714.55064814815</v>
      </c>
      <c r="C1203" s="1" t="n">
        <v>46043</v>
      </c>
      <c r="D1203" t="inlineStr">
        <is>
          <t>JÄMTLANDS LÄN</t>
        </is>
      </c>
      <c r="E1203" t="inlineStr">
        <is>
          <t>RAGUNDA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41656-2023</t>
        </is>
      </c>
      <c r="B1204" s="1" t="n">
        <v>45175</v>
      </c>
      <c r="C1204" s="1" t="n">
        <v>46043</v>
      </c>
      <c r="D1204" t="inlineStr">
        <is>
          <t>JÄMTLANDS LÄN</t>
        </is>
      </c>
      <c r="E1204" t="inlineStr">
        <is>
          <t>RAGUNDA</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36317-2024</t>
        </is>
      </c>
      <c r="B1205" s="1" t="n">
        <v>45534.63537037037</v>
      </c>
      <c r="C1205" s="1" t="n">
        <v>46043</v>
      </c>
      <c r="D1205" t="inlineStr">
        <is>
          <t>JÄMTLANDS LÄN</t>
        </is>
      </c>
      <c r="E1205" t="inlineStr">
        <is>
          <t>RAGUNDA</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45149.95372685185</v>
      </c>
      <c r="C1206" s="1" t="n">
        <v>46043</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59368-2022</t>
        </is>
      </c>
      <c r="B1207" s="1" t="n">
        <v>44904.94824074074</v>
      </c>
      <c r="C1207" s="1" t="n">
        <v>46043</v>
      </c>
      <c r="D1207" t="inlineStr">
        <is>
          <t>JÄMTLANDS LÄN</t>
        </is>
      </c>
      <c r="E1207" t="inlineStr">
        <is>
          <t>RAGUNDA</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893-2025</t>
        </is>
      </c>
      <c r="B1208" s="1" t="n">
        <v>45665.65684027778</v>
      </c>
      <c r="C1208" s="1" t="n">
        <v>46043</v>
      </c>
      <c r="D1208" t="inlineStr">
        <is>
          <t>JÄMTLANDS LÄN</t>
        </is>
      </c>
      <c r="E1208" t="inlineStr">
        <is>
          <t>RAGUNDA</t>
        </is>
      </c>
      <c r="F1208" t="inlineStr">
        <is>
          <t>SCA</t>
        </is>
      </c>
      <c r="G1208" t="n">
        <v>45.1</v>
      </c>
      <c r="H1208" t="n">
        <v>0</v>
      </c>
      <c r="I1208" t="n">
        <v>0</v>
      </c>
      <c r="J1208" t="n">
        <v>0</v>
      </c>
      <c r="K1208" t="n">
        <v>0</v>
      </c>
      <c r="L1208" t="n">
        <v>0</v>
      </c>
      <c r="M1208" t="n">
        <v>0</v>
      </c>
      <c r="N1208" t="n">
        <v>0</v>
      </c>
      <c r="O1208" t="n">
        <v>0</v>
      </c>
      <c r="P1208" t="n">
        <v>0</v>
      </c>
      <c r="Q1208" t="n">
        <v>0</v>
      </c>
      <c r="R1208" s="2" t="inlineStr"/>
    </row>
    <row r="1209" ht="15" customHeight="1">
      <c r="A1209" t="inlineStr">
        <is>
          <t>A 7520-2023</t>
        </is>
      </c>
      <c r="B1209" s="1" t="n">
        <v>44971</v>
      </c>
      <c r="C1209" s="1" t="n">
        <v>46043</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53549-2024</t>
        </is>
      </c>
      <c r="B1210" s="1" t="n">
        <v>45614.63869212963</v>
      </c>
      <c r="C1210" s="1" t="n">
        <v>46043</v>
      </c>
      <c r="D1210" t="inlineStr">
        <is>
          <t>JÄMTLANDS LÄN</t>
        </is>
      </c>
      <c r="E1210" t="inlineStr">
        <is>
          <t>RAGUNDA</t>
        </is>
      </c>
      <c r="F1210" t="inlineStr">
        <is>
          <t>Kyrkan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53955-2022</t>
        </is>
      </c>
      <c r="B1211" s="1" t="n">
        <v>44880.95741898148</v>
      </c>
      <c r="C1211" s="1" t="n">
        <v>46043</v>
      </c>
      <c r="D1211" t="inlineStr">
        <is>
          <t>JÄMTLANDS LÄN</t>
        </is>
      </c>
      <c r="E1211" t="inlineStr">
        <is>
          <t>RAGUNDA</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9567-2025</t>
        </is>
      </c>
      <c r="B1212" s="1" t="n">
        <v>45715.61523148148</v>
      </c>
      <c r="C1212" s="1" t="n">
        <v>46043</v>
      </c>
      <c r="D1212" t="inlineStr">
        <is>
          <t>JÄMTLANDS LÄN</t>
        </is>
      </c>
      <c r="E1212" t="inlineStr">
        <is>
          <t>RAGUNDA</t>
        </is>
      </c>
      <c r="F1212" t="inlineStr">
        <is>
          <t>SCA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53287-2022</t>
        </is>
      </c>
      <c r="B1213" s="1" t="n">
        <v>44876</v>
      </c>
      <c r="C1213" s="1" t="n">
        <v>46043</v>
      </c>
      <c r="D1213" t="inlineStr">
        <is>
          <t>JÄMTLANDS LÄN</t>
        </is>
      </c>
      <c r="E1213" t="inlineStr">
        <is>
          <t>RAGUNDA</t>
        </is>
      </c>
      <c r="F1213" t="inlineStr">
        <is>
          <t>SCA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51646-2023</t>
        </is>
      </c>
      <c r="B1214" s="1" t="n">
        <v>45215</v>
      </c>
      <c r="C1214" s="1" t="n">
        <v>46043</v>
      </c>
      <c r="D1214" t="inlineStr">
        <is>
          <t>JÄMTLANDS LÄN</t>
        </is>
      </c>
      <c r="E1214" t="inlineStr">
        <is>
          <t>RAGUNDA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29319-2023</t>
        </is>
      </c>
      <c r="B1215" s="1" t="n">
        <v>45105</v>
      </c>
      <c r="C1215" s="1" t="n">
        <v>46043</v>
      </c>
      <c r="D1215" t="inlineStr">
        <is>
          <t>JÄMTLANDS LÄN</t>
        </is>
      </c>
      <c r="E1215" t="inlineStr">
        <is>
          <t>RAGUNDA</t>
        </is>
      </c>
      <c r="F1215" t="inlineStr">
        <is>
          <t>SCA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17323-2025</t>
        </is>
      </c>
      <c r="B1216" s="1" t="n">
        <v>45756.63601851852</v>
      </c>
      <c r="C1216" s="1" t="n">
        <v>46043</v>
      </c>
      <c r="D1216" t="inlineStr">
        <is>
          <t>JÄMTLANDS LÄN</t>
        </is>
      </c>
      <c r="E1216" t="inlineStr">
        <is>
          <t>RAGUNDA</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19486-2024</t>
        </is>
      </c>
      <c r="B1217" s="1" t="n">
        <v>45429</v>
      </c>
      <c r="C1217" s="1" t="n">
        <v>46043</v>
      </c>
      <c r="D1217" t="inlineStr">
        <is>
          <t>JÄMTLANDS LÄN</t>
        </is>
      </c>
      <c r="E1217" t="inlineStr">
        <is>
          <t>RAGUNDA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13941-2025</t>
        </is>
      </c>
      <c r="B1218" s="1" t="n">
        <v>45737.69822916666</v>
      </c>
      <c r="C1218" s="1" t="n">
        <v>46043</v>
      </c>
      <c r="D1218" t="inlineStr">
        <is>
          <t>JÄMTLANDS LÄN</t>
        </is>
      </c>
      <c r="E1218" t="inlineStr">
        <is>
          <t>RAGUNDA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26646-2023</t>
        </is>
      </c>
      <c r="B1219" s="1" t="n">
        <v>45092</v>
      </c>
      <c r="C1219" s="1" t="n">
        <v>46043</v>
      </c>
      <c r="D1219" t="inlineStr">
        <is>
          <t>JÄMTLANDS LÄN</t>
        </is>
      </c>
      <c r="E1219" t="inlineStr">
        <is>
          <t>RAGUNDA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27291-2022</t>
        </is>
      </c>
      <c r="B1220" s="1" t="n">
        <v>44741.94070601852</v>
      </c>
      <c r="C1220" s="1" t="n">
        <v>46043</v>
      </c>
      <c r="D1220" t="inlineStr">
        <is>
          <t>JÄMTLANDS LÄN</t>
        </is>
      </c>
      <c r="E1220" t="inlineStr">
        <is>
          <t>RAGUNDA</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49650-2024</t>
        </is>
      </c>
      <c r="B1221" s="1" t="n">
        <v>45596.61569444444</v>
      </c>
      <c r="C1221" s="1" t="n">
        <v>46043</v>
      </c>
      <c r="D1221" t="inlineStr">
        <is>
          <t>JÄMTLANDS LÄN</t>
        </is>
      </c>
      <c r="E1221" t="inlineStr">
        <is>
          <t>RAGUNDA</t>
        </is>
      </c>
      <c r="F1221" t="inlineStr">
        <is>
          <t>Naturvårdsverket</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49651-2024</t>
        </is>
      </c>
      <c r="B1222" s="1" t="n">
        <v>45596.61582175926</v>
      </c>
      <c r="C1222" s="1" t="n">
        <v>46043</v>
      </c>
      <c r="D1222" t="inlineStr">
        <is>
          <t>JÄMTLANDS LÄN</t>
        </is>
      </c>
      <c r="E1222" t="inlineStr">
        <is>
          <t>RAGUNDA</t>
        </is>
      </c>
      <c r="F1222" t="inlineStr">
        <is>
          <t>SCA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6477-2024</t>
        </is>
      </c>
      <c r="B1223" s="1" t="n">
        <v>45338.95405092592</v>
      </c>
      <c r="C1223" s="1" t="n">
        <v>46043</v>
      </c>
      <c r="D1223" t="inlineStr">
        <is>
          <t>JÄMTLANDS LÄN</t>
        </is>
      </c>
      <c r="E1223" t="inlineStr">
        <is>
          <t>RAGUNDA</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60443-2023</t>
        </is>
      </c>
      <c r="B1224" s="1" t="n">
        <v>45258</v>
      </c>
      <c r="C1224" s="1" t="n">
        <v>46043</v>
      </c>
      <c r="D1224" t="inlineStr">
        <is>
          <t>JÄMTLANDS LÄN</t>
        </is>
      </c>
      <c r="E1224" t="inlineStr">
        <is>
          <t>RAGUNDA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44759-2024</t>
        </is>
      </c>
      <c r="B1225" s="1" t="n">
        <v>45574.61634259259</v>
      </c>
      <c r="C1225" s="1" t="n">
        <v>46043</v>
      </c>
      <c r="D1225" t="inlineStr">
        <is>
          <t>JÄMTLANDS LÄN</t>
        </is>
      </c>
      <c r="E1225" t="inlineStr">
        <is>
          <t>RAGUNDA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993-2025</t>
        </is>
      </c>
      <c r="B1226" s="1" t="n">
        <v>45666.44943287037</v>
      </c>
      <c r="C1226" s="1" t="n">
        <v>46043</v>
      </c>
      <c r="D1226" t="inlineStr">
        <is>
          <t>JÄMTLANDS LÄN</t>
        </is>
      </c>
      <c r="E1226" t="inlineStr">
        <is>
          <t>RAGUNDA</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57064-2024</t>
        </is>
      </c>
      <c r="B1227" s="1" t="n">
        <v>45629.35326388889</v>
      </c>
      <c r="C1227" s="1" t="n">
        <v>46043</v>
      </c>
      <c r="D1227" t="inlineStr">
        <is>
          <t>JÄMTLANDS LÄN</t>
        </is>
      </c>
      <c r="E1227" t="inlineStr">
        <is>
          <t>RAGUNDA</t>
        </is>
      </c>
      <c r="F1227" t="inlineStr">
        <is>
          <t>Naturvårdsverket</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60936-2024</t>
        </is>
      </c>
      <c r="B1228" s="1" t="n">
        <v>45645.36743055555</v>
      </c>
      <c r="C1228" s="1" t="n">
        <v>46043</v>
      </c>
      <c r="D1228" t="inlineStr">
        <is>
          <t>JÄMTLANDS LÄN</t>
        </is>
      </c>
      <c r="E1228" t="inlineStr">
        <is>
          <t>RAGUNDA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5930-2025</t>
        </is>
      </c>
      <c r="B1229" s="1" t="n">
        <v>45695.44724537037</v>
      </c>
      <c r="C1229" s="1" t="n">
        <v>46043</v>
      </c>
      <c r="D1229" t="inlineStr">
        <is>
          <t>JÄMTLANDS LÄN</t>
        </is>
      </c>
      <c r="E1229" t="inlineStr">
        <is>
          <t>RAGUNDA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58847-2024</t>
        </is>
      </c>
      <c r="B1230" s="1" t="n">
        <v>45636.3864699074</v>
      </c>
      <c r="C1230" s="1" t="n">
        <v>46043</v>
      </c>
      <c r="D1230" t="inlineStr">
        <is>
          <t>JÄMTLANDS LÄN</t>
        </is>
      </c>
      <c r="E1230" t="inlineStr">
        <is>
          <t>RAGUNDA</t>
        </is>
      </c>
      <c r="F1230" t="inlineStr">
        <is>
          <t>SCA</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7722-2023</t>
        </is>
      </c>
      <c r="B1231" s="1" t="n">
        <v>44972.94140046297</v>
      </c>
      <c r="C1231" s="1" t="n">
        <v>46043</v>
      </c>
      <c r="D1231" t="inlineStr">
        <is>
          <t>JÄMTLANDS LÄN</t>
        </is>
      </c>
      <c r="E1231" t="inlineStr">
        <is>
          <t>RAGUNDA</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20653-2025</t>
        </is>
      </c>
      <c r="B1232" s="1" t="n">
        <v>45776.40311342593</v>
      </c>
      <c r="C1232" s="1" t="n">
        <v>46043</v>
      </c>
      <c r="D1232" t="inlineStr">
        <is>
          <t>JÄMTLANDS LÄN</t>
        </is>
      </c>
      <c r="E1232" t="inlineStr">
        <is>
          <t>RAGUNDA</t>
        </is>
      </c>
      <c r="G1232" t="n">
        <v>10.8</v>
      </c>
      <c r="H1232" t="n">
        <v>0</v>
      </c>
      <c r="I1232" t="n">
        <v>0</v>
      </c>
      <c r="J1232" t="n">
        <v>0</v>
      </c>
      <c r="K1232" t="n">
        <v>0</v>
      </c>
      <c r="L1232" t="n">
        <v>0</v>
      </c>
      <c r="M1232" t="n">
        <v>0</v>
      </c>
      <c r="N1232" t="n">
        <v>0</v>
      </c>
      <c r="O1232" t="n">
        <v>0</v>
      </c>
      <c r="P1232" t="n">
        <v>0</v>
      </c>
      <c r="Q1232" t="n">
        <v>0</v>
      </c>
      <c r="R1232" s="2" t="inlineStr"/>
    </row>
    <row r="1233" ht="15" customHeight="1">
      <c r="A1233" t="inlineStr">
        <is>
          <t>A 20777-2025</t>
        </is>
      </c>
      <c r="B1233" s="1" t="n">
        <v>45776.59422453704</v>
      </c>
      <c r="C1233" s="1" t="n">
        <v>46043</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20722-2025</t>
        </is>
      </c>
      <c r="B1234" s="1" t="n">
        <v>45776.50651620371</v>
      </c>
      <c r="C1234" s="1" t="n">
        <v>46043</v>
      </c>
      <c r="D1234" t="inlineStr">
        <is>
          <t>JÄMTLANDS LÄN</t>
        </is>
      </c>
      <c r="E1234" t="inlineStr">
        <is>
          <t>RAGUNDA</t>
        </is>
      </c>
      <c r="F1234" t="inlineStr">
        <is>
          <t>Kommuner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20728-2025</t>
        </is>
      </c>
      <c r="B1235" s="1" t="n">
        <v>45776.51130787037</v>
      </c>
      <c r="C1235" s="1" t="n">
        <v>46043</v>
      </c>
      <c r="D1235" t="inlineStr">
        <is>
          <t>JÄMTLANDS LÄN</t>
        </is>
      </c>
      <c r="E1235" t="inlineStr">
        <is>
          <t>RAGUNDA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21430-2025</t>
        </is>
      </c>
      <c r="B1236" s="1" t="n">
        <v>45782.51099537037</v>
      </c>
      <c r="C1236" s="1" t="n">
        <v>46043</v>
      </c>
      <c r="D1236" t="inlineStr">
        <is>
          <t>JÄMTLANDS LÄN</t>
        </is>
      </c>
      <c r="E1236" t="inlineStr">
        <is>
          <t>RAGUNDA</t>
        </is>
      </c>
      <c r="F1236" t="inlineStr">
        <is>
          <t>SCA</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21432-2025</t>
        </is>
      </c>
      <c r="B1237" s="1" t="n">
        <v>45782.51109953703</v>
      </c>
      <c r="C1237" s="1" t="n">
        <v>46043</v>
      </c>
      <c r="D1237" t="inlineStr">
        <is>
          <t>JÄMTLANDS LÄN</t>
        </is>
      </c>
      <c r="E1237" t="inlineStr">
        <is>
          <t>RAGUNDA</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21550-2025</t>
        </is>
      </c>
      <c r="B1238" s="1" t="n">
        <v>45782.67758101852</v>
      </c>
      <c r="C1238" s="1" t="n">
        <v>46043</v>
      </c>
      <c r="D1238" t="inlineStr">
        <is>
          <t>JÄMTLANDS LÄN</t>
        </is>
      </c>
      <c r="E1238" t="inlineStr">
        <is>
          <t>RAGUNDA</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21451-2025</t>
        </is>
      </c>
      <c r="B1239" s="1" t="n">
        <v>45782.55287037037</v>
      </c>
      <c r="C1239" s="1" t="n">
        <v>46043</v>
      </c>
      <c r="D1239" t="inlineStr">
        <is>
          <t>JÄMTLANDS LÄN</t>
        </is>
      </c>
      <c r="E1239" t="inlineStr">
        <is>
          <t>RAGUNDA</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21150-2025</t>
        </is>
      </c>
      <c r="B1240" s="1" t="n">
        <v>45779.34417824074</v>
      </c>
      <c r="C1240" s="1" t="n">
        <v>46043</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21331-2025</t>
        </is>
      </c>
      <c r="B1241" s="1" t="n">
        <v>45782.36494212963</v>
      </c>
      <c r="C1241" s="1" t="n">
        <v>46043</v>
      </c>
      <c r="D1241" t="inlineStr">
        <is>
          <t>JÄMTLANDS LÄN</t>
        </is>
      </c>
      <c r="E1241" t="inlineStr">
        <is>
          <t>RAGUNDA</t>
        </is>
      </c>
      <c r="F1241" t="inlineStr">
        <is>
          <t>SCA</t>
        </is>
      </c>
      <c r="G1241" t="n">
        <v>23.1</v>
      </c>
      <c r="H1241" t="n">
        <v>0</v>
      </c>
      <c r="I1241" t="n">
        <v>0</v>
      </c>
      <c r="J1241" t="n">
        <v>0</v>
      </c>
      <c r="K1241" t="n">
        <v>0</v>
      </c>
      <c r="L1241" t="n">
        <v>0</v>
      </c>
      <c r="M1241" t="n">
        <v>0</v>
      </c>
      <c r="N1241" t="n">
        <v>0</v>
      </c>
      <c r="O1241" t="n">
        <v>0</v>
      </c>
      <c r="P1241" t="n">
        <v>0</v>
      </c>
      <c r="Q1241" t="n">
        <v>0</v>
      </c>
      <c r="R1241" s="2" t="inlineStr"/>
      <c r="U1241">
        <f>HYPERLINK("https://klasma.github.io/Logging_2303/knärot/A 21331-2025 karta knärot.png", "A 21331-2025")</f>
        <v/>
      </c>
      <c r="V1241">
        <f>HYPERLINK("https://klasma.github.io/Logging_2303/klagomål/A 21331-2025 FSC-klagomål.docx", "A 21331-2025")</f>
        <v/>
      </c>
      <c r="W1241">
        <f>HYPERLINK("https://klasma.github.io/Logging_2303/klagomålsmail/A 21331-2025 FSC-klagomål mail.docx", "A 21331-2025")</f>
        <v/>
      </c>
      <c r="X1241">
        <f>HYPERLINK("https://klasma.github.io/Logging_2303/tillsyn/A 21331-2025 tillsynsbegäran.docx", "A 21331-2025")</f>
        <v/>
      </c>
      <c r="Y1241">
        <f>HYPERLINK("https://klasma.github.io/Logging_2303/tillsynsmail/A 21331-2025 tillsynsbegäran mail.docx", "A 21331-2025")</f>
        <v/>
      </c>
    </row>
    <row r="1242" ht="15" customHeight="1">
      <c r="A1242" t="inlineStr">
        <is>
          <t>A 21214-2025</t>
        </is>
      </c>
      <c r="B1242" s="1" t="n">
        <v>45779.49025462963</v>
      </c>
      <c r="C1242" s="1" t="n">
        <v>46043</v>
      </c>
      <c r="D1242" t="inlineStr">
        <is>
          <t>JÄMTLANDS LÄN</t>
        </is>
      </c>
      <c r="E1242" t="inlineStr">
        <is>
          <t>RAGUNDA</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22941-2024</t>
        </is>
      </c>
      <c r="B1243" s="1" t="n">
        <v>45448.94520833333</v>
      </c>
      <c r="C1243" s="1" t="n">
        <v>46043</v>
      </c>
      <c r="D1243" t="inlineStr">
        <is>
          <t>JÄMTLANDS LÄN</t>
        </is>
      </c>
      <c r="E1243" t="inlineStr">
        <is>
          <t>RAGUNDA</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44881-2023</t>
        </is>
      </c>
      <c r="B1244" s="1" t="n">
        <v>45187</v>
      </c>
      <c r="C1244" s="1" t="n">
        <v>46043</v>
      </c>
      <c r="D1244" t="inlineStr">
        <is>
          <t>JÄMTLANDS LÄN</t>
        </is>
      </c>
      <c r="E1244" t="inlineStr">
        <is>
          <t>RAGUNDA</t>
        </is>
      </c>
      <c r="G1244" t="n">
        <v>2.4</v>
      </c>
      <c r="H1244" t="n">
        <v>0</v>
      </c>
      <c r="I1244" t="n">
        <v>0</v>
      </c>
      <c r="J1244" t="n">
        <v>0</v>
      </c>
      <c r="K1244" t="n">
        <v>0</v>
      </c>
      <c r="L1244" t="n">
        <v>0</v>
      </c>
      <c r="M1244" t="n">
        <v>0</v>
      </c>
      <c r="N1244" t="n">
        <v>0</v>
      </c>
      <c r="O1244" t="n">
        <v>0</v>
      </c>
      <c r="P1244" t="n">
        <v>0</v>
      </c>
      <c r="Q1244" t="n">
        <v>0</v>
      </c>
      <c r="R1244" s="2" t="inlineStr"/>
    </row>
    <row r="1245">
      <c r="A1245" t="inlineStr">
        <is>
          <t>A 60629-2023</t>
        </is>
      </c>
      <c r="B1245" s="1" t="n">
        <v>45259</v>
      </c>
      <c r="C1245" s="1" t="n">
        <v>46043</v>
      </c>
      <c r="D1245" t="inlineStr">
        <is>
          <t>JÄMTLANDS LÄN</t>
        </is>
      </c>
      <c r="E1245" t="inlineStr">
        <is>
          <t>RAGUNDA</t>
        </is>
      </c>
      <c r="G1245" t="n">
        <v>3.4</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2026-01-21T10:57:17Z</dcterms:created>
  <dcterms:modified xmlns:dcterms="http://purl.org/dc/terms/" xmlns:xsi="http://www.w3.org/2001/XMLSchema-instance" xsi:type="dcterms:W3CDTF">2026-01-21T10:57:18Z</dcterms:modified>
</cp:coreProperties>
</file>