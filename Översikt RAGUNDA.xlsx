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46220</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46220</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46220</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46220</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46220</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HYPERLINK("https://klasma.github.io/Logging_2303/knärot/A 41415-2024 karta knärot.png", "A 41415-2024")</f>
        <v/>
      </c>
      <c r="Y8">
        <f>HYPERLINK("https://klasma.github.io/Logging_2303/klagomål/A 41415-2024 FSC-klagomål.docx", "A 41415-2024")</f>
        <v/>
      </c>
      <c r="Z8">
        <f>HYPERLINK("https://klasma.github.io/Logging_2303/klagomålsmail/A 41415-2024 FSC-klagomål mail.docx", "A 41415-2024")</f>
        <v/>
      </c>
      <c r="AA8">
        <f>HYPERLINK("https://klasma.github.io/Logging_2303/tillsyn/A 41415-2024 tillsynsbegäran.docx", "A 41415-2024")</f>
        <v/>
      </c>
      <c r="AB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46220</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Y9">
        <f>HYPERLINK("https://klasma.github.io/Logging_2303/klagomål/A 50055-2025 FSC-klagomål.docx", "A 50055-2025")</f>
        <v/>
      </c>
      <c r="Z9">
        <f>HYPERLINK("https://klasma.github.io/Logging_2303/klagomålsmail/A 50055-2025 FSC-klagomål mail.docx", "A 50055-2025")</f>
        <v/>
      </c>
      <c r="AA9">
        <f>HYPERLINK("https://klasma.github.io/Logging_2303/tillsyn/A 50055-2025 tillsynsbegäran.docx", "A 50055-2025")</f>
        <v/>
      </c>
      <c r="AB9">
        <f>HYPERLINK("https://klasma.github.io/Logging_2303/tillsynsmail/A 50055-2025 tillsynsbegäran mail.docx", "A 50055-2025")</f>
        <v/>
      </c>
      <c r="AC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46220</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s="2" t="inlineStr">
        <is>
          <t>Dropptaggsvamp
Kolflarnlav
Lunglav
Mörk kolflarnlav
Rosenticka
Skrovellav
Guckusko
Korallrot
Kransrams
Norrlandslav
Spindelblomster
Stuplav
Tibast
Underviol
Ögonpyrola
Blåsippa
Nattviol</t>
        </is>
      </c>
      <c r="V10">
        <f>HYPERLINK("https://klasma.github.io/Logging_2303/artfynd/A 59762-2024 artfynd.xlsx", "A 59762-2024")</f>
        <v/>
      </c>
      <c r="W10">
        <f>HYPERLINK("https://klasma.github.io/Logging_2303/kartor/A 59762-2024 karta.png", "A 59762-2024")</f>
        <v/>
      </c>
      <c r="Y10">
        <f>HYPERLINK("https://klasma.github.io/Logging_2303/klagomål/A 59762-2024 FSC-klagomål.docx", "A 59762-2024")</f>
        <v/>
      </c>
      <c r="Z10">
        <f>HYPERLINK("https://klasma.github.io/Logging_2303/klagomålsmail/A 59762-2024 FSC-klagomål mail.docx", "A 59762-2024")</f>
        <v/>
      </c>
      <c r="AA10">
        <f>HYPERLINK("https://klasma.github.io/Logging_2303/tillsyn/A 59762-2024 tillsynsbegäran.docx", "A 59762-2024")</f>
        <v/>
      </c>
      <c r="AB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46220</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s="2" t="inlineStr">
        <is>
          <t>Garnlav
Liten hornflikmossa
Dropptaggsvamp
Kolflarnlav
Lunglav
Skrovellav
Ullticka
Vedflikmossa
Vitgrynig nållav
Bårdlav
Korallblylav
Kransrams
Plattlummer
Spindelblomster
Stuplav
Vedticka
Fläcknycklar</t>
        </is>
      </c>
      <c r="V11">
        <f>HYPERLINK("https://klasma.github.io/Logging_2303/artfynd/A 13305-2022 artfynd.xlsx", "A 13305-2022")</f>
        <v/>
      </c>
      <c r="W11">
        <f>HYPERLINK("https://klasma.github.io/Logging_2303/kartor/A 13305-2022 karta.png", "A 13305-2022")</f>
        <v/>
      </c>
      <c r="Y11">
        <f>HYPERLINK("https://klasma.github.io/Logging_2303/klagomål/A 13305-2022 FSC-klagomål.docx", "A 13305-2022")</f>
        <v/>
      </c>
      <c r="Z11">
        <f>HYPERLINK("https://klasma.github.io/Logging_2303/klagomålsmail/A 13305-2022 FSC-klagomål mail.docx", "A 13305-2022")</f>
        <v/>
      </c>
      <c r="AA11">
        <f>HYPERLINK("https://klasma.github.io/Logging_2303/tillsyn/A 13305-2022 tillsynsbegäran.docx", "A 13305-2022")</f>
        <v/>
      </c>
      <c r="AB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46220</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46220</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s="2" t="inlineStr">
        <is>
          <t>Garnlav
Knärot
Dropptaggsvamp
Lunglav
Rosenticka
Ullticka
Bårdlav
Korallblylav
Luddlav
Mörk husmossa
Spindelblomster
Stuplav
Vedticka
Spillkråka
Svartvit flugsnappare</t>
        </is>
      </c>
      <c r="V13">
        <f>HYPERLINK("https://klasma.github.io/Logging_2303/artfynd/A 41412-2024 artfynd.xlsx", "A 41412-2024")</f>
        <v/>
      </c>
      <c r="W13">
        <f>HYPERLINK("https://klasma.github.io/Logging_2303/kartor/A 41412-2024 karta.png", "A 41412-2024")</f>
        <v/>
      </c>
      <c r="X13">
        <f>HYPERLINK("https://klasma.github.io/Logging_2303/knärot/A 41412-2024 karta knärot.png", "A 41412-2024")</f>
        <v/>
      </c>
      <c r="Y13">
        <f>HYPERLINK("https://klasma.github.io/Logging_2303/klagomål/A 41412-2024 FSC-klagomål.docx", "A 41412-2024")</f>
        <v/>
      </c>
      <c r="Z13">
        <f>HYPERLINK("https://klasma.github.io/Logging_2303/klagomålsmail/A 41412-2024 FSC-klagomål mail.docx", "A 41412-2024")</f>
        <v/>
      </c>
      <c r="AA13">
        <f>HYPERLINK("https://klasma.github.io/Logging_2303/tillsyn/A 41412-2024 tillsynsbegäran.docx", "A 41412-2024")</f>
        <v/>
      </c>
      <c r="AB13">
        <f>HYPERLINK("https://klasma.github.io/Logging_2303/tillsynsmail/A 41412-2024 tillsynsbegäran mail.docx", "A 41412-2024")</f>
        <v/>
      </c>
      <c r="AC13">
        <f>HYPERLINK("https://klasma.github.io/Logging_2303/fåglar/A 41412-2024 prioriterade fågelarter.docx", "A 41412-2024")</f>
        <v/>
      </c>
    </row>
    <row r="14" ht="15" customHeight="1">
      <c r="A14" t="inlineStr">
        <is>
          <t>A 10625-2024</t>
        </is>
      </c>
      <c r="B14" t="inlineStr">
        <is>
          <t>avverkningsanmälan</t>
        </is>
      </c>
      <c r="C14" t="inlineStr">
        <is>
          <t>Föryngringsavverkning</t>
        </is>
      </c>
      <c r="D14" s="1" t="n">
        <v>45367</v>
      </c>
      <c r="E14" s="1" t="n">
        <v>46220</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s="2" t="inlineStr">
        <is>
          <t>Garnlav
Gräddporing
Knärot
Dropptaggsvamp
Dvärgbägarlav
Kolflarnlav
Lunglav
Mörk kolflarnlav
Nordtagging
Tretåig hackspett
Vedskivlav
Vedticka
Tjäder
Vanlig groda
Fläcknycklar</t>
        </is>
      </c>
      <c r="V14">
        <f>HYPERLINK("https://klasma.github.io/Logging_2303/artfynd/A 10625-2024 artfynd.xlsx", "A 10625-2024")</f>
        <v/>
      </c>
      <c r="W14">
        <f>HYPERLINK("https://klasma.github.io/Logging_2303/kartor/A 10625-2024 karta.png", "A 10625-2024")</f>
        <v/>
      </c>
      <c r="X14">
        <f>HYPERLINK("https://klasma.github.io/Logging_2303/knärot/A 10625-2024 karta knärot.png", "A 10625-2024")</f>
        <v/>
      </c>
      <c r="Y14">
        <f>HYPERLINK("https://klasma.github.io/Logging_2303/klagomål/A 10625-2024 FSC-klagomål.docx", "A 10625-2024")</f>
        <v/>
      </c>
      <c r="Z14">
        <f>HYPERLINK("https://klasma.github.io/Logging_2303/klagomålsmail/A 10625-2024 FSC-klagomål mail.docx", "A 10625-2024")</f>
        <v/>
      </c>
      <c r="AA14">
        <f>HYPERLINK("https://klasma.github.io/Logging_2303/tillsyn/A 10625-2024 tillsynsbegäran.docx", "A 10625-2024")</f>
        <v/>
      </c>
      <c r="AB14">
        <f>HYPERLINK("https://klasma.github.io/Logging_2303/tillsynsmail/A 10625-2024 tillsynsbegäran mail.docx", "A 10625-2024")</f>
        <v/>
      </c>
      <c r="AC14">
        <f>HYPERLINK("https://klasma.github.io/Logging_2303/fåglar/A 10625-2024 prioriterade fågelarter.docx", "A 10625-2024")</f>
        <v/>
      </c>
    </row>
    <row r="15" ht="15" customHeight="1">
      <c r="A15" t="inlineStr">
        <is>
          <t>A 13308-2022</t>
        </is>
      </c>
      <c r="B15" t="inlineStr">
        <is>
          <t>avverkningsanmälan</t>
        </is>
      </c>
      <c r="C15" t="inlineStr">
        <is>
          <t>Föryngringsavverkning</t>
        </is>
      </c>
      <c r="D15" s="1" t="n">
        <v>44644</v>
      </c>
      <c r="E15" s="1" t="n">
        <v>46220</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s="2" t="inlineStr">
        <is>
          <t>Gränsticka
Smalskaftslav
Brunklöver
Harticka
Lunglav
Rosenticka
Vedtrappmossa
Bronshjon
Gulnål
Kransrams
Mörk husmossa
Skogshakmossa
Stuplav
Vedticka</t>
        </is>
      </c>
      <c r="V15">
        <f>HYPERLINK("https://klasma.github.io/Logging_2303/artfynd/A 13308-2022 artfynd.xlsx", "A 13308-2022")</f>
        <v/>
      </c>
      <c r="W15">
        <f>HYPERLINK("https://klasma.github.io/Logging_2303/kartor/A 13308-2022 karta.png", "A 13308-2022")</f>
        <v/>
      </c>
      <c r="Y15">
        <f>HYPERLINK("https://klasma.github.io/Logging_2303/klagomål/A 13308-2022 FSC-klagomål.docx", "A 13308-2022")</f>
        <v/>
      </c>
      <c r="Z15">
        <f>HYPERLINK("https://klasma.github.io/Logging_2303/klagomålsmail/A 13308-2022 FSC-klagomål mail.docx", "A 13308-2022")</f>
        <v/>
      </c>
      <c r="AA15">
        <f>HYPERLINK("https://klasma.github.io/Logging_2303/tillsyn/A 13308-2022 tillsynsbegäran.docx", "A 13308-2022")</f>
        <v/>
      </c>
      <c r="AB15">
        <f>HYPERLINK("https://klasma.github.io/Logging_2303/tillsynsmail/A 13308-2022 tillsynsbegäran mail.docx", "A 13308-2022")</f>
        <v/>
      </c>
    </row>
    <row r="16" ht="15" customHeight="1">
      <c r="A16" t="inlineStr">
        <is>
          <t>A 3634-2024</t>
        </is>
      </c>
      <c r="B16" t="inlineStr">
        <is>
          <t>avverkningsanmälan</t>
        </is>
      </c>
      <c r="C16" t="inlineStr">
        <is>
          <t>Föryngringsavverkning</t>
        </is>
      </c>
      <c r="D16" s="1" t="n">
        <v>45320</v>
      </c>
      <c r="E16" s="1" t="n">
        <v>46220</v>
      </c>
      <c r="F16" t="inlineStr">
        <is>
          <t>JÄMTLANDS LÄN</t>
        </is>
      </c>
      <c r="G16" t="inlineStr">
        <is>
          <t>RAGUNDA</t>
        </is>
      </c>
      <c r="H16" t="inlineStr">
        <is>
          <t>SCA</t>
        </is>
      </c>
      <c r="I16" t="n">
        <v>3.5</v>
      </c>
      <c r="J16" t="n">
        <v>2</v>
      </c>
      <c r="K16" t="n">
        <v>6</v>
      </c>
      <c r="L16" t="n">
        <v>6</v>
      </c>
      <c r="M16" t="n">
        <v>2</v>
      </c>
      <c r="N16" t="n">
        <v>0</v>
      </c>
      <c r="O16" t="n">
        <v>0</v>
      </c>
      <c r="P16" t="n">
        <v>0</v>
      </c>
      <c r="Q16" t="n">
        <v>8</v>
      </c>
      <c r="R16" t="n">
        <v>2</v>
      </c>
      <c r="S16" t="n">
        <v>14</v>
      </c>
      <c r="T16" t="n">
        <v>19</v>
      </c>
      <c r="U16" s="2" t="inlineStr">
        <is>
          <t>Garnlav
Smalfotad taggsvamp
Blanksvart spiklav
Dropptaggsvamp
Kolflarnlav
Lunglav
Mörk kolflarnlav
Rosenticka
Bollvitmossa
Korallrot
Luddlav
Norrlandslav
Spindelblomster
Spädstarr</t>
        </is>
      </c>
      <c r="V16">
        <f>HYPERLINK("https://klasma.github.io/Logging_2303/artfynd/A 3634-2024 artfynd.xlsx", "A 3634-2024")</f>
        <v/>
      </c>
      <c r="W16">
        <f>HYPERLINK("https://klasma.github.io/Logging_2303/kartor/A 3634-2024 karta.png", "A 3634-2024")</f>
        <v/>
      </c>
      <c r="Y16">
        <f>HYPERLINK("https://klasma.github.io/Logging_2303/klagomål/A 3634-2024 FSC-klagomål.docx", "A 3634-2024")</f>
        <v/>
      </c>
      <c r="Z16">
        <f>HYPERLINK("https://klasma.github.io/Logging_2303/klagomålsmail/A 3634-2024 FSC-klagomål mail.docx", "A 3634-2024")</f>
        <v/>
      </c>
      <c r="AA16">
        <f>HYPERLINK("https://klasma.github.io/Logging_2303/tillsyn/A 3634-2024 tillsynsbegäran.docx", "A 3634-2024")</f>
        <v/>
      </c>
      <c r="AB16">
        <f>HYPERLINK("https://klasma.github.io/Logging_2303/tillsynsmail/A 3634-2024 tillsynsbegäran mail.docx", "A 3634-2024")</f>
        <v/>
      </c>
    </row>
    <row r="17" ht="15" customHeight="1">
      <c r="A17" t="inlineStr">
        <is>
          <t>A 32068-2024</t>
        </is>
      </c>
      <c r="B17" t="inlineStr">
        <is>
          <t>avverkningsanmälan</t>
        </is>
      </c>
      <c r="C17" t="inlineStr">
        <is>
          <t>Avverkning för att bevara och utveckla /försöksver</t>
        </is>
      </c>
      <c r="D17" s="1" t="n">
        <v>45510</v>
      </c>
      <c r="E17" s="1" t="n">
        <v>46220</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s="2" t="inlineStr">
        <is>
          <t>Doftticka
Garnlav
Gränsticka
Knärot
Gammelgransskål
Kolflarnlav
Lunglav
Vedflikmossa
Vedtrappmossa
Bårdlav
Korallblylav
Plattlummer
Stor aspticka
Stuplav</t>
        </is>
      </c>
      <c r="V17">
        <f>HYPERLINK("https://klasma.github.io/Logging_2303/artfynd/A 32068-2024 artfynd.xlsx", "A 32068-2024")</f>
        <v/>
      </c>
      <c r="W17">
        <f>HYPERLINK("https://klasma.github.io/Logging_2303/kartor/A 32068-2024 karta.png", "A 32068-2024")</f>
        <v/>
      </c>
      <c r="X17">
        <f>HYPERLINK("https://klasma.github.io/Logging_2303/knärot/A 32068-2024 karta knärot.png", "A 32068-2024")</f>
        <v/>
      </c>
      <c r="Y17">
        <f>HYPERLINK("https://klasma.github.io/Logging_2303/klagomål/A 32068-2024 FSC-klagomål.docx", "A 32068-2024")</f>
        <v/>
      </c>
      <c r="Z17">
        <f>HYPERLINK("https://klasma.github.io/Logging_2303/klagomålsmail/A 32068-2024 FSC-klagomål mail.docx", "A 32068-2024")</f>
        <v/>
      </c>
      <c r="AA17">
        <f>HYPERLINK("https://klasma.github.io/Logging_2303/tillsyn/A 32068-2024 tillsynsbegäran.docx", "A 32068-2024")</f>
        <v/>
      </c>
      <c r="AB17">
        <f>HYPERLINK("https://klasma.github.io/Logging_2303/tillsynsmail/A 32068-2024 tillsynsbegäran mail.docx", "A 32068-2024")</f>
        <v/>
      </c>
    </row>
    <row r="18" ht="15" customHeight="1">
      <c r="A18" t="inlineStr">
        <is>
          <t>A 62948-2021</t>
        </is>
      </c>
      <c r="B18" t="inlineStr">
        <is>
          <t>avverkningsanmälan</t>
        </is>
      </c>
      <c r="C18" t="inlineStr">
        <is>
          <t>Avverkning för att bevara och utveckla /försöksver</t>
        </is>
      </c>
      <c r="D18" s="1" t="n">
        <v>44504</v>
      </c>
      <c r="E18" s="1" t="n">
        <v>46220</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14</v>
      </c>
      <c r="T18" t="n">
        <v>23</v>
      </c>
      <c r="U18" s="2" t="inlineStr">
        <is>
          <t>Garnlav
Knärot
Brunpudrad nållav
Dropptaggsvamp
Lunglav
Ullticka
Vitgrynig nållav
Grönkulla
Guckusko
Gulnål
Kransrams
Luddlav
Tibast
Underviol</t>
        </is>
      </c>
      <c r="V18">
        <f>HYPERLINK("https://klasma.github.io/Logging_2303/artfynd/A 62948-2021 artfynd.xlsx", "A 62948-2021")</f>
        <v/>
      </c>
      <c r="W18">
        <f>HYPERLINK("https://klasma.github.io/Logging_2303/kartor/A 62948-2021 karta.png", "A 62948-2021")</f>
        <v/>
      </c>
      <c r="X18">
        <f>HYPERLINK("https://klasma.github.io/Logging_2303/knärot/A 62948-2021 karta knärot.png", "A 62948-2021")</f>
        <v/>
      </c>
      <c r="Y18">
        <f>HYPERLINK("https://klasma.github.io/Logging_2303/klagomål/A 62948-2021 FSC-klagomål.docx", "A 62948-2021")</f>
        <v/>
      </c>
      <c r="Z18">
        <f>HYPERLINK("https://klasma.github.io/Logging_2303/klagomålsmail/A 62948-2021 FSC-klagomål mail.docx", "A 62948-2021")</f>
        <v/>
      </c>
      <c r="AA18">
        <f>HYPERLINK("https://klasma.github.io/Logging_2303/tillsyn/A 62948-2021 tillsynsbegäran.docx", "A 62948-2021")</f>
        <v/>
      </c>
      <c r="AB18">
        <f>HYPERLINK("https://klasma.github.io/Logging_2303/tillsynsmail/A 62948-2021 tillsynsbegäran mail.docx", "A 62948-2021")</f>
        <v/>
      </c>
    </row>
    <row r="19" ht="15" customHeight="1">
      <c r="A19" t="inlineStr">
        <is>
          <t>A 43107-2023</t>
        </is>
      </c>
      <c r="B19" t="inlineStr">
        <is>
          <t>avverkningsanmälan</t>
        </is>
      </c>
      <c r="C19" t="inlineStr">
        <is>
          <t>Föryngringsavverkning</t>
        </is>
      </c>
      <c r="D19" s="1" t="n">
        <v>45182</v>
      </c>
      <c r="E19" s="1" t="n">
        <v>46220</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s="2" t="inlineStr">
        <is>
          <t>Garnlav
Gräddporing
Blanksvart spiklav
Dropptaggsvamp
Dvärgbägarlav
Kolflarnlav
Kortskaftad ärgspik
Lunglav
Mörk kolflarnlav
Ullticka
Vedskivlav
Vitgrynig nållav
Stuplav
Svavelriska</t>
        </is>
      </c>
      <c r="V19">
        <f>HYPERLINK("https://klasma.github.io/Logging_2303/artfynd/A 43107-2023 artfynd.xlsx", "A 43107-2023")</f>
        <v/>
      </c>
      <c r="W19">
        <f>HYPERLINK("https://klasma.github.io/Logging_2303/kartor/A 43107-2023 karta.png", "A 43107-2023")</f>
        <v/>
      </c>
      <c r="Y19">
        <f>HYPERLINK("https://klasma.github.io/Logging_2303/klagomål/A 43107-2023 FSC-klagomål.docx", "A 43107-2023")</f>
        <v/>
      </c>
      <c r="Z19">
        <f>HYPERLINK("https://klasma.github.io/Logging_2303/klagomålsmail/A 43107-2023 FSC-klagomål mail.docx", "A 43107-2023")</f>
        <v/>
      </c>
      <c r="AA19">
        <f>HYPERLINK("https://klasma.github.io/Logging_2303/tillsyn/A 43107-2023 tillsynsbegäran.docx", "A 43107-2023")</f>
        <v/>
      </c>
      <c r="AB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46220</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s="2" t="inlineStr">
        <is>
          <t>Garnlav
Knärot
Kolflarnlav
Lunglav
Talltagel
Talltita
Tretåig hackspett
Ullticka
Vedtrappmossa
Vitgrynig nållav
Spindelblomster
Stuplav
Fläcknycklar</t>
        </is>
      </c>
      <c r="V20">
        <f>HYPERLINK("https://klasma.github.io/Logging_2303/artfynd/A 32741-2025 artfynd.xlsx", "A 32741-2025")</f>
        <v/>
      </c>
      <c r="W20">
        <f>HYPERLINK("https://klasma.github.io/Logging_2303/kartor/A 32741-2025 karta.png", "A 32741-2025")</f>
        <v/>
      </c>
      <c r="X20">
        <f>HYPERLINK("https://klasma.github.io/Logging_2303/knärot/A 32741-2025 karta knärot.png", "A 32741-2025")</f>
        <v/>
      </c>
      <c r="Y20">
        <f>HYPERLINK("https://klasma.github.io/Logging_2303/klagomål/A 32741-2025 FSC-klagomål.docx", "A 32741-2025")</f>
        <v/>
      </c>
      <c r="Z20">
        <f>HYPERLINK("https://klasma.github.io/Logging_2303/klagomålsmail/A 32741-2025 FSC-klagomål mail.docx", "A 32741-2025")</f>
        <v/>
      </c>
      <c r="AA20">
        <f>HYPERLINK("https://klasma.github.io/Logging_2303/tillsyn/A 32741-2025 tillsynsbegäran.docx", "A 32741-2025")</f>
        <v/>
      </c>
      <c r="AB20">
        <f>HYPERLINK("https://klasma.github.io/Logging_2303/tillsynsmail/A 32741-2025 tillsynsbegäran mail.docx", "A 32741-2025")</f>
        <v/>
      </c>
      <c r="AC20">
        <f>HYPERLINK("https://klasma.github.io/Logging_2303/fåglar/A 32741-2025 prioriterade fågelarter.docx", "A 32741-2025")</f>
        <v/>
      </c>
    </row>
    <row r="21" ht="15" customHeight="1">
      <c r="A21" t="inlineStr">
        <is>
          <t>A 29209-2024</t>
        </is>
      </c>
      <c r="B21" t="inlineStr">
        <is>
          <t>avverkningsanmälan</t>
        </is>
      </c>
      <c r="C21" t="inlineStr">
        <is>
          <t>Föryngringsavverkning</t>
        </is>
      </c>
      <c r="D21" s="1" t="n">
        <v>45482</v>
      </c>
      <c r="E21" s="1" t="n">
        <v>46220</v>
      </c>
      <c r="F21" t="inlineStr">
        <is>
          <t>JÄMTLANDS LÄN</t>
        </is>
      </c>
      <c r="G21" t="inlineStr">
        <is>
          <t>RAGUNDA</t>
        </is>
      </c>
      <c r="I21" t="n">
        <v>8.5</v>
      </c>
      <c r="J21" t="n">
        <v>5</v>
      </c>
      <c r="K21" t="n">
        <v>4</v>
      </c>
      <c r="L21" t="n">
        <v>6</v>
      </c>
      <c r="M21" t="n">
        <v>2</v>
      </c>
      <c r="N21" t="n">
        <v>0</v>
      </c>
      <c r="O21" t="n">
        <v>0</v>
      </c>
      <c r="P21" t="n">
        <v>0</v>
      </c>
      <c r="Q21" t="n">
        <v>8</v>
      </c>
      <c r="R21" t="n">
        <v>2</v>
      </c>
      <c r="S21" t="n">
        <v>13</v>
      </c>
      <c r="T21" t="n">
        <v>31</v>
      </c>
      <c r="U21" s="2" t="inlineStr">
        <is>
          <t>Garnlav
Knärot
Kolflarnlav
Lunglav
Rosenticka
Rynkskinn
Talltita
Ullticka
Bårdlav
Korallblylav
Plattlummer
Spindelblomster
Fläcknycklar</t>
        </is>
      </c>
      <c r="V21">
        <f>HYPERLINK("https://klasma.github.io/Logging_2303/artfynd/A 29209-2024 artfynd.xlsx", "A 29209-2024")</f>
        <v/>
      </c>
      <c r="W21">
        <f>HYPERLINK("https://klasma.github.io/Logging_2303/kartor/A 29209-2024 karta.png", "A 29209-2024")</f>
        <v/>
      </c>
      <c r="X21">
        <f>HYPERLINK("https://klasma.github.io/Logging_2303/knärot/A 29209-2024 karta knärot.png", "A 29209-2024")</f>
        <v/>
      </c>
      <c r="Y21">
        <f>HYPERLINK("https://klasma.github.io/Logging_2303/klagomål/A 29209-2024 FSC-klagomål.docx", "A 29209-2024")</f>
        <v/>
      </c>
      <c r="Z21">
        <f>HYPERLINK("https://klasma.github.io/Logging_2303/klagomålsmail/A 29209-2024 FSC-klagomål mail.docx", "A 29209-2024")</f>
        <v/>
      </c>
      <c r="AA21">
        <f>HYPERLINK("https://klasma.github.io/Logging_2303/tillsyn/A 29209-2024 tillsynsbegäran.docx", "A 29209-2024")</f>
        <v/>
      </c>
      <c r="AB21">
        <f>HYPERLINK("https://klasma.github.io/Logging_2303/tillsynsmail/A 29209-2024 tillsynsbegäran mail.docx", "A 29209-2024")</f>
        <v/>
      </c>
      <c r="AC21">
        <f>HYPERLINK("https://klasma.github.io/Logging_2303/fåglar/A 29209-2024 prioriterade fågelarter.docx", "A 29209-2024")</f>
        <v/>
      </c>
    </row>
    <row r="22" ht="15" customHeight="1">
      <c r="A22" t="inlineStr">
        <is>
          <t>A 19727-2025</t>
        </is>
      </c>
      <c r="B22" t="inlineStr">
        <is>
          <t>avverkningsanmälan</t>
        </is>
      </c>
      <c r="C22" t="inlineStr">
        <is>
          <t>Föryngringsavverkning</t>
        </is>
      </c>
      <c r="D22" s="1" t="n">
        <v>45771</v>
      </c>
      <c r="E22" s="1" t="n">
        <v>46220</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HYPERLINK("https://klasma.github.io/Logging_2303/knärot/A 19727-2025 karta knärot.png", "A 19727-2025")</f>
        <v/>
      </c>
      <c r="Y22">
        <f>HYPERLINK("https://klasma.github.io/Logging_2303/klagomål/A 19727-2025 FSC-klagomål.docx", "A 19727-2025")</f>
        <v/>
      </c>
      <c r="Z22">
        <f>HYPERLINK("https://klasma.github.io/Logging_2303/klagomålsmail/A 19727-2025 FSC-klagomål mail.docx", "A 19727-2025")</f>
        <v/>
      </c>
      <c r="AA22">
        <f>HYPERLINK("https://klasma.github.io/Logging_2303/tillsyn/A 19727-2025 tillsynsbegäran.docx", "A 19727-2025")</f>
        <v/>
      </c>
      <c r="AB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46220</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HYPERLINK("https://klasma.github.io/Logging_2303/knärot/A 43533-2025 karta knärot.png", "A 43533-2025")</f>
        <v/>
      </c>
      <c r="Y23">
        <f>HYPERLINK("https://klasma.github.io/Logging_2303/klagomål/A 43533-2025 FSC-klagomål.docx", "A 43533-2025")</f>
        <v/>
      </c>
      <c r="Z23">
        <f>HYPERLINK("https://klasma.github.io/Logging_2303/klagomålsmail/A 43533-2025 FSC-klagomål mail.docx", "A 43533-2025")</f>
        <v/>
      </c>
      <c r="AA23">
        <f>HYPERLINK("https://klasma.github.io/Logging_2303/tillsyn/A 43533-2025 tillsynsbegäran.docx", "A 43533-2025")</f>
        <v/>
      </c>
      <c r="AB23">
        <f>HYPERLINK("https://klasma.github.io/Logging_2303/tillsynsmail/A 43533-2025 tillsynsbegäran mail.docx", "A 43533-2025")</f>
        <v/>
      </c>
      <c r="AC23">
        <f>HYPERLINK("https://klasma.github.io/Logging_2303/fåglar/A 43533-2025 prioriterade fågelarter.docx", "A 43533-2025")</f>
        <v/>
      </c>
    </row>
    <row r="24" ht="15" customHeight="1">
      <c r="A24" t="inlineStr">
        <is>
          <t>A 20574-2025</t>
        </is>
      </c>
      <c r="B24" t="inlineStr">
        <is>
          <t>avverkningsanmälan</t>
        </is>
      </c>
      <c r="C24" t="inlineStr">
        <is>
          <t>Föryngringsavverkning</t>
        </is>
      </c>
      <c r="D24" s="1" t="n">
        <v>45775</v>
      </c>
      <c r="E24" s="1" t="n">
        <v>46220</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s="2" t="inlineStr">
        <is>
          <t>Knärot
Lunglav
Rosenticka
Norrlandslav
Spindelblomster
Tibast
Trådticka
Tvåblad
Ekorrbär
Kärrfibbla
Svartvit flugsnappare
Brudsporre</t>
        </is>
      </c>
      <c r="V24">
        <f>HYPERLINK("https://klasma.github.io/Logging_2303/artfynd/A 20574-2025 artfynd.xlsx", "A 20574-2025")</f>
        <v/>
      </c>
      <c r="W24">
        <f>HYPERLINK("https://klasma.github.io/Logging_2303/kartor/A 20574-2025 karta.png", "A 20574-2025")</f>
        <v/>
      </c>
      <c r="X24">
        <f>HYPERLINK("https://klasma.github.io/Logging_2303/knärot/A 20574-2025 karta knärot.png", "A 20574-2025")</f>
        <v/>
      </c>
      <c r="Y24">
        <f>HYPERLINK("https://klasma.github.io/Logging_2303/klagomål/A 20574-2025 FSC-klagomål.docx", "A 20574-2025")</f>
        <v/>
      </c>
      <c r="Z24">
        <f>HYPERLINK("https://klasma.github.io/Logging_2303/klagomålsmail/A 20574-2025 FSC-klagomål mail.docx", "A 20574-2025")</f>
        <v/>
      </c>
      <c r="AA24">
        <f>HYPERLINK("https://klasma.github.io/Logging_2303/tillsyn/A 20574-2025 tillsynsbegäran.docx", "A 20574-2025")</f>
        <v/>
      </c>
      <c r="AB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46220</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s="2" t="inlineStr">
        <is>
          <t>Fjällfotad musseron
Grynig filtlav
Lunglav
Skrovellav
Tretåig hackspett
Ullticka
Vedskivlav
Vitgrynig nållav
Bårdlav
Strimspindling
Stuplav
Svavelriska</t>
        </is>
      </c>
      <c r="V25">
        <f>HYPERLINK("https://klasma.github.io/Logging_2303/artfynd/A 33822-2023 artfynd.xlsx", "A 33822-2023")</f>
        <v/>
      </c>
      <c r="W25">
        <f>HYPERLINK("https://klasma.github.io/Logging_2303/kartor/A 33822-2023 karta.png", "A 33822-2023")</f>
        <v/>
      </c>
      <c r="Y25">
        <f>HYPERLINK("https://klasma.github.io/Logging_2303/klagomål/A 33822-2023 FSC-klagomål.docx", "A 33822-2023")</f>
        <v/>
      </c>
      <c r="Z25">
        <f>HYPERLINK("https://klasma.github.io/Logging_2303/klagomålsmail/A 33822-2023 FSC-klagomål mail.docx", "A 33822-2023")</f>
        <v/>
      </c>
      <c r="AA25">
        <f>HYPERLINK("https://klasma.github.io/Logging_2303/tillsyn/A 33822-2023 tillsynsbegäran.docx", "A 33822-2023")</f>
        <v/>
      </c>
      <c r="AB25">
        <f>HYPERLINK("https://klasma.github.io/Logging_2303/tillsynsmail/A 33822-2023 tillsynsbegäran mail.docx", "A 33822-2023")</f>
        <v/>
      </c>
      <c r="AC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46220</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s="2" t="inlineStr">
        <is>
          <t>Garnlav
Knärot
Lunglav
Rödvingetrast
Skrovellav
Tretåig hackspett
Bårdlav
Stuplav
Svart trolldruva
Blåsippa
Spillkråka
Revlummer</t>
        </is>
      </c>
      <c r="V26">
        <f>HYPERLINK("https://klasma.github.io/Logging_2303/artfynd/A 25632-2025 artfynd.xlsx", "A 25632-2025")</f>
        <v/>
      </c>
      <c r="W26">
        <f>HYPERLINK("https://klasma.github.io/Logging_2303/kartor/A 25632-2025 karta.png", "A 25632-2025")</f>
        <v/>
      </c>
      <c r="X26">
        <f>HYPERLINK("https://klasma.github.io/Logging_2303/knärot/A 25632-2025 karta knärot.png", "A 25632-2025")</f>
        <v/>
      </c>
      <c r="Y26">
        <f>HYPERLINK("https://klasma.github.io/Logging_2303/klagomål/A 25632-2025 FSC-klagomål.docx", "A 25632-2025")</f>
        <v/>
      </c>
      <c r="Z26">
        <f>HYPERLINK("https://klasma.github.io/Logging_2303/klagomålsmail/A 25632-2025 FSC-klagomål mail.docx", "A 25632-2025")</f>
        <v/>
      </c>
      <c r="AA26">
        <f>HYPERLINK("https://klasma.github.io/Logging_2303/tillsyn/A 25632-2025 tillsynsbegäran.docx", "A 25632-2025")</f>
        <v/>
      </c>
      <c r="AB26">
        <f>HYPERLINK("https://klasma.github.io/Logging_2303/tillsynsmail/A 25632-2025 tillsynsbegäran mail.docx", "A 25632-2025")</f>
        <v/>
      </c>
      <c r="AC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46220</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s="2" t="inlineStr">
        <is>
          <t>Garnlav
Skrovlig taggsvamp
Tallgråticka
Blanksvart spiklav
Dropptaggsvamp
Dvärgbägarlav
Lunglav
Motaggsvamp
Skarp dropptaggsvamp
Tretåig hackspett
Luddlav
Stuplav</t>
        </is>
      </c>
      <c r="V27">
        <f>HYPERLINK("https://klasma.github.io/Logging_2303/artfynd/A 32475-2023 artfynd.xlsx", "A 32475-2023")</f>
        <v/>
      </c>
      <c r="W27">
        <f>HYPERLINK("https://klasma.github.io/Logging_2303/kartor/A 32475-2023 karta.png", "A 32475-2023")</f>
        <v/>
      </c>
      <c r="Y27">
        <f>HYPERLINK("https://klasma.github.io/Logging_2303/klagomål/A 32475-2023 FSC-klagomål.docx", "A 32475-2023")</f>
        <v/>
      </c>
      <c r="Z27">
        <f>HYPERLINK("https://klasma.github.io/Logging_2303/klagomålsmail/A 32475-2023 FSC-klagomål mail.docx", "A 32475-2023")</f>
        <v/>
      </c>
      <c r="AA27">
        <f>HYPERLINK("https://klasma.github.io/Logging_2303/tillsyn/A 32475-2023 tillsynsbegäran.docx", "A 32475-2023")</f>
        <v/>
      </c>
      <c r="AB27">
        <f>HYPERLINK("https://klasma.github.io/Logging_2303/tillsynsmail/A 32475-2023 tillsynsbegäran mail.docx", "A 32475-2023")</f>
        <v/>
      </c>
      <c r="AC27">
        <f>HYPERLINK("https://klasma.github.io/Logging_2303/fåglar/A 32475-2023 prioriterade fågelarter.docx", "A 32475-2023")</f>
        <v/>
      </c>
    </row>
    <row r="28" ht="15" customHeight="1">
      <c r="A28" t="inlineStr">
        <is>
          <t>A 41406-2023</t>
        </is>
      </c>
      <c r="B28" t="inlineStr">
        <is>
          <t>avverkningsanmälan</t>
        </is>
      </c>
      <c r="C28" t="inlineStr">
        <is>
          <t>Avverkning för att bevara och utveckla /försöksver</t>
        </is>
      </c>
      <c r="D28" s="1" t="n">
        <v>45174</v>
      </c>
      <c r="E28" s="1" t="n">
        <v>46220</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s="2" t="inlineStr">
        <is>
          <t>Dropptaggsvamp
Dvärgbägarlav
Grönhjon
Lunglav
Nordtagging
Rosa skärelav
Rosenticka
Ullticka
Vitgrynig nållav
Gulnål
Kornig nållav</t>
        </is>
      </c>
      <c r="V28">
        <f>HYPERLINK("https://klasma.github.io/Logging_2303/artfynd/A 41406-2023 artfynd.xlsx", "A 41406-2023")</f>
        <v/>
      </c>
      <c r="W28">
        <f>HYPERLINK("https://klasma.github.io/Logging_2303/kartor/A 41406-2023 karta.png", "A 41406-2023")</f>
        <v/>
      </c>
      <c r="Y28">
        <f>HYPERLINK("https://klasma.github.io/Logging_2303/klagomål/A 41406-2023 FSC-klagomål.docx", "A 41406-2023")</f>
        <v/>
      </c>
      <c r="Z28">
        <f>HYPERLINK("https://klasma.github.io/Logging_2303/klagomålsmail/A 41406-2023 FSC-klagomål mail.docx", "A 41406-2023")</f>
        <v/>
      </c>
      <c r="AA28">
        <f>HYPERLINK("https://klasma.github.io/Logging_2303/tillsyn/A 41406-2023 tillsynsbegäran.docx", "A 41406-2023")</f>
        <v/>
      </c>
      <c r="AB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46220</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HYPERLINK("https://klasma.github.io/Logging_2303/knärot/A 9347-2024 karta knärot.png", "A 9347-2024")</f>
        <v/>
      </c>
      <c r="Y29">
        <f>HYPERLINK("https://klasma.github.io/Logging_2303/klagomål/A 9347-2024 FSC-klagomål.docx", "A 9347-2024")</f>
        <v/>
      </c>
      <c r="Z29">
        <f>HYPERLINK("https://klasma.github.io/Logging_2303/klagomålsmail/A 9347-2024 FSC-klagomål mail.docx", "A 9347-2024")</f>
        <v/>
      </c>
      <c r="AA29">
        <f>HYPERLINK("https://klasma.github.io/Logging_2303/tillsyn/A 9347-2024 tillsynsbegäran.docx", "A 9347-2024")</f>
        <v/>
      </c>
      <c r="AB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46220</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s="2" t="inlineStr">
        <is>
          <t>Garnlav
Knärot
Dropptaggsvamp
Lunglav
Mörk kolflarnlav
Vedskivlav
Vedtrappmossa
Vitgrynig nållav
Barkkornlav
Spindelblomster
Stuplav</t>
        </is>
      </c>
      <c r="V30">
        <f>HYPERLINK("https://klasma.github.io/Logging_2303/artfynd/A 13483-2022 artfynd.xlsx", "A 13483-2022")</f>
        <v/>
      </c>
      <c r="W30">
        <f>HYPERLINK("https://klasma.github.io/Logging_2303/kartor/A 13483-2022 karta.png", "A 13483-2022")</f>
        <v/>
      </c>
      <c r="X30">
        <f>HYPERLINK("https://klasma.github.io/Logging_2303/knärot/A 13483-2022 karta knärot.png", "A 13483-2022")</f>
        <v/>
      </c>
      <c r="Y30">
        <f>HYPERLINK("https://klasma.github.io/Logging_2303/klagomål/A 13483-2022 FSC-klagomål.docx", "A 13483-2022")</f>
        <v/>
      </c>
      <c r="Z30">
        <f>HYPERLINK("https://klasma.github.io/Logging_2303/klagomålsmail/A 13483-2022 FSC-klagomål mail.docx", "A 13483-2022")</f>
        <v/>
      </c>
      <c r="AA30">
        <f>HYPERLINK("https://klasma.github.io/Logging_2303/tillsyn/A 13483-2022 tillsynsbegäran.docx", "A 13483-2022")</f>
        <v/>
      </c>
      <c r="AB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46220</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46220</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s="2" t="inlineStr">
        <is>
          <t>Garnlav
Lunglav
Korallrot
Källmossa
Luddlav
Stuplav
Vedticka
Ögonpyrola
Spillkråka
Revlummer</t>
        </is>
      </c>
      <c r="V32">
        <f>HYPERLINK("https://klasma.github.io/Logging_2303/artfynd/A 55894-2022 artfynd.xlsx", "A 55894-2022")</f>
        <v/>
      </c>
      <c r="W32">
        <f>HYPERLINK("https://klasma.github.io/Logging_2303/kartor/A 55894-2022 karta.png", "A 55894-2022")</f>
        <v/>
      </c>
      <c r="Y32">
        <f>HYPERLINK("https://klasma.github.io/Logging_2303/klagomål/A 55894-2022 FSC-klagomål.docx", "A 55894-2022")</f>
        <v/>
      </c>
      <c r="Z32">
        <f>HYPERLINK("https://klasma.github.io/Logging_2303/klagomålsmail/A 55894-2022 FSC-klagomål mail.docx", "A 55894-2022")</f>
        <v/>
      </c>
      <c r="AA32">
        <f>HYPERLINK("https://klasma.github.io/Logging_2303/tillsyn/A 55894-2022 tillsynsbegäran.docx", "A 55894-2022")</f>
        <v/>
      </c>
      <c r="AB32">
        <f>HYPERLINK("https://klasma.github.io/Logging_2303/tillsynsmail/A 55894-2022 tillsynsbegäran mail.docx", "A 55894-2022")</f>
        <v/>
      </c>
      <c r="AC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46220</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s="2" t="inlineStr">
        <is>
          <t>Knärot
Smalskaftslav
Rosenticka
Tretåig hackspett
Ullticka
Vitgrynig nållav
Grönkulla
Gulnål
Svavelriska
Vedticka</t>
        </is>
      </c>
      <c r="V33">
        <f>HYPERLINK("https://klasma.github.io/Logging_2303/artfynd/A 31839-2022 artfynd.xlsx", "A 31839-2022")</f>
        <v/>
      </c>
      <c r="W33">
        <f>HYPERLINK("https://klasma.github.io/Logging_2303/kartor/A 31839-2022 karta.png", "A 31839-2022")</f>
        <v/>
      </c>
      <c r="X33">
        <f>HYPERLINK("https://klasma.github.io/Logging_2303/knärot/A 31839-2022 karta knärot.png", "A 31839-2022")</f>
        <v/>
      </c>
      <c r="Y33">
        <f>HYPERLINK("https://klasma.github.io/Logging_2303/klagomål/A 31839-2022 FSC-klagomål.docx", "A 31839-2022")</f>
        <v/>
      </c>
      <c r="Z33">
        <f>HYPERLINK("https://klasma.github.io/Logging_2303/klagomålsmail/A 31839-2022 FSC-klagomål mail.docx", "A 31839-2022")</f>
        <v/>
      </c>
      <c r="AA33">
        <f>HYPERLINK("https://klasma.github.io/Logging_2303/tillsyn/A 31839-2022 tillsynsbegäran.docx", "A 31839-2022")</f>
        <v/>
      </c>
      <c r="AB33">
        <f>HYPERLINK("https://klasma.github.io/Logging_2303/tillsynsmail/A 31839-2022 tillsynsbegäran mail.docx", "A 31839-2022")</f>
        <v/>
      </c>
      <c r="AC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46220</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46220</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46220</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46220</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s="2" t="inlineStr">
        <is>
          <t>Knärot
Lunglav
Guckusko
Kransrams
Norrlandslav
Tvåblad
Ögonpyrola
Fläcknycklar
Nattviol</t>
        </is>
      </c>
      <c r="V37">
        <f>HYPERLINK("https://klasma.github.io/Logging_2303/artfynd/A 20088-2023 artfynd.xlsx", "A 20088-2023")</f>
        <v/>
      </c>
      <c r="W37">
        <f>HYPERLINK("https://klasma.github.io/Logging_2303/kartor/A 20088-2023 karta.png", "A 20088-2023")</f>
        <v/>
      </c>
      <c r="X37">
        <f>HYPERLINK("https://klasma.github.io/Logging_2303/knärot/A 20088-2023 karta knärot.png", "A 20088-2023")</f>
        <v/>
      </c>
      <c r="Y37">
        <f>HYPERLINK("https://klasma.github.io/Logging_2303/klagomål/A 20088-2023 FSC-klagomål.docx", "A 20088-2023")</f>
        <v/>
      </c>
      <c r="Z37">
        <f>HYPERLINK("https://klasma.github.io/Logging_2303/klagomålsmail/A 20088-2023 FSC-klagomål mail.docx", "A 20088-2023")</f>
        <v/>
      </c>
      <c r="AA37">
        <f>HYPERLINK("https://klasma.github.io/Logging_2303/tillsyn/A 20088-2023 tillsynsbegäran.docx", "A 20088-2023")</f>
        <v/>
      </c>
      <c r="AB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46220</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24735-2025</t>
        </is>
      </c>
      <c r="B39" t="inlineStr">
        <is>
          <t>avverkningsanmälan</t>
        </is>
      </c>
      <c r="C39" t="inlineStr">
        <is>
          <t>Föryngringsavverkning</t>
        </is>
      </c>
      <c r="D39" s="1" t="n">
        <v>45799</v>
      </c>
      <c r="E39" s="1" t="n">
        <v>46220</v>
      </c>
      <c r="F39" t="inlineStr">
        <is>
          <t>JÄMTLANDS LÄN</t>
        </is>
      </c>
      <c r="G39" t="inlineStr">
        <is>
          <t>RAGUNDA</t>
        </is>
      </c>
      <c r="H39" t="inlineStr">
        <is>
          <t>SCA</t>
        </is>
      </c>
      <c r="I39" t="n">
        <v>7.1</v>
      </c>
      <c r="J39" t="n">
        <v>1</v>
      </c>
      <c r="K39" t="n">
        <v>4</v>
      </c>
      <c r="L39" t="n">
        <v>4</v>
      </c>
      <c r="M39" t="n">
        <v>1</v>
      </c>
      <c r="N39" t="n">
        <v>0</v>
      </c>
      <c r="O39" t="n">
        <v>0</v>
      </c>
      <c r="P39" t="n">
        <v>0</v>
      </c>
      <c r="Q39" t="n">
        <v>5</v>
      </c>
      <c r="R39" t="n">
        <v>1</v>
      </c>
      <c r="S39" t="n">
        <v>9</v>
      </c>
      <c r="T39" t="n">
        <v>24</v>
      </c>
      <c r="U39" s="2" t="inlineStr">
        <is>
          <t>Garnlav
Lunglav
Mörk kolflarnlav
Tretåig hackspett
Ullticka
Bollvitmossa
Norrlandslav
Skinnlav
Stuplav</t>
        </is>
      </c>
      <c r="V39">
        <f>HYPERLINK("https://klasma.github.io/Logging_2303/artfynd/A 24735-2025 artfynd.xlsx", "A 24735-2025")</f>
        <v/>
      </c>
      <c r="W39">
        <f>HYPERLINK("https://klasma.github.io/Logging_2303/kartor/A 24735-2025 karta.png", "A 24735-2025")</f>
        <v/>
      </c>
      <c r="Y39">
        <f>HYPERLINK("https://klasma.github.io/Logging_2303/klagomål/A 24735-2025 FSC-klagomål.docx", "A 24735-2025")</f>
        <v/>
      </c>
      <c r="Z39">
        <f>HYPERLINK("https://klasma.github.io/Logging_2303/klagomålsmail/A 24735-2025 FSC-klagomål mail.docx", "A 24735-2025")</f>
        <v/>
      </c>
      <c r="AA39">
        <f>HYPERLINK("https://klasma.github.io/Logging_2303/tillsyn/A 24735-2025 tillsynsbegäran.docx", "A 24735-2025")</f>
        <v/>
      </c>
      <c r="AB39">
        <f>HYPERLINK("https://klasma.github.io/Logging_2303/tillsynsmail/A 24735-2025 tillsynsbegäran mail.docx", "A 24735-2025")</f>
        <v/>
      </c>
      <c r="AC39">
        <f>HYPERLINK("https://klasma.github.io/Logging_2303/fåglar/A 24735-2025 prioriterade fågelarter.docx", "A 24735-2025")</f>
        <v/>
      </c>
    </row>
    <row r="40" ht="15" customHeight="1">
      <c r="A40" t="inlineStr">
        <is>
          <t>A 30335-2025</t>
        </is>
      </c>
      <c r="B40" t="inlineStr">
        <is>
          <t>avverkningsanmälan</t>
        </is>
      </c>
      <c r="C40" t="inlineStr">
        <is>
          <t>Föryngringsavverkning</t>
        </is>
      </c>
      <c r="D40" s="1" t="n">
        <v>45827</v>
      </c>
      <c r="E40" s="1" t="n">
        <v>46220</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s="2" t="inlineStr">
        <is>
          <t>Garnlav
Knärot
Harticka
Lunglav
Rosenticka
Rynkskinn
Vedskivlav
Korallrot
Ögonpyrola</t>
        </is>
      </c>
      <c r="V40">
        <f>HYPERLINK("https://klasma.github.io/Logging_2303/artfynd/A 30335-2025 artfynd.xlsx", "A 30335-2025")</f>
        <v/>
      </c>
      <c r="W40">
        <f>HYPERLINK("https://klasma.github.io/Logging_2303/kartor/A 30335-2025 karta.png", "A 30335-2025")</f>
        <v/>
      </c>
      <c r="X40">
        <f>HYPERLINK("https://klasma.github.io/Logging_2303/knärot/A 30335-2025 karta knärot.png", "A 30335-2025")</f>
        <v/>
      </c>
      <c r="Y40">
        <f>HYPERLINK("https://klasma.github.io/Logging_2303/klagomål/A 30335-2025 FSC-klagomål.docx", "A 30335-2025")</f>
        <v/>
      </c>
      <c r="Z40">
        <f>HYPERLINK("https://klasma.github.io/Logging_2303/klagomålsmail/A 30335-2025 FSC-klagomål mail.docx", "A 30335-2025")</f>
        <v/>
      </c>
      <c r="AA40">
        <f>HYPERLINK("https://klasma.github.io/Logging_2303/tillsyn/A 30335-2025 tillsynsbegäran.docx", "A 30335-2025")</f>
        <v/>
      </c>
      <c r="AB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46220</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s="2" t="inlineStr">
        <is>
          <t>Knärot
Lunglav
Tallticka
Tretåig hackspett
Kamjordstjärna
Järpe
Spillkråka
Tjäder
Nattviol</t>
        </is>
      </c>
      <c r="V41">
        <f>HYPERLINK("https://klasma.github.io/Logging_2303/artfynd/A 30876-2025 artfynd.xlsx", "A 30876-2025")</f>
        <v/>
      </c>
      <c r="W41">
        <f>HYPERLINK("https://klasma.github.io/Logging_2303/kartor/A 30876-2025 karta.png", "A 30876-2025")</f>
        <v/>
      </c>
      <c r="X41">
        <f>HYPERLINK("https://klasma.github.io/Logging_2303/knärot/A 30876-2025 karta knärot.png", "A 30876-2025")</f>
        <v/>
      </c>
      <c r="Y41">
        <f>HYPERLINK("https://klasma.github.io/Logging_2303/klagomål/A 30876-2025 FSC-klagomål.docx", "A 30876-2025")</f>
        <v/>
      </c>
      <c r="Z41">
        <f>HYPERLINK("https://klasma.github.io/Logging_2303/klagomålsmail/A 30876-2025 FSC-klagomål mail.docx", "A 30876-2025")</f>
        <v/>
      </c>
      <c r="AA41">
        <f>HYPERLINK("https://klasma.github.io/Logging_2303/tillsyn/A 30876-2025 tillsynsbegäran.docx", "A 30876-2025")</f>
        <v/>
      </c>
      <c r="AB41">
        <f>HYPERLINK("https://klasma.github.io/Logging_2303/tillsynsmail/A 30876-2025 tillsynsbegäran mail.docx", "A 30876-2025")</f>
        <v/>
      </c>
      <c r="AC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46220</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s="2" t="inlineStr">
        <is>
          <t>Garnlav
Lunglav
Skrovellav
Tretåig hackspett
Ullticka
Skinnlav
Spindelblomster
Stuplav
Nattviol</t>
        </is>
      </c>
      <c r="V42">
        <f>HYPERLINK("https://klasma.github.io/Logging_2303/artfynd/A 19399-2025 artfynd.xlsx", "A 19399-2025")</f>
        <v/>
      </c>
      <c r="W42">
        <f>HYPERLINK("https://klasma.github.io/Logging_2303/kartor/A 19399-2025 karta.png", "A 19399-2025")</f>
        <v/>
      </c>
      <c r="Y42">
        <f>HYPERLINK("https://klasma.github.io/Logging_2303/klagomål/A 19399-2025 FSC-klagomål.docx", "A 19399-2025")</f>
        <v/>
      </c>
      <c r="Z42">
        <f>HYPERLINK("https://klasma.github.io/Logging_2303/klagomålsmail/A 19399-2025 FSC-klagomål mail.docx", "A 19399-2025")</f>
        <v/>
      </c>
      <c r="AA42">
        <f>HYPERLINK("https://klasma.github.io/Logging_2303/tillsyn/A 19399-2025 tillsynsbegäran.docx", "A 19399-2025")</f>
        <v/>
      </c>
      <c r="AB42">
        <f>HYPERLINK("https://klasma.github.io/Logging_2303/tillsynsmail/A 19399-2025 tillsynsbegäran mail.docx", "A 19399-2025")</f>
        <v/>
      </c>
      <c r="AC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46220</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s="2" t="inlineStr">
        <is>
          <t>Gammelgransskål
Harticka
Kattfotslav
Lunglav
Rosenticka
Ullticka
Vitgrynig nållav
Barkkornlav
Korallblylav</t>
        </is>
      </c>
      <c r="V43">
        <f>HYPERLINK("https://klasma.github.io/Logging_2303/artfynd/A 30053-2024 artfynd.xlsx", "A 30053-2024")</f>
        <v/>
      </c>
      <c r="W43">
        <f>HYPERLINK("https://klasma.github.io/Logging_2303/kartor/A 30053-2024 karta.png", "A 30053-2024")</f>
        <v/>
      </c>
      <c r="Y43">
        <f>HYPERLINK("https://klasma.github.io/Logging_2303/klagomål/A 30053-2024 FSC-klagomål.docx", "A 30053-2024")</f>
        <v/>
      </c>
      <c r="Z43">
        <f>HYPERLINK("https://klasma.github.io/Logging_2303/klagomålsmail/A 30053-2024 FSC-klagomål mail.docx", "A 30053-2024")</f>
        <v/>
      </c>
      <c r="AA43">
        <f>HYPERLINK("https://klasma.github.io/Logging_2303/tillsyn/A 30053-2024 tillsynsbegäran.docx", "A 30053-2024")</f>
        <v/>
      </c>
      <c r="AB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46220</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s="2" t="inlineStr">
        <is>
          <t>Garnlav
Harticka
Lunglav
Talltita
Tretåig hackspett
Grönkulla
Spindelblomster
Tvåblad
Spillkråka</t>
        </is>
      </c>
      <c r="V44">
        <f>HYPERLINK("https://klasma.github.io/Logging_2303/artfynd/A 4591-2024 artfynd.xlsx", "A 4591-2024")</f>
        <v/>
      </c>
      <c r="W44">
        <f>HYPERLINK("https://klasma.github.io/Logging_2303/kartor/A 4591-2024 karta.png", "A 4591-2024")</f>
        <v/>
      </c>
      <c r="Y44">
        <f>HYPERLINK("https://klasma.github.io/Logging_2303/klagomål/A 4591-2024 FSC-klagomål.docx", "A 4591-2024")</f>
        <v/>
      </c>
      <c r="Z44">
        <f>HYPERLINK("https://klasma.github.io/Logging_2303/klagomålsmail/A 4591-2024 FSC-klagomål mail.docx", "A 4591-2024")</f>
        <v/>
      </c>
      <c r="AA44">
        <f>HYPERLINK("https://klasma.github.io/Logging_2303/tillsyn/A 4591-2024 tillsynsbegäran.docx", "A 4591-2024")</f>
        <v/>
      </c>
      <c r="AB44">
        <f>HYPERLINK("https://klasma.github.io/Logging_2303/tillsynsmail/A 4591-2024 tillsynsbegäran mail.docx", "A 4591-2024")</f>
        <v/>
      </c>
      <c r="AC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46220</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s="2" t="inlineStr">
        <is>
          <t>Knärot
Lunglav
Skrovellav
Vedtrappmossa
Vitgrynig nållav
Äggvaxskivling
Bårdlav
Stuplav
Nattviol</t>
        </is>
      </c>
      <c r="V45">
        <f>HYPERLINK("https://klasma.github.io/Logging_2303/artfynd/A 11641-2026 artfynd.xlsx", "A 11641-2026")</f>
        <v/>
      </c>
      <c r="W45">
        <f>HYPERLINK("https://klasma.github.io/Logging_2303/kartor/A 11641-2026 karta.png", "A 11641-2026")</f>
        <v/>
      </c>
      <c r="X45">
        <f>HYPERLINK("https://klasma.github.io/Logging_2303/knärot/A 11641-2026 karta knärot.png", "A 11641-2026")</f>
        <v/>
      </c>
      <c r="Y45">
        <f>HYPERLINK("https://klasma.github.io/Logging_2303/klagomål/A 11641-2026 FSC-klagomål.docx", "A 11641-2026")</f>
        <v/>
      </c>
      <c r="Z45">
        <f>HYPERLINK("https://klasma.github.io/Logging_2303/klagomålsmail/A 11641-2026 FSC-klagomål mail.docx", "A 11641-2026")</f>
        <v/>
      </c>
      <c r="AA45">
        <f>HYPERLINK("https://klasma.github.io/Logging_2303/tillsyn/A 11641-2026 tillsynsbegäran.docx", "A 11641-2026")</f>
        <v/>
      </c>
      <c r="AB45">
        <f>HYPERLINK("https://klasma.github.io/Logging_2303/tillsynsmail/A 11641-2026 tillsynsbegäran mail.docx", "A 11641-2026")</f>
        <v/>
      </c>
    </row>
    <row r="46" ht="15" customHeight="1">
      <c r="A46" t="inlineStr">
        <is>
          <t>A 42393-2025</t>
        </is>
      </c>
      <c r="B46" t="inlineStr">
        <is>
          <t>avverkningsanmälan</t>
        </is>
      </c>
      <c r="C46" t="inlineStr">
        <is>
          <t>Föryngringsavverkning</t>
        </is>
      </c>
      <c r="D46" s="1" t="n">
        <v>45905</v>
      </c>
      <c r="E46" s="1" t="n">
        <v>46220</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s="2" t="inlineStr">
        <is>
          <t>Doftticka
Garnlav
Knärot
Lavskrika
Lunglav
Tallticka
Tretåig hackspett
Blåsippa
Fläcknycklar</t>
        </is>
      </c>
      <c r="V46">
        <f>HYPERLINK("https://klasma.github.io/Logging_2303/artfynd/A 42393-2025 artfynd.xlsx", "A 42393-2025")</f>
        <v/>
      </c>
      <c r="W46">
        <f>HYPERLINK("https://klasma.github.io/Logging_2303/kartor/A 42393-2025 karta.png", "A 42393-2025")</f>
        <v/>
      </c>
      <c r="X46">
        <f>HYPERLINK("https://klasma.github.io/Logging_2303/knärot/A 42393-2025 karta knärot.png", "A 42393-2025")</f>
        <v/>
      </c>
      <c r="Y46">
        <f>HYPERLINK("https://klasma.github.io/Logging_2303/klagomål/A 42393-2025 FSC-klagomål.docx", "A 42393-2025")</f>
        <v/>
      </c>
      <c r="Z46">
        <f>HYPERLINK("https://klasma.github.io/Logging_2303/klagomålsmail/A 42393-2025 FSC-klagomål mail.docx", "A 42393-2025")</f>
        <v/>
      </c>
      <c r="AA46">
        <f>HYPERLINK("https://klasma.github.io/Logging_2303/tillsyn/A 42393-2025 tillsynsbegäran.docx", "A 42393-2025")</f>
        <v/>
      </c>
      <c r="AB46">
        <f>HYPERLINK("https://klasma.github.io/Logging_2303/tillsynsmail/A 42393-2025 tillsynsbegäran mail.docx", "A 42393-2025")</f>
        <v/>
      </c>
      <c r="AC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46220</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s="2" t="inlineStr">
        <is>
          <t>Knärot
Kopparspindling
Dropptaggsvamp
Kolflarnlav
Lunglav
Dvärgtufs
Korallblylav
Skinnlav
Stuplav</t>
        </is>
      </c>
      <c r="V47">
        <f>HYPERLINK("https://klasma.github.io/Logging_2303/artfynd/A 4146-2025 artfynd.xlsx", "A 4146-2025")</f>
        <v/>
      </c>
      <c r="W47">
        <f>HYPERLINK("https://klasma.github.io/Logging_2303/kartor/A 4146-2025 karta.png", "A 4146-2025")</f>
        <v/>
      </c>
      <c r="X47">
        <f>HYPERLINK("https://klasma.github.io/Logging_2303/knärot/A 4146-2025 karta knärot.png", "A 4146-2025")</f>
        <v/>
      </c>
      <c r="Y47">
        <f>HYPERLINK("https://klasma.github.io/Logging_2303/klagomål/A 4146-2025 FSC-klagomål.docx", "A 4146-2025")</f>
        <v/>
      </c>
      <c r="Z47">
        <f>HYPERLINK("https://klasma.github.io/Logging_2303/klagomålsmail/A 4146-2025 FSC-klagomål mail.docx", "A 4146-2025")</f>
        <v/>
      </c>
      <c r="AA47">
        <f>HYPERLINK("https://klasma.github.io/Logging_2303/tillsyn/A 4146-2025 tillsynsbegäran.docx", "A 4146-2025")</f>
        <v/>
      </c>
      <c r="AB47">
        <f>HYPERLINK("https://klasma.github.io/Logging_2303/tillsynsmail/A 4146-2025 tillsynsbegäran mail.docx", "A 4146-2025")</f>
        <v/>
      </c>
    </row>
    <row r="48" ht="15" customHeight="1">
      <c r="A48" t="inlineStr">
        <is>
          <t>A 15379-2024</t>
        </is>
      </c>
      <c r="B48" t="inlineStr">
        <is>
          <t>avverkningsanmälan</t>
        </is>
      </c>
      <c r="C48" t="inlineStr">
        <is>
          <t>Avverkning för att bevara och utveckla /försöksver</t>
        </is>
      </c>
      <c r="D48" s="1" t="n">
        <v>45400</v>
      </c>
      <c r="E48" s="1" t="n">
        <v>46220</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s="2" t="inlineStr">
        <is>
          <t>Garnlav
Gräddporing
Knärot
Finbräken
Guckusko
Svavelriska
Tvåblad
Blåsippa</t>
        </is>
      </c>
      <c r="V48">
        <f>HYPERLINK("https://klasma.github.io/Logging_2303/artfynd/A 15379-2024 artfynd.xlsx", "A 15379-2024")</f>
        <v/>
      </c>
      <c r="W48">
        <f>HYPERLINK("https://klasma.github.io/Logging_2303/kartor/A 15379-2024 karta.png", "A 15379-2024")</f>
        <v/>
      </c>
      <c r="X48">
        <f>HYPERLINK("https://klasma.github.io/Logging_2303/knärot/A 15379-2024 karta knärot.png", "A 15379-2024")</f>
        <v/>
      </c>
      <c r="Y48">
        <f>HYPERLINK("https://klasma.github.io/Logging_2303/klagomål/A 15379-2024 FSC-klagomål.docx", "A 15379-2024")</f>
        <v/>
      </c>
      <c r="Z48">
        <f>HYPERLINK("https://klasma.github.io/Logging_2303/klagomålsmail/A 15379-2024 FSC-klagomål mail.docx", "A 15379-2024")</f>
        <v/>
      </c>
      <c r="AA48">
        <f>HYPERLINK("https://klasma.github.io/Logging_2303/tillsyn/A 15379-2024 tillsynsbegäran.docx", "A 15379-2024")</f>
        <v/>
      </c>
      <c r="AB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46220</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s="2" t="inlineStr">
        <is>
          <t>Knärot
Lunglav
Rosenticka
Skogsfru
Tretåig hackspett
Spindelblomster
Tvåblad
Fläcknycklar</t>
        </is>
      </c>
      <c r="V49">
        <f>HYPERLINK("https://klasma.github.io/Logging_2303/artfynd/A 20575-2025 artfynd.xlsx", "A 20575-2025")</f>
        <v/>
      </c>
      <c r="W49">
        <f>HYPERLINK("https://klasma.github.io/Logging_2303/kartor/A 20575-2025 karta.png", "A 20575-2025")</f>
        <v/>
      </c>
      <c r="X49">
        <f>HYPERLINK("https://klasma.github.io/Logging_2303/knärot/A 20575-2025 karta knärot.png", "A 20575-2025")</f>
        <v/>
      </c>
      <c r="Y49">
        <f>HYPERLINK("https://klasma.github.io/Logging_2303/klagomål/A 20575-2025 FSC-klagomål.docx", "A 20575-2025")</f>
        <v/>
      </c>
      <c r="Z49">
        <f>HYPERLINK("https://klasma.github.io/Logging_2303/klagomålsmail/A 20575-2025 FSC-klagomål mail.docx", "A 20575-2025")</f>
        <v/>
      </c>
      <c r="AA49">
        <f>HYPERLINK("https://klasma.github.io/Logging_2303/tillsyn/A 20575-2025 tillsynsbegäran.docx", "A 20575-2025")</f>
        <v/>
      </c>
      <c r="AB49">
        <f>HYPERLINK("https://klasma.github.io/Logging_2303/tillsynsmail/A 20575-2025 tillsynsbegäran mail.docx", "A 20575-2025")</f>
        <v/>
      </c>
      <c r="AC49">
        <f>HYPERLINK("https://klasma.github.io/Logging_2303/fåglar/A 20575-2025 prioriterade fågelarter.docx", "A 20575-2025")</f>
        <v/>
      </c>
    </row>
    <row r="50" ht="15" customHeight="1">
      <c r="A50" t="inlineStr">
        <is>
          <t>A 24732-2025</t>
        </is>
      </c>
      <c r="B50" t="inlineStr">
        <is>
          <t>avverkningsanmälan</t>
        </is>
      </c>
      <c r="C50" t="inlineStr">
        <is>
          <t>Föryngringsavverkning</t>
        </is>
      </c>
      <c r="D50" s="1" t="n">
        <v>45799</v>
      </c>
      <c r="E50" s="1" t="n">
        <v>46220</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s="2" t="inlineStr">
        <is>
          <t>Garnlav
Knärot
Gammelgransskål
Lunglav
Skarp dropptaggsvamp
Vitgrynig nållav
Bollvitmossa
Svavelriska</t>
        </is>
      </c>
      <c r="V50">
        <f>HYPERLINK("https://klasma.github.io/Logging_2303/artfynd/A 24732-2025 artfynd.xlsx", "A 24732-2025")</f>
        <v/>
      </c>
      <c r="W50">
        <f>HYPERLINK("https://klasma.github.io/Logging_2303/kartor/A 24732-2025 karta.png", "A 24732-2025")</f>
        <v/>
      </c>
      <c r="X50">
        <f>HYPERLINK("https://klasma.github.io/Logging_2303/knärot/A 24732-2025 karta knärot.png", "A 24732-2025")</f>
        <v/>
      </c>
      <c r="Y50">
        <f>HYPERLINK("https://klasma.github.io/Logging_2303/klagomål/A 24732-2025 FSC-klagomål.docx", "A 24732-2025")</f>
        <v/>
      </c>
      <c r="Z50">
        <f>HYPERLINK("https://klasma.github.io/Logging_2303/klagomålsmail/A 24732-2025 FSC-klagomål mail.docx", "A 24732-2025")</f>
        <v/>
      </c>
      <c r="AA50">
        <f>HYPERLINK("https://klasma.github.io/Logging_2303/tillsyn/A 24732-2025 tillsynsbegäran.docx", "A 24732-2025")</f>
        <v/>
      </c>
      <c r="AB50">
        <f>HYPERLINK("https://klasma.github.io/Logging_2303/tillsynsmail/A 24732-2025 tillsynsbegäran mail.docx", "A 24732-2025")</f>
        <v/>
      </c>
    </row>
    <row r="51" ht="15" customHeight="1">
      <c r="A51" t="inlineStr">
        <is>
          <t>A 25016-2025</t>
        </is>
      </c>
      <c r="B51" t="inlineStr">
        <is>
          <t>avverkningsanmälan</t>
        </is>
      </c>
      <c r="C51" t="inlineStr">
        <is>
          <t>Föryngringsavverkning</t>
        </is>
      </c>
      <c r="D51" s="1" t="n">
        <v>45799</v>
      </c>
      <c r="E51" s="1" t="n">
        <v>46220</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s="2" t="inlineStr">
        <is>
          <t>Garnlav
Lunglav
Tretåig hackspett
Ullticka
Bårdlav
Stuplav
Vedticka
Spillkråka</t>
        </is>
      </c>
      <c r="V51">
        <f>HYPERLINK("https://klasma.github.io/Logging_2303/artfynd/A 25016-2025 artfynd.xlsx", "A 25016-2025")</f>
        <v/>
      </c>
      <c r="W51">
        <f>HYPERLINK("https://klasma.github.io/Logging_2303/kartor/A 25016-2025 karta.png", "A 25016-2025")</f>
        <v/>
      </c>
      <c r="Y51">
        <f>HYPERLINK("https://klasma.github.io/Logging_2303/klagomål/A 25016-2025 FSC-klagomål.docx", "A 25016-2025")</f>
        <v/>
      </c>
      <c r="Z51">
        <f>HYPERLINK("https://klasma.github.io/Logging_2303/klagomålsmail/A 25016-2025 FSC-klagomål mail.docx", "A 25016-2025")</f>
        <v/>
      </c>
      <c r="AA51">
        <f>HYPERLINK("https://klasma.github.io/Logging_2303/tillsyn/A 25016-2025 tillsynsbegäran.docx", "A 25016-2025")</f>
        <v/>
      </c>
      <c r="AB51">
        <f>HYPERLINK("https://klasma.github.io/Logging_2303/tillsynsmail/A 25016-2025 tillsynsbegäran mail.docx", "A 25016-2025")</f>
        <v/>
      </c>
      <c r="AC51">
        <f>HYPERLINK("https://klasma.github.io/Logging_2303/fåglar/A 25016-2025 prioriterade fågelarter.docx", "A 25016-2025")</f>
        <v/>
      </c>
    </row>
    <row r="52" ht="15" customHeight="1">
      <c r="A52" t="inlineStr">
        <is>
          <t>A 23931-2024</t>
        </is>
      </c>
      <c r="B52" t="inlineStr">
        <is>
          <t>avverkningsanmälan</t>
        </is>
      </c>
      <c r="C52" t="inlineStr">
        <is>
          <t>Avverkning för att bevara och utveckla /försöksver</t>
        </is>
      </c>
      <c r="D52" s="1" t="n">
        <v>45455</v>
      </c>
      <c r="E52" s="1" t="n">
        <v>46220</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s="2" t="inlineStr">
        <is>
          <t>Garnlav
Knärot
Laxporing
Lunglav
Ullticka
Korallblylav
Spindelblomster
Nattviol</t>
        </is>
      </c>
      <c r="V52">
        <f>HYPERLINK("https://klasma.github.io/Logging_2303/artfynd/A 23931-2024 artfynd.xlsx", "A 23931-2024")</f>
        <v/>
      </c>
      <c r="W52">
        <f>HYPERLINK("https://klasma.github.io/Logging_2303/kartor/A 23931-2024 karta.png", "A 23931-2024")</f>
        <v/>
      </c>
      <c r="X52">
        <f>HYPERLINK("https://klasma.github.io/Logging_2303/knärot/A 23931-2024 karta knärot.png", "A 23931-2024")</f>
        <v/>
      </c>
      <c r="Y52">
        <f>HYPERLINK("https://klasma.github.io/Logging_2303/klagomål/A 23931-2024 FSC-klagomål.docx", "A 23931-2024")</f>
        <v/>
      </c>
      <c r="Z52">
        <f>HYPERLINK("https://klasma.github.io/Logging_2303/klagomålsmail/A 23931-2024 FSC-klagomål mail.docx", "A 23931-2024")</f>
        <v/>
      </c>
      <c r="AA52">
        <f>HYPERLINK("https://klasma.github.io/Logging_2303/tillsyn/A 23931-2024 tillsynsbegäran.docx", "A 23931-2024")</f>
        <v/>
      </c>
      <c r="AB52">
        <f>HYPERLINK("https://klasma.github.io/Logging_2303/tillsynsmail/A 23931-2024 tillsynsbegäran mail.docx", "A 23931-2024")</f>
        <v/>
      </c>
    </row>
    <row r="53" ht="15" customHeight="1">
      <c r="A53" t="inlineStr">
        <is>
          <t>A 19402-2025</t>
        </is>
      </c>
      <c r="B53" t="inlineStr">
        <is>
          <t>avverkningsanmälan</t>
        </is>
      </c>
      <c r="C53" t="inlineStr">
        <is>
          <t>Föryngringsavverkning</t>
        </is>
      </c>
      <c r="D53" s="1" t="n">
        <v>45769</v>
      </c>
      <c r="E53" s="1" t="n">
        <v>46220</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s="2" t="inlineStr">
        <is>
          <t>Garnlav
Lunglav
Skrovellav
Tretåig hackspett
Bårdlav
Spindelblomster
Stuplav
Vedticka</t>
        </is>
      </c>
      <c r="V53">
        <f>HYPERLINK("https://klasma.github.io/Logging_2303/artfynd/A 19402-2025 artfynd.xlsx", "A 19402-2025")</f>
        <v/>
      </c>
      <c r="W53">
        <f>HYPERLINK("https://klasma.github.io/Logging_2303/kartor/A 19402-2025 karta.png", "A 19402-2025")</f>
        <v/>
      </c>
      <c r="Y53">
        <f>HYPERLINK("https://klasma.github.io/Logging_2303/klagomål/A 19402-2025 FSC-klagomål.docx", "A 19402-2025")</f>
        <v/>
      </c>
      <c r="Z53">
        <f>HYPERLINK("https://klasma.github.io/Logging_2303/klagomålsmail/A 19402-2025 FSC-klagomål mail.docx", "A 19402-2025")</f>
        <v/>
      </c>
      <c r="AA53">
        <f>HYPERLINK("https://klasma.github.io/Logging_2303/tillsyn/A 19402-2025 tillsynsbegäran.docx", "A 19402-2025")</f>
        <v/>
      </c>
      <c r="AB53">
        <f>HYPERLINK("https://klasma.github.io/Logging_2303/tillsynsmail/A 19402-2025 tillsynsbegäran mail.docx", "A 19402-2025")</f>
        <v/>
      </c>
      <c r="AC53">
        <f>HYPERLINK("https://klasma.github.io/Logging_2303/fåglar/A 19402-2025 prioriterade fågelarter.docx", "A 19402-2025")</f>
        <v/>
      </c>
    </row>
    <row r="54" ht="15" customHeight="1">
      <c r="A54" t="inlineStr">
        <is>
          <t>A 58876-2025</t>
        </is>
      </c>
      <c r="B54" t="inlineStr">
        <is>
          <t>avverkningsanmälan</t>
        </is>
      </c>
      <c r="C54" t="inlineStr">
        <is>
          <t>Föryngringsavverkning</t>
        </is>
      </c>
      <c r="D54" s="1" t="n">
        <v>45987</v>
      </c>
      <c r="E54" s="1" t="n">
        <v>46220</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s="2" t="inlineStr">
        <is>
          <t>Garnlav
Knärot
Gammelgransskål
Lunglav
Rosenticka
Ullticka
Vitgrynig nållav
Fläcknycklar</t>
        </is>
      </c>
      <c r="V54">
        <f>HYPERLINK("https://klasma.github.io/Logging_2303/artfynd/A 58876-2025 artfynd.xlsx", "A 58876-2025")</f>
        <v/>
      </c>
      <c r="W54">
        <f>HYPERLINK("https://klasma.github.io/Logging_2303/kartor/A 58876-2025 karta.png", "A 58876-2025")</f>
        <v/>
      </c>
      <c r="X54">
        <f>HYPERLINK("https://klasma.github.io/Logging_2303/knärot/A 58876-2025 karta knärot.png", "A 58876-2025")</f>
        <v/>
      </c>
      <c r="Y54">
        <f>HYPERLINK("https://klasma.github.io/Logging_2303/klagomål/A 58876-2025 FSC-klagomål.docx", "A 58876-2025")</f>
        <v/>
      </c>
      <c r="Z54">
        <f>HYPERLINK("https://klasma.github.io/Logging_2303/klagomålsmail/A 58876-2025 FSC-klagomål mail.docx", "A 58876-2025")</f>
        <v/>
      </c>
      <c r="AA54">
        <f>HYPERLINK("https://klasma.github.io/Logging_2303/tillsyn/A 58876-2025 tillsynsbegäran.docx", "A 58876-2025")</f>
        <v/>
      </c>
      <c r="AB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46220</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s="2" t="inlineStr">
        <is>
          <t>Garnlav
Knärot
Dropptaggsvamp
Ullticka
Vedflamlav
Vedtrappmossa
Gullgröppa
Gulnål</t>
        </is>
      </c>
      <c r="V55">
        <f>HYPERLINK("https://klasma.github.io/Logging_2303/artfynd/A 62738-2025 artfynd.xlsx", "A 62738-2025")</f>
        <v/>
      </c>
      <c r="W55">
        <f>HYPERLINK("https://klasma.github.io/Logging_2303/kartor/A 62738-2025 karta.png", "A 62738-2025")</f>
        <v/>
      </c>
      <c r="X55">
        <f>HYPERLINK("https://klasma.github.io/Logging_2303/knärot/A 62738-2025 karta knärot.png", "A 62738-2025")</f>
        <v/>
      </c>
      <c r="Y55">
        <f>HYPERLINK("https://klasma.github.io/Logging_2303/klagomål/A 62738-2025 FSC-klagomål.docx", "A 62738-2025")</f>
        <v/>
      </c>
      <c r="Z55">
        <f>HYPERLINK("https://klasma.github.io/Logging_2303/klagomålsmail/A 62738-2025 FSC-klagomål mail.docx", "A 62738-2025")</f>
        <v/>
      </c>
      <c r="AA55">
        <f>HYPERLINK("https://klasma.github.io/Logging_2303/tillsyn/A 62738-2025 tillsynsbegäran.docx", "A 62738-2025")</f>
        <v/>
      </c>
      <c r="AB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46220</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s="2" t="inlineStr">
        <is>
          <t>Garnlav
Dvärgbägarlav
Kolflarnlav
Mörk kolflarnlav
Skrovellav
Vedskivlav
Vedtrappmossa
Källmossor</t>
        </is>
      </c>
      <c r="V56">
        <f>HYPERLINK("https://klasma.github.io/Logging_2303/artfynd/A 11828-2023 artfynd.xlsx", "A 11828-2023")</f>
        <v/>
      </c>
      <c r="W56">
        <f>HYPERLINK("https://klasma.github.io/Logging_2303/kartor/A 11828-2023 karta.png", "A 11828-2023")</f>
        <v/>
      </c>
      <c r="Y56">
        <f>HYPERLINK("https://klasma.github.io/Logging_2303/klagomål/A 11828-2023 FSC-klagomål.docx", "A 11828-2023")</f>
        <v/>
      </c>
      <c r="Z56">
        <f>HYPERLINK("https://klasma.github.io/Logging_2303/klagomålsmail/A 11828-2023 FSC-klagomål mail.docx", "A 11828-2023")</f>
        <v/>
      </c>
      <c r="AA56">
        <f>HYPERLINK("https://klasma.github.io/Logging_2303/tillsyn/A 11828-2023 tillsynsbegäran.docx", "A 11828-2023")</f>
        <v/>
      </c>
      <c r="AB56">
        <f>HYPERLINK("https://klasma.github.io/Logging_2303/tillsynsmail/A 11828-2023 tillsynsbegäran mail.docx", "A 11828-2023")</f>
        <v/>
      </c>
    </row>
    <row r="57" ht="15" customHeight="1">
      <c r="A57" t="inlineStr">
        <is>
          <t>A 61386-2022</t>
        </is>
      </c>
      <c r="B57" t="inlineStr">
        <is>
          <t>avverkningsanmälan</t>
        </is>
      </c>
      <c r="C57" t="inlineStr">
        <is>
          <t>Föryngringsavverkning</t>
        </is>
      </c>
      <c r="D57" s="1" t="n">
        <v>44915</v>
      </c>
      <c r="E57" s="1" t="n">
        <v>46220</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s="2" t="inlineStr">
        <is>
          <t>Knärot
Lunglav
Rosenticka
Rynkskinn
Ullticka
Svart trolldruva
Vanlig flatbagge
Tjäder</t>
        </is>
      </c>
      <c r="V57">
        <f>HYPERLINK("https://klasma.github.io/Logging_2303/artfynd/A 61386-2022 artfynd.xlsx", "A 61386-2022")</f>
        <v/>
      </c>
      <c r="W57">
        <f>HYPERLINK("https://klasma.github.io/Logging_2303/kartor/A 61386-2022 karta.png", "A 61386-2022")</f>
        <v/>
      </c>
      <c r="X57">
        <f>HYPERLINK("https://klasma.github.io/Logging_2303/knärot/A 61386-2022 karta knärot.png", "A 61386-2022")</f>
        <v/>
      </c>
      <c r="Y57">
        <f>HYPERLINK("https://klasma.github.io/Logging_2303/klagomål/A 61386-2022 FSC-klagomål.docx", "A 61386-2022")</f>
        <v/>
      </c>
      <c r="Z57">
        <f>HYPERLINK("https://klasma.github.io/Logging_2303/klagomålsmail/A 61386-2022 FSC-klagomål mail.docx", "A 61386-2022")</f>
        <v/>
      </c>
      <c r="AA57">
        <f>HYPERLINK("https://klasma.github.io/Logging_2303/tillsyn/A 61386-2022 tillsynsbegäran.docx", "A 61386-2022")</f>
        <v/>
      </c>
      <c r="AB57">
        <f>HYPERLINK("https://klasma.github.io/Logging_2303/tillsynsmail/A 61386-2022 tillsynsbegäran mail.docx", "A 61386-2022")</f>
        <v/>
      </c>
      <c r="AC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46220</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46220</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s="2" t="inlineStr">
        <is>
          <t>Garnlav
Kolflarnlav
Lunglav
Ullticka
Vedflamlav
Vedtrappmossa
Vedticka</t>
        </is>
      </c>
      <c r="V59">
        <f>HYPERLINK("https://klasma.github.io/Logging_2303/artfynd/A 11829-2023 artfynd.xlsx", "A 11829-2023")</f>
        <v/>
      </c>
      <c r="W59">
        <f>HYPERLINK("https://klasma.github.io/Logging_2303/kartor/A 11829-2023 karta.png", "A 11829-2023")</f>
        <v/>
      </c>
      <c r="X59">
        <f>HYPERLINK("https://klasma.github.io/Logging_2303/knärot/A 11829-2023 karta knärot.png", "A 11829-2023")</f>
        <v/>
      </c>
      <c r="Y59">
        <f>HYPERLINK("https://klasma.github.io/Logging_2303/klagomål/A 11829-2023 FSC-klagomål.docx", "A 11829-2023")</f>
        <v/>
      </c>
      <c r="Z59">
        <f>HYPERLINK("https://klasma.github.io/Logging_2303/klagomålsmail/A 11829-2023 FSC-klagomål mail.docx", "A 11829-2023")</f>
        <v/>
      </c>
      <c r="AA59">
        <f>HYPERLINK("https://klasma.github.io/Logging_2303/tillsyn/A 11829-2023 tillsynsbegäran.docx", "A 11829-2023")</f>
        <v/>
      </c>
      <c r="AB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46220</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s="2" t="inlineStr">
        <is>
          <t>Knärot
Koralltaggsvamp
Lunglav
Persiljespindling
Äggvaxskivling
Svavelriska
Blåsippa</t>
        </is>
      </c>
      <c r="V60">
        <f>HYPERLINK("https://klasma.github.io/Logging_2303/artfynd/A 33806-2023 artfynd.xlsx", "A 33806-2023")</f>
        <v/>
      </c>
      <c r="W60">
        <f>HYPERLINK("https://klasma.github.io/Logging_2303/kartor/A 33806-2023 karta.png", "A 33806-2023")</f>
        <v/>
      </c>
      <c r="X60">
        <f>HYPERLINK("https://klasma.github.io/Logging_2303/knärot/A 33806-2023 karta knärot.png", "A 33806-2023")</f>
        <v/>
      </c>
      <c r="Y60">
        <f>HYPERLINK("https://klasma.github.io/Logging_2303/klagomål/A 33806-2023 FSC-klagomål.docx", "A 33806-2023")</f>
        <v/>
      </c>
      <c r="Z60">
        <f>HYPERLINK("https://klasma.github.io/Logging_2303/klagomålsmail/A 33806-2023 FSC-klagomål mail.docx", "A 33806-2023")</f>
        <v/>
      </c>
      <c r="AA60">
        <f>HYPERLINK("https://klasma.github.io/Logging_2303/tillsyn/A 33806-2023 tillsynsbegäran.docx", "A 33806-2023")</f>
        <v/>
      </c>
      <c r="AB60">
        <f>HYPERLINK("https://klasma.github.io/Logging_2303/tillsynsmail/A 33806-2023 tillsynsbegäran mail.docx", "A 33806-2023")</f>
        <v/>
      </c>
    </row>
    <row r="61" ht="15" customHeight="1">
      <c r="A61" t="inlineStr">
        <is>
          <t>A 35344-2025</t>
        </is>
      </c>
      <c r="B61" t="inlineStr">
        <is>
          <t>avverkningsanmälan</t>
        </is>
      </c>
      <c r="C61" t="inlineStr">
        <is>
          <t>Föryngringsavverkning</t>
        </is>
      </c>
      <c r="D61" s="1" t="n">
        <v>45854</v>
      </c>
      <c r="E61" s="1" t="n">
        <v>46220</v>
      </c>
      <c r="F61" t="inlineStr">
        <is>
          <t>JÄMTLANDS LÄN</t>
        </is>
      </c>
      <c r="G61" t="inlineStr">
        <is>
          <t>RAGUNDA</t>
        </is>
      </c>
      <c r="H61" t="inlineStr">
        <is>
          <t>SCA</t>
        </is>
      </c>
      <c r="I61" t="n">
        <v>6.1</v>
      </c>
      <c r="J61" t="n">
        <v>0</v>
      </c>
      <c r="K61" t="n">
        <v>0</v>
      </c>
      <c r="L61" t="n">
        <v>5</v>
      </c>
      <c r="M61" t="n">
        <v>2</v>
      </c>
      <c r="N61" t="n">
        <v>0</v>
      </c>
      <c r="O61" t="n">
        <v>0</v>
      </c>
      <c r="P61" t="n">
        <v>0</v>
      </c>
      <c r="Q61" t="n">
        <v>7</v>
      </c>
      <c r="R61" t="n">
        <v>2</v>
      </c>
      <c r="S61" t="n">
        <v>7</v>
      </c>
      <c r="T61" t="n">
        <v>11</v>
      </c>
      <c r="U61" s="2" t="inlineStr">
        <is>
          <t>Garnlav
Lammticka
Blå taggsvamp
Dropptaggsvamp
Dvärgbägarlav
Lunglav
Vedtrappmossa</t>
        </is>
      </c>
      <c r="V61">
        <f>HYPERLINK("https://klasma.github.io/Logging_2303/artfynd/A 35344-2025 artfynd.xlsx", "A 35344-2025")</f>
        <v/>
      </c>
      <c r="W61">
        <f>HYPERLINK("https://klasma.github.io/Logging_2303/kartor/A 35344-2025 karta.png", "A 35344-2025")</f>
        <v/>
      </c>
      <c r="Y61">
        <f>HYPERLINK("https://klasma.github.io/Logging_2303/klagomål/A 35344-2025 FSC-klagomål.docx", "A 35344-2025")</f>
        <v/>
      </c>
      <c r="Z61">
        <f>HYPERLINK("https://klasma.github.io/Logging_2303/klagomålsmail/A 35344-2025 FSC-klagomål mail.docx", "A 35344-2025")</f>
        <v/>
      </c>
      <c r="AA61">
        <f>HYPERLINK("https://klasma.github.io/Logging_2303/tillsyn/A 35344-2025 tillsynsbegäran.docx", "A 35344-2025")</f>
        <v/>
      </c>
      <c r="AB61">
        <f>HYPERLINK("https://klasma.github.io/Logging_2303/tillsynsmail/A 35344-2025 tillsynsbegäran mail.docx", "A 35344-2025")</f>
        <v/>
      </c>
    </row>
    <row r="62" ht="15" customHeight="1">
      <c r="A62" t="inlineStr">
        <is>
          <t>A 41929-2023</t>
        </is>
      </c>
      <c r="B62" t="inlineStr">
        <is>
          <t>avverkningsanmälan</t>
        </is>
      </c>
      <c r="C62" t="inlineStr">
        <is>
          <t>Avverkning för att bevara och utveckla /försöksver</t>
        </is>
      </c>
      <c r="D62" s="1" t="n">
        <v>45176</v>
      </c>
      <c r="E62" s="1" t="n">
        <v>46220</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s="2" t="inlineStr">
        <is>
          <t>Knärot
Rosenticka
Ullticka
Vårärt
Grönkulla
Svart trolldruva
Blåsippa</t>
        </is>
      </c>
      <c r="V62">
        <f>HYPERLINK("https://klasma.github.io/Logging_2303/artfynd/A 41929-2023 artfynd.xlsx", "A 41929-2023")</f>
        <v/>
      </c>
      <c r="W62">
        <f>HYPERLINK("https://klasma.github.io/Logging_2303/kartor/A 41929-2023 karta.png", "A 41929-2023")</f>
        <v/>
      </c>
      <c r="X62">
        <f>HYPERLINK("https://klasma.github.io/Logging_2303/knärot/A 41929-2023 karta knärot.png", "A 41929-2023")</f>
        <v/>
      </c>
      <c r="Y62">
        <f>HYPERLINK("https://klasma.github.io/Logging_2303/klagomål/A 41929-2023 FSC-klagomål.docx", "A 41929-2023")</f>
        <v/>
      </c>
      <c r="Z62">
        <f>HYPERLINK("https://klasma.github.io/Logging_2303/klagomålsmail/A 41929-2023 FSC-klagomål mail.docx", "A 41929-2023")</f>
        <v/>
      </c>
      <c r="AA62">
        <f>HYPERLINK("https://klasma.github.io/Logging_2303/tillsyn/A 41929-2023 tillsynsbegäran.docx", "A 41929-2023")</f>
        <v/>
      </c>
      <c r="AB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46220</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s="2" t="inlineStr">
        <is>
          <t>Knärot
Rosenticka
Ullticka
Vårärt
Grönkulla
Svart trolldruva
Blåsippa</t>
        </is>
      </c>
      <c r="V63">
        <f>HYPERLINK("https://klasma.github.io/Logging_2303/artfynd/A 37237-2023 artfynd.xlsx", "A 37237-2023")</f>
        <v/>
      </c>
      <c r="W63">
        <f>HYPERLINK("https://klasma.github.io/Logging_2303/kartor/A 37237-2023 karta.png", "A 37237-2023")</f>
        <v/>
      </c>
      <c r="X63">
        <f>HYPERLINK("https://klasma.github.io/Logging_2303/knärot/A 37237-2023 karta knärot.png", "A 37237-2023")</f>
        <v/>
      </c>
      <c r="Y63">
        <f>HYPERLINK("https://klasma.github.io/Logging_2303/klagomål/A 37237-2023 FSC-klagomål.docx", "A 37237-2023")</f>
        <v/>
      </c>
      <c r="Z63">
        <f>HYPERLINK("https://klasma.github.io/Logging_2303/klagomålsmail/A 37237-2023 FSC-klagomål mail.docx", "A 37237-2023")</f>
        <v/>
      </c>
      <c r="AA63">
        <f>HYPERLINK("https://klasma.github.io/Logging_2303/tillsyn/A 37237-2023 tillsynsbegäran.docx", "A 37237-2023")</f>
        <v/>
      </c>
      <c r="AB63">
        <f>HYPERLINK("https://klasma.github.io/Logging_2303/tillsynsmail/A 37237-2023 tillsynsbegäran mail.docx", "A 37237-2023")</f>
        <v/>
      </c>
    </row>
    <row r="64" ht="15" customHeight="1">
      <c r="A64" t="inlineStr">
        <is>
          <t>A 53021-2022</t>
        </is>
      </c>
      <c r="B64" t="inlineStr">
        <is>
          <t>avverkningsanmälan</t>
        </is>
      </c>
      <c r="C64" t="inlineStr">
        <is>
          <t>Avverkning för att bevara och utveckla /försöksver</t>
        </is>
      </c>
      <c r="D64" s="1" t="n">
        <v>44875</v>
      </c>
      <c r="E64" s="1" t="n">
        <v>46220</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s="2" t="inlineStr">
        <is>
          <t>Garnlav
Gammelgransskål
Vitgrynig nållav
Bollvitmossa
Gräsull
Ögonpyrola
Brudsporre</t>
        </is>
      </c>
      <c r="V64">
        <f>HYPERLINK("https://klasma.github.io/Logging_2303/artfynd/A 53021-2022 artfynd.xlsx", "A 53021-2022")</f>
        <v/>
      </c>
      <c r="W64">
        <f>HYPERLINK("https://klasma.github.io/Logging_2303/kartor/A 53021-2022 karta.png", "A 53021-2022")</f>
        <v/>
      </c>
      <c r="Y64">
        <f>HYPERLINK("https://klasma.github.io/Logging_2303/klagomål/A 53021-2022 FSC-klagomål.docx", "A 53021-2022")</f>
        <v/>
      </c>
      <c r="Z64">
        <f>HYPERLINK("https://klasma.github.io/Logging_2303/klagomålsmail/A 53021-2022 FSC-klagomål mail.docx", "A 53021-2022")</f>
        <v/>
      </c>
      <c r="AA64">
        <f>HYPERLINK("https://klasma.github.io/Logging_2303/tillsyn/A 53021-2022 tillsynsbegäran.docx", "A 53021-2022")</f>
        <v/>
      </c>
      <c r="AB64">
        <f>HYPERLINK("https://klasma.github.io/Logging_2303/tillsynsmail/A 53021-2022 tillsynsbegäran mail.docx", "A 53021-2022")</f>
        <v/>
      </c>
    </row>
    <row r="65" ht="15" customHeight="1">
      <c r="A65" t="inlineStr">
        <is>
          <t>A 51037-2025</t>
        </is>
      </c>
      <c r="B65" t="inlineStr">
        <is>
          <t>avverkningsanmälan</t>
        </is>
      </c>
      <c r="C65" t="inlineStr">
        <is>
          <t>Föryngringsavverkning</t>
        </is>
      </c>
      <c r="D65" s="1" t="n">
        <v>45947</v>
      </c>
      <c r="E65" s="1" t="n">
        <v>46220</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s="2" t="inlineStr">
        <is>
          <t>Garnlav
Knärot
Lunglav
Rosenticka
Vedskivlav
Korallrot
Ögonpyrola</t>
        </is>
      </c>
      <c r="V65">
        <f>HYPERLINK("https://klasma.github.io/Logging_2303/artfynd/A 51037-2025 artfynd.xlsx", "A 51037-2025")</f>
        <v/>
      </c>
      <c r="W65">
        <f>HYPERLINK("https://klasma.github.io/Logging_2303/kartor/A 51037-2025 karta.png", "A 51037-2025")</f>
        <v/>
      </c>
      <c r="X65">
        <f>HYPERLINK("https://klasma.github.io/Logging_2303/knärot/A 51037-2025 karta knärot.png", "A 51037-2025")</f>
        <v/>
      </c>
      <c r="Y65">
        <f>HYPERLINK("https://klasma.github.io/Logging_2303/klagomål/A 51037-2025 FSC-klagomål.docx", "A 51037-2025")</f>
        <v/>
      </c>
      <c r="Z65">
        <f>HYPERLINK("https://klasma.github.io/Logging_2303/klagomålsmail/A 51037-2025 FSC-klagomål mail.docx", "A 51037-2025")</f>
        <v/>
      </c>
      <c r="AA65">
        <f>HYPERLINK("https://klasma.github.io/Logging_2303/tillsyn/A 51037-2025 tillsynsbegäran.docx", "A 51037-2025")</f>
        <v/>
      </c>
      <c r="AB65">
        <f>HYPERLINK("https://klasma.github.io/Logging_2303/tillsynsmail/A 51037-2025 tillsynsbegäran mail.docx", "A 51037-2025")</f>
        <v/>
      </c>
    </row>
    <row r="66" ht="15" customHeight="1">
      <c r="A66" t="inlineStr">
        <is>
          <t>A 27913-2024</t>
        </is>
      </c>
      <c r="B66" t="inlineStr">
        <is>
          <t>avverkningsanmälan</t>
        </is>
      </c>
      <c r="C66" t="inlineStr">
        <is>
          <t>Avverkning för att bevara och utveckla /försöksver</t>
        </is>
      </c>
      <c r="D66" s="1" t="n">
        <v>45475</v>
      </c>
      <c r="E66" s="1" t="n">
        <v>46220</v>
      </c>
      <c r="F66" t="inlineStr">
        <is>
          <t>JÄMTLANDS LÄN</t>
        </is>
      </c>
      <c r="G66" t="inlineStr">
        <is>
          <t>RAGUNDA</t>
        </is>
      </c>
      <c r="H66" t="inlineStr">
        <is>
          <t>SCA</t>
        </is>
      </c>
      <c r="I66" t="n">
        <v>11.1</v>
      </c>
      <c r="J66" t="n">
        <v>2</v>
      </c>
      <c r="K66" t="n">
        <v>4</v>
      </c>
      <c r="L66" t="n">
        <v>2</v>
      </c>
      <c r="M66" t="n">
        <v>1</v>
      </c>
      <c r="N66" t="n">
        <v>0</v>
      </c>
      <c r="O66" t="n">
        <v>0</v>
      </c>
      <c r="P66" t="n">
        <v>0</v>
      </c>
      <c r="Q66" t="n">
        <v>3</v>
      </c>
      <c r="R66" t="n">
        <v>1</v>
      </c>
      <c r="S66" t="n">
        <v>7</v>
      </c>
      <c r="T66" t="n">
        <v>7</v>
      </c>
      <c r="U66" s="2" t="inlineStr">
        <is>
          <t>Knärot
Kolflarnlav
Lunglav
Bårdlav
Kransrams
Lappranunkel
Skinnlav</t>
        </is>
      </c>
      <c r="V66">
        <f>HYPERLINK("https://klasma.github.io/Logging_2303/artfynd/A 27913-2024 artfynd.xlsx", "A 27913-2024")</f>
        <v/>
      </c>
      <c r="W66">
        <f>HYPERLINK("https://klasma.github.io/Logging_2303/kartor/A 27913-2024 karta.png", "A 27913-2024")</f>
        <v/>
      </c>
      <c r="X66">
        <f>HYPERLINK("https://klasma.github.io/Logging_2303/knärot/A 27913-2024 karta knärot.png", "A 27913-2024")</f>
        <v/>
      </c>
      <c r="Y66">
        <f>HYPERLINK("https://klasma.github.io/Logging_2303/klagomål/A 27913-2024 FSC-klagomål.docx", "A 27913-2024")</f>
        <v/>
      </c>
      <c r="Z66">
        <f>HYPERLINK("https://klasma.github.io/Logging_2303/klagomålsmail/A 27913-2024 FSC-klagomål mail.docx", "A 27913-2024")</f>
        <v/>
      </c>
      <c r="AA66">
        <f>HYPERLINK("https://klasma.github.io/Logging_2303/tillsyn/A 27913-2024 tillsynsbegäran.docx", "A 27913-2024")</f>
        <v/>
      </c>
      <c r="AB66">
        <f>HYPERLINK("https://klasma.github.io/Logging_2303/tillsynsmail/A 27913-2024 tillsynsbegäran mail.docx", "A 27913-2024")</f>
        <v/>
      </c>
    </row>
    <row r="67" ht="15" customHeight="1">
      <c r="A67" t="inlineStr">
        <is>
          <t>A 55646-2023</t>
        </is>
      </c>
      <c r="B67" t="inlineStr">
        <is>
          <t>avverkningsanmälan</t>
        </is>
      </c>
      <c r="C67" t="inlineStr">
        <is>
          <t>Avverkning för att bevara och utveckla /försöksver</t>
        </is>
      </c>
      <c r="D67" s="1" t="n">
        <v>45238</v>
      </c>
      <c r="E67" s="1" t="n">
        <v>46220</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s="2" t="inlineStr">
        <is>
          <t>Garnlav
Gammelgransskål
Lunglav
Skrovellav
Småflikig brosklav
Ullticka
Korallblylav</t>
        </is>
      </c>
      <c r="V67">
        <f>HYPERLINK("https://klasma.github.io/Logging_2303/artfynd/A 55646-2023 artfynd.xlsx", "A 55646-2023")</f>
        <v/>
      </c>
      <c r="W67">
        <f>HYPERLINK("https://klasma.github.io/Logging_2303/kartor/A 55646-2023 karta.png", "A 55646-2023")</f>
        <v/>
      </c>
      <c r="Y67">
        <f>HYPERLINK("https://klasma.github.io/Logging_2303/klagomål/A 55646-2023 FSC-klagomål.docx", "A 55646-2023")</f>
        <v/>
      </c>
      <c r="Z67">
        <f>HYPERLINK("https://klasma.github.io/Logging_2303/klagomålsmail/A 55646-2023 FSC-klagomål mail.docx", "A 55646-2023")</f>
        <v/>
      </c>
      <c r="AA67">
        <f>HYPERLINK("https://klasma.github.io/Logging_2303/tillsyn/A 55646-2023 tillsynsbegäran.docx", "A 55646-2023")</f>
        <v/>
      </c>
      <c r="AB67">
        <f>HYPERLINK("https://klasma.github.io/Logging_2303/tillsynsmail/A 55646-2023 tillsynsbegäran mail.docx", "A 55646-2023")</f>
        <v/>
      </c>
    </row>
    <row r="68" ht="15" customHeight="1">
      <c r="A68" t="inlineStr">
        <is>
          <t>A 60683-2022</t>
        </is>
      </c>
      <c r="B68" t="inlineStr">
        <is>
          <t>avverkningsanmälan</t>
        </is>
      </c>
      <c r="C68" t="inlineStr">
        <is>
          <t>Avverkning för att bevara och utveckla /försöksver</t>
        </is>
      </c>
      <c r="D68" s="1" t="n">
        <v>44911</v>
      </c>
      <c r="E68" s="1" t="n">
        <v>46220</v>
      </c>
      <c r="F68" t="inlineStr">
        <is>
          <t>JÄMTLANDS LÄN</t>
        </is>
      </c>
      <c r="G68" t="inlineStr">
        <is>
          <t>RAGUNDA</t>
        </is>
      </c>
      <c r="H68" t="inlineStr">
        <is>
          <t>SCA</t>
        </is>
      </c>
      <c r="I68" t="n">
        <v>2.4</v>
      </c>
      <c r="J68" t="n">
        <v>3</v>
      </c>
      <c r="K68" t="n">
        <v>4</v>
      </c>
      <c r="L68" t="n">
        <v>0</v>
      </c>
      <c r="M68" t="n">
        <v>1</v>
      </c>
      <c r="N68" t="n">
        <v>0</v>
      </c>
      <c r="O68" t="n">
        <v>0</v>
      </c>
      <c r="P68" t="n">
        <v>0</v>
      </c>
      <c r="Q68" t="n">
        <v>1</v>
      </c>
      <c r="R68" t="n">
        <v>1</v>
      </c>
      <c r="S68" t="n">
        <v>7</v>
      </c>
      <c r="T68" t="n">
        <v>9</v>
      </c>
      <c r="U68" s="2" t="inlineStr">
        <is>
          <t>Violett guldvinge
Blodticka
Diskvaxskivling
Tibast
Underviol
Blåsippa
Fläcknycklar</t>
        </is>
      </c>
      <c r="V68">
        <f>HYPERLINK("https://klasma.github.io/Logging_2303/artfynd/A 60683-2022 artfynd.xlsx", "A 60683-2022")</f>
        <v/>
      </c>
      <c r="W68">
        <f>HYPERLINK("https://klasma.github.io/Logging_2303/kartor/A 60683-2022 karta.png", "A 60683-2022")</f>
        <v/>
      </c>
      <c r="Y68">
        <f>HYPERLINK("https://klasma.github.io/Logging_2303/klagomål/A 60683-2022 FSC-klagomål.docx", "A 60683-2022")</f>
        <v/>
      </c>
      <c r="Z68">
        <f>HYPERLINK("https://klasma.github.io/Logging_2303/klagomålsmail/A 60683-2022 FSC-klagomål mail.docx", "A 60683-2022")</f>
        <v/>
      </c>
      <c r="AA68">
        <f>HYPERLINK("https://klasma.github.io/Logging_2303/tillsyn/A 60683-2022 tillsynsbegäran.docx", "A 60683-2022")</f>
        <v/>
      </c>
      <c r="AB68">
        <f>HYPERLINK("https://klasma.github.io/Logging_2303/tillsynsmail/A 60683-2022 tillsynsbegäran mail.docx", "A 60683-2022")</f>
        <v/>
      </c>
    </row>
    <row r="69" ht="15" customHeight="1">
      <c r="A69" t="inlineStr">
        <is>
          <t>A 15977-2024</t>
        </is>
      </c>
      <c r="B69" t="inlineStr">
        <is>
          <t>avverkningsanmälan</t>
        </is>
      </c>
      <c r="C69" t="inlineStr">
        <is>
          <t>Föryngringsavverkning</t>
        </is>
      </c>
      <c r="D69" s="1" t="n">
        <v>45405</v>
      </c>
      <c r="E69" s="1" t="n">
        <v>46220</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s="2" t="inlineStr">
        <is>
          <t>Garnlav
Blanksvart spiklav
Dropptaggsvamp
Dvärgbägarlav
Mörk kolflarnlav
Ullticka
Vedflamlav</t>
        </is>
      </c>
      <c r="V69">
        <f>HYPERLINK("https://klasma.github.io/Logging_2303/artfynd/A 15977-2024 artfynd.xlsx", "A 15977-2024")</f>
        <v/>
      </c>
      <c r="W69">
        <f>HYPERLINK("https://klasma.github.io/Logging_2303/kartor/A 15977-2024 karta.png", "A 15977-2024")</f>
        <v/>
      </c>
      <c r="Y69">
        <f>HYPERLINK("https://klasma.github.io/Logging_2303/klagomål/A 15977-2024 FSC-klagomål.docx", "A 15977-2024")</f>
        <v/>
      </c>
      <c r="Z69">
        <f>HYPERLINK("https://klasma.github.io/Logging_2303/klagomålsmail/A 15977-2024 FSC-klagomål mail.docx", "A 15977-2024")</f>
        <v/>
      </c>
      <c r="AA69">
        <f>HYPERLINK("https://klasma.github.io/Logging_2303/tillsyn/A 15977-2024 tillsynsbegäran.docx", "A 15977-2024")</f>
        <v/>
      </c>
      <c r="AB69">
        <f>HYPERLINK("https://klasma.github.io/Logging_2303/tillsynsmail/A 15977-2024 tillsynsbegäran mail.docx", "A 15977-2024")</f>
        <v/>
      </c>
    </row>
    <row r="70" ht="15" customHeight="1">
      <c r="A70" t="inlineStr">
        <is>
          <t>S 1382-2025</t>
        </is>
      </c>
      <c r="B70" t="inlineStr">
        <is>
          <t>samrådsanmälan</t>
        </is>
      </c>
      <c r="C70" t="inlineStr">
        <is>
          <t>Skogsgödsling</t>
        </is>
      </c>
      <c r="D70" s="1" t="n">
        <v>45776</v>
      </c>
      <c r="E70" s="1" t="n">
        <v>46220</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46220</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46220</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s="2" t="inlineStr">
        <is>
          <t>Trolldruvemätare
Stor aspticka
Svart trolldruva
Tvåblad
Nattviol
Gullviva</t>
        </is>
      </c>
      <c r="V72">
        <f>HYPERLINK("https://klasma.github.io/Logging_2303/artfynd/A 933-2023 artfynd.xlsx", "A 933-2023")</f>
        <v/>
      </c>
      <c r="W72">
        <f>HYPERLINK("https://klasma.github.io/Logging_2303/kartor/A 933-2023 karta.png", "A 933-2023")</f>
        <v/>
      </c>
      <c r="Y72">
        <f>HYPERLINK("https://klasma.github.io/Logging_2303/klagomål/A 933-2023 FSC-klagomål.docx", "A 933-2023")</f>
        <v/>
      </c>
      <c r="Z72">
        <f>HYPERLINK("https://klasma.github.io/Logging_2303/klagomålsmail/A 933-2023 FSC-klagomål mail.docx", "A 933-2023")</f>
        <v/>
      </c>
      <c r="AA72">
        <f>HYPERLINK("https://klasma.github.io/Logging_2303/tillsyn/A 933-2023 tillsynsbegäran.docx", "A 933-2023")</f>
        <v/>
      </c>
      <c r="AB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46220</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s="2" t="inlineStr">
        <is>
          <t>Garnlav
Lappticka
Lunglav
Tretåig hackspett
Bollvitmossa
Luddlav</t>
        </is>
      </c>
      <c r="V73">
        <f>HYPERLINK("https://klasma.github.io/Logging_2303/artfynd/A 32903-2024 artfynd.xlsx", "A 32903-2024")</f>
        <v/>
      </c>
      <c r="W73">
        <f>HYPERLINK("https://klasma.github.io/Logging_2303/kartor/A 32903-2024 karta.png", "A 32903-2024")</f>
        <v/>
      </c>
      <c r="Y73">
        <f>HYPERLINK("https://klasma.github.io/Logging_2303/klagomål/A 32903-2024 FSC-klagomål.docx", "A 32903-2024")</f>
        <v/>
      </c>
      <c r="Z73">
        <f>HYPERLINK("https://klasma.github.io/Logging_2303/klagomålsmail/A 32903-2024 FSC-klagomål mail.docx", "A 32903-2024")</f>
        <v/>
      </c>
      <c r="AA73">
        <f>HYPERLINK("https://klasma.github.io/Logging_2303/tillsyn/A 32903-2024 tillsynsbegäran.docx", "A 32903-2024")</f>
        <v/>
      </c>
      <c r="AB73">
        <f>HYPERLINK("https://klasma.github.io/Logging_2303/tillsynsmail/A 32903-2024 tillsynsbegäran mail.docx", "A 32903-2024")</f>
        <v/>
      </c>
      <c r="AC73">
        <f>HYPERLINK("https://klasma.github.io/Logging_2303/fåglar/A 32903-2024 prioriterade fågelarter.docx", "A 32903-2024")</f>
        <v/>
      </c>
    </row>
    <row r="74" ht="15" customHeight="1">
      <c r="A74" t="inlineStr">
        <is>
          <t>A 25769-2025</t>
        </is>
      </c>
      <c r="B74" t="inlineStr">
        <is>
          <t>avverkningsanmälan</t>
        </is>
      </c>
      <c r="C74" t="inlineStr">
        <is>
          <t>Föryngringsavverkning</t>
        </is>
      </c>
      <c r="D74" s="1" t="n">
        <v>45804</v>
      </c>
      <c r="E74" s="1" t="n">
        <v>46220</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s="2" t="inlineStr">
        <is>
          <t>Garnlav
Lunglav
Rödvingetrast
Tretåig hackspett
Luddlav
Järpe</t>
        </is>
      </c>
      <c r="V74">
        <f>HYPERLINK("https://klasma.github.io/Logging_2303/artfynd/A 25769-2025 artfynd.xlsx", "A 25769-2025")</f>
        <v/>
      </c>
      <c r="W74">
        <f>HYPERLINK("https://klasma.github.io/Logging_2303/kartor/A 25769-2025 karta.png", "A 25769-2025")</f>
        <v/>
      </c>
      <c r="Y74">
        <f>HYPERLINK("https://klasma.github.io/Logging_2303/klagomål/A 25769-2025 FSC-klagomål.docx", "A 25769-2025")</f>
        <v/>
      </c>
      <c r="Z74">
        <f>HYPERLINK("https://klasma.github.io/Logging_2303/klagomålsmail/A 25769-2025 FSC-klagomål mail.docx", "A 25769-2025")</f>
        <v/>
      </c>
      <c r="AA74">
        <f>HYPERLINK("https://klasma.github.io/Logging_2303/tillsyn/A 25769-2025 tillsynsbegäran.docx", "A 25769-2025")</f>
        <v/>
      </c>
      <c r="AB74">
        <f>HYPERLINK("https://klasma.github.io/Logging_2303/tillsynsmail/A 25769-2025 tillsynsbegäran mail.docx", "A 25769-2025")</f>
        <v/>
      </c>
      <c r="AC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46220</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s="2" t="inlineStr">
        <is>
          <t>Garnlav
Knärot
Lunglav
Rynkskinn
Spindelblomster
Tjäder</t>
        </is>
      </c>
      <c r="V75">
        <f>HYPERLINK("https://klasma.github.io/Logging_2303/artfynd/A 30390-2025 artfynd.xlsx", "A 30390-2025")</f>
        <v/>
      </c>
      <c r="W75">
        <f>HYPERLINK("https://klasma.github.io/Logging_2303/kartor/A 30390-2025 karta.png", "A 30390-2025")</f>
        <v/>
      </c>
      <c r="X75">
        <f>HYPERLINK("https://klasma.github.io/Logging_2303/knärot/A 30390-2025 karta knärot.png", "A 30390-2025")</f>
        <v/>
      </c>
      <c r="Y75">
        <f>HYPERLINK("https://klasma.github.io/Logging_2303/klagomål/A 30390-2025 FSC-klagomål.docx", "A 30390-2025")</f>
        <v/>
      </c>
      <c r="Z75">
        <f>HYPERLINK("https://klasma.github.io/Logging_2303/klagomålsmail/A 30390-2025 FSC-klagomål mail.docx", "A 30390-2025")</f>
        <v/>
      </c>
      <c r="AA75">
        <f>HYPERLINK("https://klasma.github.io/Logging_2303/tillsyn/A 30390-2025 tillsynsbegäran.docx", "A 30390-2025")</f>
        <v/>
      </c>
      <c r="AB75">
        <f>HYPERLINK("https://klasma.github.io/Logging_2303/tillsynsmail/A 30390-2025 tillsynsbegäran mail.docx", "A 30390-2025")</f>
        <v/>
      </c>
      <c r="AC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46220</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s="2" t="inlineStr">
        <is>
          <t>Knärot
Lunglav
Ögonpyrola
Blåsippa
Järpe
Nattviol</t>
        </is>
      </c>
      <c r="V76">
        <f>HYPERLINK("https://klasma.github.io/Logging_2303/artfynd/A 30886-2025 artfynd.xlsx", "A 30886-2025")</f>
        <v/>
      </c>
      <c r="W76">
        <f>HYPERLINK("https://klasma.github.io/Logging_2303/kartor/A 30886-2025 karta.png", "A 30886-2025")</f>
        <v/>
      </c>
      <c r="X76">
        <f>HYPERLINK("https://klasma.github.io/Logging_2303/knärot/A 30886-2025 karta knärot.png", "A 30886-2025")</f>
        <v/>
      </c>
      <c r="Y76">
        <f>HYPERLINK("https://klasma.github.io/Logging_2303/klagomål/A 30886-2025 FSC-klagomål.docx", "A 30886-2025")</f>
        <v/>
      </c>
      <c r="Z76">
        <f>HYPERLINK("https://klasma.github.io/Logging_2303/klagomålsmail/A 30886-2025 FSC-klagomål mail.docx", "A 30886-2025")</f>
        <v/>
      </c>
      <c r="AA76">
        <f>HYPERLINK("https://klasma.github.io/Logging_2303/tillsyn/A 30886-2025 tillsynsbegäran.docx", "A 30886-2025")</f>
        <v/>
      </c>
      <c r="AB76">
        <f>HYPERLINK("https://klasma.github.io/Logging_2303/tillsynsmail/A 30886-2025 tillsynsbegäran mail.docx", "A 30886-2025")</f>
        <v/>
      </c>
      <c r="AC76">
        <f>HYPERLINK("https://klasma.github.io/Logging_2303/fåglar/A 30886-2025 prioriterade fågelarter.docx", "A 30886-2025")</f>
        <v/>
      </c>
    </row>
    <row r="77" ht="15" customHeight="1">
      <c r="A77" t="inlineStr">
        <is>
          <t>A 2193-2026</t>
        </is>
      </c>
      <c r="B77" t="inlineStr">
        <is>
          <t>avverkningsanmälan</t>
        </is>
      </c>
      <c r="C77" t="inlineStr">
        <is>
          <t>Föryngringsavverkning</t>
        </is>
      </c>
      <c r="D77" s="1" t="n">
        <v>46036</v>
      </c>
      <c r="E77" s="1" t="n">
        <v>46220</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s="2" t="inlineStr">
        <is>
          <t>Garnlav
Knärot
Lunglav
Rosenticka
Ullticka
Luddlav</t>
        </is>
      </c>
      <c r="V77">
        <f>HYPERLINK("https://klasma.github.io/Logging_2303/artfynd/A 2193-2026 artfynd.xlsx", "A 2193-2026")</f>
        <v/>
      </c>
      <c r="W77">
        <f>HYPERLINK("https://klasma.github.io/Logging_2303/kartor/A 2193-2026 karta.png", "A 2193-2026")</f>
        <v/>
      </c>
      <c r="X77">
        <f>HYPERLINK("https://klasma.github.io/Logging_2303/knärot/A 2193-2026 karta knärot.png", "A 2193-2026")</f>
        <v/>
      </c>
      <c r="Y77">
        <f>HYPERLINK("https://klasma.github.io/Logging_2303/klagomål/A 2193-2026 FSC-klagomål.docx", "A 2193-2026")</f>
        <v/>
      </c>
      <c r="Z77">
        <f>HYPERLINK("https://klasma.github.io/Logging_2303/klagomålsmail/A 2193-2026 FSC-klagomål mail.docx", "A 2193-2026")</f>
        <v/>
      </c>
      <c r="AA77">
        <f>HYPERLINK("https://klasma.github.io/Logging_2303/tillsyn/A 2193-2026 tillsynsbegäran.docx", "A 2193-2026")</f>
        <v/>
      </c>
      <c r="AB77">
        <f>HYPERLINK("https://klasma.github.io/Logging_2303/tillsynsmail/A 2193-2026 tillsynsbegäran mail.docx", "A 2193-2026")</f>
        <v/>
      </c>
    </row>
    <row r="78" ht="15" customHeight="1">
      <c r="A78" t="inlineStr">
        <is>
          <t>A 36276-2025</t>
        </is>
      </c>
      <c r="B78" t="inlineStr">
        <is>
          <t>avverkningsanmälan</t>
        </is>
      </c>
      <c r="C78" t="inlineStr">
        <is>
          <t>Föryngringsavverkning</t>
        </is>
      </c>
      <c r="D78" s="1" t="n">
        <v>45867</v>
      </c>
      <c r="E78" s="1" t="n">
        <v>46220</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s="2" t="inlineStr">
        <is>
          <t>Garnlav
Knärot
Lunglav
Ullticka
Grovticka
Stuplav</t>
        </is>
      </c>
      <c r="V78">
        <f>HYPERLINK("https://klasma.github.io/Logging_2303/artfynd/A 36276-2025 artfynd.xlsx", "A 36276-2025")</f>
        <v/>
      </c>
      <c r="W78">
        <f>HYPERLINK("https://klasma.github.io/Logging_2303/kartor/A 36276-2025 karta.png", "A 36276-2025")</f>
        <v/>
      </c>
      <c r="X78">
        <f>HYPERLINK("https://klasma.github.io/Logging_2303/knärot/A 36276-2025 karta knärot.png", "A 36276-2025")</f>
        <v/>
      </c>
      <c r="Y78">
        <f>HYPERLINK("https://klasma.github.io/Logging_2303/klagomål/A 36276-2025 FSC-klagomål.docx", "A 36276-2025")</f>
        <v/>
      </c>
      <c r="Z78">
        <f>HYPERLINK("https://klasma.github.io/Logging_2303/klagomålsmail/A 36276-2025 FSC-klagomål mail.docx", "A 36276-2025")</f>
        <v/>
      </c>
      <c r="AA78">
        <f>HYPERLINK("https://klasma.github.io/Logging_2303/tillsyn/A 36276-2025 tillsynsbegäran.docx", "A 36276-2025")</f>
        <v/>
      </c>
      <c r="AB78">
        <f>HYPERLINK("https://klasma.github.io/Logging_2303/tillsynsmail/A 36276-2025 tillsynsbegäran mail.docx", "A 36276-2025")</f>
        <v/>
      </c>
    </row>
    <row r="79" ht="15" customHeight="1">
      <c r="A79" t="inlineStr">
        <is>
          <t>A 13266-2023</t>
        </is>
      </c>
      <c r="B79" t="inlineStr">
        <is>
          <t>avverkningsanmälan</t>
        </is>
      </c>
      <c r="C79" t="inlineStr">
        <is>
          <t>Föryngringsavverkning</t>
        </is>
      </c>
      <c r="D79" s="1" t="n">
        <v>45002</v>
      </c>
      <c r="E79" s="1" t="n">
        <v>46220</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s="2" t="inlineStr">
        <is>
          <t>Garnlav
Gammelgransskål
Lunglav
Korallblylav
Fläcknycklar
Revlummer</t>
        </is>
      </c>
      <c r="V79">
        <f>HYPERLINK("https://klasma.github.io/Logging_2303/artfynd/A 13266-2023 artfynd.xlsx", "A 13266-2023")</f>
        <v/>
      </c>
      <c r="W79">
        <f>HYPERLINK("https://klasma.github.io/Logging_2303/kartor/A 13266-2023 karta.png", "A 13266-2023")</f>
        <v/>
      </c>
      <c r="Y79">
        <f>HYPERLINK("https://klasma.github.io/Logging_2303/klagomål/A 13266-2023 FSC-klagomål.docx", "A 13266-2023")</f>
        <v/>
      </c>
      <c r="Z79">
        <f>HYPERLINK("https://klasma.github.io/Logging_2303/klagomålsmail/A 13266-2023 FSC-klagomål mail.docx", "A 13266-2023")</f>
        <v/>
      </c>
      <c r="AA79">
        <f>HYPERLINK("https://klasma.github.io/Logging_2303/tillsyn/A 13266-2023 tillsynsbegäran.docx", "A 13266-2023")</f>
        <v/>
      </c>
      <c r="AB79">
        <f>HYPERLINK("https://klasma.github.io/Logging_2303/tillsynsmail/A 13266-2023 tillsynsbegäran mail.docx", "A 13266-2023")</f>
        <v/>
      </c>
    </row>
    <row r="80" ht="15" customHeight="1">
      <c r="A80" t="inlineStr">
        <is>
          <t>A 24431-2024</t>
        </is>
      </c>
      <c r="B80" t="inlineStr">
        <is>
          <t>avverkningsanmälan</t>
        </is>
      </c>
      <c r="C80" t="inlineStr">
        <is>
          <t>Avverkning för att bevara och utveckla /försöksver</t>
        </is>
      </c>
      <c r="D80" s="1" t="n">
        <v>45457</v>
      </c>
      <c r="E80" s="1" t="n">
        <v>46220</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s="2" t="inlineStr">
        <is>
          <t>Doftskinn
Gammelgransskål
Rosenticka
Tretåig hackspett
Ullticka
Vitgrynig nållav</t>
        </is>
      </c>
      <c r="V80">
        <f>HYPERLINK("https://klasma.github.io/Logging_2303/artfynd/A 24431-2024 artfynd.xlsx", "A 24431-2024")</f>
        <v/>
      </c>
      <c r="W80">
        <f>HYPERLINK("https://klasma.github.io/Logging_2303/kartor/A 24431-2024 karta.png", "A 24431-2024")</f>
        <v/>
      </c>
      <c r="Y80">
        <f>HYPERLINK("https://klasma.github.io/Logging_2303/klagomål/A 24431-2024 FSC-klagomål.docx", "A 24431-2024")</f>
        <v/>
      </c>
      <c r="Z80">
        <f>HYPERLINK("https://klasma.github.io/Logging_2303/klagomålsmail/A 24431-2024 FSC-klagomål mail.docx", "A 24431-2024")</f>
        <v/>
      </c>
      <c r="AA80">
        <f>HYPERLINK("https://klasma.github.io/Logging_2303/tillsyn/A 24431-2024 tillsynsbegäran.docx", "A 24431-2024")</f>
        <v/>
      </c>
      <c r="AB80">
        <f>HYPERLINK("https://klasma.github.io/Logging_2303/tillsynsmail/A 24431-2024 tillsynsbegäran mail.docx", "A 24431-2024")</f>
        <v/>
      </c>
      <c r="AC80">
        <f>HYPERLINK("https://klasma.github.io/Logging_2303/fåglar/A 24431-2024 prioriterade fågelarter.docx", "A 24431-2024")</f>
        <v/>
      </c>
    </row>
    <row r="81" ht="15" customHeight="1">
      <c r="A81" t="inlineStr">
        <is>
          <t>A 27393-2026</t>
        </is>
      </c>
      <c r="B81" t="inlineStr">
        <is>
          <t>avverkningsanmälan</t>
        </is>
      </c>
      <c r="C81" t="inlineStr">
        <is>
          <t>Föryngringsavverkning</t>
        </is>
      </c>
      <c r="D81" s="1" t="n">
        <v>46189</v>
      </c>
      <c r="E81" s="1" t="n">
        <v>46220</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s="2" t="inlineStr">
        <is>
          <t>Garnlav
Knärot
Lunglav
Rosenticka
Ullticka
Luddlav</t>
        </is>
      </c>
      <c r="V81">
        <f>HYPERLINK("https://klasma.github.io/Logging_2303/artfynd/A 27393-2026 artfynd.xlsx", "A 27393-2026")</f>
        <v/>
      </c>
      <c r="W81">
        <f>HYPERLINK("https://klasma.github.io/Logging_2303/kartor/A 27393-2026 karta.png", "A 27393-2026")</f>
        <v/>
      </c>
      <c r="X81">
        <f>HYPERLINK("https://klasma.github.io/Logging_2303/knärot/A 27393-2026 karta knärot.png", "A 27393-2026")</f>
        <v/>
      </c>
      <c r="Y81">
        <f>HYPERLINK("https://klasma.github.io/Logging_2303/klagomål/A 27393-2026 FSC-klagomål.docx", "A 27393-2026")</f>
        <v/>
      </c>
      <c r="Z81">
        <f>HYPERLINK("https://klasma.github.io/Logging_2303/klagomålsmail/A 27393-2026 FSC-klagomål mail.docx", "A 27393-2026")</f>
        <v/>
      </c>
      <c r="AA81">
        <f>HYPERLINK("https://klasma.github.io/Logging_2303/tillsyn/A 27393-2026 tillsynsbegäran.docx", "A 27393-2026")</f>
        <v/>
      </c>
      <c r="AB81">
        <f>HYPERLINK("https://klasma.github.io/Logging_2303/tillsynsmail/A 27393-2026 tillsynsbegäran mail.docx", "A 27393-2026")</f>
        <v/>
      </c>
    </row>
    <row r="82" ht="15" customHeight="1">
      <c r="A82" t="inlineStr">
        <is>
          <t>A 47115-2025</t>
        </is>
      </c>
      <c r="B82" t="inlineStr">
        <is>
          <t>avverkningsanmälan</t>
        </is>
      </c>
      <c r="C82" t="inlineStr">
        <is>
          <t>Föryngringsavverkning</t>
        </is>
      </c>
      <c r="D82" s="1" t="n">
        <v>45929</v>
      </c>
      <c r="E82" s="1" t="n">
        <v>46220</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s="2" t="inlineStr">
        <is>
          <t>Doftticka
Garnlav
Knärot
Lavskrika
Lunglav
Tretåig hackspett</t>
        </is>
      </c>
      <c r="V82">
        <f>HYPERLINK("https://klasma.github.io/Logging_2303/artfynd/A 47115-2025 artfynd.xlsx", "A 47115-2025")</f>
        <v/>
      </c>
      <c r="W82">
        <f>HYPERLINK("https://klasma.github.io/Logging_2303/kartor/A 47115-2025 karta.png", "A 47115-2025")</f>
        <v/>
      </c>
      <c r="X82">
        <f>HYPERLINK("https://klasma.github.io/Logging_2303/knärot/A 47115-2025 karta knärot.png", "A 47115-2025")</f>
        <v/>
      </c>
      <c r="Y82">
        <f>HYPERLINK("https://klasma.github.io/Logging_2303/klagomål/A 47115-2025 FSC-klagomål.docx", "A 47115-2025")</f>
        <v/>
      </c>
      <c r="Z82">
        <f>HYPERLINK("https://klasma.github.io/Logging_2303/klagomålsmail/A 47115-2025 FSC-klagomål mail.docx", "A 47115-2025")</f>
        <v/>
      </c>
      <c r="AA82">
        <f>HYPERLINK("https://klasma.github.io/Logging_2303/tillsyn/A 47115-2025 tillsynsbegäran.docx", "A 47115-2025")</f>
        <v/>
      </c>
      <c r="AB82">
        <f>HYPERLINK("https://klasma.github.io/Logging_2303/tillsynsmail/A 47115-2025 tillsynsbegäran mail.docx", "A 47115-2025")</f>
        <v/>
      </c>
      <c r="AC82">
        <f>HYPERLINK("https://klasma.github.io/Logging_2303/fåglar/A 47115-2025 prioriterade fågelarter.docx", "A 47115-2025")</f>
        <v/>
      </c>
    </row>
    <row r="83" ht="15" customHeight="1">
      <c r="A83" t="inlineStr">
        <is>
          <t>A 26326-2024</t>
        </is>
      </c>
      <c r="B83" t="inlineStr">
        <is>
          <t>avverkningsanmälan</t>
        </is>
      </c>
      <c r="C83" t="inlineStr">
        <is>
          <t>Föryngringsavverkning</t>
        </is>
      </c>
      <c r="D83" s="1" t="n">
        <v>45468</v>
      </c>
      <c r="E83" s="1" t="n">
        <v>46220</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s="2" t="inlineStr">
        <is>
          <t>Knärot
Gammelgransskål
Kortskaftad ärgspik
Mörk kolflarnlav
Vedtrappmossa
Gytterlav</t>
        </is>
      </c>
      <c r="V83">
        <f>HYPERLINK("https://klasma.github.io/Logging_2303/artfynd/A 26326-2024 artfynd.xlsx", "A 26326-2024")</f>
        <v/>
      </c>
      <c r="W83">
        <f>HYPERLINK("https://klasma.github.io/Logging_2303/kartor/A 26326-2024 karta.png", "A 26326-2024")</f>
        <v/>
      </c>
      <c r="X83">
        <f>HYPERLINK("https://klasma.github.io/Logging_2303/knärot/A 26326-2024 karta knärot.png", "A 26326-2024")</f>
        <v/>
      </c>
      <c r="Y83">
        <f>HYPERLINK("https://klasma.github.io/Logging_2303/klagomål/A 26326-2024 FSC-klagomål.docx", "A 26326-2024")</f>
        <v/>
      </c>
      <c r="Z83">
        <f>HYPERLINK("https://klasma.github.io/Logging_2303/klagomålsmail/A 26326-2024 FSC-klagomål mail.docx", "A 26326-2024")</f>
        <v/>
      </c>
      <c r="AA83">
        <f>HYPERLINK("https://klasma.github.io/Logging_2303/tillsyn/A 26326-2024 tillsynsbegäran.docx", "A 26326-2024")</f>
        <v/>
      </c>
      <c r="AB83">
        <f>HYPERLINK("https://klasma.github.io/Logging_2303/tillsynsmail/A 26326-2024 tillsynsbegäran mail.docx", "A 26326-2024")</f>
        <v/>
      </c>
    </row>
    <row r="84" ht="15" customHeight="1">
      <c r="A84" t="inlineStr">
        <is>
          <t>A 27322-2024</t>
        </is>
      </c>
      <c r="B84" t="inlineStr">
        <is>
          <t>avverkningsanmälan</t>
        </is>
      </c>
      <c r="C84" t="inlineStr">
        <is>
          <t>Avverkning för att bevara och utveckla /försöksver</t>
        </is>
      </c>
      <c r="D84" s="1" t="n">
        <v>45471</v>
      </c>
      <c r="E84" s="1" t="n">
        <v>46220</v>
      </c>
      <c r="F84" t="inlineStr">
        <is>
          <t>JÄMTLANDS LÄN</t>
        </is>
      </c>
      <c r="G84" t="inlineStr">
        <is>
          <t>RAGUNDA</t>
        </is>
      </c>
      <c r="I84" t="n">
        <v>2.3</v>
      </c>
      <c r="J84" t="n">
        <v>1</v>
      </c>
      <c r="K84" t="n">
        <v>0</v>
      </c>
      <c r="L84" t="n">
        <v>4</v>
      </c>
      <c r="M84" t="n">
        <v>2</v>
      </c>
      <c r="N84" t="n">
        <v>0</v>
      </c>
      <c r="O84" t="n">
        <v>0</v>
      </c>
      <c r="P84" t="n">
        <v>0</v>
      </c>
      <c r="Q84" t="n">
        <v>6</v>
      </c>
      <c r="R84" t="n">
        <v>2</v>
      </c>
      <c r="S84" t="n">
        <v>6</v>
      </c>
      <c r="T84" t="n">
        <v>7</v>
      </c>
      <c r="U84" s="2" t="inlineStr">
        <is>
          <t>Garnlav
Knärot
Gammelgransskål
Lunglav
Skrovellav
Vedtrappmossa</t>
        </is>
      </c>
      <c r="V84">
        <f>HYPERLINK("https://klasma.github.io/Logging_2303/artfynd/A 27322-2024 artfynd.xlsx", "A 27322-2024")</f>
        <v/>
      </c>
      <c r="W84">
        <f>HYPERLINK("https://klasma.github.io/Logging_2303/kartor/A 27322-2024 karta.png", "A 27322-2024")</f>
        <v/>
      </c>
      <c r="X84">
        <f>HYPERLINK("https://klasma.github.io/Logging_2303/knärot/A 27322-2024 karta knärot.png", "A 27322-2024")</f>
        <v/>
      </c>
      <c r="Y84">
        <f>HYPERLINK("https://klasma.github.io/Logging_2303/klagomål/A 27322-2024 FSC-klagomål.docx", "A 27322-2024")</f>
        <v/>
      </c>
      <c r="Z84">
        <f>HYPERLINK("https://klasma.github.io/Logging_2303/klagomålsmail/A 27322-2024 FSC-klagomål mail.docx", "A 27322-2024")</f>
        <v/>
      </c>
      <c r="AA84">
        <f>HYPERLINK("https://klasma.github.io/Logging_2303/tillsyn/A 27322-2024 tillsynsbegäran.docx", "A 27322-2024")</f>
        <v/>
      </c>
      <c r="AB84">
        <f>HYPERLINK("https://klasma.github.io/Logging_2303/tillsynsmail/A 27322-2024 tillsynsbegäran mail.docx", "A 27322-2024")</f>
        <v/>
      </c>
    </row>
    <row r="85" ht="15" customHeight="1">
      <c r="A85" t="inlineStr">
        <is>
          <t>A 26482-2023</t>
        </is>
      </c>
      <c r="B85" t="inlineStr">
        <is>
          <t>avverkningsanmälan</t>
        </is>
      </c>
      <c r="C85" t="inlineStr">
        <is>
          <t>Avverkning för annat ändamål</t>
        </is>
      </c>
      <c r="D85" s="1" t="n">
        <v>45089</v>
      </c>
      <c r="E85" s="1" t="n">
        <v>46220</v>
      </c>
      <c r="F85" t="inlineStr">
        <is>
          <t>JÄMTLANDS LÄN</t>
        </is>
      </c>
      <c r="G85" t="inlineStr">
        <is>
          <t>RAGUNDA</t>
        </is>
      </c>
      <c r="I85" t="n">
        <v>2</v>
      </c>
      <c r="J85" t="n">
        <v>1</v>
      </c>
      <c r="K85" t="n">
        <v>0</v>
      </c>
      <c r="L85" t="n">
        <v>5</v>
      </c>
      <c r="M85" t="n">
        <v>1</v>
      </c>
      <c r="N85" t="n">
        <v>0</v>
      </c>
      <c r="O85" t="n">
        <v>0</v>
      </c>
      <c r="P85" t="n">
        <v>0</v>
      </c>
      <c r="Q85" t="n">
        <v>6</v>
      </c>
      <c r="R85" t="n">
        <v>1</v>
      </c>
      <c r="S85" t="n">
        <v>6</v>
      </c>
      <c r="T85" t="n">
        <v>15</v>
      </c>
      <c r="U85" s="2" t="inlineStr">
        <is>
          <t>Garnlav
Gammelgransskål
Lunglav
Skrovellav
Tretåig hackspett
Ullticka</t>
        </is>
      </c>
      <c r="V85">
        <f>HYPERLINK("https://klasma.github.io/Logging_2303/artfynd/A 26482-2023 artfynd.xlsx", "A 26482-2023")</f>
        <v/>
      </c>
      <c r="W85">
        <f>HYPERLINK("https://klasma.github.io/Logging_2303/kartor/A 26482-2023 karta.png", "A 26482-2023")</f>
        <v/>
      </c>
      <c r="Y85">
        <f>HYPERLINK("https://klasma.github.io/Logging_2303/klagomål/A 26482-2023 FSC-klagomål.docx", "A 26482-2023")</f>
        <v/>
      </c>
      <c r="Z85">
        <f>HYPERLINK("https://klasma.github.io/Logging_2303/klagomålsmail/A 26482-2023 FSC-klagomål mail.docx", "A 26482-2023")</f>
        <v/>
      </c>
      <c r="AA85">
        <f>HYPERLINK("https://klasma.github.io/Logging_2303/tillsyn/A 26482-2023 tillsynsbegäran.docx", "A 26482-2023")</f>
        <v/>
      </c>
      <c r="AB85">
        <f>HYPERLINK("https://klasma.github.io/Logging_2303/tillsynsmail/A 26482-2023 tillsynsbegäran mail.docx", "A 26482-2023")</f>
        <v/>
      </c>
      <c r="AC85">
        <f>HYPERLINK("https://klasma.github.io/Logging_2303/fåglar/A 26482-2023 prioriterade fågelarter.docx", "A 26482-2023")</f>
        <v/>
      </c>
    </row>
    <row r="86" ht="15" customHeight="1">
      <c r="A86" t="inlineStr">
        <is>
          <t>A 22469-2024</t>
        </is>
      </c>
      <c r="B86" t="inlineStr">
        <is>
          <t>avverkningsanmälan</t>
        </is>
      </c>
      <c r="C86" t="inlineStr">
        <is>
          <t>Avverkning för att bevara och utveckla /försöksver</t>
        </is>
      </c>
      <c r="D86" s="1" t="n">
        <v>45446</v>
      </c>
      <c r="E86" s="1" t="n">
        <v>46220</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s="2" t="inlineStr">
        <is>
          <t>Garnlav
Gammelgransskål
Lunglav
Guckusko
Gytterlav
Tvåblad</t>
        </is>
      </c>
      <c r="V86">
        <f>HYPERLINK("https://klasma.github.io/Logging_2303/artfynd/A 22469-2024 artfynd.xlsx", "A 22469-2024")</f>
        <v/>
      </c>
      <c r="W86">
        <f>HYPERLINK("https://klasma.github.io/Logging_2303/kartor/A 22469-2024 karta.png", "A 22469-2024")</f>
        <v/>
      </c>
      <c r="Y86">
        <f>HYPERLINK("https://klasma.github.io/Logging_2303/klagomål/A 22469-2024 FSC-klagomål.docx", "A 22469-2024")</f>
        <v/>
      </c>
      <c r="Z86">
        <f>HYPERLINK("https://klasma.github.io/Logging_2303/klagomålsmail/A 22469-2024 FSC-klagomål mail.docx", "A 22469-2024")</f>
        <v/>
      </c>
      <c r="AA86">
        <f>HYPERLINK("https://klasma.github.io/Logging_2303/tillsyn/A 22469-2024 tillsynsbegäran.docx", "A 22469-2024")</f>
        <v/>
      </c>
      <c r="AB86">
        <f>HYPERLINK("https://klasma.github.io/Logging_2303/tillsynsmail/A 22469-2024 tillsynsbegäran mail.docx", "A 22469-2024")</f>
        <v/>
      </c>
    </row>
    <row r="87" ht="15" customHeight="1">
      <c r="A87" t="inlineStr">
        <is>
          <t>A 48538-2022</t>
        </is>
      </c>
      <c r="B87" t="inlineStr">
        <is>
          <t>avverkningsanmälan</t>
        </is>
      </c>
      <c r="C87" t="inlineStr">
        <is>
          <t>Avverkning för att bevara och utveckla /försöksver</t>
        </is>
      </c>
      <c r="D87" s="1" t="n">
        <v>44858</v>
      </c>
      <c r="E87" s="1" t="n">
        <v>46220</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46220</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46220</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s="2" t="inlineStr">
        <is>
          <t>Dropptaggsvamp
Lunglav
Skarp dropptaggsvamp
Grönpyrola
Plattlummer</t>
        </is>
      </c>
      <c r="V89">
        <f>HYPERLINK("https://klasma.github.io/Logging_2303/artfynd/A 45969-2023 artfynd.xlsx", "A 45969-2023")</f>
        <v/>
      </c>
      <c r="W89">
        <f>HYPERLINK("https://klasma.github.io/Logging_2303/kartor/A 45969-2023 karta.png", "A 45969-2023")</f>
        <v/>
      </c>
      <c r="Y89">
        <f>HYPERLINK("https://klasma.github.io/Logging_2303/klagomål/A 45969-2023 FSC-klagomål.docx", "A 45969-2023")</f>
        <v/>
      </c>
      <c r="Z89">
        <f>HYPERLINK("https://klasma.github.io/Logging_2303/klagomålsmail/A 45969-2023 FSC-klagomål mail.docx", "A 45969-2023")</f>
        <v/>
      </c>
      <c r="AA89">
        <f>HYPERLINK("https://klasma.github.io/Logging_2303/tillsyn/A 45969-2023 tillsynsbegäran.docx", "A 45969-2023")</f>
        <v/>
      </c>
      <c r="AB89">
        <f>HYPERLINK("https://klasma.github.io/Logging_2303/tillsynsmail/A 45969-2023 tillsynsbegäran mail.docx", "A 45969-2023")</f>
        <v/>
      </c>
    </row>
    <row r="90" ht="15" customHeight="1">
      <c r="A90" t="inlineStr">
        <is>
          <t>A 26082-2025</t>
        </is>
      </c>
      <c r="B90" t="inlineStr">
        <is>
          <t>avverkningsanmälan</t>
        </is>
      </c>
      <c r="C90" t="inlineStr">
        <is>
          <t>Föryngringsavverkning</t>
        </is>
      </c>
      <c r="D90" s="1" t="n">
        <v>45805</v>
      </c>
      <c r="E90" s="1" t="n">
        <v>46220</v>
      </c>
      <c r="F90" t="inlineStr">
        <is>
          <t>JÄMTLANDS LÄN</t>
        </is>
      </c>
      <c r="G90" t="inlineStr">
        <is>
          <t>RAGUNDA</t>
        </is>
      </c>
      <c r="H90" t="inlineStr">
        <is>
          <t>SCA</t>
        </is>
      </c>
      <c r="I90" t="n">
        <v>5</v>
      </c>
      <c r="J90" t="n">
        <v>1</v>
      </c>
      <c r="K90" t="n">
        <v>0</v>
      </c>
      <c r="L90" t="n">
        <v>4</v>
      </c>
      <c r="M90" t="n">
        <v>1</v>
      </c>
      <c r="N90" t="n">
        <v>0</v>
      </c>
      <c r="O90" t="n">
        <v>0</v>
      </c>
      <c r="P90" t="n">
        <v>0</v>
      </c>
      <c r="Q90" t="n">
        <v>5</v>
      </c>
      <c r="R90" t="n">
        <v>1</v>
      </c>
      <c r="S90" t="n">
        <v>5</v>
      </c>
      <c r="T90" t="n">
        <v>7</v>
      </c>
      <c r="U90" s="2" t="inlineStr">
        <is>
          <t>Knärot
Gammelgransskål
Lunglav
Ullticka
Vitgrynig nållav</t>
        </is>
      </c>
      <c r="V90">
        <f>HYPERLINK("https://klasma.github.io/Logging_2303/artfynd/A 26082-2025 artfynd.xlsx", "A 26082-2025")</f>
        <v/>
      </c>
      <c r="W90">
        <f>HYPERLINK("https://klasma.github.io/Logging_2303/kartor/A 26082-2025 karta.png", "A 26082-2025")</f>
        <v/>
      </c>
      <c r="X90">
        <f>HYPERLINK("https://klasma.github.io/Logging_2303/knärot/A 26082-2025 karta knärot.png", "A 26082-2025")</f>
        <v/>
      </c>
      <c r="Y90">
        <f>HYPERLINK("https://klasma.github.io/Logging_2303/klagomål/A 26082-2025 FSC-klagomål.docx", "A 26082-2025")</f>
        <v/>
      </c>
      <c r="Z90">
        <f>HYPERLINK("https://klasma.github.io/Logging_2303/klagomålsmail/A 26082-2025 FSC-klagomål mail.docx", "A 26082-2025")</f>
        <v/>
      </c>
      <c r="AA90">
        <f>HYPERLINK("https://klasma.github.io/Logging_2303/tillsyn/A 26082-2025 tillsynsbegäran.docx", "A 26082-2025")</f>
        <v/>
      </c>
      <c r="AB90">
        <f>HYPERLINK("https://klasma.github.io/Logging_2303/tillsynsmail/A 26082-2025 tillsynsbegäran mail.docx", "A 26082-2025")</f>
        <v/>
      </c>
    </row>
    <row r="91" ht="15" customHeight="1">
      <c r="A91" t="inlineStr">
        <is>
          <t>A 15244-2025</t>
        </is>
      </c>
      <c r="B91" t="inlineStr">
        <is>
          <t>avverkningsanmälan</t>
        </is>
      </c>
      <c r="C91" t="inlineStr">
        <is>
          <t>Föryngringsavverkning</t>
        </is>
      </c>
      <c r="D91" s="1" t="n">
        <v>45744</v>
      </c>
      <c r="E91" s="1" t="n">
        <v>46220</v>
      </c>
      <c r="F91" t="inlineStr">
        <is>
          <t>JÄMTLANDS LÄN</t>
        </is>
      </c>
      <c r="G91" t="inlineStr">
        <is>
          <t>RAGUNDA</t>
        </is>
      </c>
      <c r="H91" t="inlineStr">
        <is>
          <t>SCA</t>
        </is>
      </c>
      <c r="I91" t="n">
        <v>2.6</v>
      </c>
      <c r="J91" t="n">
        <v>0</v>
      </c>
      <c r="K91" t="n">
        <v>2</v>
      </c>
      <c r="L91" t="n">
        <v>2</v>
      </c>
      <c r="M91" t="n">
        <v>1</v>
      </c>
      <c r="N91" t="n">
        <v>0</v>
      </c>
      <c r="O91" t="n">
        <v>0</v>
      </c>
      <c r="P91" t="n">
        <v>0</v>
      </c>
      <c r="Q91" t="n">
        <v>3</v>
      </c>
      <c r="R91" t="n">
        <v>1</v>
      </c>
      <c r="S91" t="n">
        <v>5</v>
      </c>
      <c r="T91" t="n">
        <v>5</v>
      </c>
      <c r="U91" s="2" t="inlineStr">
        <is>
          <t>Garnlav
Rosenticka
Ullticka
Stuplav
Vedticka</t>
        </is>
      </c>
      <c r="V91">
        <f>HYPERLINK("https://klasma.github.io/Logging_2303/artfynd/A 15244-2025 artfynd.xlsx", "A 15244-2025")</f>
        <v/>
      </c>
      <c r="W91">
        <f>HYPERLINK("https://klasma.github.io/Logging_2303/kartor/A 15244-2025 karta.png", "A 15244-2025")</f>
        <v/>
      </c>
      <c r="Y91">
        <f>HYPERLINK("https://klasma.github.io/Logging_2303/klagomål/A 15244-2025 FSC-klagomål.docx", "A 15244-2025")</f>
        <v/>
      </c>
      <c r="Z91">
        <f>HYPERLINK("https://klasma.github.io/Logging_2303/klagomålsmail/A 15244-2025 FSC-klagomål mail.docx", "A 15244-2025")</f>
        <v/>
      </c>
      <c r="AA91">
        <f>HYPERLINK("https://klasma.github.io/Logging_2303/tillsyn/A 15244-2025 tillsynsbegäran.docx", "A 15244-2025")</f>
        <v/>
      </c>
      <c r="AB91">
        <f>HYPERLINK("https://klasma.github.io/Logging_2303/tillsynsmail/A 15244-2025 tillsynsbegäran mail.docx", "A 15244-2025")</f>
        <v/>
      </c>
    </row>
    <row r="92" ht="15" customHeight="1">
      <c r="A92" t="inlineStr">
        <is>
          <t>A 43960-2023</t>
        </is>
      </c>
      <c r="B92" t="inlineStr">
        <is>
          <t>avverkningsanmälan</t>
        </is>
      </c>
      <c r="C92" t="inlineStr">
        <is>
          <t>Föryngringsavverkning</t>
        </is>
      </c>
      <c r="D92" s="1" t="n">
        <v>45187</v>
      </c>
      <c r="E92" s="1" t="n">
        <v>46220</v>
      </c>
      <c r="F92" t="inlineStr">
        <is>
          <t>JÄMTLANDS LÄN</t>
        </is>
      </c>
      <c r="G92" t="inlineStr">
        <is>
          <t>RAGUNDA</t>
        </is>
      </c>
      <c r="H92" t="inlineStr">
        <is>
          <t>SCA</t>
        </is>
      </c>
      <c r="I92" t="n">
        <v>5.5</v>
      </c>
      <c r="J92" t="n">
        <v>1</v>
      </c>
      <c r="K92" t="n">
        <v>1</v>
      </c>
      <c r="L92" t="n">
        <v>4</v>
      </c>
      <c r="M92" t="n">
        <v>0</v>
      </c>
      <c r="N92" t="n">
        <v>0</v>
      </c>
      <c r="O92" t="n">
        <v>0</v>
      </c>
      <c r="P92" t="n">
        <v>0</v>
      </c>
      <c r="Q92" t="n">
        <v>4</v>
      </c>
      <c r="R92" t="n">
        <v>0</v>
      </c>
      <c r="S92" t="n">
        <v>5</v>
      </c>
      <c r="T92" t="n">
        <v>9</v>
      </c>
      <c r="U92" s="2" t="inlineStr">
        <is>
          <t>Lavskrika
Vedflikmossa
Vedtrappmossa
Vitgrynig nållav
Vedticka</t>
        </is>
      </c>
      <c r="V92">
        <f>HYPERLINK("https://klasma.github.io/Logging_2303/artfynd/A 43960-2023 artfynd.xlsx", "A 43960-2023")</f>
        <v/>
      </c>
      <c r="W92">
        <f>HYPERLINK("https://klasma.github.io/Logging_2303/kartor/A 43960-2023 karta.png", "A 43960-2023")</f>
        <v/>
      </c>
      <c r="Y92">
        <f>HYPERLINK("https://klasma.github.io/Logging_2303/klagomål/A 43960-2023 FSC-klagomål.docx", "A 43960-2023")</f>
        <v/>
      </c>
      <c r="Z92">
        <f>HYPERLINK("https://klasma.github.io/Logging_2303/klagomålsmail/A 43960-2023 FSC-klagomål mail.docx", "A 43960-2023")</f>
        <v/>
      </c>
      <c r="AA92">
        <f>HYPERLINK("https://klasma.github.io/Logging_2303/tillsyn/A 43960-2023 tillsynsbegäran.docx", "A 43960-2023")</f>
        <v/>
      </c>
      <c r="AB92">
        <f>HYPERLINK("https://klasma.github.io/Logging_2303/tillsynsmail/A 43960-2023 tillsynsbegäran mail.docx", "A 43960-2023")</f>
        <v/>
      </c>
      <c r="AC92">
        <f>HYPERLINK("https://klasma.github.io/Logging_2303/fåglar/A 43960-2023 prioriterade fågelarter.docx", "A 43960-2023")</f>
        <v/>
      </c>
    </row>
    <row r="93" ht="15" customHeight="1">
      <c r="A93" t="inlineStr">
        <is>
          <t>A 39973-2025</t>
        </is>
      </c>
      <c r="B93" t="inlineStr">
        <is>
          <t>avverkningsanmälan</t>
        </is>
      </c>
      <c r="C93" t="inlineStr">
        <is>
          <t>Föryngringsavverkning</t>
        </is>
      </c>
      <c r="D93" s="1" t="n">
        <v>45893</v>
      </c>
      <c r="E93" s="1" t="n">
        <v>46220</v>
      </c>
      <c r="F93" t="inlineStr">
        <is>
          <t>JÄMTLANDS LÄN</t>
        </is>
      </c>
      <c r="G93" t="inlineStr">
        <is>
          <t>RAGUNDA</t>
        </is>
      </c>
      <c r="H93" t="inlineStr">
        <is>
          <t>Naturvårdsverket</t>
        </is>
      </c>
      <c r="I93" t="n">
        <v>8</v>
      </c>
      <c r="J93" t="n">
        <v>0</v>
      </c>
      <c r="K93" t="n">
        <v>1</v>
      </c>
      <c r="L93" t="n">
        <v>4</v>
      </c>
      <c r="M93" t="n">
        <v>0</v>
      </c>
      <c r="N93" t="n">
        <v>0</v>
      </c>
      <c r="O93" t="n">
        <v>0</v>
      </c>
      <c r="P93" t="n">
        <v>0</v>
      </c>
      <c r="Q93" t="n">
        <v>4</v>
      </c>
      <c r="R93" t="n">
        <v>0</v>
      </c>
      <c r="S93" t="n">
        <v>5</v>
      </c>
      <c r="T93" t="n">
        <v>9</v>
      </c>
      <c r="U93" s="2" t="inlineStr">
        <is>
          <t>Lunglav
Mörk kolflarnlav
Tallticka
Vedskivlav
Skinnlav</t>
        </is>
      </c>
      <c r="V93">
        <f>HYPERLINK("https://klasma.github.io/Logging_2303/artfynd/A 39973-2025 artfynd.xlsx", "A 39973-2025")</f>
        <v/>
      </c>
      <c r="W93">
        <f>HYPERLINK("https://klasma.github.io/Logging_2303/kartor/A 39973-2025 karta.png", "A 39973-2025")</f>
        <v/>
      </c>
      <c r="Y93">
        <f>HYPERLINK("https://klasma.github.io/Logging_2303/klagomål/A 39973-2025 FSC-klagomål.docx", "A 39973-2025")</f>
        <v/>
      </c>
      <c r="Z93">
        <f>HYPERLINK("https://klasma.github.io/Logging_2303/klagomålsmail/A 39973-2025 FSC-klagomål mail.docx", "A 39973-2025")</f>
        <v/>
      </c>
      <c r="AA93">
        <f>HYPERLINK("https://klasma.github.io/Logging_2303/tillsyn/A 39973-2025 tillsynsbegäran.docx", "A 39973-2025")</f>
        <v/>
      </c>
      <c r="AB93">
        <f>HYPERLINK("https://klasma.github.io/Logging_2303/tillsynsmail/A 39973-2025 tillsynsbegäran mail.docx", "A 39973-2025")</f>
        <v/>
      </c>
    </row>
    <row r="94" ht="15" customHeight="1">
      <c r="A94" t="inlineStr">
        <is>
          <t>A 39974-2025</t>
        </is>
      </c>
      <c r="B94" t="inlineStr">
        <is>
          <t>avverkningsanmälan</t>
        </is>
      </c>
      <c r="C94" t="inlineStr">
        <is>
          <t>Föryngringsavverkning</t>
        </is>
      </c>
      <c r="D94" s="1" t="n">
        <v>45893</v>
      </c>
      <c r="E94" s="1" t="n">
        <v>46220</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s="2" t="inlineStr">
        <is>
          <t>Garnlav
Dropptaggsvamp
Lunglav
Skrovellav
Luddlav</t>
        </is>
      </c>
      <c r="V94">
        <f>HYPERLINK("https://klasma.github.io/Logging_2303/artfynd/A 39974-2025 artfynd.xlsx", "A 39974-2025")</f>
        <v/>
      </c>
      <c r="W94">
        <f>HYPERLINK("https://klasma.github.io/Logging_2303/kartor/A 39974-2025 karta.png", "A 39974-2025")</f>
        <v/>
      </c>
      <c r="Y94">
        <f>HYPERLINK("https://klasma.github.io/Logging_2303/klagomål/A 39974-2025 FSC-klagomål.docx", "A 39974-2025")</f>
        <v/>
      </c>
      <c r="Z94">
        <f>HYPERLINK("https://klasma.github.io/Logging_2303/klagomålsmail/A 39974-2025 FSC-klagomål mail.docx", "A 39974-2025")</f>
        <v/>
      </c>
      <c r="AA94">
        <f>HYPERLINK("https://klasma.github.io/Logging_2303/tillsyn/A 39974-2025 tillsynsbegäran.docx", "A 39974-2025")</f>
        <v/>
      </c>
      <c r="AB94">
        <f>HYPERLINK("https://klasma.github.io/Logging_2303/tillsynsmail/A 39974-2025 tillsynsbegäran mail.docx", "A 39974-2025")</f>
        <v/>
      </c>
    </row>
    <row r="95" ht="15" customHeight="1">
      <c r="A95" t="inlineStr">
        <is>
          <t>A 30483-2024</t>
        </is>
      </c>
      <c r="B95" t="inlineStr">
        <is>
          <t>avverkningsanmälan</t>
        </is>
      </c>
      <c r="C95" t="inlineStr">
        <is>
          <t>Avverkning för att bevara och utveckla /försöksver</t>
        </is>
      </c>
      <c r="D95" s="1" t="n">
        <v>45491</v>
      </c>
      <c r="E95" s="1" t="n">
        <v>46220</v>
      </c>
      <c r="F95" t="inlineStr">
        <is>
          <t>JÄMTLANDS LÄN</t>
        </is>
      </c>
      <c r="G95" t="inlineStr">
        <is>
          <t>RAGUNDA</t>
        </is>
      </c>
      <c r="H95" t="inlineStr">
        <is>
          <t>SCA</t>
        </is>
      </c>
      <c r="I95" t="n">
        <v>1.6</v>
      </c>
      <c r="J95" t="n">
        <v>1</v>
      </c>
      <c r="K95" t="n">
        <v>1</v>
      </c>
      <c r="L95" t="n">
        <v>3</v>
      </c>
      <c r="M95" t="n">
        <v>0</v>
      </c>
      <c r="N95" t="n">
        <v>0</v>
      </c>
      <c r="O95" t="n">
        <v>0</v>
      </c>
      <c r="P95" t="n">
        <v>0</v>
      </c>
      <c r="Q95" t="n">
        <v>3</v>
      </c>
      <c r="R95" t="n">
        <v>0</v>
      </c>
      <c r="S95" t="n">
        <v>5</v>
      </c>
      <c r="T95" t="n">
        <v>5</v>
      </c>
      <c r="U95" s="2" t="inlineStr">
        <is>
          <t>Dvärgbägarlav
Kolflarnlav
Vedskivlav
Korallblylav
Järpe</t>
        </is>
      </c>
      <c r="V95">
        <f>HYPERLINK("https://klasma.github.io/Logging_2303/artfynd/A 30483-2024 artfynd.xlsx", "A 30483-2024")</f>
        <v/>
      </c>
      <c r="W95">
        <f>HYPERLINK("https://klasma.github.io/Logging_2303/kartor/A 30483-2024 karta.png", "A 30483-2024")</f>
        <v/>
      </c>
      <c r="Y95">
        <f>HYPERLINK("https://klasma.github.io/Logging_2303/klagomål/A 30483-2024 FSC-klagomål.docx", "A 30483-2024")</f>
        <v/>
      </c>
      <c r="Z95">
        <f>HYPERLINK("https://klasma.github.io/Logging_2303/klagomålsmail/A 30483-2024 FSC-klagomål mail.docx", "A 30483-2024")</f>
        <v/>
      </c>
      <c r="AA95">
        <f>HYPERLINK("https://klasma.github.io/Logging_2303/tillsyn/A 30483-2024 tillsynsbegäran.docx", "A 30483-2024")</f>
        <v/>
      </c>
      <c r="AB95">
        <f>HYPERLINK("https://klasma.github.io/Logging_2303/tillsynsmail/A 30483-2024 tillsynsbegäran mail.docx", "A 30483-2024")</f>
        <v/>
      </c>
      <c r="AC95">
        <f>HYPERLINK("https://klasma.github.io/Logging_2303/fåglar/A 30483-2024 prioriterade fågelarter.docx", "A 30483-2024")</f>
        <v/>
      </c>
    </row>
    <row r="96" ht="15" customHeight="1">
      <c r="A96" t="inlineStr">
        <is>
          <t>A 58737-2022</t>
        </is>
      </c>
      <c r="B96" t="inlineStr">
        <is>
          <t>avverkningsanmälan</t>
        </is>
      </c>
      <c r="C96" t="inlineStr">
        <is>
          <t>Avverkning för att bevara och utveckla /försöksver</t>
        </is>
      </c>
      <c r="D96" s="1" t="n">
        <v>44902</v>
      </c>
      <c r="E96" s="1" t="n">
        <v>46220</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s="2" t="inlineStr">
        <is>
          <t>Garnlav
Lunglav
Källmossor
Stuplav
Fläcknycklar</t>
        </is>
      </c>
      <c r="V96">
        <f>HYPERLINK("https://klasma.github.io/Logging_2303/artfynd/A 58737-2022 artfynd.xlsx", "A 58737-2022")</f>
        <v/>
      </c>
      <c r="W96">
        <f>HYPERLINK("https://klasma.github.io/Logging_2303/kartor/A 58737-2022 karta.png", "A 58737-2022")</f>
        <v/>
      </c>
      <c r="Y96">
        <f>HYPERLINK("https://klasma.github.io/Logging_2303/klagomål/A 58737-2022 FSC-klagomål.docx", "A 58737-2022")</f>
        <v/>
      </c>
      <c r="Z96">
        <f>HYPERLINK("https://klasma.github.io/Logging_2303/klagomålsmail/A 58737-2022 FSC-klagomål mail.docx", "A 58737-2022")</f>
        <v/>
      </c>
      <c r="AA96">
        <f>HYPERLINK("https://klasma.github.io/Logging_2303/tillsyn/A 58737-2022 tillsynsbegäran.docx", "A 58737-2022")</f>
        <v/>
      </c>
      <c r="AB96">
        <f>HYPERLINK("https://klasma.github.io/Logging_2303/tillsynsmail/A 58737-2022 tillsynsbegäran mail.docx", "A 58737-2022")</f>
        <v/>
      </c>
    </row>
    <row r="97" ht="15" customHeight="1">
      <c r="A97" t="inlineStr">
        <is>
          <t>A 30884-2025</t>
        </is>
      </c>
      <c r="B97" t="inlineStr">
        <is>
          <t>avverkningsanmälan</t>
        </is>
      </c>
      <c r="C97" t="inlineStr">
        <is>
          <t>Föryngringsavverkning</t>
        </is>
      </c>
      <c r="D97" s="1" t="n">
        <v>45832</v>
      </c>
      <c r="E97" s="1" t="n">
        <v>46220</v>
      </c>
      <c r="F97" t="inlineStr">
        <is>
          <t>JÄMTLANDS LÄN</t>
        </is>
      </c>
      <c r="G97" t="inlineStr">
        <is>
          <t>RAGUNDA</t>
        </is>
      </c>
      <c r="H97" t="inlineStr">
        <is>
          <t>SCA</t>
        </is>
      </c>
      <c r="I97" t="n">
        <v>5.7</v>
      </c>
      <c r="J97" t="n">
        <v>0</v>
      </c>
      <c r="K97" t="n">
        <v>1</v>
      </c>
      <c r="L97" t="n">
        <v>3</v>
      </c>
      <c r="M97" t="n">
        <v>1</v>
      </c>
      <c r="N97" t="n">
        <v>0</v>
      </c>
      <c r="O97" t="n">
        <v>0</v>
      </c>
      <c r="P97" t="n">
        <v>0</v>
      </c>
      <c r="Q97" t="n">
        <v>4</v>
      </c>
      <c r="R97" t="n">
        <v>1</v>
      </c>
      <c r="S97" t="n">
        <v>5</v>
      </c>
      <c r="T97" t="n">
        <v>7</v>
      </c>
      <c r="U97" s="2" t="inlineStr">
        <is>
          <t>Garnlav
Rosenticka
Stjärntagging
Ullticka
Rödgul trumpetsvamp</t>
        </is>
      </c>
      <c r="V97">
        <f>HYPERLINK("https://klasma.github.io/Logging_2303/artfynd/A 30884-2025 artfynd.xlsx", "A 30884-2025")</f>
        <v/>
      </c>
      <c r="W97">
        <f>HYPERLINK("https://klasma.github.io/Logging_2303/kartor/A 30884-2025 karta.png", "A 30884-2025")</f>
        <v/>
      </c>
      <c r="Y97">
        <f>HYPERLINK("https://klasma.github.io/Logging_2303/klagomål/A 30884-2025 FSC-klagomål.docx", "A 30884-2025")</f>
        <v/>
      </c>
      <c r="Z97">
        <f>HYPERLINK("https://klasma.github.io/Logging_2303/klagomålsmail/A 30884-2025 FSC-klagomål mail.docx", "A 30884-2025")</f>
        <v/>
      </c>
      <c r="AA97">
        <f>HYPERLINK("https://klasma.github.io/Logging_2303/tillsyn/A 30884-2025 tillsynsbegäran.docx", "A 30884-2025")</f>
        <v/>
      </c>
      <c r="AB97">
        <f>HYPERLINK("https://klasma.github.io/Logging_2303/tillsynsmail/A 30884-2025 tillsynsbegäran mail.docx", "A 30884-2025")</f>
        <v/>
      </c>
    </row>
    <row r="98" ht="15" customHeight="1">
      <c r="A98" t="inlineStr">
        <is>
          <t>A 27313-2024</t>
        </is>
      </c>
      <c r="B98" t="inlineStr">
        <is>
          <t>avverkningsanmälan</t>
        </is>
      </c>
      <c r="C98" t="inlineStr">
        <is>
          <t>Avverkning för att bevara och utveckla /försöksver</t>
        </is>
      </c>
      <c r="D98" s="1" t="n">
        <v>45471</v>
      </c>
      <c r="E98" s="1" t="n">
        <v>46220</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s="2" t="inlineStr">
        <is>
          <t>Garnlav
Knärot
Gammelgransskål
Lunglav
Nattviol</t>
        </is>
      </c>
      <c r="V98">
        <f>HYPERLINK("https://klasma.github.io/Logging_2303/artfynd/A 27313-2024 artfynd.xlsx", "A 27313-2024")</f>
        <v/>
      </c>
      <c r="W98">
        <f>HYPERLINK("https://klasma.github.io/Logging_2303/kartor/A 27313-2024 karta.png", "A 27313-2024")</f>
        <v/>
      </c>
      <c r="X98">
        <f>HYPERLINK("https://klasma.github.io/Logging_2303/knärot/A 27313-2024 karta knärot.png", "A 27313-2024")</f>
        <v/>
      </c>
      <c r="Y98">
        <f>HYPERLINK("https://klasma.github.io/Logging_2303/klagomål/A 27313-2024 FSC-klagomål.docx", "A 27313-2024")</f>
        <v/>
      </c>
      <c r="Z98">
        <f>HYPERLINK("https://klasma.github.io/Logging_2303/klagomålsmail/A 27313-2024 FSC-klagomål mail.docx", "A 27313-2024")</f>
        <v/>
      </c>
      <c r="AA98">
        <f>HYPERLINK("https://klasma.github.io/Logging_2303/tillsyn/A 27313-2024 tillsynsbegäran.docx", "A 27313-2024")</f>
        <v/>
      </c>
      <c r="AB98">
        <f>HYPERLINK("https://klasma.github.io/Logging_2303/tillsynsmail/A 27313-2024 tillsynsbegäran mail.docx", "A 27313-2024")</f>
        <v/>
      </c>
    </row>
    <row r="99" ht="15" customHeight="1">
      <c r="A99" t="inlineStr">
        <is>
          <t>A 32067-2024</t>
        </is>
      </c>
      <c r="B99" t="inlineStr">
        <is>
          <t>avverkningsanmälan</t>
        </is>
      </c>
      <c r="C99" t="inlineStr">
        <is>
          <t>Avverkning för att bevara och utveckla /försöksver</t>
        </is>
      </c>
      <c r="D99" s="1" t="n">
        <v>45510</v>
      </c>
      <c r="E99" s="1" t="n">
        <v>46220</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s="2" t="inlineStr">
        <is>
          <t>Ullticka
Vedflikmossa
Vedtrappmossa
Stor aspticka
Vedticka</t>
        </is>
      </c>
      <c r="V99">
        <f>HYPERLINK("https://klasma.github.io/Logging_2303/artfynd/A 32067-2024 artfynd.xlsx", "A 32067-2024")</f>
        <v/>
      </c>
      <c r="W99">
        <f>HYPERLINK("https://klasma.github.io/Logging_2303/kartor/A 32067-2024 karta.png", "A 32067-2024")</f>
        <v/>
      </c>
      <c r="X99">
        <f>HYPERLINK("https://klasma.github.io/Logging_2303/knärot/A 32067-2024 karta knärot.png", "A 32067-2024")</f>
        <v/>
      </c>
      <c r="Y99">
        <f>HYPERLINK("https://klasma.github.io/Logging_2303/klagomål/A 32067-2024 FSC-klagomål.docx", "A 32067-2024")</f>
        <v/>
      </c>
      <c r="Z99">
        <f>HYPERLINK("https://klasma.github.io/Logging_2303/klagomålsmail/A 32067-2024 FSC-klagomål mail.docx", "A 32067-2024")</f>
        <v/>
      </c>
      <c r="AA99">
        <f>HYPERLINK("https://klasma.github.io/Logging_2303/tillsyn/A 32067-2024 tillsynsbegäran.docx", "A 32067-2024")</f>
        <v/>
      </c>
      <c r="AB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46220</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s="2" t="inlineStr">
        <is>
          <t>Trolldruvemätare
Lunglav
Stor aspticka
Större aspvedbock
Svart trolldruva</t>
        </is>
      </c>
      <c r="V100">
        <f>HYPERLINK("https://klasma.github.io/Logging_2303/artfynd/A 15836-2024 artfynd.xlsx", "A 15836-2024")</f>
        <v/>
      </c>
      <c r="W100">
        <f>HYPERLINK("https://klasma.github.io/Logging_2303/kartor/A 15836-2024 karta.png", "A 15836-2024")</f>
        <v/>
      </c>
      <c r="Y100">
        <f>HYPERLINK("https://klasma.github.io/Logging_2303/klagomål/A 15836-2024 FSC-klagomål.docx", "A 15836-2024")</f>
        <v/>
      </c>
      <c r="Z100">
        <f>HYPERLINK("https://klasma.github.io/Logging_2303/klagomålsmail/A 15836-2024 FSC-klagomål mail.docx", "A 15836-2024")</f>
        <v/>
      </c>
      <c r="AA100">
        <f>HYPERLINK("https://klasma.github.io/Logging_2303/tillsyn/A 15836-2024 tillsynsbegäran.docx", "A 15836-2024")</f>
        <v/>
      </c>
      <c r="AB100">
        <f>HYPERLINK("https://klasma.github.io/Logging_2303/tillsynsmail/A 15836-2024 tillsynsbegäran mail.docx", "A 15836-2024")</f>
        <v/>
      </c>
    </row>
    <row r="101" ht="15" customHeight="1">
      <c r="A101" t="inlineStr">
        <is>
          <t>A 17340-2023</t>
        </is>
      </c>
      <c r="B101" t="inlineStr">
        <is>
          <t>avverkningsanmälan</t>
        </is>
      </c>
      <c r="C101" t="inlineStr">
        <is>
          <t>Avverkning för annat ändamål</t>
        </is>
      </c>
      <c r="D101" s="1" t="n">
        <v>45033</v>
      </c>
      <c r="E101" s="1" t="n">
        <v>46220</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s="2" t="inlineStr">
        <is>
          <t>Knärot
Lunglav
Ullticka
Vedtrappmossa
Tjäder</t>
        </is>
      </c>
      <c r="V101">
        <f>HYPERLINK("https://klasma.github.io/Logging_2303/artfynd/A 17340-2023 artfynd.xlsx", "A 17340-2023")</f>
        <v/>
      </c>
      <c r="W101">
        <f>HYPERLINK("https://klasma.github.io/Logging_2303/kartor/A 17340-2023 karta.png", "A 17340-2023")</f>
        <v/>
      </c>
      <c r="X101">
        <f>HYPERLINK("https://klasma.github.io/Logging_2303/knärot/A 17340-2023 karta knärot.png", "A 17340-2023")</f>
        <v/>
      </c>
      <c r="Y101">
        <f>HYPERLINK("https://klasma.github.io/Logging_2303/klagomål/A 17340-2023 FSC-klagomål.docx", "A 17340-2023")</f>
        <v/>
      </c>
      <c r="Z101">
        <f>HYPERLINK("https://klasma.github.io/Logging_2303/klagomålsmail/A 17340-2023 FSC-klagomål mail.docx", "A 17340-2023")</f>
        <v/>
      </c>
      <c r="AA101">
        <f>HYPERLINK("https://klasma.github.io/Logging_2303/tillsyn/A 17340-2023 tillsynsbegäran.docx", "A 17340-2023")</f>
        <v/>
      </c>
      <c r="AB101">
        <f>HYPERLINK("https://klasma.github.io/Logging_2303/tillsynsmail/A 17340-2023 tillsynsbegäran mail.docx", "A 17340-2023")</f>
        <v/>
      </c>
      <c r="AC101">
        <f>HYPERLINK("https://klasma.github.io/Logging_2303/fåglar/A 17340-2023 prioriterade fågelarter.docx", "A 17340-2023")</f>
        <v/>
      </c>
    </row>
    <row r="102" ht="15" customHeight="1">
      <c r="A102" t="inlineStr">
        <is>
          <t>A 12024-2022</t>
        </is>
      </c>
      <c r="B102" t="inlineStr">
        <is>
          <t>avverkningsanmälan</t>
        </is>
      </c>
      <c r="C102" t="inlineStr">
        <is>
          <t>Föryngringsavverkning</t>
        </is>
      </c>
      <c r="D102" s="1" t="n">
        <v>44635</v>
      </c>
      <c r="E102" s="1" t="n">
        <v>46220</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s="2" t="inlineStr">
        <is>
          <t>Garnlav
Dropptaggsvamp
Rynkskinn
Tretåig hackspett
Vitgrynig nållav</t>
        </is>
      </c>
      <c r="V102">
        <f>HYPERLINK("https://klasma.github.io/Logging_2303/artfynd/A 12024-2022 artfynd.xlsx", "A 12024-2022")</f>
        <v/>
      </c>
      <c r="W102">
        <f>HYPERLINK("https://klasma.github.io/Logging_2303/kartor/A 12024-2022 karta.png", "A 12024-2022")</f>
        <v/>
      </c>
      <c r="Y102">
        <f>HYPERLINK("https://klasma.github.io/Logging_2303/klagomål/A 12024-2022 FSC-klagomål.docx", "A 12024-2022")</f>
        <v/>
      </c>
      <c r="Z102">
        <f>HYPERLINK("https://klasma.github.io/Logging_2303/klagomålsmail/A 12024-2022 FSC-klagomål mail.docx", "A 12024-2022")</f>
        <v/>
      </c>
      <c r="AA102">
        <f>HYPERLINK("https://klasma.github.io/Logging_2303/tillsyn/A 12024-2022 tillsynsbegäran.docx", "A 12024-2022")</f>
        <v/>
      </c>
      <c r="AB102">
        <f>HYPERLINK("https://klasma.github.io/Logging_2303/tillsynsmail/A 12024-2022 tillsynsbegäran mail.docx", "A 12024-2022")</f>
        <v/>
      </c>
      <c r="AC102">
        <f>HYPERLINK("https://klasma.github.io/Logging_2303/fåglar/A 12024-2022 prioriterade fågelarter.docx", "A 12024-2022")</f>
        <v/>
      </c>
    </row>
    <row r="103" ht="15" customHeight="1">
      <c r="A103" t="inlineStr">
        <is>
          <t>A 52644-2024</t>
        </is>
      </c>
      <c r="B103" t="inlineStr">
        <is>
          <t>avverkningsanmälan</t>
        </is>
      </c>
      <c r="C103" t="inlineStr">
        <is>
          <t>Avverkning för att bevara och utveckla /försöksver</t>
        </is>
      </c>
      <c r="D103" s="1" t="n">
        <v>45610</v>
      </c>
      <c r="E103" s="1" t="n">
        <v>46220</v>
      </c>
      <c r="F103" t="inlineStr">
        <is>
          <t>JÄMTLANDS LÄN</t>
        </is>
      </c>
      <c r="G103" t="inlineStr">
        <is>
          <t>RAGUNDA</t>
        </is>
      </c>
      <c r="H103" t="inlineStr">
        <is>
          <t>SCA</t>
        </is>
      </c>
      <c r="I103" t="n">
        <v>6.6</v>
      </c>
      <c r="J103" t="n">
        <v>2</v>
      </c>
      <c r="K103" t="n">
        <v>1</v>
      </c>
      <c r="L103" t="n">
        <v>2</v>
      </c>
      <c r="M103" t="n">
        <v>2</v>
      </c>
      <c r="N103" t="n">
        <v>0</v>
      </c>
      <c r="O103" t="n">
        <v>0</v>
      </c>
      <c r="P103" t="n">
        <v>0</v>
      </c>
      <c r="Q103" t="n">
        <v>4</v>
      </c>
      <c r="R103" t="n">
        <v>2</v>
      </c>
      <c r="S103" t="n">
        <v>5</v>
      </c>
      <c r="T103" t="n">
        <v>6</v>
      </c>
      <c r="U103" s="2" t="inlineStr">
        <is>
          <t>Doftticka
Garnlav
Gammelgransskål
Lunglav
Guckusko</t>
        </is>
      </c>
      <c r="V103">
        <f>HYPERLINK("https://klasma.github.io/Logging_2303/artfynd/A 52644-2024 artfynd.xlsx", "A 52644-2024")</f>
        <v/>
      </c>
      <c r="W103">
        <f>HYPERLINK("https://klasma.github.io/Logging_2303/kartor/A 52644-2024 karta.png", "A 52644-2024")</f>
        <v/>
      </c>
      <c r="Y103">
        <f>HYPERLINK("https://klasma.github.io/Logging_2303/klagomål/A 52644-2024 FSC-klagomål.docx", "A 52644-2024")</f>
        <v/>
      </c>
      <c r="Z103">
        <f>HYPERLINK("https://klasma.github.io/Logging_2303/klagomålsmail/A 52644-2024 FSC-klagomål mail.docx", "A 52644-2024")</f>
        <v/>
      </c>
      <c r="AA103">
        <f>HYPERLINK("https://klasma.github.io/Logging_2303/tillsyn/A 52644-2024 tillsynsbegäran.docx", "A 52644-2024")</f>
        <v/>
      </c>
      <c r="AB103">
        <f>HYPERLINK("https://klasma.github.io/Logging_2303/tillsynsmail/A 52644-2024 tillsynsbegäran mail.docx", "A 52644-2024")</f>
        <v/>
      </c>
    </row>
    <row r="104" ht="15" customHeight="1">
      <c r="A104" t="inlineStr">
        <is>
          <t>A 43106-2023</t>
        </is>
      </c>
      <c r="B104" t="inlineStr">
        <is>
          <t>avverkningsanmälan</t>
        </is>
      </c>
      <c r="C104" t="inlineStr">
        <is>
          <t>Avverkning för att bevara och utveckla /försöksver</t>
        </is>
      </c>
      <c r="D104" s="1" t="n">
        <v>45182</v>
      </c>
      <c r="E104" s="1" t="n">
        <v>46220</v>
      </c>
      <c r="F104" t="inlineStr">
        <is>
          <t>JÄMTLANDS LÄN</t>
        </is>
      </c>
      <c r="G104" t="inlineStr">
        <is>
          <t>RAGUNDA</t>
        </is>
      </c>
      <c r="H104" t="inlineStr">
        <is>
          <t>SCA</t>
        </is>
      </c>
      <c r="I104" t="n">
        <v>7.6</v>
      </c>
      <c r="J104" t="n">
        <v>0</v>
      </c>
      <c r="K104" t="n">
        <v>0</v>
      </c>
      <c r="L104" t="n">
        <v>5</v>
      </c>
      <c r="M104" t="n">
        <v>0</v>
      </c>
      <c r="N104" t="n">
        <v>0</v>
      </c>
      <c r="O104" t="n">
        <v>0</v>
      </c>
      <c r="P104" t="n">
        <v>0</v>
      </c>
      <c r="Q104" t="n">
        <v>5</v>
      </c>
      <c r="R104" t="n">
        <v>0</v>
      </c>
      <c r="S104" t="n">
        <v>5</v>
      </c>
      <c r="T104" t="n">
        <v>7</v>
      </c>
      <c r="U104" s="2" t="inlineStr">
        <is>
          <t>Blanksvart spiklav
Blågrå svartspik
Harticka
Rosenticka
Ullticka</t>
        </is>
      </c>
      <c r="V104">
        <f>HYPERLINK("https://klasma.github.io/Logging_2303/artfynd/A 43106-2023 artfynd.xlsx", "A 43106-2023")</f>
        <v/>
      </c>
      <c r="W104">
        <f>HYPERLINK("https://klasma.github.io/Logging_2303/kartor/A 43106-2023 karta.png", "A 43106-2023")</f>
        <v/>
      </c>
      <c r="Y104">
        <f>HYPERLINK("https://klasma.github.io/Logging_2303/klagomål/A 43106-2023 FSC-klagomål.docx", "A 43106-2023")</f>
        <v/>
      </c>
      <c r="Z104">
        <f>HYPERLINK("https://klasma.github.io/Logging_2303/klagomålsmail/A 43106-2023 FSC-klagomål mail.docx", "A 43106-2023")</f>
        <v/>
      </c>
      <c r="AA104">
        <f>HYPERLINK("https://klasma.github.io/Logging_2303/tillsyn/A 43106-2023 tillsynsbegäran.docx", "A 43106-2023")</f>
        <v/>
      </c>
      <c r="AB104">
        <f>HYPERLINK("https://klasma.github.io/Logging_2303/tillsynsmail/A 43106-2023 tillsynsbegäran mail.docx", "A 43106-2023")</f>
        <v/>
      </c>
    </row>
    <row r="105" ht="15" customHeight="1">
      <c r="A105" t="inlineStr">
        <is>
          <t>A 38169-2024</t>
        </is>
      </c>
      <c r="B105" t="inlineStr">
        <is>
          <t>avverkningsanmälan</t>
        </is>
      </c>
      <c r="C105" t="inlineStr">
        <is>
          <t>Föryngringsavverkning</t>
        </is>
      </c>
      <c r="D105" s="1" t="n">
        <v>45545</v>
      </c>
      <c r="E105" s="1" t="n">
        <v>46220</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s="2" t="inlineStr">
        <is>
          <t>Garnlav
Lunglav
Skrovellav
Talltita
Tretåig hackspett</t>
        </is>
      </c>
      <c r="V105">
        <f>HYPERLINK("https://klasma.github.io/Logging_2303/artfynd/A 38169-2024 artfynd.xlsx", "A 38169-2024")</f>
        <v/>
      </c>
      <c r="W105">
        <f>HYPERLINK("https://klasma.github.io/Logging_2303/kartor/A 38169-2024 karta.png", "A 38169-2024")</f>
        <v/>
      </c>
      <c r="Y105">
        <f>HYPERLINK("https://klasma.github.io/Logging_2303/klagomål/A 38169-2024 FSC-klagomål.docx", "A 38169-2024")</f>
        <v/>
      </c>
      <c r="Z105">
        <f>HYPERLINK("https://klasma.github.io/Logging_2303/klagomålsmail/A 38169-2024 FSC-klagomål mail.docx", "A 38169-2024")</f>
        <v/>
      </c>
      <c r="AA105">
        <f>HYPERLINK("https://klasma.github.io/Logging_2303/tillsyn/A 38169-2024 tillsynsbegäran.docx", "A 38169-2024")</f>
        <v/>
      </c>
      <c r="AB105">
        <f>HYPERLINK("https://klasma.github.io/Logging_2303/tillsynsmail/A 38169-2024 tillsynsbegäran mail.docx", "A 38169-2024")</f>
        <v/>
      </c>
      <c r="AC105">
        <f>HYPERLINK("https://klasma.github.io/Logging_2303/fåglar/A 38169-2024 prioriterade fågelarter.docx", "A 38169-2024")</f>
        <v/>
      </c>
    </row>
    <row r="106" ht="15" customHeight="1">
      <c r="A106" t="inlineStr">
        <is>
          <t>A 11544-2024</t>
        </is>
      </c>
      <c r="B106" t="inlineStr">
        <is>
          <t>avverkningsanmälan</t>
        </is>
      </c>
      <c r="C106" t="inlineStr">
        <is>
          <t>Föryngringsavverkning</t>
        </is>
      </c>
      <c r="D106" s="1" t="n">
        <v>45372</v>
      </c>
      <c r="E106" s="1" t="n">
        <v>46220</v>
      </c>
      <c r="F106" t="inlineStr">
        <is>
          <t>JÄMTLANDS LÄN</t>
        </is>
      </c>
      <c r="G106" t="inlineStr">
        <is>
          <t>RAGUNDA</t>
        </is>
      </c>
      <c r="H106" t="inlineStr">
        <is>
          <t>SCA</t>
        </is>
      </c>
      <c r="I106" t="n">
        <v>15.5</v>
      </c>
      <c r="J106" t="n">
        <v>1</v>
      </c>
      <c r="K106" t="n">
        <v>2</v>
      </c>
      <c r="L106" t="n">
        <v>3</v>
      </c>
      <c r="M106" t="n">
        <v>0</v>
      </c>
      <c r="N106" t="n">
        <v>0</v>
      </c>
      <c r="O106" t="n">
        <v>0</v>
      </c>
      <c r="P106" t="n">
        <v>0</v>
      </c>
      <c r="Q106" t="n">
        <v>3</v>
      </c>
      <c r="R106" t="n">
        <v>0</v>
      </c>
      <c r="S106" t="n">
        <v>5</v>
      </c>
      <c r="T106" t="n">
        <v>6</v>
      </c>
      <c r="U106" s="2" t="inlineStr">
        <is>
          <t>Kolflarnlav
Mörk kolflarnlav
Rosenticka
Källmossor
Spindelblomster</t>
        </is>
      </c>
      <c r="V106">
        <f>HYPERLINK("https://klasma.github.io/Logging_2303/artfynd/A 11544-2024 artfynd.xlsx", "A 11544-2024")</f>
        <v/>
      </c>
      <c r="W106">
        <f>HYPERLINK("https://klasma.github.io/Logging_2303/kartor/A 11544-2024 karta.png", "A 11544-2024")</f>
        <v/>
      </c>
      <c r="Y106">
        <f>HYPERLINK("https://klasma.github.io/Logging_2303/klagomål/A 11544-2024 FSC-klagomål.docx", "A 11544-2024")</f>
        <v/>
      </c>
      <c r="Z106">
        <f>HYPERLINK("https://klasma.github.io/Logging_2303/klagomålsmail/A 11544-2024 FSC-klagomål mail.docx", "A 11544-2024")</f>
        <v/>
      </c>
      <c r="AA106">
        <f>HYPERLINK("https://klasma.github.io/Logging_2303/tillsyn/A 11544-2024 tillsynsbegäran.docx", "A 11544-2024")</f>
        <v/>
      </c>
      <c r="AB106">
        <f>HYPERLINK("https://klasma.github.io/Logging_2303/tillsynsmail/A 11544-2024 tillsynsbegäran mail.docx", "A 11544-2024")</f>
        <v/>
      </c>
    </row>
    <row r="107" ht="15" customHeight="1">
      <c r="A107" t="inlineStr">
        <is>
          <t>A 18629-2024</t>
        </is>
      </c>
      <c r="B107" t="inlineStr">
        <is>
          <t>avverkningsanmälan</t>
        </is>
      </c>
      <c r="C107" t="inlineStr">
        <is>
          <t>Föryngringsavverkning</t>
        </is>
      </c>
      <c r="D107" s="1" t="n">
        <v>45425</v>
      </c>
      <c r="E107" s="1" t="n">
        <v>46220</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s="2" t="inlineStr">
        <is>
          <t>Garnlav
Lunglav
Tretåig hackspett
Stuplav
Fläcknycklar</t>
        </is>
      </c>
      <c r="V107">
        <f>HYPERLINK("https://klasma.github.io/Logging_2303/artfynd/A 18629-2024 artfynd.xlsx", "A 18629-2024")</f>
        <v/>
      </c>
      <c r="W107">
        <f>HYPERLINK("https://klasma.github.io/Logging_2303/kartor/A 18629-2024 karta.png", "A 18629-2024")</f>
        <v/>
      </c>
      <c r="Y107">
        <f>HYPERLINK("https://klasma.github.io/Logging_2303/klagomål/A 18629-2024 FSC-klagomål.docx", "A 18629-2024")</f>
        <v/>
      </c>
      <c r="Z107">
        <f>HYPERLINK("https://klasma.github.io/Logging_2303/klagomålsmail/A 18629-2024 FSC-klagomål mail.docx", "A 18629-2024")</f>
        <v/>
      </c>
      <c r="AA107">
        <f>HYPERLINK("https://klasma.github.io/Logging_2303/tillsyn/A 18629-2024 tillsynsbegäran.docx", "A 18629-2024")</f>
        <v/>
      </c>
      <c r="AB107">
        <f>HYPERLINK("https://klasma.github.io/Logging_2303/tillsynsmail/A 18629-2024 tillsynsbegäran mail.docx", "A 18629-2024")</f>
        <v/>
      </c>
      <c r="AC107">
        <f>HYPERLINK("https://klasma.github.io/Logging_2303/fåglar/A 18629-2024 prioriterade fågelarter.docx", "A 18629-2024")</f>
        <v/>
      </c>
    </row>
    <row r="108" ht="15" customHeight="1">
      <c r="A108" t="inlineStr">
        <is>
          <t>A 57941-2024</t>
        </is>
      </c>
      <c r="B108" t="inlineStr">
        <is>
          <t>avverkningsanmälan</t>
        </is>
      </c>
      <c r="C108" t="inlineStr">
        <is>
          <t>Avverkning för att bevara och utveckla /försöksver</t>
        </is>
      </c>
      <c r="D108" s="1" t="n">
        <v>45631</v>
      </c>
      <c r="E108" s="1" t="n">
        <v>46220</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s="2" t="inlineStr">
        <is>
          <t>Garnlav
Sprickporing
Lunglav
Tretåig hackspett
Ullticka</t>
        </is>
      </c>
      <c r="V108">
        <f>HYPERLINK("https://klasma.github.io/Logging_2303/artfynd/A 57941-2024 artfynd.xlsx", "A 57941-2024")</f>
        <v/>
      </c>
      <c r="W108">
        <f>HYPERLINK("https://klasma.github.io/Logging_2303/kartor/A 57941-2024 karta.png", "A 57941-2024")</f>
        <v/>
      </c>
      <c r="Y108">
        <f>HYPERLINK("https://klasma.github.io/Logging_2303/klagomål/A 57941-2024 FSC-klagomål.docx", "A 57941-2024")</f>
        <v/>
      </c>
      <c r="Z108">
        <f>HYPERLINK("https://klasma.github.io/Logging_2303/klagomålsmail/A 57941-2024 FSC-klagomål mail.docx", "A 57941-2024")</f>
        <v/>
      </c>
      <c r="AA108">
        <f>HYPERLINK("https://klasma.github.io/Logging_2303/tillsyn/A 57941-2024 tillsynsbegäran.docx", "A 57941-2024")</f>
        <v/>
      </c>
      <c r="AB108">
        <f>HYPERLINK("https://klasma.github.io/Logging_2303/tillsynsmail/A 57941-2024 tillsynsbegäran mail.docx", "A 57941-2024")</f>
        <v/>
      </c>
      <c r="AC108">
        <f>HYPERLINK("https://klasma.github.io/Logging_2303/fåglar/A 57941-2024 prioriterade fågelarter.docx", "A 57941-2024")</f>
        <v/>
      </c>
    </row>
    <row r="109" ht="15" customHeight="1">
      <c r="A109" t="inlineStr">
        <is>
          <t>A 41693-2023</t>
        </is>
      </c>
      <c r="B109" t="inlineStr">
        <is>
          <t>avverkningsanmälan</t>
        </is>
      </c>
      <c r="C109" t="inlineStr">
        <is>
          <t>Föryngringsavverkning</t>
        </is>
      </c>
      <c r="D109" s="1" t="n">
        <v>45176</v>
      </c>
      <c r="E109" s="1" t="n">
        <v>46220</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s="2" t="inlineStr">
        <is>
          <t>Lunglav
Rosenticka
Vitgrynig nållav
Luddlav
Stor aspticka</t>
        </is>
      </c>
      <c r="V109">
        <f>HYPERLINK("https://klasma.github.io/Logging_2303/artfynd/A 41693-2023 artfynd.xlsx", "A 41693-2023")</f>
        <v/>
      </c>
      <c r="W109">
        <f>HYPERLINK("https://klasma.github.io/Logging_2303/kartor/A 41693-2023 karta.png", "A 41693-2023")</f>
        <v/>
      </c>
      <c r="Y109">
        <f>HYPERLINK("https://klasma.github.io/Logging_2303/klagomål/A 41693-2023 FSC-klagomål.docx", "A 41693-2023")</f>
        <v/>
      </c>
      <c r="Z109">
        <f>HYPERLINK("https://klasma.github.io/Logging_2303/klagomålsmail/A 41693-2023 FSC-klagomål mail.docx", "A 41693-2023")</f>
        <v/>
      </c>
      <c r="AA109">
        <f>HYPERLINK("https://klasma.github.io/Logging_2303/tillsyn/A 41693-2023 tillsynsbegäran.docx", "A 41693-2023")</f>
        <v/>
      </c>
      <c r="AB109">
        <f>HYPERLINK("https://klasma.github.io/Logging_2303/tillsynsmail/A 41693-2023 tillsynsbegäran mail.docx", "A 41693-2023")</f>
        <v/>
      </c>
    </row>
    <row r="110" ht="15" customHeight="1">
      <c r="A110" t="inlineStr">
        <is>
          <t>A 50342-2025</t>
        </is>
      </c>
      <c r="B110" t="inlineStr">
        <is>
          <t>avverkningsanmälan</t>
        </is>
      </c>
      <c r="C110" t="inlineStr">
        <is>
          <t>Föryngringsavverkning</t>
        </is>
      </c>
      <c r="D110" s="1" t="n">
        <v>45944</v>
      </c>
      <c r="E110" s="1" t="n">
        <v>46220</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s="2" t="inlineStr">
        <is>
          <t>Garnlav
Lavskrika
Tretåig hackspett
Trådticka
Spillkråka</t>
        </is>
      </c>
      <c r="V110">
        <f>HYPERLINK("https://klasma.github.io/Logging_2303/artfynd/A 50342-2025 artfynd.xlsx", "A 50342-2025")</f>
        <v/>
      </c>
      <c r="W110">
        <f>HYPERLINK("https://klasma.github.io/Logging_2303/kartor/A 50342-2025 karta.png", "A 50342-2025")</f>
        <v/>
      </c>
      <c r="Y110">
        <f>HYPERLINK("https://klasma.github.io/Logging_2303/klagomål/A 50342-2025 FSC-klagomål.docx", "A 50342-2025")</f>
        <v/>
      </c>
      <c r="Z110">
        <f>HYPERLINK("https://klasma.github.io/Logging_2303/klagomålsmail/A 50342-2025 FSC-klagomål mail.docx", "A 50342-2025")</f>
        <v/>
      </c>
      <c r="AA110">
        <f>HYPERLINK("https://klasma.github.io/Logging_2303/tillsyn/A 50342-2025 tillsynsbegäran.docx", "A 50342-2025")</f>
        <v/>
      </c>
      <c r="AB110">
        <f>HYPERLINK("https://klasma.github.io/Logging_2303/tillsynsmail/A 50342-2025 tillsynsbegäran mail.docx", "A 50342-2025")</f>
        <v/>
      </c>
      <c r="AC110">
        <f>HYPERLINK("https://klasma.github.io/Logging_2303/fåglar/A 50342-2025 prioriterade fågelarter.docx", "A 50342-2025")</f>
        <v/>
      </c>
    </row>
    <row r="111" ht="15" customHeight="1">
      <c r="A111" t="inlineStr">
        <is>
          <t>A 12640-2024</t>
        </is>
      </c>
      <c r="B111" t="inlineStr">
        <is>
          <t>avverkningsanmälan</t>
        </is>
      </c>
      <c r="C111" t="inlineStr">
        <is>
          <t>Föryngringsavverkning</t>
        </is>
      </c>
      <c r="D111" s="1" t="n">
        <v>45384</v>
      </c>
      <c r="E111" s="1" t="n">
        <v>46220</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s="2" t="inlineStr">
        <is>
          <t>Spadskinn
Dropptaggsvamp
Skarp dropptaggsvamp
Vedskivlav
Plattlummer</t>
        </is>
      </c>
      <c r="V111">
        <f>HYPERLINK("https://klasma.github.io/Logging_2303/artfynd/A 12640-2024 artfynd.xlsx", "A 12640-2024")</f>
        <v/>
      </c>
      <c r="W111">
        <f>HYPERLINK("https://klasma.github.io/Logging_2303/kartor/A 12640-2024 karta.png", "A 12640-2024")</f>
        <v/>
      </c>
      <c r="Y111">
        <f>HYPERLINK("https://klasma.github.io/Logging_2303/klagomål/A 12640-2024 FSC-klagomål.docx", "A 12640-2024")</f>
        <v/>
      </c>
      <c r="Z111">
        <f>HYPERLINK("https://klasma.github.io/Logging_2303/klagomålsmail/A 12640-2024 FSC-klagomål mail.docx", "A 12640-2024")</f>
        <v/>
      </c>
      <c r="AA111">
        <f>HYPERLINK("https://klasma.github.io/Logging_2303/tillsyn/A 12640-2024 tillsynsbegäran.docx", "A 12640-2024")</f>
        <v/>
      </c>
      <c r="AB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46220</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s="2" t="inlineStr">
        <is>
          <t>Garnlav
Blanksvart spiklav
Mörk kolflarnlav
Vedskivlav
Vitgrynig nållav</t>
        </is>
      </c>
      <c r="V112">
        <f>HYPERLINK("https://klasma.github.io/Logging_2303/artfynd/A 12268-2024 artfynd.xlsx", "A 12268-2024")</f>
        <v/>
      </c>
      <c r="W112">
        <f>HYPERLINK("https://klasma.github.io/Logging_2303/kartor/A 12268-2024 karta.png", "A 12268-2024")</f>
        <v/>
      </c>
      <c r="Y112">
        <f>HYPERLINK("https://klasma.github.io/Logging_2303/klagomål/A 12268-2024 FSC-klagomål.docx", "A 12268-2024")</f>
        <v/>
      </c>
      <c r="Z112">
        <f>HYPERLINK("https://klasma.github.io/Logging_2303/klagomålsmail/A 12268-2024 FSC-klagomål mail.docx", "A 12268-2024")</f>
        <v/>
      </c>
      <c r="AA112">
        <f>HYPERLINK("https://klasma.github.io/Logging_2303/tillsyn/A 12268-2024 tillsynsbegäran.docx", "A 12268-2024")</f>
        <v/>
      </c>
      <c r="AB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46220</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46220</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46220</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s="2" t="inlineStr">
        <is>
          <t>Doftskinn
Gammelgransskål
Lunglav
Ullticka</t>
        </is>
      </c>
      <c r="V115">
        <f>HYPERLINK("https://klasma.github.io/Logging_2303/artfynd/A 60670-2022 artfynd.xlsx", "A 60670-2022")</f>
        <v/>
      </c>
      <c r="W115">
        <f>HYPERLINK("https://klasma.github.io/Logging_2303/kartor/A 60670-2022 karta.png", "A 60670-2022")</f>
        <v/>
      </c>
      <c r="Y115">
        <f>HYPERLINK("https://klasma.github.io/Logging_2303/klagomål/A 60670-2022 FSC-klagomål.docx", "A 60670-2022")</f>
        <v/>
      </c>
      <c r="Z115">
        <f>HYPERLINK("https://klasma.github.io/Logging_2303/klagomålsmail/A 60670-2022 FSC-klagomål mail.docx", "A 60670-2022")</f>
        <v/>
      </c>
      <c r="AA115">
        <f>HYPERLINK("https://klasma.github.io/Logging_2303/tillsyn/A 60670-2022 tillsynsbegäran.docx", "A 60670-2022")</f>
        <v/>
      </c>
      <c r="AB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46220</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s="2" t="inlineStr">
        <is>
          <t>Doftskinn
Koralltaggsvamp
Lunglav
Blåsippa</t>
        </is>
      </c>
      <c r="V116">
        <f>HYPERLINK("https://klasma.github.io/Logging_2303/artfynd/A 52345-2024 artfynd.xlsx", "A 52345-2024")</f>
        <v/>
      </c>
      <c r="W116">
        <f>HYPERLINK("https://klasma.github.io/Logging_2303/kartor/A 52345-2024 karta.png", "A 52345-2024")</f>
        <v/>
      </c>
      <c r="Y116">
        <f>HYPERLINK("https://klasma.github.io/Logging_2303/klagomål/A 52345-2024 FSC-klagomål.docx", "A 52345-2024")</f>
        <v/>
      </c>
      <c r="Z116">
        <f>HYPERLINK("https://klasma.github.io/Logging_2303/klagomålsmail/A 52345-2024 FSC-klagomål mail.docx", "A 52345-2024")</f>
        <v/>
      </c>
      <c r="AA116">
        <f>HYPERLINK("https://klasma.github.io/Logging_2303/tillsyn/A 52345-2024 tillsynsbegäran.docx", "A 52345-2024")</f>
        <v/>
      </c>
      <c r="AB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46220</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s="2" t="inlineStr">
        <is>
          <t>Rynkskinn
Ullticka
Vedtrappmossa
Stor aspticka</t>
        </is>
      </c>
      <c r="V117">
        <f>HYPERLINK("https://klasma.github.io/Logging_2303/artfynd/A 32736-2023 artfynd.xlsx", "A 32736-2023")</f>
        <v/>
      </c>
      <c r="W117">
        <f>HYPERLINK("https://klasma.github.io/Logging_2303/kartor/A 32736-2023 karta.png", "A 32736-2023")</f>
        <v/>
      </c>
      <c r="Y117">
        <f>HYPERLINK("https://klasma.github.io/Logging_2303/klagomål/A 32736-2023 FSC-klagomål.docx", "A 32736-2023")</f>
        <v/>
      </c>
      <c r="Z117">
        <f>HYPERLINK("https://klasma.github.io/Logging_2303/klagomålsmail/A 32736-2023 FSC-klagomål mail.docx", "A 32736-2023")</f>
        <v/>
      </c>
      <c r="AA117">
        <f>HYPERLINK("https://klasma.github.io/Logging_2303/tillsyn/A 32736-2023 tillsynsbegäran.docx", "A 32736-2023")</f>
        <v/>
      </c>
      <c r="AB117">
        <f>HYPERLINK("https://klasma.github.io/Logging_2303/tillsynsmail/A 32736-2023 tillsynsbegäran mail.docx", "A 32736-2023")</f>
        <v/>
      </c>
    </row>
    <row r="118" ht="15" customHeight="1">
      <c r="A118" t="inlineStr">
        <is>
          <t>A 40653-2025</t>
        </is>
      </c>
      <c r="B118" t="inlineStr">
        <is>
          <t>avverkningsanmälan</t>
        </is>
      </c>
      <c r="C118" t="inlineStr">
        <is>
          <t>Avverkning för att bevara och utveckla /försöksver</t>
        </is>
      </c>
      <c r="D118" s="1" t="n">
        <v>45896</v>
      </c>
      <c r="E118" s="1" t="n">
        <v>46220</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s="2" t="inlineStr">
        <is>
          <t>Garnlav
Blå taggsvamp
Dropptaggsvamp
Mörk kolflarnlav</t>
        </is>
      </c>
      <c r="V118">
        <f>HYPERLINK("https://klasma.github.io/Logging_2303/artfynd/A 40653-2025 artfynd.xlsx", "A 40653-2025")</f>
        <v/>
      </c>
      <c r="W118">
        <f>HYPERLINK("https://klasma.github.io/Logging_2303/kartor/A 40653-2025 karta.png", "A 40653-2025")</f>
        <v/>
      </c>
      <c r="Y118">
        <f>HYPERLINK("https://klasma.github.io/Logging_2303/klagomål/A 40653-2025 FSC-klagomål.docx", "A 40653-2025")</f>
        <v/>
      </c>
      <c r="Z118">
        <f>HYPERLINK("https://klasma.github.io/Logging_2303/klagomålsmail/A 40653-2025 FSC-klagomål mail.docx", "A 40653-2025")</f>
        <v/>
      </c>
      <c r="AA118">
        <f>HYPERLINK("https://klasma.github.io/Logging_2303/tillsyn/A 40653-2025 tillsynsbegäran.docx", "A 40653-2025")</f>
        <v/>
      </c>
      <c r="AB118">
        <f>HYPERLINK("https://klasma.github.io/Logging_2303/tillsynsmail/A 40653-2025 tillsynsbegäran mail.docx", "A 40653-2025")</f>
        <v/>
      </c>
    </row>
    <row r="119" ht="15" customHeight="1">
      <c r="A119" t="inlineStr">
        <is>
          <t>A 34585-2025</t>
        </is>
      </c>
      <c r="B119" t="inlineStr">
        <is>
          <t>avverkningsanmälan</t>
        </is>
      </c>
      <c r="C119" t="inlineStr">
        <is>
          <t>Föryngringsavverkning</t>
        </is>
      </c>
      <c r="D119" s="1" t="n">
        <v>45847</v>
      </c>
      <c r="E119" s="1" t="n">
        <v>46220</v>
      </c>
      <c r="F119" t="inlineStr">
        <is>
          <t>JÄMTLANDS LÄN</t>
        </is>
      </c>
      <c r="G119" t="inlineStr">
        <is>
          <t>RAGUNDA</t>
        </is>
      </c>
      <c r="H119" t="inlineStr">
        <is>
          <t>SCA</t>
        </is>
      </c>
      <c r="I119" t="n">
        <v>1.1</v>
      </c>
      <c r="J119" t="n">
        <v>2</v>
      </c>
      <c r="K119" t="n">
        <v>1</v>
      </c>
      <c r="L119" t="n">
        <v>1</v>
      </c>
      <c r="M119" t="n">
        <v>0</v>
      </c>
      <c r="N119" t="n">
        <v>0</v>
      </c>
      <c r="O119" t="n">
        <v>0</v>
      </c>
      <c r="P119" t="n">
        <v>0</v>
      </c>
      <c r="Q119" t="n">
        <v>1</v>
      </c>
      <c r="R119" t="n">
        <v>0</v>
      </c>
      <c r="S119" t="n">
        <v>4</v>
      </c>
      <c r="T119" t="n">
        <v>4</v>
      </c>
      <c r="U119" s="2" t="inlineStr">
        <is>
          <t>Gullpudra
Underviol
Blåsippa
Revlummer</t>
        </is>
      </c>
      <c r="V119">
        <f>HYPERLINK("https://klasma.github.io/Logging_2303/artfynd/A 34585-2025 artfynd.xlsx", "A 34585-2025")</f>
        <v/>
      </c>
      <c r="W119">
        <f>HYPERLINK("https://klasma.github.io/Logging_2303/kartor/A 34585-2025 karta.png", "A 34585-2025")</f>
        <v/>
      </c>
      <c r="Y119">
        <f>HYPERLINK("https://klasma.github.io/Logging_2303/klagomål/A 34585-2025 FSC-klagomål.docx", "A 34585-2025")</f>
        <v/>
      </c>
      <c r="Z119">
        <f>HYPERLINK("https://klasma.github.io/Logging_2303/klagomålsmail/A 34585-2025 FSC-klagomål mail.docx", "A 34585-2025")</f>
        <v/>
      </c>
      <c r="AA119">
        <f>HYPERLINK("https://klasma.github.io/Logging_2303/tillsyn/A 34585-2025 tillsynsbegäran.docx", "A 34585-2025")</f>
        <v/>
      </c>
      <c r="AB119">
        <f>HYPERLINK("https://klasma.github.io/Logging_2303/tillsynsmail/A 34585-2025 tillsynsbegäran mail.docx", "A 34585-2025")</f>
        <v/>
      </c>
    </row>
    <row r="120" ht="15" customHeight="1">
      <c r="A120" t="inlineStr">
        <is>
          <t>A 30465-2024</t>
        </is>
      </c>
      <c r="B120" t="inlineStr">
        <is>
          <t>avverkningsanmälan</t>
        </is>
      </c>
      <c r="C120" t="inlineStr">
        <is>
          <t>Avverkning för att bevara och utveckla /försöksver</t>
        </is>
      </c>
      <c r="D120" s="1" t="n">
        <v>45491</v>
      </c>
      <c r="E120" s="1" t="n">
        <v>46220</v>
      </c>
      <c r="F120" t="inlineStr">
        <is>
          <t>JÄMTLANDS LÄN</t>
        </is>
      </c>
      <c r="G120" t="inlineStr">
        <is>
          <t>RAGUNDA</t>
        </is>
      </c>
      <c r="H120" t="inlineStr">
        <is>
          <t>SCA</t>
        </is>
      </c>
      <c r="I120" t="n">
        <v>3.7</v>
      </c>
      <c r="J120" t="n">
        <v>1</v>
      </c>
      <c r="K120" t="n">
        <v>0</v>
      </c>
      <c r="L120" t="n">
        <v>4</v>
      </c>
      <c r="M120" t="n">
        <v>0</v>
      </c>
      <c r="N120" t="n">
        <v>0</v>
      </c>
      <c r="O120" t="n">
        <v>0</v>
      </c>
      <c r="P120" t="n">
        <v>0</v>
      </c>
      <c r="Q120" t="n">
        <v>4</v>
      </c>
      <c r="R120" t="n">
        <v>0</v>
      </c>
      <c r="S120" t="n">
        <v>4</v>
      </c>
      <c r="T120" t="n">
        <v>5</v>
      </c>
      <c r="U120" s="2" t="inlineStr">
        <is>
          <t>Rosenticka
Tretåig hackspett
Ullticka
Violmussling</t>
        </is>
      </c>
      <c r="V120">
        <f>HYPERLINK("https://klasma.github.io/Logging_2303/artfynd/A 30465-2024 artfynd.xlsx", "A 30465-2024")</f>
        <v/>
      </c>
      <c r="W120">
        <f>HYPERLINK("https://klasma.github.io/Logging_2303/kartor/A 30465-2024 karta.png", "A 30465-2024")</f>
        <v/>
      </c>
      <c r="Y120">
        <f>HYPERLINK("https://klasma.github.io/Logging_2303/klagomål/A 30465-2024 FSC-klagomål.docx", "A 30465-2024")</f>
        <v/>
      </c>
      <c r="Z120">
        <f>HYPERLINK("https://klasma.github.io/Logging_2303/klagomålsmail/A 30465-2024 FSC-klagomål mail.docx", "A 30465-2024")</f>
        <v/>
      </c>
      <c r="AA120">
        <f>HYPERLINK("https://klasma.github.io/Logging_2303/tillsyn/A 30465-2024 tillsynsbegäran.docx", "A 30465-2024")</f>
        <v/>
      </c>
      <c r="AB120">
        <f>HYPERLINK("https://klasma.github.io/Logging_2303/tillsynsmail/A 30465-2024 tillsynsbegäran mail.docx", "A 30465-2024")</f>
        <v/>
      </c>
      <c r="AC120">
        <f>HYPERLINK("https://klasma.github.io/Logging_2303/fåglar/A 30465-2024 prioriterade fågelarter.docx", "A 30465-2024")</f>
        <v/>
      </c>
    </row>
    <row r="121" ht="15" customHeight="1">
      <c r="A121" t="inlineStr">
        <is>
          <t>A 32416-2025</t>
        </is>
      </c>
      <c r="B121" t="inlineStr">
        <is>
          <t>avverkningsanmälan</t>
        </is>
      </c>
      <c r="C121" t="inlineStr">
        <is>
          <t>Föryngringsavverkning</t>
        </is>
      </c>
      <c r="D121" s="1" t="n">
        <v>45838</v>
      </c>
      <c r="E121" s="1" t="n">
        <v>46220</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s="2" t="inlineStr">
        <is>
          <t>Gullpudra
Underviol
Blåsippa
Revlummer</t>
        </is>
      </c>
      <c r="V121">
        <f>HYPERLINK("https://klasma.github.io/Logging_2303/artfynd/A 32416-2025 artfynd.xlsx", "A 32416-2025")</f>
        <v/>
      </c>
      <c r="W121">
        <f>HYPERLINK("https://klasma.github.io/Logging_2303/kartor/A 32416-2025 karta.png", "A 32416-2025")</f>
        <v/>
      </c>
      <c r="Y121">
        <f>HYPERLINK("https://klasma.github.io/Logging_2303/klagomål/A 32416-2025 FSC-klagomål.docx", "A 32416-2025")</f>
        <v/>
      </c>
      <c r="Z121">
        <f>HYPERLINK("https://klasma.github.io/Logging_2303/klagomålsmail/A 32416-2025 FSC-klagomål mail.docx", "A 32416-2025")</f>
        <v/>
      </c>
      <c r="AA121">
        <f>HYPERLINK("https://klasma.github.io/Logging_2303/tillsyn/A 32416-2025 tillsynsbegäran.docx", "A 32416-2025")</f>
        <v/>
      </c>
      <c r="AB121">
        <f>HYPERLINK("https://klasma.github.io/Logging_2303/tillsynsmail/A 32416-2025 tillsynsbegäran mail.docx", "A 32416-2025")</f>
        <v/>
      </c>
    </row>
    <row r="122" ht="15" customHeight="1">
      <c r="A122" t="inlineStr">
        <is>
          <t>A 52168-2025</t>
        </is>
      </c>
      <c r="B122" t="inlineStr">
        <is>
          <t>avverkningsanmälan</t>
        </is>
      </c>
      <c r="C122" t="inlineStr">
        <is>
          <t>Föryngringsavverkning</t>
        </is>
      </c>
      <c r="D122" s="1" t="n">
        <v>45953</v>
      </c>
      <c r="E122" s="1" t="n">
        <v>46220</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s="2" t="inlineStr">
        <is>
          <t>Garnlav
Lunglav
Vitgrynig nållav
Källmossa</t>
        </is>
      </c>
      <c r="V122">
        <f>HYPERLINK("https://klasma.github.io/Logging_2303/artfynd/A 52168-2025 artfynd.xlsx", "A 52168-2025")</f>
        <v/>
      </c>
      <c r="W122">
        <f>HYPERLINK("https://klasma.github.io/Logging_2303/kartor/A 52168-2025 karta.png", "A 52168-2025")</f>
        <v/>
      </c>
      <c r="Y122">
        <f>HYPERLINK("https://klasma.github.io/Logging_2303/klagomål/A 52168-2025 FSC-klagomål.docx", "A 52168-2025")</f>
        <v/>
      </c>
      <c r="Z122">
        <f>HYPERLINK("https://klasma.github.io/Logging_2303/klagomålsmail/A 52168-2025 FSC-klagomål mail.docx", "A 52168-2025")</f>
        <v/>
      </c>
      <c r="AA122">
        <f>HYPERLINK("https://klasma.github.io/Logging_2303/tillsyn/A 52168-2025 tillsynsbegäran.docx", "A 52168-2025")</f>
        <v/>
      </c>
      <c r="AB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46220</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s="2" t="inlineStr">
        <is>
          <t>Lunglav
Rosenticka
Korallblylav
Luddlav</t>
        </is>
      </c>
      <c r="V123">
        <f>HYPERLINK("https://klasma.github.io/Logging_2303/artfynd/A 57667-2025 artfynd.xlsx", "A 57667-2025")</f>
        <v/>
      </c>
      <c r="W123">
        <f>HYPERLINK("https://klasma.github.io/Logging_2303/kartor/A 57667-2025 karta.png", "A 57667-2025")</f>
        <v/>
      </c>
      <c r="Y123">
        <f>HYPERLINK("https://klasma.github.io/Logging_2303/klagomål/A 57667-2025 FSC-klagomål.docx", "A 57667-2025")</f>
        <v/>
      </c>
      <c r="Z123">
        <f>HYPERLINK("https://klasma.github.io/Logging_2303/klagomålsmail/A 57667-2025 FSC-klagomål mail.docx", "A 57667-2025")</f>
        <v/>
      </c>
      <c r="AA123">
        <f>HYPERLINK("https://klasma.github.io/Logging_2303/tillsyn/A 57667-2025 tillsynsbegäran.docx", "A 57667-2025")</f>
        <v/>
      </c>
      <c r="AB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46220</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Y124">
        <f>HYPERLINK("https://klasma.github.io/Logging_2303/klagomål/A 57073-2023 FSC-klagomål.docx", "A 57073-2023")</f>
        <v/>
      </c>
      <c r="Z124">
        <f>HYPERLINK("https://klasma.github.io/Logging_2303/klagomålsmail/A 57073-2023 FSC-klagomål mail.docx", "A 57073-2023")</f>
        <v/>
      </c>
      <c r="AA124">
        <f>HYPERLINK("https://klasma.github.io/Logging_2303/tillsyn/A 57073-2023 tillsynsbegäran.docx", "A 57073-2023")</f>
        <v/>
      </c>
      <c r="AB124">
        <f>HYPERLINK("https://klasma.github.io/Logging_2303/tillsynsmail/A 57073-2023 tillsynsbegäran mail.docx", "A 57073-2023")</f>
        <v/>
      </c>
      <c r="AC124">
        <f>HYPERLINK("https://klasma.github.io/Logging_2303/fåglar/A 57073-2023 prioriterade fågelarter.docx", "A 57073-2023")</f>
        <v/>
      </c>
    </row>
    <row r="125" ht="15" customHeight="1">
      <c r="A125" t="inlineStr">
        <is>
          <t>A 10410-2026</t>
        </is>
      </c>
      <c r="B125" t="inlineStr">
        <is>
          <t>avverkningsanmälan</t>
        </is>
      </c>
      <c r="C125" t="inlineStr">
        <is>
          <t>Föryngringsavverkning</t>
        </is>
      </c>
      <c r="D125" s="1" t="n">
        <v>46077</v>
      </c>
      <c r="E125" s="1" t="n">
        <v>46220</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s="2" t="inlineStr">
        <is>
          <t>Aspgelélav
Vedtrappmossa
Bårdlav
Korallblylav</t>
        </is>
      </c>
      <c r="V125">
        <f>HYPERLINK("https://klasma.github.io/Logging_2303/artfynd/A 10410-2026 artfynd.xlsx", "A 10410-2026")</f>
        <v/>
      </c>
      <c r="W125">
        <f>HYPERLINK("https://klasma.github.io/Logging_2303/kartor/A 10410-2026 karta.png", "A 10410-2026")</f>
        <v/>
      </c>
      <c r="Y125">
        <f>HYPERLINK("https://klasma.github.io/Logging_2303/klagomål/A 10410-2026 FSC-klagomål.docx", "A 10410-2026")</f>
        <v/>
      </c>
      <c r="Z125">
        <f>HYPERLINK("https://klasma.github.io/Logging_2303/klagomålsmail/A 10410-2026 FSC-klagomål mail.docx", "A 10410-2026")</f>
        <v/>
      </c>
      <c r="AA125">
        <f>HYPERLINK("https://klasma.github.io/Logging_2303/tillsyn/A 10410-2026 tillsynsbegäran.docx", "A 10410-2026")</f>
        <v/>
      </c>
      <c r="AB125">
        <f>HYPERLINK("https://klasma.github.io/Logging_2303/tillsynsmail/A 10410-2026 tillsynsbegäran mail.docx", "A 10410-2026")</f>
        <v/>
      </c>
    </row>
    <row r="126" ht="15" customHeight="1">
      <c r="A126" t="inlineStr">
        <is>
          <t>A 48065-2023</t>
        </is>
      </c>
      <c r="B126" t="inlineStr">
        <is>
          <t>avverkningsanmälan</t>
        </is>
      </c>
      <c r="C126" t="inlineStr">
        <is>
          <t>Avverkning för att bevara och utveckla /försöksver</t>
        </is>
      </c>
      <c r="D126" s="1" t="n">
        <v>45204</v>
      </c>
      <c r="E126" s="1" t="n">
        <v>46220</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s="2" t="inlineStr">
        <is>
          <t>Knärot
Gytterlav
Spindelblomster
Stuplav</t>
        </is>
      </c>
      <c r="V126">
        <f>HYPERLINK("https://klasma.github.io/Logging_2303/artfynd/A 48065-2023 artfynd.xlsx", "A 48065-2023")</f>
        <v/>
      </c>
      <c r="W126">
        <f>HYPERLINK("https://klasma.github.io/Logging_2303/kartor/A 48065-2023 karta.png", "A 48065-2023")</f>
        <v/>
      </c>
      <c r="X126">
        <f>HYPERLINK("https://klasma.github.io/Logging_2303/knärot/A 48065-2023 karta knärot.png", "A 48065-2023")</f>
        <v/>
      </c>
      <c r="Y126">
        <f>HYPERLINK("https://klasma.github.io/Logging_2303/klagomål/A 48065-2023 FSC-klagomål.docx", "A 48065-2023")</f>
        <v/>
      </c>
      <c r="Z126">
        <f>HYPERLINK("https://klasma.github.io/Logging_2303/klagomålsmail/A 48065-2023 FSC-klagomål mail.docx", "A 48065-2023")</f>
        <v/>
      </c>
      <c r="AA126">
        <f>HYPERLINK("https://klasma.github.io/Logging_2303/tillsyn/A 48065-2023 tillsynsbegäran.docx", "A 48065-2023")</f>
        <v/>
      </c>
      <c r="AB126">
        <f>HYPERLINK("https://klasma.github.io/Logging_2303/tillsynsmail/A 48065-2023 tillsynsbegäran mail.docx", "A 48065-2023")</f>
        <v/>
      </c>
    </row>
    <row r="127" ht="15" customHeight="1">
      <c r="A127" t="inlineStr">
        <is>
          <t>A 17733-2022</t>
        </is>
      </c>
      <c r="B127" t="inlineStr">
        <is>
          <t>avverkningsanmälan</t>
        </is>
      </c>
      <c r="C127" t="inlineStr">
        <is>
          <t>Föryngringsavverkning</t>
        </is>
      </c>
      <c r="D127" s="1" t="n">
        <v>44680</v>
      </c>
      <c r="E127" s="1" t="n">
        <v>46220</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s="2" t="inlineStr">
        <is>
          <t>Lunglav
Skrovellav
Dvärgtufs
Stuplav</t>
        </is>
      </c>
      <c r="V127">
        <f>HYPERLINK("https://klasma.github.io/Logging_2303/artfynd/A 17733-2022 artfynd.xlsx", "A 17733-2022")</f>
        <v/>
      </c>
      <c r="W127">
        <f>HYPERLINK("https://klasma.github.io/Logging_2303/kartor/A 17733-2022 karta.png", "A 17733-2022")</f>
        <v/>
      </c>
      <c r="Y127">
        <f>HYPERLINK("https://klasma.github.io/Logging_2303/klagomål/A 17733-2022 FSC-klagomål.docx", "A 17733-2022")</f>
        <v/>
      </c>
      <c r="Z127">
        <f>HYPERLINK("https://klasma.github.io/Logging_2303/klagomålsmail/A 17733-2022 FSC-klagomål mail.docx", "A 17733-2022")</f>
        <v/>
      </c>
      <c r="AA127">
        <f>HYPERLINK("https://klasma.github.io/Logging_2303/tillsyn/A 17733-2022 tillsynsbegäran.docx", "A 17733-2022")</f>
        <v/>
      </c>
      <c r="AB127">
        <f>HYPERLINK("https://klasma.github.io/Logging_2303/tillsynsmail/A 17733-2022 tillsynsbegäran mail.docx", "A 17733-2022")</f>
        <v/>
      </c>
    </row>
    <row r="128" ht="15" customHeight="1">
      <c r="A128" t="inlineStr">
        <is>
          <t>A 29766-2023</t>
        </is>
      </c>
      <c r="B128" t="inlineStr">
        <is>
          <t>avverkningsanmälan</t>
        </is>
      </c>
      <c r="C128" t="inlineStr">
        <is>
          <t>Föryngringsavverkning</t>
        </is>
      </c>
      <c r="D128" s="1" t="n">
        <v>45098</v>
      </c>
      <c r="E128" s="1" t="n">
        <v>46220</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s="2" t="inlineStr">
        <is>
          <t>Garnlav
Korallrot
Spindelblomster
Fläcknycklar</t>
        </is>
      </c>
      <c r="V128">
        <f>HYPERLINK("https://klasma.github.io/Logging_2303/artfynd/A 29766-2023 artfynd.xlsx", "A 29766-2023")</f>
        <v/>
      </c>
      <c r="W128">
        <f>HYPERLINK("https://klasma.github.io/Logging_2303/kartor/A 29766-2023 karta.png", "A 29766-2023")</f>
        <v/>
      </c>
      <c r="Y128">
        <f>HYPERLINK("https://klasma.github.io/Logging_2303/klagomål/A 29766-2023 FSC-klagomål.docx", "A 29766-2023")</f>
        <v/>
      </c>
      <c r="Z128">
        <f>HYPERLINK("https://klasma.github.io/Logging_2303/klagomålsmail/A 29766-2023 FSC-klagomål mail.docx", "A 29766-2023")</f>
        <v/>
      </c>
      <c r="AA128">
        <f>HYPERLINK("https://klasma.github.io/Logging_2303/tillsyn/A 29766-2023 tillsynsbegäran.docx", "A 29766-2023")</f>
        <v/>
      </c>
      <c r="AB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46220</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s="2" t="inlineStr">
        <is>
          <t>Knärot
Rosenticka
Rynkskinn
Vitgrynig nållav</t>
        </is>
      </c>
      <c r="V129">
        <f>HYPERLINK("https://klasma.github.io/Logging_2303/artfynd/A 19401-2025 artfynd.xlsx", "A 19401-2025")</f>
        <v/>
      </c>
      <c r="W129">
        <f>HYPERLINK("https://klasma.github.io/Logging_2303/kartor/A 19401-2025 karta.png", "A 19401-2025")</f>
        <v/>
      </c>
      <c r="X129">
        <f>HYPERLINK("https://klasma.github.io/Logging_2303/knärot/A 19401-2025 karta knärot.png", "A 19401-2025")</f>
        <v/>
      </c>
      <c r="Y129">
        <f>HYPERLINK("https://klasma.github.io/Logging_2303/klagomål/A 19401-2025 FSC-klagomål.docx", "A 19401-2025")</f>
        <v/>
      </c>
      <c r="Z129">
        <f>HYPERLINK("https://klasma.github.io/Logging_2303/klagomålsmail/A 19401-2025 FSC-klagomål mail.docx", "A 19401-2025")</f>
        <v/>
      </c>
      <c r="AA129">
        <f>HYPERLINK("https://klasma.github.io/Logging_2303/tillsyn/A 19401-2025 tillsynsbegäran.docx", "A 19401-2025")</f>
        <v/>
      </c>
      <c r="AB129">
        <f>HYPERLINK("https://klasma.github.io/Logging_2303/tillsynsmail/A 19401-2025 tillsynsbegäran mail.docx", "A 19401-2025")</f>
        <v/>
      </c>
    </row>
    <row r="130" ht="15" customHeight="1">
      <c r="A130" t="inlineStr">
        <is>
          <t>A 13302-2022</t>
        </is>
      </c>
      <c r="B130" t="inlineStr">
        <is>
          <t>avverkningsanmälan</t>
        </is>
      </c>
      <c r="C130" t="inlineStr">
        <is>
          <t>Föryngringsavverkning</t>
        </is>
      </c>
      <c r="D130" s="1" t="n">
        <v>44644</v>
      </c>
      <c r="E130" s="1" t="n">
        <v>46220</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s="2" t="inlineStr">
        <is>
          <t>Doftticka
Garnlav
Lunglav
Tretåig hackspett</t>
        </is>
      </c>
      <c r="V130">
        <f>HYPERLINK("https://klasma.github.io/Logging_2303/artfynd/A 13302-2022 artfynd.xlsx", "A 13302-2022")</f>
        <v/>
      </c>
      <c r="W130">
        <f>HYPERLINK("https://klasma.github.io/Logging_2303/kartor/A 13302-2022 karta.png", "A 13302-2022")</f>
        <v/>
      </c>
      <c r="Y130">
        <f>HYPERLINK("https://klasma.github.io/Logging_2303/klagomål/A 13302-2022 FSC-klagomål.docx", "A 13302-2022")</f>
        <v/>
      </c>
      <c r="Z130">
        <f>HYPERLINK("https://klasma.github.io/Logging_2303/klagomålsmail/A 13302-2022 FSC-klagomål mail.docx", "A 13302-2022")</f>
        <v/>
      </c>
      <c r="AA130">
        <f>HYPERLINK("https://klasma.github.io/Logging_2303/tillsyn/A 13302-2022 tillsynsbegäran.docx", "A 13302-2022")</f>
        <v/>
      </c>
      <c r="AB130">
        <f>HYPERLINK("https://klasma.github.io/Logging_2303/tillsynsmail/A 13302-2022 tillsynsbegäran mail.docx", "A 13302-2022")</f>
        <v/>
      </c>
      <c r="AC130">
        <f>HYPERLINK("https://klasma.github.io/Logging_2303/fåglar/A 13302-2022 prioriterade fågelarter.docx", "A 13302-2022")</f>
        <v/>
      </c>
    </row>
    <row r="131" ht="15" customHeight="1">
      <c r="A131" t="inlineStr">
        <is>
          <t>A 17092-2022</t>
        </is>
      </c>
      <c r="B131" t="inlineStr">
        <is>
          <t>avverkningsanmälan</t>
        </is>
      </c>
      <c r="C131" t="inlineStr">
        <is>
          <t>Föryngringsavverkning</t>
        </is>
      </c>
      <c r="D131" s="1" t="n">
        <v>44677</v>
      </c>
      <c r="E131" s="1" t="n">
        <v>46220</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s="2" t="inlineStr">
        <is>
          <t>Garnlav
Knärot
Lunglav
Ullticka</t>
        </is>
      </c>
      <c r="V131">
        <f>HYPERLINK("https://klasma.github.io/Logging_2303/artfynd/A 17092-2022 artfynd.xlsx", "A 17092-2022")</f>
        <v/>
      </c>
      <c r="W131">
        <f>HYPERLINK("https://klasma.github.io/Logging_2303/kartor/A 17092-2022 karta.png", "A 17092-2022")</f>
        <v/>
      </c>
      <c r="X131">
        <f>HYPERLINK("https://klasma.github.io/Logging_2303/knärot/A 17092-2022 karta knärot.png", "A 17092-2022")</f>
        <v/>
      </c>
      <c r="Y131">
        <f>HYPERLINK("https://klasma.github.io/Logging_2303/klagomål/A 17092-2022 FSC-klagomål.docx", "A 17092-2022")</f>
        <v/>
      </c>
      <c r="Z131">
        <f>HYPERLINK("https://klasma.github.io/Logging_2303/klagomålsmail/A 17092-2022 FSC-klagomål mail.docx", "A 17092-2022")</f>
        <v/>
      </c>
      <c r="AA131">
        <f>HYPERLINK("https://klasma.github.io/Logging_2303/tillsyn/A 17092-2022 tillsynsbegäran.docx", "A 17092-2022")</f>
        <v/>
      </c>
      <c r="AB131">
        <f>HYPERLINK("https://klasma.github.io/Logging_2303/tillsynsmail/A 17092-2022 tillsynsbegäran mail.docx", "A 17092-2022")</f>
        <v/>
      </c>
    </row>
    <row r="132" ht="15" customHeight="1">
      <c r="A132" t="inlineStr">
        <is>
          <t>A 33432-2023</t>
        </is>
      </c>
      <c r="B132" t="inlineStr">
        <is>
          <t>avverkningsanmälan</t>
        </is>
      </c>
      <c r="C132" t="inlineStr">
        <is>
          <t>Avverkning för annat ändamål</t>
        </is>
      </c>
      <c r="D132" s="1" t="n">
        <v>45128</v>
      </c>
      <c r="E132" s="1" t="n">
        <v>46220</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s="2" t="inlineStr">
        <is>
          <t>Garnlav
Lunglav
Tretåig hackspett
Luddlav</t>
        </is>
      </c>
      <c r="V132">
        <f>HYPERLINK("https://klasma.github.io/Logging_2303/artfynd/A 33432-2023 artfynd.xlsx", "A 33432-2023")</f>
        <v/>
      </c>
      <c r="W132">
        <f>HYPERLINK("https://klasma.github.io/Logging_2303/kartor/A 33432-2023 karta.png", "A 33432-2023")</f>
        <v/>
      </c>
      <c r="Y132">
        <f>HYPERLINK("https://klasma.github.io/Logging_2303/klagomål/A 33432-2023 FSC-klagomål.docx", "A 33432-2023")</f>
        <v/>
      </c>
      <c r="Z132">
        <f>HYPERLINK("https://klasma.github.io/Logging_2303/klagomålsmail/A 33432-2023 FSC-klagomål mail.docx", "A 33432-2023")</f>
        <v/>
      </c>
      <c r="AA132">
        <f>HYPERLINK("https://klasma.github.io/Logging_2303/tillsyn/A 33432-2023 tillsynsbegäran.docx", "A 33432-2023")</f>
        <v/>
      </c>
      <c r="AB132">
        <f>HYPERLINK("https://klasma.github.io/Logging_2303/tillsynsmail/A 33432-2023 tillsynsbegäran mail.docx", "A 33432-2023")</f>
        <v/>
      </c>
      <c r="AC132">
        <f>HYPERLINK("https://klasma.github.io/Logging_2303/fåglar/A 33432-2023 prioriterade fågelarter.docx", "A 33432-2023")</f>
        <v/>
      </c>
    </row>
    <row r="133" ht="15" customHeight="1">
      <c r="A133" t="inlineStr">
        <is>
          <t>A 53989-2024</t>
        </is>
      </c>
      <c r="B133" t="inlineStr">
        <is>
          <t>avverkningsanmälan</t>
        </is>
      </c>
      <c r="C133" t="inlineStr">
        <is>
          <t>Avverkning för att bevara och utveckla /försöksver</t>
        </is>
      </c>
      <c r="D133" s="1" t="n">
        <v>45616</v>
      </c>
      <c r="E133" s="1" t="n">
        <v>46220</v>
      </c>
      <c r="F133" t="inlineStr">
        <is>
          <t>JÄMTLANDS LÄN</t>
        </is>
      </c>
      <c r="G133" t="inlineStr">
        <is>
          <t>RAGUNDA</t>
        </is>
      </c>
      <c r="H133" t="inlineStr">
        <is>
          <t>SCA</t>
        </is>
      </c>
      <c r="I133" t="n">
        <v>7.2</v>
      </c>
      <c r="J133" t="n">
        <v>0</v>
      </c>
      <c r="K133" t="n">
        <v>2</v>
      </c>
      <c r="L133" t="n">
        <v>2</v>
      </c>
      <c r="M133" t="n">
        <v>0</v>
      </c>
      <c r="N133" t="n">
        <v>0</v>
      </c>
      <c r="O133" t="n">
        <v>0</v>
      </c>
      <c r="P133" t="n">
        <v>0</v>
      </c>
      <c r="Q133" t="n">
        <v>2</v>
      </c>
      <c r="R133" t="n">
        <v>0</v>
      </c>
      <c r="S133" t="n">
        <v>4</v>
      </c>
      <c r="T133" t="n">
        <v>6</v>
      </c>
      <c r="U133" s="2" t="inlineStr">
        <is>
          <t>Lunglav
Vitgrynig nållav
Korallblylav
Mörk husmossa</t>
        </is>
      </c>
      <c r="V133">
        <f>HYPERLINK("https://klasma.github.io/Logging_2303/artfynd/A 53989-2024 artfynd.xlsx", "A 53989-2024")</f>
        <v/>
      </c>
      <c r="W133">
        <f>HYPERLINK("https://klasma.github.io/Logging_2303/kartor/A 53989-2024 karta.png", "A 53989-2024")</f>
        <v/>
      </c>
      <c r="Y133">
        <f>HYPERLINK("https://klasma.github.io/Logging_2303/klagomål/A 53989-2024 FSC-klagomål.docx", "A 53989-2024")</f>
        <v/>
      </c>
      <c r="Z133">
        <f>HYPERLINK("https://klasma.github.io/Logging_2303/klagomålsmail/A 53989-2024 FSC-klagomål mail.docx", "A 53989-2024")</f>
        <v/>
      </c>
      <c r="AA133">
        <f>HYPERLINK("https://klasma.github.io/Logging_2303/tillsyn/A 53989-2024 tillsynsbegäran.docx", "A 53989-2024")</f>
        <v/>
      </c>
      <c r="AB133">
        <f>HYPERLINK("https://klasma.github.io/Logging_2303/tillsynsmail/A 53989-2024 tillsynsbegäran mail.docx", "A 53989-2024")</f>
        <v/>
      </c>
    </row>
    <row r="134" ht="15" customHeight="1">
      <c r="A134" t="inlineStr">
        <is>
          <t>A 21372-2025</t>
        </is>
      </c>
      <c r="B134" t="inlineStr">
        <is>
          <t>avverkningsanmälan</t>
        </is>
      </c>
      <c r="C134" t="inlineStr">
        <is>
          <t>Föryngringsavverkning</t>
        </is>
      </c>
      <c r="D134" s="1" t="n">
        <v>45782</v>
      </c>
      <c r="E134" s="1" t="n">
        <v>46220</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s="2" t="inlineStr">
        <is>
          <t>Garnlav
Lunglav
Stuplav
Tjäder</t>
        </is>
      </c>
      <c r="V134">
        <f>HYPERLINK("https://klasma.github.io/Logging_2303/artfynd/A 21372-2025 artfynd.xlsx", "A 21372-2025")</f>
        <v/>
      </c>
      <c r="W134">
        <f>HYPERLINK("https://klasma.github.io/Logging_2303/kartor/A 21372-2025 karta.png", "A 21372-2025")</f>
        <v/>
      </c>
      <c r="Y134">
        <f>HYPERLINK("https://klasma.github.io/Logging_2303/klagomål/A 21372-2025 FSC-klagomål.docx", "A 21372-2025")</f>
        <v/>
      </c>
      <c r="Z134">
        <f>HYPERLINK("https://klasma.github.io/Logging_2303/klagomålsmail/A 21372-2025 FSC-klagomål mail.docx", "A 21372-2025")</f>
        <v/>
      </c>
      <c r="AA134">
        <f>HYPERLINK("https://klasma.github.io/Logging_2303/tillsyn/A 21372-2025 tillsynsbegäran.docx", "A 21372-2025")</f>
        <v/>
      </c>
      <c r="AB134">
        <f>HYPERLINK("https://klasma.github.io/Logging_2303/tillsynsmail/A 21372-2025 tillsynsbegäran mail.docx", "A 21372-2025")</f>
        <v/>
      </c>
      <c r="AC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46220</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46220</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s="2" t="inlineStr">
        <is>
          <t>Lunglav
Tretåig hackspett
Järpe</t>
        </is>
      </c>
      <c r="V136">
        <f>HYPERLINK("https://klasma.github.io/Logging_2303/artfynd/A 58368-2024 artfynd.xlsx", "A 58368-2024")</f>
        <v/>
      </c>
      <c r="W136">
        <f>HYPERLINK("https://klasma.github.io/Logging_2303/kartor/A 58368-2024 karta.png", "A 58368-2024")</f>
        <v/>
      </c>
      <c r="Y136">
        <f>HYPERLINK("https://klasma.github.io/Logging_2303/klagomål/A 58368-2024 FSC-klagomål.docx", "A 58368-2024")</f>
        <v/>
      </c>
      <c r="Z136">
        <f>HYPERLINK("https://klasma.github.io/Logging_2303/klagomålsmail/A 58368-2024 FSC-klagomål mail.docx", "A 58368-2024")</f>
        <v/>
      </c>
      <c r="AA136">
        <f>HYPERLINK("https://klasma.github.io/Logging_2303/tillsyn/A 58368-2024 tillsynsbegäran.docx", "A 58368-2024")</f>
        <v/>
      </c>
      <c r="AB136">
        <f>HYPERLINK("https://klasma.github.io/Logging_2303/tillsynsmail/A 58368-2024 tillsynsbegäran mail.docx", "A 58368-2024")</f>
        <v/>
      </c>
      <c r="AC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46220</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s="2" t="inlineStr">
        <is>
          <t>Garnlav
Dropptaggsvamp
Lunglav</t>
        </is>
      </c>
      <c r="V137">
        <f>HYPERLINK("https://klasma.github.io/Logging_2303/artfynd/A 53022-2022 artfynd.xlsx", "A 53022-2022")</f>
        <v/>
      </c>
      <c r="W137">
        <f>HYPERLINK("https://klasma.github.io/Logging_2303/kartor/A 53022-2022 karta.png", "A 53022-2022")</f>
        <v/>
      </c>
      <c r="Y137">
        <f>HYPERLINK("https://klasma.github.io/Logging_2303/klagomål/A 53022-2022 FSC-klagomål.docx", "A 53022-2022")</f>
        <v/>
      </c>
      <c r="Z137">
        <f>HYPERLINK("https://klasma.github.io/Logging_2303/klagomålsmail/A 53022-2022 FSC-klagomål mail.docx", "A 53022-2022")</f>
        <v/>
      </c>
      <c r="AA137">
        <f>HYPERLINK("https://klasma.github.io/Logging_2303/tillsyn/A 53022-2022 tillsynsbegäran.docx", "A 53022-2022")</f>
        <v/>
      </c>
      <c r="AB137">
        <f>HYPERLINK("https://klasma.github.io/Logging_2303/tillsynsmail/A 53022-2022 tillsynsbegäran mail.docx", "A 53022-2022")</f>
        <v/>
      </c>
    </row>
    <row r="138" ht="15" customHeight="1">
      <c r="A138" t="inlineStr">
        <is>
          <t>A 22571-2025</t>
        </is>
      </c>
      <c r="B138" t="inlineStr">
        <is>
          <t>avverkningsanmälan</t>
        </is>
      </c>
      <c r="C138" t="inlineStr">
        <is>
          <t>Föryngringsavverkning</t>
        </is>
      </c>
      <c r="D138" s="1" t="n">
        <v>45789</v>
      </c>
      <c r="E138" s="1" t="n">
        <v>46220</v>
      </c>
      <c r="F138" t="inlineStr">
        <is>
          <t>JÄMTLANDS LÄN</t>
        </is>
      </c>
      <c r="G138" t="inlineStr">
        <is>
          <t>RAGUNDA</t>
        </is>
      </c>
      <c r="H138" t="inlineStr">
        <is>
          <t>SCA</t>
        </is>
      </c>
      <c r="I138" t="n">
        <v>18.2</v>
      </c>
      <c r="J138" t="n">
        <v>2</v>
      </c>
      <c r="K138" t="n">
        <v>0</v>
      </c>
      <c r="L138" t="n">
        <v>1</v>
      </c>
      <c r="M138" t="n">
        <v>1</v>
      </c>
      <c r="N138" t="n">
        <v>0</v>
      </c>
      <c r="O138" t="n">
        <v>0</v>
      </c>
      <c r="P138" t="n">
        <v>0</v>
      </c>
      <c r="Q138" t="n">
        <v>2</v>
      </c>
      <c r="R138" t="n">
        <v>1</v>
      </c>
      <c r="S138" t="n">
        <v>3</v>
      </c>
      <c r="T138" t="n">
        <v>7</v>
      </c>
      <c r="U138" s="2" t="inlineStr">
        <is>
          <t>Garnlav
Tretåig hackspett
Nattviol</t>
        </is>
      </c>
      <c r="V138">
        <f>HYPERLINK("https://klasma.github.io/Logging_2303/artfynd/A 22571-2025 artfynd.xlsx", "A 22571-2025")</f>
        <v/>
      </c>
      <c r="W138">
        <f>HYPERLINK("https://klasma.github.io/Logging_2303/kartor/A 22571-2025 karta.png", "A 22571-2025")</f>
        <v/>
      </c>
      <c r="Y138">
        <f>HYPERLINK("https://klasma.github.io/Logging_2303/klagomål/A 22571-2025 FSC-klagomål.docx", "A 22571-2025")</f>
        <v/>
      </c>
      <c r="Z138">
        <f>HYPERLINK("https://klasma.github.io/Logging_2303/klagomålsmail/A 22571-2025 FSC-klagomål mail.docx", "A 22571-2025")</f>
        <v/>
      </c>
      <c r="AA138">
        <f>HYPERLINK("https://klasma.github.io/Logging_2303/tillsyn/A 22571-2025 tillsynsbegäran.docx", "A 22571-2025")</f>
        <v/>
      </c>
      <c r="AB138">
        <f>HYPERLINK("https://klasma.github.io/Logging_2303/tillsynsmail/A 22571-2025 tillsynsbegäran mail.docx", "A 22571-2025")</f>
        <v/>
      </c>
      <c r="AC138">
        <f>HYPERLINK("https://klasma.github.io/Logging_2303/fåglar/A 22571-2025 prioriterade fågelarter.docx", "A 22571-2025")</f>
        <v/>
      </c>
    </row>
    <row r="139" ht="15" customHeight="1">
      <c r="A139" t="inlineStr">
        <is>
          <t>A 2173-2026</t>
        </is>
      </c>
      <c r="B139" t="inlineStr">
        <is>
          <t>avverkningsanmälan</t>
        </is>
      </c>
      <c r="C139" t="inlineStr">
        <is>
          <t>Föryngringsavverkning</t>
        </is>
      </c>
      <c r="D139" s="1" t="n">
        <v>46036</v>
      </c>
      <c r="E139" s="1" t="n">
        <v>46220</v>
      </c>
      <c r="F139" t="inlineStr">
        <is>
          <t>JÄMTLANDS LÄN</t>
        </is>
      </c>
      <c r="G139" t="inlineStr">
        <is>
          <t>RAGUNDA</t>
        </is>
      </c>
      <c r="H139" t="inlineStr">
        <is>
          <t>SCA</t>
        </is>
      </c>
      <c r="I139" t="n">
        <v>3.5</v>
      </c>
      <c r="J139" t="n">
        <v>0</v>
      </c>
      <c r="K139" t="n">
        <v>2</v>
      </c>
      <c r="L139" t="n">
        <v>1</v>
      </c>
      <c r="M139" t="n">
        <v>0</v>
      </c>
      <c r="N139" t="n">
        <v>0</v>
      </c>
      <c r="O139" t="n">
        <v>0</v>
      </c>
      <c r="P139" t="n">
        <v>0</v>
      </c>
      <c r="Q139" t="n">
        <v>1</v>
      </c>
      <c r="R139" t="n">
        <v>0</v>
      </c>
      <c r="S139" t="n">
        <v>3</v>
      </c>
      <c r="T139" t="n">
        <v>3</v>
      </c>
      <c r="U139" s="2" t="inlineStr">
        <is>
          <t>Lunglav
Korallblylav
Stuplav</t>
        </is>
      </c>
      <c r="V139">
        <f>HYPERLINK("https://klasma.github.io/Logging_2303/artfynd/A 2173-2026 artfynd.xlsx", "A 2173-2026")</f>
        <v/>
      </c>
      <c r="W139">
        <f>HYPERLINK("https://klasma.github.io/Logging_2303/kartor/A 2173-2026 karta.png", "A 2173-2026")</f>
        <v/>
      </c>
      <c r="Y139">
        <f>HYPERLINK("https://klasma.github.io/Logging_2303/klagomål/A 2173-2026 FSC-klagomål.docx", "A 2173-2026")</f>
        <v/>
      </c>
      <c r="Z139">
        <f>HYPERLINK("https://klasma.github.io/Logging_2303/klagomålsmail/A 2173-2026 FSC-klagomål mail.docx", "A 2173-2026")</f>
        <v/>
      </c>
      <c r="AA139">
        <f>HYPERLINK("https://klasma.github.io/Logging_2303/tillsyn/A 2173-2026 tillsynsbegäran.docx", "A 2173-2026")</f>
        <v/>
      </c>
      <c r="AB139">
        <f>HYPERLINK("https://klasma.github.io/Logging_2303/tillsynsmail/A 2173-2026 tillsynsbegäran mail.docx", "A 2173-2026")</f>
        <v/>
      </c>
    </row>
    <row r="140" ht="15" customHeight="1">
      <c r="A140" t="inlineStr">
        <is>
          <t>A 28178-2023</t>
        </is>
      </c>
      <c r="B140" t="inlineStr">
        <is>
          <t>avverkningsanmälan</t>
        </is>
      </c>
      <c r="C140" t="inlineStr">
        <is>
          <t>Föryngringsavverkning</t>
        </is>
      </c>
      <c r="D140" s="1" t="n">
        <v>45093</v>
      </c>
      <c r="E140" s="1" t="n">
        <v>46220</v>
      </c>
      <c r="F140" t="inlineStr">
        <is>
          <t>JÄMTLANDS LÄN</t>
        </is>
      </c>
      <c r="G140" t="inlineStr">
        <is>
          <t>RAGUNDA</t>
        </is>
      </c>
      <c r="I140" t="n">
        <v>5.6</v>
      </c>
      <c r="J140" t="n">
        <v>0</v>
      </c>
      <c r="K140" t="n">
        <v>0</v>
      </c>
      <c r="L140" t="n">
        <v>2</v>
      </c>
      <c r="M140" t="n">
        <v>1</v>
      </c>
      <c r="N140" t="n">
        <v>0</v>
      </c>
      <c r="O140" t="n">
        <v>0</v>
      </c>
      <c r="P140" t="n">
        <v>0</v>
      </c>
      <c r="Q140" t="n">
        <v>3</v>
      </c>
      <c r="R140" t="n">
        <v>1</v>
      </c>
      <c r="S140" t="n">
        <v>3</v>
      </c>
      <c r="T140" t="n">
        <v>3</v>
      </c>
      <c r="U140" s="2" t="inlineStr">
        <is>
          <t>Garnlav
Gultoppig fingersvamp
Violettgrå tagellav</t>
        </is>
      </c>
      <c r="V140">
        <f>HYPERLINK("https://klasma.github.io/Logging_2303/artfynd/A 28178-2023 artfynd.xlsx", "A 28178-2023")</f>
        <v/>
      </c>
      <c r="W140">
        <f>HYPERLINK("https://klasma.github.io/Logging_2303/kartor/A 28178-2023 karta.png", "A 28178-2023")</f>
        <v/>
      </c>
      <c r="Y140">
        <f>HYPERLINK("https://klasma.github.io/Logging_2303/klagomål/A 28178-2023 FSC-klagomål.docx", "A 28178-2023")</f>
        <v/>
      </c>
      <c r="Z140">
        <f>HYPERLINK("https://klasma.github.io/Logging_2303/klagomålsmail/A 28178-2023 FSC-klagomål mail.docx", "A 28178-2023")</f>
        <v/>
      </c>
      <c r="AA140">
        <f>HYPERLINK("https://klasma.github.io/Logging_2303/tillsyn/A 28178-2023 tillsynsbegäran.docx", "A 28178-2023")</f>
        <v/>
      </c>
      <c r="AB140">
        <f>HYPERLINK("https://klasma.github.io/Logging_2303/tillsynsmail/A 28178-2023 tillsynsbegäran mail.docx", "A 28178-2023")</f>
        <v/>
      </c>
    </row>
    <row r="141" ht="15" customHeight="1">
      <c r="A141" t="inlineStr">
        <is>
          <t>A 49047-2023</t>
        </is>
      </c>
      <c r="B141" t="inlineStr">
        <is>
          <t>avverkningsanmälan</t>
        </is>
      </c>
      <c r="C141" t="inlineStr">
        <is>
          <t>Avverkning för att bevara och utveckla /försöksver</t>
        </is>
      </c>
      <c r="D141" s="1" t="n">
        <v>45209</v>
      </c>
      <c r="E141" s="1" t="n">
        <v>46220</v>
      </c>
      <c r="F141" t="inlineStr">
        <is>
          <t>JÄMTLANDS LÄN</t>
        </is>
      </c>
      <c r="G141" t="inlineStr">
        <is>
          <t>RAGUNDA</t>
        </is>
      </c>
      <c r="H141" t="inlineStr">
        <is>
          <t>SCA</t>
        </is>
      </c>
      <c r="I141" t="n">
        <v>6.9</v>
      </c>
      <c r="J141" t="n">
        <v>0</v>
      </c>
      <c r="K141" t="n">
        <v>0</v>
      </c>
      <c r="L141" t="n">
        <v>3</v>
      </c>
      <c r="M141" t="n">
        <v>0</v>
      </c>
      <c r="N141" t="n">
        <v>0</v>
      </c>
      <c r="O141" t="n">
        <v>0</v>
      </c>
      <c r="P141" t="n">
        <v>0</v>
      </c>
      <c r="Q141" t="n">
        <v>3</v>
      </c>
      <c r="R141" t="n">
        <v>0</v>
      </c>
      <c r="S141" t="n">
        <v>3</v>
      </c>
      <c r="T141" t="n">
        <v>4</v>
      </c>
      <c r="U141" s="2" t="inlineStr">
        <is>
          <t>Lunglav
Rosenticka
Skrovellav</t>
        </is>
      </c>
      <c r="V141">
        <f>HYPERLINK("https://klasma.github.io/Logging_2303/artfynd/A 49047-2023 artfynd.xlsx", "A 49047-2023")</f>
        <v/>
      </c>
      <c r="W141">
        <f>HYPERLINK("https://klasma.github.io/Logging_2303/kartor/A 49047-2023 karta.png", "A 49047-2023")</f>
        <v/>
      </c>
      <c r="Y141">
        <f>HYPERLINK("https://klasma.github.io/Logging_2303/klagomål/A 49047-2023 FSC-klagomål.docx", "A 49047-2023")</f>
        <v/>
      </c>
      <c r="Z141">
        <f>HYPERLINK("https://klasma.github.io/Logging_2303/klagomålsmail/A 49047-2023 FSC-klagomål mail.docx", "A 49047-2023")</f>
        <v/>
      </c>
      <c r="AA141">
        <f>HYPERLINK("https://klasma.github.io/Logging_2303/tillsyn/A 49047-2023 tillsynsbegäran.docx", "A 49047-2023")</f>
        <v/>
      </c>
      <c r="AB141">
        <f>HYPERLINK("https://klasma.github.io/Logging_2303/tillsynsmail/A 49047-2023 tillsynsbegäran mail.docx", "A 49047-2023")</f>
        <v/>
      </c>
    </row>
    <row r="142" ht="15" customHeight="1">
      <c r="A142" t="inlineStr">
        <is>
          <t>A 5731-2026</t>
        </is>
      </c>
      <c r="B142" t="inlineStr">
        <is>
          <t>avverkningsanmälan</t>
        </is>
      </c>
      <c r="C142" t="inlineStr">
        <is>
          <t>Föryngringsavverkning</t>
        </is>
      </c>
      <c r="D142" s="1" t="n">
        <v>46051</v>
      </c>
      <c r="E142" s="1" t="n">
        <v>46220</v>
      </c>
      <c r="F142" t="inlineStr">
        <is>
          <t>JÄMTLANDS LÄN</t>
        </is>
      </c>
      <c r="G142" t="inlineStr">
        <is>
          <t>RAGUNDA</t>
        </is>
      </c>
      <c r="H142" t="inlineStr">
        <is>
          <t>SCA</t>
        </is>
      </c>
      <c r="I142" t="n">
        <v>2</v>
      </c>
      <c r="J142" t="n">
        <v>1</v>
      </c>
      <c r="K142" t="n">
        <v>0</v>
      </c>
      <c r="L142" t="n">
        <v>2</v>
      </c>
      <c r="M142" t="n">
        <v>1</v>
      </c>
      <c r="N142" t="n">
        <v>0</v>
      </c>
      <c r="O142" t="n">
        <v>0</v>
      </c>
      <c r="P142" t="n">
        <v>0</v>
      </c>
      <c r="Q142" t="n">
        <v>3</v>
      </c>
      <c r="R142" t="n">
        <v>1</v>
      </c>
      <c r="S142" t="n">
        <v>3</v>
      </c>
      <c r="T142" t="n">
        <v>3</v>
      </c>
      <c r="U142" s="2" t="inlineStr">
        <is>
          <t>Garnlav
Lavskrika
Lunglav</t>
        </is>
      </c>
      <c r="V142">
        <f>HYPERLINK("https://klasma.github.io/Logging_2303/artfynd/A 5731-2026 artfynd.xlsx", "A 5731-2026")</f>
        <v/>
      </c>
      <c r="W142">
        <f>HYPERLINK("https://klasma.github.io/Logging_2303/kartor/A 5731-2026 karta.png", "A 5731-2026")</f>
        <v/>
      </c>
      <c r="Y142">
        <f>HYPERLINK("https://klasma.github.io/Logging_2303/klagomål/A 5731-2026 FSC-klagomål.docx", "A 5731-2026")</f>
        <v/>
      </c>
      <c r="Z142">
        <f>HYPERLINK("https://klasma.github.io/Logging_2303/klagomålsmail/A 5731-2026 FSC-klagomål mail.docx", "A 5731-2026")</f>
        <v/>
      </c>
      <c r="AA142">
        <f>HYPERLINK("https://klasma.github.io/Logging_2303/tillsyn/A 5731-2026 tillsynsbegäran.docx", "A 5731-2026")</f>
        <v/>
      </c>
      <c r="AB142">
        <f>HYPERLINK("https://klasma.github.io/Logging_2303/tillsynsmail/A 5731-2026 tillsynsbegäran mail.docx", "A 5731-2026")</f>
        <v/>
      </c>
      <c r="AC142">
        <f>HYPERLINK("https://klasma.github.io/Logging_2303/fåglar/A 5731-2026 prioriterade fågelarter.docx", "A 5731-2026")</f>
        <v/>
      </c>
    </row>
    <row r="143" ht="15" customHeight="1">
      <c r="A143" t="inlineStr">
        <is>
          <t>A 30470-2024</t>
        </is>
      </c>
      <c r="B143" t="inlineStr">
        <is>
          <t>avverkningsanmälan</t>
        </is>
      </c>
      <c r="C143" t="inlineStr">
        <is>
          <t>Föryngringsavverkning</t>
        </is>
      </c>
      <c r="D143" s="1" t="n">
        <v>45491</v>
      </c>
      <c r="E143" s="1" t="n">
        <v>46220</v>
      </c>
      <c r="F143" t="inlineStr">
        <is>
          <t>JÄMTLANDS LÄN</t>
        </is>
      </c>
      <c r="G143" t="inlineStr">
        <is>
          <t>RAGUNDA</t>
        </is>
      </c>
      <c r="H143" t="inlineStr">
        <is>
          <t>SCA</t>
        </is>
      </c>
      <c r="I143" t="n">
        <v>1.4</v>
      </c>
      <c r="J143" t="n">
        <v>2</v>
      </c>
      <c r="K143" t="n">
        <v>0</v>
      </c>
      <c r="L143" t="n">
        <v>2</v>
      </c>
      <c r="M143" t="n">
        <v>1</v>
      </c>
      <c r="N143" t="n">
        <v>0</v>
      </c>
      <c r="O143" t="n">
        <v>0</v>
      </c>
      <c r="P143" t="n">
        <v>0</v>
      </c>
      <c r="Q143" t="n">
        <v>3</v>
      </c>
      <c r="R143" t="n">
        <v>1</v>
      </c>
      <c r="S143" t="n">
        <v>3</v>
      </c>
      <c r="T143" t="n">
        <v>3</v>
      </c>
      <c r="U143" s="2" t="inlineStr">
        <is>
          <t>Knärot
Lunglav
Tretåig hackspett</t>
        </is>
      </c>
      <c r="V143">
        <f>HYPERLINK("https://klasma.github.io/Logging_2303/artfynd/A 30470-2024 artfynd.xlsx", "A 30470-2024")</f>
        <v/>
      </c>
      <c r="W143">
        <f>HYPERLINK("https://klasma.github.io/Logging_2303/kartor/A 30470-2024 karta.png", "A 30470-2024")</f>
        <v/>
      </c>
      <c r="X143">
        <f>HYPERLINK("https://klasma.github.io/Logging_2303/knärot/A 30470-2024 karta knärot.png", "A 30470-2024")</f>
        <v/>
      </c>
      <c r="Y143">
        <f>HYPERLINK("https://klasma.github.io/Logging_2303/klagomål/A 30470-2024 FSC-klagomål.docx", "A 30470-2024")</f>
        <v/>
      </c>
      <c r="Z143">
        <f>HYPERLINK("https://klasma.github.io/Logging_2303/klagomålsmail/A 30470-2024 FSC-klagomål mail.docx", "A 30470-2024")</f>
        <v/>
      </c>
      <c r="AA143">
        <f>HYPERLINK("https://klasma.github.io/Logging_2303/tillsyn/A 30470-2024 tillsynsbegäran.docx", "A 30470-2024")</f>
        <v/>
      </c>
      <c r="AB143">
        <f>HYPERLINK("https://klasma.github.io/Logging_2303/tillsynsmail/A 30470-2024 tillsynsbegäran mail.docx", "A 30470-2024")</f>
        <v/>
      </c>
      <c r="AC143">
        <f>HYPERLINK("https://klasma.github.io/Logging_2303/fåglar/A 30470-2024 prioriterade fågelarter.docx", "A 30470-2024")</f>
        <v/>
      </c>
    </row>
    <row r="144" ht="15" customHeight="1">
      <c r="A144" t="inlineStr">
        <is>
          <t>A 48429-2023</t>
        </is>
      </c>
      <c r="B144" t="inlineStr">
        <is>
          <t>avverkningsanmälan</t>
        </is>
      </c>
      <c r="C144" t="inlineStr">
        <is>
          <t>Föryngringsavverkning</t>
        </is>
      </c>
      <c r="D144" s="1" t="n">
        <v>45205</v>
      </c>
      <c r="E144" s="1" t="n">
        <v>46220</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s="2" t="inlineStr">
        <is>
          <t>Dropptaggsvamp
Gammelgransskål
Talltita</t>
        </is>
      </c>
      <c r="V144">
        <f>HYPERLINK("https://klasma.github.io/Logging_2303/artfynd/A 48429-2023 artfynd.xlsx", "A 48429-2023")</f>
        <v/>
      </c>
      <c r="W144">
        <f>HYPERLINK("https://klasma.github.io/Logging_2303/kartor/A 48429-2023 karta.png", "A 48429-2023")</f>
        <v/>
      </c>
      <c r="Y144">
        <f>HYPERLINK("https://klasma.github.io/Logging_2303/klagomål/A 48429-2023 FSC-klagomål.docx", "A 48429-2023")</f>
        <v/>
      </c>
      <c r="Z144">
        <f>HYPERLINK("https://klasma.github.io/Logging_2303/klagomålsmail/A 48429-2023 FSC-klagomål mail.docx", "A 48429-2023")</f>
        <v/>
      </c>
      <c r="AA144">
        <f>HYPERLINK("https://klasma.github.io/Logging_2303/tillsyn/A 48429-2023 tillsynsbegäran.docx", "A 48429-2023")</f>
        <v/>
      </c>
      <c r="AB144">
        <f>HYPERLINK("https://klasma.github.io/Logging_2303/tillsynsmail/A 48429-2023 tillsynsbegäran mail.docx", "A 48429-2023")</f>
        <v/>
      </c>
      <c r="AC144">
        <f>HYPERLINK("https://klasma.github.io/Logging_2303/fåglar/A 48429-2023 prioriterade fågelarter.docx", "A 48429-2023")</f>
        <v/>
      </c>
    </row>
    <row r="145" ht="15" customHeight="1">
      <c r="A145" t="inlineStr">
        <is>
          <t>A 59179-2025</t>
        </is>
      </c>
      <c r="B145" t="inlineStr">
        <is>
          <t>avverkningsanmälan</t>
        </is>
      </c>
      <c r="C145" t="inlineStr">
        <is>
          <t>Föryngringsavverkning</t>
        </is>
      </c>
      <c r="D145" s="1" t="n">
        <v>45988</v>
      </c>
      <c r="E145" s="1" t="n">
        <v>46220</v>
      </c>
      <c r="F145" t="inlineStr">
        <is>
          <t>JÄMTLANDS LÄN</t>
        </is>
      </c>
      <c r="G145" t="inlineStr">
        <is>
          <t>RAGUNDA</t>
        </is>
      </c>
      <c r="H145" t="inlineStr">
        <is>
          <t>SCA</t>
        </is>
      </c>
      <c r="I145" t="n">
        <v>2.3</v>
      </c>
      <c r="J145" t="n">
        <v>0</v>
      </c>
      <c r="K145" t="n">
        <v>0</v>
      </c>
      <c r="L145" t="n">
        <v>2</v>
      </c>
      <c r="M145" t="n">
        <v>1</v>
      </c>
      <c r="N145" t="n">
        <v>0</v>
      </c>
      <c r="O145" t="n">
        <v>0</v>
      </c>
      <c r="P145" t="n">
        <v>0</v>
      </c>
      <c r="Q145" t="n">
        <v>3</v>
      </c>
      <c r="R145" t="n">
        <v>1</v>
      </c>
      <c r="S145" t="n">
        <v>3</v>
      </c>
      <c r="T145" t="n">
        <v>3</v>
      </c>
      <c r="U145" s="2" t="inlineStr">
        <is>
          <t>Garnlav
Kolflarnlav
Lunglav</t>
        </is>
      </c>
      <c r="V145">
        <f>HYPERLINK("https://klasma.github.io/Logging_2303/artfynd/A 59179-2025 artfynd.xlsx", "A 59179-2025")</f>
        <v/>
      </c>
      <c r="W145">
        <f>HYPERLINK("https://klasma.github.io/Logging_2303/kartor/A 59179-2025 karta.png", "A 59179-2025")</f>
        <v/>
      </c>
      <c r="Y145">
        <f>HYPERLINK("https://klasma.github.io/Logging_2303/klagomål/A 59179-2025 FSC-klagomål.docx", "A 59179-2025")</f>
        <v/>
      </c>
      <c r="Z145">
        <f>HYPERLINK("https://klasma.github.io/Logging_2303/klagomålsmail/A 59179-2025 FSC-klagomål mail.docx", "A 59179-2025")</f>
        <v/>
      </c>
      <c r="AA145">
        <f>HYPERLINK("https://klasma.github.io/Logging_2303/tillsyn/A 59179-2025 tillsynsbegäran.docx", "A 59179-2025")</f>
        <v/>
      </c>
      <c r="AB145">
        <f>HYPERLINK("https://klasma.github.io/Logging_2303/tillsynsmail/A 59179-2025 tillsynsbegäran mail.docx", "A 59179-2025")</f>
        <v/>
      </c>
    </row>
    <row r="146" ht="15" customHeight="1">
      <c r="A146" t="inlineStr">
        <is>
          <t>A 14814-2024</t>
        </is>
      </c>
      <c r="B146" t="inlineStr">
        <is>
          <t>avverkningsanmälan</t>
        </is>
      </c>
      <c r="C146" t="inlineStr">
        <is>
          <t>Föryngringsavverkning</t>
        </is>
      </c>
      <c r="D146" s="1" t="n">
        <v>45397</v>
      </c>
      <c r="E146" s="1" t="n">
        <v>46220</v>
      </c>
      <c r="F146" t="inlineStr">
        <is>
          <t>JÄMTLANDS LÄN</t>
        </is>
      </c>
      <c r="G146" t="inlineStr">
        <is>
          <t>RAGUNDA</t>
        </is>
      </c>
      <c r="H146" t="inlineStr">
        <is>
          <t>SCA</t>
        </is>
      </c>
      <c r="I146" t="n">
        <v>10.5</v>
      </c>
      <c r="J146" t="n">
        <v>0</v>
      </c>
      <c r="K146" t="n">
        <v>2</v>
      </c>
      <c r="L146" t="n">
        <v>1</v>
      </c>
      <c r="M146" t="n">
        <v>0</v>
      </c>
      <c r="N146" t="n">
        <v>0</v>
      </c>
      <c r="O146" t="n">
        <v>0</v>
      </c>
      <c r="P146" t="n">
        <v>0</v>
      </c>
      <c r="Q146" t="n">
        <v>1</v>
      </c>
      <c r="R146" t="n">
        <v>0</v>
      </c>
      <c r="S146" t="n">
        <v>3</v>
      </c>
      <c r="T146" t="n">
        <v>13</v>
      </c>
      <c r="U146" s="2" t="inlineStr">
        <is>
          <t>Rosenticka
Svart trolldruva
Tibast</t>
        </is>
      </c>
      <c r="V146">
        <f>HYPERLINK("https://klasma.github.io/Logging_2303/artfynd/A 14814-2024 artfynd.xlsx", "A 14814-2024")</f>
        <v/>
      </c>
      <c r="W146">
        <f>HYPERLINK("https://klasma.github.io/Logging_2303/kartor/A 14814-2024 karta.png", "A 14814-2024")</f>
        <v/>
      </c>
      <c r="Y146">
        <f>HYPERLINK("https://klasma.github.io/Logging_2303/klagomål/A 14814-2024 FSC-klagomål.docx", "A 14814-2024")</f>
        <v/>
      </c>
      <c r="Z146">
        <f>HYPERLINK("https://klasma.github.io/Logging_2303/klagomålsmail/A 14814-2024 FSC-klagomål mail.docx", "A 14814-2024")</f>
        <v/>
      </c>
      <c r="AA146">
        <f>HYPERLINK("https://klasma.github.io/Logging_2303/tillsyn/A 14814-2024 tillsynsbegäran.docx", "A 14814-2024")</f>
        <v/>
      </c>
      <c r="AB146">
        <f>HYPERLINK("https://klasma.github.io/Logging_2303/tillsynsmail/A 14814-2024 tillsynsbegäran mail.docx", "A 14814-2024")</f>
        <v/>
      </c>
    </row>
    <row r="147" ht="15" customHeight="1">
      <c r="A147" t="inlineStr">
        <is>
          <t>A 33278-2022</t>
        </is>
      </c>
      <c r="B147" t="inlineStr">
        <is>
          <t>avverkningsanmälan</t>
        </is>
      </c>
      <c r="C147" t="inlineStr">
        <is>
          <t>Föryngringsavverkning</t>
        </is>
      </c>
      <c r="D147" s="1" t="n">
        <v>44788</v>
      </c>
      <c r="E147" s="1" t="n">
        <v>46220</v>
      </c>
      <c r="F147" t="inlineStr">
        <is>
          <t>JÄMTLANDS LÄN</t>
        </is>
      </c>
      <c r="G147" t="inlineStr">
        <is>
          <t>RAGUNDA</t>
        </is>
      </c>
      <c r="I147" t="n">
        <v>3.2</v>
      </c>
      <c r="J147" t="n">
        <v>2</v>
      </c>
      <c r="K147" t="n">
        <v>0</v>
      </c>
      <c r="L147" t="n">
        <v>2</v>
      </c>
      <c r="M147" t="n">
        <v>1</v>
      </c>
      <c r="N147" t="n">
        <v>0</v>
      </c>
      <c r="O147" t="n">
        <v>0</v>
      </c>
      <c r="P147" t="n">
        <v>0</v>
      </c>
      <c r="Q147" t="n">
        <v>3</v>
      </c>
      <c r="R147" t="n">
        <v>1</v>
      </c>
      <c r="S147" t="n">
        <v>3</v>
      </c>
      <c r="T147" t="n">
        <v>6</v>
      </c>
      <c r="U147" s="2" t="inlineStr">
        <is>
          <t>Knärot
Tretåig hackspett
Ullticka</t>
        </is>
      </c>
      <c r="V147">
        <f>HYPERLINK("https://klasma.github.io/Logging_2303/artfynd/A 33278-2022 artfynd.xlsx", "A 33278-2022")</f>
        <v/>
      </c>
      <c r="W147">
        <f>HYPERLINK("https://klasma.github.io/Logging_2303/kartor/A 33278-2022 karta.png", "A 33278-2022")</f>
        <v/>
      </c>
      <c r="X147">
        <f>HYPERLINK("https://klasma.github.io/Logging_2303/knärot/A 33278-2022 karta knärot.png", "A 33278-2022")</f>
        <v/>
      </c>
      <c r="Y147">
        <f>HYPERLINK("https://klasma.github.io/Logging_2303/klagomål/A 33278-2022 FSC-klagomål.docx", "A 33278-2022")</f>
        <v/>
      </c>
      <c r="Z147">
        <f>HYPERLINK("https://klasma.github.io/Logging_2303/klagomålsmail/A 33278-2022 FSC-klagomål mail.docx", "A 33278-2022")</f>
        <v/>
      </c>
      <c r="AA147">
        <f>HYPERLINK("https://klasma.github.io/Logging_2303/tillsyn/A 33278-2022 tillsynsbegäran.docx", "A 33278-2022")</f>
        <v/>
      </c>
      <c r="AB147">
        <f>HYPERLINK("https://klasma.github.io/Logging_2303/tillsynsmail/A 33278-2022 tillsynsbegäran mail.docx", "A 33278-2022")</f>
        <v/>
      </c>
      <c r="AC147">
        <f>HYPERLINK("https://klasma.github.io/Logging_2303/fåglar/A 33278-2022 prioriterade fågelarter.docx", "A 33278-2022")</f>
        <v/>
      </c>
    </row>
    <row r="148" ht="15" customHeight="1">
      <c r="A148" t="inlineStr">
        <is>
          <t>A 61954-2025</t>
        </is>
      </c>
      <c r="B148" t="inlineStr">
        <is>
          <t>avverkningsanmälan</t>
        </is>
      </c>
      <c r="C148" t="inlineStr">
        <is>
          <t>Föryngringsavverkning</t>
        </is>
      </c>
      <c r="D148" s="1" t="n">
        <v>46003</v>
      </c>
      <c r="E148" s="1" t="n">
        <v>46220</v>
      </c>
      <c r="F148" t="inlineStr">
        <is>
          <t>JÄMTLANDS LÄN</t>
        </is>
      </c>
      <c r="G148" t="inlineStr">
        <is>
          <t>RAGUNDA</t>
        </is>
      </c>
      <c r="H148" t="inlineStr">
        <is>
          <t>SCA</t>
        </is>
      </c>
      <c r="I148" t="n">
        <v>6.5</v>
      </c>
      <c r="J148" t="n">
        <v>0</v>
      </c>
      <c r="K148" t="n">
        <v>1</v>
      </c>
      <c r="L148" t="n">
        <v>1</v>
      </c>
      <c r="M148" t="n">
        <v>1</v>
      </c>
      <c r="N148" t="n">
        <v>0</v>
      </c>
      <c r="O148" t="n">
        <v>0</v>
      </c>
      <c r="P148" t="n">
        <v>0</v>
      </c>
      <c r="Q148" t="n">
        <v>2</v>
      </c>
      <c r="R148" t="n">
        <v>1</v>
      </c>
      <c r="S148" t="n">
        <v>3</v>
      </c>
      <c r="T148" t="n">
        <v>4</v>
      </c>
      <c r="U148" s="2" t="inlineStr">
        <is>
          <t>Garnlav
Lunglav
Trådticka</t>
        </is>
      </c>
      <c r="V148">
        <f>HYPERLINK("https://klasma.github.io/Logging_2303/artfynd/A 61954-2025 artfynd.xlsx", "A 61954-2025")</f>
        <v/>
      </c>
      <c r="W148">
        <f>HYPERLINK("https://klasma.github.io/Logging_2303/kartor/A 61954-2025 karta.png", "A 61954-2025")</f>
        <v/>
      </c>
      <c r="Y148">
        <f>HYPERLINK("https://klasma.github.io/Logging_2303/klagomål/A 61954-2025 FSC-klagomål.docx", "A 61954-2025")</f>
        <v/>
      </c>
      <c r="Z148">
        <f>HYPERLINK("https://klasma.github.io/Logging_2303/klagomålsmail/A 61954-2025 FSC-klagomål mail.docx", "A 61954-2025")</f>
        <v/>
      </c>
      <c r="AA148">
        <f>HYPERLINK("https://klasma.github.io/Logging_2303/tillsyn/A 61954-2025 tillsynsbegäran.docx", "A 61954-2025")</f>
        <v/>
      </c>
      <c r="AB148">
        <f>HYPERLINK("https://klasma.github.io/Logging_2303/tillsynsmail/A 61954-2025 tillsynsbegäran mail.docx", "A 61954-2025")</f>
        <v/>
      </c>
    </row>
    <row r="149" ht="15" customHeight="1">
      <c r="A149" t="inlineStr">
        <is>
          <t>A 15864-2024</t>
        </is>
      </c>
      <c r="B149" t="inlineStr">
        <is>
          <t>avverkningsanmälan</t>
        </is>
      </c>
      <c r="C149" t="inlineStr">
        <is>
          <t>Föryngringsavverkning</t>
        </is>
      </c>
      <c r="D149" s="1" t="n">
        <v>45404</v>
      </c>
      <c r="E149" s="1" t="n">
        <v>46220</v>
      </c>
      <c r="F149" t="inlineStr">
        <is>
          <t>JÄMTLANDS LÄN</t>
        </is>
      </c>
      <c r="G149" t="inlineStr">
        <is>
          <t>RAGUNDA</t>
        </is>
      </c>
      <c r="H149" t="inlineStr">
        <is>
          <t>SCA</t>
        </is>
      </c>
      <c r="I149" t="n">
        <v>1.1</v>
      </c>
      <c r="J149" t="n">
        <v>3</v>
      </c>
      <c r="K149" t="n">
        <v>0</v>
      </c>
      <c r="L149" t="n">
        <v>0</v>
      </c>
      <c r="M149" t="n">
        <v>1</v>
      </c>
      <c r="N149" t="n">
        <v>0</v>
      </c>
      <c r="O149" t="n">
        <v>0</v>
      </c>
      <c r="P149" t="n">
        <v>0</v>
      </c>
      <c r="Q149" t="n">
        <v>1</v>
      </c>
      <c r="R149" t="n">
        <v>1</v>
      </c>
      <c r="S149" t="n">
        <v>3</v>
      </c>
      <c r="T149" t="n">
        <v>3</v>
      </c>
      <c r="U149" s="2" t="inlineStr">
        <is>
          <t>Knärot
Blåsippa
Fläcknycklar</t>
        </is>
      </c>
      <c r="V149">
        <f>HYPERLINK("https://klasma.github.io/Logging_2303/artfynd/A 15864-2024 artfynd.xlsx", "A 15864-2024")</f>
        <v/>
      </c>
      <c r="W149">
        <f>HYPERLINK("https://klasma.github.io/Logging_2303/kartor/A 15864-2024 karta.png", "A 15864-2024")</f>
        <v/>
      </c>
      <c r="X149">
        <f>HYPERLINK("https://klasma.github.io/Logging_2303/knärot/A 15864-2024 karta knärot.png", "A 15864-2024")</f>
        <v/>
      </c>
      <c r="Y149">
        <f>HYPERLINK("https://klasma.github.io/Logging_2303/klagomål/A 15864-2024 FSC-klagomål.docx", "A 15864-2024")</f>
        <v/>
      </c>
      <c r="Z149">
        <f>HYPERLINK("https://klasma.github.io/Logging_2303/klagomålsmail/A 15864-2024 FSC-klagomål mail.docx", "A 15864-2024")</f>
        <v/>
      </c>
      <c r="AA149">
        <f>HYPERLINK("https://klasma.github.io/Logging_2303/tillsyn/A 15864-2024 tillsynsbegäran.docx", "A 15864-2024")</f>
        <v/>
      </c>
      <c r="AB149">
        <f>HYPERLINK("https://klasma.github.io/Logging_2303/tillsynsmail/A 15864-2024 tillsynsbegäran mail.docx", "A 15864-2024")</f>
        <v/>
      </c>
    </row>
    <row r="150" ht="15" customHeight="1">
      <c r="A150" t="inlineStr">
        <is>
          <t>A 26322-2024</t>
        </is>
      </c>
      <c r="B150" t="inlineStr">
        <is>
          <t>avverkningsanmälan</t>
        </is>
      </c>
      <c r="C150" t="inlineStr">
        <is>
          <t>Föryngringsavverkning</t>
        </is>
      </c>
      <c r="D150" s="1" t="n">
        <v>45468</v>
      </c>
      <c r="E150" s="1" t="n">
        <v>46220</v>
      </c>
      <c r="F150" t="inlineStr">
        <is>
          <t>JÄMTLANDS LÄN</t>
        </is>
      </c>
      <c r="G150" t="inlineStr">
        <is>
          <t>RAGUNDA</t>
        </is>
      </c>
      <c r="H150" t="inlineStr">
        <is>
          <t>SCA</t>
        </is>
      </c>
      <c r="I150" t="n">
        <v>9.6</v>
      </c>
      <c r="J150" t="n">
        <v>1</v>
      </c>
      <c r="K150" t="n">
        <v>0</v>
      </c>
      <c r="L150" t="n">
        <v>2</v>
      </c>
      <c r="M150" t="n">
        <v>1</v>
      </c>
      <c r="N150" t="n">
        <v>0</v>
      </c>
      <c r="O150" t="n">
        <v>0</v>
      </c>
      <c r="P150" t="n">
        <v>0</v>
      </c>
      <c r="Q150" t="n">
        <v>3</v>
      </c>
      <c r="R150" t="n">
        <v>1</v>
      </c>
      <c r="S150" t="n">
        <v>3</v>
      </c>
      <c r="T150" t="n">
        <v>3</v>
      </c>
      <c r="U150" s="2" t="inlineStr">
        <is>
          <t>Knärot
Gammelgransskål
Rosenticka</t>
        </is>
      </c>
      <c r="V150">
        <f>HYPERLINK("https://klasma.github.io/Logging_2303/artfynd/A 26322-2024 artfynd.xlsx", "A 26322-2024")</f>
        <v/>
      </c>
      <c r="W150">
        <f>HYPERLINK("https://klasma.github.io/Logging_2303/kartor/A 26322-2024 karta.png", "A 26322-2024")</f>
        <v/>
      </c>
      <c r="X150">
        <f>HYPERLINK("https://klasma.github.io/Logging_2303/knärot/A 26322-2024 karta knärot.png", "A 26322-2024")</f>
        <v/>
      </c>
      <c r="Y150">
        <f>HYPERLINK("https://klasma.github.io/Logging_2303/klagomål/A 26322-2024 FSC-klagomål.docx", "A 26322-2024")</f>
        <v/>
      </c>
      <c r="Z150">
        <f>HYPERLINK("https://klasma.github.io/Logging_2303/klagomålsmail/A 26322-2024 FSC-klagomål mail.docx", "A 26322-2024")</f>
        <v/>
      </c>
      <c r="AA150">
        <f>HYPERLINK("https://klasma.github.io/Logging_2303/tillsyn/A 26322-2024 tillsynsbegäran.docx", "A 26322-2024")</f>
        <v/>
      </c>
      <c r="AB150">
        <f>HYPERLINK("https://klasma.github.io/Logging_2303/tillsynsmail/A 26322-2024 tillsynsbegäran mail.docx", "A 26322-2024")</f>
        <v/>
      </c>
    </row>
    <row r="151" ht="15" customHeight="1">
      <c r="A151" t="inlineStr">
        <is>
          <t>A 48477-2023</t>
        </is>
      </c>
      <c r="B151" t="inlineStr">
        <is>
          <t>avverkningsanmälan</t>
        </is>
      </c>
      <c r="C151" t="inlineStr">
        <is>
          <t>Föryngringsavverkning</t>
        </is>
      </c>
      <c r="D151" s="1" t="n">
        <v>45206</v>
      </c>
      <c r="E151" s="1" t="n">
        <v>46220</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s="2" t="inlineStr">
        <is>
          <t>Dropptaggsvamp
Gammelgransskål
Talltita</t>
        </is>
      </c>
      <c r="V151">
        <f>HYPERLINK("https://klasma.github.io/Logging_2303/artfynd/A 48477-2023 artfynd.xlsx", "A 48477-2023")</f>
        <v/>
      </c>
      <c r="W151">
        <f>HYPERLINK("https://klasma.github.io/Logging_2303/kartor/A 48477-2023 karta.png", "A 48477-2023")</f>
        <v/>
      </c>
      <c r="Y151">
        <f>HYPERLINK("https://klasma.github.io/Logging_2303/klagomål/A 48477-2023 FSC-klagomål.docx", "A 48477-2023")</f>
        <v/>
      </c>
      <c r="Z151">
        <f>HYPERLINK("https://klasma.github.io/Logging_2303/klagomålsmail/A 48477-2023 FSC-klagomål mail.docx", "A 48477-2023")</f>
        <v/>
      </c>
      <c r="AA151">
        <f>HYPERLINK("https://klasma.github.io/Logging_2303/tillsyn/A 48477-2023 tillsynsbegäran.docx", "A 48477-2023")</f>
        <v/>
      </c>
      <c r="AB151">
        <f>HYPERLINK("https://klasma.github.io/Logging_2303/tillsynsmail/A 48477-2023 tillsynsbegäran mail.docx", "A 48477-2023")</f>
        <v/>
      </c>
      <c r="AC151">
        <f>HYPERLINK("https://klasma.github.io/Logging_2303/fåglar/A 48477-2023 prioriterade fågelarter.docx", "A 48477-2023")</f>
        <v/>
      </c>
    </row>
    <row r="152" ht="15" customHeight="1">
      <c r="A152" t="inlineStr">
        <is>
          <t>A 5048-2025</t>
        </is>
      </c>
      <c r="B152" t="inlineStr">
        <is>
          <t>avverkningsanmälan</t>
        </is>
      </c>
      <c r="C152" t="inlineStr">
        <is>
          <t>Föryngringsavverkning</t>
        </is>
      </c>
      <c r="D152" s="1" t="n">
        <v>45691</v>
      </c>
      <c r="E152" s="1" t="n">
        <v>46220</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s="2" t="inlineStr">
        <is>
          <t>Guckusko
Tvåblad
Fläcknycklar</t>
        </is>
      </c>
      <c r="V152">
        <f>HYPERLINK("https://klasma.github.io/Logging_2303/artfynd/A 5048-2025 artfynd.xlsx", "A 5048-2025")</f>
        <v/>
      </c>
      <c r="W152">
        <f>HYPERLINK("https://klasma.github.io/Logging_2303/kartor/A 5048-2025 karta.png", "A 5048-2025")</f>
        <v/>
      </c>
      <c r="Y152">
        <f>HYPERLINK("https://klasma.github.io/Logging_2303/klagomål/A 5048-2025 FSC-klagomål.docx", "A 5048-2025")</f>
        <v/>
      </c>
      <c r="Z152">
        <f>HYPERLINK("https://klasma.github.io/Logging_2303/klagomålsmail/A 5048-2025 FSC-klagomål mail.docx", "A 5048-2025")</f>
        <v/>
      </c>
      <c r="AA152">
        <f>HYPERLINK("https://klasma.github.io/Logging_2303/tillsyn/A 5048-2025 tillsynsbegäran.docx", "A 5048-2025")</f>
        <v/>
      </c>
      <c r="AB152">
        <f>HYPERLINK("https://klasma.github.io/Logging_2303/tillsynsmail/A 5048-2025 tillsynsbegäran mail.docx", "A 5048-2025")</f>
        <v/>
      </c>
    </row>
    <row r="153" ht="15" customHeight="1">
      <c r="A153" t="inlineStr">
        <is>
          <t>A 12271-2024</t>
        </is>
      </c>
      <c r="B153" t="inlineStr">
        <is>
          <t>avverkningsanmälan</t>
        </is>
      </c>
      <c r="C153" t="inlineStr">
        <is>
          <t>Föryngringsavverkning</t>
        </is>
      </c>
      <c r="D153" s="1" t="n">
        <v>45378</v>
      </c>
      <c r="E153" s="1" t="n">
        <v>46220</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s="2" t="inlineStr">
        <is>
          <t>Garnlav
Dvärgbägarlav
Lunglav</t>
        </is>
      </c>
      <c r="V153">
        <f>HYPERLINK("https://klasma.github.io/Logging_2303/artfynd/A 12271-2024 artfynd.xlsx", "A 12271-2024")</f>
        <v/>
      </c>
      <c r="W153">
        <f>HYPERLINK("https://klasma.github.io/Logging_2303/kartor/A 12271-2024 karta.png", "A 12271-2024")</f>
        <v/>
      </c>
      <c r="Y153">
        <f>HYPERLINK("https://klasma.github.io/Logging_2303/klagomål/A 12271-2024 FSC-klagomål.docx", "A 12271-2024")</f>
        <v/>
      </c>
      <c r="Z153">
        <f>HYPERLINK("https://klasma.github.io/Logging_2303/klagomålsmail/A 12271-2024 FSC-klagomål mail.docx", "A 12271-2024")</f>
        <v/>
      </c>
      <c r="AA153">
        <f>HYPERLINK("https://klasma.github.io/Logging_2303/tillsyn/A 12271-2024 tillsynsbegäran.docx", "A 12271-2024")</f>
        <v/>
      </c>
      <c r="AB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46220</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s="2" t="inlineStr">
        <is>
          <t>Garnlav
Gammelgransskål
Skrovellav</t>
        </is>
      </c>
      <c r="V154">
        <f>HYPERLINK("https://klasma.github.io/Logging_2303/artfynd/A 28173-2024 artfynd.xlsx", "A 28173-2024")</f>
        <v/>
      </c>
      <c r="W154">
        <f>HYPERLINK("https://klasma.github.io/Logging_2303/kartor/A 28173-2024 karta.png", "A 28173-2024")</f>
        <v/>
      </c>
      <c r="Y154">
        <f>HYPERLINK("https://klasma.github.io/Logging_2303/klagomål/A 28173-2024 FSC-klagomål.docx", "A 28173-2024")</f>
        <v/>
      </c>
      <c r="Z154">
        <f>HYPERLINK("https://klasma.github.io/Logging_2303/klagomålsmail/A 28173-2024 FSC-klagomål mail.docx", "A 28173-2024")</f>
        <v/>
      </c>
      <c r="AA154">
        <f>HYPERLINK("https://klasma.github.io/Logging_2303/tillsyn/A 28173-2024 tillsynsbegäran.docx", "A 28173-2024")</f>
        <v/>
      </c>
      <c r="AB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46220</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s="2" t="inlineStr">
        <is>
          <t>Gammelgransskål
Lunglav
Skrovellav</t>
        </is>
      </c>
      <c r="V155">
        <f>HYPERLINK("https://klasma.github.io/Logging_2303/artfynd/A 61790-2023 artfynd.xlsx", "A 61790-2023")</f>
        <v/>
      </c>
      <c r="W155">
        <f>HYPERLINK("https://klasma.github.io/Logging_2303/kartor/A 61790-2023 karta.png", "A 61790-2023")</f>
        <v/>
      </c>
      <c r="Y155">
        <f>HYPERLINK("https://klasma.github.io/Logging_2303/klagomål/A 61790-2023 FSC-klagomål.docx", "A 61790-2023")</f>
        <v/>
      </c>
      <c r="Z155">
        <f>HYPERLINK("https://klasma.github.io/Logging_2303/klagomålsmail/A 61790-2023 FSC-klagomål mail.docx", "A 61790-2023")</f>
        <v/>
      </c>
      <c r="AA155">
        <f>HYPERLINK("https://klasma.github.io/Logging_2303/tillsyn/A 61790-2023 tillsynsbegäran.docx", "A 61790-2023")</f>
        <v/>
      </c>
      <c r="AB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46220</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s="2" t="inlineStr">
        <is>
          <t>Fläckporing
Gräddporing
Dropptaggsvamp</t>
        </is>
      </c>
      <c r="V156">
        <f>HYPERLINK("https://klasma.github.io/Logging_2303/artfynd/A 18610-2024 artfynd.xlsx", "A 18610-2024")</f>
        <v/>
      </c>
      <c r="W156">
        <f>HYPERLINK("https://klasma.github.io/Logging_2303/kartor/A 18610-2024 karta.png", "A 18610-2024")</f>
        <v/>
      </c>
      <c r="Y156">
        <f>HYPERLINK("https://klasma.github.io/Logging_2303/klagomål/A 18610-2024 FSC-klagomål.docx", "A 18610-2024")</f>
        <v/>
      </c>
      <c r="Z156">
        <f>HYPERLINK("https://klasma.github.io/Logging_2303/klagomålsmail/A 18610-2024 FSC-klagomål mail.docx", "A 18610-2024")</f>
        <v/>
      </c>
      <c r="AA156">
        <f>HYPERLINK("https://klasma.github.io/Logging_2303/tillsyn/A 18610-2024 tillsynsbegäran.docx", "A 18610-2024")</f>
        <v/>
      </c>
      <c r="AB156">
        <f>HYPERLINK("https://klasma.github.io/Logging_2303/tillsynsmail/A 18610-2024 tillsynsbegäran mail.docx", "A 18610-2024")</f>
        <v/>
      </c>
    </row>
    <row r="157" ht="15" customHeight="1">
      <c r="A157" t="inlineStr">
        <is>
          <t>A 3838-2024</t>
        </is>
      </c>
      <c r="B157" t="inlineStr">
        <is>
          <t>avverkningsanmälan</t>
        </is>
      </c>
      <c r="C157" t="inlineStr">
        <is>
          <t>Föryngringsavverkning</t>
        </is>
      </c>
      <c r="D157" s="1" t="n">
        <v>45321</v>
      </c>
      <c r="E157" s="1" t="n">
        <v>46220</v>
      </c>
      <c r="F157" t="inlineStr">
        <is>
          <t>JÄMTLANDS LÄN</t>
        </is>
      </c>
      <c r="G157" t="inlineStr">
        <is>
          <t>RAGUNDA</t>
        </is>
      </c>
      <c r="H157" t="inlineStr">
        <is>
          <t>SCA</t>
        </is>
      </c>
      <c r="I157" t="n">
        <v>2</v>
      </c>
      <c r="J157" t="n">
        <v>1</v>
      </c>
      <c r="K157" t="n">
        <v>1</v>
      </c>
      <c r="L157" t="n">
        <v>1</v>
      </c>
      <c r="M157" t="n">
        <v>1</v>
      </c>
      <c r="N157" t="n">
        <v>0</v>
      </c>
      <c r="O157" t="n">
        <v>0</v>
      </c>
      <c r="P157" t="n">
        <v>0</v>
      </c>
      <c r="Q157" t="n">
        <v>2</v>
      </c>
      <c r="R157" t="n">
        <v>1</v>
      </c>
      <c r="S157" t="n">
        <v>3</v>
      </c>
      <c r="T157" t="n">
        <v>4</v>
      </c>
      <c r="U157" s="2" t="inlineStr">
        <is>
          <t>Garnlav
Lunglav
Guckusko</t>
        </is>
      </c>
      <c r="V157">
        <f>HYPERLINK("https://klasma.github.io/Logging_2303/artfynd/A 3838-2024 artfynd.xlsx", "A 3838-2024")</f>
        <v/>
      </c>
      <c r="W157">
        <f>HYPERLINK("https://klasma.github.io/Logging_2303/kartor/A 3838-2024 karta.png", "A 3838-2024")</f>
        <v/>
      </c>
      <c r="Y157">
        <f>HYPERLINK("https://klasma.github.io/Logging_2303/klagomål/A 3838-2024 FSC-klagomål.docx", "A 3838-2024")</f>
        <v/>
      </c>
      <c r="Z157">
        <f>HYPERLINK("https://klasma.github.io/Logging_2303/klagomålsmail/A 3838-2024 FSC-klagomål mail.docx", "A 3838-2024")</f>
        <v/>
      </c>
      <c r="AA157">
        <f>HYPERLINK("https://klasma.github.io/Logging_2303/tillsyn/A 3838-2024 tillsynsbegäran.docx", "A 3838-2024")</f>
        <v/>
      </c>
      <c r="AB157">
        <f>HYPERLINK("https://klasma.github.io/Logging_2303/tillsynsmail/A 3838-2024 tillsynsbegäran mail.docx", "A 3838-2024")</f>
        <v/>
      </c>
    </row>
    <row r="158" ht="15" customHeight="1">
      <c r="A158" t="inlineStr">
        <is>
          <t>A 48054-2022</t>
        </is>
      </c>
      <c r="B158" t="inlineStr">
        <is>
          <t>avverkningsanmälan</t>
        </is>
      </c>
      <c r="C158" t="inlineStr">
        <is>
          <t>Avverkning för att bevara och utveckla /försöksver</t>
        </is>
      </c>
      <c r="D158" s="1" t="n">
        <v>44855</v>
      </c>
      <c r="E158" s="1" t="n">
        <v>46220</v>
      </c>
      <c r="F158" t="inlineStr">
        <is>
          <t>JÄMTLANDS LÄN</t>
        </is>
      </c>
      <c r="G158" t="inlineStr">
        <is>
          <t>RAGUNDA</t>
        </is>
      </c>
      <c r="H158" t="inlineStr">
        <is>
          <t>SCA</t>
        </is>
      </c>
      <c r="I158" t="n">
        <v>1.5</v>
      </c>
      <c r="J158" t="n">
        <v>2</v>
      </c>
      <c r="K158" t="n">
        <v>0</v>
      </c>
      <c r="L158" t="n">
        <v>1</v>
      </c>
      <c r="M158" t="n">
        <v>1</v>
      </c>
      <c r="N158" t="n">
        <v>0</v>
      </c>
      <c r="O158" t="n">
        <v>0</v>
      </c>
      <c r="P158" t="n">
        <v>0</v>
      </c>
      <c r="Q158" t="n">
        <v>2</v>
      </c>
      <c r="R158" t="n">
        <v>1</v>
      </c>
      <c r="S158" t="n">
        <v>3</v>
      </c>
      <c r="T158" t="n">
        <v>3</v>
      </c>
      <c r="U158" s="2" t="inlineStr">
        <is>
          <t>Knärot
Lunglav
Blåsippa</t>
        </is>
      </c>
      <c r="V158">
        <f>HYPERLINK("https://klasma.github.io/Logging_2303/artfynd/A 48054-2022 artfynd.xlsx", "A 48054-2022")</f>
        <v/>
      </c>
      <c r="W158">
        <f>HYPERLINK("https://klasma.github.io/Logging_2303/kartor/A 48054-2022 karta.png", "A 48054-2022")</f>
        <v/>
      </c>
      <c r="X158">
        <f>HYPERLINK("https://klasma.github.io/Logging_2303/knärot/A 48054-2022 karta knärot.png", "A 48054-2022")</f>
        <v/>
      </c>
      <c r="Y158">
        <f>HYPERLINK("https://klasma.github.io/Logging_2303/klagomål/A 48054-2022 FSC-klagomål.docx", "A 48054-2022")</f>
        <v/>
      </c>
      <c r="Z158">
        <f>HYPERLINK("https://klasma.github.io/Logging_2303/klagomålsmail/A 48054-2022 FSC-klagomål mail.docx", "A 48054-2022")</f>
        <v/>
      </c>
      <c r="AA158">
        <f>HYPERLINK("https://klasma.github.io/Logging_2303/tillsyn/A 48054-2022 tillsynsbegäran.docx", "A 48054-2022")</f>
        <v/>
      </c>
      <c r="AB158">
        <f>HYPERLINK("https://klasma.github.io/Logging_2303/tillsynsmail/A 48054-2022 tillsynsbegäran mail.docx", "A 48054-2022")</f>
        <v/>
      </c>
    </row>
    <row r="159" ht="15" customHeight="1">
      <c r="A159" t="inlineStr">
        <is>
          <t>A 20776-2024</t>
        </is>
      </c>
      <c r="B159" t="inlineStr">
        <is>
          <t>avverkningsanmälan</t>
        </is>
      </c>
      <c r="C159" t="inlineStr">
        <is>
          <t>Föryngringsavverkning</t>
        </is>
      </c>
      <c r="D159" s="1" t="n">
        <v>45436</v>
      </c>
      <c r="E159" s="1" t="n">
        <v>46220</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s="2" t="inlineStr">
        <is>
          <t>Garnlav
Liten hornflikmossa
Vedtrappmossa</t>
        </is>
      </c>
      <c r="V159">
        <f>HYPERLINK("https://klasma.github.io/Logging_2303/artfynd/A 20776-2024 artfynd.xlsx", "A 20776-2024")</f>
        <v/>
      </c>
      <c r="W159">
        <f>HYPERLINK("https://klasma.github.io/Logging_2303/kartor/A 20776-2024 karta.png", "A 20776-2024")</f>
        <v/>
      </c>
      <c r="Y159">
        <f>HYPERLINK("https://klasma.github.io/Logging_2303/klagomål/A 20776-2024 FSC-klagomål.docx", "A 20776-2024")</f>
        <v/>
      </c>
      <c r="Z159">
        <f>HYPERLINK("https://klasma.github.io/Logging_2303/klagomålsmail/A 20776-2024 FSC-klagomål mail.docx", "A 20776-2024")</f>
        <v/>
      </c>
      <c r="AA159">
        <f>HYPERLINK("https://klasma.github.io/Logging_2303/tillsyn/A 20776-2024 tillsynsbegäran.docx", "A 20776-2024")</f>
        <v/>
      </c>
      <c r="AB159">
        <f>HYPERLINK("https://klasma.github.io/Logging_2303/tillsynsmail/A 20776-2024 tillsynsbegäran mail.docx", "A 20776-2024")</f>
        <v/>
      </c>
    </row>
    <row r="160" ht="15" customHeight="1">
      <c r="A160" t="inlineStr">
        <is>
          <t>A 21853-2026</t>
        </is>
      </c>
      <c r="B160" t="inlineStr">
        <is>
          <t>avverkningsanmälan</t>
        </is>
      </c>
      <c r="C160" t="inlineStr">
        <is>
          <t>Föryngringsavverkning</t>
        </is>
      </c>
      <c r="D160" s="1" t="n">
        <v>46150</v>
      </c>
      <c r="E160" s="1" t="n">
        <v>46220</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s="2" t="inlineStr">
        <is>
          <t>Garnlav
Gammelgransskål
Nordisk stormhatt</t>
        </is>
      </c>
      <c r="V160">
        <f>HYPERLINK("https://klasma.github.io/Logging_2303/artfynd/A 21853-2026 artfynd.xlsx", "A 21853-2026")</f>
        <v/>
      </c>
      <c r="W160">
        <f>HYPERLINK("https://klasma.github.io/Logging_2303/kartor/A 21853-2026 karta.png", "A 21853-2026")</f>
        <v/>
      </c>
      <c r="Y160">
        <f>HYPERLINK("https://klasma.github.io/Logging_2303/klagomål/A 21853-2026 FSC-klagomål.docx", "A 21853-2026")</f>
        <v/>
      </c>
      <c r="Z160">
        <f>HYPERLINK("https://klasma.github.io/Logging_2303/klagomålsmail/A 21853-2026 FSC-klagomål mail.docx", "A 21853-2026")</f>
        <v/>
      </c>
      <c r="AA160">
        <f>HYPERLINK("https://klasma.github.io/Logging_2303/tillsyn/A 21853-2026 tillsynsbegäran.docx", "A 21853-2026")</f>
        <v/>
      </c>
      <c r="AB160">
        <f>HYPERLINK("https://klasma.github.io/Logging_2303/tillsynsmail/A 21853-2026 tillsynsbegäran mail.docx", "A 21853-2026")</f>
        <v/>
      </c>
    </row>
    <row r="161" ht="15" customHeight="1">
      <c r="A161" t="inlineStr">
        <is>
          <t>A 11843-2023</t>
        </is>
      </c>
      <c r="B161" t="inlineStr">
        <is>
          <t>avverkningsanmälan</t>
        </is>
      </c>
      <c r="C161" t="inlineStr">
        <is>
          <t>Föryngringsavverkning</t>
        </is>
      </c>
      <c r="D161" s="1" t="n">
        <v>44993</v>
      </c>
      <c r="E161" s="1" t="n">
        <v>46220</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s="2" t="inlineStr">
        <is>
          <t>Rödvingetrast
Spillkråka
Revlummer</t>
        </is>
      </c>
      <c r="V161">
        <f>HYPERLINK("https://klasma.github.io/Logging_2303/artfynd/A 11843-2023 artfynd.xlsx", "A 11843-2023")</f>
        <v/>
      </c>
      <c r="W161">
        <f>HYPERLINK("https://klasma.github.io/Logging_2303/kartor/A 11843-2023 karta.png", "A 11843-2023")</f>
        <v/>
      </c>
      <c r="Y161">
        <f>HYPERLINK("https://klasma.github.io/Logging_2303/klagomål/A 11843-2023 FSC-klagomål.docx", "A 11843-2023")</f>
        <v/>
      </c>
      <c r="Z161">
        <f>HYPERLINK("https://klasma.github.io/Logging_2303/klagomålsmail/A 11843-2023 FSC-klagomål mail.docx", "A 11843-2023")</f>
        <v/>
      </c>
      <c r="AA161">
        <f>HYPERLINK("https://klasma.github.io/Logging_2303/tillsyn/A 11843-2023 tillsynsbegäran.docx", "A 11843-2023")</f>
        <v/>
      </c>
      <c r="AB161">
        <f>HYPERLINK("https://klasma.github.io/Logging_2303/tillsynsmail/A 11843-2023 tillsynsbegäran mail.docx", "A 11843-2023")</f>
        <v/>
      </c>
      <c r="AC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46220</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s="2" t="inlineStr">
        <is>
          <t>Garnlav
Lunglav
Vitgrynig nållav</t>
        </is>
      </c>
      <c r="V162">
        <f>HYPERLINK("https://klasma.github.io/Logging_2303/artfynd/A 22730-2023 artfynd.xlsx", "A 22730-2023")</f>
        <v/>
      </c>
      <c r="W162">
        <f>HYPERLINK("https://klasma.github.io/Logging_2303/kartor/A 22730-2023 karta.png", "A 22730-2023")</f>
        <v/>
      </c>
      <c r="Y162">
        <f>HYPERLINK("https://klasma.github.io/Logging_2303/klagomål/A 22730-2023 FSC-klagomål.docx", "A 22730-2023")</f>
        <v/>
      </c>
      <c r="Z162">
        <f>HYPERLINK("https://klasma.github.io/Logging_2303/klagomålsmail/A 22730-2023 FSC-klagomål mail.docx", "A 22730-2023")</f>
        <v/>
      </c>
      <c r="AA162">
        <f>HYPERLINK("https://klasma.github.io/Logging_2303/tillsyn/A 22730-2023 tillsynsbegäran.docx", "A 22730-2023")</f>
        <v/>
      </c>
      <c r="AB162">
        <f>HYPERLINK("https://klasma.github.io/Logging_2303/tillsynsmail/A 22730-2023 tillsynsbegäran mail.docx", "A 22730-2023")</f>
        <v/>
      </c>
    </row>
    <row r="163" ht="15" customHeight="1">
      <c r="A163" t="inlineStr">
        <is>
          <t>A 25059-2026</t>
        </is>
      </c>
      <c r="B163" t="inlineStr">
        <is>
          <t>avverkningsanmälan</t>
        </is>
      </c>
      <c r="C163" t="inlineStr">
        <is>
          <t>Föryngringsavverkning</t>
        </is>
      </c>
      <c r="D163" s="1" t="n">
        <v>46174</v>
      </c>
      <c r="E163" s="1" t="n">
        <v>46220</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s="2" t="inlineStr">
        <is>
          <t>Garnlav
Gammelgransskål
Korallrot</t>
        </is>
      </c>
      <c r="V163">
        <f>HYPERLINK("https://klasma.github.io/Logging_2303/artfynd/A 25059-2026 artfynd.xlsx", "A 25059-2026")</f>
        <v/>
      </c>
      <c r="W163">
        <f>HYPERLINK("https://klasma.github.io/Logging_2303/kartor/A 25059-2026 karta.png", "A 25059-2026")</f>
        <v/>
      </c>
      <c r="Y163">
        <f>HYPERLINK("https://klasma.github.io/Logging_2303/klagomål/A 25059-2026 FSC-klagomål.docx", "A 25059-2026")</f>
        <v/>
      </c>
      <c r="Z163">
        <f>HYPERLINK("https://klasma.github.io/Logging_2303/klagomålsmail/A 25059-2026 FSC-klagomål mail.docx", "A 25059-2026")</f>
        <v/>
      </c>
      <c r="AA163">
        <f>HYPERLINK("https://klasma.github.io/Logging_2303/tillsyn/A 25059-2026 tillsynsbegäran.docx", "A 25059-2026")</f>
        <v/>
      </c>
      <c r="AB163">
        <f>HYPERLINK("https://klasma.github.io/Logging_2303/tillsynsmail/A 25059-2026 tillsynsbegäran mail.docx", "A 25059-2026")</f>
        <v/>
      </c>
    </row>
    <row r="164" ht="15" customHeight="1">
      <c r="A164" t="inlineStr">
        <is>
          <t>A 32904-2024</t>
        </is>
      </c>
      <c r="B164" t="inlineStr">
        <is>
          <t>avverkningsanmälan</t>
        </is>
      </c>
      <c r="C164" t="inlineStr">
        <is>
          <t>Avverkning för att bevara och utveckla /försöksver</t>
        </is>
      </c>
      <c r="D164" s="1" t="n">
        <v>45516</v>
      </c>
      <c r="E164" s="1" t="n">
        <v>46220</v>
      </c>
      <c r="F164" t="inlineStr">
        <is>
          <t>JÄMTLANDS LÄN</t>
        </is>
      </c>
      <c r="G164" t="inlineStr">
        <is>
          <t>RAGUNDA</t>
        </is>
      </c>
      <c r="H164" t="inlineStr">
        <is>
          <t>SCA</t>
        </is>
      </c>
      <c r="I164" t="n">
        <v>2.8</v>
      </c>
      <c r="J164" t="n">
        <v>0</v>
      </c>
      <c r="K164" t="n">
        <v>2</v>
      </c>
      <c r="L164" t="n">
        <v>1</v>
      </c>
      <c r="M164" t="n">
        <v>0</v>
      </c>
      <c r="N164" t="n">
        <v>0</v>
      </c>
      <c r="O164" t="n">
        <v>0</v>
      </c>
      <c r="P164" t="n">
        <v>0</v>
      </c>
      <c r="Q164" t="n">
        <v>1</v>
      </c>
      <c r="R164" t="n">
        <v>0</v>
      </c>
      <c r="S164" t="n">
        <v>3</v>
      </c>
      <c r="T164" t="n">
        <v>3</v>
      </c>
      <c r="U164" s="2" t="inlineStr">
        <is>
          <t>Ullticka
Rödgul trumpetsvamp
Svavelriska</t>
        </is>
      </c>
      <c r="V164">
        <f>HYPERLINK("https://klasma.github.io/Logging_2303/artfynd/A 32904-2024 artfynd.xlsx", "A 32904-2024")</f>
        <v/>
      </c>
      <c r="W164">
        <f>HYPERLINK("https://klasma.github.io/Logging_2303/kartor/A 32904-2024 karta.png", "A 32904-2024")</f>
        <v/>
      </c>
      <c r="Y164">
        <f>HYPERLINK("https://klasma.github.io/Logging_2303/klagomål/A 32904-2024 FSC-klagomål.docx", "A 32904-2024")</f>
        <v/>
      </c>
      <c r="Z164">
        <f>HYPERLINK("https://klasma.github.io/Logging_2303/klagomålsmail/A 32904-2024 FSC-klagomål mail.docx", "A 32904-2024")</f>
        <v/>
      </c>
      <c r="AA164">
        <f>HYPERLINK("https://klasma.github.io/Logging_2303/tillsyn/A 32904-2024 tillsynsbegäran.docx", "A 32904-2024")</f>
        <v/>
      </c>
      <c r="AB164">
        <f>HYPERLINK("https://klasma.github.io/Logging_2303/tillsynsmail/A 32904-2024 tillsynsbegäran mail.docx", "A 32904-2024")</f>
        <v/>
      </c>
    </row>
    <row r="165" ht="15" customHeight="1">
      <c r="A165" t="inlineStr">
        <is>
          <t>A 21248-2025</t>
        </is>
      </c>
      <c r="B165" t="inlineStr">
        <is>
          <t>avverkningsanmälan</t>
        </is>
      </c>
      <c r="C165" t="inlineStr">
        <is>
          <t>Föryngringsavverkning</t>
        </is>
      </c>
      <c r="D165" s="1" t="n">
        <v>45779</v>
      </c>
      <c r="E165" s="1" t="n">
        <v>46220</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s="2" t="inlineStr">
        <is>
          <t>Garnlav
Tretåig hackspett
Vedticka</t>
        </is>
      </c>
      <c r="V165">
        <f>HYPERLINK("https://klasma.github.io/Logging_2303/artfynd/A 21248-2025 artfynd.xlsx", "A 21248-2025")</f>
        <v/>
      </c>
      <c r="W165">
        <f>HYPERLINK("https://klasma.github.io/Logging_2303/kartor/A 21248-2025 karta.png", "A 21248-2025")</f>
        <v/>
      </c>
      <c r="Y165">
        <f>HYPERLINK("https://klasma.github.io/Logging_2303/klagomål/A 21248-2025 FSC-klagomål.docx", "A 21248-2025")</f>
        <v/>
      </c>
      <c r="Z165">
        <f>HYPERLINK("https://klasma.github.io/Logging_2303/klagomålsmail/A 21248-2025 FSC-klagomål mail.docx", "A 21248-2025")</f>
        <v/>
      </c>
      <c r="AA165">
        <f>HYPERLINK("https://klasma.github.io/Logging_2303/tillsyn/A 21248-2025 tillsynsbegäran.docx", "A 21248-2025")</f>
        <v/>
      </c>
      <c r="AB165">
        <f>HYPERLINK("https://klasma.github.io/Logging_2303/tillsynsmail/A 21248-2025 tillsynsbegäran mail.docx", "A 21248-2025")</f>
        <v/>
      </c>
      <c r="AC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46220</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46220</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46220</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46220</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Y169">
        <f>HYPERLINK("https://klasma.github.io/Logging_2303/klagomål/A 16316-2025 FSC-klagomål.docx", "A 16316-2025")</f>
        <v/>
      </c>
      <c r="Z169">
        <f>HYPERLINK("https://klasma.github.io/Logging_2303/klagomålsmail/A 16316-2025 FSC-klagomål mail.docx", "A 16316-2025")</f>
        <v/>
      </c>
      <c r="AA169">
        <f>HYPERLINK("https://klasma.github.io/Logging_2303/tillsyn/A 16316-2025 tillsynsbegäran.docx", "A 16316-2025")</f>
        <v/>
      </c>
      <c r="AB169">
        <f>HYPERLINK("https://klasma.github.io/Logging_2303/tillsynsmail/A 16316-2025 tillsynsbegäran mail.docx", "A 16316-2025")</f>
        <v/>
      </c>
    </row>
    <row r="170" ht="15" customHeight="1">
      <c r="A170" t="inlineStr">
        <is>
          <t>A 13767-2022</t>
        </is>
      </c>
      <c r="B170" t="inlineStr">
        <is>
          <t>avverkningsanmälan</t>
        </is>
      </c>
      <c r="C170" t="inlineStr">
        <is>
          <t>Föryngringsavverkning</t>
        </is>
      </c>
      <c r="D170" s="1" t="n">
        <v>44649</v>
      </c>
      <c r="E170" s="1" t="n">
        <v>46220</v>
      </c>
      <c r="F170" t="inlineStr">
        <is>
          <t>JÄMTLANDS LÄN</t>
        </is>
      </c>
      <c r="G170" t="inlineStr">
        <is>
          <t>RAGUNDA</t>
        </is>
      </c>
      <c r="H170" t="inlineStr">
        <is>
          <t>Kommuner</t>
        </is>
      </c>
      <c r="I170" t="n">
        <v>3.1</v>
      </c>
      <c r="J170" t="n">
        <v>1</v>
      </c>
      <c r="K170" t="n">
        <v>0</v>
      </c>
      <c r="L170" t="n">
        <v>1</v>
      </c>
      <c r="M170" t="n">
        <v>0</v>
      </c>
      <c r="N170" t="n">
        <v>0</v>
      </c>
      <c r="O170" t="n">
        <v>0</v>
      </c>
      <c r="P170" t="n">
        <v>0</v>
      </c>
      <c r="Q170" t="n">
        <v>1</v>
      </c>
      <c r="R170" t="n">
        <v>0</v>
      </c>
      <c r="S170" t="n">
        <v>2</v>
      </c>
      <c r="T170" t="n">
        <v>2</v>
      </c>
      <c r="U170" s="2" t="inlineStr">
        <is>
          <t>Reliktbock
Fläcknycklar</t>
        </is>
      </c>
      <c r="V170">
        <f>HYPERLINK("https://klasma.github.io/Logging_2303/artfynd/A 13767-2022 artfynd.xlsx", "A 13767-2022")</f>
        <v/>
      </c>
      <c r="W170">
        <f>HYPERLINK("https://klasma.github.io/Logging_2303/kartor/A 13767-2022 karta.png", "A 13767-2022")</f>
        <v/>
      </c>
      <c r="Y170">
        <f>HYPERLINK("https://klasma.github.io/Logging_2303/klagomål/A 13767-2022 FSC-klagomål.docx", "A 13767-2022")</f>
        <v/>
      </c>
      <c r="Z170">
        <f>HYPERLINK("https://klasma.github.io/Logging_2303/klagomålsmail/A 13767-2022 FSC-klagomål mail.docx", "A 13767-2022")</f>
        <v/>
      </c>
      <c r="AA170">
        <f>HYPERLINK("https://klasma.github.io/Logging_2303/tillsyn/A 13767-2022 tillsynsbegäran.docx", "A 13767-2022")</f>
        <v/>
      </c>
      <c r="AB170">
        <f>HYPERLINK("https://klasma.github.io/Logging_2303/tillsynsmail/A 13767-2022 tillsynsbegäran mail.docx", "A 13767-2022")</f>
        <v/>
      </c>
    </row>
    <row r="171" ht="15" customHeight="1">
      <c r="A171" t="inlineStr">
        <is>
          <t>A 18616-2024</t>
        </is>
      </c>
      <c r="B171" t="inlineStr">
        <is>
          <t>avverkningsanmälan</t>
        </is>
      </c>
      <c r="C171" t="inlineStr">
        <is>
          <t>Avverkning för att bevara och utveckla /försöksver</t>
        </is>
      </c>
      <c r="D171" s="1" t="n">
        <v>45425</v>
      </c>
      <c r="E171" s="1" t="n">
        <v>46220</v>
      </c>
      <c r="F171" t="inlineStr">
        <is>
          <t>JÄMTLANDS LÄN</t>
        </is>
      </c>
      <c r="G171" t="inlineStr">
        <is>
          <t>RAGUNDA</t>
        </is>
      </c>
      <c r="H171" t="inlineStr">
        <is>
          <t>SCA</t>
        </is>
      </c>
      <c r="I171" t="n">
        <v>3.4</v>
      </c>
      <c r="J171" t="n">
        <v>0</v>
      </c>
      <c r="K171" t="n">
        <v>0</v>
      </c>
      <c r="L171" t="n">
        <v>2</v>
      </c>
      <c r="M171" t="n">
        <v>0</v>
      </c>
      <c r="N171" t="n">
        <v>0</v>
      </c>
      <c r="O171" t="n">
        <v>0</v>
      </c>
      <c r="P171" t="n">
        <v>0</v>
      </c>
      <c r="Q171" t="n">
        <v>2</v>
      </c>
      <c r="R171" t="n">
        <v>0</v>
      </c>
      <c r="S171" t="n">
        <v>2</v>
      </c>
      <c r="T171" t="n">
        <v>2</v>
      </c>
      <c r="U171" s="2" t="inlineStr">
        <is>
          <t>Orange taggsvamp
Ullticka</t>
        </is>
      </c>
      <c r="V171">
        <f>HYPERLINK("https://klasma.github.io/Logging_2303/artfynd/A 18616-2024 artfynd.xlsx", "A 18616-2024")</f>
        <v/>
      </c>
      <c r="W171">
        <f>HYPERLINK("https://klasma.github.io/Logging_2303/kartor/A 18616-2024 karta.png", "A 18616-2024")</f>
        <v/>
      </c>
      <c r="Y171">
        <f>HYPERLINK("https://klasma.github.io/Logging_2303/klagomål/A 18616-2024 FSC-klagomål.docx", "A 18616-2024")</f>
        <v/>
      </c>
      <c r="Z171">
        <f>HYPERLINK("https://klasma.github.io/Logging_2303/klagomålsmail/A 18616-2024 FSC-klagomål mail.docx", "A 18616-2024")</f>
        <v/>
      </c>
      <c r="AA171">
        <f>HYPERLINK("https://klasma.github.io/Logging_2303/tillsyn/A 18616-2024 tillsynsbegäran.docx", "A 18616-2024")</f>
        <v/>
      </c>
      <c r="AB171">
        <f>HYPERLINK("https://klasma.github.io/Logging_2303/tillsynsmail/A 18616-2024 tillsynsbegäran mail.docx", "A 18616-2024")</f>
        <v/>
      </c>
    </row>
    <row r="172" ht="15" customHeight="1">
      <c r="A172" t="inlineStr">
        <is>
          <t>A 19384-2025</t>
        </is>
      </c>
      <c r="B172" t="inlineStr">
        <is>
          <t>avverkningsanmälan</t>
        </is>
      </c>
      <c r="C172" t="inlineStr">
        <is>
          <t>Föryngringsavverkning</t>
        </is>
      </c>
      <c r="D172" s="1" t="n">
        <v>45769</v>
      </c>
      <c r="E172" s="1" t="n">
        <v>46220</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s="2" t="inlineStr">
        <is>
          <t>Tretåig hackspett
Ullticka</t>
        </is>
      </c>
      <c r="V172">
        <f>HYPERLINK("https://klasma.github.io/Logging_2303/artfynd/A 19384-2025 artfynd.xlsx", "A 19384-2025")</f>
        <v/>
      </c>
      <c r="W172">
        <f>HYPERLINK("https://klasma.github.io/Logging_2303/kartor/A 19384-2025 karta.png", "A 19384-2025")</f>
        <v/>
      </c>
      <c r="Y172">
        <f>HYPERLINK("https://klasma.github.io/Logging_2303/klagomål/A 19384-2025 FSC-klagomål.docx", "A 19384-2025")</f>
        <v/>
      </c>
      <c r="Z172">
        <f>HYPERLINK("https://klasma.github.io/Logging_2303/klagomålsmail/A 19384-2025 FSC-klagomål mail.docx", "A 19384-2025")</f>
        <v/>
      </c>
      <c r="AA172">
        <f>HYPERLINK("https://klasma.github.io/Logging_2303/tillsyn/A 19384-2025 tillsynsbegäran.docx", "A 19384-2025")</f>
        <v/>
      </c>
      <c r="AB172">
        <f>HYPERLINK("https://klasma.github.io/Logging_2303/tillsynsmail/A 19384-2025 tillsynsbegäran mail.docx", "A 19384-2025")</f>
        <v/>
      </c>
      <c r="AC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46220</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s="2" t="inlineStr">
        <is>
          <t>Dropptaggsvamp
Vitgrynig nållav</t>
        </is>
      </c>
      <c r="V173">
        <f>HYPERLINK("https://klasma.github.io/Logging_2303/artfynd/A 2248-2024 artfynd.xlsx", "A 2248-2024")</f>
        <v/>
      </c>
      <c r="W173">
        <f>HYPERLINK("https://klasma.github.io/Logging_2303/kartor/A 2248-2024 karta.png", "A 2248-2024")</f>
        <v/>
      </c>
      <c r="Y173">
        <f>HYPERLINK("https://klasma.github.io/Logging_2303/klagomål/A 2248-2024 FSC-klagomål.docx", "A 2248-2024")</f>
        <v/>
      </c>
      <c r="Z173">
        <f>HYPERLINK("https://klasma.github.io/Logging_2303/klagomålsmail/A 2248-2024 FSC-klagomål mail.docx", "A 2248-2024")</f>
        <v/>
      </c>
      <c r="AA173">
        <f>HYPERLINK("https://klasma.github.io/Logging_2303/tillsyn/A 2248-2024 tillsynsbegäran.docx", "A 2248-2024")</f>
        <v/>
      </c>
      <c r="AB173">
        <f>HYPERLINK("https://klasma.github.io/Logging_2303/tillsynsmail/A 2248-2024 tillsynsbegäran mail.docx", "A 2248-2024")</f>
        <v/>
      </c>
    </row>
    <row r="174" ht="15" customHeight="1">
      <c r="A174" t="inlineStr">
        <is>
          <t>A 18284-2025</t>
        </is>
      </c>
      <c r="B174" t="inlineStr">
        <is>
          <t>avverkningsanmälan</t>
        </is>
      </c>
      <c r="C174" t="inlineStr">
        <is>
          <t>Avverkning för annat ändamål</t>
        </is>
      </c>
      <c r="D174" s="1" t="n">
        <v>45762</v>
      </c>
      <c r="E174" s="1" t="n">
        <v>46220</v>
      </c>
      <c r="F174" t="inlineStr">
        <is>
          <t>JÄMTLANDS LÄN</t>
        </is>
      </c>
      <c r="G174" t="inlineStr">
        <is>
          <t>RAGUNDA</t>
        </is>
      </c>
      <c r="I174" t="n">
        <v>0.2</v>
      </c>
      <c r="J174" t="n">
        <v>1</v>
      </c>
      <c r="K174" t="n">
        <v>0</v>
      </c>
      <c r="L174" t="n">
        <v>1</v>
      </c>
      <c r="M174" t="n">
        <v>1</v>
      </c>
      <c r="N174" t="n">
        <v>0</v>
      </c>
      <c r="O174" t="n">
        <v>0</v>
      </c>
      <c r="P174" t="n">
        <v>0</v>
      </c>
      <c r="Q174" t="n">
        <v>2</v>
      </c>
      <c r="R174" t="n">
        <v>1</v>
      </c>
      <c r="S174" t="n">
        <v>2</v>
      </c>
      <c r="T174" t="n">
        <v>2</v>
      </c>
      <c r="U174" s="2" t="inlineStr">
        <is>
          <t>Knärot
Ullticka</t>
        </is>
      </c>
      <c r="V174">
        <f>HYPERLINK("https://klasma.github.io/Logging_2303/artfynd/A 18284-2025 artfynd.xlsx", "A 18284-2025")</f>
        <v/>
      </c>
      <c r="W174">
        <f>HYPERLINK("https://klasma.github.io/Logging_2303/kartor/A 18284-2025 karta.png", "A 18284-2025")</f>
        <v/>
      </c>
      <c r="X174">
        <f>HYPERLINK("https://klasma.github.io/Logging_2303/knärot/A 18284-2025 karta knärot.png", "A 18284-2025")</f>
        <v/>
      </c>
      <c r="Y174">
        <f>HYPERLINK("https://klasma.github.io/Logging_2303/klagomål/A 18284-2025 FSC-klagomål.docx", "A 18284-2025")</f>
        <v/>
      </c>
      <c r="Z174">
        <f>HYPERLINK("https://klasma.github.io/Logging_2303/klagomålsmail/A 18284-2025 FSC-klagomål mail.docx", "A 18284-2025")</f>
        <v/>
      </c>
      <c r="AA174">
        <f>HYPERLINK("https://klasma.github.io/Logging_2303/tillsyn/A 18284-2025 tillsynsbegäran.docx", "A 18284-2025")</f>
        <v/>
      </c>
      <c r="AB174">
        <f>HYPERLINK("https://klasma.github.io/Logging_2303/tillsynsmail/A 18284-2025 tillsynsbegäran mail.docx", "A 18284-2025")</f>
        <v/>
      </c>
    </row>
    <row r="175" ht="15" customHeight="1">
      <c r="A175" t="inlineStr">
        <is>
          <t>A 56634-2025</t>
        </is>
      </c>
      <c r="B175" t="inlineStr">
        <is>
          <t>avverkningsanmälan</t>
        </is>
      </c>
      <c r="C175" t="inlineStr">
        <is>
          <t>Föryngringsavverkning</t>
        </is>
      </c>
      <c r="D175" s="1" t="n">
        <v>45975</v>
      </c>
      <c r="E175" s="1" t="n">
        <v>46220</v>
      </c>
      <c r="F175" t="inlineStr">
        <is>
          <t>JÄMTLANDS LÄN</t>
        </is>
      </c>
      <c r="G175" t="inlineStr">
        <is>
          <t>RAGUNDA</t>
        </is>
      </c>
      <c r="H175" t="inlineStr">
        <is>
          <t>SCA</t>
        </is>
      </c>
      <c r="I175" t="n">
        <v>86.59999999999999</v>
      </c>
      <c r="J175" t="n">
        <v>0</v>
      </c>
      <c r="K175" t="n">
        <v>0</v>
      </c>
      <c r="L175" t="n">
        <v>1</v>
      </c>
      <c r="M175" t="n">
        <v>1</v>
      </c>
      <c r="N175" t="n">
        <v>0</v>
      </c>
      <c r="O175" t="n">
        <v>0</v>
      </c>
      <c r="P175" t="n">
        <v>0</v>
      </c>
      <c r="Q175" t="n">
        <v>2</v>
      </c>
      <c r="R175" t="n">
        <v>1</v>
      </c>
      <c r="S175" t="n">
        <v>2</v>
      </c>
      <c r="T175" t="n">
        <v>2</v>
      </c>
      <c r="U175" s="2" t="inlineStr">
        <is>
          <t>Garnlav
Skuggblåslav</t>
        </is>
      </c>
      <c r="V175">
        <f>HYPERLINK("https://klasma.github.io/Logging_2303/artfynd/A 56634-2025 artfynd.xlsx", "A 56634-2025")</f>
        <v/>
      </c>
      <c r="W175">
        <f>HYPERLINK("https://klasma.github.io/Logging_2303/kartor/A 56634-2025 karta.png", "A 56634-2025")</f>
        <v/>
      </c>
      <c r="Y175">
        <f>HYPERLINK("https://klasma.github.io/Logging_2303/klagomål/A 56634-2025 FSC-klagomål.docx", "A 56634-2025")</f>
        <v/>
      </c>
      <c r="Z175">
        <f>HYPERLINK("https://klasma.github.io/Logging_2303/klagomålsmail/A 56634-2025 FSC-klagomål mail.docx", "A 56634-2025")</f>
        <v/>
      </c>
      <c r="AA175">
        <f>HYPERLINK("https://klasma.github.io/Logging_2303/tillsyn/A 56634-2025 tillsynsbegäran.docx", "A 56634-2025")</f>
        <v/>
      </c>
      <c r="AB175">
        <f>HYPERLINK("https://klasma.github.io/Logging_2303/tillsynsmail/A 56634-2025 tillsynsbegäran mail.docx", "A 56634-2025")</f>
        <v/>
      </c>
    </row>
    <row r="176" ht="15" customHeight="1">
      <c r="A176" t="inlineStr">
        <is>
          <t>A 25155-2025</t>
        </is>
      </c>
      <c r="B176" t="inlineStr">
        <is>
          <t>avverkningsanmälan</t>
        </is>
      </c>
      <c r="C176" t="inlineStr">
        <is>
          <t>Föryngringsavverkning</t>
        </is>
      </c>
      <c r="D176" s="1" t="n">
        <v>45800</v>
      </c>
      <c r="E176" s="1" t="n">
        <v>46220</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s="2" t="inlineStr">
        <is>
          <t>Kötticka
Fläcknycklar</t>
        </is>
      </c>
      <c r="V176">
        <f>HYPERLINK("https://klasma.github.io/Logging_2303/artfynd/A 25155-2025 artfynd.xlsx", "A 25155-2025")</f>
        <v/>
      </c>
      <c r="W176">
        <f>HYPERLINK("https://klasma.github.io/Logging_2303/kartor/A 25155-2025 karta.png", "A 25155-2025")</f>
        <v/>
      </c>
      <c r="Y176">
        <f>HYPERLINK("https://klasma.github.io/Logging_2303/klagomål/A 25155-2025 FSC-klagomål.docx", "A 25155-2025")</f>
        <v/>
      </c>
      <c r="Z176">
        <f>HYPERLINK("https://klasma.github.io/Logging_2303/klagomålsmail/A 25155-2025 FSC-klagomål mail.docx", "A 25155-2025")</f>
        <v/>
      </c>
      <c r="AA176">
        <f>HYPERLINK("https://klasma.github.io/Logging_2303/tillsyn/A 25155-2025 tillsynsbegäran.docx", "A 25155-2025")</f>
        <v/>
      </c>
      <c r="AB176">
        <f>HYPERLINK("https://klasma.github.io/Logging_2303/tillsynsmail/A 25155-2025 tillsynsbegäran mail.docx", "A 25155-2025")</f>
        <v/>
      </c>
    </row>
    <row r="177" ht="15" customHeight="1">
      <c r="A177" t="inlineStr">
        <is>
          <t>A 61934-2022</t>
        </is>
      </c>
      <c r="B177" t="inlineStr">
        <is>
          <t>avverkningsanmälan</t>
        </is>
      </c>
      <c r="C177" t="inlineStr">
        <is>
          <t>Föryngringsavverkning</t>
        </is>
      </c>
      <c r="D177" s="1" t="n">
        <v>44917</v>
      </c>
      <c r="E177" s="1" t="n">
        <v>46220</v>
      </c>
      <c r="F177" t="inlineStr">
        <is>
          <t>JÄMTLANDS LÄN</t>
        </is>
      </c>
      <c r="G177" t="inlineStr">
        <is>
          <t>RAGUNDA</t>
        </is>
      </c>
      <c r="H177" t="inlineStr">
        <is>
          <t>SCA</t>
        </is>
      </c>
      <c r="I177" t="n">
        <v>2.5</v>
      </c>
      <c r="J177" t="n">
        <v>0</v>
      </c>
      <c r="K177" t="n">
        <v>1</v>
      </c>
      <c r="L177" t="n">
        <v>1</v>
      </c>
      <c r="M177" t="n">
        <v>0</v>
      </c>
      <c r="N177" t="n">
        <v>0</v>
      </c>
      <c r="O177" t="n">
        <v>0</v>
      </c>
      <c r="P177" t="n">
        <v>0</v>
      </c>
      <c r="Q177" t="n">
        <v>1</v>
      </c>
      <c r="R177" t="n">
        <v>0</v>
      </c>
      <c r="S177" t="n">
        <v>2</v>
      </c>
      <c r="T177" t="n">
        <v>2</v>
      </c>
      <c r="U177" s="2" t="inlineStr">
        <is>
          <t>Lunglav
Stuplav</t>
        </is>
      </c>
      <c r="V177">
        <f>HYPERLINK("https://klasma.github.io/Logging_2303/artfynd/A 61934-2022 artfynd.xlsx", "A 61934-2022")</f>
        <v/>
      </c>
      <c r="W177">
        <f>HYPERLINK("https://klasma.github.io/Logging_2303/kartor/A 61934-2022 karta.png", "A 61934-2022")</f>
        <v/>
      </c>
      <c r="Y177">
        <f>HYPERLINK("https://klasma.github.io/Logging_2303/klagomål/A 61934-2022 FSC-klagomål.docx", "A 61934-2022")</f>
        <v/>
      </c>
      <c r="Z177">
        <f>HYPERLINK("https://klasma.github.io/Logging_2303/klagomålsmail/A 61934-2022 FSC-klagomål mail.docx", "A 61934-2022")</f>
        <v/>
      </c>
      <c r="AA177">
        <f>HYPERLINK("https://klasma.github.io/Logging_2303/tillsyn/A 61934-2022 tillsynsbegäran.docx", "A 61934-2022")</f>
        <v/>
      </c>
      <c r="AB177">
        <f>HYPERLINK("https://klasma.github.io/Logging_2303/tillsynsmail/A 61934-2022 tillsynsbegäran mail.docx", "A 61934-2022")</f>
        <v/>
      </c>
    </row>
    <row r="178" ht="15" customHeight="1">
      <c r="A178" t="inlineStr">
        <is>
          <t>A 40841-2025</t>
        </is>
      </c>
      <c r="B178" t="inlineStr">
        <is>
          <t>avverkningsanmälan</t>
        </is>
      </c>
      <c r="C178" t="inlineStr">
        <is>
          <t>Föryngringsavverkning</t>
        </is>
      </c>
      <c r="D178" s="1" t="n">
        <v>45897</v>
      </c>
      <c r="E178" s="1" t="n">
        <v>46220</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s="2" t="inlineStr">
        <is>
          <t>Garnlav
Källmossor</t>
        </is>
      </c>
      <c r="V178">
        <f>HYPERLINK("https://klasma.github.io/Logging_2303/artfynd/A 40841-2025 artfynd.xlsx", "A 40841-2025")</f>
        <v/>
      </c>
      <c r="W178">
        <f>HYPERLINK("https://klasma.github.io/Logging_2303/kartor/A 40841-2025 karta.png", "A 40841-2025")</f>
        <v/>
      </c>
      <c r="Y178">
        <f>HYPERLINK("https://klasma.github.io/Logging_2303/klagomål/A 40841-2025 FSC-klagomål.docx", "A 40841-2025")</f>
        <v/>
      </c>
      <c r="Z178">
        <f>HYPERLINK("https://klasma.github.io/Logging_2303/klagomålsmail/A 40841-2025 FSC-klagomål mail.docx", "A 40841-2025")</f>
        <v/>
      </c>
      <c r="AA178">
        <f>HYPERLINK("https://klasma.github.io/Logging_2303/tillsyn/A 40841-2025 tillsynsbegäran.docx", "A 40841-2025")</f>
        <v/>
      </c>
      <c r="AB178">
        <f>HYPERLINK("https://klasma.github.io/Logging_2303/tillsynsmail/A 40841-2025 tillsynsbegäran mail.docx", "A 40841-2025")</f>
        <v/>
      </c>
    </row>
    <row r="179" ht="15" customHeight="1">
      <c r="A179" t="inlineStr">
        <is>
          <t>A 19404-2025</t>
        </is>
      </c>
      <c r="B179" t="inlineStr">
        <is>
          <t>avverkningsanmälan</t>
        </is>
      </c>
      <c r="C179" t="inlineStr">
        <is>
          <t>Föryngringsavverkning</t>
        </is>
      </c>
      <c r="D179" s="1" t="n">
        <v>45769</v>
      </c>
      <c r="E179" s="1" t="n">
        <v>46220</v>
      </c>
      <c r="F179" t="inlineStr">
        <is>
          <t>JÄMTLANDS LÄN</t>
        </is>
      </c>
      <c r="G179" t="inlineStr">
        <is>
          <t>RAGUNDA</t>
        </is>
      </c>
      <c r="H179" t="inlineStr">
        <is>
          <t>SCA</t>
        </is>
      </c>
      <c r="I179" t="n">
        <v>3</v>
      </c>
      <c r="J179" t="n">
        <v>1</v>
      </c>
      <c r="K179" t="n">
        <v>0</v>
      </c>
      <c r="L179" t="n">
        <v>1</v>
      </c>
      <c r="M179" t="n">
        <v>1</v>
      </c>
      <c r="N179" t="n">
        <v>0</v>
      </c>
      <c r="O179" t="n">
        <v>0</v>
      </c>
      <c r="P179" t="n">
        <v>0</v>
      </c>
      <c r="Q179" t="n">
        <v>2</v>
      </c>
      <c r="R179" t="n">
        <v>1</v>
      </c>
      <c r="S179" t="n">
        <v>2</v>
      </c>
      <c r="T179" t="n">
        <v>3</v>
      </c>
      <c r="U179" s="2" t="inlineStr">
        <is>
          <t>Knärot
Rosenticka</t>
        </is>
      </c>
      <c r="V179">
        <f>HYPERLINK("https://klasma.github.io/Logging_2303/artfynd/A 19404-2025 artfynd.xlsx", "A 19404-2025")</f>
        <v/>
      </c>
      <c r="W179">
        <f>HYPERLINK("https://klasma.github.io/Logging_2303/kartor/A 19404-2025 karta.png", "A 19404-2025")</f>
        <v/>
      </c>
      <c r="X179">
        <f>HYPERLINK("https://klasma.github.io/Logging_2303/knärot/A 19404-2025 karta knärot.png", "A 19404-2025")</f>
        <v/>
      </c>
      <c r="Y179">
        <f>HYPERLINK("https://klasma.github.io/Logging_2303/klagomål/A 19404-2025 FSC-klagomål.docx", "A 19404-2025")</f>
        <v/>
      </c>
      <c r="Z179">
        <f>HYPERLINK("https://klasma.github.io/Logging_2303/klagomålsmail/A 19404-2025 FSC-klagomål mail.docx", "A 19404-2025")</f>
        <v/>
      </c>
      <c r="AA179">
        <f>HYPERLINK("https://klasma.github.io/Logging_2303/tillsyn/A 19404-2025 tillsynsbegäran.docx", "A 19404-2025")</f>
        <v/>
      </c>
      <c r="AB179">
        <f>HYPERLINK("https://klasma.github.io/Logging_2303/tillsynsmail/A 19404-2025 tillsynsbegäran mail.docx", "A 19404-2025")</f>
        <v/>
      </c>
    </row>
    <row r="180" ht="15" customHeight="1">
      <c r="A180" t="inlineStr">
        <is>
          <t>A 24443-2024</t>
        </is>
      </c>
      <c r="B180" t="inlineStr">
        <is>
          <t>avverkningsanmälan</t>
        </is>
      </c>
      <c r="C180" t="inlineStr">
        <is>
          <t>Föryngringsavverkning</t>
        </is>
      </c>
      <c r="D180" s="1" t="n">
        <v>45457</v>
      </c>
      <c r="E180" s="1" t="n">
        <v>46220</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s="2" t="inlineStr">
        <is>
          <t>Knärot
Lunglav</t>
        </is>
      </c>
      <c r="V180">
        <f>HYPERLINK("https://klasma.github.io/Logging_2303/artfynd/A 24443-2024 artfynd.xlsx", "A 24443-2024")</f>
        <v/>
      </c>
      <c r="W180">
        <f>HYPERLINK("https://klasma.github.io/Logging_2303/kartor/A 24443-2024 karta.png", "A 24443-2024")</f>
        <v/>
      </c>
      <c r="X180">
        <f>HYPERLINK("https://klasma.github.io/Logging_2303/knärot/A 24443-2024 karta knärot.png", "A 24443-2024")</f>
        <v/>
      </c>
      <c r="Y180">
        <f>HYPERLINK("https://klasma.github.io/Logging_2303/klagomål/A 24443-2024 FSC-klagomål.docx", "A 24443-2024")</f>
        <v/>
      </c>
      <c r="Z180">
        <f>HYPERLINK("https://klasma.github.io/Logging_2303/klagomålsmail/A 24443-2024 FSC-klagomål mail.docx", "A 24443-2024")</f>
        <v/>
      </c>
      <c r="AA180">
        <f>HYPERLINK("https://klasma.github.io/Logging_2303/tillsyn/A 24443-2024 tillsynsbegäran.docx", "A 24443-2024")</f>
        <v/>
      </c>
      <c r="AB180">
        <f>HYPERLINK("https://klasma.github.io/Logging_2303/tillsynsmail/A 24443-2024 tillsynsbegäran mail.docx", "A 24443-2024")</f>
        <v/>
      </c>
    </row>
    <row r="181" ht="15" customHeight="1">
      <c r="A181" t="inlineStr">
        <is>
          <t>A 31960-2025</t>
        </is>
      </c>
      <c r="B181" t="inlineStr">
        <is>
          <t>avverkningsanmälan</t>
        </is>
      </c>
      <c r="C181" t="inlineStr">
        <is>
          <t>Föryngringsavverkning</t>
        </is>
      </c>
      <c r="D181" s="1" t="n">
        <v>45835</v>
      </c>
      <c r="E181" s="1" t="n">
        <v>46220</v>
      </c>
      <c r="F181" t="inlineStr">
        <is>
          <t>JÄMTLANDS LÄN</t>
        </is>
      </c>
      <c r="G181" t="inlineStr">
        <is>
          <t>RAGUNDA</t>
        </is>
      </c>
      <c r="H181" t="inlineStr">
        <is>
          <t>SCA</t>
        </is>
      </c>
      <c r="I181" t="n">
        <v>1.6</v>
      </c>
      <c r="J181" t="n">
        <v>0</v>
      </c>
      <c r="K181" t="n">
        <v>0</v>
      </c>
      <c r="L181" t="n">
        <v>1</v>
      </c>
      <c r="M181" t="n">
        <v>1</v>
      </c>
      <c r="N181" t="n">
        <v>0</v>
      </c>
      <c r="O181" t="n">
        <v>0</v>
      </c>
      <c r="P181" t="n">
        <v>0</v>
      </c>
      <c r="Q181" t="n">
        <v>2</v>
      </c>
      <c r="R181" t="n">
        <v>1</v>
      </c>
      <c r="S181" t="n">
        <v>2</v>
      </c>
      <c r="T181" t="n">
        <v>2</v>
      </c>
      <c r="U181" s="2" t="inlineStr">
        <is>
          <t>Garnlav
Gammelgransskål</t>
        </is>
      </c>
      <c r="V181">
        <f>HYPERLINK("https://klasma.github.io/Logging_2303/artfynd/A 31960-2025 artfynd.xlsx", "A 31960-2025")</f>
        <v/>
      </c>
      <c r="W181">
        <f>HYPERLINK("https://klasma.github.io/Logging_2303/kartor/A 31960-2025 karta.png", "A 31960-2025")</f>
        <v/>
      </c>
      <c r="Y181">
        <f>HYPERLINK("https://klasma.github.io/Logging_2303/klagomål/A 31960-2025 FSC-klagomål.docx", "A 31960-2025")</f>
        <v/>
      </c>
      <c r="Z181">
        <f>HYPERLINK("https://klasma.github.io/Logging_2303/klagomålsmail/A 31960-2025 FSC-klagomål mail.docx", "A 31960-2025")</f>
        <v/>
      </c>
      <c r="AA181">
        <f>HYPERLINK("https://klasma.github.io/Logging_2303/tillsyn/A 31960-2025 tillsynsbegäran.docx", "A 31960-2025")</f>
        <v/>
      </c>
      <c r="AB181">
        <f>HYPERLINK("https://klasma.github.io/Logging_2303/tillsynsmail/A 31960-2025 tillsynsbegäran mail.docx", "A 31960-2025")</f>
        <v/>
      </c>
    </row>
    <row r="182" ht="15" customHeight="1">
      <c r="A182" t="inlineStr">
        <is>
          <t>A 45021-2023</t>
        </is>
      </c>
      <c r="B182" t="inlineStr">
        <is>
          <t>avverkningsanmälan</t>
        </is>
      </c>
      <c r="C182" t="inlineStr">
        <is>
          <t>Avverkning för att bevara och utveckla /försöksver</t>
        </is>
      </c>
      <c r="D182" s="1" t="n">
        <v>45190</v>
      </c>
      <c r="E182" s="1" t="n">
        <v>46220</v>
      </c>
      <c r="F182" t="inlineStr">
        <is>
          <t>JÄMTLANDS LÄN</t>
        </is>
      </c>
      <c r="G182" t="inlineStr">
        <is>
          <t>RAGUNDA</t>
        </is>
      </c>
      <c r="H182" t="inlineStr">
        <is>
          <t>SCA</t>
        </is>
      </c>
      <c r="I182" t="n">
        <v>1.6</v>
      </c>
      <c r="J182" t="n">
        <v>1</v>
      </c>
      <c r="K182" t="n">
        <v>0</v>
      </c>
      <c r="L182" t="n">
        <v>1</v>
      </c>
      <c r="M182" t="n">
        <v>0</v>
      </c>
      <c r="N182" t="n">
        <v>0</v>
      </c>
      <c r="O182" t="n">
        <v>0</v>
      </c>
      <c r="P182" t="n">
        <v>0</v>
      </c>
      <c r="Q182" t="n">
        <v>1</v>
      </c>
      <c r="R182" t="n">
        <v>0</v>
      </c>
      <c r="S182" t="n">
        <v>2</v>
      </c>
      <c r="T182" t="n">
        <v>2</v>
      </c>
      <c r="U182" s="2" t="inlineStr">
        <is>
          <t>Lunglav
Fläcknycklar</t>
        </is>
      </c>
      <c r="V182">
        <f>HYPERLINK("https://klasma.github.io/Logging_2303/artfynd/A 45021-2023 artfynd.xlsx", "A 45021-2023")</f>
        <v/>
      </c>
      <c r="W182">
        <f>HYPERLINK("https://klasma.github.io/Logging_2303/kartor/A 45021-2023 karta.png", "A 45021-2023")</f>
        <v/>
      </c>
      <c r="Y182">
        <f>HYPERLINK("https://klasma.github.io/Logging_2303/klagomål/A 45021-2023 FSC-klagomål.docx", "A 45021-2023")</f>
        <v/>
      </c>
      <c r="Z182">
        <f>HYPERLINK("https://klasma.github.io/Logging_2303/klagomålsmail/A 45021-2023 FSC-klagomål mail.docx", "A 45021-2023")</f>
        <v/>
      </c>
      <c r="AA182">
        <f>HYPERLINK("https://klasma.github.io/Logging_2303/tillsyn/A 45021-2023 tillsynsbegäran.docx", "A 45021-2023")</f>
        <v/>
      </c>
      <c r="AB182">
        <f>HYPERLINK("https://klasma.github.io/Logging_2303/tillsynsmail/A 45021-2023 tillsynsbegäran mail.docx", "A 45021-2023")</f>
        <v/>
      </c>
    </row>
    <row r="183" ht="15" customHeight="1">
      <c r="A183" t="inlineStr">
        <is>
          <t>A 46710-2025</t>
        </is>
      </c>
      <c r="B183" t="inlineStr">
        <is>
          <t>avverkningsanmälan</t>
        </is>
      </c>
      <c r="C183" t="inlineStr">
        <is>
          <t>Föryngringsavverkning</t>
        </is>
      </c>
      <c r="D183" s="1" t="n">
        <v>45926</v>
      </c>
      <c r="E183" s="1" t="n">
        <v>46220</v>
      </c>
      <c r="F183" t="inlineStr">
        <is>
          <t>JÄMTLANDS LÄN</t>
        </is>
      </c>
      <c r="G183" t="inlineStr">
        <is>
          <t>RAGUNDA</t>
        </is>
      </c>
      <c r="H183" t="inlineStr">
        <is>
          <t>SCA</t>
        </is>
      </c>
      <c r="I183" t="n">
        <v>6</v>
      </c>
      <c r="J183" t="n">
        <v>0</v>
      </c>
      <c r="K183" t="n">
        <v>1</v>
      </c>
      <c r="L183" t="n">
        <v>1</v>
      </c>
      <c r="M183" t="n">
        <v>0</v>
      </c>
      <c r="N183" t="n">
        <v>0</v>
      </c>
      <c r="O183" t="n">
        <v>0</v>
      </c>
      <c r="P183" t="n">
        <v>0</v>
      </c>
      <c r="Q183" t="n">
        <v>1</v>
      </c>
      <c r="R183" t="n">
        <v>0</v>
      </c>
      <c r="S183" t="n">
        <v>2</v>
      </c>
      <c r="T183" t="n">
        <v>2</v>
      </c>
      <c r="U183" s="2" t="inlineStr">
        <is>
          <t>Lunglav
Stuplav</t>
        </is>
      </c>
      <c r="V183">
        <f>HYPERLINK("https://klasma.github.io/Logging_2303/artfynd/A 46710-2025 artfynd.xlsx", "A 46710-2025")</f>
        <v/>
      </c>
      <c r="W183">
        <f>HYPERLINK("https://klasma.github.io/Logging_2303/kartor/A 46710-2025 karta.png", "A 46710-2025")</f>
        <v/>
      </c>
      <c r="Y183">
        <f>HYPERLINK("https://klasma.github.io/Logging_2303/klagomål/A 46710-2025 FSC-klagomål.docx", "A 46710-2025")</f>
        <v/>
      </c>
      <c r="Z183">
        <f>HYPERLINK("https://klasma.github.io/Logging_2303/klagomålsmail/A 46710-2025 FSC-klagomål mail.docx", "A 46710-2025")</f>
        <v/>
      </c>
      <c r="AA183">
        <f>HYPERLINK("https://klasma.github.io/Logging_2303/tillsyn/A 46710-2025 tillsynsbegäran.docx", "A 46710-2025")</f>
        <v/>
      </c>
      <c r="AB183">
        <f>HYPERLINK("https://klasma.github.io/Logging_2303/tillsynsmail/A 46710-2025 tillsynsbegäran mail.docx", "A 46710-2025")</f>
        <v/>
      </c>
    </row>
    <row r="184" ht="15" customHeight="1">
      <c r="A184" t="inlineStr">
        <is>
          <t>A 35131-2025</t>
        </is>
      </c>
      <c r="B184" t="inlineStr">
        <is>
          <t>avverkningsanmälan</t>
        </is>
      </c>
      <c r="C184" t="inlineStr">
        <is>
          <t>Föryngringsavverkning</t>
        </is>
      </c>
      <c r="D184" s="1" t="n">
        <v>45852</v>
      </c>
      <c r="E184" s="1" t="n">
        <v>46220</v>
      </c>
      <c r="F184" t="inlineStr">
        <is>
          <t>JÄMTLANDS LÄN</t>
        </is>
      </c>
      <c r="G184" t="inlineStr">
        <is>
          <t>RAGUNDA</t>
        </is>
      </c>
      <c r="H184" t="inlineStr">
        <is>
          <t>SCA</t>
        </is>
      </c>
      <c r="I184" t="n">
        <v>6.9</v>
      </c>
      <c r="J184" t="n">
        <v>1</v>
      </c>
      <c r="K184" t="n">
        <v>1</v>
      </c>
      <c r="L184" t="n">
        <v>0</v>
      </c>
      <c r="M184" t="n">
        <v>0</v>
      </c>
      <c r="N184" t="n">
        <v>0</v>
      </c>
      <c r="O184" t="n">
        <v>0</v>
      </c>
      <c r="P184" t="n">
        <v>0</v>
      </c>
      <c r="Q184" t="n">
        <v>0</v>
      </c>
      <c r="R184" t="n">
        <v>0</v>
      </c>
      <c r="S184" t="n">
        <v>2</v>
      </c>
      <c r="T184" t="n">
        <v>2</v>
      </c>
      <c r="U184" s="2" t="inlineStr">
        <is>
          <t>Ögonpyrola
Nattviol</t>
        </is>
      </c>
      <c r="V184">
        <f>HYPERLINK("https://klasma.github.io/Logging_2303/artfynd/A 35131-2025 artfynd.xlsx", "A 35131-2025")</f>
        <v/>
      </c>
      <c r="W184">
        <f>HYPERLINK("https://klasma.github.io/Logging_2303/kartor/A 35131-2025 karta.png", "A 35131-2025")</f>
        <v/>
      </c>
      <c r="Y184">
        <f>HYPERLINK("https://klasma.github.io/Logging_2303/klagomål/A 35131-2025 FSC-klagomål.docx", "A 35131-2025")</f>
        <v/>
      </c>
      <c r="Z184">
        <f>HYPERLINK("https://klasma.github.io/Logging_2303/klagomålsmail/A 35131-2025 FSC-klagomål mail.docx", "A 35131-2025")</f>
        <v/>
      </c>
      <c r="AA184">
        <f>HYPERLINK("https://klasma.github.io/Logging_2303/tillsyn/A 35131-2025 tillsynsbegäran.docx", "A 35131-2025")</f>
        <v/>
      </c>
      <c r="AB184">
        <f>HYPERLINK("https://klasma.github.io/Logging_2303/tillsynsmail/A 35131-2025 tillsynsbegäran mail.docx", "A 35131-2025")</f>
        <v/>
      </c>
    </row>
    <row r="185" ht="15" customHeight="1">
      <c r="A185" t="inlineStr">
        <is>
          <t>A 50089-2022</t>
        </is>
      </c>
      <c r="B185" t="inlineStr">
        <is>
          <t>avverkningsanmälan</t>
        </is>
      </c>
      <c r="C185" t="inlineStr">
        <is>
          <t>Föryngringsavverkning</t>
        </is>
      </c>
      <c r="D185" s="1" t="n">
        <v>44865</v>
      </c>
      <c r="E185" s="1" t="n">
        <v>46220</v>
      </c>
      <c r="F185" t="inlineStr">
        <is>
          <t>JÄMTLANDS LÄN</t>
        </is>
      </c>
      <c r="G185" t="inlineStr">
        <is>
          <t>RAGUNDA</t>
        </is>
      </c>
      <c r="I185" t="n">
        <v>5.7</v>
      </c>
      <c r="J185" t="n">
        <v>2</v>
      </c>
      <c r="K185" t="n">
        <v>0</v>
      </c>
      <c r="L185" t="n">
        <v>2</v>
      </c>
      <c r="M185" t="n">
        <v>0</v>
      </c>
      <c r="N185" t="n">
        <v>0</v>
      </c>
      <c r="O185" t="n">
        <v>0</v>
      </c>
      <c r="P185" t="n">
        <v>0</v>
      </c>
      <c r="Q185" t="n">
        <v>2</v>
      </c>
      <c r="R185" t="n">
        <v>0</v>
      </c>
      <c r="S185" t="n">
        <v>2</v>
      </c>
      <c r="T185" t="n">
        <v>2</v>
      </c>
      <c r="U185" s="2" t="inlineStr">
        <is>
          <t>Björktrast
Drillsnäppa</t>
        </is>
      </c>
      <c r="V185">
        <f>HYPERLINK("https://klasma.github.io/Logging_2303/artfynd/A 50089-2022 artfynd.xlsx", "A 50089-2022")</f>
        <v/>
      </c>
      <c r="W185">
        <f>HYPERLINK("https://klasma.github.io/Logging_2303/kartor/A 50089-2022 karta.png", "A 50089-2022")</f>
        <v/>
      </c>
      <c r="Y185">
        <f>HYPERLINK("https://klasma.github.io/Logging_2303/klagomål/A 50089-2022 FSC-klagomål.docx", "A 50089-2022")</f>
        <v/>
      </c>
      <c r="Z185">
        <f>HYPERLINK("https://klasma.github.io/Logging_2303/klagomålsmail/A 50089-2022 FSC-klagomål mail.docx", "A 50089-2022")</f>
        <v/>
      </c>
      <c r="AA185">
        <f>HYPERLINK("https://klasma.github.io/Logging_2303/tillsyn/A 50089-2022 tillsynsbegäran.docx", "A 50089-2022")</f>
        <v/>
      </c>
      <c r="AB185">
        <f>HYPERLINK("https://klasma.github.io/Logging_2303/tillsynsmail/A 50089-2022 tillsynsbegäran mail.docx", "A 50089-2022")</f>
        <v/>
      </c>
      <c r="AC185">
        <f>HYPERLINK("https://klasma.github.io/Logging_2303/fåglar/A 50089-2022 prioriterade fågelarter.docx", "A 50089-2022")</f>
        <v/>
      </c>
    </row>
    <row r="186" ht="15" customHeight="1">
      <c r="A186" t="inlineStr">
        <is>
          <t>A 52395-2025</t>
        </is>
      </c>
      <c r="B186" t="inlineStr">
        <is>
          <t>avverkningsanmälan</t>
        </is>
      </c>
      <c r="C186" t="inlineStr">
        <is>
          <t>Föryngringsavverkning</t>
        </is>
      </c>
      <c r="D186" s="1" t="n">
        <v>45954</v>
      </c>
      <c r="E186" s="1" t="n">
        <v>46220</v>
      </c>
      <c r="F186" t="inlineStr">
        <is>
          <t>JÄMTLANDS LÄN</t>
        </is>
      </c>
      <c r="G186" t="inlineStr">
        <is>
          <t>RAGUNDA</t>
        </is>
      </c>
      <c r="H186" t="inlineStr">
        <is>
          <t>SCA</t>
        </is>
      </c>
      <c r="I186" t="n">
        <v>14.2</v>
      </c>
      <c r="J186" t="n">
        <v>0</v>
      </c>
      <c r="K186" t="n">
        <v>0</v>
      </c>
      <c r="L186" t="n">
        <v>1</v>
      </c>
      <c r="M186" t="n">
        <v>1</v>
      </c>
      <c r="N186" t="n">
        <v>0</v>
      </c>
      <c r="O186" t="n">
        <v>0</v>
      </c>
      <c r="P186" t="n">
        <v>0</v>
      </c>
      <c r="Q186" t="n">
        <v>2</v>
      </c>
      <c r="R186" t="n">
        <v>1</v>
      </c>
      <c r="S186" t="n">
        <v>2</v>
      </c>
      <c r="T186" t="n">
        <v>2</v>
      </c>
      <c r="U186" s="2" t="inlineStr">
        <is>
          <t>Garnlav
Lunglav</t>
        </is>
      </c>
      <c r="V186">
        <f>HYPERLINK("https://klasma.github.io/Logging_2303/artfynd/A 52395-2025 artfynd.xlsx", "A 52395-2025")</f>
        <v/>
      </c>
      <c r="W186">
        <f>HYPERLINK("https://klasma.github.io/Logging_2303/kartor/A 52395-2025 karta.png", "A 52395-2025")</f>
        <v/>
      </c>
      <c r="Y186">
        <f>HYPERLINK("https://klasma.github.io/Logging_2303/klagomål/A 52395-2025 FSC-klagomål.docx", "A 52395-2025")</f>
        <v/>
      </c>
      <c r="Z186">
        <f>HYPERLINK("https://klasma.github.io/Logging_2303/klagomålsmail/A 52395-2025 FSC-klagomål mail.docx", "A 52395-2025")</f>
        <v/>
      </c>
      <c r="AA186">
        <f>HYPERLINK("https://klasma.github.io/Logging_2303/tillsyn/A 52395-2025 tillsynsbegäran.docx", "A 52395-2025")</f>
        <v/>
      </c>
      <c r="AB186">
        <f>HYPERLINK("https://klasma.github.io/Logging_2303/tillsynsmail/A 52395-2025 tillsynsbegäran mail.docx", "A 52395-2025")</f>
        <v/>
      </c>
    </row>
    <row r="187" ht="15" customHeight="1">
      <c r="A187" t="inlineStr">
        <is>
          <t>A 53975-2025</t>
        </is>
      </c>
      <c r="B187" t="inlineStr">
        <is>
          <t>avverkningsanmälan</t>
        </is>
      </c>
      <c r="C187" t="inlineStr">
        <is>
          <t>Föryngringsavverkning</t>
        </is>
      </c>
      <c r="D187" s="1" t="n">
        <v>45961</v>
      </c>
      <c r="E187" s="1" t="n">
        <v>46220</v>
      </c>
      <c r="F187" t="inlineStr">
        <is>
          <t>JÄMTLANDS LÄN</t>
        </is>
      </c>
      <c r="G187" t="inlineStr">
        <is>
          <t>RAGUNDA</t>
        </is>
      </c>
      <c r="H187" t="inlineStr">
        <is>
          <t>SCA</t>
        </is>
      </c>
      <c r="I187" t="n">
        <v>21.9</v>
      </c>
      <c r="J187" t="n">
        <v>2</v>
      </c>
      <c r="K187" t="n">
        <v>2</v>
      </c>
      <c r="L187" t="n">
        <v>0</v>
      </c>
      <c r="M187" t="n">
        <v>0</v>
      </c>
      <c r="N187" t="n">
        <v>0</v>
      </c>
      <c r="O187" t="n">
        <v>0</v>
      </c>
      <c r="P187" t="n">
        <v>0</v>
      </c>
      <c r="Q187" t="n">
        <v>0</v>
      </c>
      <c r="R187" t="n">
        <v>0</v>
      </c>
      <c r="S187" t="n">
        <v>2</v>
      </c>
      <c r="T187" t="n">
        <v>2</v>
      </c>
      <c r="U187" s="2" t="inlineStr">
        <is>
          <t>Guckusko
Tvåblad</t>
        </is>
      </c>
      <c r="V187">
        <f>HYPERLINK("https://klasma.github.io/Logging_2303/artfynd/A 53975-2025 artfynd.xlsx", "A 53975-2025")</f>
        <v/>
      </c>
      <c r="W187">
        <f>HYPERLINK("https://klasma.github.io/Logging_2303/kartor/A 53975-2025 karta.png", "A 53975-2025")</f>
        <v/>
      </c>
      <c r="Y187">
        <f>HYPERLINK("https://klasma.github.io/Logging_2303/klagomål/A 53975-2025 FSC-klagomål.docx", "A 53975-2025")</f>
        <v/>
      </c>
      <c r="Z187">
        <f>HYPERLINK("https://klasma.github.io/Logging_2303/klagomålsmail/A 53975-2025 FSC-klagomål mail.docx", "A 53975-2025")</f>
        <v/>
      </c>
      <c r="AA187">
        <f>HYPERLINK("https://klasma.github.io/Logging_2303/tillsyn/A 53975-2025 tillsynsbegäran.docx", "A 53975-2025")</f>
        <v/>
      </c>
      <c r="AB187">
        <f>HYPERLINK("https://klasma.github.io/Logging_2303/tillsynsmail/A 53975-2025 tillsynsbegäran mail.docx", "A 53975-2025")</f>
        <v/>
      </c>
    </row>
    <row r="188" ht="15" customHeight="1">
      <c r="A188" t="inlineStr">
        <is>
          <t>A 6905-2024</t>
        </is>
      </c>
      <c r="B188" t="inlineStr">
        <is>
          <t>avverkningsanmälan</t>
        </is>
      </c>
      <c r="C188" t="inlineStr">
        <is>
          <t>Föryngringsavverkning</t>
        </is>
      </c>
      <c r="D188" s="1" t="n">
        <v>45342</v>
      </c>
      <c r="E188" s="1" t="n">
        <v>46220</v>
      </c>
      <c r="F188" t="inlineStr">
        <is>
          <t>JÄMTLANDS LÄN</t>
        </is>
      </c>
      <c r="G188" t="inlineStr">
        <is>
          <t>RAGUNDA</t>
        </is>
      </c>
      <c r="H188" t="inlineStr">
        <is>
          <t>SCA</t>
        </is>
      </c>
      <c r="I188" t="n">
        <v>3.3</v>
      </c>
      <c r="J188" t="n">
        <v>2</v>
      </c>
      <c r="K188" t="n">
        <v>1</v>
      </c>
      <c r="L188" t="n">
        <v>0</v>
      </c>
      <c r="M188" t="n">
        <v>0</v>
      </c>
      <c r="N188" t="n">
        <v>0</v>
      </c>
      <c r="O188" t="n">
        <v>0</v>
      </c>
      <c r="P188" t="n">
        <v>0</v>
      </c>
      <c r="Q188" t="n">
        <v>0</v>
      </c>
      <c r="R188" t="n">
        <v>0</v>
      </c>
      <c r="S188" t="n">
        <v>2</v>
      </c>
      <c r="T188" t="n">
        <v>2</v>
      </c>
      <c r="U188" s="2" t="inlineStr">
        <is>
          <t>Plattlummer
Mattlummer</t>
        </is>
      </c>
      <c r="V188">
        <f>HYPERLINK("https://klasma.github.io/Logging_2303/artfynd/A 6905-2024 artfynd.xlsx", "A 6905-2024")</f>
        <v/>
      </c>
      <c r="W188">
        <f>HYPERLINK("https://klasma.github.io/Logging_2303/kartor/A 6905-2024 karta.png", "A 6905-2024")</f>
        <v/>
      </c>
      <c r="Y188">
        <f>HYPERLINK("https://klasma.github.io/Logging_2303/klagomål/A 6905-2024 FSC-klagomål.docx", "A 6905-2024")</f>
        <v/>
      </c>
      <c r="Z188">
        <f>HYPERLINK("https://klasma.github.io/Logging_2303/klagomålsmail/A 6905-2024 FSC-klagomål mail.docx", "A 6905-2024")</f>
        <v/>
      </c>
      <c r="AA188">
        <f>HYPERLINK("https://klasma.github.io/Logging_2303/tillsyn/A 6905-2024 tillsynsbegäran.docx", "A 6905-2024")</f>
        <v/>
      </c>
      <c r="AB188">
        <f>HYPERLINK("https://klasma.github.io/Logging_2303/tillsynsmail/A 6905-2024 tillsynsbegäran mail.docx", "A 6905-2024")</f>
        <v/>
      </c>
    </row>
    <row r="189" ht="15" customHeight="1">
      <c r="A189" t="inlineStr">
        <is>
          <t>A 30485-2024</t>
        </is>
      </c>
      <c r="B189" t="inlineStr">
        <is>
          <t>avverkningsanmälan</t>
        </is>
      </c>
      <c r="C189" t="inlineStr">
        <is>
          <t>Avverkning för att bevara och utveckla /försöksver</t>
        </is>
      </c>
      <c r="D189" s="1" t="n">
        <v>45491</v>
      </c>
      <c r="E189" s="1" t="n">
        <v>46220</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s="2" t="inlineStr">
        <is>
          <t>Garnlav
Vitgrynig nållav</t>
        </is>
      </c>
      <c r="V189">
        <f>HYPERLINK("https://klasma.github.io/Logging_2303/artfynd/A 30485-2024 artfynd.xlsx", "A 30485-2024")</f>
        <v/>
      </c>
      <c r="W189">
        <f>HYPERLINK("https://klasma.github.io/Logging_2303/kartor/A 30485-2024 karta.png", "A 30485-2024")</f>
        <v/>
      </c>
      <c r="Y189">
        <f>HYPERLINK("https://klasma.github.io/Logging_2303/klagomål/A 30485-2024 FSC-klagomål.docx", "A 30485-2024")</f>
        <v/>
      </c>
      <c r="Z189">
        <f>HYPERLINK("https://klasma.github.io/Logging_2303/klagomålsmail/A 30485-2024 FSC-klagomål mail.docx", "A 30485-2024")</f>
        <v/>
      </c>
      <c r="AA189">
        <f>HYPERLINK("https://klasma.github.io/Logging_2303/tillsyn/A 30485-2024 tillsynsbegäran.docx", "A 30485-2024")</f>
        <v/>
      </c>
      <c r="AB189">
        <f>HYPERLINK("https://klasma.github.io/Logging_2303/tillsynsmail/A 30485-2024 tillsynsbegäran mail.docx", "A 30485-2024")</f>
        <v/>
      </c>
    </row>
    <row r="190" ht="15" customHeight="1">
      <c r="A190" t="inlineStr">
        <is>
          <t>A 40826-2023</t>
        </is>
      </c>
      <c r="B190" t="inlineStr">
        <is>
          <t>avverkningsanmälan</t>
        </is>
      </c>
      <c r="C190" t="inlineStr">
        <is>
          <t>Föryngringsavverkning</t>
        </is>
      </c>
      <c r="D190" s="1" t="n">
        <v>45171</v>
      </c>
      <c r="E190" s="1" t="n">
        <v>46220</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s="2" t="inlineStr">
        <is>
          <t>Lunglav
Stuplav</t>
        </is>
      </c>
      <c r="V190">
        <f>HYPERLINK("https://klasma.github.io/Logging_2303/artfynd/A 40826-2023 artfynd.xlsx", "A 40826-2023")</f>
        <v/>
      </c>
      <c r="W190">
        <f>HYPERLINK("https://klasma.github.io/Logging_2303/kartor/A 40826-2023 karta.png", "A 40826-2023")</f>
        <v/>
      </c>
      <c r="Y190">
        <f>HYPERLINK("https://klasma.github.io/Logging_2303/klagomål/A 40826-2023 FSC-klagomål.docx", "A 40826-2023")</f>
        <v/>
      </c>
      <c r="Z190">
        <f>HYPERLINK("https://klasma.github.io/Logging_2303/klagomålsmail/A 40826-2023 FSC-klagomål mail.docx", "A 40826-2023")</f>
        <v/>
      </c>
      <c r="AA190">
        <f>HYPERLINK("https://klasma.github.io/Logging_2303/tillsyn/A 40826-2023 tillsynsbegäran.docx", "A 40826-2023")</f>
        <v/>
      </c>
      <c r="AB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46220</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s="2" t="inlineStr">
        <is>
          <t>Lunglav
Stor aspticka</t>
        </is>
      </c>
      <c r="V191">
        <f>HYPERLINK("https://klasma.github.io/Logging_2303/artfynd/A 7519-2023 artfynd.xlsx", "A 7519-2023")</f>
        <v/>
      </c>
      <c r="W191">
        <f>HYPERLINK("https://klasma.github.io/Logging_2303/kartor/A 7519-2023 karta.png", "A 7519-2023")</f>
        <v/>
      </c>
      <c r="Y191">
        <f>HYPERLINK("https://klasma.github.io/Logging_2303/klagomål/A 7519-2023 FSC-klagomål.docx", "A 7519-2023")</f>
        <v/>
      </c>
      <c r="Z191">
        <f>HYPERLINK("https://klasma.github.io/Logging_2303/klagomålsmail/A 7519-2023 FSC-klagomål mail.docx", "A 7519-2023")</f>
        <v/>
      </c>
      <c r="AA191">
        <f>HYPERLINK("https://klasma.github.io/Logging_2303/tillsyn/A 7519-2023 tillsynsbegäran.docx", "A 7519-2023")</f>
        <v/>
      </c>
      <c r="AB191">
        <f>HYPERLINK("https://klasma.github.io/Logging_2303/tillsynsmail/A 7519-2023 tillsynsbegäran mail.docx", "A 7519-2023")</f>
        <v/>
      </c>
    </row>
    <row r="192" ht="15" customHeight="1">
      <c r="A192" t="inlineStr">
        <is>
          <t>A 62927-2025</t>
        </is>
      </c>
      <c r="B192" t="inlineStr">
        <is>
          <t>avverkningsanmälan</t>
        </is>
      </c>
      <c r="C192" t="inlineStr">
        <is>
          <t>Föryngringsavverkning</t>
        </is>
      </c>
      <c r="D192" s="1" t="n">
        <v>46009</v>
      </c>
      <c r="E192" s="1" t="n">
        <v>46220</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s="2" t="inlineStr">
        <is>
          <t>Knärot
Orange taggsvamp</t>
        </is>
      </c>
      <c r="V192">
        <f>HYPERLINK("https://klasma.github.io/Logging_2303/artfynd/A 62927-2025 artfynd.xlsx", "A 62927-2025")</f>
        <v/>
      </c>
      <c r="W192">
        <f>HYPERLINK("https://klasma.github.io/Logging_2303/kartor/A 62927-2025 karta.png", "A 62927-2025")</f>
        <v/>
      </c>
      <c r="X192">
        <f>HYPERLINK("https://klasma.github.io/Logging_2303/knärot/A 62927-2025 karta knärot.png", "A 62927-2025")</f>
        <v/>
      </c>
      <c r="Y192">
        <f>HYPERLINK("https://klasma.github.io/Logging_2303/klagomål/A 62927-2025 FSC-klagomål.docx", "A 62927-2025")</f>
        <v/>
      </c>
      <c r="Z192">
        <f>HYPERLINK("https://klasma.github.io/Logging_2303/klagomålsmail/A 62927-2025 FSC-klagomål mail.docx", "A 62927-2025")</f>
        <v/>
      </c>
      <c r="AA192">
        <f>HYPERLINK("https://klasma.github.io/Logging_2303/tillsyn/A 62927-2025 tillsynsbegäran.docx", "A 62927-2025")</f>
        <v/>
      </c>
      <c r="AB192">
        <f>HYPERLINK("https://klasma.github.io/Logging_2303/tillsynsmail/A 62927-2025 tillsynsbegäran mail.docx", "A 62927-2025")</f>
        <v/>
      </c>
    </row>
    <row r="193" ht="15" customHeight="1">
      <c r="A193" t="inlineStr">
        <is>
          <t>A 41490-2022</t>
        </is>
      </c>
      <c r="B193" t="inlineStr">
        <is>
          <t>avverkningsanmälan</t>
        </is>
      </c>
      <c r="C193" t="inlineStr">
        <is>
          <t>Föryngringsavverkning</t>
        </is>
      </c>
      <c r="D193" s="1" t="n">
        <v>44826</v>
      </c>
      <c r="E193" s="1" t="n">
        <v>46220</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s="2" t="inlineStr">
        <is>
          <t>Lunglav
Skinnlav</t>
        </is>
      </c>
      <c r="V193">
        <f>HYPERLINK("https://klasma.github.io/Logging_2303/artfynd/A 41490-2022 artfynd.xlsx", "A 41490-2022")</f>
        <v/>
      </c>
      <c r="W193">
        <f>HYPERLINK("https://klasma.github.io/Logging_2303/kartor/A 41490-2022 karta.png", "A 41490-2022")</f>
        <v/>
      </c>
      <c r="Y193">
        <f>HYPERLINK("https://klasma.github.io/Logging_2303/klagomål/A 41490-2022 FSC-klagomål.docx", "A 41490-2022")</f>
        <v/>
      </c>
      <c r="Z193">
        <f>HYPERLINK("https://klasma.github.io/Logging_2303/klagomålsmail/A 41490-2022 FSC-klagomål mail.docx", "A 41490-2022")</f>
        <v/>
      </c>
      <c r="AA193">
        <f>HYPERLINK("https://klasma.github.io/Logging_2303/tillsyn/A 41490-2022 tillsynsbegäran.docx", "A 41490-2022")</f>
        <v/>
      </c>
      <c r="AB193">
        <f>HYPERLINK("https://klasma.github.io/Logging_2303/tillsynsmail/A 41490-2022 tillsynsbegäran mail.docx", "A 41490-2022")</f>
        <v/>
      </c>
    </row>
    <row r="194" ht="15" customHeight="1">
      <c r="A194" t="inlineStr">
        <is>
          <t>A 9749-2026</t>
        </is>
      </c>
      <c r="B194" t="inlineStr">
        <is>
          <t>avverkningsanmälan</t>
        </is>
      </c>
      <c r="C194" t="inlineStr">
        <is>
          <t>Föryngringsavverkning</t>
        </is>
      </c>
      <c r="D194" s="1" t="n">
        <v>46072</v>
      </c>
      <c r="E194" s="1" t="n">
        <v>46220</v>
      </c>
      <c r="F194" t="inlineStr">
        <is>
          <t>JÄMTLANDS LÄN</t>
        </is>
      </c>
      <c r="G194" t="inlineStr">
        <is>
          <t>RAGUNDA</t>
        </is>
      </c>
      <c r="H194" t="inlineStr">
        <is>
          <t>SCA</t>
        </is>
      </c>
      <c r="I194" t="n">
        <v>2.7</v>
      </c>
      <c r="J194" t="n">
        <v>1</v>
      </c>
      <c r="K194" t="n">
        <v>0</v>
      </c>
      <c r="L194" t="n">
        <v>1</v>
      </c>
      <c r="M194" t="n">
        <v>0</v>
      </c>
      <c r="N194" t="n">
        <v>0</v>
      </c>
      <c r="O194" t="n">
        <v>0</v>
      </c>
      <c r="P194" t="n">
        <v>0</v>
      </c>
      <c r="Q194" t="n">
        <v>1</v>
      </c>
      <c r="R194" t="n">
        <v>0</v>
      </c>
      <c r="S194" t="n">
        <v>2</v>
      </c>
      <c r="T194" t="n">
        <v>2</v>
      </c>
      <c r="U194" s="2" t="inlineStr">
        <is>
          <t>Ullticka
Järpe</t>
        </is>
      </c>
      <c r="V194">
        <f>HYPERLINK("https://klasma.github.io/Logging_2303/artfynd/A 9749-2026 artfynd.xlsx", "A 9749-2026")</f>
        <v/>
      </c>
      <c r="W194">
        <f>HYPERLINK("https://klasma.github.io/Logging_2303/kartor/A 9749-2026 karta.png", "A 9749-2026")</f>
        <v/>
      </c>
      <c r="Y194">
        <f>HYPERLINK("https://klasma.github.io/Logging_2303/klagomål/A 9749-2026 FSC-klagomål.docx", "A 9749-2026")</f>
        <v/>
      </c>
      <c r="Z194">
        <f>HYPERLINK("https://klasma.github.io/Logging_2303/klagomålsmail/A 9749-2026 FSC-klagomål mail.docx", "A 9749-2026")</f>
        <v/>
      </c>
      <c r="AA194">
        <f>HYPERLINK("https://klasma.github.io/Logging_2303/tillsyn/A 9749-2026 tillsynsbegäran.docx", "A 9749-2026")</f>
        <v/>
      </c>
      <c r="AB194">
        <f>HYPERLINK("https://klasma.github.io/Logging_2303/tillsynsmail/A 9749-2026 tillsynsbegäran mail.docx", "A 9749-2026")</f>
        <v/>
      </c>
      <c r="AC194">
        <f>HYPERLINK("https://klasma.github.io/Logging_2303/fåglar/A 9749-2026 prioriterade fågelarter.docx", "A 9749-2026")</f>
        <v/>
      </c>
    </row>
    <row r="195" ht="15" customHeight="1">
      <c r="A195" t="inlineStr">
        <is>
          <t>A 14502-2024</t>
        </is>
      </c>
      <c r="B195" t="inlineStr">
        <is>
          <t>avverkningsanmälan</t>
        </is>
      </c>
      <c r="C195" t="inlineStr">
        <is>
          <t>Föryngringsavverkning</t>
        </is>
      </c>
      <c r="D195" s="1" t="n">
        <v>45394</v>
      </c>
      <c r="E195" s="1" t="n">
        <v>46220</v>
      </c>
      <c r="F195" t="inlineStr">
        <is>
          <t>JÄMTLANDS LÄN</t>
        </is>
      </c>
      <c r="G195" t="inlineStr">
        <is>
          <t>RAGUNDA</t>
        </is>
      </c>
      <c r="I195" t="n">
        <v>11.6</v>
      </c>
      <c r="J195" t="n">
        <v>0</v>
      </c>
      <c r="K195" t="n">
        <v>0</v>
      </c>
      <c r="L195" t="n">
        <v>1</v>
      </c>
      <c r="M195" t="n">
        <v>1</v>
      </c>
      <c r="N195" t="n">
        <v>0</v>
      </c>
      <c r="O195" t="n">
        <v>0</v>
      </c>
      <c r="P195" t="n">
        <v>0</v>
      </c>
      <c r="Q195" t="n">
        <v>2</v>
      </c>
      <c r="R195" t="n">
        <v>1</v>
      </c>
      <c r="S195" t="n">
        <v>2</v>
      </c>
      <c r="T195" t="n">
        <v>4</v>
      </c>
      <c r="U195" s="2" t="inlineStr">
        <is>
          <t>Garnlav
Stjärntagging</t>
        </is>
      </c>
      <c r="V195">
        <f>HYPERLINK("https://klasma.github.io/Logging_2303/artfynd/A 14502-2024 artfynd.xlsx", "A 14502-2024")</f>
        <v/>
      </c>
      <c r="W195">
        <f>HYPERLINK("https://klasma.github.io/Logging_2303/kartor/A 14502-2024 karta.png", "A 14502-2024")</f>
        <v/>
      </c>
      <c r="Y195">
        <f>HYPERLINK("https://klasma.github.io/Logging_2303/klagomål/A 14502-2024 FSC-klagomål.docx", "A 14502-2024")</f>
        <v/>
      </c>
      <c r="Z195">
        <f>HYPERLINK("https://klasma.github.io/Logging_2303/klagomålsmail/A 14502-2024 FSC-klagomål mail.docx", "A 14502-2024")</f>
        <v/>
      </c>
      <c r="AA195">
        <f>HYPERLINK("https://klasma.github.io/Logging_2303/tillsyn/A 14502-2024 tillsynsbegäran.docx", "A 14502-2024")</f>
        <v/>
      </c>
      <c r="AB195">
        <f>HYPERLINK("https://klasma.github.io/Logging_2303/tillsynsmail/A 14502-2024 tillsynsbegäran mail.docx", "A 14502-2024")</f>
        <v/>
      </c>
    </row>
    <row r="196" ht="15" customHeight="1">
      <c r="A196" t="inlineStr">
        <is>
          <t>A 46771-2024</t>
        </is>
      </c>
      <c r="B196" t="inlineStr">
        <is>
          <t>avverkningsanmälan</t>
        </is>
      </c>
      <c r="C196" t="inlineStr">
        <is>
          <t>Föryngringsavverkning</t>
        </is>
      </c>
      <c r="D196" s="1" t="n">
        <v>45583</v>
      </c>
      <c r="E196" s="1" t="n">
        <v>46220</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s="2" t="inlineStr">
        <is>
          <t>Doftskinn
Gammelgransskål</t>
        </is>
      </c>
      <c r="V196">
        <f>HYPERLINK("https://klasma.github.io/Logging_2303/artfynd/A 46771-2024 artfynd.xlsx", "A 46771-2024")</f>
        <v/>
      </c>
      <c r="W196">
        <f>HYPERLINK("https://klasma.github.io/Logging_2303/kartor/A 46771-2024 karta.png", "A 46771-2024")</f>
        <v/>
      </c>
      <c r="Y196">
        <f>HYPERLINK("https://klasma.github.io/Logging_2303/klagomål/A 46771-2024 FSC-klagomål.docx", "A 46771-2024")</f>
        <v/>
      </c>
      <c r="Z196">
        <f>HYPERLINK("https://klasma.github.io/Logging_2303/klagomålsmail/A 46771-2024 FSC-klagomål mail.docx", "A 46771-2024")</f>
        <v/>
      </c>
      <c r="AA196">
        <f>HYPERLINK("https://klasma.github.io/Logging_2303/tillsyn/A 46771-2024 tillsynsbegäran.docx", "A 46771-2024")</f>
        <v/>
      </c>
      <c r="AB196">
        <f>HYPERLINK("https://klasma.github.io/Logging_2303/tillsynsmail/A 46771-2024 tillsynsbegäran mail.docx", "A 46771-2024")</f>
        <v/>
      </c>
    </row>
    <row r="197" ht="15" customHeight="1">
      <c r="A197" t="inlineStr">
        <is>
          <t>A 44409-2023</t>
        </is>
      </c>
      <c r="B197" t="inlineStr">
        <is>
          <t>avverkningsanmälan</t>
        </is>
      </c>
      <c r="C197" t="inlineStr">
        <is>
          <t>Föryngringsavverkning</t>
        </is>
      </c>
      <c r="D197" s="1" t="n">
        <v>45188</v>
      </c>
      <c r="E197" s="1" t="n">
        <v>46220</v>
      </c>
      <c r="F197" t="inlineStr">
        <is>
          <t>JÄMTLANDS LÄN</t>
        </is>
      </c>
      <c r="G197" t="inlineStr">
        <is>
          <t>RAGUNDA</t>
        </is>
      </c>
      <c r="H197" t="inlineStr">
        <is>
          <t>SCA</t>
        </is>
      </c>
      <c r="I197" t="n">
        <v>2.5</v>
      </c>
      <c r="J197" t="n">
        <v>0</v>
      </c>
      <c r="K197" t="n">
        <v>1</v>
      </c>
      <c r="L197" t="n">
        <v>0</v>
      </c>
      <c r="M197" t="n">
        <v>1</v>
      </c>
      <c r="N197" t="n">
        <v>0</v>
      </c>
      <c r="O197" t="n">
        <v>0</v>
      </c>
      <c r="P197" t="n">
        <v>0</v>
      </c>
      <c r="Q197" t="n">
        <v>1</v>
      </c>
      <c r="R197" t="n">
        <v>1</v>
      </c>
      <c r="S197" t="n">
        <v>2</v>
      </c>
      <c r="T197" t="n">
        <v>2</v>
      </c>
      <c r="U197" s="2" t="inlineStr">
        <is>
          <t>Garnlav
Norrlandslav</t>
        </is>
      </c>
      <c r="V197">
        <f>HYPERLINK("https://klasma.github.io/Logging_2303/artfynd/A 44409-2023 artfynd.xlsx", "A 44409-2023")</f>
        <v/>
      </c>
      <c r="W197">
        <f>HYPERLINK("https://klasma.github.io/Logging_2303/kartor/A 44409-2023 karta.png", "A 44409-2023")</f>
        <v/>
      </c>
      <c r="Y197">
        <f>HYPERLINK("https://klasma.github.io/Logging_2303/klagomål/A 44409-2023 FSC-klagomål.docx", "A 44409-2023")</f>
        <v/>
      </c>
      <c r="Z197">
        <f>HYPERLINK("https://klasma.github.io/Logging_2303/klagomålsmail/A 44409-2023 FSC-klagomål mail.docx", "A 44409-2023")</f>
        <v/>
      </c>
      <c r="AA197">
        <f>HYPERLINK("https://klasma.github.io/Logging_2303/tillsyn/A 44409-2023 tillsynsbegäran.docx", "A 44409-2023")</f>
        <v/>
      </c>
      <c r="AB197">
        <f>HYPERLINK("https://klasma.github.io/Logging_2303/tillsynsmail/A 44409-2023 tillsynsbegäran mail.docx", "A 44409-2023")</f>
        <v/>
      </c>
    </row>
    <row r="198" ht="15" customHeight="1">
      <c r="A198" t="inlineStr">
        <is>
          <t>A 34715-2024</t>
        </is>
      </c>
      <c r="B198" t="inlineStr">
        <is>
          <t>avverkningsanmälan</t>
        </is>
      </c>
      <c r="C198" t="inlineStr">
        <is>
          <t>Föryngringsavverkning</t>
        </is>
      </c>
      <c r="D198" s="1" t="n">
        <v>45526</v>
      </c>
      <c r="E198" s="1" t="n">
        <v>46220</v>
      </c>
      <c r="F198" t="inlineStr">
        <is>
          <t>JÄMTLANDS LÄN</t>
        </is>
      </c>
      <c r="G198" t="inlineStr">
        <is>
          <t>RAGUNDA</t>
        </is>
      </c>
      <c r="H198" t="inlineStr">
        <is>
          <t>SCA</t>
        </is>
      </c>
      <c r="I198" t="n">
        <v>3</v>
      </c>
      <c r="J198" t="n">
        <v>0</v>
      </c>
      <c r="K198" t="n">
        <v>1</v>
      </c>
      <c r="L198" t="n">
        <v>0</v>
      </c>
      <c r="M198" t="n">
        <v>1</v>
      </c>
      <c r="N198" t="n">
        <v>0</v>
      </c>
      <c r="O198" t="n">
        <v>0</v>
      </c>
      <c r="P198" t="n">
        <v>0</v>
      </c>
      <c r="Q198" t="n">
        <v>1</v>
      </c>
      <c r="R198" t="n">
        <v>1</v>
      </c>
      <c r="S198" t="n">
        <v>2</v>
      </c>
      <c r="T198" t="n">
        <v>2</v>
      </c>
      <c r="U198" s="2" t="inlineStr">
        <is>
          <t>Garnlav
Vedticka</t>
        </is>
      </c>
      <c r="V198">
        <f>HYPERLINK("https://klasma.github.io/Logging_2303/artfynd/A 34715-2024 artfynd.xlsx", "A 34715-2024")</f>
        <v/>
      </c>
      <c r="W198">
        <f>HYPERLINK("https://klasma.github.io/Logging_2303/kartor/A 34715-2024 karta.png", "A 34715-2024")</f>
        <v/>
      </c>
      <c r="Y198">
        <f>HYPERLINK("https://klasma.github.io/Logging_2303/klagomål/A 34715-2024 FSC-klagomål.docx", "A 34715-2024")</f>
        <v/>
      </c>
      <c r="Z198">
        <f>HYPERLINK("https://klasma.github.io/Logging_2303/klagomålsmail/A 34715-2024 FSC-klagomål mail.docx", "A 34715-2024")</f>
        <v/>
      </c>
      <c r="AA198">
        <f>HYPERLINK("https://klasma.github.io/Logging_2303/tillsyn/A 34715-2024 tillsynsbegäran.docx", "A 34715-2024")</f>
        <v/>
      </c>
      <c r="AB198">
        <f>HYPERLINK("https://klasma.github.io/Logging_2303/tillsynsmail/A 34715-2024 tillsynsbegäran mail.docx", "A 34715-2024")</f>
        <v/>
      </c>
    </row>
    <row r="199" ht="15" customHeight="1">
      <c r="A199" t="inlineStr">
        <is>
          <t>A 16676-2022</t>
        </is>
      </c>
      <c r="B199" t="inlineStr">
        <is>
          <t>avverkningsanmälan</t>
        </is>
      </c>
      <c r="C199" t="inlineStr">
        <is>
          <t>Föryngringsavverkning</t>
        </is>
      </c>
      <c r="D199" s="1" t="n">
        <v>44672</v>
      </c>
      <c r="E199" s="1" t="n">
        <v>46220</v>
      </c>
      <c r="F199" t="inlineStr">
        <is>
          <t>JÄMTLANDS LÄN</t>
        </is>
      </c>
      <c r="G199" t="inlineStr">
        <is>
          <t>RAGUNDA</t>
        </is>
      </c>
      <c r="H199" t="inlineStr">
        <is>
          <t>SCA</t>
        </is>
      </c>
      <c r="I199" t="n">
        <v>1.6</v>
      </c>
      <c r="J199" t="n">
        <v>2</v>
      </c>
      <c r="K199" t="n">
        <v>1</v>
      </c>
      <c r="L199" t="n">
        <v>0</v>
      </c>
      <c r="M199" t="n">
        <v>0</v>
      </c>
      <c r="N199" t="n">
        <v>0</v>
      </c>
      <c r="O199" t="n">
        <v>0</v>
      </c>
      <c r="P199" t="n">
        <v>0</v>
      </c>
      <c r="Q199" t="n">
        <v>0</v>
      </c>
      <c r="R199" t="n">
        <v>0</v>
      </c>
      <c r="S199" t="n">
        <v>2</v>
      </c>
      <c r="T199" t="n">
        <v>2</v>
      </c>
      <c r="U199" s="2" t="inlineStr">
        <is>
          <t>Guckusko
Fläcknycklar</t>
        </is>
      </c>
      <c r="V199">
        <f>HYPERLINK("https://klasma.github.io/Logging_2303/artfynd/A 16676-2022 artfynd.xlsx", "A 16676-2022")</f>
        <v/>
      </c>
      <c r="W199">
        <f>HYPERLINK("https://klasma.github.io/Logging_2303/kartor/A 16676-2022 karta.png", "A 16676-2022")</f>
        <v/>
      </c>
      <c r="Y199">
        <f>HYPERLINK("https://klasma.github.io/Logging_2303/klagomål/A 16676-2022 FSC-klagomål.docx", "A 16676-2022")</f>
        <v/>
      </c>
      <c r="Z199">
        <f>HYPERLINK("https://klasma.github.io/Logging_2303/klagomålsmail/A 16676-2022 FSC-klagomål mail.docx", "A 16676-2022")</f>
        <v/>
      </c>
      <c r="AA199">
        <f>HYPERLINK("https://klasma.github.io/Logging_2303/tillsyn/A 16676-2022 tillsynsbegäran.docx", "A 16676-2022")</f>
        <v/>
      </c>
      <c r="AB199">
        <f>HYPERLINK("https://klasma.github.io/Logging_2303/tillsynsmail/A 16676-2022 tillsynsbegäran mail.docx", "A 16676-2022")</f>
        <v/>
      </c>
    </row>
    <row r="200" ht="15" customHeight="1">
      <c r="A200" t="inlineStr">
        <is>
          <t>A 25702-2026</t>
        </is>
      </c>
      <c r="B200" t="inlineStr">
        <is>
          <t>avverkningsanmälan</t>
        </is>
      </c>
      <c r="C200" t="inlineStr">
        <is>
          <t>Föryngringsavverkning</t>
        </is>
      </c>
      <c r="D200" s="1" t="n">
        <v>46178</v>
      </c>
      <c r="E200" s="1" t="n">
        <v>46220</v>
      </c>
      <c r="F200" t="inlineStr">
        <is>
          <t>JÄMTLANDS LÄN</t>
        </is>
      </c>
      <c r="G200" t="inlineStr">
        <is>
          <t>RAGUNDA</t>
        </is>
      </c>
      <c r="H200" t="inlineStr">
        <is>
          <t>SCA</t>
        </is>
      </c>
      <c r="I200" t="n">
        <v>3.5</v>
      </c>
      <c r="J200" t="n">
        <v>0</v>
      </c>
      <c r="K200" t="n">
        <v>2</v>
      </c>
      <c r="L200" t="n">
        <v>0</v>
      </c>
      <c r="M200" t="n">
        <v>0</v>
      </c>
      <c r="N200" t="n">
        <v>0</v>
      </c>
      <c r="O200" t="n">
        <v>0</v>
      </c>
      <c r="P200" t="n">
        <v>0</v>
      </c>
      <c r="Q200" t="n">
        <v>0</v>
      </c>
      <c r="R200" t="n">
        <v>0</v>
      </c>
      <c r="S200" t="n">
        <v>2</v>
      </c>
      <c r="T200" t="n">
        <v>2</v>
      </c>
      <c r="U200" s="2" t="inlineStr">
        <is>
          <t>Kransrams
Källmossor</t>
        </is>
      </c>
      <c r="V200">
        <f>HYPERLINK("https://klasma.github.io/Logging_2303/artfynd/A 25702-2026 artfynd.xlsx", "A 25702-2026")</f>
        <v/>
      </c>
      <c r="W200">
        <f>HYPERLINK("https://klasma.github.io/Logging_2303/kartor/A 25702-2026 karta.png", "A 25702-2026")</f>
        <v/>
      </c>
      <c r="Y200">
        <f>HYPERLINK("https://klasma.github.io/Logging_2303/klagomål/A 25702-2026 FSC-klagomål.docx", "A 25702-2026")</f>
        <v/>
      </c>
      <c r="Z200">
        <f>HYPERLINK("https://klasma.github.io/Logging_2303/klagomålsmail/A 25702-2026 FSC-klagomål mail.docx", "A 25702-2026")</f>
        <v/>
      </c>
      <c r="AA200">
        <f>HYPERLINK("https://klasma.github.io/Logging_2303/tillsyn/A 25702-2026 tillsynsbegäran.docx", "A 25702-2026")</f>
        <v/>
      </c>
      <c r="AB200">
        <f>HYPERLINK("https://klasma.github.io/Logging_2303/tillsynsmail/A 25702-2026 tillsynsbegäran mail.docx", "A 25702-2026")</f>
        <v/>
      </c>
    </row>
    <row r="201" ht="15" customHeight="1">
      <c r="A201" t="inlineStr">
        <is>
          <t>A 56285-2023</t>
        </is>
      </c>
      <c r="B201" t="inlineStr">
        <is>
          <t>avverkningsanmälan</t>
        </is>
      </c>
      <c r="C201" t="inlineStr">
        <is>
          <t>Avverkning för att bevara och utveckla /försöksver</t>
        </is>
      </c>
      <c r="D201" s="1" t="n">
        <v>45241</v>
      </c>
      <c r="E201" s="1" t="n">
        <v>46220</v>
      </c>
      <c r="F201" t="inlineStr">
        <is>
          <t>JÄMTLANDS LÄN</t>
        </is>
      </c>
      <c r="G201" t="inlineStr">
        <is>
          <t>RAGUNDA</t>
        </is>
      </c>
      <c r="H201" t="inlineStr">
        <is>
          <t>SCA</t>
        </is>
      </c>
      <c r="I201" t="n">
        <v>5.5</v>
      </c>
      <c r="J201" t="n">
        <v>0</v>
      </c>
      <c r="K201" t="n">
        <v>0</v>
      </c>
      <c r="L201" t="n">
        <v>2</v>
      </c>
      <c r="M201" t="n">
        <v>0</v>
      </c>
      <c r="N201" t="n">
        <v>0</v>
      </c>
      <c r="O201" t="n">
        <v>0</v>
      </c>
      <c r="P201" t="n">
        <v>0</v>
      </c>
      <c r="Q201" t="n">
        <v>2</v>
      </c>
      <c r="R201" t="n">
        <v>0</v>
      </c>
      <c r="S201" t="n">
        <v>2</v>
      </c>
      <c r="T201" t="n">
        <v>2</v>
      </c>
      <c r="U201" s="2" t="inlineStr">
        <is>
          <t>Lunglav
Skrovellav</t>
        </is>
      </c>
      <c r="V201">
        <f>HYPERLINK("https://klasma.github.io/Logging_2303/artfynd/A 56285-2023 artfynd.xlsx", "A 56285-2023")</f>
        <v/>
      </c>
      <c r="W201">
        <f>HYPERLINK("https://klasma.github.io/Logging_2303/kartor/A 56285-2023 karta.png", "A 56285-2023")</f>
        <v/>
      </c>
      <c r="Y201">
        <f>HYPERLINK("https://klasma.github.io/Logging_2303/klagomål/A 56285-2023 FSC-klagomål.docx", "A 56285-2023")</f>
        <v/>
      </c>
      <c r="Z201">
        <f>HYPERLINK("https://klasma.github.io/Logging_2303/klagomålsmail/A 56285-2023 FSC-klagomål mail.docx", "A 56285-2023")</f>
        <v/>
      </c>
      <c r="AA201">
        <f>HYPERLINK("https://klasma.github.io/Logging_2303/tillsyn/A 56285-2023 tillsynsbegäran.docx", "A 56285-2023")</f>
        <v/>
      </c>
      <c r="AB201">
        <f>HYPERLINK("https://klasma.github.io/Logging_2303/tillsynsmail/A 56285-2023 tillsynsbegäran mail.docx", "A 56285-2023")</f>
        <v/>
      </c>
    </row>
    <row r="202" ht="15" customHeight="1">
      <c r="A202" t="inlineStr">
        <is>
          <t>A 56286-2023</t>
        </is>
      </c>
      <c r="B202" t="inlineStr">
        <is>
          <t>avverkningsanmälan</t>
        </is>
      </c>
      <c r="C202" t="inlineStr">
        <is>
          <t>Avverkning för att bevara och utveckla /försöksver</t>
        </is>
      </c>
      <c r="D202" s="1" t="n">
        <v>45241</v>
      </c>
      <c r="E202" s="1" t="n">
        <v>46220</v>
      </c>
      <c r="F202" t="inlineStr">
        <is>
          <t>JÄMTLANDS LÄN</t>
        </is>
      </c>
      <c r="G202" t="inlineStr">
        <is>
          <t>RAGUNDA</t>
        </is>
      </c>
      <c r="H202" t="inlineStr">
        <is>
          <t>SCA</t>
        </is>
      </c>
      <c r="I202" t="n">
        <v>4.5</v>
      </c>
      <c r="J202" t="n">
        <v>0</v>
      </c>
      <c r="K202" t="n">
        <v>0</v>
      </c>
      <c r="L202" t="n">
        <v>2</v>
      </c>
      <c r="M202" t="n">
        <v>0</v>
      </c>
      <c r="N202" t="n">
        <v>0</v>
      </c>
      <c r="O202" t="n">
        <v>0</v>
      </c>
      <c r="P202" t="n">
        <v>0</v>
      </c>
      <c r="Q202" t="n">
        <v>2</v>
      </c>
      <c r="R202" t="n">
        <v>0</v>
      </c>
      <c r="S202" t="n">
        <v>2</v>
      </c>
      <c r="T202" t="n">
        <v>3</v>
      </c>
      <c r="U202" s="2" t="inlineStr">
        <is>
          <t>Rynkskinn
Ullticka</t>
        </is>
      </c>
      <c r="V202">
        <f>HYPERLINK("https://klasma.github.io/Logging_2303/artfynd/A 56286-2023 artfynd.xlsx", "A 56286-2023")</f>
        <v/>
      </c>
      <c r="W202">
        <f>HYPERLINK("https://klasma.github.io/Logging_2303/kartor/A 56286-2023 karta.png", "A 56286-2023")</f>
        <v/>
      </c>
      <c r="Y202">
        <f>HYPERLINK("https://klasma.github.io/Logging_2303/klagomål/A 56286-2023 FSC-klagomål.docx", "A 56286-2023")</f>
        <v/>
      </c>
      <c r="Z202">
        <f>HYPERLINK("https://klasma.github.io/Logging_2303/klagomålsmail/A 56286-2023 FSC-klagomål mail.docx", "A 56286-2023")</f>
        <v/>
      </c>
      <c r="AA202">
        <f>HYPERLINK("https://klasma.github.io/Logging_2303/tillsyn/A 56286-2023 tillsynsbegäran.docx", "A 56286-2023")</f>
        <v/>
      </c>
      <c r="AB202">
        <f>HYPERLINK("https://klasma.github.io/Logging_2303/tillsynsmail/A 56286-2023 tillsynsbegäran mail.docx", "A 56286-2023")</f>
        <v/>
      </c>
    </row>
    <row r="203" ht="15" customHeight="1">
      <c r="A203" t="inlineStr">
        <is>
          <t>A 39495-2024</t>
        </is>
      </c>
      <c r="B203" t="inlineStr">
        <is>
          <t>avverkningsanmälan</t>
        </is>
      </c>
      <c r="C203" t="inlineStr">
        <is>
          <t>Avverkning för att bevara och utveckla /försöksver</t>
        </is>
      </c>
      <c r="D203" s="1" t="n">
        <v>45551</v>
      </c>
      <c r="E203" s="1" t="n">
        <v>46220</v>
      </c>
      <c r="F203" t="inlineStr">
        <is>
          <t>JÄMTLANDS LÄN</t>
        </is>
      </c>
      <c r="G203" t="inlineStr">
        <is>
          <t>RAGUNDA</t>
        </is>
      </c>
      <c r="H203" t="inlineStr">
        <is>
          <t>SCA</t>
        </is>
      </c>
      <c r="I203" t="n">
        <v>6.6</v>
      </c>
      <c r="J203" t="n">
        <v>0</v>
      </c>
      <c r="K203" t="n">
        <v>0</v>
      </c>
      <c r="L203" t="n">
        <v>1</v>
      </c>
      <c r="M203" t="n">
        <v>1</v>
      </c>
      <c r="N203" t="n">
        <v>0</v>
      </c>
      <c r="O203" t="n">
        <v>0</v>
      </c>
      <c r="P203" t="n">
        <v>0</v>
      </c>
      <c r="Q203" t="n">
        <v>2</v>
      </c>
      <c r="R203" t="n">
        <v>1</v>
      </c>
      <c r="S203" t="n">
        <v>2</v>
      </c>
      <c r="T203" t="n">
        <v>3</v>
      </c>
      <c r="U203" s="2" t="inlineStr">
        <is>
          <t>Garnlav
Ullticka</t>
        </is>
      </c>
      <c r="V203">
        <f>HYPERLINK("https://klasma.github.io/Logging_2303/artfynd/A 39495-2024 artfynd.xlsx", "A 39495-2024")</f>
        <v/>
      </c>
      <c r="W203">
        <f>HYPERLINK("https://klasma.github.io/Logging_2303/kartor/A 39495-2024 karta.png", "A 39495-2024")</f>
        <v/>
      </c>
      <c r="Y203">
        <f>HYPERLINK("https://klasma.github.io/Logging_2303/klagomål/A 39495-2024 FSC-klagomål.docx", "A 39495-2024")</f>
        <v/>
      </c>
      <c r="Z203">
        <f>HYPERLINK("https://klasma.github.io/Logging_2303/klagomålsmail/A 39495-2024 FSC-klagomål mail.docx", "A 39495-2024")</f>
        <v/>
      </c>
      <c r="AA203">
        <f>HYPERLINK("https://klasma.github.io/Logging_2303/tillsyn/A 39495-2024 tillsynsbegäran.docx", "A 39495-2024")</f>
        <v/>
      </c>
      <c r="AB203">
        <f>HYPERLINK("https://klasma.github.io/Logging_2303/tillsynsmail/A 39495-2024 tillsynsbegäran mail.docx", "A 39495-2024")</f>
        <v/>
      </c>
    </row>
    <row r="204" ht="15" customHeight="1">
      <c r="A204" t="inlineStr">
        <is>
          <t>A 19728-2025</t>
        </is>
      </c>
      <c r="B204" t="inlineStr">
        <is>
          <t>avverkningsanmälan</t>
        </is>
      </c>
      <c r="C204" t="inlineStr">
        <is>
          <t>Föryngringsavverkning</t>
        </is>
      </c>
      <c r="D204" s="1" t="n">
        <v>45771</v>
      </c>
      <c r="E204" s="1" t="n">
        <v>46220</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s="2" t="inlineStr">
        <is>
          <t>Stjärntagging
Tretåig hackspett</t>
        </is>
      </c>
      <c r="V204">
        <f>HYPERLINK("https://klasma.github.io/Logging_2303/artfynd/A 19728-2025 artfynd.xlsx", "A 19728-2025")</f>
        <v/>
      </c>
      <c r="W204">
        <f>HYPERLINK("https://klasma.github.io/Logging_2303/kartor/A 19728-2025 karta.png", "A 19728-2025")</f>
        <v/>
      </c>
      <c r="Y204">
        <f>HYPERLINK("https://klasma.github.io/Logging_2303/klagomål/A 19728-2025 FSC-klagomål.docx", "A 19728-2025")</f>
        <v/>
      </c>
      <c r="Z204">
        <f>HYPERLINK("https://klasma.github.io/Logging_2303/klagomålsmail/A 19728-2025 FSC-klagomål mail.docx", "A 19728-2025")</f>
        <v/>
      </c>
      <c r="AA204">
        <f>HYPERLINK("https://klasma.github.io/Logging_2303/tillsyn/A 19728-2025 tillsynsbegäran.docx", "A 19728-2025")</f>
        <v/>
      </c>
      <c r="AB204">
        <f>HYPERLINK("https://klasma.github.io/Logging_2303/tillsynsmail/A 19728-2025 tillsynsbegäran mail.docx", "A 19728-2025")</f>
        <v/>
      </c>
      <c r="AC204">
        <f>HYPERLINK("https://klasma.github.io/Logging_2303/fåglar/A 19728-2025 prioriterade fågelarter.docx", "A 19728-2025")</f>
        <v/>
      </c>
    </row>
    <row r="205" ht="15" customHeight="1">
      <c r="A205" t="inlineStr">
        <is>
          <t>A 45035-2023</t>
        </is>
      </c>
      <c r="B205" t="inlineStr">
        <is>
          <t>avverkningsanmälan</t>
        </is>
      </c>
      <c r="C205" t="inlineStr">
        <is>
          <t>Föryngringsavverkning</t>
        </is>
      </c>
      <c r="D205" s="1" t="n">
        <v>45191</v>
      </c>
      <c r="E205" s="1" t="n">
        <v>46220</v>
      </c>
      <c r="F205" t="inlineStr">
        <is>
          <t>JÄMTLANDS LÄN</t>
        </is>
      </c>
      <c r="G205" t="inlineStr">
        <is>
          <t>RAGUNDA</t>
        </is>
      </c>
      <c r="I205" t="n">
        <v>2.9</v>
      </c>
      <c r="J205" t="n">
        <v>0</v>
      </c>
      <c r="K205" t="n">
        <v>1</v>
      </c>
      <c r="L205" t="n">
        <v>1</v>
      </c>
      <c r="M205" t="n">
        <v>0</v>
      </c>
      <c r="N205" t="n">
        <v>0</v>
      </c>
      <c r="O205" t="n">
        <v>0</v>
      </c>
      <c r="P205" t="n">
        <v>0</v>
      </c>
      <c r="Q205" t="n">
        <v>1</v>
      </c>
      <c r="R205" t="n">
        <v>0</v>
      </c>
      <c r="S205" t="n">
        <v>2</v>
      </c>
      <c r="T205" t="n">
        <v>2</v>
      </c>
      <c r="U205" s="2" t="inlineStr">
        <is>
          <t>Lunglav
Korallblylav</t>
        </is>
      </c>
      <c r="V205">
        <f>HYPERLINK("https://klasma.github.io/Logging_2303/artfynd/A 45035-2023 artfynd.xlsx", "A 45035-2023")</f>
        <v/>
      </c>
      <c r="W205">
        <f>HYPERLINK("https://klasma.github.io/Logging_2303/kartor/A 45035-2023 karta.png", "A 45035-2023")</f>
        <v/>
      </c>
      <c r="Y205">
        <f>HYPERLINK("https://klasma.github.io/Logging_2303/klagomål/A 45035-2023 FSC-klagomål.docx", "A 45035-2023")</f>
        <v/>
      </c>
      <c r="Z205">
        <f>HYPERLINK("https://klasma.github.io/Logging_2303/klagomålsmail/A 45035-2023 FSC-klagomål mail.docx", "A 45035-2023")</f>
        <v/>
      </c>
      <c r="AA205">
        <f>HYPERLINK("https://klasma.github.io/Logging_2303/tillsyn/A 45035-2023 tillsynsbegäran.docx", "A 45035-2023")</f>
        <v/>
      </c>
      <c r="AB205">
        <f>HYPERLINK("https://klasma.github.io/Logging_2303/tillsynsmail/A 45035-2023 tillsynsbegäran mail.docx", "A 45035-2023")</f>
        <v/>
      </c>
    </row>
    <row r="206" ht="15" customHeight="1">
      <c r="A206" t="inlineStr">
        <is>
          <t>A 36504-2023</t>
        </is>
      </c>
      <c r="B206" t="inlineStr">
        <is>
          <t>avverkningsanmälan</t>
        </is>
      </c>
      <c r="C206" t="inlineStr">
        <is>
          <t>Avverkning för att bevara och utveckla /försöksver</t>
        </is>
      </c>
      <c r="D206" s="1" t="n">
        <v>45152</v>
      </c>
      <c r="E206" s="1" t="n">
        <v>46220</v>
      </c>
      <c r="F206" t="inlineStr">
        <is>
          <t>JÄMTLANDS LÄN</t>
        </is>
      </c>
      <c r="G206" t="inlineStr">
        <is>
          <t>RAGUNDA</t>
        </is>
      </c>
      <c r="H206" t="inlineStr">
        <is>
          <t>SCA</t>
        </is>
      </c>
      <c r="I206" t="n">
        <v>2</v>
      </c>
      <c r="J206" t="n">
        <v>0</v>
      </c>
      <c r="K206" t="n">
        <v>0</v>
      </c>
      <c r="L206" t="n">
        <v>1</v>
      </c>
      <c r="M206" t="n">
        <v>1</v>
      </c>
      <c r="N206" t="n">
        <v>0</v>
      </c>
      <c r="O206" t="n">
        <v>0</v>
      </c>
      <c r="P206" t="n">
        <v>0</v>
      </c>
      <c r="Q206" t="n">
        <v>2</v>
      </c>
      <c r="R206" t="n">
        <v>1</v>
      </c>
      <c r="S206" t="n">
        <v>2</v>
      </c>
      <c r="T206" t="n">
        <v>2</v>
      </c>
      <c r="U206" s="2" t="inlineStr">
        <is>
          <t>Garnlav
Gammelgransskål</t>
        </is>
      </c>
      <c r="V206">
        <f>HYPERLINK("https://klasma.github.io/Logging_2303/artfynd/A 36504-2023 artfynd.xlsx", "A 36504-2023")</f>
        <v/>
      </c>
      <c r="W206">
        <f>HYPERLINK("https://klasma.github.io/Logging_2303/kartor/A 36504-2023 karta.png", "A 36504-2023")</f>
        <v/>
      </c>
      <c r="Y206">
        <f>HYPERLINK("https://klasma.github.io/Logging_2303/klagomål/A 36504-2023 FSC-klagomål.docx", "A 36504-2023")</f>
        <v/>
      </c>
      <c r="Z206">
        <f>HYPERLINK("https://klasma.github.io/Logging_2303/klagomålsmail/A 36504-2023 FSC-klagomål mail.docx", "A 36504-2023")</f>
        <v/>
      </c>
      <c r="AA206">
        <f>HYPERLINK("https://klasma.github.io/Logging_2303/tillsyn/A 36504-2023 tillsynsbegäran.docx", "A 36504-2023")</f>
        <v/>
      </c>
      <c r="AB206">
        <f>HYPERLINK("https://klasma.github.io/Logging_2303/tillsynsmail/A 36504-2023 tillsynsbegäran mail.docx", "A 36504-2023")</f>
        <v/>
      </c>
    </row>
    <row r="207" ht="15" customHeight="1">
      <c r="A207" t="inlineStr">
        <is>
          <t>A 13264-2025</t>
        </is>
      </c>
      <c r="B207" t="inlineStr">
        <is>
          <t>avverkningsanmälan</t>
        </is>
      </c>
      <c r="C207" t="inlineStr">
        <is>
          <t>Föryngringsavverkning</t>
        </is>
      </c>
      <c r="D207" s="1" t="n">
        <v>45735</v>
      </c>
      <c r="E207" s="1" t="n">
        <v>46220</v>
      </c>
      <c r="F207" t="inlineStr">
        <is>
          <t>JÄMTLANDS LÄN</t>
        </is>
      </c>
      <c r="G207" t="inlineStr">
        <is>
          <t>RAGUNDA</t>
        </is>
      </c>
      <c r="H207" t="inlineStr">
        <is>
          <t>SCA</t>
        </is>
      </c>
      <c r="I207" t="n">
        <v>1.2</v>
      </c>
      <c r="J207" t="n">
        <v>1</v>
      </c>
      <c r="K207" t="n">
        <v>0</v>
      </c>
      <c r="L207" t="n">
        <v>2</v>
      </c>
      <c r="M207" t="n">
        <v>0</v>
      </c>
      <c r="N207" t="n">
        <v>0</v>
      </c>
      <c r="O207" t="n">
        <v>0</v>
      </c>
      <c r="P207" t="n">
        <v>0</v>
      </c>
      <c r="Q207" t="n">
        <v>2</v>
      </c>
      <c r="R207" t="n">
        <v>0</v>
      </c>
      <c r="S207" t="n">
        <v>2</v>
      </c>
      <c r="T207" t="n">
        <v>2</v>
      </c>
      <c r="U207" s="2" t="inlineStr">
        <is>
          <t>Gammelgransskål
Lavskrika</t>
        </is>
      </c>
      <c r="V207">
        <f>HYPERLINK("https://klasma.github.io/Logging_2303/artfynd/A 13264-2025 artfynd.xlsx", "A 13264-2025")</f>
        <v/>
      </c>
      <c r="W207">
        <f>HYPERLINK("https://klasma.github.io/Logging_2303/kartor/A 13264-2025 karta.png", "A 13264-2025")</f>
        <v/>
      </c>
      <c r="Y207">
        <f>HYPERLINK("https://klasma.github.io/Logging_2303/klagomål/A 13264-2025 FSC-klagomål.docx", "A 13264-2025")</f>
        <v/>
      </c>
      <c r="Z207">
        <f>HYPERLINK("https://klasma.github.io/Logging_2303/klagomålsmail/A 13264-2025 FSC-klagomål mail.docx", "A 13264-2025")</f>
        <v/>
      </c>
      <c r="AA207">
        <f>HYPERLINK("https://klasma.github.io/Logging_2303/tillsyn/A 13264-2025 tillsynsbegäran.docx", "A 13264-2025")</f>
        <v/>
      </c>
      <c r="AB207">
        <f>HYPERLINK("https://klasma.github.io/Logging_2303/tillsynsmail/A 13264-2025 tillsynsbegäran mail.docx", "A 13264-2025")</f>
        <v/>
      </c>
      <c r="AC207">
        <f>HYPERLINK("https://klasma.github.io/Logging_2303/fåglar/A 13264-2025 prioriterade fågelarter.docx", "A 13264-2025")</f>
        <v/>
      </c>
    </row>
    <row r="208" ht="15" customHeight="1">
      <c r="A208" t="inlineStr">
        <is>
          <t>A 14696-2022</t>
        </is>
      </c>
      <c r="B208" t="inlineStr">
        <is>
          <t>avverkningsanmälan</t>
        </is>
      </c>
      <c r="C208" t="inlineStr">
        <is>
          <t>Föryngringsavverkning</t>
        </is>
      </c>
      <c r="D208" s="1" t="n">
        <v>44655</v>
      </c>
      <c r="E208" s="1" t="n">
        <v>46220</v>
      </c>
      <c r="F208" t="inlineStr">
        <is>
          <t>JÄMTLANDS LÄN</t>
        </is>
      </c>
      <c r="G208" t="inlineStr">
        <is>
          <t>RAGUNDA</t>
        </is>
      </c>
      <c r="H208" t="inlineStr">
        <is>
          <t>SCA</t>
        </is>
      </c>
      <c r="I208" t="n">
        <v>3.4</v>
      </c>
      <c r="J208" t="n">
        <v>1</v>
      </c>
      <c r="K208" t="n">
        <v>0</v>
      </c>
      <c r="L208" t="n">
        <v>1</v>
      </c>
      <c r="M208" t="n">
        <v>1</v>
      </c>
      <c r="N208" t="n">
        <v>0</v>
      </c>
      <c r="O208" t="n">
        <v>0</v>
      </c>
      <c r="P208" t="n">
        <v>0</v>
      </c>
      <c r="Q208" t="n">
        <v>2</v>
      </c>
      <c r="R208" t="n">
        <v>1</v>
      </c>
      <c r="S208" t="n">
        <v>2</v>
      </c>
      <c r="T208" t="n">
        <v>2</v>
      </c>
      <c r="U208" s="2" t="inlineStr">
        <is>
          <t>Doftticka
Lunglav</t>
        </is>
      </c>
      <c r="V208">
        <f>HYPERLINK("https://klasma.github.io/Logging_2303/artfynd/A 14696-2022 artfynd.xlsx", "A 14696-2022")</f>
        <v/>
      </c>
      <c r="W208">
        <f>HYPERLINK("https://klasma.github.io/Logging_2303/kartor/A 14696-2022 karta.png", "A 14696-2022")</f>
        <v/>
      </c>
      <c r="Y208">
        <f>HYPERLINK("https://klasma.github.io/Logging_2303/klagomål/A 14696-2022 FSC-klagomål.docx", "A 14696-2022")</f>
        <v/>
      </c>
      <c r="Z208">
        <f>HYPERLINK("https://klasma.github.io/Logging_2303/klagomålsmail/A 14696-2022 FSC-klagomål mail.docx", "A 14696-2022")</f>
        <v/>
      </c>
      <c r="AA208">
        <f>HYPERLINK("https://klasma.github.io/Logging_2303/tillsyn/A 14696-2022 tillsynsbegäran.docx", "A 14696-2022")</f>
        <v/>
      </c>
      <c r="AB208">
        <f>HYPERLINK("https://klasma.github.io/Logging_2303/tillsynsmail/A 14696-2022 tillsynsbegäran mail.docx", "A 14696-2022")</f>
        <v/>
      </c>
    </row>
    <row r="209" ht="15" customHeight="1">
      <c r="A209" t="inlineStr">
        <is>
          <t>A 28897-2026</t>
        </is>
      </c>
      <c r="B209" t="inlineStr">
        <is>
          <t>avverkningsanmälan</t>
        </is>
      </c>
      <c r="C209" t="inlineStr">
        <is>
          <t>Föryngringsavverkning</t>
        </is>
      </c>
      <c r="D209" s="1" t="n">
        <v>46199</v>
      </c>
      <c r="E209" s="1" t="n">
        <v>46220</v>
      </c>
      <c r="F209" t="inlineStr">
        <is>
          <t>JÄMTLANDS LÄN</t>
        </is>
      </c>
      <c r="G209" t="inlineStr">
        <is>
          <t>RAGUNDA</t>
        </is>
      </c>
      <c r="I209" t="n">
        <v>7.6</v>
      </c>
      <c r="J209" t="n">
        <v>0</v>
      </c>
      <c r="K209" t="n">
        <v>0</v>
      </c>
      <c r="L209" t="n">
        <v>2</v>
      </c>
      <c r="M209" t="n">
        <v>0</v>
      </c>
      <c r="N209" t="n">
        <v>0</v>
      </c>
      <c r="O209" t="n">
        <v>0</v>
      </c>
      <c r="P209" t="n">
        <v>0</v>
      </c>
      <c r="Q209" t="n">
        <v>2</v>
      </c>
      <c r="R209" t="n">
        <v>0</v>
      </c>
      <c r="S209" t="n">
        <v>2</v>
      </c>
      <c r="T209" t="n">
        <v>3</v>
      </c>
      <c r="U209" s="2" t="inlineStr">
        <is>
          <t>Blå taggsvamp
Lunglav</t>
        </is>
      </c>
      <c r="V209">
        <f>HYPERLINK("https://klasma.github.io/Logging_2303/artfynd/A 28897-2026 artfynd.xlsx", "A 28897-2026")</f>
        <v/>
      </c>
      <c r="W209">
        <f>HYPERLINK("https://klasma.github.io/Logging_2303/kartor/A 28897-2026 karta.png", "A 28897-2026")</f>
        <v/>
      </c>
      <c r="Y209">
        <f>HYPERLINK("https://klasma.github.io/Logging_2303/klagomål/A 28897-2026 FSC-klagomål.docx", "A 28897-2026")</f>
        <v/>
      </c>
      <c r="Z209">
        <f>HYPERLINK("https://klasma.github.io/Logging_2303/klagomålsmail/A 28897-2026 FSC-klagomål mail.docx", "A 28897-2026")</f>
        <v/>
      </c>
      <c r="AA209">
        <f>HYPERLINK("https://klasma.github.io/Logging_2303/tillsyn/A 28897-2026 tillsynsbegäran.docx", "A 28897-2026")</f>
        <v/>
      </c>
      <c r="AB209">
        <f>HYPERLINK("https://klasma.github.io/Logging_2303/tillsynsmail/A 28897-2026 tillsynsbegäran mail.docx", "A 28897-2026")</f>
        <v/>
      </c>
    </row>
    <row r="210" ht="15" customHeight="1">
      <c r="A210" t="inlineStr">
        <is>
          <t>A 57940-2024</t>
        </is>
      </c>
      <c r="B210" t="inlineStr">
        <is>
          <t>avverkningsanmälan</t>
        </is>
      </c>
      <c r="C210" t="inlineStr">
        <is>
          <t>Avverkning för att bevara och utveckla /försöksver</t>
        </is>
      </c>
      <c r="D210" s="1" t="n">
        <v>45631</v>
      </c>
      <c r="E210" s="1" t="n">
        <v>46220</v>
      </c>
      <c r="F210" t="inlineStr">
        <is>
          <t>JÄMTLANDS LÄN</t>
        </is>
      </c>
      <c r="G210" t="inlineStr">
        <is>
          <t>RAGUNDA</t>
        </is>
      </c>
      <c r="H210" t="inlineStr">
        <is>
          <t>SCA</t>
        </is>
      </c>
      <c r="I210" t="n">
        <v>1.9</v>
      </c>
      <c r="J210" t="n">
        <v>1</v>
      </c>
      <c r="K210" t="n">
        <v>0</v>
      </c>
      <c r="L210" t="n">
        <v>2</v>
      </c>
      <c r="M210" t="n">
        <v>0</v>
      </c>
      <c r="N210" t="n">
        <v>0</v>
      </c>
      <c r="O210" t="n">
        <v>0</v>
      </c>
      <c r="P210" t="n">
        <v>0</v>
      </c>
      <c r="Q210" t="n">
        <v>2</v>
      </c>
      <c r="R210" t="n">
        <v>0</v>
      </c>
      <c r="S210" t="n">
        <v>2</v>
      </c>
      <c r="T210" t="n">
        <v>9</v>
      </c>
      <c r="U210" s="2" t="inlineStr">
        <is>
          <t>Lunglav
Tretåig hackspett</t>
        </is>
      </c>
      <c r="V210">
        <f>HYPERLINK("https://klasma.github.io/Logging_2303/artfynd/A 57940-2024 artfynd.xlsx", "A 57940-2024")</f>
        <v/>
      </c>
      <c r="W210">
        <f>HYPERLINK("https://klasma.github.io/Logging_2303/kartor/A 57940-2024 karta.png", "A 57940-2024")</f>
        <v/>
      </c>
      <c r="Y210">
        <f>HYPERLINK("https://klasma.github.io/Logging_2303/klagomål/A 57940-2024 FSC-klagomål.docx", "A 57940-2024")</f>
        <v/>
      </c>
      <c r="Z210">
        <f>HYPERLINK("https://klasma.github.io/Logging_2303/klagomålsmail/A 57940-2024 FSC-klagomål mail.docx", "A 57940-2024")</f>
        <v/>
      </c>
      <c r="AA210">
        <f>HYPERLINK("https://klasma.github.io/Logging_2303/tillsyn/A 57940-2024 tillsynsbegäran.docx", "A 57940-2024")</f>
        <v/>
      </c>
      <c r="AB210">
        <f>HYPERLINK("https://klasma.github.io/Logging_2303/tillsynsmail/A 57940-2024 tillsynsbegäran mail.docx", "A 57940-2024")</f>
        <v/>
      </c>
      <c r="AC210">
        <f>HYPERLINK("https://klasma.github.io/Logging_2303/fåglar/A 57940-2024 prioriterade fågelarter.docx", "A 57940-2024")</f>
        <v/>
      </c>
    </row>
    <row r="211" ht="15" customHeight="1">
      <c r="A211" t="inlineStr">
        <is>
          <t>A 48084-2022</t>
        </is>
      </c>
      <c r="B211" t="inlineStr">
        <is>
          <t>avverkningsanmälan</t>
        </is>
      </c>
      <c r="C211" t="inlineStr">
        <is>
          <t>Avverkning för att bevara och utveckla /försöksver</t>
        </is>
      </c>
      <c r="D211" s="1" t="n">
        <v>44855</v>
      </c>
      <c r="E211" s="1" t="n">
        <v>46220</v>
      </c>
      <c r="F211" t="inlineStr">
        <is>
          <t>JÄMTLANDS LÄN</t>
        </is>
      </c>
      <c r="G211" t="inlineStr">
        <is>
          <t>RAGUNDA</t>
        </is>
      </c>
      <c r="H211" t="inlineStr">
        <is>
          <t>SCA</t>
        </is>
      </c>
      <c r="I211" t="n">
        <v>4.7</v>
      </c>
      <c r="J211" t="n">
        <v>1</v>
      </c>
      <c r="K211" t="n">
        <v>0</v>
      </c>
      <c r="L211" t="n">
        <v>2</v>
      </c>
      <c r="M211" t="n">
        <v>0</v>
      </c>
      <c r="N211" t="n">
        <v>0</v>
      </c>
      <c r="O211" t="n">
        <v>0</v>
      </c>
      <c r="P211" t="n">
        <v>0</v>
      </c>
      <c r="Q211" t="n">
        <v>2</v>
      </c>
      <c r="R211" t="n">
        <v>0</v>
      </c>
      <c r="S211" t="n">
        <v>2</v>
      </c>
      <c r="T211" t="n">
        <v>2</v>
      </c>
      <c r="U211" s="2" t="inlineStr">
        <is>
          <t>Rosenticka
Tretåig hackspett</t>
        </is>
      </c>
      <c r="V211">
        <f>HYPERLINK("https://klasma.github.io/Logging_2303/artfynd/A 48084-2022 artfynd.xlsx", "A 48084-2022")</f>
        <v/>
      </c>
      <c r="W211">
        <f>HYPERLINK("https://klasma.github.io/Logging_2303/kartor/A 48084-2022 karta.png", "A 48084-2022")</f>
        <v/>
      </c>
      <c r="Y211">
        <f>HYPERLINK("https://klasma.github.io/Logging_2303/klagomål/A 48084-2022 FSC-klagomål.docx", "A 48084-2022")</f>
        <v/>
      </c>
      <c r="Z211">
        <f>HYPERLINK("https://klasma.github.io/Logging_2303/klagomålsmail/A 48084-2022 FSC-klagomål mail.docx", "A 48084-2022")</f>
        <v/>
      </c>
      <c r="AA211">
        <f>HYPERLINK("https://klasma.github.io/Logging_2303/tillsyn/A 48084-2022 tillsynsbegäran.docx", "A 48084-2022")</f>
        <v/>
      </c>
      <c r="AB211">
        <f>HYPERLINK("https://klasma.github.io/Logging_2303/tillsynsmail/A 48084-2022 tillsynsbegäran mail.docx", "A 48084-2022")</f>
        <v/>
      </c>
      <c r="AC211">
        <f>HYPERLINK("https://klasma.github.io/Logging_2303/fåglar/A 48084-2022 prioriterade fågelarter.docx", "A 48084-2022")</f>
        <v/>
      </c>
    </row>
    <row r="212" ht="15" customHeight="1">
      <c r="A212" t="inlineStr">
        <is>
          <t>A 20774-2024</t>
        </is>
      </c>
      <c r="B212" t="inlineStr">
        <is>
          <t>avverkningsanmälan</t>
        </is>
      </c>
      <c r="C212" t="inlineStr">
        <is>
          <t>Avverkning för att bevara och utveckla /försöksver</t>
        </is>
      </c>
      <c r="D212" s="1" t="n">
        <v>45436</v>
      </c>
      <c r="E212" s="1" t="n">
        <v>46220</v>
      </c>
      <c r="F212" t="inlineStr">
        <is>
          <t>JÄMTLANDS LÄN</t>
        </is>
      </c>
      <c r="G212" t="inlineStr">
        <is>
          <t>RAGUNDA</t>
        </is>
      </c>
      <c r="H212" t="inlineStr">
        <is>
          <t>SCA</t>
        </is>
      </c>
      <c r="I212" t="n">
        <v>2.3</v>
      </c>
      <c r="J212" t="n">
        <v>0</v>
      </c>
      <c r="K212" t="n">
        <v>0</v>
      </c>
      <c r="L212" t="n">
        <v>2</v>
      </c>
      <c r="M212" t="n">
        <v>0</v>
      </c>
      <c r="N212" t="n">
        <v>0</v>
      </c>
      <c r="O212" t="n">
        <v>0</v>
      </c>
      <c r="P212" t="n">
        <v>0</v>
      </c>
      <c r="Q212" t="n">
        <v>2</v>
      </c>
      <c r="R212" t="n">
        <v>0</v>
      </c>
      <c r="S212" t="n">
        <v>2</v>
      </c>
      <c r="T212" t="n">
        <v>2</v>
      </c>
      <c r="U212" s="2" t="inlineStr">
        <is>
          <t>Fjällig taggsvamp s.str.
Skarp dropptaggsvamp</t>
        </is>
      </c>
      <c r="V212">
        <f>HYPERLINK("https://klasma.github.io/Logging_2303/artfynd/A 20774-2024 artfynd.xlsx", "A 20774-2024")</f>
        <v/>
      </c>
      <c r="W212">
        <f>HYPERLINK("https://klasma.github.io/Logging_2303/kartor/A 20774-2024 karta.png", "A 20774-2024")</f>
        <v/>
      </c>
      <c r="Y212">
        <f>HYPERLINK("https://klasma.github.io/Logging_2303/klagomål/A 20774-2024 FSC-klagomål.docx", "A 20774-2024")</f>
        <v/>
      </c>
      <c r="Z212">
        <f>HYPERLINK("https://klasma.github.io/Logging_2303/klagomålsmail/A 20774-2024 FSC-klagomål mail.docx", "A 20774-2024")</f>
        <v/>
      </c>
      <c r="AA212">
        <f>HYPERLINK("https://klasma.github.io/Logging_2303/tillsyn/A 20774-2024 tillsynsbegäran.docx", "A 20774-2024")</f>
        <v/>
      </c>
      <c r="AB212">
        <f>HYPERLINK("https://klasma.github.io/Logging_2303/tillsynsmail/A 20774-2024 tillsynsbegäran mail.docx", "A 20774-2024")</f>
        <v/>
      </c>
    </row>
    <row r="213" ht="15" customHeight="1">
      <c r="A213" t="inlineStr">
        <is>
          <t>A 25234-2026</t>
        </is>
      </c>
      <c r="B213" t="inlineStr">
        <is>
          <t>avverkningsanmälan</t>
        </is>
      </c>
      <c r="C213" t="inlineStr">
        <is>
          <t>Föryngringsavverkning</t>
        </is>
      </c>
      <c r="D213" s="1" t="n">
        <v>46175</v>
      </c>
      <c r="E213" s="1" t="n">
        <v>46220</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s="2" t="inlineStr">
        <is>
          <t>Grönkulla
Kransrams</t>
        </is>
      </c>
      <c r="V213">
        <f>HYPERLINK("https://klasma.github.io/Logging_2303/artfynd/A 25234-2026 artfynd.xlsx", "A 25234-2026")</f>
        <v/>
      </c>
      <c r="W213">
        <f>HYPERLINK("https://klasma.github.io/Logging_2303/kartor/A 25234-2026 karta.png", "A 25234-2026")</f>
        <v/>
      </c>
      <c r="Y213">
        <f>HYPERLINK("https://klasma.github.io/Logging_2303/klagomål/A 25234-2026 FSC-klagomål.docx", "A 25234-2026")</f>
        <v/>
      </c>
      <c r="Z213">
        <f>HYPERLINK("https://klasma.github.io/Logging_2303/klagomålsmail/A 25234-2026 FSC-klagomål mail.docx", "A 25234-2026")</f>
        <v/>
      </c>
      <c r="AA213">
        <f>HYPERLINK("https://klasma.github.io/Logging_2303/tillsyn/A 25234-2026 tillsynsbegäran.docx", "A 25234-2026")</f>
        <v/>
      </c>
      <c r="AB213">
        <f>HYPERLINK("https://klasma.github.io/Logging_2303/tillsynsmail/A 25234-2026 tillsynsbegäran mail.docx", "A 25234-2026")</f>
        <v/>
      </c>
    </row>
    <row r="214" ht="15" customHeight="1">
      <c r="A214" t="inlineStr">
        <is>
          <t>A 26324-2024</t>
        </is>
      </c>
      <c r="B214" t="inlineStr">
        <is>
          <t>avverkningsanmälan</t>
        </is>
      </c>
      <c r="C214" t="inlineStr">
        <is>
          <t>Föryngringsavverkning</t>
        </is>
      </c>
      <c r="D214" s="1" t="n">
        <v>45468</v>
      </c>
      <c r="E214" s="1" t="n">
        <v>46220</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s="2" t="inlineStr">
        <is>
          <t>Knärot
Vedtrappmossa</t>
        </is>
      </c>
      <c r="V214">
        <f>HYPERLINK("https://klasma.github.io/Logging_2303/artfynd/A 26324-2024 artfynd.xlsx", "A 26324-2024")</f>
        <v/>
      </c>
      <c r="W214">
        <f>HYPERLINK("https://klasma.github.io/Logging_2303/kartor/A 26324-2024 karta.png", "A 26324-2024")</f>
        <v/>
      </c>
      <c r="X214">
        <f>HYPERLINK("https://klasma.github.io/Logging_2303/knärot/A 26324-2024 karta knärot.png", "A 26324-2024")</f>
        <v/>
      </c>
      <c r="Y214">
        <f>HYPERLINK("https://klasma.github.io/Logging_2303/klagomål/A 26324-2024 FSC-klagomål.docx", "A 26324-2024")</f>
        <v/>
      </c>
      <c r="Z214">
        <f>HYPERLINK("https://klasma.github.io/Logging_2303/klagomålsmail/A 26324-2024 FSC-klagomål mail.docx", "A 26324-2024")</f>
        <v/>
      </c>
      <c r="AA214">
        <f>HYPERLINK("https://klasma.github.io/Logging_2303/tillsyn/A 26324-2024 tillsynsbegäran.docx", "A 26324-2024")</f>
        <v/>
      </c>
      <c r="AB214">
        <f>HYPERLINK("https://klasma.github.io/Logging_2303/tillsynsmail/A 26324-2024 tillsynsbegäran mail.docx", "A 26324-2024")</f>
        <v/>
      </c>
    </row>
    <row r="215" ht="15" customHeight="1">
      <c r="A215" t="inlineStr">
        <is>
          <t>A 21245-2025</t>
        </is>
      </c>
      <c r="B215" t="inlineStr">
        <is>
          <t>avverkningsanmälan</t>
        </is>
      </c>
      <c r="C215" t="inlineStr">
        <is>
          <t>Föryngringsavverkning</t>
        </is>
      </c>
      <c r="D215" s="1" t="n">
        <v>45779</v>
      </c>
      <c r="E215" s="1" t="n">
        <v>46220</v>
      </c>
      <c r="F215" t="inlineStr">
        <is>
          <t>JÄMTLANDS LÄN</t>
        </is>
      </c>
      <c r="G215" t="inlineStr">
        <is>
          <t>RAGUNDA</t>
        </is>
      </c>
      <c r="H215" t="inlineStr">
        <is>
          <t>SCA</t>
        </is>
      </c>
      <c r="I215" t="n">
        <v>3.7</v>
      </c>
      <c r="J215" t="n">
        <v>1</v>
      </c>
      <c r="K215" t="n">
        <v>0</v>
      </c>
      <c r="L215" t="n">
        <v>0</v>
      </c>
      <c r="M215" t="n">
        <v>1</v>
      </c>
      <c r="N215" t="n">
        <v>0</v>
      </c>
      <c r="O215" t="n">
        <v>0</v>
      </c>
      <c r="P215" t="n">
        <v>0</v>
      </c>
      <c r="Q215" t="n">
        <v>1</v>
      </c>
      <c r="R215" t="n">
        <v>1</v>
      </c>
      <c r="S215" t="n">
        <v>2</v>
      </c>
      <c r="T215" t="n">
        <v>2</v>
      </c>
      <c r="U215" s="2" t="inlineStr">
        <is>
          <t>Garnlav
Tjäder</t>
        </is>
      </c>
      <c r="V215">
        <f>HYPERLINK("https://klasma.github.io/Logging_2303/artfynd/A 21245-2025 artfynd.xlsx", "A 21245-2025")</f>
        <v/>
      </c>
      <c r="W215">
        <f>HYPERLINK("https://klasma.github.io/Logging_2303/kartor/A 21245-2025 karta.png", "A 21245-2025")</f>
        <v/>
      </c>
      <c r="Y215">
        <f>HYPERLINK("https://klasma.github.io/Logging_2303/klagomål/A 21245-2025 FSC-klagomål.docx", "A 21245-2025")</f>
        <v/>
      </c>
      <c r="Z215">
        <f>HYPERLINK("https://klasma.github.io/Logging_2303/klagomålsmail/A 21245-2025 FSC-klagomål mail.docx", "A 21245-2025")</f>
        <v/>
      </c>
      <c r="AA215">
        <f>HYPERLINK("https://klasma.github.io/Logging_2303/tillsyn/A 21245-2025 tillsynsbegäran.docx", "A 21245-2025")</f>
        <v/>
      </c>
      <c r="AB215">
        <f>HYPERLINK("https://klasma.github.io/Logging_2303/tillsynsmail/A 21245-2025 tillsynsbegäran mail.docx", "A 21245-2025")</f>
        <v/>
      </c>
      <c r="AC215">
        <f>HYPERLINK("https://klasma.github.io/Logging_2303/fåglar/A 21245-2025 prioriterade fågelarter.docx", "A 21245-2025")</f>
        <v/>
      </c>
    </row>
    <row r="216" ht="15" customHeight="1">
      <c r="A216" t="inlineStr">
        <is>
          <t>S 207-2025</t>
        </is>
      </c>
      <c r="B216" t="inlineStr">
        <is>
          <t>samrådsanmälan</t>
        </is>
      </c>
      <c r="C216" t="inlineStr">
        <is>
          <t>Skogsgödsling</t>
        </is>
      </c>
      <c r="D216" s="1" t="n">
        <v>45679</v>
      </c>
      <c r="E216" s="1" t="n">
        <v>46220</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Y216">
        <f>HYPERLINK("https://klasma.github.io/Logging_2303/klagomål/S 207-2025 FSC-klagomål.docx", "S 207-2025")</f>
        <v/>
      </c>
      <c r="Z216">
        <f>HYPERLINK("https://klasma.github.io/Logging_2303/klagomålsmail/S 207-2025 FSC-klagomål mail.docx", "S 207-2025")</f>
        <v/>
      </c>
      <c r="AA216">
        <f>HYPERLINK("https://klasma.github.io/Logging_2303/tillsyn/S 207-2025 tillsynsbegäran.docx", "S 207-2025")</f>
        <v/>
      </c>
      <c r="AB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46220</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Y217">
        <f>HYPERLINK("https://klasma.github.io/Logging_2303/klagomål/S 1830-2026 FSC-klagomål.docx", "S 1830-2026")</f>
        <v/>
      </c>
      <c r="Z217">
        <f>HYPERLINK("https://klasma.github.io/Logging_2303/klagomålsmail/S 1830-2026 FSC-klagomål mail.docx", "S 1830-2026")</f>
        <v/>
      </c>
      <c r="AA217">
        <f>HYPERLINK("https://klasma.github.io/Logging_2303/tillsyn/S 1830-2026 tillsynsbegäran.docx", "S 1830-2026")</f>
        <v/>
      </c>
      <c r="AB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46220</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Y218">
        <f>HYPERLINK("https://klasma.github.io/Logging_2303/klagomål/A 21275-2022 FSC-klagomål.docx", "A 21275-2022")</f>
        <v/>
      </c>
      <c r="Z218">
        <f>HYPERLINK("https://klasma.github.io/Logging_2303/klagomålsmail/A 21275-2022 FSC-klagomål mail.docx", "A 21275-2022")</f>
        <v/>
      </c>
      <c r="AA218">
        <f>HYPERLINK("https://klasma.github.io/Logging_2303/tillsyn/A 21275-2022 tillsynsbegäran.docx", "A 21275-2022")</f>
        <v/>
      </c>
      <c r="AB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46220</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Y219">
        <f>HYPERLINK("https://klasma.github.io/Logging_2303/klagomål/A 48832-2021 FSC-klagomål.docx", "A 48832-2021")</f>
        <v/>
      </c>
      <c r="Z219">
        <f>HYPERLINK("https://klasma.github.io/Logging_2303/klagomålsmail/A 48832-2021 FSC-klagomål mail.docx", "A 48832-2021")</f>
        <v/>
      </c>
      <c r="AA219">
        <f>HYPERLINK("https://klasma.github.io/Logging_2303/tillsyn/A 48832-2021 tillsynsbegäran.docx", "A 48832-2021")</f>
        <v/>
      </c>
      <c r="AB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46220</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Y220">
        <f>HYPERLINK("https://klasma.github.io/Logging_2303/klagomål/A 27273-2022 FSC-klagomål.docx", "A 27273-2022")</f>
        <v/>
      </c>
      <c r="Z220">
        <f>HYPERLINK("https://klasma.github.io/Logging_2303/klagomålsmail/A 27273-2022 FSC-klagomål mail.docx", "A 27273-2022")</f>
        <v/>
      </c>
      <c r="AA220">
        <f>HYPERLINK("https://klasma.github.io/Logging_2303/tillsyn/A 27273-2022 tillsynsbegäran.docx", "A 27273-2022")</f>
        <v/>
      </c>
      <c r="AB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46220</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Y221">
        <f>HYPERLINK("https://klasma.github.io/Logging_2303/klagomål/A 19850-2022 FSC-klagomål.docx", "A 19850-2022")</f>
        <v/>
      </c>
      <c r="Z221">
        <f>HYPERLINK("https://klasma.github.io/Logging_2303/klagomålsmail/A 19850-2022 FSC-klagomål mail.docx", "A 19850-2022")</f>
        <v/>
      </c>
      <c r="AA221">
        <f>HYPERLINK("https://klasma.github.io/Logging_2303/tillsyn/A 19850-2022 tillsynsbegäran.docx", "A 19850-2022")</f>
        <v/>
      </c>
      <c r="AB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46220</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Y222">
        <f>HYPERLINK("https://klasma.github.io/Logging_2303/klagomål/A 31477-2022 FSC-klagomål.docx", "A 31477-2022")</f>
        <v/>
      </c>
      <c r="Z222">
        <f>HYPERLINK("https://klasma.github.io/Logging_2303/klagomålsmail/A 31477-2022 FSC-klagomål mail.docx", "A 31477-2022")</f>
        <v/>
      </c>
      <c r="AA222">
        <f>HYPERLINK("https://klasma.github.io/Logging_2303/tillsyn/A 31477-2022 tillsynsbegäran.docx", "A 31477-2022")</f>
        <v/>
      </c>
      <c r="AB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46220</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s="2" t="inlineStr">
        <is>
          <t>Smällvedel</t>
        </is>
      </c>
      <c r="V223">
        <f>HYPERLINK("https://klasma.github.io/Logging_2303/artfynd/A 18341-2022 artfynd.xlsx", "A 18341-2022")</f>
        <v/>
      </c>
      <c r="W223">
        <f>HYPERLINK("https://klasma.github.io/Logging_2303/kartor/A 18341-2022 karta.png", "A 18341-2022")</f>
        <v/>
      </c>
      <c r="Y223">
        <f>HYPERLINK("https://klasma.github.io/Logging_2303/klagomål/A 18341-2022 FSC-klagomål.docx", "A 18341-2022")</f>
        <v/>
      </c>
      <c r="Z223">
        <f>HYPERLINK("https://klasma.github.io/Logging_2303/klagomålsmail/A 18341-2022 FSC-klagomål mail.docx", "A 18341-2022")</f>
        <v/>
      </c>
      <c r="AA223">
        <f>HYPERLINK("https://klasma.github.io/Logging_2303/tillsyn/A 18341-2022 tillsynsbegäran.docx", "A 18341-2022")</f>
        <v/>
      </c>
      <c r="AB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46220</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s="2" t="inlineStr">
        <is>
          <t>Fläcknycklar</t>
        </is>
      </c>
      <c r="V224">
        <f>HYPERLINK("https://klasma.github.io/Logging_2303/artfynd/A 38733-2022 artfynd.xlsx", "A 38733-2022")</f>
        <v/>
      </c>
      <c r="W224">
        <f>HYPERLINK("https://klasma.github.io/Logging_2303/kartor/A 38733-2022 karta.png", "A 38733-2022")</f>
        <v/>
      </c>
      <c r="Y224">
        <f>HYPERLINK("https://klasma.github.io/Logging_2303/klagomål/A 38733-2022 FSC-klagomål.docx", "A 38733-2022")</f>
        <v/>
      </c>
      <c r="Z224">
        <f>HYPERLINK("https://klasma.github.io/Logging_2303/klagomålsmail/A 38733-2022 FSC-klagomål mail.docx", "A 38733-2022")</f>
        <v/>
      </c>
      <c r="AA224">
        <f>HYPERLINK("https://klasma.github.io/Logging_2303/tillsyn/A 38733-2022 tillsynsbegäran.docx", "A 38733-2022")</f>
        <v/>
      </c>
      <c r="AB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46220</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s="2" t="inlineStr">
        <is>
          <t>Harticka</t>
        </is>
      </c>
      <c r="V225">
        <f>HYPERLINK("https://klasma.github.io/Logging_2303/artfynd/A 27286-2022 artfynd.xlsx", "A 27286-2022")</f>
        <v/>
      </c>
      <c r="W225">
        <f>HYPERLINK("https://klasma.github.io/Logging_2303/kartor/A 27286-2022 karta.png", "A 27286-2022")</f>
        <v/>
      </c>
      <c r="Y225">
        <f>HYPERLINK("https://klasma.github.io/Logging_2303/klagomål/A 27286-2022 FSC-klagomål.docx", "A 27286-2022")</f>
        <v/>
      </c>
      <c r="Z225">
        <f>HYPERLINK("https://klasma.github.io/Logging_2303/klagomålsmail/A 27286-2022 FSC-klagomål mail.docx", "A 27286-2022")</f>
        <v/>
      </c>
      <c r="AA225">
        <f>HYPERLINK("https://klasma.github.io/Logging_2303/tillsyn/A 27286-2022 tillsynsbegäran.docx", "A 27286-2022")</f>
        <v/>
      </c>
      <c r="AB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46220</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s="2" t="inlineStr">
        <is>
          <t>Ullticka</t>
        </is>
      </c>
      <c r="V226">
        <f>HYPERLINK("https://klasma.github.io/Logging_2303/artfynd/A 42899-2022 artfynd.xlsx", "A 42899-2022")</f>
        <v/>
      </c>
      <c r="W226">
        <f>HYPERLINK("https://klasma.github.io/Logging_2303/kartor/A 42899-2022 karta.png", "A 42899-2022")</f>
        <v/>
      </c>
      <c r="Y226">
        <f>HYPERLINK("https://klasma.github.io/Logging_2303/klagomål/A 42899-2022 FSC-klagomål.docx", "A 42899-2022")</f>
        <v/>
      </c>
      <c r="Z226">
        <f>HYPERLINK("https://klasma.github.io/Logging_2303/klagomålsmail/A 42899-2022 FSC-klagomål mail.docx", "A 42899-2022")</f>
        <v/>
      </c>
      <c r="AA226">
        <f>HYPERLINK("https://klasma.github.io/Logging_2303/tillsyn/A 42899-2022 tillsynsbegäran.docx", "A 42899-2022")</f>
        <v/>
      </c>
      <c r="AB226">
        <f>HYPERLINK("https://klasma.github.io/Logging_2303/tillsynsmail/A 42899-2022 tillsynsbegäran mail.docx", "A 42899-2022")</f>
        <v/>
      </c>
    </row>
    <row r="227" ht="15" customHeight="1">
      <c r="A227" t="inlineStr">
        <is>
          <t>A 6703-2024</t>
        </is>
      </c>
      <c r="B227" t="inlineStr">
        <is>
          <t>avverkningsanmälan</t>
        </is>
      </c>
      <c r="C227" t="inlineStr">
        <is>
          <t>Avverkning för att bevara och utveckla /försöksver</t>
        </is>
      </c>
      <c r="D227" s="1" t="n">
        <v>45341</v>
      </c>
      <c r="E227" s="1" t="n">
        <v>46220</v>
      </c>
      <c r="F227" t="inlineStr">
        <is>
          <t>JÄMTLANDS LÄN</t>
        </is>
      </c>
      <c r="G227" t="inlineStr">
        <is>
          <t>RAGUNDA</t>
        </is>
      </c>
      <c r="H227" t="inlineStr">
        <is>
          <t>SCA</t>
        </is>
      </c>
      <c r="I227" t="n">
        <v>2.4</v>
      </c>
      <c r="J227" t="n">
        <v>0</v>
      </c>
      <c r="K227" t="n">
        <v>0</v>
      </c>
      <c r="L227" t="n">
        <v>1</v>
      </c>
      <c r="M227" t="n">
        <v>0</v>
      </c>
      <c r="N227" t="n">
        <v>0</v>
      </c>
      <c r="O227" t="n">
        <v>0</v>
      </c>
      <c r="P227" t="n">
        <v>0</v>
      </c>
      <c r="Q227" t="n">
        <v>1</v>
      </c>
      <c r="R227" t="n">
        <v>0</v>
      </c>
      <c r="S227" t="n">
        <v>1</v>
      </c>
      <c r="T227" t="n">
        <v>1</v>
      </c>
      <c r="U227" s="2" t="inlineStr">
        <is>
          <t>Vitgrynig nållav</t>
        </is>
      </c>
      <c r="V227">
        <f>HYPERLINK("https://klasma.github.io/Logging_2303/artfynd/A 6703-2024 artfynd.xlsx", "A 6703-2024")</f>
        <v/>
      </c>
      <c r="W227">
        <f>HYPERLINK("https://klasma.github.io/Logging_2303/kartor/A 6703-2024 karta.png", "A 6703-2024")</f>
        <v/>
      </c>
      <c r="Y227">
        <f>HYPERLINK("https://klasma.github.io/Logging_2303/klagomål/A 6703-2024 FSC-klagomål.docx", "A 6703-2024")</f>
        <v/>
      </c>
      <c r="Z227">
        <f>HYPERLINK("https://klasma.github.io/Logging_2303/klagomålsmail/A 6703-2024 FSC-klagomål mail.docx", "A 6703-2024")</f>
        <v/>
      </c>
      <c r="AA227">
        <f>HYPERLINK("https://klasma.github.io/Logging_2303/tillsyn/A 6703-2024 tillsynsbegäran.docx", "A 6703-2024")</f>
        <v/>
      </c>
      <c r="AB227">
        <f>HYPERLINK("https://klasma.github.io/Logging_2303/tillsynsmail/A 6703-2024 tillsynsbegäran mail.docx", "A 6703-2024")</f>
        <v/>
      </c>
    </row>
    <row r="228" ht="15" customHeight="1">
      <c r="A228" t="inlineStr">
        <is>
          <t>A 59104-2023</t>
        </is>
      </c>
      <c r="B228" t="inlineStr">
        <is>
          <t>avverkningsanmälan</t>
        </is>
      </c>
      <c r="C228" t="inlineStr">
        <is>
          <t>Avverkning för att bevara och utveckla /försöksver</t>
        </is>
      </c>
      <c r="D228" s="1" t="n">
        <v>45252</v>
      </c>
      <c r="E228" s="1" t="n">
        <v>46220</v>
      </c>
      <c r="F228" t="inlineStr">
        <is>
          <t>JÄMTLANDS LÄN</t>
        </is>
      </c>
      <c r="G228" t="inlineStr">
        <is>
          <t>RAGUNDA</t>
        </is>
      </c>
      <c r="H228" t="inlineStr">
        <is>
          <t>SCA</t>
        </is>
      </c>
      <c r="I228" t="n">
        <v>4.2</v>
      </c>
      <c r="J228" t="n">
        <v>0</v>
      </c>
      <c r="K228" t="n">
        <v>0</v>
      </c>
      <c r="L228" t="n">
        <v>1</v>
      </c>
      <c r="M228" t="n">
        <v>0</v>
      </c>
      <c r="N228" t="n">
        <v>0</v>
      </c>
      <c r="O228" t="n">
        <v>0</v>
      </c>
      <c r="P228" t="n">
        <v>0</v>
      </c>
      <c r="Q228" t="n">
        <v>1</v>
      </c>
      <c r="R228" t="n">
        <v>0</v>
      </c>
      <c r="S228" t="n">
        <v>1</v>
      </c>
      <c r="T228" t="n">
        <v>1</v>
      </c>
      <c r="U228" s="2" t="inlineStr">
        <is>
          <t>Ullticka</t>
        </is>
      </c>
      <c r="V228">
        <f>HYPERLINK("https://klasma.github.io/Logging_2303/artfynd/A 59104-2023 artfynd.xlsx", "A 59104-2023")</f>
        <v/>
      </c>
      <c r="W228">
        <f>HYPERLINK("https://klasma.github.io/Logging_2303/kartor/A 59104-2023 karta.png", "A 59104-2023")</f>
        <v/>
      </c>
      <c r="Y228">
        <f>HYPERLINK("https://klasma.github.io/Logging_2303/klagomål/A 59104-2023 FSC-klagomål.docx", "A 59104-2023")</f>
        <v/>
      </c>
      <c r="Z228">
        <f>HYPERLINK("https://klasma.github.io/Logging_2303/klagomålsmail/A 59104-2023 FSC-klagomål mail.docx", "A 59104-2023")</f>
        <v/>
      </c>
      <c r="AA228">
        <f>HYPERLINK("https://klasma.github.io/Logging_2303/tillsyn/A 59104-2023 tillsynsbegäran.docx", "A 59104-2023")</f>
        <v/>
      </c>
      <c r="AB228">
        <f>HYPERLINK("https://klasma.github.io/Logging_2303/tillsynsmail/A 59104-2023 tillsynsbegäran mail.docx", "A 59104-2023")</f>
        <v/>
      </c>
    </row>
    <row r="229" ht="15" customHeight="1">
      <c r="A229" t="inlineStr">
        <is>
          <t>A 14896-2022</t>
        </is>
      </c>
      <c r="B229" t="inlineStr">
        <is>
          <t>avverkningsanmälan</t>
        </is>
      </c>
      <c r="C229" t="inlineStr">
        <is>
          <t>Föryngringsavverkning</t>
        </is>
      </c>
      <c r="D229" s="1" t="n">
        <v>44656</v>
      </c>
      <c r="E229" s="1" t="n">
        <v>46220</v>
      </c>
      <c r="F229" t="inlineStr">
        <is>
          <t>JÄMTLANDS LÄN</t>
        </is>
      </c>
      <c r="G229" t="inlineStr">
        <is>
          <t>RAGUNDA</t>
        </is>
      </c>
      <c r="H229" t="inlineStr">
        <is>
          <t>SCA</t>
        </is>
      </c>
      <c r="I229" t="n">
        <v>8.300000000000001</v>
      </c>
      <c r="J229" t="n">
        <v>0</v>
      </c>
      <c r="K229" t="n">
        <v>0</v>
      </c>
      <c r="L229" t="n">
        <v>0</v>
      </c>
      <c r="M229" t="n">
        <v>1</v>
      </c>
      <c r="N229" t="n">
        <v>0</v>
      </c>
      <c r="O229" t="n">
        <v>0</v>
      </c>
      <c r="P229" t="n">
        <v>0</v>
      </c>
      <c r="Q229" t="n">
        <v>1</v>
      </c>
      <c r="R229" t="n">
        <v>1</v>
      </c>
      <c r="S229" t="n">
        <v>1</v>
      </c>
      <c r="T229" t="n">
        <v>1</v>
      </c>
      <c r="U229" s="2" t="inlineStr">
        <is>
          <t>Garnlav</t>
        </is>
      </c>
      <c r="V229">
        <f>HYPERLINK("https://klasma.github.io/Logging_2303/artfynd/A 14896-2022 artfynd.xlsx", "A 14896-2022")</f>
        <v/>
      </c>
      <c r="W229">
        <f>HYPERLINK("https://klasma.github.io/Logging_2303/kartor/A 14896-2022 karta.png", "A 14896-2022")</f>
        <v/>
      </c>
      <c r="Y229">
        <f>HYPERLINK("https://klasma.github.io/Logging_2303/klagomål/A 14896-2022 FSC-klagomål.docx", "A 14896-2022")</f>
        <v/>
      </c>
      <c r="Z229">
        <f>HYPERLINK("https://klasma.github.io/Logging_2303/klagomålsmail/A 14896-2022 FSC-klagomål mail.docx", "A 14896-2022")</f>
        <v/>
      </c>
      <c r="AA229">
        <f>HYPERLINK("https://klasma.github.io/Logging_2303/tillsyn/A 14896-2022 tillsynsbegäran.docx", "A 14896-2022")</f>
        <v/>
      </c>
      <c r="AB229">
        <f>HYPERLINK("https://klasma.github.io/Logging_2303/tillsynsmail/A 14896-2022 tillsynsbegäran mail.docx", "A 14896-2022")</f>
        <v/>
      </c>
    </row>
    <row r="230" ht="15" customHeight="1">
      <c r="A230" t="inlineStr">
        <is>
          <t>A 11040-2023</t>
        </is>
      </c>
      <c r="B230" t="inlineStr">
        <is>
          <t>avverkningsanmälan</t>
        </is>
      </c>
      <c r="C230" t="inlineStr">
        <is>
          <t>Föryngringsavverkning</t>
        </is>
      </c>
      <c r="D230" s="1" t="n">
        <v>44991</v>
      </c>
      <c r="E230" s="1" t="n">
        <v>46220</v>
      </c>
      <c r="F230" t="inlineStr">
        <is>
          <t>JÄMTLANDS LÄN</t>
        </is>
      </c>
      <c r="G230" t="inlineStr">
        <is>
          <t>RAGUNDA</t>
        </is>
      </c>
      <c r="H230" t="inlineStr">
        <is>
          <t>SCA</t>
        </is>
      </c>
      <c r="I230" t="n">
        <v>10.2</v>
      </c>
      <c r="J230" t="n">
        <v>0</v>
      </c>
      <c r="K230" t="n">
        <v>0</v>
      </c>
      <c r="L230" t="n">
        <v>1</v>
      </c>
      <c r="M230" t="n">
        <v>0</v>
      </c>
      <c r="N230" t="n">
        <v>0</v>
      </c>
      <c r="O230" t="n">
        <v>0</v>
      </c>
      <c r="P230" t="n">
        <v>0</v>
      </c>
      <c r="Q230" t="n">
        <v>1</v>
      </c>
      <c r="R230" t="n">
        <v>0</v>
      </c>
      <c r="S230" t="n">
        <v>1</v>
      </c>
      <c r="T230" t="n">
        <v>1</v>
      </c>
      <c r="U230" s="2" t="inlineStr">
        <is>
          <t>Lunglav</t>
        </is>
      </c>
      <c r="V230">
        <f>HYPERLINK("https://klasma.github.io/Logging_2303/artfynd/A 11040-2023 artfynd.xlsx", "A 11040-2023")</f>
        <v/>
      </c>
      <c r="W230">
        <f>HYPERLINK("https://klasma.github.io/Logging_2303/kartor/A 11040-2023 karta.png", "A 11040-2023")</f>
        <v/>
      </c>
      <c r="Y230">
        <f>HYPERLINK("https://klasma.github.io/Logging_2303/klagomål/A 11040-2023 FSC-klagomål.docx", "A 11040-2023")</f>
        <v/>
      </c>
      <c r="Z230">
        <f>HYPERLINK("https://klasma.github.io/Logging_2303/klagomålsmail/A 11040-2023 FSC-klagomål mail.docx", "A 11040-2023")</f>
        <v/>
      </c>
      <c r="AA230">
        <f>HYPERLINK("https://klasma.github.io/Logging_2303/tillsyn/A 11040-2023 tillsynsbegäran.docx", "A 11040-2023")</f>
        <v/>
      </c>
      <c r="AB230">
        <f>HYPERLINK("https://klasma.github.io/Logging_2303/tillsynsmail/A 11040-2023 tillsynsbegäran mail.docx", "A 11040-2023")</f>
        <v/>
      </c>
    </row>
    <row r="231" ht="15" customHeight="1">
      <c r="A231" t="inlineStr">
        <is>
          <t>A 36975-2023</t>
        </is>
      </c>
      <c r="B231" t="inlineStr">
        <is>
          <t>avverkningsanmälan</t>
        </is>
      </c>
      <c r="C231" t="inlineStr">
        <is>
          <t>Avverkning för att bevara och utveckla /försöksver</t>
        </is>
      </c>
      <c r="D231" s="1" t="n">
        <v>45154</v>
      </c>
      <c r="E231" s="1" t="n">
        <v>46220</v>
      </c>
      <c r="F231" t="inlineStr">
        <is>
          <t>JÄMTLANDS LÄN</t>
        </is>
      </c>
      <c r="G231" t="inlineStr">
        <is>
          <t>RAGUNDA</t>
        </is>
      </c>
      <c r="H231" t="inlineStr">
        <is>
          <t>SCA</t>
        </is>
      </c>
      <c r="I231" t="n">
        <v>3.8</v>
      </c>
      <c r="J231" t="n">
        <v>0</v>
      </c>
      <c r="K231" t="n">
        <v>0</v>
      </c>
      <c r="L231" t="n">
        <v>0</v>
      </c>
      <c r="M231" t="n">
        <v>1</v>
      </c>
      <c r="N231" t="n">
        <v>0</v>
      </c>
      <c r="O231" t="n">
        <v>0</v>
      </c>
      <c r="P231" t="n">
        <v>0</v>
      </c>
      <c r="Q231" t="n">
        <v>1</v>
      </c>
      <c r="R231" t="n">
        <v>1</v>
      </c>
      <c r="S231" t="n">
        <v>1</v>
      </c>
      <c r="T231" t="n">
        <v>1</v>
      </c>
      <c r="U231" s="2" t="inlineStr">
        <is>
          <t>Gräddporing</t>
        </is>
      </c>
      <c r="V231">
        <f>HYPERLINK("https://klasma.github.io/Logging_2303/artfynd/A 36975-2023 artfynd.xlsx", "A 36975-2023")</f>
        <v/>
      </c>
      <c r="W231">
        <f>HYPERLINK("https://klasma.github.io/Logging_2303/kartor/A 36975-2023 karta.png", "A 36975-2023")</f>
        <v/>
      </c>
      <c r="Y231">
        <f>HYPERLINK("https://klasma.github.io/Logging_2303/klagomål/A 36975-2023 FSC-klagomål.docx", "A 36975-2023")</f>
        <v/>
      </c>
      <c r="Z231">
        <f>HYPERLINK("https://klasma.github.io/Logging_2303/klagomålsmail/A 36975-2023 FSC-klagomål mail.docx", "A 36975-2023")</f>
        <v/>
      </c>
      <c r="AA231">
        <f>HYPERLINK("https://klasma.github.io/Logging_2303/tillsyn/A 36975-2023 tillsynsbegäran.docx", "A 36975-2023")</f>
        <v/>
      </c>
      <c r="AB231">
        <f>HYPERLINK("https://klasma.github.io/Logging_2303/tillsynsmail/A 36975-2023 tillsynsbegäran mail.docx", "A 36975-2023")</f>
        <v/>
      </c>
    </row>
    <row r="232" ht="15" customHeight="1">
      <c r="A232" t="inlineStr">
        <is>
          <t>A 36224-2023</t>
        </is>
      </c>
      <c r="B232" t="inlineStr">
        <is>
          <t>avverkningsanmälan</t>
        </is>
      </c>
      <c r="C232" t="inlineStr">
        <is>
          <t>Avverkning för att bevara och utveckla /försöksver</t>
        </is>
      </c>
      <c r="D232" s="1" t="n">
        <v>45149</v>
      </c>
      <c r="E232" s="1" t="n">
        <v>46220</v>
      </c>
      <c r="F232" t="inlineStr">
        <is>
          <t>JÄMTLANDS LÄN</t>
        </is>
      </c>
      <c r="G232" t="inlineStr">
        <is>
          <t>RAGUNDA</t>
        </is>
      </c>
      <c r="H232" t="inlineStr">
        <is>
          <t>SCA</t>
        </is>
      </c>
      <c r="I232" t="n">
        <v>8.1</v>
      </c>
      <c r="J232" t="n">
        <v>0</v>
      </c>
      <c r="K232" t="n">
        <v>0</v>
      </c>
      <c r="L232" t="n">
        <v>0</v>
      </c>
      <c r="M232" t="n">
        <v>1</v>
      </c>
      <c r="N232" t="n">
        <v>0</v>
      </c>
      <c r="O232" t="n">
        <v>0</v>
      </c>
      <c r="P232" t="n">
        <v>0</v>
      </c>
      <c r="Q232" t="n">
        <v>1</v>
      </c>
      <c r="R232" t="n">
        <v>1</v>
      </c>
      <c r="S232" t="n">
        <v>1</v>
      </c>
      <c r="T232" t="n">
        <v>2</v>
      </c>
      <c r="U232" s="2" t="inlineStr">
        <is>
          <t>Garnlav</t>
        </is>
      </c>
      <c r="V232">
        <f>HYPERLINK("https://klasma.github.io/Logging_2303/artfynd/A 36224-2023 artfynd.xlsx", "A 36224-2023")</f>
        <v/>
      </c>
      <c r="W232">
        <f>HYPERLINK("https://klasma.github.io/Logging_2303/kartor/A 36224-2023 karta.png", "A 36224-2023")</f>
        <v/>
      </c>
      <c r="Y232">
        <f>HYPERLINK("https://klasma.github.io/Logging_2303/klagomål/A 36224-2023 FSC-klagomål.docx", "A 36224-2023")</f>
        <v/>
      </c>
      <c r="Z232">
        <f>HYPERLINK("https://klasma.github.io/Logging_2303/klagomålsmail/A 36224-2023 FSC-klagomål mail.docx", "A 36224-2023")</f>
        <v/>
      </c>
      <c r="AA232">
        <f>HYPERLINK("https://klasma.github.io/Logging_2303/tillsyn/A 36224-2023 tillsynsbegäran.docx", "A 36224-2023")</f>
        <v/>
      </c>
      <c r="AB232">
        <f>HYPERLINK("https://klasma.github.io/Logging_2303/tillsynsmail/A 36224-2023 tillsynsbegäran mail.docx", "A 36224-2023")</f>
        <v/>
      </c>
    </row>
    <row r="233" ht="15" customHeight="1">
      <c r="A233" t="inlineStr">
        <is>
          <t>A 19263-2025</t>
        </is>
      </c>
      <c r="B233" t="inlineStr">
        <is>
          <t>avverkningsanmälan</t>
        </is>
      </c>
      <c r="C233" t="inlineStr">
        <is>
          <t>Föryngringsavverkning</t>
        </is>
      </c>
      <c r="D233" s="1" t="n">
        <v>45769</v>
      </c>
      <c r="E233" s="1" t="n">
        <v>46220</v>
      </c>
      <c r="F233" t="inlineStr">
        <is>
          <t>JÄMTLANDS LÄN</t>
        </is>
      </c>
      <c r="G233" t="inlineStr">
        <is>
          <t>RAGUNDA</t>
        </is>
      </c>
      <c r="H233" t="inlineStr">
        <is>
          <t>SCA</t>
        </is>
      </c>
      <c r="I233" t="n">
        <v>1</v>
      </c>
      <c r="J233" t="n">
        <v>0</v>
      </c>
      <c r="K233" t="n">
        <v>0</v>
      </c>
      <c r="L233" t="n">
        <v>1</v>
      </c>
      <c r="M233" t="n">
        <v>0</v>
      </c>
      <c r="N233" t="n">
        <v>0</v>
      </c>
      <c r="O233" t="n">
        <v>0</v>
      </c>
      <c r="P233" t="n">
        <v>0</v>
      </c>
      <c r="Q233" t="n">
        <v>1</v>
      </c>
      <c r="R233" t="n">
        <v>0</v>
      </c>
      <c r="S233" t="n">
        <v>1</v>
      </c>
      <c r="T233" t="n">
        <v>1</v>
      </c>
      <c r="U233" s="2" t="inlineStr">
        <is>
          <t>Vitgrynig nållav</t>
        </is>
      </c>
      <c r="V233">
        <f>HYPERLINK("https://klasma.github.io/Logging_2303/artfynd/A 19263-2025 artfynd.xlsx", "A 19263-2025")</f>
        <v/>
      </c>
      <c r="W233">
        <f>HYPERLINK("https://klasma.github.io/Logging_2303/kartor/A 19263-2025 karta.png", "A 19263-2025")</f>
        <v/>
      </c>
      <c r="Y233">
        <f>HYPERLINK("https://klasma.github.io/Logging_2303/klagomål/A 19263-2025 FSC-klagomål.docx", "A 19263-2025")</f>
        <v/>
      </c>
      <c r="Z233">
        <f>HYPERLINK("https://klasma.github.io/Logging_2303/klagomålsmail/A 19263-2025 FSC-klagomål mail.docx", "A 19263-2025")</f>
        <v/>
      </c>
      <c r="AA233">
        <f>HYPERLINK("https://klasma.github.io/Logging_2303/tillsyn/A 19263-2025 tillsynsbegäran.docx", "A 19263-2025")</f>
        <v/>
      </c>
      <c r="AB233">
        <f>HYPERLINK("https://klasma.github.io/Logging_2303/tillsynsmail/A 19263-2025 tillsynsbegäran mail.docx", "A 19263-2025")</f>
        <v/>
      </c>
    </row>
    <row r="234" ht="15" customHeight="1">
      <c r="A234" t="inlineStr">
        <is>
          <t>A 25631-2025</t>
        </is>
      </c>
      <c r="B234" t="inlineStr">
        <is>
          <t>avverkningsanmälan</t>
        </is>
      </c>
      <c r="C234" t="inlineStr">
        <is>
          <t>Föryngringsavverkning</t>
        </is>
      </c>
      <c r="D234" s="1" t="n">
        <v>45803</v>
      </c>
      <c r="E234" s="1" t="n">
        <v>46220</v>
      </c>
      <c r="F234" t="inlineStr">
        <is>
          <t>JÄMTLANDS LÄN</t>
        </is>
      </c>
      <c r="G234" t="inlineStr">
        <is>
          <t>RAGUNDA</t>
        </is>
      </c>
      <c r="I234" t="n">
        <v>1.1</v>
      </c>
      <c r="J234" t="n">
        <v>1</v>
      </c>
      <c r="K234" t="n">
        <v>0</v>
      </c>
      <c r="L234" t="n">
        <v>0</v>
      </c>
      <c r="M234" t="n">
        <v>0</v>
      </c>
      <c r="N234" t="n">
        <v>0</v>
      </c>
      <c r="O234" t="n">
        <v>0</v>
      </c>
      <c r="P234" t="n">
        <v>0</v>
      </c>
      <c r="Q234" t="n">
        <v>0</v>
      </c>
      <c r="R234" t="n">
        <v>0</v>
      </c>
      <c r="S234" t="n">
        <v>1</v>
      </c>
      <c r="T234" t="n">
        <v>1</v>
      </c>
      <c r="U234" s="2" t="inlineStr">
        <is>
          <t>Kungsfågel</t>
        </is>
      </c>
      <c r="V234">
        <f>HYPERLINK("https://klasma.github.io/Logging_2303/artfynd/A 25631-2025 artfynd.xlsx", "A 25631-2025")</f>
        <v/>
      </c>
      <c r="W234">
        <f>HYPERLINK("https://klasma.github.io/Logging_2303/kartor/A 25631-2025 karta.png", "A 25631-2025")</f>
        <v/>
      </c>
      <c r="Y234">
        <f>HYPERLINK("https://klasma.github.io/Logging_2303/klagomål/A 25631-2025 FSC-klagomål.docx", "A 25631-2025")</f>
        <v/>
      </c>
      <c r="Z234">
        <f>HYPERLINK("https://klasma.github.io/Logging_2303/klagomålsmail/A 25631-2025 FSC-klagomål mail.docx", "A 25631-2025")</f>
        <v/>
      </c>
      <c r="AA234">
        <f>HYPERLINK("https://klasma.github.io/Logging_2303/tillsyn/A 25631-2025 tillsynsbegäran.docx", "A 25631-2025")</f>
        <v/>
      </c>
      <c r="AB234">
        <f>HYPERLINK("https://klasma.github.io/Logging_2303/tillsynsmail/A 25631-2025 tillsynsbegäran mail.docx", "A 25631-2025")</f>
        <v/>
      </c>
    </row>
    <row r="235" ht="15" customHeight="1">
      <c r="A235" t="inlineStr">
        <is>
          <t>A 5148-2023</t>
        </is>
      </c>
      <c r="B235" t="inlineStr">
        <is>
          <t>avverkningsanmälan</t>
        </is>
      </c>
      <c r="C235" t="inlineStr">
        <is>
          <t>Föryngringsavverkning</t>
        </is>
      </c>
      <c r="D235" s="1" t="n">
        <v>44958</v>
      </c>
      <c r="E235" s="1" t="n">
        <v>46220</v>
      </c>
      <c r="F235" t="inlineStr">
        <is>
          <t>JÄMTLANDS LÄN</t>
        </is>
      </c>
      <c r="G235" t="inlineStr">
        <is>
          <t>RAGUNDA</t>
        </is>
      </c>
      <c r="I235" t="n">
        <v>2.9</v>
      </c>
      <c r="J235" t="n">
        <v>1</v>
      </c>
      <c r="K235" t="n">
        <v>0</v>
      </c>
      <c r="L235" t="n">
        <v>1</v>
      </c>
      <c r="M235" t="n">
        <v>0</v>
      </c>
      <c r="N235" t="n">
        <v>0</v>
      </c>
      <c r="O235" t="n">
        <v>0</v>
      </c>
      <c r="P235" t="n">
        <v>0</v>
      </c>
      <c r="Q235" t="n">
        <v>1</v>
      </c>
      <c r="R235" t="n">
        <v>0</v>
      </c>
      <c r="S235" t="n">
        <v>1</v>
      </c>
      <c r="T235" t="n">
        <v>1</v>
      </c>
      <c r="U235" s="2" t="inlineStr">
        <is>
          <t>Rödvingetrast</t>
        </is>
      </c>
      <c r="V235">
        <f>HYPERLINK("https://klasma.github.io/Logging_2303/artfynd/A 5148-2023 artfynd.xlsx", "A 5148-2023")</f>
        <v/>
      </c>
      <c r="W235">
        <f>HYPERLINK("https://klasma.github.io/Logging_2303/kartor/A 5148-2023 karta.png", "A 5148-2023")</f>
        <v/>
      </c>
      <c r="Y235">
        <f>HYPERLINK("https://klasma.github.io/Logging_2303/klagomål/A 5148-2023 FSC-klagomål.docx", "A 5148-2023")</f>
        <v/>
      </c>
      <c r="Z235">
        <f>HYPERLINK("https://klasma.github.io/Logging_2303/klagomålsmail/A 5148-2023 FSC-klagomål mail.docx", "A 5148-2023")</f>
        <v/>
      </c>
      <c r="AA235">
        <f>HYPERLINK("https://klasma.github.io/Logging_2303/tillsyn/A 5148-2023 tillsynsbegäran.docx", "A 5148-2023")</f>
        <v/>
      </c>
      <c r="AB235">
        <f>HYPERLINK("https://klasma.github.io/Logging_2303/tillsynsmail/A 5148-2023 tillsynsbegäran mail.docx", "A 5148-2023")</f>
        <v/>
      </c>
      <c r="AC235">
        <f>HYPERLINK("https://klasma.github.io/Logging_2303/fåglar/A 5148-2023 prioriterade fågelarter.docx", "A 5148-2023")</f>
        <v/>
      </c>
    </row>
    <row r="236" ht="15" customHeight="1">
      <c r="A236" t="inlineStr">
        <is>
          <t>A 25152-2025</t>
        </is>
      </c>
      <c r="B236" t="inlineStr">
        <is>
          <t>avverkningsanmälan</t>
        </is>
      </c>
      <c r="C236" t="inlineStr">
        <is>
          <t>Föryngringsavverkning</t>
        </is>
      </c>
      <c r="D236" s="1" t="n">
        <v>45800</v>
      </c>
      <c r="E236" s="1" t="n">
        <v>46220</v>
      </c>
      <c r="F236" t="inlineStr">
        <is>
          <t>JÄMTLANDS LÄN</t>
        </is>
      </c>
      <c r="G236" t="inlineStr">
        <is>
          <t>RAGUNDA</t>
        </is>
      </c>
      <c r="H236" t="inlineStr">
        <is>
          <t>SCA</t>
        </is>
      </c>
      <c r="I236" t="n">
        <v>1.1</v>
      </c>
      <c r="J236" t="n">
        <v>0</v>
      </c>
      <c r="K236" t="n">
        <v>0</v>
      </c>
      <c r="L236" t="n">
        <v>1</v>
      </c>
      <c r="M236" t="n">
        <v>0</v>
      </c>
      <c r="N236" t="n">
        <v>0</v>
      </c>
      <c r="O236" t="n">
        <v>0</v>
      </c>
      <c r="P236" t="n">
        <v>0</v>
      </c>
      <c r="Q236" t="n">
        <v>1</v>
      </c>
      <c r="R236" t="n">
        <v>0</v>
      </c>
      <c r="S236" t="n">
        <v>1</v>
      </c>
      <c r="T236" t="n">
        <v>1</v>
      </c>
      <c r="U236" s="2" t="inlineStr">
        <is>
          <t>Kötticka</t>
        </is>
      </c>
      <c r="V236">
        <f>HYPERLINK("https://klasma.github.io/Logging_2303/artfynd/A 25152-2025 artfynd.xlsx", "A 25152-2025")</f>
        <v/>
      </c>
      <c r="W236">
        <f>HYPERLINK("https://klasma.github.io/Logging_2303/kartor/A 25152-2025 karta.png", "A 25152-2025")</f>
        <v/>
      </c>
      <c r="Y236">
        <f>HYPERLINK("https://klasma.github.io/Logging_2303/klagomål/A 25152-2025 FSC-klagomål.docx", "A 25152-2025")</f>
        <v/>
      </c>
      <c r="Z236">
        <f>HYPERLINK("https://klasma.github.io/Logging_2303/klagomålsmail/A 25152-2025 FSC-klagomål mail.docx", "A 25152-2025")</f>
        <v/>
      </c>
      <c r="AA236">
        <f>HYPERLINK("https://klasma.github.io/Logging_2303/tillsyn/A 25152-2025 tillsynsbegäran.docx", "A 25152-2025")</f>
        <v/>
      </c>
      <c r="AB236">
        <f>HYPERLINK("https://klasma.github.io/Logging_2303/tillsynsmail/A 25152-2025 tillsynsbegäran mail.docx", "A 25152-2025")</f>
        <v/>
      </c>
    </row>
    <row r="237" ht="15" customHeight="1">
      <c r="A237" t="inlineStr">
        <is>
          <t>A 25994-2025</t>
        </is>
      </c>
      <c r="B237" t="inlineStr">
        <is>
          <t>avverkningsanmälan</t>
        </is>
      </c>
      <c r="C237" t="inlineStr">
        <is>
          <t>Föryngringsavverkning</t>
        </is>
      </c>
      <c r="D237" s="1" t="n">
        <v>45804</v>
      </c>
      <c r="E237" s="1" t="n">
        <v>46220</v>
      </c>
      <c r="F237" t="inlineStr">
        <is>
          <t>JÄMTLANDS LÄN</t>
        </is>
      </c>
      <c r="G237" t="inlineStr">
        <is>
          <t>RAGUNDA</t>
        </is>
      </c>
      <c r="H237" t="inlineStr">
        <is>
          <t>SCA</t>
        </is>
      </c>
      <c r="I237" t="n">
        <v>1.5</v>
      </c>
      <c r="J237" t="n">
        <v>0</v>
      </c>
      <c r="K237" t="n">
        <v>0</v>
      </c>
      <c r="L237" t="n">
        <v>1</v>
      </c>
      <c r="M237" t="n">
        <v>0</v>
      </c>
      <c r="N237" t="n">
        <v>0</v>
      </c>
      <c r="O237" t="n">
        <v>0</v>
      </c>
      <c r="P237" t="n">
        <v>0</v>
      </c>
      <c r="Q237" t="n">
        <v>1</v>
      </c>
      <c r="R237" t="n">
        <v>0</v>
      </c>
      <c r="S237" t="n">
        <v>1</v>
      </c>
      <c r="T237" t="n">
        <v>1</v>
      </c>
      <c r="U237" s="2" t="inlineStr">
        <is>
          <t>Ullticka</t>
        </is>
      </c>
      <c r="V237">
        <f>HYPERLINK("https://klasma.github.io/Logging_2303/artfynd/A 25994-2025 artfynd.xlsx", "A 25994-2025")</f>
        <v/>
      </c>
      <c r="W237">
        <f>HYPERLINK("https://klasma.github.io/Logging_2303/kartor/A 25994-2025 karta.png", "A 25994-2025")</f>
        <v/>
      </c>
      <c r="Y237">
        <f>HYPERLINK("https://klasma.github.io/Logging_2303/klagomål/A 25994-2025 FSC-klagomål.docx", "A 25994-2025")</f>
        <v/>
      </c>
      <c r="Z237">
        <f>HYPERLINK("https://klasma.github.io/Logging_2303/klagomålsmail/A 25994-2025 FSC-klagomål mail.docx", "A 25994-2025")</f>
        <v/>
      </c>
      <c r="AA237">
        <f>HYPERLINK("https://klasma.github.io/Logging_2303/tillsyn/A 25994-2025 tillsynsbegäran.docx", "A 25994-2025")</f>
        <v/>
      </c>
      <c r="AB237">
        <f>HYPERLINK("https://klasma.github.io/Logging_2303/tillsynsmail/A 25994-2025 tillsynsbegäran mail.docx", "A 25994-2025")</f>
        <v/>
      </c>
    </row>
    <row r="238" ht="15" customHeight="1">
      <c r="A238" t="inlineStr">
        <is>
          <t>A 43404-2023</t>
        </is>
      </c>
      <c r="B238" t="inlineStr">
        <is>
          <t>avverkningsanmälan</t>
        </is>
      </c>
      <c r="C238" t="inlineStr">
        <is>
          <t>Föryngringsavverkning</t>
        </is>
      </c>
      <c r="D238" s="1" t="n">
        <v>45183</v>
      </c>
      <c r="E238" s="1" t="n">
        <v>46220</v>
      </c>
      <c r="F238" t="inlineStr">
        <is>
          <t>JÄMTLANDS LÄN</t>
        </is>
      </c>
      <c r="G238" t="inlineStr">
        <is>
          <t>RAGUNDA</t>
        </is>
      </c>
      <c r="H238" t="inlineStr">
        <is>
          <t>SCA</t>
        </is>
      </c>
      <c r="I238" t="n">
        <v>0.9</v>
      </c>
      <c r="J238" t="n">
        <v>0</v>
      </c>
      <c r="K238" t="n">
        <v>0</v>
      </c>
      <c r="L238" t="n">
        <v>1</v>
      </c>
      <c r="M238" t="n">
        <v>0</v>
      </c>
      <c r="N238" t="n">
        <v>0</v>
      </c>
      <c r="O238" t="n">
        <v>0</v>
      </c>
      <c r="P238" t="n">
        <v>0</v>
      </c>
      <c r="Q238" t="n">
        <v>1</v>
      </c>
      <c r="R238" t="n">
        <v>0</v>
      </c>
      <c r="S238" t="n">
        <v>1</v>
      </c>
      <c r="T238" t="n">
        <v>1</v>
      </c>
      <c r="U238" s="2" t="inlineStr">
        <is>
          <t>Kryddspindling</t>
        </is>
      </c>
      <c r="V238">
        <f>HYPERLINK("https://klasma.github.io/Logging_2303/artfynd/A 43404-2023 artfynd.xlsx", "A 43404-2023")</f>
        <v/>
      </c>
      <c r="W238">
        <f>HYPERLINK("https://klasma.github.io/Logging_2303/kartor/A 43404-2023 karta.png", "A 43404-2023")</f>
        <v/>
      </c>
      <c r="Y238">
        <f>HYPERLINK("https://klasma.github.io/Logging_2303/klagomål/A 43404-2023 FSC-klagomål.docx", "A 43404-2023")</f>
        <v/>
      </c>
      <c r="Z238">
        <f>HYPERLINK("https://klasma.github.io/Logging_2303/klagomålsmail/A 43404-2023 FSC-klagomål mail.docx", "A 43404-2023")</f>
        <v/>
      </c>
      <c r="AA238">
        <f>HYPERLINK("https://klasma.github.io/Logging_2303/tillsyn/A 43404-2023 tillsynsbegäran.docx", "A 43404-2023")</f>
        <v/>
      </c>
      <c r="AB238">
        <f>HYPERLINK("https://klasma.github.io/Logging_2303/tillsynsmail/A 43404-2023 tillsynsbegäran mail.docx", "A 43404-2023")</f>
        <v/>
      </c>
    </row>
    <row r="239" ht="15" customHeight="1">
      <c r="A239" t="inlineStr">
        <is>
          <t>A 2123-2026</t>
        </is>
      </c>
      <c r="B239" t="inlineStr">
        <is>
          <t>avverkningsanmälan</t>
        </is>
      </c>
      <c r="C239" t="inlineStr">
        <is>
          <t>Föryngringsavverkning</t>
        </is>
      </c>
      <c r="D239" s="1" t="n">
        <v>46036</v>
      </c>
      <c r="E239" s="1" t="n">
        <v>46220</v>
      </c>
      <c r="F239" t="inlineStr">
        <is>
          <t>JÄMTLANDS LÄN</t>
        </is>
      </c>
      <c r="G239" t="inlineStr">
        <is>
          <t>RAGUNDA</t>
        </is>
      </c>
      <c r="H239" t="inlineStr">
        <is>
          <t>SCA</t>
        </is>
      </c>
      <c r="I239" t="n">
        <v>5.1</v>
      </c>
      <c r="J239" t="n">
        <v>0</v>
      </c>
      <c r="K239" t="n">
        <v>0</v>
      </c>
      <c r="L239" t="n">
        <v>1</v>
      </c>
      <c r="M239" t="n">
        <v>0</v>
      </c>
      <c r="N239" t="n">
        <v>0</v>
      </c>
      <c r="O239" t="n">
        <v>0</v>
      </c>
      <c r="P239" t="n">
        <v>0</v>
      </c>
      <c r="Q239" t="n">
        <v>1</v>
      </c>
      <c r="R239" t="n">
        <v>0</v>
      </c>
      <c r="S239" t="n">
        <v>1</v>
      </c>
      <c r="T239" t="n">
        <v>2</v>
      </c>
      <c r="U239" s="2" t="inlineStr">
        <is>
          <t>Klådris</t>
        </is>
      </c>
      <c r="V239">
        <f>HYPERLINK("https://klasma.github.io/Logging_2303/artfynd/A 2123-2026 artfynd.xlsx", "A 2123-2026")</f>
        <v/>
      </c>
      <c r="W239">
        <f>HYPERLINK("https://klasma.github.io/Logging_2303/kartor/A 2123-2026 karta.png", "A 2123-2026")</f>
        <v/>
      </c>
      <c r="Y239">
        <f>HYPERLINK("https://klasma.github.io/Logging_2303/klagomål/A 2123-2026 FSC-klagomål.docx", "A 2123-2026")</f>
        <v/>
      </c>
      <c r="Z239">
        <f>HYPERLINK("https://klasma.github.io/Logging_2303/klagomålsmail/A 2123-2026 FSC-klagomål mail.docx", "A 2123-2026")</f>
        <v/>
      </c>
      <c r="AA239">
        <f>HYPERLINK("https://klasma.github.io/Logging_2303/tillsyn/A 2123-2026 tillsynsbegäran.docx", "A 2123-2026")</f>
        <v/>
      </c>
      <c r="AB239">
        <f>HYPERLINK("https://klasma.github.io/Logging_2303/tillsynsmail/A 2123-2026 tillsynsbegäran mail.docx", "A 2123-2026")</f>
        <v/>
      </c>
    </row>
    <row r="240" ht="15" customHeight="1">
      <c r="A240" t="inlineStr">
        <is>
          <t>A 41656-2025</t>
        </is>
      </c>
      <c r="B240" t="inlineStr">
        <is>
          <t>avverkningsanmälan</t>
        </is>
      </c>
      <c r="C240" t="inlineStr">
        <is>
          <t>Föryngringsavverkning</t>
        </is>
      </c>
      <c r="D240" s="1" t="n">
        <v>45902</v>
      </c>
      <c r="E240" s="1" t="n">
        <v>46220</v>
      </c>
      <c r="F240" t="inlineStr">
        <is>
          <t>JÄMTLANDS LÄN</t>
        </is>
      </c>
      <c r="G240" t="inlineStr">
        <is>
          <t>RAGUNDA</t>
        </is>
      </c>
      <c r="H240" t="inlineStr">
        <is>
          <t>SCA</t>
        </is>
      </c>
      <c r="I240" t="n">
        <v>1.1</v>
      </c>
      <c r="J240" t="n">
        <v>0</v>
      </c>
      <c r="K240" t="n">
        <v>0</v>
      </c>
      <c r="L240" t="n">
        <v>0</v>
      </c>
      <c r="M240" t="n">
        <v>1</v>
      </c>
      <c r="N240" t="n">
        <v>0</v>
      </c>
      <c r="O240" t="n">
        <v>0</v>
      </c>
      <c r="P240" t="n">
        <v>0</v>
      </c>
      <c r="Q240" t="n">
        <v>1</v>
      </c>
      <c r="R240" t="n">
        <v>1</v>
      </c>
      <c r="S240" t="n">
        <v>1</v>
      </c>
      <c r="T240" t="n">
        <v>1</v>
      </c>
      <c r="U240" s="2" t="inlineStr">
        <is>
          <t>Garnlav</t>
        </is>
      </c>
      <c r="V240">
        <f>HYPERLINK("https://klasma.github.io/Logging_2303/artfynd/A 41656-2025 artfynd.xlsx", "A 41656-2025")</f>
        <v/>
      </c>
      <c r="W240">
        <f>HYPERLINK("https://klasma.github.io/Logging_2303/kartor/A 41656-2025 karta.png", "A 41656-2025")</f>
        <v/>
      </c>
      <c r="Y240">
        <f>HYPERLINK("https://klasma.github.io/Logging_2303/klagomål/A 41656-2025 FSC-klagomål.docx", "A 41656-2025")</f>
        <v/>
      </c>
      <c r="Z240">
        <f>HYPERLINK("https://klasma.github.io/Logging_2303/klagomålsmail/A 41656-2025 FSC-klagomål mail.docx", "A 41656-2025")</f>
        <v/>
      </c>
      <c r="AA240">
        <f>HYPERLINK("https://klasma.github.io/Logging_2303/tillsyn/A 41656-2025 tillsynsbegäran.docx", "A 41656-2025")</f>
        <v/>
      </c>
      <c r="AB240">
        <f>HYPERLINK("https://klasma.github.io/Logging_2303/tillsynsmail/A 41656-2025 tillsynsbegäran mail.docx", "A 41656-2025")</f>
        <v/>
      </c>
    </row>
    <row r="241" ht="15" customHeight="1">
      <c r="A241" t="inlineStr">
        <is>
          <t>A 23930-2024</t>
        </is>
      </c>
      <c r="B241" t="inlineStr">
        <is>
          <t>avverkningsanmälan</t>
        </is>
      </c>
      <c r="C241" t="inlineStr">
        <is>
          <t>Avverkning för att bevara och utveckla /försöksver</t>
        </is>
      </c>
      <c r="D241" s="1" t="n">
        <v>45455</v>
      </c>
      <c r="E241" s="1" t="n">
        <v>46220</v>
      </c>
      <c r="F241" t="inlineStr">
        <is>
          <t>JÄMTLANDS LÄN</t>
        </is>
      </c>
      <c r="G241" t="inlineStr">
        <is>
          <t>RAGUNDA</t>
        </is>
      </c>
      <c r="H241" t="inlineStr">
        <is>
          <t>SCA</t>
        </is>
      </c>
      <c r="I241" t="n">
        <v>4.2</v>
      </c>
      <c r="J241" t="n">
        <v>1</v>
      </c>
      <c r="K241" t="n">
        <v>1</v>
      </c>
      <c r="L241" t="n">
        <v>0</v>
      </c>
      <c r="M241" t="n">
        <v>0</v>
      </c>
      <c r="N241" t="n">
        <v>0</v>
      </c>
      <c r="O241" t="n">
        <v>0</v>
      </c>
      <c r="P241" t="n">
        <v>0</v>
      </c>
      <c r="Q241" t="n">
        <v>0</v>
      </c>
      <c r="R241" t="n">
        <v>0</v>
      </c>
      <c r="S241" t="n">
        <v>1</v>
      </c>
      <c r="T241" t="n">
        <v>12</v>
      </c>
      <c r="U241" s="2" t="inlineStr">
        <is>
          <t>Guckusko</t>
        </is>
      </c>
      <c r="V241">
        <f>HYPERLINK("https://klasma.github.io/Logging_2303/artfynd/A 23930-2024 artfynd.xlsx", "A 23930-2024")</f>
        <v/>
      </c>
      <c r="W241">
        <f>HYPERLINK("https://klasma.github.io/Logging_2303/kartor/A 23930-2024 karta.png", "A 23930-2024")</f>
        <v/>
      </c>
      <c r="Y241">
        <f>HYPERLINK("https://klasma.github.io/Logging_2303/klagomål/A 23930-2024 FSC-klagomål.docx", "A 23930-2024")</f>
        <v/>
      </c>
      <c r="Z241">
        <f>HYPERLINK("https://klasma.github.io/Logging_2303/klagomålsmail/A 23930-2024 FSC-klagomål mail.docx", "A 23930-2024")</f>
        <v/>
      </c>
      <c r="AA241">
        <f>HYPERLINK("https://klasma.github.io/Logging_2303/tillsyn/A 23930-2024 tillsynsbegäran.docx", "A 23930-2024")</f>
        <v/>
      </c>
      <c r="AB241">
        <f>HYPERLINK("https://klasma.github.io/Logging_2303/tillsynsmail/A 23930-2024 tillsynsbegäran mail.docx", "A 23930-2024")</f>
        <v/>
      </c>
    </row>
    <row r="242" ht="15" customHeight="1">
      <c r="A242" t="inlineStr">
        <is>
          <t>A 2097-2026</t>
        </is>
      </c>
      <c r="B242" t="inlineStr">
        <is>
          <t>avverkningsanmälan</t>
        </is>
      </c>
      <c r="C242" t="inlineStr">
        <is>
          <t>Föryngringsavverkning</t>
        </is>
      </c>
      <c r="D242" s="1" t="n">
        <v>46036</v>
      </c>
      <c r="E242" s="1" t="n">
        <v>46220</v>
      </c>
      <c r="F242" t="inlineStr">
        <is>
          <t>JÄMTLANDS LÄN</t>
        </is>
      </c>
      <c r="G242" t="inlineStr">
        <is>
          <t>RAGUNDA</t>
        </is>
      </c>
      <c r="H242" t="inlineStr">
        <is>
          <t>SCA</t>
        </is>
      </c>
      <c r="I242" t="n">
        <v>0.9</v>
      </c>
      <c r="J242" t="n">
        <v>0</v>
      </c>
      <c r="K242" t="n">
        <v>0</v>
      </c>
      <c r="L242" t="n">
        <v>0</v>
      </c>
      <c r="M242" t="n">
        <v>0</v>
      </c>
      <c r="N242" t="n">
        <v>1</v>
      </c>
      <c r="O242" t="n">
        <v>0</v>
      </c>
      <c r="P242" t="n">
        <v>0</v>
      </c>
      <c r="Q242" t="n">
        <v>1</v>
      </c>
      <c r="R242" t="n">
        <v>1</v>
      </c>
      <c r="S242" t="n">
        <v>1</v>
      </c>
      <c r="T242" t="n">
        <v>1</v>
      </c>
      <c r="U242" s="2" t="inlineStr">
        <is>
          <t>Trolldruvemätare</t>
        </is>
      </c>
      <c r="V242">
        <f>HYPERLINK("https://klasma.github.io/Logging_2303/artfynd/A 2097-2026 artfynd.xlsx", "A 2097-2026")</f>
        <v/>
      </c>
      <c r="W242">
        <f>HYPERLINK("https://klasma.github.io/Logging_2303/kartor/A 2097-2026 karta.png", "A 2097-2026")</f>
        <v/>
      </c>
      <c r="Y242">
        <f>HYPERLINK("https://klasma.github.io/Logging_2303/klagomål/A 2097-2026 FSC-klagomål.docx", "A 2097-2026")</f>
        <v/>
      </c>
      <c r="Z242">
        <f>HYPERLINK("https://klasma.github.io/Logging_2303/klagomålsmail/A 2097-2026 FSC-klagomål mail.docx", "A 2097-2026")</f>
        <v/>
      </c>
      <c r="AA242">
        <f>HYPERLINK("https://klasma.github.io/Logging_2303/tillsyn/A 2097-2026 tillsynsbegäran.docx", "A 2097-2026")</f>
        <v/>
      </c>
      <c r="AB242">
        <f>HYPERLINK("https://klasma.github.io/Logging_2303/tillsynsmail/A 2097-2026 tillsynsbegäran mail.docx", "A 2097-2026")</f>
        <v/>
      </c>
    </row>
    <row r="243" ht="15" customHeight="1">
      <c r="A243" t="inlineStr">
        <is>
          <t>A 32655-2025</t>
        </is>
      </c>
      <c r="B243" t="inlineStr">
        <is>
          <t>avverkningsanmälan</t>
        </is>
      </c>
      <c r="C243" t="inlineStr">
        <is>
          <t>Föryngringsavverkning</t>
        </is>
      </c>
      <c r="D243" s="1" t="n">
        <v>45838</v>
      </c>
      <c r="E243" s="1" t="n">
        <v>46220</v>
      </c>
      <c r="F243" t="inlineStr">
        <is>
          <t>JÄMTLANDS LÄN</t>
        </is>
      </c>
      <c r="G243" t="inlineStr">
        <is>
          <t>RAGUNDA</t>
        </is>
      </c>
      <c r="I243" t="n">
        <v>2.8</v>
      </c>
      <c r="J243" t="n">
        <v>1</v>
      </c>
      <c r="K243" t="n">
        <v>1</v>
      </c>
      <c r="L243" t="n">
        <v>0</v>
      </c>
      <c r="M243" t="n">
        <v>0</v>
      </c>
      <c r="N243" t="n">
        <v>0</v>
      </c>
      <c r="O243" t="n">
        <v>0</v>
      </c>
      <c r="P243" t="n">
        <v>0</v>
      </c>
      <c r="Q243" t="n">
        <v>0</v>
      </c>
      <c r="R243" t="n">
        <v>0</v>
      </c>
      <c r="S243" t="n">
        <v>1</v>
      </c>
      <c r="T243" t="n">
        <v>1</v>
      </c>
      <c r="U243" s="2" t="inlineStr">
        <is>
          <t>Korallrot</t>
        </is>
      </c>
      <c r="V243">
        <f>HYPERLINK("https://klasma.github.io/Logging_2303/artfynd/A 32655-2025 artfynd.xlsx", "A 32655-2025")</f>
        <v/>
      </c>
      <c r="W243">
        <f>HYPERLINK("https://klasma.github.io/Logging_2303/kartor/A 32655-2025 karta.png", "A 32655-2025")</f>
        <v/>
      </c>
      <c r="Y243">
        <f>HYPERLINK("https://klasma.github.io/Logging_2303/klagomål/A 32655-2025 FSC-klagomål.docx", "A 32655-2025")</f>
        <v/>
      </c>
      <c r="Z243">
        <f>HYPERLINK("https://klasma.github.io/Logging_2303/klagomålsmail/A 32655-2025 FSC-klagomål mail.docx", "A 32655-2025")</f>
        <v/>
      </c>
      <c r="AA243">
        <f>HYPERLINK("https://klasma.github.io/Logging_2303/tillsyn/A 32655-2025 tillsynsbegäran.docx", "A 32655-2025")</f>
        <v/>
      </c>
      <c r="AB243">
        <f>HYPERLINK("https://klasma.github.io/Logging_2303/tillsynsmail/A 32655-2025 tillsynsbegäran mail.docx", "A 32655-2025")</f>
        <v/>
      </c>
    </row>
    <row r="244" ht="15" customHeight="1">
      <c r="A244" t="inlineStr">
        <is>
          <t>A 32445-2025</t>
        </is>
      </c>
      <c r="B244" t="inlineStr">
        <is>
          <t>avverkningsanmälan</t>
        </is>
      </c>
      <c r="C244" t="inlineStr">
        <is>
          <t>Föryngringsavverkning</t>
        </is>
      </c>
      <c r="D244" s="1" t="n">
        <v>45838</v>
      </c>
      <c r="E244" s="1" t="n">
        <v>46220</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s="2" t="inlineStr">
        <is>
          <t>Tretåig hackspett</t>
        </is>
      </c>
      <c r="V244">
        <f>HYPERLINK("https://klasma.github.io/Logging_2303/artfynd/A 32445-2025 artfynd.xlsx", "A 32445-2025")</f>
        <v/>
      </c>
      <c r="W244">
        <f>HYPERLINK("https://klasma.github.io/Logging_2303/kartor/A 32445-2025 karta.png", "A 32445-2025")</f>
        <v/>
      </c>
      <c r="Y244">
        <f>HYPERLINK("https://klasma.github.io/Logging_2303/klagomål/A 32445-2025 FSC-klagomål.docx", "A 32445-2025")</f>
        <v/>
      </c>
      <c r="Z244">
        <f>HYPERLINK("https://klasma.github.io/Logging_2303/klagomålsmail/A 32445-2025 FSC-klagomål mail.docx", "A 32445-2025")</f>
        <v/>
      </c>
      <c r="AA244">
        <f>HYPERLINK("https://klasma.github.io/Logging_2303/tillsyn/A 32445-2025 tillsynsbegäran.docx", "A 32445-2025")</f>
        <v/>
      </c>
      <c r="AB244">
        <f>HYPERLINK("https://klasma.github.io/Logging_2303/tillsynsmail/A 32445-2025 tillsynsbegäran mail.docx", "A 32445-2025")</f>
        <v/>
      </c>
      <c r="AC244">
        <f>HYPERLINK("https://klasma.github.io/Logging_2303/fåglar/A 32445-2025 prioriterade fågelarter.docx", "A 32445-2025")</f>
        <v/>
      </c>
    </row>
    <row r="245" ht="15" customHeight="1">
      <c r="A245" t="inlineStr">
        <is>
          <t>A 23303-2024</t>
        </is>
      </c>
      <c r="B245" t="inlineStr">
        <is>
          <t>avverkningsanmälan</t>
        </is>
      </c>
      <c r="C245" t="inlineStr">
        <is>
          <t>Föryngringsavverkning</t>
        </is>
      </c>
      <c r="D245" s="1" t="n">
        <v>45453</v>
      </c>
      <c r="E245" s="1" t="n">
        <v>46220</v>
      </c>
      <c r="F245" t="inlineStr">
        <is>
          <t>JÄMTLANDS LÄN</t>
        </is>
      </c>
      <c r="G245" t="inlineStr">
        <is>
          <t>RAGUNDA</t>
        </is>
      </c>
      <c r="I245" t="n">
        <v>0.7</v>
      </c>
      <c r="J245" t="n">
        <v>1</v>
      </c>
      <c r="K245" t="n">
        <v>0</v>
      </c>
      <c r="L245" t="n">
        <v>0</v>
      </c>
      <c r="M245" t="n">
        <v>0</v>
      </c>
      <c r="N245" t="n">
        <v>0</v>
      </c>
      <c r="O245" t="n">
        <v>0</v>
      </c>
      <c r="P245" t="n">
        <v>0</v>
      </c>
      <c r="Q245" t="n">
        <v>0</v>
      </c>
      <c r="R245" t="n">
        <v>0</v>
      </c>
      <c r="S245" t="n">
        <v>1</v>
      </c>
      <c r="T245" t="n">
        <v>1</v>
      </c>
      <c r="U245" s="2" t="inlineStr">
        <is>
          <t>Spillkråka</t>
        </is>
      </c>
      <c r="V245">
        <f>HYPERLINK("https://klasma.github.io/Logging_2303/artfynd/A 23303-2024 artfynd.xlsx", "A 23303-2024")</f>
        <v/>
      </c>
      <c r="W245">
        <f>HYPERLINK("https://klasma.github.io/Logging_2303/kartor/A 23303-2024 karta.png", "A 23303-2024")</f>
        <v/>
      </c>
      <c r="Y245">
        <f>HYPERLINK("https://klasma.github.io/Logging_2303/klagomål/A 23303-2024 FSC-klagomål.docx", "A 23303-2024")</f>
        <v/>
      </c>
      <c r="Z245">
        <f>HYPERLINK("https://klasma.github.io/Logging_2303/klagomålsmail/A 23303-2024 FSC-klagomål mail.docx", "A 23303-2024")</f>
        <v/>
      </c>
      <c r="AA245">
        <f>HYPERLINK("https://klasma.github.io/Logging_2303/tillsyn/A 23303-2024 tillsynsbegäran.docx", "A 23303-2024")</f>
        <v/>
      </c>
      <c r="AB245">
        <f>HYPERLINK("https://klasma.github.io/Logging_2303/tillsynsmail/A 23303-2024 tillsynsbegäran mail.docx", "A 23303-2024")</f>
        <v/>
      </c>
      <c r="AC245">
        <f>HYPERLINK("https://klasma.github.io/Logging_2303/fåglar/A 23303-2024 prioriterade fågelarter.docx", "A 23303-2024")</f>
        <v/>
      </c>
    </row>
    <row r="246" ht="15" customHeight="1">
      <c r="A246" t="inlineStr">
        <is>
          <t>A 34474-2025</t>
        </is>
      </c>
      <c r="B246" t="inlineStr">
        <is>
          <t>avverkningsanmälan</t>
        </is>
      </c>
      <c r="C246" t="inlineStr">
        <is>
          <t>Föryngringsavverkning</t>
        </is>
      </c>
      <c r="D246" s="1" t="n">
        <v>45847</v>
      </c>
      <c r="E246" s="1" t="n">
        <v>46220</v>
      </c>
      <c r="F246" t="inlineStr">
        <is>
          <t>JÄMTLANDS LÄN</t>
        </is>
      </c>
      <c r="G246" t="inlineStr">
        <is>
          <t>RAGUNDA</t>
        </is>
      </c>
      <c r="H246" t="inlineStr">
        <is>
          <t>SCA</t>
        </is>
      </c>
      <c r="I246" t="n">
        <v>9.699999999999999</v>
      </c>
      <c r="J246" t="n">
        <v>1</v>
      </c>
      <c r="K246" t="n">
        <v>0</v>
      </c>
      <c r="L246" t="n">
        <v>0</v>
      </c>
      <c r="M246" t="n">
        <v>0</v>
      </c>
      <c r="N246" t="n">
        <v>0</v>
      </c>
      <c r="O246" t="n">
        <v>0</v>
      </c>
      <c r="P246" t="n">
        <v>0</v>
      </c>
      <c r="Q246" t="n">
        <v>0</v>
      </c>
      <c r="R246" t="n">
        <v>0</v>
      </c>
      <c r="S246" t="n">
        <v>1</v>
      </c>
      <c r="T246" t="n">
        <v>1</v>
      </c>
      <c r="U246" s="2" t="inlineStr">
        <is>
          <t>Fjällvråk</t>
        </is>
      </c>
      <c r="V246">
        <f>HYPERLINK("https://klasma.github.io/Logging_2303/artfynd/A 34474-2025 artfynd.xlsx", "A 34474-2025")</f>
        <v/>
      </c>
      <c r="W246">
        <f>HYPERLINK("https://klasma.github.io/Logging_2303/kartor/A 34474-2025 karta.png", "A 34474-2025")</f>
        <v/>
      </c>
      <c r="Y246">
        <f>HYPERLINK("https://klasma.github.io/Logging_2303/klagomål/A 34474-2025 FSC-klagomål.docx", "A 34474-2025")</f>
        <v/>
      </c>
      <c r="Z246">
        <f>HYPERLINK("https://klasma.github.io/Logging_2303/klagomålsmail/A 34474-2025 FSC-klagomål mail.docx", "A 34474-2025")</f>
        <v/>
      </c>
      <c r="AA246">
        <f>HYPERLINK("https://klasma.github.io/Logging_2303/tillsyn/A 34474-2025 tillsynsbegäran.docx", "A 34474-2025")</f>
        <v/>
      </c>
      <c r="AB246">
        <f>HYPERLINK("https://klasma.github.io/Logging_2303/tillsynsmail/A 34474-2025 tillsynsbegäran mail.docx", "A 34474-2025")</f>
        <v/>
      </c>
      <c r="AC246">
        <f>HYPERLINK("https://klasma.github.io/Logging_2303/fåglar/A 34474-2025 prioriterade fågelarter.docx", "A 34474-2025")</f>
        <v/>
      </c>
    </row>
    <row r="247" ht="15" customHeight="1">
      <c r="A247" t="inlineStr">
        <is>
          <t>A 22054-2025</t>
        </is>
      </c>
      <c r="B247" t="inlineStr">
        <is>
          <t>avverkningsanmälan</t>
        </is>
      </c>
      <c r="C247" t="inlineStr">
        <is>
          <t>Föryngringsavverkning</t>
        </is>
      </c>
      <c r="D247" s="1" t="n">
        <v>45785</v>
      </c>
      <c r="E247" s="1" t="n">
        <v>46220</v>
      </c>
      <c r="F247" t="inlineStr">
        <is>
          <t>JÄMTLANDS LÄN</t>
        </is>
      </c>
      <c r="G247" t="inlineStr">
        <is>
          <t>RAGUNDA</t>
        </is>
      </c>
      <c r="H247" t="inlineStr">
        <is>
          <t>SCA</t>
        </is>
      </c>
      <c r="I247" t="n">
        <v>4</v>
      </c>
      <c r="J247" t="n">
        <v>1</v>
      </c>
      <c r="K247" t="n">
        <v>0</v>
      </c>
      <c r="L247" t="n">
        <v>1</v>
      </c>
      <c r="M247" t="n">
        <v>0</v>
      </c>
      <c r="N247" t="n">
        <v>0</v>
      </c>
      <c r="O247" t="n">
        <v>0</v>
      </c>
      <c r="P247" t="n">
        <v>0</v>
      </c>
      <c r="Q247" t="n">
        <v>1</v>
      </c>
      <c r="R247" t="n">
        <v>0</v>
      </c>
      <c r="S247" t="n">
        <v>1</v>
      </c>
      <c r="T247" t="n">
        <v>10</v>
      </c>
      <c r="U247" s="2" t="inlineStr">
        <is>
          <t>Tretåig hackspett</t>
        </is>
      </c>
      <c r="V247">
        <f>HYPERLINK("https://klasma.github.io/Logging_2303/artfynd/A 22054-2025 artfynd.xlsx", "A 22054-2025")</f>
        <v/>
      </c>
      <c r="W247">
        <f>HYPERLINK("https://klasma.github.io/Logging_2303/kartor/A 22054-2025 karta.png", "A 22054-2025")</f>
        <v/>
      </c>
      <c r="Y247">
        <f>HYPERLINK("https://klasma.github.io/Logging_2303/klagomål/A 22054-2025 FSC-klagomål.docx", "A 22054-2025")</f>
        <v/>
      </c>
      <c r="Z247">
        <f>HYPERLINK("https://klasma.github.io/Logging_2303/klagomålsmail/A 22054-2025 FSC-klagomål mail.docx", "A 22054-2025")</f>
        <v/>
      </c>
      <c r="AA247">
        <f>HYPERLINK("https://klasma.github.io/Logging_2303/tillsyn/A 22054-2025 tillsynsbegäran.docx", "A 22054-2025")</f>
        <v/>
      </c>
      <c r="AB247">
        <f>HYPERLINK("https://klasma.github.io/Logging_2303/tillsynsmail/A 22054-2025 tillsynsbegäran mail.docx", "A 22054-2025")</f>
        <v/>
      </c>
      <c r="AC247">
        <f>HYPERLINK("https://klasma.github.io/Logging_2303/fåglar/A 22054-2025 prioriterade fågelarter.docx", "A 22054-2025")</f>
        <v/>
      </c>
    </row>
    <row r="248" ht="15" customHeight="1">
      <c r="A248" t="inlineStr">
        <is>
          <t>A 978-2024</t>
        </is>
      </c>
      <c r="B248" t="inlineStr">
        <is>
          <t>avverkningsanmälan</t>
        </is>
      </c>
      <c r="C248" t="inlineStr">
        <is>
          <t>Avverkning för annat ändamål</t>
        </is>
      </c>
      <c r="D248" s="1" t="n">
        <v>45301</v>
      </c>
      <c r="E248" s="1" t="n">
        <v>46220</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s="2" t="inlineStr">
        <is>
          <t>Tretåig hackspett</t>
        </is>
      </c>
      <c r="V248">
        <f>HYPERLINK("https://klasma.github.io/Logging_2303/artfynd/A 978-2024 artfynd.xlsx", "A 978-2024")</f>
        <v/>
      </c>
      <c r="W248">
        <f>HYPERLINK("https://klasma.github.io/Logging_2303/kartor/A 978-2024 karta.png", "A 978-2024")</f>
        <v/>
      </c>
      <c r="Y248">
        <f>HYPERLINK("https://klasma.github.io/Logging_2303/klagomål/A 978-2024 FSC-klagomål.docx", "A 978-2024")</f>
        <v/>
      </c>
      <c r="Z248">
        <f>HYPERLINK("https://klasma.github.io/Logging_2303/klagomålsmail/A 978-2024 FSC-klagomål mail.docx", "A 978-2024")</f>
        <v/>
      </c>
      <c r="AA248">
        <f>HYPERLINK("https://klasma.github.io/Logging_2303/tillsyn/A 978-2024 tillsynsbegäran.docx", "A 978-2024")</f>
        <v/>
      </c>
      <c r="AB248">
        <f>HYPERLINK("https://klasma.github.io/Logging_2303/tillsynsmail/A 978-2024 tillsynsbegäran mail.docx", "A 978-2024")</f>
        <v/>
      </c>
      <c r="AC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46220</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s="2" t="inlineStr">
        <is>
          <t>Stor aspticka</t>
        </is>
      </c>
      <c r="V249">
        <f>HYPERLINK("https://klasma.github.io/Logging_2303/artfynd/A 1057-2024 artfynd.xlsx", "A 1057-2024")</f>
        <v/>
      </c>
      <c r="W249">
        <f>HYPERLINK("https://klasma.github.io/Logging_2303/kartor/A 1057-2024 karta.png", "A 1057-2024")</f>
        <v/>
      </c>
      <c r="Y249">
        <f>HYPERLINK("https://klasma.github.io/Logging_2303/klagomål/A 1057-2024 FSC-klagomål.docx", "A 1057-2024")</f>
        <v/>
      </c>
      <c r="Z249">
        <f>HYPERLINK("https://klasma.github.io/Logging_2303/klagomålsmail/A 1057-2024 FSC-klagomål mail.docx", "A 1057-2024")</f>
        <v/>
      </c>
      <c r="AA249">
        <f>HYPERLINK("https://klasma.github.io/Logging_2303/tillsyn/A 1057-2024 tillsynsbegäran.docx", "A 1057-2024")</f>
        <v/>
      </c>
      <c r="AB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46220</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s="2" t="inlineStr">
        <is>
          <t>Vedskivlav</t>
        </is>
      </c>
      <c r="V250">
        <f>HYPERLINK("https://klasma.github.io/Logging_2303/artfynd/A 60456-2023 artfynd.xlsx", "A 60456-2023")</f>
        <v/>
      </c>
      <c r="W250">
        <f>HYPERLINK("https://klasma.github.io/Logging_2303/kartor/A 60456-2023 karta.png", "A 60456-2023")</f>
        <v/>
      </c>
      <c r="Y250">
        <f>HYPERLINK("https://klasma.github.io/Logging_2303/klagomål/A 60456-2023 FSC-klagomål.docx", "A 60456-2023")</f>
        <v/>
      </c>
      <c r="Z250">
        <f>HYPERLINK("https://klasma.github.io/Logging_2303/klagomålsmail/A 60456-2023 FSC-klagomål mail.docx", "A 60456-2023")</f>
        <v/>
      </c>
      <c r="AA250">
        <f>HYPERLINK("https://klasma.github.io/Logging_2303/tillsyn/A 60456-2023 tillsynsbegäran.docx", "A 60456-2023")</f>
        <v/>
      </c>
      <c r="AB250">
        <f>HYPERLINK("https://klasma.github.io/Logging_2303/tillsynsmail/A 60456-2023 tillsynsbegäran mail.docx", "A 60456-2023")</f>
        <v/>
      </c>
    </row>
    <row r="251" ht="15" customHeight="1">
      <c r="A251" t="inlineStr">
        <is>
          <t>A 46753-2025</t>
        </is>
      </c>
      <c r="B251" t="inlineStr">
        <is>
          <t>avverkningsanmälan</t>
        </is>
      </c>
      <c r="C251" t="inlineStr">
        <is>
          <t>Föryngringsavverkning</t>
        </is>
      </c>
      <c r="D251" s="1" t="n">
        <v>45926</v>
      </c>
      <c r="E251" s="1" t="n">
        <v>46220</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s="2" t="inlineStr">
        <is>
          <t>Doftticka</t>
        </is>
      </c>
      <c r="V251">
        <f>HYPERLINK("https://klasma.github.io/Logging_2303/artfynd/A 46753-2025 artfynd.xlsx", "A 46753-2025")</f>
        <v/>
      </c>
      <c r="W251">
        <f>HYPERLINK("https://klasma.github.io/Logging_2303/kartor/A 46753-2025 karta.png", "A 46753-2025")</f>
        <v/>
      </c>
      <c r="Y251">
        <f>HYPERLINK("https://klasma.github.io/Logging_2303/klagomål/A 46753-2025 FSC-klagomål.docx", "A 46753-2025")</f>
        <v/>
      </c>
      <c r="Z251">
        <f>HYPERLINK("https://klasma.github.io/Logging_2303/klagomålsmail/A 46753-2025 FSC-klagomål mail.docx", "A 46753-2025")</f>
        <v/>
      </c>
      <c r="AA251">
        <f>HYPERLINK("https://klasma.github.io/Logging_2303/tillsyn/A 46753-2025 tillsynsbegäran.docx", "A 46753-2025")</f>
        <v/>
      </c>
      <c r="AB251">
        <f>HYPERLINK("https://klasma.github.io/Logging_2303/tillsynsmail/A 46753-2025 tillsynsbegäran mail.docx", "A 46753-2025")</f>
        <v/>
      </c>
    </row>
    <row r="252" ht="15" customHeight="1">
      <c r="A252" t="inlineStr">
        <is>
          <t>A 4157-2026</t>
        </is>
      </c>
      <c r="B252" t="inlineStr">
        <is>
          <t>avverkningsanmälan</t>
        </is>
      </c>
      <c r="C252" t="inlineStr">
        <is>
          <t>Avverkning för att bevara och utveckla /försöksver</t>
        </is>
      </c>
      <c r="D252" s="1" t="n">
        <v>46044</v>
      </c>
      <c r="E252" s="1" t="n">
        <v>46220</v>
      </c>
      <c r="F252" t="inlineStr">
        <is>
          <t>JÄMTLANDS LÄN</t>
        </is>
      </c>
      <c r="G252" t="inlineStr">
        <is>
          <t>RAGUNDA</t>
        </is>
      </c>
      <c r="H252" t="inlineStr">
        <is>
          <t>SCA</t>
        </is>
      </c>
      <c r="I252" t="n">
        <v>2.6</v>
      </c>
      <c r="J252" t="n">
        <v>1</v>
      </c>
      <c r="K252" t="n">
        <v>1</v>
      </c>
      <c r="L252" t="n">
        <v>0</v>
      </c>
      <c r="M252" t="n">
        <v>0</v>
      </c>
      <c r="N252" t="n">
        <v>0</v>
      </c>
      <c r="O252" t="n">
        <v>0</v>
      </c>
      <c r="P252" t="n">
        <v>0</v>
      </c>
      <c r="Q252" t="n">
        <v>0</v>
      </c>
      <c r="R252" t="n">
        <v>0</v>
      </c>
      <c r="S252" t="n">
        <v>1</v>
      </c>
      <c r="T252" t="n">
        <v>1</v>
      </c>
      <c r="U252" s="2" t="inlineStr">
        <is>
          <t>Tvåblad</t>
        </is>
      </c>
      <c r="V252">
        <f>HYPERLINK("https://klasma.github.io/Logging_2303/artfynd/A 4157-2026 artfynd.xlsx", "A 4157-2026")</f>
        <v/>
      </c>
      <c r="W252">
        <f>HYPERLINK("https://klasma.github.io/Logging_2303/kartor/A 4157-2026 karta.png", "A 4157-2026")</f>
        <v/>
      </c>
      <c r="Y252">
        <f>HYPERLINK("https://klasma.github.io/Logging_2303/klagomål/A 4157-2026 FSC-klagomål.docx", "A 4157-2026")</f>
        <v/>
      </c>
      <c r="Z252">
        <f>HYPERLINK("https://klasma.github.io/Logging_2303/klagomålsmail/A 4157-2026 FSC-klagomål mail.docx", "A 4157-2026")</f>
        <v/>
      </c>
      <c r="AA252">
        <f>HYPERLINK("https://klasma.github.io/Logging_2303/tillsyn/A 4157-2026 tillsynsbegäran.docx", "A 4157-2026")</f>
        <v/>
      </c>
      <c r="AB252">
        <f>HYPERLINK("https://klasma.github.io/Logging_2303/tillsynsmail/A 4157-2026 tillsynsbegäran mail.docx", "A 4157-2026")</f>
        <v/>
      </c>
    </row>
    <row r="253" ht="15" customHeight="1">
      <c r="A253" t="inlineStr">
        <is>
          <t>A 51882-2025</t>
        </is>
      </c>
      <c r="B253" t="inlineStr">
        <is>
          <t>avverkningsanmälan</t>
        </is>
      </c>
      <c r="C253" t="inlineStr">
        <is>
          <t>Föryngringsavverkning</t>
        </is>
      </c>
      <c r="D253" s="1" t="n">
        <v>45952</v>
      </c>
      <c r="E253" s="1" t="n">
        <v>46220</v>
      </c>
      <c r="F253" t="inlineStr">
        <is>
          <t>JÄMTLANDS LÄN</t>
        </is>
      </c>
      <c r="G253" t="inlineStr">
        <is>
          <t>RAGUNDA</t>
        </is>
      </c>
      <c r="H253" t="inlineStr">
        <is>
          <t>SCA</t>
        </is>
      </c>
      <c r="I253" t="n">
        <v>11.9</v>
      </c>
      <c r="J253" t="n">
        <v>0</v>
      </c>
      <c r="K253" t="n">
        <v>0</v>
      </c>
      <c r="L253" t="n">
        <v>1</v>
      </c>
      <c r="M253" t="n">
        <v>0</v>
      </c>
      <c r="N253" t="n">
        <v>0</v>
      </c>
      <c r="O253" t="n">
        <v>0</v>
      </c>
      <c r="P253" t="n">
        <v>0</v>
      </c>
      <c r="Q253" t="n">
        <v>1</v>
      </c>
      <c r="R253" t="n">
        <v>0</v>
      </c>
      <c r="S253" t="n">
        <v>1</v>
      </c>
      <c r="T253" t="n">
        <v>1</v>
      </c>
      <c r="U253" s="2" t="inlineStr">
        <is>
          <t>Skrovellav</t>
        </is>
      </c>
      <c r="V253">
        <f>HYPERLINK("https://klasma.github.io/Logging_2303/artfynd/A 51882-2025 artfynd.xlsx", "A 51882-2025")</f>
        <v/>
      </c>
      <c r="W253">
        <f>HYPERLINK("https://klasma.github.io/Logging_2303/kartor/A 51882-2025 karta.png", "A 51882-2025")</f>
        <v/>
      </c>
      <c r="Y253">
        <f>HYPERLINK("https://klasma.github.io/Logging_2303/klagomål/A 51882-2025 FSC-klagomål.docx", "A 51882-2025")</f>
        <v/>
      </c>
      <c r="Z253">
        <f>HYPERLINK("https://klasma.github.io/Logging_2303/klagomålsmail/A 51882-2025 FSC-klagomål mail.docx", "A 51882-2025")</f>
        <v/>
      </c>
      <c r="AA253">
        <f>HYPERLINK("https://klasma.github.io/Logging_2303/tillsyn/A 51882-2025 tillsynsbegäran.docx", "A 51882-2025")</f>
        <v/>
      </c>
      <c r="AB253">
        <f>HYPERLINK("https://klasma.github.io/Logging_2303/tillsynsmail/A 51882-2025 tillsynsbegäran mail.docx", "A 51882-2025")</f>
        <v/>
      </c>
    </row>
    <row r="254" ht="15" customHeight="1">
      <c r="A254" t="inlineStr">
        <is>
          <t>A 26317-2024</t>
        </is>
      </c>
      <c r="B254" t="inlineStr">
        <is>
          <t>avverkningsanmälan</t>
        </is>
      </c>
      <c r="C254" t="inlineStr">
        <is>
          <t>Föryngringsavverkning</t>
        </is>
      </c>
      <c r="D254" s="1" t="n">
        <v>45468</v>
      </c>
      <c r="E254" s="1" t="n">
        <v>46220</v>
      </c>
      <c r="F254" t="inlineStr">
        <is>
          <t>JÄMTLANDS LÄN</t>
        </is>
      </c>
      <c r="G254" t="inlineStr">
        <is>
          <t>RAGUNDA</t>
        </is>
      </c>
      <c r="H254" t="inlineStr">
        <is>
          <t>SCA</t>
        </is>
      </c>
      <c r="I254" t="n">
        <v>3.8</v>
      </c>
      <c r="J254" t="n">
        <v>0</v>
      </c>
      <c r="K254" t="n">
        <v>0</v>
      </c>
      <c r="L254" t="n">
        <v>1</v>
      </c>
      <c r="M254" t="n">
        <v>0</v>
      </c>
      <c r="N254" t="n">
        <v>0</v>
      </c>
      <c r="O254" t="n">
        <v>0</v>
      </c>
      <c r="P254" t="n">
        <v>0</v>
      </c>
      <c r="Q254" t="n">
        <v>1</v>
      </c>
      <c r="R254" t="n">
        <v>0</v>
      </c>
      <c r="S254" t="n">
        <v>1</v>
      </c>
      <c r="T254" t="n">
        <v>1</v>
      </c>
      <c r="U254" s="2" t="inlineStr">
        <is>
          <t>Kortskaftad ärgspik</t>
        </is>
      </c>
      <c r="V254">
        <f>HYPERLINK("https://klasma.github.io/Logging_2303/artfynd/A 26317-2024 artfynd.xlsx", "A 26317-2024")</f>
        <v/>
      </c>
      <c r="W254">
        <f>HYPERLINK("https://klasma.github.io/Logging_2303/kartor/A 26317-2024 karta.png", "A 26317-2024")</f>
        <v/>
      </c>
      <c r="Y254">
        <f>HYPERLINK("https://klasma.github.io/Logging_2303/klagomål/A 26317-2024 FSC-klagomål.docx", "A 26317-2024")</f>
        <v/>
      </c>
      <c r="Z254">
        <f>HYPERLINK("https://klasma.github.io/Logging_2303/klagomålsmail/A 26317-2024 FSC-klagomål mail.docx", "A 26317-2024")</f>
        <v/>
      </c>
      <c r="AA254">
        <f>HYPERLINK("https://klasma.github.io/Logging_2303/tillsyn/A 26317-2024 tillsynsbegäran.docx", "A 26317-2024")</f>
        <v/>
      </c>
      <c r="AB254">
        <f>HYPERLINK("https://klasma.github.io/Logging_2303/tillsynsmail/A 26317-2024 tillsynsbegäran mail.docx", "A 26317-2024")</f>
        <v/>
      </c>
    </row>
    <row r="255" ht="15" customHeight="1">
      <c r="A255" t="inlineStr">
        <is>
          <t>A 4839-2026</t>
        </is>
      </c>
      <c r="B255" t="inlineStr">
        <is>
          <t>avverkningsanmälan</t>
        </is>
      </c>
      <c r="C255" t="inlineStr">
        <is>
          <t>Föryngringsavverkning</t>
        </is>
      </c>
      <c r="D255" s="1" t="n">
        <v>46048</v>
      </c>
      <c r="E255" s="1" t="n">
        <v>46220</v>
      </c>
      <c r="F255" t="inlineStr">
        <is>
          <t>JÄMTLANDS LÄN</t>
        </is>
      </c>
      <c r="G255" t="inlineStr">
        <is>
          <t>RAGUNDA</t>
        </is>
      </c>
      <c r="H255" t="inlineStr">
        <is>
          <t>SCA</t>
        </is>
      </c>
      <c r="I255" t="n">
        <v>51</v>
      </c>
      <c r="J255" t="n">
        <v>0</v>
      </c>
      <c r="K255" t="n">
        <v>0</v>
      </c>
      <c r="L255" t="n">
        <v>1</v>
      </c>
      <c r="M255" t="n">
        <v>0</v>
      </c>
      <c r="N255" t="n">
        <v>0</v>
      </c>
      <c r="O255" t="n">
        <v>0</v>
      </c>
      <c r="P255" t="n">
        <v>0</v>
      </c>
      <c r="Q255" t="n">
        <v>1</v>
      </c>
      <c r="R255" t="n">
        <v>0</v>
      </c>
      <c r="S255" t="n">
        <v>1</v>
      </c>
      <c r="T255" t="n">
        <v>1</v>
      </c>
      <c r="U255" s="2" t="inlineStr">
        <is>
          <t>Harticka</t>
        </is>
      </c>
      <c r="V255">
        <f>HYPERLINK("https://klasma.github.io/Logging_2303/artfynd/A 4839-2026 artfynd.xlsx", "A 4839-2026")</f>
        <v/>
      </c>
      <c r="W255">
        <f>HYPERLINK("https://klasma.github.io/Logging_2303/kartor/A 4839-2026 karta.png", "A 4839-2026")</f>
        <v/>
      </c>
      <c r="Y255">
        <f>HYPERLINK("https://klasma.github.io/Logging_2303/klagomål/A 4839-2026 FSC-klagomål.docx", "A 4839-2026")</f>
        <v/>
      </c>
      <c r="Z255">
        <f>HYPERLINK("https://klasma.github.io/Logging_2303/klagomålsmail/A 4839-2026 FSC-klagomål mail.docx", "A 4839-2026")</f>
        <v/>
      </c>
      <c r="AA255">
        <f>HYPERLINK("https://klasma.github.io/Logging_2303/tillsyn/A 4839-2026 tillsynsbegäran.docx", "A 4839-2026")</f>
        <v/>
      </c>
      <c r="AB255">
        <f>HYPERLINK("https://klasma.github.io/Logging_2303/tillsynsmail/A 4839-2026 tillsynsbegäran mail.docx", "A 4839-2026")</f>
        <v/>
      </c>
    </row>
    <row r="256" ht="15" customHeight="1">
      <c r="A256" t="inlineStr">
        <is>
          <t>A 49091-2022</t>
        </is>
      </c>
      <c r="B256" t="inlineStr">
        <is>
          <t>avverkningsanmälan</t>
        </is>
      </c>
      <c r="C256" t="inlineStr">
        <is>
          <t>Föryngringsavverkning</t>
        </is>
      </c>
      <c r="D256" s="1" t="n">
        <v>44860</v>
      </c>
      <c r="E256" s="1" t="n">
        <v>46220</v>
      </c>
      <c r="F256" t="inlineStr">
        <is>
          <t>JÄMTLANDS LÄN</t>
        </is>
      </c>
      <c r="G256" t="inlineStr">
        <is>
          <t>RAGUNDA</t>
        </is>
      </c>
      <c r="I256" t="n">
        <v>3.5</v>
      </c>
      <c r="J256" t="n">
        <v>1</v>
      </c>
      <c r="K256" t="n">
        <v>0</v>
      </c>
      <c r="L256" t="n">
        <v>0</v>
      </c>
      <c r="M256" t="n">
        <v>1</v>
      </c>
      <c r="N256" t="n">
        <v>0</v>
      </c>
      <c r="O256" t="n">
        <v>0</v>
      </c>
      <c r="P256" t="n">
        <v>0</v>
      </c>
      <c r="Q256" t="n">
        <v>1</v>
      </c>
      <c r="R256" t="n">
        <v>1</v>
      </c>
      <c r="S256" t="n">
        <v>1</v>
      </c>
      <c r="T256" t="n">
        <v>2</v>
      </c>
      <c r="U256" s="2" t="inlineStr">
        <is>
          <t>Doftticka</t>
        </is>
      </c>
      <c r="V256">
        <f>HYPERLINK("https://klasma.github.io/Logging_2303/artfynd/A 49091-2022 artfynd.xlsx", "A 49091-2022")</f>
        <v/>
      </c>
      <c r="W256">
        <f>HYPERLINK("https://klasma.github.io/Logging_2303/kartor/A 49091-2022 karta.png", "A 49091-2022")</f>
        <v/>
      </c>
      <c r="Y256">
        <f>HYPERLINK("https://klasma.github.io/Logging_2303/klagomål/A 49091-2022 FSC-klagomål.docx", "A 49091-2022")</f>
        <v/>
      </c>
      <c r="Z256">
        <f>HYPERLINK("https://klasma.github.io/Logging_2303/klagomålsmail/A 49091-2022 FSC-klagomål mail.docx", "A 49091-2022")</f>
        <v/>
      </c>
      <c r="AA256">
        <f>HYPERLINK("https://klasma.github.io/Logging_2303/tillsyn/A 49091-2022 tillsynsbegäran.docx", "A 49091-2022")</f>
        <v/>
      </c>
      <c r="AB256">
        <f>HYPERLINK("https://klasma.github.io/Logging_2303/tillsynsmail/A 49091-2022 tillsynsbegäran mail.docx", "A 49091-2022")</f>
        <v/>
      </c>
    </row>
    <row r="257" ht="15" customHeight="1">
      <c r="A257" t="inlineStr">
        <is>
          <t>A 57253-2025</t>
        </is>
      </c>
      <c r="B257" t="inlineStr">
        <is>
          <t>avverkningsanmälan</t>
        </is>
      </c>
      <c r="C257" t="inlineStr">
        <is>
          <t>Föryngringsavverkning</t>
        </is>
      </c>
      <c r="D257" s="1" t="n">
        <v>45979</v>
      </c>
      <c r="E257" s="1" t="n">
        <v>46220</v>
      </c>
      <c r="F257" t="inlineStr">
        <is>
          <t>JÄMTLANDS LÄN</t>
        </is>
      </c>
      <c r="G257" t="inlineStr">
        <is>
          <t>RAGUNDA</t>
        </is>
      </c>
      <c r="I257" t="n">
        <v>1.2</v>
      </c>
      <c r="J257" t="n">
        <v>0</v>
      </c>
      <c r="K257" t="n">
        <v>1</v>
      </c>
      <c r="L257" t="n">
        <v>0</v>
      </c>
      <c r="M257" t="n">
        <v>0</v>
      </c>
      <c r="N257" t="n">
        <v>0</v>
      </c>
      <c r="O257" t="n">
        <v>0</v>
      </c>
      <c r="P257" t="n">
        <v>0</v>
      </c>
      <c r="Q257" t="n">
        <v>0</v>
      </c>
      <c r="R257" t="n">
        <v>0</v>
      </c>
      <c r="S257" t="n">
        <v>1</v>
      </c>
      <c r="T257" t="n">
        <v>1</v>
      </c>
      <c r="U257" s="2" t="inlineStr">
        <is>
          <t>Skinnlav</t>
        </is>
      </c>
      <c r="V257">
        <f>HYPERLINK("https://klasma.github.io/Logging_2303/artfynd/A 57253-2025 artfynd.xlsx", "A 57253-2025")</f>
        <v/>
      </c>
      <c r="W257">
        <f>HYPERLINK("https://klasma.github.io/Logging_2303/kartor/A 57253-2025 karta.png", "A 57253-2025")</f>
        <v/>
      </c>
      <c r="Y257">
        <f>HYPERLINK("https://klasma.github.io/Logging_2303/klagomål/A 57253-2025 FSC-klagomål.docx", "A 57253-2025")</f>
        <v/>
      </c>
      <c r="Z257">
        <f>HYPERLINK("https://klasma.github.io/Logging_2303/klagomålsmail/A 57253-2025 FSC-klagomål mail.docx", "A 57253-2025")</f>
        <v/>
      </c>
      <c r="AA257">
        <f>HYPERLINK("https://klasma.github.io/Logging_2303/tillsyn/A 57253-2025 tillsynsbegäran.docx", "A 57253-2025")</f>
        <v/>
      </c>
      <c r="AB257">
        <f>HYPERLINK("https://klasma.github.io/Logging_2303/tillsynsmail/A 57253-2025 tillsynsbegäran mail.docx", "A 57253-2025")</f>
        <v/>
      </c>
    </row>
    <row r="258" ht="15" customHeight="1">
      <c r="A258" t="inlineStr">
        <is>
          <t>A 57478-2025</t>
        </is>
      </c>
      <c r="B258" t="inlineStr">
        <is>
          <t>avverkningsanmälan</t>
        </is>
      </c>
      <c r="C258" t="inlineStr">
        <is>
          <t>Föryngringsavverkning</t>
        </is>
      </c>
      <c r="D258" s="1" t="n">
        <v>45980</v>
      </c>
      <c r="E258" s="1" t="n">
        <v>46220</v>
      </c>
      <c r="F258" t="inlineStr">
        <is>
          <t>JÄMTLANDS LÄN</t>
        </is>
      </c>
      <c r="G258" t="inlineStr">
        <is>
          <t>RAGUNDA</t>
        </is>
      </c>
      <c r="H258" t="inlineStr">
        <is>
          <t>SCA</t>
        </is>
      </c>
      <c r="I258" t="n">
        <v>3.3</v>
      </c>
      <c r="J258" t="n">
        <v>0</v>
      </c>
      <c r="K258" t="n">
        <v>0</v>
      </c>
      <c r="L258" t="n">
        <v>1</v>
      </c>
      <c r="M258" t="n">
        <v>0</v>
      </c>
      <c r="N258" t="n">
        <v>0</v>
      </c>
      <c r="O258" t="n">
        <v>0</v>
      </c>
      <c r="P258" t="n">
        <v>0</v>
      </c>
      <c r="Q258" t="n">
        <v>1</v>
      </c>
      <c r="R258" t="n">
        <v>0</v>
      </c>
      <c r="S258" t="n">
        <v>1</v>
      </c>
      <c r="T258" t="n">
        <v>3</v>
      </c>
      <c r="U258" s="2" t="inlineStr">
        <is>
          <t>Lunglav</t>
        </is>
      </c>
      <c r="V258">
        <f>HYPERLINK("https://klasma.github.io/Logging_2303/artfynd/A 57478-2025 artfynd.xlsx", "A 57478-2025")</f>
        <v/>
      </c>
      <c r="W258">
        <f>HYPERLINK("https://klasma.github.io/Logging_2303/kartor/A 57478-2025 karta.png", "A 57478-2025")</f>
        <v/>
      </c>
      <c r="Y258">
        <f>HYPERLINK("https://klasma.github.io/Logging_2303/klagomål/A 57478-2025 FSC-klagomål.docx", "A 57478-2025")</f>
        <v/>
      </c>
      <c r="Z258">
        <f>HYPERLINK("https://klasma.github.io/Logging_2303/klagomålsmail/A 57478-2025 FSC-klagomål mail.docx", "A 57478-2025")</f>
        <v/>
      </c>
      <c r="AA258">
        <f>HYPERLINK("https://klasma.github.io/Logging_2303/tillsyn/A 57478-2025 tillsynsbegäran.docx", "A 57478-2025")</f>
        <v/>
      </c>
      <c r="AB258">
        <f>HYPERLINK("https://klasma.github.io/Logging_2303/tillsynsmail/A 57478-2025 tillsynsbegäran mail.docx", "A 57478-2025")</f>
        <v/>
      </c>
    </row>
    <row r="259" ht="15" customHeight="1">
      <c r="A259" t="inlineStr">
        <is>
          <t>A 58990-2025</t>
        </is>
      </c>
      <c r="B259" t="inlineStr">
        <is>
          <t>avverkningsanmälan</t>
        </is>
      </c>
      <c r="C259" t="inlineStr">
        <is>
          <t>Föryngringsavverkning</t>
        </is>
      </c>
      <c r="D259" s="1" t="n">
        <v>45987</v>
      </c>
      <c r="E259" s="1" t="n">
        <v>46220</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s="2" t="inlineStr">
        <is>
          <t>Tretåig hackspett</t>
        </is>
      </c>
      <c r="V259">
        <f>HYPERLINK("https://klasma.github.io/Logging_2303/artfynd/A 58990-2025 artfynd.xlsx", "A 58990-2025")</f>
        <v/>
      </c>
      <c r="W259">
        <f>HYPERLINK("https://klasma.github.io/Logging_2303/kartor/A 58990-2025 karta.png", "A 58990-2025")</f>
        <v/>
      </c>
      <c r="Y259">
        <f>HYPERLINK("https://klasma.github.io/Logging_2303/klagomål/A 58990-2025 FSC-klagomål.docx", "A 58990-2025")</f>
        <v/>
      </c>
      <c r="Z259">
        <f>HYPERLINK("https://klasma.github.io/Logging_2303/klagomålsmail/A 58990-2025 FSC-klagomål mail.docx", "A 58990-2025")</f>
        <v/>
      </c>
      <c r="AA259">
        <f>HYPERLINK("https://klasma.github.io/Logging_2303/tillsyn/A 58990-2025 tillsynsbegäran.docx", "A 58990-2025")</f>
        <v/>
      </c>
      <c r="AB259">
        <f>HYPERLINK("https://klasma.github.io/Logging_2303/tillsynsmail/A 58990-2025 tillsynsbegäran mail.docx", "A 58990-2025")</f>
        <v/>
      </c>
      <c r="AC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46220</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s="2" t="inlineStr">
        <is>
          <t>Blåsippa</t>
        </is>
      </c>
      <c r="V260">
        <f>HYPERLINK("https://klasma.github.io/Logging_2303/artfynd/A 59214-2025 artfynd.xlsx", "A 59214-2025")</f>
        <v/>
      </c>
      <c r="W260">
        <f>HYPERLINK("https://klasma.github.io/Logging_2303/kartor/A 59214-2025 karta.png", "A 59214-2025")</f>
        <v/>
      </c>
      <c r="Y260">
        <f>HYPERLINK("https://klasma.github.io/Logging_2303/klagomål/A 59214-2025 FSC-klagomål.docx", "A 59214-2025")</f>
        <v/>
      </c>
      <c r="Z260">
        <f>HYPERLINK("https://klasma.github.io/Logging_2303/klagomålsmail/A 59214-2025 FSC-klagomål mail.docx", "A 59214-2025")</f>
        <v/>
      </c>
      <c r="AA260">
        <f>HYPERLINK("https://klasma.github.io/Logging_2303/tillsyn/A 59214-2025 tillsynsbegäran.docx", "A 59214-2025")</f>
        <v/>
      </c>
      <c r="AB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46220</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s="2" t="inlineStr">
        <is>
          <t>Knärot</t>
        </is>
      </c>
      <c r="V261">
        <f>HYPERLINK("https://klasma.github.io/Logging_2303/artfynd/A 29921-2024 artfynd.xlsx", "A 29921-2024")</f>
        <v/>
      </c>
      <c r="W261">
        <f>HYPERLINK("https://klasma.github.io/Logging_2303/kartor/A 29921-2024 karta.png", "A 29921-2024")</f>
        <v/>
      </c>
      <c r="X261">
        <f>HYPERLINK("https://klasma.github.io/Logging_2303/knärot/A 29921-2024 karta knärot.png", "A 29921-2024")</f>
        <v/>
      </c>
      <c r="Y261">
        <f>HYPERLINK("https://klasma.github.io/Logging_2303/klagomål/A 29921-2024 FSC-klagomål.docx", "A 29921-2024")</f>
        <v/>
      </c>
      <c r="Z261">
        <f>HYPERLINK("https://klasma.github.io/Logging_2303/klagomålsmail/A 29921-2024 FSC-klagomål mail.docx", "A 29921-2024")</f>
        <v/>
      </c>
      <c r="AA261">
        <f>HYPERLINK("https://klasma.github.io/Logging_2303/tillsyn/A 29921-2024 tillsynsbegäran.docx", "A 29921-2024")</f>
        <v/>
      </c>
      <c r="AB261">
        <f>HYPERLINK("https://klasma.github.io/Logging_2303/tillsynsmail/A 29921-2024 tillsynsbegäran mail.docx", "A 29921-2024")</f>
        <v/>
      </c>
    </row>
    <row r="262" ht="15" customHeight="1">
      <c r="A262" t="inlineStr">
        <is>
          <t>A 62106-2023</t>
        </is>
      </c>
      <c r="B262" t="inlineStr">
        <is>
          <t>avverkningsanmälan</t>
        </is>
      </c>
      <c r="C262" t="inlineStr">
        <is>
          <t>Föryngringsavverkning</t>
        </is>
      </c>
      <c r="D262" s="1" t="n">
        <v>45266</v>
      </c>
      <c r="E262" s="1" t="n">
        <v>46220</v>
      </c>
      <c r="F262" t="inlineStr">
        <is>
          <t>JÄMTLANDS LÄN</t>
        </is>
      </c>
      <c r="G262" t="inlineStr">
        <is>
          <t>RAGUNDA</t>
        </is>
      </c>
      <c r="H262" t="inlineStr">
        <is>
          <t>SCA</t>
        </is>
      </c>
      <c r="I262" t="n">
        <v>6.6</v>
      </c>
      <c r="J262" t="n">
        <v>0</v>
      </c>
      <c r="K262" t="n">
        <v>1</v>
      </c>
      <c r="L262" t="n">
        <v>0</v>
      </c>
      <c r="M262" t="n">
        <v>0</v>
      </c>
      <c r="N262" t="n">
        <v>0</v>
      </c>
      <c r="O262" t="n">
        <v>0</v>
      </c>
      <c r="P262" t="n">
        <v>0</v>
      </c>
      <c r="Q262" t="n">
        <v>0</v>
      </c>
      <c r="R262" t="n">
        <v>0</v>
      </c>
      <c r="S262" t="n">
        <v>1</v>
      </c>
      <c r="T262" t="n">
        <v>1</v>
      </c>
      <c r="U262" s="2" t="inlineStr">
        <is>
          <t>Kransrams</t>
        </is>
      </c>
      <c r="V262">
        <f>HYPERLINK("https://klasma.github.io/Logging_2303/artfynd/A 62106-2023 artfynd.xlsx", "A 62106-2023")</f>
        <v/>
      </c>
      <c r="W262">
        <f>HYPERLINK("https://klasma.github.io/Logging_2303/kartor/A 62106-2023 karta.png", "A 62106-2023")</f>
        <v/>
      </c>
      <c r="Y262">
        <f>HYPERLINK("https://klasma.github.io/Logging_2303/klagomål/A 62106-2023 FSC-klagomål.docx", "A 62106-2023")</f>
        <v/>
      </c>
      <c r="Z262">
        <f>HYPERLINK("https://klasma.github.io/Logging_2303/klagomålsmail/A 62106-2023 FSC-klagomål mail.docx", "A 62106-2023")</f>
        <v/>
      </c>
      <c r="AA262">
        <f>HYPERLINK("https://klasma.github.io/Logging_2303/tillsyn/A 62106-2023 tillsynsbegäran.docx", "A 62106-2023")</f>
        <v/>
      </c>
      <c r="AB262">
        <f>HYPERLINK("https://klasma.github.io/Logging_2303/tillsynsmail/A 62106-2023 tillsynsbegäran mail.docx", "A 62106-2023")</f>
        <v/>
      </c>
    </row>
    <row r="263" ht="15" customHeight="1">
      <c r="A263" t="inlineStr">
        <is>
          <t>A 60128-2025</t>
        </is>
      </c>
      <c r="B263" t="inlineStr">
        <is>
          <t>avverkningsanmälan</t>
        </is>
      </c>
      <c r="C263" t="inlineStr">
        <is>
          <t>Föryngringsavverkning</t>
        </is>
      </c>
      <c r="D263" s="1" t="n">
        <v>45994</v>
      </c>
      <c r="E263" s="1" t="n">
        <v>46220</v>
      </c>
      <c r="F263" t="inlineStr">
        <is>
          <t>JÄMTLANDS LÄN</t>
        </is>
      </c>
      <c r="G263" t="inlineStr">
        <is>
          <t>RAGUNDA</t>
        </is>
      </c>
      <c r="I263" t="n">
        <v>7.1</v>
      </c>
      <c r="J263" t="n">
        <v>0</v>
      </c>
      <c r="K263" t="n">
        <v>0</v>
      </c>
      <c r="L263" t="n">
        <v>1</v>
      </c>
      <c r="M263" t="n">
        <v>0</v>
      </c>
      <c r="N263" t="n">
        <v>0</v>
      </c>
      <c r="O263" t="n">
        <v>0</v>
      </c>
      <c r="P263" t="n">
        <v>0</v>
      </c>
      <c r="Q263" t="n">
        <v>1</v>
      </c>
      <c r="R263" t="n">
        <v>0</v>
      </c>
      <c r="S263" t="n">
        <v>1</v>
      </c>
      <c r="T263" t="n">
        <v>1</v>
      </c>
      <c r="U263" s="2" t="inlineStr">
        <is>
          <t>Brunklöver</t>
        </is>
      </c>
      <c r="V263">
        <f>HYPERLINK("https://klasma.github.io/Logging_2303/artfynd/A 60128-2025 artfynd.xlsx", "A 60128-2025")</f>
        <v/>
      </c>
      <c r="W263">
        <f>HYPERLINK("https://klasma.github.io/Logging_2303/kartor/A 60128-2025 karta.png", "A 60128-2025")</f>
        <v/>
      </c>
      <c r="Y263">
        <f>HYPERLINK("https://klasma.github.io/Logging_2303/klagomål/A 60128-2025 FSC-klagomål.docx", "A 60128-2025")</f>
        <v/>
      </c>
      <c r="Z263">
        <f>HYPERLINK("https://klasma.github.io/Logging_2303/klagomålsmail/A 60128-2025 FSC-klagomål mail.docx", "A 60128-2025")</f>
        <v/>
      </c>
      <c r="AA263">
        <f>HYPERLINK("https://klasma.github.io/Logging_2303/tillsyn/A 60128-2025 tillsynsbegäran.docx", "A 60128-2025")</f>
        <v/>
      </c>
      <c r="AB263">
        <f>HYPERLINK("https://klasma.github.io/Logging_2303/tillsynsmail/A 60128-2025 tillsynsbegäran mail.docx", "A 60128-2025")</f>
        <v/>
      </c>
    </row>
    <row r="264" ht="15" customHeight="1">
      <c r="A264" t="inlineStr">
        <is>
          <t>A 10344-2026</t>
        </is>
      </c>
      <c r="B264" t="inlineStr">
        <is>
          <t>avverkningsanmälan</t>
        </is>
      </c>
      <c r="C264" t="inlineStr">
        <is>
          <t>Föryngringsavverkning</t>
        </is>
      </c>
      <c r="D264" s="1" t="n">
        <v>46076</v>
      </c>
      <c r="E264" s="1" t="n">
        <v>46220</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s="2" t="inlineStr">
        <is>
          <t>Fläcknycklar</t>
        </is>
      </c>
      <c r="V264">
        <f>HYPERLINK("https://klasma.github.io/Logging_2303/artfynd/A 10344-2026 artfynd.xlsx", "A 10344-2026")</f>
        <v/>
      </c>
      <c r="W264">
        <f>HYPERLINK("https://klasma.github.io/Logging_2303/kartor/A 10344-2026 karta.png", "A 10344-2026")</f>
        <v/>
      </c>
      <c r="Y264">
        <f>HYPERLINK("https://klasma.github.io/Logging_2303/klagomål/A 10344-2026 FSC-klagomål.docx", "A 10344-2026")</f>
        <v/>
      </c>
      <c r="Z264">
        <f>HYPERLINK("https://klasma.github.io/Logging_2303/klagomålsmail/A 10344-2026 FSC-klagomål mail.docx", "A 10344-2026")</f>
        <v/>
      </c>
      <c r="AA264">
        <f>HYPERLINK("https://klasma.github.io/Logging_2303/tillsyn/A 10344-2026 tillsynsbegäran.docx", "A 10344-2026")</f>
        <v/>
      </c>
      <c r="AB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46220</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s="2" t="inlineStr">
        <is>
          <t>Garnlav</t>
        </is>
      </c>
      <c r="V265">
        <f>HYPERLINK("https://klasma.github.io/Logging_2303/artfynd/A 10740-2026 artfynd.xlsx", "A 10740-2026")</f>
        <v/>
      </c>
      <c r="W265">
        <f>HYPERLINK("https://klasma.github.io/Logging_2303/kartor/A 10740-2026 karta.png", "A 10740-2026")</f>
        <v/>
      </c>
      <c r="Y265">
        <f>HYPERLINK("https://klasma.github.io/Logging_2303/klagomål/A 10740-2026 FSC-klagomål.docx", "A 10740-2026")</f>
        <v/>
      </c>
      <c r="Z265">
        <f>HYPERLINK("https://klasma.github.io/Logging_2303/klagomålsmail/A 10740-2026 FSC-klagomål mail.docx", "A 10740-2026")</f>
        <v/>
      </c>
      <c r="AA265">
        <f>HYPERLINK("https://klasma.github.io/Logging_2303/tillsyn/A 10740-2026 tillsynsbegäran.docx", "A 10740-2026")</f>
        <v/>
      </c>
      <c r="AB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46220</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s="2" t="inlineStr">
        <is>
          <t>Gammelgransskål</t>
        </is>
      </c>
      <c r="V266">
        <f>HYPERLINK("https://klasma.github.io/Logging_2303/artfynd/A 10649-2026 artfynd.xlsx", "A 10649-2026")</f>
        <v/>
      </c>
      <c r="W266">
        <f>HYPERLINK("https://klasma.github.io/Logging_2303/kartor/A 10649-2026 karta.png", "A 10649-2026")</f>
        <v/>
      </c>
      <c r="Y266">
        <f>HYPERLINK("https://klasma.github.io/Logging_2303/klagomål/A 10649-2026 FSC-klagomål.docx", "A 10649-2026")</f>
        <v/>
      </c>
      <c r="Z266">
        <f>HYPERLINK("https://klasma.github.io/Logging_2303/klagomålsmail/A 10649-2026 FSC-klagomål mail.docx", "A 10649-2026")</f>
        <v/>
      </c>
      <c r="AA266">
        <f>HYPERLINK("https://klasma.github.io/Logging_2303/tillsyn/A 10649-2026 tillsynsbegäran.docx", "A 10649-2026")</f>
        <v/>
      </c>
      <c r="AB266">
        <f>HYPERLINK("https://klasma.github.io/Logging_2303/tillsynsmail/A 10649-2026 tillsynsbegäran mail.docx", "A 10649-2026")</f>
        <v/>
      </c>
    </row>
    <row r="267" ht="15" customHeight="1">
      <c r="A267" t="inlineStr">
        <is>
          <t>A 16724-2025</t>
        </is>
      </c>
      <c r="B267" t="inlineStr">
        <is>
          <t>avverkningsanmälan</t>
        </is>
      </c>
      <c r="C267" t="inlineStr">
        <is>
          <t>Föryngringsavverkning</t>
        </is>
      </c>
      <c r="D267" s="1" t="n">
        <v>45754</v>
      </c>
      <c r="E267" s="1" t="n">
        <v>46220</v>
      </c>
      <c r="F267" t="inlineStr">
        <is>
          <t>JÄMTLANDS LÄN</t>
        </is>
      </c>
      <c r="G267" t="inlineStr">
        <is>
          <t>RAGUNDA</t>
        </is>
      </c>
      <c r="I267" t="n">
        <v>3.5</v>
      </c>
      <c r="J267" t="n">
        <v>0</v>
      </c>
      <c r="K267" t="n">
        <v>0</v>
      </c>
      <c r="L267" t="n">
        <v>1</v>
      </c>
      <c r="M267" t="n">
        <v>0</v>
      </c>
      <c r="N267" t="n">
        <v>0</v>
      </c>
      <c r="O267" t="n">
        <v>0</v>
      </c>
      <c r="P267" t="n">
        <v>0</v>
      </c>
      <c r="Q267" t="n">
        <v>1</v>
      </c>
      <c r="R267" t="n">
        <v>0</v>
      </c>
      <c r="S267" t="n">
        <v>1</v>
      </c>
      <c r="T267" t="n">
        <v>1</v>
      </c>
      <c r="U267" s="2" t="inlineStr">
        <is>
          <t>Kolflarnlav</t>
        </is>
      </c>
      <c r="V267">
        <f>HYPERLINK("https://klasma.github.io/Logging_2303/artfynd/A 16724-2025 artfynd.xlsx", "A 16724-2025")</f>
        <v/>
      </c>
      <c r="W267">
        <f>HYPERLINK("https://klasma.github.io/Logging_2303/kartor/A 16724-2025 karta.png", "A 16724-2025")</f>
        <v/>
      </c>
      <c r="Y267">
        <f>HYPERLINK("https://klasma.github.io/Logging_2303/klagomål/A 16724-2025 FSC-klagomål.docx", "A 16724-2025")</f>
        <v/>
      </c>
      <c r="Z267">
        <f>HYPERLINK("https://klasma.github.io/Logging_2303/klagomålsmail/A 16724-2025 FSC-klagomål mail.docx", "A 16724-2025")</f>
        <v/>
      </c>
      <c r="AA267">
        <f>HYPERLINK("https://klasma.github.io/Logging_2303/tillsyn/A 16724-2025 tillsynsbegäran.docx", "A 16724-2025")</f>
        <v/>
      </c>
      <c r="AB267">
        <f>HYPERLINK("https://klasma.github.io/Logging_2303/tillsynsmail/A 16724-2025 tillsynsbegäran mail.docx", "A 16724-2025")</f>
        <v/>
      </c>
    </row>
    <row r="268" ht="15" customHeight="1">
      <c r="A268" t="inlineStr">
        <is>
          <t>A 49770-2024</t>
        </is>
      </c>
      <c r="B268" t="inlineStr">
        <is>
          <t>avverkningsanmälan</t>
        </is>
      </c>
      <c r="C268" t="inlineStr">
        <is>
          <t>Avverkning för att bevara och utveckla /försöksver</t>
        </is>
      </c>
      <c r="D268" s="1" t="n">
        <v>45597</v>
      </c>
      <c r="E268" s="1" t="n">
        <v>46220</v>
      </c>
      <c r="F268" t="inlineStr">
        <is>
          <t>JÄMTLANDS LÄN</t>
        </is>
      </c>
      <c r="G268" t="inlineStr">
        <is>
          <t>RAGUNDA</t>
        </is>
      </c>
      <c r="H268" t="inlineStr">
        <is>
          <t>Naturvårdsverket</t>
        </is>
      </c>
      <c r="I268" t="n">
        <v>8.9</v>
      </c>
      <c r="J268" t="n">
        <v>1</v>
      </c>
      <c r="K268" t="n">
        <v>0</v>
      </c>
      <c r="L268" t="n">
        <v>0</v>
      </c>
      <c r="M268" t="n">
        <v>1</v>
      </c>
      <c r="N268" t="n">
        <v>0</v>
      </c>
      <c r="O268" t="n">
        <v>0</v>
      </c>
      <c r="P268" t="n">
        <v>0</v>
      </c>
      <c r="Q268" t="n">
        <v>1</v>
      </c>
      <c r="R268" t="n">
        <v>1</v>
      </c>
      <c r="S268" t="n">
        <v>1</v>
      </c>
      <c r="T268" t="n">
        <v>2</v>
      </c>
      <c r="U268" s="2" t="inlineStr">
        <is>
          <t>Doftticka</t>
        </is>
      </c>
      <c r="V268">
        <f>HYPERLINK("https://klasma.github.io/Logging_2303/artfynd/A 49770-2024 artfynd.xlsx", "A 49770-2024")</f>
        <v/>
      </c>
      <c r="W268">
        <f>HYPERLINK("https://klasma.github.io/Logging_2303/kartor/A 49770-2024 karta.png", "A 49770-2024")</f>
        <v/>
      </c>
      <c r="Y268">
        <f>HYPERLINK("https://klasma.github.io/Logging_2303/klagomål/A 49770-2024 FSC-klagomål.docx", "A 49770-2024")</f>
        <v/>
      </c>
      <c r="Z268">
        <f>HYPERLINK("https://klasma.github.io/Logging_2303/klagomålsmail/A 49770-2024 FSC-klagomål mail.docx", "A 49770-2024")</f>
        <v/>
      </c>
      <c r="AA268">
        <f>HYPERLINK("https://klasma.github.io/Logging_2303/tillsyn/A 49770-2024 tillsynsbegäran.docx", "A 49770-2024")</f>
        <v/>
      </c>
      <c r="AB268">
        <f>HYPERLINK("https://klasma.github.io/Logging_2303/tillsynsmail/A 49770-2024 tillsynsbegäran mail.docx", "A 49770-2024")</f>
        <v/>
      </c>
    </row>
    <row r="269" ht="15" customHeight="1">
      <c r="A269" t="inlineStr">
        <is>
          <t>A 16850-2026</t>
        </is>
      </c>
      <c r="B269" t="inlineStr">
        <is>
          <t>avverkningsanmälan</t>
        </is>
      </c>
      <c r="C269" t="inlineStr">
        <is>
          <t>Föryngringsavverkning</t>
        </is>
      </c>
      <c r="D269" s="1" t="n">
        <v>46113</v>
      </c>
      <c r="E269" s="1" t="n">
        <v>46220</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16850-2026 artfynd.xlsx", "A 16850-2026")</f>
        <v/>
      </c>
      <c r="W269">
        <f>HYPERLINK("https://klasma.github.io/Logging_2303/kartor/A 16850-2026 karta.png", "A 16850-2026")</f>
        <v/>
      </c>
      <c r="Y269">
        <f>HYPERLINK("https://klasma.github.io/Logging_2303/klagomål/A 16850-2026 FSC-klagomål.docx", "A 16850-2026")</f>
        <v/>
      </c>
      <c r="Z269">
        <f>HYPERLINK("https://klasma.github.io/Logging_2303/klagomålsmail/A 16850-2026 FSC-klagomål mail.docx", "A 16850-2026")</f>
        <v/>
      </c>
      <c r="AA269">
        <f>HYPERLINK("https://klasma.github.io/Logging_2303/tillsyn/A 16850-2026 tillsynsbegäran.docx", "A 16850-2026")</f>
        <v/>
      </c>
      <c r="AB269">
        <f>HYPERLINK("https://klasma.github.io/Logging_2303/tillsynsmail/A 16850-2026 tillsynsbegäran mail.docx", "A 16850-2026")</f>
        <v/>
      </c>
    </row>
    <row r="270" ht="15" customHeight="1">
      <c r="A270" t="inlineStr">
        <is>
          <t>A 61324-2024</t>
        </is>
      </c>
      <c r="B270" t="inlineStr">
        <is>
          <t>avverkningsanmälan</t>
        </is>
      </c>
      <c r="C270" t="inlineStr">
        <is>
          <t>Föryngringsavverkning</t>
        </is>
      </c>
      <c r="D270" s="1" t="n">
        <v>45646</v>
      </c>
      <c r="E270" s="1" t="n">
        <v>46220</v>
      </c>
      <c r="F270" t="inlineStr">
        <is>
          <t>JÄMTLANDS LÄN</t>
        </is>
      </c>
      <c r="G270" t="inlineStr">
        <is>
          <t>RAGUNDA</t>
        </is>
      </c>
      <c r="H270" t="inlineStr">
        <is>
          <t>SCA</t>
        </is>
      </c>
      <c r="I270" t="n">
        <v>11.2</v>
      </c>
      <c r="J270" t="n">
        <v>1</v>
      </c>
      <c r="K270" t="n">
        <v>0</v>
      </c>
      <c r="L270" t="n">
        <v>0</v>
      </c>
      <c r="M270" t="n">
        <v>0</v>
      </c>
      <c r="N270" t="n">
        <v>0</v>
      </c>
      <c r="O270" t="n">
        <v>0</v>
      </c>
      <c r="P270" t="n">
        <v>0</v>
      </c>
      <c r="Q270" t="n">
        <v>0</v>
      </c>
      <c r="R270" t="n">
        <v>0</v>
      </c>
      <c r="S270" t="n">
        <v>1</v>
      </c>
      <c r="T270" t="n">
        <v>1</v>
      </c>
      <c r="U270" s="2" t="inlineStr">
        <is>
          <t>Trana</t>
        </is>
      </c>
      <c r="V270">
        <f>HYPERLINK("https://klasma.github.io/Logging_2303/artfynd/A 61324-2024 artfynd.xlsx", "A 61324-2024")</f>
        <v/>
      </c>
      <c r="W270">
        <f>HYPERLINK("https://klasma.github.io/Logging_2303/kartor/A 61324-2024 karta.png", "A 61324-2024")</f>
        <v/>
      </c>
      <c r="Y270">
        <f>HYPERLINK("https://klasma.github.io/Logging_2303/klagomål/A 61324-2024 FSC-klagomål.docx", "A 61324-2024")</f>
        <v/>
      </c>
      <c r="Z270">
        <f>HYPERLINK("https://klasma.github.io/Logging_2303/klagomålsmail/A 61324-2024 FSC-klagomål mail.docx", "A 61324-2024")</f>
        <v/>
      </c>
      <c r="AA270">
        <f>HYPERLINK("https://klasma.github.io/Logging_2303/tillsyn/A 61324-2024 tillsynsbegäran.docx", "A 61324-2024")</f>
        <v/>
      </c>
      <c r="AB270">
        <f>HYPERLINK("https://klasma.github.io/Logging_2303/tillsynsmail/A 61324-2024 tillsynsbegäran mail.docx", "A 61324-2024")</f>
        <v/>
      </c>
      <c r="AC270">
        <f>HYPERLINK("https://klasma.github.io/Logging_2303/fåglar/A 61324-2024 prioriterade fågelarter.docx", "A 61324-2024")</f>
        <v/>
      </c>
    </row>
    <row r="271" ht="15" customHeight="1">
      <c r="A271" t="inlineStr">
        <is>
          <t>A 19589-2026</t>
        </is>
      </c>
      <c r="B271" t="inlineStr">
        <is>
          <t>avverkningsanmälan</t>
        </is>
      </c>
      <c r="C271" t="inlineStr">
        <is>
          <t>Föryngringsavverkning</t>
        </is>
      </c>
      <c r="D271" s="1" t="n">
        <v>46134</v>
      </c>
      <c r="E271" s="1" t="n">
        <v>46220</v>
      </c>
      <c r="F271" t="inlineStr">
        <is>
          <t>JÄMTLANDS LÄN</t>
        </is>
      </c>
      <c r="G271" t="inlineStr">
        <is>
          <t>RAGUNDA</t>
        </is>
      </c>
      <c r="H271" t="inlineStr">
        <is>
          <t>SCA</t>
        </is>
      </c>
      <c r="I271" t="n">
        <v>16</v>
      </c>
      <c r="J271" t="n">
        <v>0</v>
      </c>
      <c r="K271" t="n">
        <v>0</v>
      </c>
      <c r="L271" t="n">
        <v>1</v>
      </c>
      <c r="M271" t="n">
        <v>0</v>
      </c>
      <c r="N271" t="n">
        <v>0</v>
      </c>
      <c r="O271" t="n">
        <v>0</v>
      </c>
      <c r="P271" t="n">
        <v>0</v>
      </c>
      <c r="Q271" t="n">
        <v>1</v>
      </c>
      <c r="R271" t="n">
        <v>0</v>
      </c>
      <c r="S271" t="n">
        <v>1</v>
      </c>
      <c r="T271" t="n">
        <v>1</v>
      </c>
      <c r="U271" s="2" t="inlineStr">
        <is>
          <t>Gammelgransskål</t>
        </is>
      </c>
      <c r="V271">
        <f>HYPERLINK("https://klasma.github.io/Logging_2303/artfynd/A 19589-2026 artfynd.xlsx", "A 19589-2026")</f>
        <v/>
      </c>
      <c r="W271">
        <f>HYPERLINK("https://klasma.github.io/Logging_2303/kartor/A 19589-2026 karta.png", "A 19589-2026")</f>
        <v/>
      </c>
      <c r="Y271">
        <f>HYPERLINK("https://klasma.github.io/Logging_2303/klagomål/A 19589-2026 FSC-klagomål.docx", "A 19589-2026")</f>
        <v/>
      </c>
      <c r="Z271">
        <f>HYPERLINK("https://klasma.github.io/Logging_2303/klagomålsmail/A 19589-2026 FSC-klagomål mail.docx", "A 19589-2026")</f>
        <v/>
      </c>
      <c r="AA271">
        <f>HYPERLINK("https://klasma.github.io/Logging_2303/tillsyn/A 19589-2026 tillsynsbegäran.docx", "A 19589-2026")</f>
        <v/>
      </c>
      <c r="AB271">
        <f>HYPERLINK("https://klasma.github.io/Logging_2303/tillsynsmail/A 19589-2026 tillsynsbegäran mail.docx", "A 19589-2026")</f>
        <v/>
      </c>
    </row>
    <row r="272" ht="15" customHeight="1">
      <c r="A272" t="inlineStr">
        <is>
          <t>A 19751-2025</t>
        </is>
      </c>
      <c r="B272" t="inlineStr">
        <is>
          <t>avverkningsanmälan</t>
        </is>
      </c>
      <c r="C272" t="inlineStr">
        <is>
          <t>Föryngringsavverkning</t>
        </is>
      </c>
      <c r="D272" s="1" t="n">
        <v>45771</v>
      </c>
      <c r="E272" s="1" t="n">
        <v>46220</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s="2" t="inlineStr">
        <is>
          <t>Tretåig hackspett</t>
        </is>
      </c>
      <c r="V272">
        <f>HYPERLINK("https://klasma.github.io/Logging_2303/artfynd/A 19751-2025 artfynd.xlsx", "A 19751-2025")</f>
        <v/>
      </c>
      <c r="W272">
        <f>HYPERLINK("https://klasma.github.io/Logging_2303/kartor/A 19751-2025 karta.png", "A 19751-2025")</f>
        <v/>
      </c>
      <c r="Y272">
        <f>HYPERLINK("https://klasma.github.io/Logging_2303/klagomål/A 19751-2025 FSC-klagomål.docx", "A 19751-2025")</f>
        <v/>
      </c>
      <c r="Z272">
        <f>HYPERLINK("https://klasma.github.io/Logging_2303/klagomålsmail/A 19751-2025 FSC-klagomål mail.docx", "A 19751-2025")</f>
        <v/>
      </c>
      <c r="AA272">
        <f>HYPERLINK("https://klasma.github.io/Logging_2303/tillsyn/A 19751-2025 tillsynsbegäran.docx", "A 19751-2025")</f>
        <v/>
      </c>
      <c r="AB272">
        <f>HYPERLINK("https://klasma.github.io/Logging_2303/tillsynsmail/A 19751-2025 tillsynsbegäran mail.docx", "A 19751-2025")</f>
        <v/>
      </c>
      <c r="AC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46220</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s="2" t="inlineStr">
        <is>
          <t>Tretåig hackspett</t>
        </is>
      </c>
      <c r="V273">
        <f>HYPERLINK("https://klasma.github.io/Logging_2303/artfynd/A 36756-2023 artfynd.xlsx", "A 36756-2023")</f>
        <v/>
      </c>
      <c r="W273">
        <f>HYPERLINK("https://klasma.github.io/Logging_2303/kartor/A 36756-2023 karta.png", "A 36756-2023")</f>
        <v/>
      </c>
      <c r="Y273">
        <f>HYPERLINK("https://klasma.github.io/Logging_2303/klagomål/A 36756-2023 FSC-klagomål.docx", "A 36756-2023")</f>
        <v/>
      </c>
      <c r="Z273">
        <f>HYPERLINK("https://klasma.github.io/Logging_2303/klagomålsmail/A 36756-2023 FSC-klagomål mail.docx", "A 36756-2023")</f>
        <v/>
      </c>
      <c r="AA273">
        <f>HYPERLINK("https://klasma.github.io/Logging_2303/tillsyn/A 36756-2023 tillsynsbegäran.docx", "A 36756-2023")</f>
        <v/>
      </c>
      <c r="AB273">
        <f>HYPERLINK("https://klasma.github.io/Logging_2303/tillsynsmail/A 36756-2023 tillsynsbegäran mail.docx", "A 36756-2023")</f>
        <v/>
      </c>
      <c r="AC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46220</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s="2" t="inlineStr">
        <is>
          <t>Revlummer</t>
        </is>
      </c>
      <c r="V274">
        <f>HYPERLINK("https://klasma.github.io/Logging_2303/artfynd/A 4348-2023 artfynd.xlsx", "A 4348-2023")</f>
        <v/>
      </c>
      <c r="W274">
        <f>HYPERLINK("https://klasma.github.io/Logging_2303/kartor/A 4348-2023 karta.png", "A 4348-2023")</f>
        <v/>
      </c>
      <c r="Y274">
        <f>HYPERLINK("https://klasma.github.io/Logging_2303/klagomål/A 4348-2023 FSC-klagomål.docx", "A 4348-2023")</f>
        <v/>
      </c>
      <c r="Z274">
        <f>HYPERLINK("https://klasma.github.io/Logging_2303/klagomålsmail/A 4348-2023 FSC-klagomål mail.docx", "A 4348-2023")</f>
        <v/>
      </c>
      <c r="AA274">
        <f>HYPERLINK("https://klasma.github.io/Logging_2303/tillsyn/A 4348-2023 tillsynsbegäran.docx", "A 4348-2023")</f>
        <v/>
      </c>
      <c r="AB274">
        <f>HYPERLINK("https://klasma.github.io/Logging_2303/tillsynsmail/A 4348-2023 tillsynsbegäran mail.docx", "A 4348-2023")</f>
        <v/>
      </c>
    </row>
    <row r="275" ht="15" customHeight="1">
      <c r="A275" t="inlineStr">
        <is>
          <t>A 19387-2025</t>
        </is>
      </c>
      <c r="B275" t="inlineStr">
        <is>
          <t>avverkningsanmälan</t>
        </is>
      </c>
      <c r="C275" t="inlineStr">
        <is>
          <t>Föryngringsavverkning</t>
        </is>
      </c>
      <c r="D275" s="1" t="n">
        <v>45769</v>
      </c>
      <c r="E275" s="1" t="n">
        <v>46220</v>
      </c>
      <c r="F275" t="inlineStr">
        <is>
          <t>JÄMTLANDS LÄN</t>
        </is>
      </c>
      <c r="G275" t="inlineStr">
        <is>
          <t>RAGUNDA</t>
        </is>
      </c>
      <c r="H275" t="inlineStr">
        <is>
          <t>SCA</t>
        </is>
      </c>
      <c r="I275" t="n">
        <v>16.4</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HYPERLINK("https://klasma.github.io/Logging_2303/artfynd/A 19387-2025 artfynd.xlsx", "A 19387-2025")</f>
        <v/>
      </c>
      <c r="W275">
        <f>HYPERLINK("https://klasma.github.io/Logging_2303/kartor/A 19387-2025 karta.png", "A 19387-2025")</f>
        <v/>
      </c>
      <c r="Y275">
        <f>HYPERLINK("https://klasma.github.io/Logging_2303/klagomål/A 19387-2025 FSC-klagomål.docx", "A 19387-2025")</f>
        <v/>
      </c>
      <c r="Z275">
        <f>HYPERLINK("https://klasma.github.io/Logging_2303/klagomålsmail/A 19387-2025 FSC-klagomål mail.docx", "A 19387-2025")</f>
        <v/>
      </c>
      <c r="AA275">
        <f>HYPERLINK("https://klasma.github.io/Logging_2303/tillsyn/A 19387-2025 tillsynsbegäran.docx", "A 19387-2025")</f>
        <v/>
      </c>
      <c r="AB275">
        <f>HYPERLINK("https://klasma.github.io/Logging_2303/tillsynsmail/A 19387-2025 tillsynsbegäran mail.docx", "A 19387-2025")</f>
        <v/>
      </c>
      <c r="AC275">
        <f>HYPERLINK("https://klasma.github.io/Logging_2303/fåglar/A 19387-2025 prioriterade fågelarter.docx", "A 19387-2025")</f>
        <v/>
      </c>
    </row>
    <row r="276" ht="15" customHeight="1">
      <c r="A276" t="inlineStr">
        <is>
          <t>A 2929-2024</t>
        </is>
      </c>
      <c r="B276" t="inlineStr">
        <is>
          <t>avverkningsanmälan</t>
        </is>
      </c>
      <c r="C276" t="inlineStr">
        <is>
          <t>Föryngringsavverkning</t>
        </is>
      </c>
      <c r="D276" s="1" t="n">
        <v>45315</v>
      </c>
      <c r="E276" s="1" t="n">
        <v>46220</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s="2" t="inlineStr">
        <is>
          <t>Klådris</t>
        </is>
      </c>
      <c r="V276">
        <f>HYPERLINK("https://klasma.github.io/Logging_2303/artfynd/A 2929-2024 artfynd.xlsx", "A 2929-2024")</f>
        <v/>
      </c>
      <c r="W276">
        <f>HYPERLINK("https://klasma.github.io/Logging_2303/kartor/A 2929-2024 karta.png", "A 2929-2024")</f>
        <v/>
      </c>
      <c r="Y276">
        <f>HYPERLINK("https://klasma.github.io/Logging_2303/klagomål/A 2929-2024 FSC-klagomål.docx", "A 2929-2024")</f>
        <v/>
      </c>
      <c r="Z276">
        <f>HYPERLINK("https://klasma.github.io/Logging_2303/klagomålsmail/A 2929-2024 FSC-klagomål mail.docx", "A 2929-2024")</f>
        <v/>
      </c>
      <c r="AA276">
        <f>HYPERLINK("https://klasma.github.io/Logging_2303/tillsyn/A 2929-2024 tillsynsbegäran.docx", "A 2929-2024")</f>
        <v/>
      </c>
      <c r="AB276">
        <f>HYPERLINK("https://klasma.github.io/Logging_2303/tillsynsmail/A 2929-2024 tillsynsbegäran mail.docx", "A 2929-2024")</f>
        <v/>
      </c>
    </row>
    <row r="277" ht="15" customHeight="1">
      <c r="A277" t="inlineStr">
        <is>
          <t>A 63708-2023</t>
        </is>
      </c>
      <c r="B277" t="inlineStr">
        <is>
          <t>avverkningsanmälan</t>
        </is>
      </c>
      <c r="C277" t="inlineStr">
        <is>
          <t>Avverkning för att bevara och utveckla /försöksver</t>
        </is>
      </c>
      <c r="D277" s="1" t="n">
        <v>45275</v>
      </c>
      <c r="E277" s="1" t="n">
        <v>46220</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s="2" t="inlineStr">
        <is>
          <t>Gammelgransskål</t>
        </is>
      </c>
      <c r="V277">
        <f>HYPERLINK("https://klasma.github.io/Logging_2303/artfynd/A 63708-2023 artfynd.xlsx", "A 63708-2023")</f>
        <v/>
      </c>
      <c r="W277">
        <f>HYPERLINK("https://klasma.github.io/Logging_2303/kartor/A 63708-2023 karta.png", "A 63708-2023")</f>
        <v/>
      </c>
      <c r="Y277">
        <f>HYPERLINK("https://klasma.github.io/Logging_2303/klagomål/A 63708-2023 FSC-klagomål.docx", "A 63708-2023")</f>
        <v/>
      </c>
      <c r="Z277">
        <f>HYPERLINK("https://klasma.github.io/Logging_2303/klagomålsmail/A 63708-2023 FSC-klagomål mail.docx", "A 63708-2023")</f>
        <v/>
      </c>
      <c r="AA277">
        <f>HYPERLINK("https://klasma.github.io/Logging_2303/tillsyn/A 63708-2023 tillsynsbegäran.docx", "A 63708-2023")</f>
        <v/>
      </c>
      <c r="AB277">
        <f>HYPERLINK("https://klasma.github.io/Logging_2303/tillsynsmail/A 63708-2023 tillsynsbegäran mail.docx", "A 63708-2023")</f>
        <v/>
      </c>
    </row>
    <row r="278" ht="15" customHeight="1">
      <c r="A278" t="inlineStr">
        <is>
          <t>A 58846-2024</t>
        </is>
      </c>
      <c r="B278" t="inlineStr">
        <is>
          <t>avverkningsanmälan</t>
        </is>
      </c>
      <c r="C278" t="inlineStr">
        <is>
          <t>Föryngringsavverkning</t>
        </is>
      </c>
      <c r="D278" s="1" t="n">
        <v>45636</v>
      </c>
      <c r="E278" s="1" t="n">
        <v>46220</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s="2" t="inlineStr">
        <is>
          <t>Rynkskinn</t>
        </is>
      </c>
      <c r="V278">
        <f>HYPERLINK("https://klasma.github.io/Logging_2303/artfynd/A 58846-2024 artfynd.xlsx", "A 58846-2024")</f>
        <v/>
      </c>
      <c r="W278">
        <f>HYPERLINK("https://klasma.github.io/Logging_2303/kartor/A 58846-2024 karta.png", "A 58846-2024")</f>
        <v/>
      </c>
      <c r="Y278">
        <f>HYPERLINK("https://klasma.github.io/Logging_2303/klagomål/A 58846-2024 FSC-klagomål.docx", "A 58846-2024")</f>
        <v/>
      </c>
      <c r="Z278">
        <f>HYPERLINK("https://klasma.github.io/Logging_2303/klagomålsmail/A 58846-2024 FSC-klagomål mail.docx", "A 58846-2024")</f>
        <v/>
      </c>
      <c r="AA278">
        <f>HYPERLINK("https://klasma.github.io/Logging_2303/tillsyn/A 58846-2024 tillsynsbegäran.docx", "A 58846-2024")</f>
        <v/>
      </c>
      <c r="AB278">
        <f>HYPERLINK("https://klasma.github.io/Logging_2303/tillsynsmail/A 58846-2024 tillsynsbegäran mail.docx", "A 58846-2024")</f>
        <v/>
      </c>
    </row>
    <row r="279" ht="15" customHeight="1">
      <c r="A279" t="inlineStr">
        <is>
          <t>A 36854-2023</t>
        </is>
      </c>
      <c r="B279" t="inlineStr">
        <is>
          <t>avverkningsanmälan</t>
        </is>
      </c>
      <c r="C279" t="inlineStr">
        <is>
          <t>Föryngringsavverkning</t>
        </is>
      </c>
      <c r="D279" s="1" t="n">
        <v>45153</v>
      </c>
      <c r="E279" s="1" t="n">
        <v>46220</v>
      </c>
      <c r="F279" t="inlineStr">
        <is>
          <t>JÄMTLANDS LÄN</t>
        </is>
      </c>
      <c r="G279" t="inlineStr">
        <is>
          <t>RAGUNDA</t>
        </is>
      </c>
      <c r="I279" t="n">
        <v>4</v>
      </c>
      <c r="J279" t="n">
        <v>1</v>
      </c>
      <c r="K279" t="n">
        <v>0</v>
      </c>
      <c r="L279" t="n">
        <v>1</v>
      </c>
      <c r="M279" t="n">
        <v>0</v>
      </c>
      <c r="N279" t="n">
        <v>0</v>
      </c>
      <c r="O279" t="n">
        <v>0</v>
      </c>
      <c r="P279" t="n">
        <v>0</v>
      </c>
      <c r="Q279" t="n">
        <v>1</v>
      </c>
      <c r="R279" t="n">
        <v>0</v>
      </c>
      <c r="S279" t="n">
        <v>1</v>
      </c>
      <c r="T279" t="n">
        <v>1</v>
      </c>
      <c r="U279" s="2" t="inlineStr">
        <is>
          <t>Talltita</t>
        </is>
      </c>
      <c r="V279">
        <f>HYPERLINK("https://klasma.github.io/Logging_2303/artfynd/A 36854-2023 artfynd.xlsx", "A 36854-2023")</f>
        <v/>
      </c>
      <c r="W279">
        <f>HYPERLINK("https://klasma.github.io/Logging_2303/kartor/A 36854-2023 karta.png", "A 36854-2023")</f>
        <v/>
      </c>
      <c r="Y279">
        <f>HYPERLINK("https://klasma.github.io/Logging_2303/klagomål/A 36854-2023 FSC-klagomål.docx", "A 36854-2023")</f>
        <v/>
      </c>
      <c r="Z279">
        <f>HYPERLINK("https://klasma.github.io/Logging_2303/klagomålsmail/A 36854-2023 FSC-klagomål mail.docx", "A 36854-2023")</f>
        <v/>
      </c>
      <c r="AA279">
        <f>HYPERLINK("https://klasma.github.io/Logging_2303/tillsyn/A 36854-2023 tillsynsbegäran.docx", "A 36854-2023")</f>
        <v/>
      </c>
      <c r="AB279">
        <f>HYPERLINK("https://klasma.github.io/Logging_2303/tillsynsmail/A 36854-2023 tillsynsbegäran mail.docx", "A 36854-2023")</f>
        <v/>
      </c>
      <c r="AC279">
        <f>HYPERLINK("https://klasma.github.io/Logging_2303/fåglar/A 36854-2023 prioriterade fågelarter.docx", "A 36854-2023")</f>
        <v/>
      </c>
    </row>
    <row r="280" ht="15" customHeight="1">
      <c r="A280" t="inlineStr">
        <is>
          <t>A 18985-2023</t>
        </is>
      </c>
      <c r="B280" t="inlineStr">
        <is>
          <t>avverkningsanmälan</t>
        </is>
      </c>
      <c r="C280" t="inlineStr">
        <is>
          <t>Avverkning för att bevara och utveckla /försöksver</t>
        </is>
      </c>
      <c r="D280" s="1" t="n">
        <v>45044</v>
      </c>
      <c r="E280" s="1" t="n">
        <v>46220</v>
      </c>
      <c r="F280" t="inlineStr">
        <is>
          <t>JÄMTLANDS LÄN</t>
        </is>
      </c>
      <c r="G280" t="inlineStr">
        <is>
          <t>RAGUNDA</t>
        </is>
      </c>
      <c r="H280" t="inlineStr">
        <is>
          <t>SCA</t>
        </is>
      </c>
      <c r="I280" t="n">
        <v>2.6</v>
      </c>
      <c r="J280" t="n">
        <v>0</v>
      </c>
      <c r="K280" t="n">
        <v>0</v>
      </c>
      <c r="L280" t="n">
        <v>1</v>
      </c>
      <c r="M280" t="n">
        <v>0</v>
      </c>
      <c r="N280" t="n">
        <v>0</v>
      </c>
      <c r="O280" t="n">
        <v>0</v>
      </c>
      <c r="P280" t="n">
        <v>0</v>
      </c>
      <c r="Q280" t="n">
        <v>1</v>
      </c>
      <c r="R280" t="n">
        <v>0</v>
      </c>
      <c r="S280" t="n">
        <v>1</v>
      </c>
      <c r="T280" t="n">
        <v>1</v>
      </c>
      <c r="U280" s="2" t="inlineStr">
        <is>
          <t>Doftskinn</t>
        </is>
      </c>
      <c r="V280">
        <f>HYPERLINK("https://klasma.github.io/Logging_2303/artfynd/A 18985-2023 artfynd.xlsx", "A 18985-2023")</f>
        <v/>
      </c>
      <c r="W280">
        <f>HYPERLINK("https://klasma.github.io/Logging_2303/kartor/A 18985-2023 karta.png", "A 18985-2023")</f>
        <v/>
      </c>
      <c r="Y280">
        <f>HYPERLINK("https://klasma.github.io/Logging_2303/klagomål/A 18985-2023 FSC-klagomål.docx", "A 18985-2023")</f>
        <v/>
      </c>
      <c r="Z280">
        <f>HYPERLINK("https://klasma.github.io/Logging_2303/klagomålsmail/A 18985-2023 FSC-klagomål mail.docx", "A 18985-2023")</f>
        <v/>
      </c>
      <c r="AA280">
        <f>HYPERLINK("https://klasma.github.io/Logging_2303/tillsyn/A 18985-2023 tillsynsbegäran.docx", "A 18985-2023")</f>
        <v/>
      </c>
      <c r="AB280">
        <f>HYPERLINK("https://klasma.github.io/Logging_2303/tillsynsmail/A 18985-2023 tillsynsbegäran mail.docx", "A 18985-2023")</f>
        <v/>
      </c>
    </row>
    <row r="281" ht="15" customHeight="1">
      <c r="A281" t="inlineStr">
        <is>
          <t>A 35750-2023</t>
        </is>
      </c>
      <c r="B281" t="inlineStr">
        <is>
          <t>avverkningsanmälan</t>
        </is>
      </c>
      <c r="C281" t="inlineStr">
        <is>
          <t>Avverkning för att bevara och utveckla /försöksver</t>
        </is>
      </c>
      <c r="D281" s="1" t="n">
        <v>45147</v>
      </c>
      <c r="E281" s="1" t="n">
        <v>46220</v>
      </c>
      <c r="F281" t="inlineStr">
        <is>
          <t>JÄMTLANDS LÄN</t>
        </is>
      </c>
      <c r="G281" t="inlineStr">
        <is>
          <t>RAGUNDA</t>
        </is>
      </c>
      <c r="H281" t="inlineStr">
        <is>
          <t>SCA</t>
        </is>
      </c>
      <c r="I281" t="n">
        <v>4.8</v>
      </c>
      <c r="J281" t="n">
        <v>0</v>
      </c>
      <c r="K281" t="n">
        <v>0</v>
      </c>
      <c r="L281" t="n">
        <v>1</v>
      </c>
      <c r="M281" t="n">
        <v>0</v>
      </c>
      <c r="N281" t="n">
        <v>0</v>
      </c>
      <c r="O281" t="n">
        <v>0</v>
      </c>
      <c r="P281" t="n">
        <v>0</v>
      </c>
      <c r="Q281" t="n">
        <v>1</v>
      </c>
      <c r="R281" t="n">
        <v>0</v>
      </c>
      <c r="S281" t="n">
        <v>1</v>
      </c>
      <c r="T281" t="n">
        <v>1</v>
      </c>
      <c r="U281" s="2" t="inlineStr">
        <is>
          <t>Grantaggsvamp</t>
        </is>
      </c>
      <c r="V281">
        <f>HYPERLINK("https://klasma.github.io/Logging_2303/artfynd/A 35750-2023 artfynd.xlsx", "A 35750-2023")</f>
        <v/>
      </c>
      <c r="W281">
        <f>HYPERLINK("https://klasma.github.io/Logging_2303/kartor/A 35750-2023 karta.png", "A 35750-2023")</f>
        <v/>
      </c>
      <c r="Y281">
        <f>HYPERLINK("https://klasma.github.io/Logging_2303/klagomål/A 35750-2023 FSC-klagomål.docx", "A 35750-2023")</f>
        <v/>
      </c>
      <c r="Z281">
        <f>HYPERLINK("https://klasma.github.io/Logging_2303/klagomålsmail/A 35750-2023 FSC-klagomål mail.docx", "A 35750-2023")</f>
        <v/>
      </c>
      <c r="AA281">
        <f>HYPERLINK("https://klasma.github.io/Logging_2303/tillsyn/A 35750-2023 tillsynsbegäran.docx", "A 35750-2023")</f>
        <v/>
      </c>
      <c r="AB281">
        <f>HYPERLINK("https://klasma.github.io/Logging_2303/tillsynsmail/A 35750-2023 tillsynsbegäran mail.docx", "A 35750-2023")</f>
        <v/>
      </c>
    </row>
    <row r="282" ht="15" customHeight="1">
      <c r="A282" t="inlineStr">
        <is>
          <t>A 7281-2025</t>
        </is>
      </c>
      <c r="B282" t="inlineStr">
        <is>
          <t>avverkningsanmälan</t>
        </is>
      </c>
      <c r="C282" t="inlineStr">
        <is>
          <t>Föryngringsavverkning</t>
        </is>
      </c>
      <c r="D282" s="1" t="n">
        <v>45702</v>
      </c>
      <c r="E282" s="1" t="n">
        <v>46220</v>
      </c>
      <c r="F282" t="inlineStr">
        <is>
          <t>JÄMTLANDS LÄN</t>
        </is>
      </c>
      <c r="G282" t="inlineStr">
        <is>
          <t>RAGUNDA</t>
        </is>
      </c>
      <c r="H282" t="inlineStr">
        <is>
          <t>SCA</t>
        </is>
      </c>
      <c r="I282" t="n">
        <v>1.4</v>
      </c>
      <c r="J282" t="n">
        <v>1</v>
      </c>
      <c r="K282" t="n">
        <v>1</v>
      </c>
      <c r="L282" t="n">
        <v>0</v>
      </c>
      <c r="M282" t="n">
        <v>0</v>
      </c>
      <c r="N282" t="n">
        <v>0</v>
      </c>
      <c r="O282" t="n">
        <v>0</v>
      </c>
      <c r="P282" t="n">
        <v>0</v>
      </c>
      <c r="Q282" t="n">
        <v>0</v>
      </c>
      <c r="R282" t="n">
        <v>0</v>
      </c>
      <c r="S282" t="n">
        <v>1</v>
      </c>
      <c r="T282" t="n">
        <v>1</v>
      </c>
      <c r="U282" s="2" t="inlineStr">
        <is>
          <t>Lappranunkel</t>
        </is>
      </c>
      <c r="V282">
        <f>HYPERLINK("https://klasma.github.io/Logging_2303/artfynd/A 7281-2025 artfynd.xlsx", "A 7281-2025")</f>
        <v/>
      </c>
      <c r="W282">
        <f>HYPERLINK("https://klasma.github.io/Logging_2303/kartor/A 7281-2025 karta.png", "A 7281-2025")</f>
        <v/>
      </c>
      <c r="Y282">
        <f>HYPERLINK("https://klasma.github.io/Logging_2303/klagomål/A 7281-2025 FSC-klagomål.docx", "A 7281-2025")</f>
        <v/>
      </c>
      <c r="Z282">
        <f>HYPERLINK("https://klasma.github.io/Logging_2303/klagomålsmail/A 7281-2025 FSC-klagomål mail.docx", "A 7281-2025")</f>
        <v/>
      </c>
      <c r="AA282">
        <f>HYPERLINK("https://klasma.github.io/Logging_2303/tillsyn/A 7281-2025 tillsynsbegäran.docx", "A 7281-2025")</f>
        <v/>
      </c>
      <c r="AB282">
        <f>HYPERLINK("https://klasma.github.io/Logging_2303/tillsynsmail/A 7281-2025 tillsynsbegäran mail.docx", "A 7281-2025")</f>
        <v/>
      </c>
    </row>
    <row r="283" ht="15" customHeight="1">
      <c r="A283" t="inlineStr">
        <is>
          <t>A 21860-2026</t>
        </is>
      </c>
      <c r="B283" t="inlineStr">
        <is>
          <t>avverkningsanmälan</t>
        </is>
      </c>
      <c r="C283" t="inlineStr">
        <is>
          <t>Föryngringsavverkning</t>
        </is>
      </c>
      <c r="D283" s="1" t="n">
        <v>46150</v>
      </c>
      <c r="E283" s="1" t="n">
        <v>46220</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s="2" t="inlineStr">
        <is>
          <t>Bollvitmossa</t>
        </is>
      </c>
      <c r="V283">
        <f>HYPERLINK("https://klasma.github.io/Logging_2303/artfynd/A 21860-2026 artfynd.xlsx", "A 21860-2026")</f>
        <v/>
      </c>
      <c r="W283">
        <f>HYPERLINK("https://klasma.github.io/Logging_2303/kartor/A 21860-2026 karta.png", "A 21860-2026")</f>
        <v/>
      </c>
      <c r="Y283">
        <f>HYPERLINK("https://klasma.github.io/Logging_2303/klagomål/A 21860-2026 FSC-klagomål.docx", "A 21860-2026")</f>
        <v/>
      </c>
      <c r="Z283">
        <f>HYPERLINK("https://klasma.github.io/Logging_2303/klagomålsmail/A 21860-2026 FSC-klagomål mail.docx", "A 21860-2026")</f>
        <v/>
      </c>
      <c r="AA283">
        <f>HYPERLINK("https://klasma.github.io/Logging_2303/tillsyn/A 21860-2026 tillsynsbegäran.docx", "A 21860-2026")</f>
        <v/>
      </c>
      <c r="AB283">
        <f>HYPERLINK("https://klasma.github.io/Logging_2303/tillsynsmail/A 21860-2026 tillsynsbegäran mail.docx", "A 21860-2026")</f>
        <v/>
      </c>
    </row>
    <row r="284" ht="15" customHeight="1">
      <c r="A284" t="inlineStr">
        <is>
          <t>A 27912-2026</t>
        </is>
      </c>
      <c r="B284" t="inlineStr">
        <is>
          <t>avverkningsanmälan</t>
        </is>
      </c>
      <c r="C284" t="inlineStr">
        <is>
          <t>Föryngringsavverkning</t>
        </is>
      </c>
      <c r="D284" s="1" t="n">
        <v>46191</v>
      </c>
      <c r="E284" s="1" t="n">
        <v>46220</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s="2" t="inlineStr">
        <is>
          <t>Knärot</t>
        </is>
      </c>
      <c r="V284">
        <f>HYPERLINK("https://klasma.github.io/Logging_2303/artfynd/A 27912-2026 artfynd.xlsx", "A 27912-2026")</f>
        <v/>
      </c>
      <c r="W284">
        <f>HYPERLINK("https://klasma.github.io/Logging_2303/kartor/A 27912-2026 karta.png", "A 27912-2026")</f>
        <v/>
      </c>
      <c r="X284">
        <f>HYPERLINK("https://klasma.github.io/Logging_2303/knärot/A 27912-2026 karta knärot.png", "A 27912-2026")</f>
        <v/>
      </c>
      <c r="Y284">
        <f>HYPERLINK("https://klasma.github.io/Logging_2303/klagomål/A 27912-2026 FSC-klagomål.docx", "A 27912-2026")</f>
        <v/>
      </c>
      <c r="Z284">
        <f>HYPERLINK("https://klasma.github.io/Logging_2303/klagomålsmail/A 27912-2026 FSC-klagomål mail.docx", "A 27912-2026")</f>
        <v/>
      </c>
      <c r="AA284">
        <f>HYPERLINK("https://klasma.github.io/Logging_2303/tillsyn/A 27912-2026 tillsynsbegäran.docx", "A 27912-2026")</f>
        <v/>
      </c>
      <c r="AB284">
        <f>HYPERLINK("https://klasma.github.io/Logging_2303/tillsynsmail/A 27912-2026 tillsynsbegäran mail.docx", "A 27912-2026")</f>
        <v/>
      </c>
    </row>
    <row r="285" ht="15" customHeight="1">
      <c r="A285" t="inlineStr">
        <is>
          <t>A 4125-2024</t>
        </is>
      </c>
      <c r="B285" t="inlineStr">
        <is>
          <t>avverkningsanmälan</t>
        </is>
      </c>
      <c r="C285" t="inlineStr">
        <is>
          <t>Föryngringsavverkning</t>
        </is>
      </c>
      <c r="D285" s="1" t="n">
        <v>45323</v>
      </c>
      <c r="E285" s="1" t="n">
        <v>46220</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s="2" t="inlineStr">
        <is>
          <t>Klådris</t>
        </is>
      </c>
      <c r="V285">
        <f>HYPERLINK("https://klasma.github.io/Logging_2303/artfynd/A 4125-2024 artfynd.xlsx", "A 4125-2024")</f>
        <v/>
      </c>
      <c r="W285">
        <f>HYPERLINK("https://klasma.github.io/Logging_2303/kartor/A 4125-2024 karta.png", "A 4125-2024")</f>
        <v/>
      </c>
      <c r="Y285">
        <f>HYPERLINK("https://klasma.github.io/Logging_2303/klagomål/A 4125-2024 FSC-klagomål.docx", "A 4125-2024")</f>
        <v/>
      </c>
      <c r="Z285">
        <f>HYPERLINK("https://klasma.github.io/Logging_2303/klagomålsmail/A 4125-2024 FSC-klagomål mail.docx", "A 4125-2024")</f>
        <v/>
      </c>
      <c r="AA285">
        <f>HYPERLINK("https://klasma.github.io/Logging_2303/tillsyn/A 4125-2024 tillsynsbegäran.docx", "A 4125-2024")</f>
        <v/>
      </c>
      <c r="AB285">
        <f>HYPERLINK("https://klasma.github.io/Logging_2303/tillsynsmail/A 4125-2024 tillsynsbegäran mail.docx", "A 4125-2024")</f>
        <v/>
      </c>
    </row>
    <row r="286" ht="15" customHeight="1">
      <c r="A286" t="inlineStr">
        <is>
          <t>A 4866-2025</t>
        </is>
      </c>
      <c r="B286" t="inlineStr">
        <is>
          <t>avverkningsanmälan</t>
        </is>
      </c>
      <c r="C286" t="inlineStr">
        <is>
          <t>Föryngringsavverkning</t>
        </is>
      </c>
      <c r="D286" s="1" t="n">
        <v>45688</v>
      </c>
      <c r="E286" s="1" t="n">
        <v>46220</v>
      </c>
      <c r="F286" t="inlineStr">
        <is>
          <t>JÄMTLANDS LÄN</t>
        </is>
      </c>
      <c r="G286" t="inlineStr">
        <is>
          <t>RAGUNDA</t>
        </is>
      </c>
      <c r="H286" t="inlineStr">
        <is>
          <t>SCA</t>
        </is>
      </c>
      <c r="I286" t="n">
        <v>2.1</v>
      </c>
      <c r="J286" t="n">
        <v>0</v>
      </c>
      <c r="K286" t="n">
        <v>0</v>
      </c>
      <c r="L286" t="n">
        <v>1</v>
      </c>
      <c r="M286" t="n">
        <v>0</v>
      </c>
      <c r="N286" t="n">
        <v>0</v>
      </c>
      <c r="O286" t="n">
        <v>0</v>
      </c>
      <c r="P286" t="n">
        <v>0</v>
      </c>
      <c r="Q286" t="n">
        <v>1</v>
      </c>
      <c r="R286" t="n">
        <v>0</v>
      </c>
      <c r="S286" t="n">
        <v>1</v>
      </c>
      <c r="T286" t="n">
        <v>1</v>
      </c>
      <c r="U286" s="2" t="inlineStr">
        <is>
          <t>Brunpudrad nållav</t>
        </is>
      </c>
      <c r="V286">
        <f>HYPERLINK("https://klasma.github.io/Logging_2303/artfynd/A 4866-2025 artfynd.xlsx", "A 4866-2025")</f>
        <v/>
      </c>
      <c r="W286">
        <f>HYPERLINK("https://klasma.github.io/Logging_2303/kartor/A 4866-2025 karta.png", "A 4866-2025")</f>
        <v/>
      </c>
      <c r="Y286">
        <f>HYPERLINK("https://klasma.github.io/Logging_2303/klagomål/A 4866-2025 FSC-klagomål.docx", "A 4866-2025")</f>
        <v/>
      </c>
      <c r="Z286">
        <f>HYPERLINK("https://klasma.github.io/Logging_2303/klagomålsmail/A 4866-2025 FSC-klagomål mail.docx", "A 4866-2025")</f>
        <v/>
      </c>
      <c r="AA286">
        <f>HYPERLINK("https://klasma.github.io/Logging_2303/tillsyn/A 4866-2025 tillsynsbegäran.docx", "A 4866-2025")</f>
        <v/>
      </c>
      <c r="AB286">
        <f>HYPERLINK("https://klasma.github.io/Logging_2303/tillsynsmail/A 4866-2025 tillsynsbegäran mail.docx", "A 4866-2025")</f>
        <v/>
      </c>
    </row>
    <row r="287" ht="15" customHeight="1">
      <c r="A287" t="inlineStr">
        <is>
          <t>A 62072-2023</t>
        </is>
      </c>
      <c r="B287" t="inlineStr">
        <is>
          <t>avverkningsanmälan</t>
        </is>
      </c>
      <c r="C287" t="inlineStr">
        <is>
          <t>Föryngringsavverkning</t>
        </is>
      </c>
      <c r="D287" s="1" t="n">
        <v>45266</v>
      </c>
      <c r="E287" s="1" t="n">
        <v>46220</v>
      </c>
      <c r="F287" t="inlineStr">
        <is>
          <t>JÄMTLANDS LÄN</t>
        </is>
      </c>
      <c r="G287" t="inlineStr">
        <is>
          <t>RAGUNDA</t>
        </is>
      </c>
      <c r="I287" t="n">
        <v>4.5</v>
      </c>
      <c r="J287" t="n">
        <v>1</v>
      </c>
      <c r="K287" t="n">
        <v>0</v>
      </c>
      <c r="L287" t="n">
        <v>0</v>
      </c>
      <c r="M287" t="n">
        <v>1</v>
      </c>
      <c r="N287" t="n">
        <v>0</v>
      </c>
      <c r="O287" t="n">
        <v>0</v>
      </c>
      <c r="P287" t="n">
        <v>0</v>
      </c>
      <c r="Q287" t="n">
        <v>1</v>
      </c>
      <c r="R287" t="n">
        <v>1</v>
      </c>
      <c r="S287" t="n">
        <v>1</v>
      </c>
      <c r="T287" t="n">
        <v>1</v>
      </c>
      <c r="U287" s="2" t="inlineStr">
        <is>
          <t>Lappuggla</t>
        </is>
      </c>
      <c r="V287">
        <f>HYPERLINK("https://klasma.github.io/Logging_2303/artfynd/A 62072-2023 artfynd.xlsx", "A 62072-2023")</f>
        <v/>
      </c>
      <c r="W287">
        <f>HYPERLINK("https://klasma.github.io/Logging_2303/kartor/A 62072-2023 karta.png", "A 62072-2023")</f>
        <v/>
      </c>
      <c r="Y287">
        <f>HYPERLINK("https://klasma.github.io/Logging_2303/klagomål/A 62072-2023 FSC-klagomål.docx", "A 62072-2023")</f>
        <v/>
      </c>
      <c r="Z287">
        <f>HYPERLINK("https://klasma.github.io/Logging_2303/klagomålsmail/A 62072-2023 FSC-klagomål mail.docx", "A 62072-2023")</f>
        <v/>
      </c>
      <c r="AA287">
        <f>HYPERLINK("https://klasma.github.io/Logging_2303/tillsyn/A 62072-2023 tillsynsbegäran.docx", "A 62072-2023")</f>
        <v/>
      </c>
      <c r="AB287">
        <f>HYPERLINK("https://klasma.github.io/Logging_2303/tillsynsmail/A 62072-2023 tillsynsbegäran mail.docx", "A 62072-2023")</f>
        <v/>
      </c>
      <c r="AC287">
        <f>HYPERLINK("https://klasma.github.io/Logging_2303/fåglar/A 62072-2023 prioriterade fågelarter.docx", "A 62072-2023")</f>
        <v/>
      </c>
    </row>
    <row r="288" ht="15" customHeight="1">
      <c r="A288" t="inlineStr">
        <is>
          <t>A 18614-2024</t>
        </is>
      </c>
      <c r="B288" t="inlineStr">
        <is>
          <t>avverkningsanmälan</t>
        </is>
      </c>
      <c r="C288" t="inlineStr">
        <is>
          <t>Avverkning för att bevara och utveckla /försöksver</t>
        </is>
      </c>
      <c r="D288" s="1" t="n">
        <v>45425</v>
      </c>
      <c r="E288" s="1" t="n">
        <v>46220</v>
      </c>
      <c r="F288" t="inlineStr">
        <is>
          <t>JÄMTLANDS LÄN</t>
        </is>
      </c>
      <c r="G288" t="inlineStr">
        <is>
          <t>RAGUNDA</t>
        </is>
      </c>
      <c r="H288" t="inlineStr">
        <is>
          <t>SCA</t>
        </is>
      </c>
      <c r="I288" t="n">
        <v>2.1</v>
      </c>
      <c r="J288" t="n">
        <v>0</v>
      </c>
      <c r="K288" t="n">
        <v>1</v>
      </c>
      <c r="L288" t="n">
        <v>0</v>
      </c>
      <c r="M288" t="n">
        <v>0</v>
      </c>
      <c r="N288" t="n">
        <v>0</v>
      </c>
      <c r="O288" t="n">
        <v>0</v>
      </c>
      <c r="P288" t="n">
        <v>0</v>
      </c>
      <c r="Q288" t="n">
        <v>0</v>
      </c>
      <c r="R288" t="n">
        <v>0</v>
      </c>
      <c r="S288" t="n">
        <v>1</v>
      </c>
      <c r="T288" t="n">
        <v>1</v>
      </c>
      <c r="U288" s="2" t="inlineStr">
        <is>
          <t>Stor aspticka</t>
        </is>
      </c>
      <c r="V288">
        <f>HYPERLINK("https://klasma.github.io/Logging_2303/artfynd/A 18614-2024 artfynd.xlsx", "A 18614-2024")</f>
        <v/>
      </c>
      <c r="W288">
        <f>HYPERLINK("https://klasma.github.io/Logging_2303/kartor/A 18614-2024 karta.png", "A 18614-2024")</f>
        <v/>
      </c>
      <c r="Y288">
        <f>HYPERLINK("https://klasma.github.io/Logging_2303/klagomål/A 18614-2024 FSC-klagomål.docx", "A 18614-2024")</f>
        <v/>
      </c>
      <c r="Z288">
        <f>HYPERLINK("https://klasma.github.io/Logging_2303/klagomålsmail/A 18614-2024 FSC-klagomål mail.docx", "A 18614-2024")</f>
        <v/>
      </c>
      <c r="AA288">
        <f>HYPERLINK("https://klasma.github.io/Logging_2303/tillsyn/A 18614-2024 tillsynsbegäran.docx", "A 18614-2024")</f>
        <v/>
      </c>
      <c r="AB288">
        <f>HYPERLINK("https://klasma.github.io/Logging_2303/tillsynsmail/A 18614-2024 tillsynsbegäran mail.docx", "A 18614-2024")</f>
        <v/>
      </c>
    </row>
    <row r="289" ht="15" customHeight="1">
      <c r="A289" t="inlineStr">
        <is>
          <t>A 30832-2026</t>
        </is>
      </c>
      <c r="B289" t="inlineStr">
        <is>
          <t>avverkningsanmälan</t>
        </is>
      </c>
      <c r="C289" t="inlineStr">
        <is>
          <t>Föryngringsavverkning</t>
        </is>
      </c>
      <c r="D289" s="1" t="n">
        <v>46212</v>
      </c>
      <c r="E289" s="1" t="n">
        <v>46220</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s="2" t="inlineStr">
        <is>
          <t>Knärot</t>
        </is>
      </c>
      <c r="V289">
        <f>HYPERLINK("https://klasma.github.io/Logging_2303/artfynd/A 30832-2026 artfynd.xlsx", "A 30832-2026")</f>
        <v/>
      </c>
      <c r="W289">
        <f>HYPERLINK("https://klasma.github.io/Logging_2303/kartor/A 30832-2026 karta.png", "A 30832-2026")</f>
        <v/>
      </c>
      <c r="X289">
        <f>HYPERLINK("https://klasma.github.io/Logging_2303/knärot/A 30832-2026 karta knärot.png", "A 30832-2026")</f>
        <v/>
      </c>
      <c r="Y289">
        <f>HYPERLINK("https://klasma.github.io/Logging_2303/klagomål/A 30832-2026 FSC-klagomål.docx", "A 30832-2026")</f>
        <v/>
      </c>
      <c r="Z289">
        <f>HYPERLINK("https://klasma.github.io/Logging_2303/klagomålsmail/A 30832-2026 FSC-klagomål mail.docx", "A 30832-2026")</f>
        <v/>
      </c>
      <c r="AA289">
        <f>HYPERLINK("https://klasma.github.io/Logging_2303/tillsyn/A 30832-2026 tillsynsbegäran.docx", "A 30832-2026")</f>
        <v/>
      </c>
      <c r="AB289">
        <f>HYPERLINK("https://klasma.github.io/Logging_2303/tillsynsmail/A 30832-2026 tillsynsbegäran mail.docx", "A 30832-2026")</f>
        <v/>
      </c>
    </row>
    <row r="290" ht="15" customHeight="1">
      <c r="A290" t="inlineStr">
        <is>
          <t>A 57839-2022</t>
        </is>
      </c>
      <c r="B290" t="inlineStr">
        <is>
          <t>avverkningsanmälan</t>
        </is>
      </c>
      <c r="C290" t="inlineStr">
        <is>
          <t>Föryngringsavverkning</t>
        </is>
      </c>
      <c r="D290" s="1" t="n">
        <v>44897</v>
      </c>
      <c r="E290" s="1" t="n">
        <v>46220</v>
      </c>
      <c r="F290" t="inlineStr">
        <is>
          <t>JÄMTLANDS LÄN</t>
        </is>
      </c>
      <c r="G290" t="inlineStr">
        <is>
          <t>RAGUNDA</t>
        </is>
      </c>
      <c r="H290" t="inlineStr">
        <is>
          <t>SCA</t>
        </is>
      </c>
      <c r="I290" t="n">
        <v>8.5</v>
      </c>
      <c r="J290" t="n">
        <v>0</v>
      </c>
      <c r="K290" t="n">
        <v>1</v>
      </c>
      <c r="L290" t="n">
        <v>0</v>
      </c>
      <c r="M290" t="n">
        <v>0</v>
      </c>
      <c r="N290" t="n">
        <v>0</v>
      </c>
      <c r="O290" t="n">
        <v>0</v>
      </c>
      <c r="P290" t="n">
        <v>0</v>
      </c>
      <c r="Q290" t="n">
        <v>0</v>
      </c>
      <c r="R290" t="n">
        <v>0</v>
      </c>
      <c r="S290" t="n">
        <v>1</v>
      </c>
      <c r="T290" t="n">
        <v>1</v>
      </c>
      <c r="U290" s="2" t="inlineStr">
        <is>
          <t>Barkticka</t>
        </is>
      </c>
      <c r="V290">
        <f>HYPERLINK("https://klasma.github.io/Logging_2303/artfynd/A 57839-2022 artfynd.xlsx", "A 57839-2022")</f>
        <v/>
      </c>
      <c r="W290">
        <f>HYPERLINK("https://klasma.github.io/Logging_2303/kartor/A 57839-2022 karta.png", "A 57839-2022")</f>
        <v/>
      </c>
      <c r="Y290">
        <f>HYPERLINK("https://klasma.github.io/Logging_2303/klagomål/A 57839-2022 FSC-klagomål.docx", "A 57839-2022")</f>
        <v/>
      </c>
      <c r="Z290">
        <f>HYPERLINK("https://klasma.github.io/Logging_2303/klagomålsmail/A 57839-2022 FSC-klagomål mail.docx", "A 57839-2022")</f>
        <v/>
      </c>
      <c r="AA290">
        <f>HYPERLINK("https://klasma.github.io/Logging_2303/tillsyn/A 57839-2022 tillsynsbegäran.docx", "A 57839-2022")</f>
        <v/>
      </c>
      <c r="AB290">
        <f>HYPERLINK("https://klasma.github.io/Logging_2303/tillsynsmail/A 57839-2022 tillsynsbegäran mail.docx", "A 57839-2022")</f>
        <v/>
      </c>
    </row>
    <row r="291" ht="15" customHeight="1">
      <c r="A291" t="inlineStr">
        <is>
          <t>A 15611-2024</t>
        </is>
      </c>
      <c r="B291" t="inlineStr">
        <is>
          <t>avverkningsanmälan</t>
        </is>
      </c>
      <c r="C291" t="inlineStr">
        <is>
          <t>Föryngringsavverkning</t>
        </is>
      </c>
      <c r="D291" s="1" t="n">
        <v>45401</v>
      </c>
      <c r="E291" s="1" t="n">
        <v>46220</v>
      </c>
      <c r="F291" t="inlineStr">
        <is>
          <t>JÄMTLANDS LÄN</t>
        </is>
      </c>
      <c r="G291" t="inlineStr">
        <is>
          <t>RAGUNDA</t>
        </is>
      </c>
      <c r="H291" t="inlineStr">
        <is>
          <t>SCA</t>
        </is>
      </c>
      <c r="I291" t="n">
        <v>10.3</v>
      </c>
      <c r="J291" t="n">
        <v>0</v>
      </c>
      <c r="K291" t="n">
        <v>0</v>
      </c>
      <c r="L291" t="n">
        <v>1</v>
      </c>
      <c r="M291" t="n">
        <v>0</v>
      </c>
      <c r="N291" t="n">
        <v>0</v>
      </c>
      <c r="O291" t="n">
        <v>0</v>
      </c>
      <c r="P291" t="n">
        <v>0</v>
      </c>
      <c r="Q291" t="n">
        <v>1</v>
      </c>
      <c r="R291" t="n">
        <v>0</v>
      </c>
      <c r="S291" t="n">
        <v>1</v>
      </c>
      <c r="T291" t="n">
        <v>1</v>
      </c>
      <c r="U291" s="2" t="inlineStr">
        <is>
          <t>Lunglav</t>
        </is>
      </c>
      <c r="V291">
        <f>HYPERLINK("https://klasma.github.io/Logging_2303/artfynd/A 15611-2024 artfynd.xlsx", "A 15611-2024")</f>
        <v/>
      </c>
      <c r="W291">
        <f>HYPERLINK("https://klasma.github.io/Logging_2303/kartor/A 15611-2024 karta.png", "A 15611-2024")</f>
        <v/>
      </c>
      <c r="Y291">
        <f>HYPERLINK("https://klasma.github.io/Logging_2303/klagomål/A 15611-2024 FSC-klagomål.docx", "A 15611-2024")</f>
        <v/>
      </c>
      <c r="Z291">
        <f>HYPERLINK("https://klasma.github.io/Logging_2303/klagomålsmail/A 15611-2024 FSC-klagomål mail.docx", "A 15611-2024")</f>
        <v/>
      </c>
      <c r="AA291">
        <f>HYPERLINK("https://klasma.github.io/Logging_2303/tillsyn/A 15611-2024 tillsynsbegäran.docx", "A 15611-2024")</f>
        <v/>
      </c>
      <c r="AB291">
        <f>HYPERLINK("https://klasma.github.io/Logging_2303/tillsynsmail/A 15611-2024 tillsynsbegäran mail.docx", "A 15611-2024")</f>
        <v/>
      </c>
    </row>
    <row r="292" ht="15" customHeight="1">
      <c r="A292" t="inlineStr">
        <is>
          <t>A 36757-2023</t>
        </is>
      </c>
      <c r="B292" t="inlineStr">
        <is>
          <t>avverkningsanmälan</t>
        </is>
      </c>
      <c r="C292" t="inlineStr">
        <is>
          <t>Föryngringsavverkning</t>
        </is>
      </c>
      <c r="D292" s="1" t="n">
        <v>45153</v>
      </c>
      <c r="E292" s="1" t="n">
        <v>46220</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s="2" t="inlineStr">
        <is>
          <t>Tretåig hackspett</t>
        </is>
      </c>
      <c r="V292">
        <f>HYPERLINK("https://klasma.github.io/Logging_2303/artfynd/A 36757-2023 artfynd.xlsx", "A 36757-2023")</f>
        <v/>
      </c>
      <c r="W292">
        <f>HYPERLINK("https://klasma.github.io/Logging_2303/kartor/A 36757-2023 karta.png", "A 36757-2023")</f>
        <v/>
      </c>
      <c r="Y292">
        <f>HYPERLINK("https://klasma.github.io/Logging_2303/klagomål/A 36757-2023 FSC-klagomål.docx", "A 36757-2023")</f>
        <v/>
      </c>
      <c r="Z292">
        <f>HYPERLINK("https://klasma.github.io/Logging_2303/klagomålsmail/A 36757-2023 FSC-klagomål mail.docx", "A 36757-2023")</f>
        <v/>
      </c>
      <c r="AA292">
        <f>HYPERLINK("https://klasma.github.io/Logging_2303/tillsyn/A 36757-2023 tillsynsbegäran.docx", "A 36757-2023")</f>
        <v/>
      </c>
      <c r="AB292">
        <f>HYPERLINK("https://klasma.github.io/Logging_2303/tillsynsmail/A 36757-2023 tillsynsbegäran mail.docx", "A 36757-2023")</f>
        <v/>
      </c>
      <c r="AC292">
        <f>HYPERLINK("https://klasma.github.io/Logging_2303/fåglar/A 36757-2023 prioriterade fågelarter.docx", "A 36757-2023")</f>
        <v/>
      </c>
    </row>
    <row r="293" ht="15" customHeight="1">
      <c r="A293" t="inlineStr">
        <is>
          <t>A 21212-2025</t>
        </is>
      </c>
      <c r="B293" t="inlineStr">
        <is>
          <t>avverkningsanmälan</t>
        </is>
      </c>
      <c r="C293" t="inlineStr">
        <is>
          <t>Föryngringsavverkning</t>
        </is>
      </c>
      <c r="D293" s="1" t="n">
        <v>45779</v>
      </c>
      <c r="E293" s="1" t="n">
        <v>46220</v>
      </c>
      <c r="F293" t="inlineStr">
        <is>
          <t>JÄMTLANDS LÄN</t>
        </is>
      </c>
      <c r="G293" t="inlineStr">
        <is>
          <t>RAGUNDA</t>
        </is>
      </c>
      <c r="H293" t="inlineStr">
        <is>
          <t>SCA</t>
        </is>
      </c>
      <c r="I293" t="n">
        <v>2.6</v>
      </c>
      <c r="J293" t="n">
        <v>0</v>
      </c>
      <c r="K293" t="n">
        <v>0</v>
      </c>
      <c r="L293" t="n">
        <v>0</v>
      </c>
      <c r="M293" t="n">
        <v>1</v>
      </c>
      <c r="N293" t="n">
        <v>0</v>
      </c>
      <c r="O293" t="n">
        <v>0</v>
      </c>
      <c r="P293" t="n">
        <v>0</v>
      </c>
      <c r="Q293" t="n">
        <v>1</v>
      </c>
      <c r="R293" t="n">
        <v>1</v>
      </c>
      <c r="S293" t="n">
        <v>1</v>
      </c>
      <c r="T293" t="n">
        <v>1</v>
      </c>
      <c r="U293" s="2" t="inlineStr">
        <is>
          <t>Garnlav</t>
        </is>
      </c>
      <c r="V293">
        <f>HYPERLINK("https://klasma.github.io/Logging_2303/artfynd/A 21212-2025 artfynd.xlsx", "A 21212-2025")</f>
        <v/>
      </c>
      <c r="W293">
        <f>HYPERLINK("https://klasma.github.io/Logging_2303/kartor/A 21212-2025 karta.png", "A 21212-2025")</f>
        <v/>
      </c>
      <c r="Y293">
        <f>HYPERLINK("https://klasma.github.io/Logging_2303/klagomål/A 21212-2025 FSC-klagomål.docx", "A 21212-2025")</f>
        <v/>
      </c>
      <c r="Z293">
        <f>HYPERLINK("https://klasma.github.io/Logging_2303/klagomålsmail/A 21212-2025 FSC-klagomål mail.docx", "A 21212-2025")</f>
        <v/>
      </c>
      <c r="AA293">
        <f>HYPERLINK("https://klasma.github.io/Logging_2303/tillsyn/A 21212-2025 tillsynsbegäran.docx", "A 21212-2025")</f>
        <v/>
      </c>
      <c r="AB293">
        <f>HYPERLINK("https://klasma.github.io/Logging_2303/tillsynsmail/A 21212-2025 tillsynsbegäran mail.docx", "A 21212-2025")</f>
        <v/>
      </c>
    </row>
    <row r="294" ht="15" customHeight="1">
      <c r="A294" t="inlineStr">
        <is>
          <t>A 21331-2025</t>
        </is>
      </c>
      <c r="B294" t="inlineStr">
        <is>
          <t>avverkningsanmälan</t>
        </is>
      </c>
      <c r="C294" t="inlineStr">
        <is>
          <t>Föryngringsavverkning</t>
        </is>
      </c>
      <c r="D294" s="1" t="n">
        <v>45782</v>
      </c>
      <c r="E294" s="1" t="n">
        <v>46220</v>
      </c>
      <c r="F294" t="inlineStr">
        <is>
          <t>JÄMTLANDS LÄN</t>
        </is>
      </c>
      <c r="G294" t="inlineStr">
        <is>
          <t>RAGUNDA</t>
        </is>
      </c>
      <c r="H294" t="inlineStr">
        <is>
          <t>SCA</t>
        </is>
      </c>
      <c r="I294" t="n">
        <v>23.1</v>
      </c>
      <c r="J294" t="n">
        <v>0</v>
      </c>
      <c r="K294" t="n">
        <v>0</v>
      </c>
      <c r="L294" t="n">
        <v>0</v>
      </c>
      <c r="M294" t="n">
        <v>1</v>
      </c>
      <c r="N294" t="n">
        <v>0</v>
      </c>
      <c r="O294" t="n">
        <v>0</v>
      </c>
      <c r="P294" t="n">
        <v>0</v>
      </c>
      <c r="Q294" t="n">
        <v>1</v>
      </c>
      <c r="R294" t="n">
        <v>1</v>
      </c>
      <c r="S294" t="n">
        <v>1</v>
      </c>
      <c r="T294" t="n">
        <v>1</v>
      </c>
      <c r="U294" s="2" t="inlineStr">
        <is>
          <t>Garnlav</t>
        </is>
      </c>
      <c r="V294">
        <f>HYPERLINK("https://klasma.github.io/Logging_2303/artfynd/A 21331-2025 artfynd.xlsx", "A 21331-2025")</f>
        <v/>
      </c>
      <c r="W294">
        <f>HYPERLINK("https://klasma.github.io/Logging_2303/kartor/A 21331-2025 karta.png", "A 21331-2025")</f>
        <v/>
      </c>
      <c r="X294">
        <f>HYPERLINK("https://klasma.github.io/Logging_2303/knärot/A 21331-2025 karta knärot.png", "A 21331-2025")</f>
        <v/>
      </c>
      <c r="Y294">
        <f>HYPERLINK("https://klasma.github.io/Logging_2303/klagomål/A 21331-2025 FSC-klagomål.docx", "A 21331-2025")</f>
        <v/>
      </c>
      <c r="Z294">
        <f>HYPERLINK("https://klasma.github.io/Logging_2303/klagomålsmail/A 21331-2025 FSC-klagomål mail.docx", "A 21331-2025")</f>
        <v/>
      </c>
      <c r="AA294">
        <f>HYPERLINK("https://klasma.github.io/Logging_2303/tillsyn/A 21331-2025 tillsynsbegäran.docx", "A 21331-2025")</f>
        <v/>
      </c>
      <c r="AB294">
        <f>HYPERLINK("https://klasma.github.io/Logging_2303/tillsynsmail/A 21331-2025 tillsynsbegäran mail.docx", "A 21331-2025")</f>
        <v/>
      </c>
    </row>
    <row r="295" ht="15" customHeight="1">
      <c r="A295" t="inlineStr">
        <is>
          <t>A 44066-2024</t>
        </is>
      </c>
      <c r="B295" t="inlineStr">
        <is>
          <t>avverkningsanmälan</t>
        </is>
      </c>
      <c r="C295" t="inlineStr">
        <is>
          <t>Föryngringsavverkning</t>
        </is>
      </c>
      <c r="D295" s="1" t="n">
        <v>45572</v>
      </c>
      <c r="E295" s="1" t="n">
        <v>46220</v>
      </c>
      <c r="F295" t="inlineStr">
        <is>
          <t>JÄMTLANDS LÄN</t>
        </is>
      </c>
      <c r="G295" t="inlineStr">
        <is>
          <t>RAGUNDA</t>
        </is>
      </c>
      <c r="I295" t="n">
        <v>6.4</v>
      </c>
      <c r="J295" t="n">
        <v>1</v>
      </c>
      <c r="K295" t="n">
        <v>0</v>
      </c>
      <c r="L295" t="n">
        <v>1</v>
      </c>
      <c r="M295" t="n">
        <v>0</v>
      </c>
      <c r="N295" t="n">
        <v>0</v>
      </c>
      <c r="O295" t="n">
        <v>0</v>
      </c>
      <c r="P295" t="n">
        <v>0</v>
      </c>
      <c r="Q295" t="n">
        <v>1</v>
      </c>
      <c r="R295" t="n">
        <v>0</v>
      </c>
      <c r="S295" t="n">
        <v>1</v>
      </c>
      <c r="T295" t="n">
        <v>1</v>
      </c>
      <c r="U295" s="2" t="inlineStr">
        <is>
          <t>Tretåig hackspett</t>
        </is>
      </c>
      <c r="V295">
        <f>HYPERLINK("https://klasma.github.io/Logging_2303/artfynd/A 44066-2024 artfynd.xlsx", "A 44066-2024")</f>
        <v/>
      </c>
      <c r="W295">
        <f>HYPERLINK("https://klasma.github.io/Logging_2303/kartor/A 44066-2024 karta.png", "A 44066-2024")</f>
        <v/>
      </c>
      <c r="Y295">
        <f>HYPERLINK("https://klasma.github.io/Logging_2303/klagomål/A 44066-2024 FSC-klagomål.docx", "A 44066-2024")</f>
        <v/>
      </c>
      <c r="Z295">
        <f>HYPERLINK("https://klasma.github.io/Logging_2303/klagomålsmail/A 44066-2024 FSC-klagomål mail.docx", "A 44066-2024")</f>
        <v/>
      </c>
      <c r="AA295">
        <f>HYPERLINK("https://klasma.github.io/Logging_2303/tillsyn/A 44066-2024 tillsynsbegäran.docx", "A 44066-2024")</f>
        <v/>
      </c>
      <c r="AB295">
        <f>HYPERLINK("https://klasma.github.io/Logging_2303/tillsynsmail/A 44066-2024 tillsynsbegäran mail.docx", "A 44066-2024")</f>
        <v/>
      </c>
      <c r="AC295">
        <f>HYPERLINK("https://klasma.github.io/Logging_2303/fåglar/A 44066-2024 prioriterade fågelarter.docx", "A 44066-2024")</f>
        <v/>
      </c>
    </row>
    <row r="296" ht="15" customHeight="1">
      <c r="A296" t="inlineStr">
        <is>
          <t>A 46050-2022</t>
        </is>
      </c>
      <c r="B296" t="inlineStr">
        <is>
          <t>avverkningsanmälan</t>
        </is>
      </c>
      <c r="C296" t="inlineStr">
        <is>
          <t>Avverkning för att bevara och utveckla /försöksver</t>
        </is>
      </c>
      <c r="D296" s="1" t="n">
        <v>44846</v>
      </c>
      <c r="E296" s="1" t="n">
        <v>46220</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39408-2022</t>
        </is>
      </c>
      <c r="B297" t="inlineStr">
        <is>
          <t>avverkningsanmälan</t>
        </is>
      </c>
      <c r="C297" t="inlineStr">
        <is>
          <t>Avverkning för att bevara och utveckla /försöksver</t>
        </is>
      </c>
      <c r="D297" s="1" t="n">
        <v>44817</v>
      </c>
      <c r="E297" s="1" t="n">
        <v>46220</v>
      </c>
      <c r="F297" t="inlineStr">
        <is>
          <t>JÄMTLANDS LÄN</t>
        </is>
      </c>
      <c r="G297" t="inlineStr">
        <is>
          <t>RAGUNDA</t>
        </is>
      </c>
      <c r="H297" t="inlineStr">
        <is>
          <t>SCA</t>
        </is>
      </c>
      <c r="I297" t="n">
        <v>9.800000000000001</v>
      </c>
      <c r="J297" t="n">
        <v>0</v>
      </c>
      <c r="K297" t="n">
        <v>0</v>
      </c>
      <c r="L297" t="n">
        <v>0</v>
      </c>
      <c r="M297" t="n">
        <v>0</v>
      </c>
      <c r="N297" t="n">
        <v>0</v>
      </c>
      <c r="O297" t="n">
        <v>0</v>
      </c>
      <c r="P297" t="n">
        <v>0</v>
      </c>
      <c r="Q297" t="n">
        <v>0</v>
      </c>
      <c r="R297" t="n">
        <v>0</v>
      </c>
      <c r="S297" t="n">
        <v>0</v>
      </c>
      <c r="T297" t="n">
        <v>0</v>
      </c>
      <c r="U297" s="2" t="inlineStr"/>
    </row>
    <row r="298" ht="15" customHeight="1">
      <c r="A298" t="inlineStr">
        <is>
          <t>A 53951-2022</t>
        </is>
      </c>
      <c r="B298" t="inlineStr">
        <is>
          <t>avverkningsanmälan</t>
        </is>
      </c>
      <c r="C298" t="inlineStr">
        <is>
          <t>Avverkning för att bevara och utveckla /försöksver</t>
        </is>
      </c>
      <c r="D298" s="1" t="n">
        <v>44880</v>
      </c>
      <c r="E298" s="1" t="n">
        <v>46220</v>
      </c>
      <c r="F298" t="inlineStr">
        <is>
          <t>JÄMTLANDS LÄN</t>
        </is>
      </c>
      <c r="G298" t="inlineStr">
        <is>
          <t>RAGUNDA</t>
        </is>
      </c>
      <c r="H298" t="inlineStr">
        <is>
          <t>SCA</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53952-2022</t>
        </is>
      </c>
      <c r="B299" t="inlineStr">
        <is>
          <t>avverkningsanmälan</t>
        </is>
      </c>
      <c r="C299" t="inlineStr">
        <is>
          <t>Avverkning för att bevara och utveckla /försöksver</t>
        </is>
      </c>
      <c r="D299" s="1" t="n">
        <v>44880</v>
      </c>
      <c r="E299" s="1" t="n">
        <v>46220</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41606-2021</t>
        </is>
      </c>
      <c r="B300" t="inlineStr">
        <is>
          <t>avverkningsanmälan</t>
        </is>
      </c>
      <c r="C300" t="inlineStr">
        <is>
          <t>Föryngringsavverkning</t>
        </is>
      </c>
      <c r="D300" s="1" t="n">
        <v>44425</v>
      </c>
      <c r="E300" s="1" t="n">
        <v>46220</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48053-2022</t>
        </is>
      </c>
      <c r="B301" t="inlineStr">
        <is>
          <t>avverkningsanmälan</t>
        </is>
      </c>
      <c r="C301" t="inlineStr">
        <is>
          <t>Föryngringsavverkning</t>
        </is>
      </c>
      <c r="D301" s="1" t="n">
        <v>44855</v>
      </c>
      <c r="E301" s="1" t="n">
        <v>46220</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47546-2021</t>
        </is>
      </c>
      <c r="B302" t="inlineStr">
        <is>
          <t>avverkningsanmälan</t>
        </is>
      </c>
      <c r="C302" t="inlineStr">
        <is>
          <t>Föryngringsavverkning</t>
        </is>
      </c>
      <c r="D302" s="1" t="n">
        <v>44447</v>
      </c>
      <c r="E302" s="1" t="n">
        <v>46220</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59321-2021</t>
        </is>
      </c>
      <c r="B303" t="inlineStr">
        <is>
          <t>avverkningsanmälan</t>
        </is>
      </c>
      <c r="C303" t="inlineStr">
        <is>
          <t>Avverkning för att bevara och utveckla /försöksver</t>
        </is>
      </c>
      <c r="D303" s="1" t="n">
        <v>44490</v>
      </c>
      <c r="E303" s="1" t="n">
        <v>46220</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66715-2021</t>
        </is>
      </c>
      <c r="B304" t="inlineStr">
        <is>
          <t>avverkningsanmälan</t>
        </is>
      </c>
      <c r="C304" t="inlineStr">
        <is>
          <t>Föryngringsavverkning</t>
        </is>
      </c>
      <c r="D304" s="1" t="n">
        <v>44519</v>
      </c>
      <c r="E304" s="1" t="n">
        <v>46220</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21413-2022</t>
        </is>
      </c>
      <c r="B305" t="inlineStr">
        <is>
          <t>avverkningsanmälan</t>
        </is>
      </c>
      <c r="C305" t="inlineStr">
        <is>
          <t>Avverkning för att bevara och utveckla /försöksver</t>
        </is>
      </c>
      <c r="D305" s="1" t="n">
        <v>44705</v>
      </c>
      <c r="E305" s="1" t="n">
        <v>46220</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66472-2021</t>
        </is>
      </c>
      <c r="B306" t="inlineStr">
        <is>
          <t>avverkningsanmälan</t>
        </is>
      </c>
      <c r="C306" t="inlineStr">
        <is>
          <t>Föryngringsavverkning</t>
        </is>
      </c>
      <c r="D306" s="1" t="n">
        <v>44518</v>
      </c>
      <c r="E306" s="1" t="n">
        <v>46220</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46220</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42260-2021</t>
        </is>
      </c>
      <c r="B308" t="inlineStr">
        <is>
          <t>avverkningsanmälan</t>
        </is>
      </c>
      <c r="C308" t="inlineStr">
        <is>
          <t>Föryngringsavverkning</t>
        </is>
      </c>
      <c r="D308" s="1" t="n">
        <v>44426</v>
      </c>
      <c r="E308" s="1" t="n">
        <v>46220</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37562-2021</t>
        </is>
      </c>
      <c r="B309" t="inlineStr">
        <is>
          <t>avverkningsanmälan</t>
        </is>
      </c>
      <c r="C309" t="inlineStr">
        <is>
          <t>Föryngringsavverkning</t>
        </is>
      </c>
      <c r="D309" s="1" t="n">
        <v>44399</v>
      </c>
      <c r="E309" s="1" t="n">
        <v>46220</v>
      </c>
      <c r="F309" t="inlineStr">
        <is>
          <t>JÄMTLANDS LÄN</t>
        </is>
      </c>
      <c r="G309" t="inlineStr">
        <is>
          <t>RAGUNDA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39693-2022</t>
        </is>
      </c>
      <c r="B310" t="inlineStr">
        <is>
          <t>avverkningsanmälan</t>
        </is>
      </c>
      <c r="C310" t="inlineStr">
        <is>
          <t>Föryngringsavverkning</t>
        </is>
      </c>
      <c r="D310" s="1" t="n">
        <v>44818</v>
      </c>
      <c r="E310" s="1" t="n">
        <v>46220</v>
      </c>
      <c r="F310" t="inlineStr">
        <is>
          <t>JÄMTLANDS LÄN</t>
        </is>
      </c>
      <c r="G310" t="inlineStr">
        <is>
          <t>RAGUNDA</t>
        </is>
      </c>
      <c r="H310" t="inlineStr">
        <is>
          <t>SCA</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31484-2022</t>
        </is>
      </c>
      <c r="B311" t="inlineStr">
        <is>
          <t>avverkningsanmälan</t>
        </is>
      </c>
      <c r="C311" t="inlineStr">
        <is>
          <t>Föryngringsavverkning</t>
        </is>
      </c>
      <c r="D311" s="1" t="n">
        <v>44774</v>
      </c>
      <c r="E311" s="1" t="n">
        <v>46220</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s="2" t="inlineStr"/>
    </row>
    <row r="312" ht="15" customHeight="1">
      <c r="A312" t="inlineStr">
        <is>
          <t>A 49197-2022</t>
        </is>
      </c>
      <c r="B312" t="inlineStr">
        <is>
          <t>avverkningsanmälan</t>
        </is>
      </c>
      <c r="C312" t="inlineStr">
        <is>
          <t>Avverkning för att bevara och utveckla /försöksver</t>
        </is>
      </c>
      <c r="D312" s="1" t="n">
        <v>44860</v>
      </c>
      <c r="E312" s="1" t="n">
        <v>46220</v>
      </c>
      <c r="F312" t="inlineStr">
        <is>
          <t>JÄMTLANDS LÄN</t>
        </is>
      </c>
      <c r="G312" t="inlineStr">
        <is>
          <t>RAGUNDA</t>
        </is>
      </c>
      <c r="H312" t="inlineStr">
        <is>
          <t>SCA</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41609-2021</t>
        </is>
      </c>
      <c r="B313" t="inlineStr">
        <is>
          <t>avverkningsanmälan</t>
        </is>
      </c>
      <c r="C313" t="inlineStr">
        <is>
          <t>Föryngringsavverkning</t>
        </is>
      </c>
      <c r="D313" s="1" t="n">
        <v>44425</v>
      </c>
      <c r="E313" s="1" t="n">
        <v>46220</v>
      </c>
      <c r="F313" t="inlineStr">
        <is>
          <t>JÄMTLANDS LÄN</t>
        </is>
      </c>
      <c r="G313" t="inlineStr">
        <is>
          <t>RAGUNDA</t>
        </is>
      </c>
      <c r="H313" t="inlineStr">
        <is>
          <t>Kommuner</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46220</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40436-2022</t>
        </is>
      </c>
      <c r="B315" t="inlineStr">
        <is>
          <t>avverkningsanmälan</t>
        </is>
      </c>
      <c r="C315" t="inlineStr">
        <is>
          <t>Föryngringsavverkning</t>
        </is>
      </c>
      <c r="D315" s="1" t="n">
        <v>44823</v>
      </c>
      <c r="E315" s="1" t="n">
        <v>46220</v>
      </c>
      <c r="F315" t="inlineStr">
        <is>
          <t>JÄMTLANDS LÄN</t>
        </is>
      </c>
      <c r="G315" t="inlineStr">
        <is>
          <t>RAGUNDA</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32979-2022</t>
        </is>
      </c>
      <c r="B316" t="inlineStr">
        <is>
          <t>avverkningsanmälan</t>
        </is>
      </c>
      <c r="C316" t="inlineStr">
        <is>
          <t>Avverkning för att bevara och utveckla /försöksver</t>
        </is>
      </c>
      <c r="D316" s="1" t="n">
        <v>44784</v>
      </c>
      <c r="E316" s="1" t="n">
        <v>46220</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52720-2022</t>
        </is>
      </c>
      <c r="B317" t="inlineStr">
        <is>
          <t>avverkningsanmälan</t>
        </is>
      </c>
      <c r="C317" t="inlineStr">
        <is>
          <t>Avverkning för att bevara och utveckla /försöksver</t>
        </is>
      </c>
      <c r="D317" s="1" t="n">
        <v>44874</v>
      </c>
      <c r="E317" s="1" t="n">
        <v>46220</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22695-2022</t>
        </is>
      </c>
      <c r="B318" t="inlineStr">
        <is>
          <t>avverkningsanmälan</t>
        </is>
      </c>
      <c r="C318" t="inlineStr">
        <is>
          <t>Föryngringsavverkning</t>
        </is>
      </c>
      <c r="D318" s="1" t="n">
        <v>44714</v>
      </c>
      <c r="E318" s="1" t="n">
        <v>46220</v>
      </c>
      <c r="F318" t="inlineStr">
        <is>
          <t>JÄMTLANDS LÄN</t>
        </is>
      </c>
      <c r="G318" t="inlineStr">
        <is>
          <t>RAGUNDA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43794-2022</t>
        </is>
      </c>
      <c r="B319" t="inlineStr">
        <is>
          <t>avverkningsanmälan</t>
        </is>
      </c>
      <c r="C319" t="inlineStr">
        <is>
          <t>Föryngringsavverkning</t>
        </is>
      </c>
      <c r="D319" s="1" t="n">
        <v>44837</v>
      </c>
      <c r="E319" s="1" t="n">
        <v>46220</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16246-2022</t>
        </is>
      </c>
      <c r="B320" t="inlineStr">
        <is>
          <t>avverkningsanmälan</t>
        </is>
      </c>
      <c r="C320" t="inlineStr">
        <is>
          <t>Föryngringsavverkning</t>
        </is>
      </c>
      <c r="D320" s="1" t="n">
        <v>44670</v>
      </c>
      <c r="E320" s="1" t="n">
        <v>46220</v>
      </c>
      <c r="F320" t="inlineStr">
        <is>
          <t>JÄMTLANDS LÄN</t>
        </is>
      </c>
      <c r="G320" t="inlineStr">
        <is>
          <t>RAGUNDA</t>
        </is>
      </c>
      <c r="I320" t="n">
        <v>4.1</v>
      </c>
      <c r="J320" t="n">
        <v>0</v>
      </c>
      <c r="K320" t="n">
        <v>0</v>
      </c>
      <c r="L320" t="n">
        <v>0</v>
      </c>
      <c r="M320" t="n">
        <v>0</v>
      </c>
      <c r="N320" t="n">
        <v>0</v>
      </c>
      <c r="O320" t="n">
        <v>0</v>
      </c>
      <c r="P320" t="n">
        <v>0</v>
      </c>
      <c r="Q320" t="n">
        <v>0</v>
      </c>
      <c r="R320" t="n">
        <v>0</v>
      </c>
      <c r="S320" t="n">
        <v>0</v>
      </c>
      <c r="T320" t="n">
        <v>0</v>
      </c>
      <c r="U320" s="2" t="inlineStr"/>
    </row>
    <row r="321" ht="15" customHeight="1">
      <c r="A321" t="inlineStr">
        <is>
          <t>A 21196-2022</t>
        </is>
      </c>
      <c r="B321" t="inlineStr">
        <is>
          <t>avverkningsanmälan</t>
        </is>
      </c>
      <c r="C321" t="inlineStr">
        <is>
          <t>Avverkning för att bevara och utveckla /försöksver</t>
        </is>
      </c>
      <c r="D321" s="1" t="n">
        <v>44704</v>
      </c>
      <c r="E321" s="1" t="n">
        <v>46220</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48075-2022</t>
        </is>
      </c>
      <c r="B322" t="inlineStr">
        <is>
          <t>avverkningsanmälan</t>
        </is>
      </c>
      <c r="C322" t="inlineStr">
        <is>
          <t>Avverkning för att bevara och utveckla /försöksver</t>
        </is>
      </c>
      <c r="D322" s="1" t="n">
        <v>44855</v>
      </c>
      <c r="E322" s="1" t="n">
        <v>46220</v>
      </c>
      <c r="F322" t="inlineStr">
        <is>
          <t>JÄMTLANDS LÄN</t>
        </is>
      </c>
      <c r="G322" t="inlineStr">
        <is>
          <t>RAGUNDA</t>
        </is>
      </c>
      <c r="H322" t="inlineStr">
        <is>
          <t>SCA</t>
        </is>
      </c>
      <c r="I322" t="n">
        <v>7.5</v>
      </c>
      <c r="J322" t="n">
        <v>0</v>
      </c>
      <c r="K322" t="n">
        <v>0</v>
      </c>
      <c r="L322" t="n">
        <v>0</v>
      </c>
      <c r="M322" t="n">
        <v>0</v>
      </c>
      <c r="N322" t="n">
        <v>0</v>
      </c>
      <c r="O322" t="n">
        <v>0</v>
      </c>
      <c r="P322" t="n">
        <v>0</v>
      </c>
      <c r="Q322" t="n">
        <v>0</v>
      </c>
      <c r="R322" t="n">
        <v>0</v>
      </c>
      <c r="S322" t="n">
        <v>0</v>
      </c>
      <c r="T322" t="n">
        <v>0</v>
      </c>
      <c r="U322" s="2" t="inlineStr"/>
    </row>
    <row r="323" ht="15" customHeight="1">
      <c r="A323" t="inlineStr">
        <is>
          <t>A 46401-2021</t>
        </is>
      </c>
      <c r="B323" t="inlineStr">
        <is>
          <t>avverkningsanmälan</t>
        </is>
      </c>
      <c r="C323" t="inlineStr">
        <is>
          <t>Föryngringsavverkning</t>
        </is>
      </c>
      <c r="D323" s="1" t="n">
        <v>44443</v>
      </c>
      <c r="E323" s="1" t="n">
        <v>46220</v>
      </c>
      <c r="F323" t="inlineStr">
        <is>
          <t>JÄMTLANDS LÄN</t>
        </is>
      </c>
      <c r="G323" t="inlineStr">
        <is>
          <t>RAGUNDA</t>
        </is>
      </c>
      <c r="I323" t="n">
        <v>7</v>
      </c>
      <c r="J323" t="n">
        <v>0</v>
      </c>
      <c r="K323" t="n">
        <v>0</v>
      </c>
      <c r="L323" t="n">
        <v>0</v>
      </c>
      <c r="M323" t="n">
        <v>0</v>
      </c>
      <c r="N323" t="n">
        <v>0</v>
      </c>
      <c r="O323" t="n">
        <v>0</v>
      </c>
      <c r="P323" t="n">
        <v>0</v>
      </c>
      <c r="Q323" t="n">
        <v>0</v>
      </c>
      <c r="R323" t="n">
        <v>0</v>
      </c>
      <c r="S323" t="n">
        <v>0</v>
      </c>
      <c r="T323" t="n">
        <v>0</v>
      </c>
      <c r="U323" s="2" t="inlineStr"/>
    </row>
    <row r="324" ht="15" customHeight="1">
      <c r="A324" t="inlineStr">
        <is>
          <t>A 27302-2022</t>
        </is>
      </c>
      <c r="B324" t="inlineStr">
        <is>
          <t>avverkningsanmälan</t>
        </is>
      </c>
      <c r="C324" t="inlineStr">
        <is>
          <t>Föryngringsavverkning</t>
        </is>
      </c>
      <c r="D324" s="1" t="n">
        <v>44741</v>
      </c>
      <c r="E324" s="1" t="n">
        <v>46220</v>
      </c>
      <c r="F324" t="inlineStr">
        <is>
          <t>JÄMTLANDS LÄN</t>
        </is>
      </c>
      <c r="G324" t="inlineStr">
        <is>
          <t>RAGUNDA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60312-2021</t>
        </is>
      </c>
      <c r="B325" t="inlineStr">
        <is>
          <t>avverkningsanmälan</t>
        </is>
      </c>
      <c r="C325" t="inlineStr">
        <is>
          <t>Avverkning för att bevara och utveckla /försöksver</t>
        </is>
      </c>
      <c r="D325" s="1" t="n">
        <v>44495</v>
      </c>
      <c r="E325" s="1" t="n">
        <v>46220</v>
      </c>
      <c r="F325" t="inlineStr">
        <is>
          <t>JÄMTLANDS LÄN</t>
        </is>
      </c>
      <c r="G325" t="inlineStr">
        <is>
          <t>RAGUNDA</t>
        </is>
      </c>
      <c r="H325" t="inlineStr">
        <is>
          <t>SCA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47801-2022</t>
        </is>
      </c>
      <c r="B326" t="inlineStr">
        <is>
          <t>avverkningsanmälan</t>
        </is>
      </c>
      <c r="C326" t="inlineStr">
        <is>
          <t>Avverkning för att bevara och utveckla /försöksver</t>
        </is>
      </c>
      <c r="D326" s="1" t="n">
        <v>44854</v>
      </c>
      <c r="E326" s="1" t="n">
        <v>46220</v>
      </c>
      <c r="F326" t="inlineStr">
        <is>
          <t>JÄMTLANDS LÄN</t>
        </is>
      </c>
      <c r="G326" t="inlineStr">
        <is>
          <t>RAGUNDA</t>
        </is>
      </c>
      <c r="H326" t="inlineStr">
        <is>
          <t>SCA</t>
        </is>
      </c>
      <c r="I326" t="n">
        <v>3.9</v>
      </c>
      <c r="J326" t="n">
        <v>0</v>
      </c>
      <c r="K326" t="n">
        <v>0</v>
      </c>
      <c r="L326" t="n">
        <v>0</v>
      </c>
      <c r="M326" t="n">
        <v>0</v>
      </c>
      <c r="N326" t="n">
        <v>0</v>
      </c>
      <c r="O326" t="n">
        <v>0</v>
      </c>
      <c r="P326" t="n">
        <v>0</v>
      </c>
      <c r="Q326" t="n">
        <v>0</v>
      </c>
      <c r="R326" t="n">
        <v>0</v>
      </c>
      <c r="S326" t="n">
        <v>0</v>
      </c>
      <c r="T326" t="n">
        <v>0</v>
      </c>
      <c r="U326" s="2" t="inlineStr"/>
    </row>
    <row r="327" ht="15" customHeight="1">
      <c r="A327" t="inlineStr">
        <is>
          <t>A 48938-2022</t>
        </is>
      </c>
      <c r="B327" t="inlineStr">
        <is>
          <t>avverkningsanmälan</t>
        </is>
      </c>
      <c r="C327" t="inlineStr">
        <is>
          <t>Avverkning för att bevara och utveckla /försöksver</t>
        </is>
      </c>
      <c r="D327" s="1" t="n">
        <v>44859</v>
      </c>
      <c r="E327" s="1" t="n">
        <v>46220</v>
      </c>
      <c r="F327" t="inlineStr">
        <is>
          <t>JÄMTLANDS LÄN</t>
        </is>
      </c>
      <c r="G327" t="inlineStr">
        <is>
          <t>RAGUNDA</t>
        </is>
      </c>
      <c r="H327" t="inlineStr">
        <is>
          <t>SCA</t>
        </is>
      </c>
      <c r="I327" t="n">
        <v>3.1</v>
      </c>
      <c r="J327" t="n">
        <v>0</v>
      </c>
      <c r="K327" t="n">
        <v>0</v>
      </c>
      <c r="L327" t="n">
        <v>0</v>
      </c>
      <c r="M327" t="n">
        <v>0</v>
      </c>
      <c r="N327" t="n">
        <v>0</v>
      </c>
      <c r="O327" t="n">
        <v>0</v>
      </c>
      <c r="P327" t="n">
        <v>0</v>
      </c>
      <c r="Q327" t="n">
        <v>0</v>
      </c>
      <c r="R327" t="n">
        <v>0</v>
      </c>
      <c r="S327" t="n">
        <v>0</v>
      </c>
      <c r="T327" t="n">
        <v>0</v>
      </c>
      <c r="U327" s="2" t="inlineStr"/>
    </row>
    <row r="328" ht="15" customHeight="1">
      <c r="A328" t="inlineStr">
        <is>
          <t>A 69316-2021</t>
        </is>
      </c>
      <c r="B328" t="inlineStr">
        <is>
          <t>avverkningsanmälan</t>
        </is>
      </c>
      <c r="C328" t="inlineStr">
        <is>
          <t>Föryngringsavverkning</t>
        </is>
      </c>
      <c r="D328" s="1" t="n">
        <v>44530</v>
      </c>
      <c r="E328" s="1" t="n">
        <v>46220</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40612-2022</t>
        </is>
      </c>
      <c r="B329" t="inlineStr">
        <is>
          <t>avverkningsanmälan</t>
        </is>
      </c>
      <c r="C329" t="inlineStr">
        <is>
          <t>Föryngringsavverkning</t>
        </is>
      </c>
      <c r="D329" s="1" t="n">
        <v>44823</v>
      </c>
      <c r="E329" s="1" t="n">
        <v>46220</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43478-2022</t>
        </is>
      </c>
      <c r="B330" t="inlineStr">
        <is>
          <t>avverkningsanmälan</t>
        </is>
      </c>
      <c r="C330" t="inlineStr">
        <is>
          <t>Föryngringsavverkning</t>
        </is>
      </c>
      <c r="D330" s="1" t="n">
        <v>44836</v>
      </c>
      <c r="E330" s="1" t="n">
        <v>46220</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43163-2022</t>
        </is>
      </c>
      <c r="B331" t="inlineStr">
        <is>
          <t>avverkningsanmälan</t>
        </is>
      </c>
      <c r="C331" t="inlineStr">
        <is>
          <t>Avverkning för att bevara och utveckla /försöksver</t>
        </is>
      </c>
      <c r="D331" s="1" t="n">
        <v>44833</v>
      </c>
      <c r="E331" s="1" t="n">
        <v>46220</v>
      </c>
      <c r="F331" t="inlineStr">
        <is>
          <t>JÄMTLANDS LÄN</t>
        </is>
      </c>
      <c r="G331" t="inlineStr">
        <is>
          <t>RAGUNDA</t>
        </is>
      </c>
      <c r="H331" t="inlineStr">
        <is>
          <t>SCA</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2494-2022</t>
        </is>
      </c>
      <c r="B332" t="inlineStr">
        <is>
          <t>avverkningsanmälan</t>
        </is>
      </c>
      <c r="C332" t="inlineStr">
        <is>
          <t>Föryngringsavverkning</t>
        </is>
      </c>
      <c r="D332" s="1" t="n">
        <v>44579</v>
      </c>
      <c r="E332" s="1" t="n">
        <v>46220</v>
      </c>
      <c r="F332" t="inlineStr">
        <is>
          <t>JÄMTLANDS LÄN</t>
        </is>
      </c>
      <c r="G332" t="inlineStr">
        <is>
          <t>RAGUNDA</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25028-2022</t>
        </is>
      </c>
      <c r="B333" t="inlineStr">
        <is>
          <t>avverkningsanmälan</t>
        </is>
      </c>
      <c r="C333" t="inlineStr">
        <is>
          <t>Föryngringsavverkning</t>
        </is>
      </c>
      <c r="D333" s="1" t="n">
        <v>44728</v>
      </c>
      <c r="E333" s="1" t="n">
        <v>46220</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11217-2022</t>
        </is>
      </c>
      <c r="B334" t="inlineStr">
        <is>
          <t>avverkningsanmälan</t>
        </is>
      </c>
      <c r="C334" t="inlineStr">
        <is>
          <t>Föryngringsavverkning</t>
        </is>
      </c>
      <c r="D334" s="1" t="n">
        <v>44629</v>
      </c>
      <c r="E334" s="1" t="n">
        <v>46220</v>
      </c>
      <c r="F334" t="inlineStr">
        <is>
          <t>JÄMTLANDS LÄN</t>
        </is>
      </c>
      <c r="G334" t="inlineStr">
        <is>
          <t>RAGUNDA</t>
        </is>
      </c>
      <c r="I334" t="n">
        <v>10.2</v>
      </c>
      <c r="J334" t="n">
        <v>0</v>
      </c>
      <c r="K334" t="n">
        <v>0</v>
      </c>
      <c r="L334" t="n">
        <v>0</v>
      </c>
      <c r="M334" t="n">
        <v>0</v>
      </c>
      <c r="N334" t="n">
        <v>0</v>
      </c>
      <c r="O334" t="n">
        <v>0</v>
      </c>
      <c r="P334" t="n">
        <v>0</v>
      </c>
      <c r="Q334" t="n">
        <v>0</v>
      </c>
      <c r="R334" t="n">
        <v>0</v>
      </c>
      <c r="S334" t="n">
        <v>0</v>
      </c>
      <c r="T334" t="n">
        <v>0</v>
      </c>
      <c r="U334" s="2" t="inlineStr"/>
    </row>
    <row r="335" ht="15" customHeight="1">
      <c r="A335" t="inlineStr">
        <is>
          <t>A 42900-2022</t>
        </is>
      </c>
      <c r="B335" t="inlineStr">
        <is>
          <t>avverkningsanmälan</t>
        </is>
      </c>
      <c r="C335" t="inlineStr">
        <is>
          <t>Föryngringsavverkning</t>
        </is>
      </c>
      <c r="D335" s="1" t="n">
        <v>44832</v>
      </c>
      <c r="E335" s="1" t="n">
        <v>46220</v>
      </c>
      <c r="F335" t="inlineStr">
        <is>
          <t>JÄMTLANDS LÄN</t>
        </is>
      </c>
      <c r="G335" t="inlineStr">
        <is>
          <t>RAGUNDA</t>
        </is>
      </c>
      <c r="H335" t="inlineStr">
        <is>
          <t>SCA</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3796-2022</t>
        </is>
      </c>
      <c r="B336" t="inlineStr">
        <is>
          <t>avverkningsanmälan</t>
        </is>
      </c>
      <c r="C336" t="inlineStr">
        <is>
          <t>Avverkning för annat ändamål</t>
        </is>
      </c>
      <c r="D336" s="1" t="n">
        <v>44586</v>
      </c>
      <c r="E336" s="1" t="n">
        <v>46220</v>
      </c>
      <c r="F336" t="inlineStr">
        <is>
          <t>JÄMTLANDS LÄN</t>
        </is>
      </c>
      <c r="G336" t="inlineStr">
        <is>
          <t>RAGUNDA</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44247-2021</t>
        </is>
      </c>
      <c r="B337" t="inlineStr">
        <is>
          <t>avverkningsanmälan</t>
        </is>
      </c>
      <c r="C337" t="inlineStr">
        <is>
          <t>Föryngringsavverkning</t>
        </is>
      </c>
      <c r="D337" s="1" t="n">
        <v>44434</v>
      </c>
      <c r="E337" s="1" t="n">
        <v>46220</v>
      </c>
      <c r="F337" t="inlineStr">
        <is>
          <t>JÄMTLANDS LÄN</t>
        </is>
      </c>
      <c r="G337" t="inlineStr">
        <is>
          <t>RAGUNDA</t>
        </is>
      </c>
      <c r="H337" t="inlineStr">
        <is>
          <t>SCA</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53288-2022</t>
        </is>
      </c>
      <c r="B338" t="inlineStr">
        <is>
          <t>avverkningsanmälan</t>
        </is>
      </c>
      <c r="C338" t="inlineStr">
        <is>
          <t>Avverkning för att bevara och utveckla /försöksver</t>
        </is>
      </c>
      <c r="D338" s="1" t="n">
        <v>44876</v>
      </c>
      <c r="E338" s="1" t="n">
        <v>46220</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61442-2021</t>
        </is>
      </c>
      <c r="B339" t="inlineStr">
        <is>
          <t>avverkningsanmälan</t>
        </is>
      </c>
      <c r="C339" t="inlineStr">
        <is>
          <t>Föryngringsavverkning</t>
        </is>
      </c>
      <c r="D339" s="1" t="n">
        <v>44500</v>
      </c>
      <c r="E339" s="1" t="n">
        <v>46220</v>
      </c>
      <c r="F339" t="inlineStr">
        <is>
          <t>JÄMTLANDS LÄN</t>
        </is>
      </c>
      <c r="G339" t="inlineStr">
        <is>
          <t>RAGUNDA</t>
        </is>
      </c>
      <c r="H339" t="inlineStr">
        <is>
          <t>SCA</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55932-2021</t>
        </is>
      </c>
      <c r="B340" t="inlineStr">
        <is>
          <t>avverkningsanmälan</t>
        </is>
      </c>
      <c r="C340" t="inlineStr">
        <is>
          <t>Föryngringsavverkning</t>
        </is>
      </c>
      <c r="D340" s="1" t="n">
        <v>44476</v>
      </c>
      <c r="E340" s="1" t="n">
        <v>46220</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6492-2022</t>
        </is>
      </c>
      <c r="B341" t="inlineStr">
        <is>
          <t>avverkningsanmälan</t>
        </is>
      </c>
      <c r="C341" t="inlineStr">
        <is>
          <t>Föryngringsavverkning</t>
        </is>
      </c>
      <c r="D341" s="1" t="n">
        <v>44601</v>
      </c>
      <c r="E341" s="1" t="n">
        <v>46220</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56055-2021</t>
        </is>
      </c>
      <c r="B342" t="inlineStr">
        <is>
          <t>avverkningsanmälan</t>
        </is>
      </c>
      <c r="C342" t="inlineStr">
        <is>
          <t>Föryngringsavverkning</t>
        </is>
      </c>
      <c r="D342" s="1" t="n">
        <v>44477</v>
      </c>
      <c r="E342" s="1" t="n">
        <v>46220</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s="2" t="inlineStr"/>
    </row>
    <row r="343" ht="15" customHeight="1">
      <c r="A343" t="inlineStr">
        <is>
          <t>A 65424-2021</t>
        </is>
      </c>
      <c r="B343" t="inlineStr">
        <is>
          <t>avverkningsanmälan</t>
        </is>
      </c>
      <c r="C343" t="inlineStr">
        <is>
          <t>Avverkning för att bevara och utveckla /försöksver</t>
        </is>
      </c>
      <c r="D343" s="1" t="n">
        <v>44515</v>
      </c>
      <c r="E343" s="1" t="n">
        <v>46220</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36084-2022</t>
        </is>
      </c>
      <c r="B344" t="inlineStr">
        <is>
          <t>avverkningsanmälan</t>
        </is>
      </c>
      <c r="C344" t="inlineStr">
        <is>
          <t>Avverkning för annat ändamål</t>
        </is>
      </c>
      <c r="D344" s="1" t="n">
        <v>44802</v>
      </c>
      <c r="E344" s="1" t="n">
        <v>46220</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s="2" t="inlineStr"/>
    </row>
    <row r="345" ht="15" customHeight="1">
      <c r="A345" t="inlineStr">
        <is>
          <t>A 49904-2022</t>
        </is>
      </c>
      <c r="B345" t="inlineStr">
        <is>
          <t>avverkningsanmälan</t>
        </is>
      </c>
      <c r="C345" t="inlineStr">
        <is>
          <t>Avverkning för att bevara och utveckla /försöksver</t>
        </is>
      </c>
      <c r="D345" s="1" t="n">
        <v>44864</v>
      </c>
      <c r="E345" s="1" t="n">
        <v>46220</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57194-2021</t>
        </is>
      </c>
      <c r="B346" t="inlineStr">
        <is>
          <t>avverkningsanmälan</t>
        </is>
      </c>
      <c r="C346" t="inlineStr">
        <is>
          <t>Föryngringsavverkning</t>
        </is>
      </c>
      <c r="D346" s="1" t="n">
        <v>44482</v>
      </c>
      <c r="E346" s="1" t="n">
        <v>46220</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s="2" t="inlineStr"/>
    </row>
    <row r="347" ht="15" customHeight="1">
      <c r="A347" t="inlineStr">
        <is>
          <t>A 40829-2022</t>
        </is>
      </c>
      <c r="B347" t="inlineStr">
        <is>
          <t>avverkningsanmälan</t>
        </is>
      </c>
      <c r="C347" t="inlineStr">
        <is>
          <t>Avverkning för att bevara och utveckla /försöksver</t>
        </is>
      </c>
      <c r="D347" s="1" t="n">
        <v>44824</v>
      </c>
      <c r="E347" s="1" t="n">
        <v>46220</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46992-2022</t>
        </is>
      </c>
      <c r="B348" t="inlineStr">
        <is>
          <t>avverkningsanmälan</t>
        </is>
      </c>
      <c r="C348" t="inlineStr">
        <is>
          <t>Föryngringsavverkning</t>
        </is>
      </c>
      <c r="D348" s="1" t="n">
        <v>44851</v>
      </c>
      <c r="E348" s="1" t="n">
        <v>46220</v>
      </c>
      <c r="F348" t="inlineStr">
        <is>
          <t>JÄMTLANDS LÄN</t>
        </is>
      </c>
      <c r="G348" t="inlineStr">
        <is>
          <t>RAGUNDA</t>
        </is>
      </c>
      <c r="H348" t="inlineStr">
        <is>
          <t>SCA</t>
        </is>
      </c>
      <c r="I348" t="n">
        <v>26.4</v>
      </c>
      <c r="J348" t="n">
        <v>0</v>
      </c>
      <c r="K348" t="n">
        <v>0</v>
      </c>
      <c r="L348" t="n">
        <v>0</v>
      </c>
      <c r="M348" t="n">
        <v>0</v>
      </c>
      <c r="N348" t="n">
        <v>0</v>
      </c>
      <c r="O348" t="n">
        <v>0</v>
      </c>
      <c r="P348" t="n">
        <v>0</v>
      </c>
      <c r="Q348" t="n">
        <v>0</v>
      </c>
      <c r="R348" t="n">
        <v>0</v>
      </c>
      <c r="S348" t="n">
        <v>0</v>
      </c>
      <c r="T348" t="n">
        <v>0</v>
      </c>
      <c r="U348" s="2" t="inlineStr"/>
    </row>
    <row r="349" ht="15" customHeight="1">
      <c r="A349" t="inlineStr">
        <is>
          <t>A 25253-2022</t>
        </is>
      </c>
      <c r="B349" t="inlineStr">
        <is>
          <t>avverkningsanmälan</t>
        </is>
      </c>
      <c r="C349" t="inlineStr">
        <is>
          <t>Föryngringsavverkning</t>
        </is>
      </c>
      <c r="D349" s="1" t="n">
        <v>44729</v>
      </c>
      <c r="E349" s="1" t="n">
        <v>46220</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1858-2022</t>
        </is>
      </c>
      <c r="B350" t="inlineStr">
        <is>
          <t>avverkningsanmälan</t>
        </is>
      </c>
      <c r="C350" t="inlineStr">
        <is>
          <t>Föryngringsavverkning</t>
        </is>
      </c>
      <c r="D350" s="1" t="n">
        <v>44574</v>
      </c>
      <c r="E350" s="1" t="n">
        <v>46220</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54836-2022</t>
        </is>
      </c>
      <c r="B351" t="inlineStr">
        <is>
          <t>avverkningsanmälan</t>
        </is>
      </c>
      <c r="C351" t="inlineStr">
        <is>
          <t>Föryngringsavverkning</t>
        </is>
      </c>
      <c r="D351" s="1" t="n">
        <v>44883</v>
      </c>
      <c r="E351" s="1" t="n">
        <v>46220</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58984-2021</t>
        </is>
      </c>
      <c r="B352" t="inlineStr">
        <is>
          <t>avverkningsanmälan</t>
        </is>
      </c>
      <c r="C352" t="inlineStr">
        <is>
          <t>Avverkning för att bevara och utveckla /försöksver</t>
        </is>
      </c>
      <c r="D352" s="1" t="n">
        <v>44489</v>
      </c>
      <c r="E352" s="1" t="n">
        <v>46220</v>
      </c>
      <c r="F352" t="inlineStr">
        <is>
          <t>JÄMTLANDS LÄN</t>
        </is>
      </c>
      <c r="G352" t="inlineStr">
        <is>
          <t>RAGUNDA</t>
        </is>
      </c>
      <c r="H352" t="inlineStr">
        <is>
          <t>SCA</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40978-2022</t>
        </is>
      </c>
      <c r="B353" t="inlineStr">
        <is>
          <t>avverkningsanmälan</t>
        </is>
      </c>
      <c r="C353" t="inlineStr">
        <is>
          <t>Föryngringsavverkning</t>
        </is>
      </c>
      <c r="D353" s="1" t="n">
        <v>44823</v>
      </c>
      <c r="E353" s="1" t="n">
        <v>46220</v>
      </c>
      <c r="F353" t="inlineStr">
        <is>
          <t>JÄMTLANDS LÄN</t>
        </is>
      </c>
      <c r="G353" t="inlineStr">
        <is>
          <t>RAGUNDA</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24741-2022</t>
        </is>
      </c>
      <c r="B354" t="inlineStr">
        <is>
          <t>avverkningsanmälan</t>
        </is>
      </c>
      <c r="C354" t="inlineStr">
        <is>
          <t>Föryngringsavverkning</t>
        </is>
      </c>
      <c r="D354" s="1" t="n">
        <v>44727</v>
      </c>
      <c r="E354" s="1" t="n">
        <v>46220</v>
      </c>
      <c r="F354" t="inlineStr">
        <is>
          <t>JÄMTLANDS LÄN</t>
        </is>
      </c>
      <c r="G354" t="inlineStr">
        <is>
          <t>RAGUNDA</t>
        </is>
      </c>
      <c r="H354" t="inlineStr">
        <is>
          <t>SCA</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48536-2022</t>
        </is>
      </c>
      <c r="B355" t="inlineStr">
        <is>
          <t>avverkningsanmälan</t>
        </is>
      </c>
      <c r="C355" t="inlineStr">
        <is>
          <t>Föryngringsavverkning</t>
        </is>
      </c>
      <c r="D355" s="1" t="n">
        <v>44858</v>
      </c>
      <c r="E355" s="1" t="n">
        <v>46220</v>
      </c>
      <c r="F355" t="inlineStr">
        <is>
          <t>JÄMTLANDS LÄN</t>
        </is>
      </c>
      <c r="G355" t="inlineStr">
        <is>
          <t>RAGUNDA</t>
        </is>
      </c>
      <c r="H355" t="inlineStr">
        <is>
          <t>SCA</t>
        </is>
      </c>
      <c r="I355" t="n">
        <v>9.5</v>
      </c>
      <c r="J355" t="n">
        <v>0</v>
      </c>
      <c r="K355" t="n">
        <v>0</v>
      </c>
      <c r="L355" t="n">
        <v>0</v>
      </c>
      <c r="M355" t="n">
        <v>0</v>
      </c>
      <c r="N355" t="n">
        <v>0</v>
      </c>
      <c r="O355" t="n">
        <v>0</v>
      </c>
      <c r="P355" t="n">
        <v>0</v>
      </c>
      <c r="Q355" t="n">
        <v>0</v>
      </c>
      <c r="R355" t="n">
        <v>0</v>
      </c>
      <c r="S355" t="n">
        <v>0</v>
      </c>
      <c r="T355" t="n">
        <v>0</v>
      </c>
      <c r="U355" s="2" t="inlineStr"/>
    </row>
    <row r="356" ht="15" customHeight="1">
      <c r="A356" t="inlineStr">
        <is>
          <t>A 41613-2021</t>
        </is>
      </c>
      <c r="B356" t="inlineStr">
        <is>
          <t>avverkningsanmälan</t>
        </is>
      </c>
      <c r="C356" t="inlineStr">
        <is>
          <t>Föryngringsavverkning</t>
        </is>
      </c>
      <c r="D356" s="1" t="n">
        <v>44425</v>
      </c>
      <c r="E356" s="1" t="n">
        <v>46220</v>
      </c>
      <c r="F356" t="inlineStr">
        <is>
          <t>JÄMTLANDS LÄN</t>
        </is>
      </c>
      <c r="G356" t="inlineStr">
        <is>
          <t>RAGUNDA</t>
        </is>
      </c>
      <c r="H356" t="inlineStr">
        <is>
          <t>Kommuner</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25027-2022</t>
        </is>
      </c>
      <c r="B357" t="inlineStr">
        <is>
          <t>avverkningsanmälan</t>
        </is>
      </c>
      <c r="C357" t="inlineStr">
        <is>
          <t>Föryngringsavverkning</t>
        </is>
      </c>
      <c r="D357" s="1" t="n">
        <v>44728</v>
      </c>
      <c r="E357" s="1" t="n">
        <v>46220</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49530-2022</t>
        </is>
      </c>
      <c r="B358" t="inlineStr">
        <is>
          <t>avverkningsanmälan</t>
        </is>
      </c>
      <c r="C358" t="inlineStr">
        <is>
          <t>Avverkning för att bevara och utveckla /försöksver</t>
        </is>
      </c>
      <c r="D358" s="1" t="n">
        <v>44861</v>
      </c>
      <c r="E358" s="1" t="n">
        <v>46220</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s="2" t="inlineStr"/>
    </row>
    <row r="359" ht="15" customHeight="1">
      <c r="A359" t="inlineStr">
        <is>
          <t>A 36941-2022</t>
        </is>
      </c>
      <c r="B359" t="inlineStr">
        <is>
          <t>avverkningsanmälan</t>
        </is>
      </c>
      <c r="C359" t="inlineStr">
        <is>
          <t>Föryngringsavverkning</t>
        </is>
      </c>
      <c r="D359" s="1" t="n">
        <v>44805</v>
      </c>
      <c r="E359" s="1" t="n">
        <v>46220</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47568-2022</t>
        </is>
      </c>
      <c r="B360" t="inlineStr">
        <is>
          <t>avverkningsanmälan</t>
        </is>
      </c>
      <c r="C360" t="inlineStr">
        <is>
          <t>Föryngringsavverkning</t>
        </is>
      </c>
      <c r="D360" s="1" t="n">
        <v>44853</v>
      </c>
      <c r="E360" s="1" t="n">
        <v>46220</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15664-2022</t>
        </is>
      </c>
      <c r="B361" t="inlineStr">
        <is>
          <t>avverkningsanmälan</t>
        </is>
      </c>
      <c r="C361" t="inlineStr">
        <is>
          <t>Avverkning för att bevara och utveckla /försöksver</t>
        </is>
      </c>
      <c r="D361" s="1" t="n">
        <v>44662</v>
      </c>
      <c r="E361" s="1" t="n">
        <v>46220</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21984-2022</t>
        </is>
      </c>
      <c r="B362" t="inlineStr">
        <is>
          <t>avverkningsanmälan</t>
        </is>
      </c>
      <c r="C362" t="inlineStr">
        <is>
          <t>Avverkning för annat ändamål</t>
        </is>
      </c>
      <c r="D362" s="1" t="n">
        <v>44704</v>
      </c>
      <c r="E362" s="1" t="n">
        <v>46220</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31972-2022</t>
        </is>
      </c>
      <c r="B363" t="inlineStr">
        <is>
          <t>avverkningsanmälan</t>
        </is>
      </c>
      <c r="C363" t="inlineStr">
        <is>
          <t>Föryngringsavverkning</t>
        </is>
      </c>
      <c r="D363" s="1" t="n">
        <v>44777</v>
      </c>
      <c r="E363" s="1" t="n">
        <v>46220</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48086-2022</t>
        </is>
      </c>
      <c r="B364" t="inlineStr">
        <is>
          <t>avverkningsanmälan</t>
        </is>
      </c>
      <c r="C364" t="inlineStr">
        <is>
          <t>Avverkning för att bevara och utveckla /försöksver</t>
        </is>
      </c>
      <c r="D364" s="1" t="n">
        <v>44855</v>
      </c>
      <c r="E364" s="1" t="n">
        <v>46220</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33279-2022</t>
        </is>
      </c>
      <c r="B365" t="inlineStr">
        <is>
          <t>avverkningsanmälan</t>
        </is>
      </c>
      <c r="C365" t="inlineStr">
        <is>
          <t>Föryngringsavverkning</t>
        </is>
      </c>
      <c r="D365" s="1" t="n">
        <v>44788</v>
      </c>
      <c r="E365" s="1" t="n">
        <v>46220</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47567-2022</t>
        </is>
      </c>
      <c r="B366" t="inlineStr">
        <is>
          <t>avverkningsanmälan</t>
        </is>
      </c>
      <c r="C366" t="inlineStr">
        <is>
          <t>Föryngringsavverkning</t>
        </is>
      </c>
      <c r="D366" s="1" t="n">
        <v>44853</v>
      </c>
      <c r="E366" s="1" t="n">
        <v>46220</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43040-2021</t>
        </is>
      </c>
      <c r="B367" t="inlineStr">
        <is>
          <t>avverkningsanmälan</t>
        </is>
      </c>
      <c r="C367" t="inlineStr">
        <is>
          <t>Föryngringsavverkning</t>
        </is>
      </c>
      <c r="D367" s="1" t="n">
        <v>44431</v>
      </c>
      <c r="E367" s="1" t="n">
        <v>46220</v>
      </c>
      <c r="F367" t="inlineStr">
        <is>
          <t>JÄMTLANDS LÄN</t>
        </is>
      </c>
      <c r="G367" t="inlineStr">
        <is>
          <t>RAGUNDA</t>
        </is>
      </c>
      <c r="I367" t="n">
        <v>4.9</v>
      </c>
      <c r="J367" t="n">
        <v>0</v>
      </c>
      <c r="K367" t="n">
        <v>0</v>
      </c>
      <c r="L367" t="n">
        <v>0</v>
      </c>
      <c r="M367" t="n">
        <v>0</v>
      </c>
      <c r="N367" t="n">
        <v>0</v>
      </c>
      <c r="O367" t="n">
        <v>0</v>
      </c>
      <c r="P367" t="n">
        <v>0</v>
      </c>
      <c r="Q367" t="n">
        <v>0</v>
      </c>
      <c r="R367" t="n">
        <v>0</v>
      </c>
      <c r="S367" t="n">
        <v>0</v>
      </c>
      <c r="T367" t="n">
        <v>0</v>
      </c>
      <c r="U367" s="2" t="inlineStr"/>
    </row>
    <row r="368" ht="15" customHeight="1">
      <c r="A368" t="inlineStr">
        <is>
          <t>A 2336-2022</t>
        </is>
      </c>
      <c r="B368" t="inlineStr">
        <is>
          <t>avverkningsanmälan</t>
        </is>
      </c>
      <c r="C368" t="inlineStr">
        <is>
          <t>Föryngringsavverkning</t>
        </is>
      </c>
      <c r="D368" s="1" t="n">
        <v>44578</v>
      </c>
      <c r="E368" s="1" t="n">
        <v>46220</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46048-2022</t>
        </is>
      </c>
      <c r="B369" t="inlineStr">
        <is>
          <t>avverkningsanmälan</t>
        </is>
      </c>
      <c r="C369" t="inlineStr">
        <is>
          <t>Avverkning för att bevara och utveckla /försöksver</t>
        </is>
      </c>
      <c r="D369" s="1" t="n">
        <v>44846</v>
      </c>
      <c r="E369" s="1" t="n">
        <v>46220</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42652-2022</t>
        </is>
      </c>
      <c r="B370" t="inlineStr">
        <is>
          <t>avverkningsanmälan</t>
        </is>
      </c>
      <c r="C370" t="inlineStr">
        <is>
          <t>Avverkning för att bevara och utveckla /försöksver</t>
        </is>
      </c>
      <c r="D370" s="1" t="n">
        <v>44831</v>
      </c>
      <c r="E370" s="1" t="n">
        <v>46220</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s="2" t="inlineStr"/>
    </row>
    <row r="371" ht="15" customHeight="1">
      <c r="A371" t="inlineStr">
        <is>
          <t>A 42653-2022</t>
        </is>
      </c>
      <c r="B371" t="inlineStr">
        <is>
          <t>avverkningsanmälan</t>
        </is>
      </c>
      <c r="C371" t="inlineStr">
        <is>
          <t>Avverkning för att bevara och utveckla /försöksver</t>
        </is>
      </c>
      <c r="D371" s="1" t="n">
        <v>44831</v>
      </c>
      <c r="E371" s="1" t="n">
        <v>46220</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32986-2022</t>
        </is>
      </c>
      <c r="B372" t="inlineStr">
        <is>
          <t>avverkningsanmälan</t>
        </is>
      </c>
      <c r="C372" t="inlineStr">
        <is>
          <t>Föryngringsavverkning</t>
        </is>
      </c>
      <c r="D372" s="1" t="n">
        <v>44784</v>
      </c>
      <c r="E372" s="1" t="n">
        <v>46220</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s="2" t="inlineStr"/>
    </row>
    <row r="373" ht="15" customHeight="1">
      <c r="A373" t="inlineStr">
        <is>
          <t>A 42882-2022</t>
        </is>
      </c>
      <c r="B373" t="inlineStr">
        <is>
          <t>avverkningsanmälan</t>
        </is>
      </c>
      <c r="C373" t="inlineStr">
        <is>
          <t>Avverkning för att bevara och utveckla /försöksver</t>
        </is>
      </c>
      <c r="D373" s="1" t="n">
        <v>44832</v>
      </c>
      <c r="E373" s="1" t="n">
        <v>46220</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42267-2022</t>
        </is>
      </c>
      <c r="B374" t="inlineStr">
        <is>
          <t>avverkningsanmälan</t>
        </is>
      </c>
      <c r="C374" t="inlineStr">
        <is>
          <t>Föryngringsavverkning</t>
        </is>
      </c>
      <c r="D374" s="1" t="n">
        <v>44830</v>
      </c>
      <c r="E374" s="1" t="n">
        <v>46220</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43147-2022</t>
        </is>
      </c>
      <c r="B375" t="inlineStr">
        <is>
          <t>avverkningsanmälan</t>
        </is>
      </c>
      <c r="C375" t="inlineStr">
        <is>
          <t>Avverkning för att bevara och utveckla /försöksver</t>
        </is>
      </c>
      <c r="D375" s="1" t="n">
        <v>44833</v>
      </c>
      <c r="E375" s="1" t="n">
        <v>46220</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39698-2022</t>
        </is>
      </c>
      <c r="B376" t="inlineStr">
        <is>
          <t>avverkningsanmälan</t>
        </is>
      </c>
      <c r="C376" t="inlineStr">
        <is>
          <t>Föryngringsavverkning</t>
        </is>
      </c>
      <c r="D376" s="1" t="n">
        <v>44818</v>
      </c>
      <c r="E376" s="1" t="n">
        <v>46220</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52334-2021</t>
        </is>
      </c>
      <c r="B377" t="inlineStr">
        <is>
          <t>avverkningsanmälan</t>
        </is>
      </c>
      <c r="C377" t="inlineStr">
        <is>
          <t>Föryngringsavverkning</t>
        </is>
      </c>
      <c r="D377" s="1" t="n">
        <v>44463</v>
      </c>
      <c r="E377" s="1" t="n">
        <v>46220</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59996-2021</t>
        </is>
      </c>
      <c r="B378" t="inlineStr">
        <is>
          <t>avverkningsanmälan</t>
        </is>
      </c>
      <c r="C378" t="inlineStr">
        <is>
          <t>Föryngringsavverkning</t>
        </is>
      </c>
      <c r="D378" s="1" t="n">
        <v>44494</v>
      </c>
      <c r="E378" s="1" t="n">
        <v>46220</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37806-2021</t>
        </is>
      </c>
      <c r="B379" t="inlineStr">
        <is>
          <t>avverkningsanmälan</t>
        </is>
      </c>
      <c r="C379" t="inlineStr">
        <is>
          <t>Föryngringsavverkning</t>
        </is>
      </c>
      <c r="D379" s="1" t="n">
        <v>44402</v>
      </c>
      <c r="E379" s="1" t="n">
        <v>46220</v>
      </c>
      <c r="F379" t="inlineStr">
        <is>
          <t>JÄMTLANDS LÄN</t>
        </is>
      </c>
      <c r="G379" t="inlineStr">
        <is>
          <t>RAGUNDA</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31854-2022</t>
        </is>
      </c>
      <c r="B380" t="inlineStr">
        <is>
          <t>avverkningsanmälan</t>
        </is>
      </c>
      <c r="C380" t="inlineStr">
        <is>
          <t>Föryngringsavverkning</t>
        </is>
      </c>
      <c r="D380" s="1" t="n">
        <v>44776</v>
      </c>
      <c r="E380" s="1" t="n">
        <v>46220</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65017-2021</t>
        </is>
      </c>
      <c r="B381" t="inlineStr">
        <is>
          <t>avverkningsanmälan</t>
        </is>
      </c>
      <c r="C381" t="inlineStr">
        <is>
          <t>Föryngringsavverkning</t>
        </is>
      </c>
      <c r="D381" s="1" t="n">
        <v>44512</v>
      </c>
      <c r="E381" s="1" t="n">
        <v>46220</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16460-2022</t>
        </is>
      </c>
      <c r="B382" t="inlineStr">
        <is>
          <t>avverkningsanmälan</t>
        </is>
      </c>
      <c r="C382" t="inlineStr">
        <is>
          <t>Avverkning för annat ändamål</t>
        </is>
      </c>
      <c r="D382" s="1" t="n">
        <v>44671</v>
      </c>
      <c r="E382" s="1" t="n">
        <v>46220</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21195-2022</t>
        </is>
      </c>
      <c r="B383" t="inlineStr">
        <is>
          <t>avverkningsanmälan</t>
        </is>
      </c>
      <c r="C383" t="inlineStr">
        <is>
          <t>Avverkning för att bevara och utveckla /försöksver</t>
        </is>
      </c>
      <c r="D383" s="1" t="n">
        <v>44704</v>
      </c>
      <c r="E383" s="1" t="n">
        <v>46220</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49531-2022</t>
        </is>
      </c>
      <c r="B384" t="inlineStr">
        <is>
          <t>avverkningsanmälan</t>
        </is>
      </c>
      <c r="C384" t="inlineStr">
        <is>
          <t>Avverkning för att bevara och utveckla /försöksver</t>
        </is>
      </c>
      <c r="D384" s="1" t="n">
        <v>44861</v>
      </c>
      <c r="E384" s="1" t="n">
        <v>46220</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10120-2022</t>
        </is>
      </c>
      <c r="B385" t="inlineStr">
        <is>
          <t>avverkningsanmälan</t>
        </is>
      </c>
      <c r="C385" t="inlineStr">
        <is>
          <t>Föryngringsavverkning</t>
        </is>
      </c>
      <c r="D385" s="1" t="n">
        <v>44621</v>
      </c>
      <c r="E385" s="1" t="n">
        <v>46220</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13964-2022</t>
        </is>
      </c>
      <c r="B386" t="inlineStr">
        <is>
          <t>avverkningsanmälan</t>
        </is>
      </c>
      <c r="C386" t="inlineStr">
        <is>
          <t>Föryngringsavverkning</t>
        </is>
      </c>
      <c r="D386" s="1" t="n">
        <v>44650</v>
      </c>
      <c r="E386" s="1" t="n">
        <v>46220</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6177-2022</t>
        </is>
      </c>
      <c r="B387" t="inlineStr">
        <is>
          <t>avverkningsanmälan</t>
        </is>
      </c>
      <c r="C387" t="inlineStr">
        <is>
          <t>Avverkning för annat ändamål</t>
        </is>
      </c>
      <c r="D387" s="1" t="n">
        <v>44599</v>
      </c>
      <c r="E387" s="1" t="n">
        <v>46220</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21194-2022</t>
        </is>
      </c>
      <c r="B388" t="inlineStr">
        <is>
          <t>avverkningsanmälan</t>
        </is>
      </c>
      <c r="C388" t="inlineStr">
        <is>
          <t>Avverkning för att bevara och utveckla /försöksver</t>
        </is>
      </c>
      <c r="D388" s="1" t="n">
        <v>44704</v>
      </c>
      <c r="E388" s="1" t="n">
        <v>46220</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s="2" t="inlineStr"/>
    </row>
    <row r="389" ht="15" customHeight="1">
      <c r="A389" t="inlineStr">
        <is>
          <t>A 60313-2021</t>
        </is>
      </c>
      <c r="B389" t="inlineStr">
        <is>
          <t>avverkningsanmälan</t>
        </is>
      </c>
      <c r="C389" t="inlineStr">
        <is>
          <t>Föryngringsavverkning</t>
        </is>
      </c>
      <c r="D389" s="1" t="n">
        <v>44495</v>
      </c>
      <c r="E389" s="1" t="n">
        <v>46220</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56193-2022</t>
        </is>
      </c>
      <c r="B390" t="inlineStr">
        <is>
          <t>avverkningsanmälan</t>
        </is>
      </c>
      <c r="C390" t="inlineStr">
        <is>
          <t>Föryngringsavverkning</t>
        </is>
      </c>
      <c r="D390" s="1" t="n">
        <v>44889</v>
      </c>
      <c r="E390" s="1" t="n">
        <v>46220</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5515-2022</t>
        </is>
      </c>
      <c r="B391" t="inlineStr">
        <is>
          <t>avverkningsanmälan</t>
        </is>
      </c>
      <c r="C391" t="inlineStr">
        <is>
          <t>Föryngringsavverkning</t>
        </is>
      </c>
      <c r="D391" s="1" t="n">
        <v>44595</v>
      </c>
      <c r="E391" s="1" t="n">
        <v>46220</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60957-2021</t>
        </is>
      </c>
      <c r="B392" t="inlineStr">
        <is>
          <t>avverkningsanmälan</t>
        </is>
      </c>
      <c r="C392" t="inlineStr">
        <is>
          <t>Föryngringsavverkning</t>
        </is>
      </c>
      <c r="D392" s="1" t="n">
        <v>44496</v>
      </c>
      <c r="E392" s="1" t="n">
        <v>46220</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26122-2022</t>
        </is>
      </c>
      <c r="B393" t="inlineStr">
        <is>
          <t>avverkningsanmälan</t>
        </is>
      </c>
      <c r="C393" t="inlineStr">
        <is>
          <t>Föryngringsavverkning</t>
        </is>
      </c>
      <c r="D393" s="1" t="n">
        <v>44734</v>
      </c>
      <c r="E393" s="1" t="n">
        <v>46220</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21193-2022</t>
        </is>
      </c>
      <c r="B394" t="inlineStr">
        <is>
          <t>avverkningsanmälan</t>
        </is>
      </c>
      <c r="C394" t="inlineStr">
        <is>
          <t>Avverkning för att bevara och utveckla /försöksver</t>
        </is>
      </c>
      <c r="D394" s="1" t="n">
        <v>44704</v>
      </c>
      <c r="E394" s="1" t="n">
        <v>46220</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58537-2022</t>
        </is>
      </c>
      <c r="B395" t="inlineStr">
        <is>
          <t>avverkningsanmälan</t>
        </is>
      </c>
      <c r="C395" t="inlineStr">
        <is>
          <t>Föryngringsavverkning</t>
        </is>
      </c>
      <c r="D395" s="1" t="n">
        <v>44894</v>
      </c>
      <c r="E395" s="1" t="n">
        <v>46220</v>
      </c>
      <c r="F395" t="inlineStr">
        <is>
          <t>JÄMTLANDS LÄN</t>
        </is>
      </c>
      <c r="G395" t="inlineStr">
        <is>
          <t>RAGUNDA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5175-2023</t>
        </is>
      </c>
      <c r="B396" t="inlineStr">
        <is>
          <t>avverkningsanmälan</t>
        </is>
      </c>
      <c r="C396" t="inlineStr">
        <is>
          <t>Föryngringsavverkning</t>
        </is>
      </c>
      <c r="D396" s="1" t="n">
        <v>44958</v>
      </c>
      <c r="E396" s="1" t="n">
        <v>46220</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s="2" t="inlineStr"/>
    </row>
    <row r="397" ht="15" customHeight="1">
      <c r="A397" t="inlineStr">
        <is>
          <t>A 35153-2024</t>
        </is>
      </c>
      <c r="B397" t="inlineStr">
        <is>
          <t>avverkningsanmälan</t>
        </is>
      </c>
      <c r="C397" t="inlineStr">
        <is>
          <t>Föryngringsavverkning</t>
        </is>
      </c>
      <c r="D397" s="1" t="n">
        <v>45530</v>
      </c>
      <c r="E397" s="1" t="n">
        <v>46220</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36246-2024</t>
        </is>
      </c>
      <c r="B398" t="inlineStr">
        <is>
          <t>avverkningsanmälan</t>
        </is>
      </c>
      <c r="C398" t="inlineStr">
        <is>
          <t>Föryngringsavverkning</t>
        </is>
      </c>
      <c r="D398" s="1" t="n">
        <v>45534</v>
      </c>
      <c r="E398" s="1" t="n">
        <v>46220</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24196-2024</t>
        </is>
      </c>
      <c r="B399" t="inlineStr">
        <is>
          <t>avverkningsanmälan</t>
        </is>
      </c>
      <c r="C399" t="inlineStr">
        <is>
          <t>Föryngringsavverkning</t>
        </is>
      </c>
      <c r="D399" s="1" t="n">
        <v>45456</v>
      </c>
      <c r="E399" s="1" t="n">
        <v>46220</v>
      </c>
      <c r="F399" t="inlineStr">
        <is>
          <t>JÄMTLANDS LÄN</t>
        </is>
      </c>
      <c r="G399" t="inlineStr">
        <is>
          <t>RAGUNDA</t>
        </is>
      </c>
      <c r="H399" t="inlineStr">
        <is>
          <t>SCA</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44630-2023</t>
        </is>
      </c>
      <c r="B400" t="inlineStr">
        <is>
          <t>avverkningsanmälan</t>
        </is>
      </c>
      <c r="C400" t="inlineStr">
        <is>
          <t>Föryngringsavverkning</t>
        </is>
      </c>
      <c r="D400" s="1" t="n">
        <v>45184</v>
      </c>
      <c r="E400" s="1" t="n">
        <v>46220</v>
      </c>
      <c r="F400" t="inlineStr">
        <is>
          <t>JÄMTLANDS LÄN</t>
        </is>
      </c>
      <c r="G400" t="inlineStr">
        <is>
          <t>RAGUNDA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11558-2023</t>
        </is>
      </c>
      <c r="B401" t="inlineStr">
        <is>
          <t>avverkningsanmälan</t>
        </is>
      </c>
      <c r="C401" t="inlineStr">
        <is>
          <t>Avverkning för att bevara och utveckla /försöksver</t>
        </is>
      </c>
      <c r="D401" s="1" t="n">
        <v>44993</v>
      </c>
      <c r="E401" s="1" t="n">
        <v>46220</v>
      </c>
      <c r="F401" t="inlineStr">
        <is>
          <t>JÄMTLANDS LÄN</t>
        </is>
      </c>
      <c r="G401" t="inlineStr">
        <is>
          <t>RAGUNDA</t>
        </is>
      </c>
      <c r="H401" t="inlineStr">
        <is>
          <t>SCA</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14156-2024</t>
        </is>
      </c>
      <c r="B402" t="inlineStr">
        <is>
          <t>avverkningsanmälan</t>
        </is>
      </c>
      <c r="C402" t="inlineStr">
        <is>
          <t>Föryngringsavverkning</t>
        </is>
      </c>
      <c r="D402" s="1" t="n">
        <v>45392</v>
      </c>
      <c r="E402" s="1" t="n">
        <v>46220</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14157-2024</t>
        </is>
      </c>
      <c r="B403" t="inlineStr">
        <is>
          <t>avverkningsanmälan</t>
        </is>
      </c>
      <c r="C403" t="inlineStr">
        <is>
          <t>Föryngringsavverkning</t>
        </is>
      </c>
      <c r="D403" s="1" t="n">
        <v>45392</v>
      </c>
      <c r="E403" s="1" t="n">
        <v>46220</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4882-2023</t>
        </is>
      </c>
      <c r="B404" t="inlineStr">
        <is>
          <t>avverkningsanmälan</t>
        </is>
      </c>
      <c r="C404" t="inlineStr">
        <is>
          <t>Avverkning för att bevara och utveckla /försöksver</t>
        </is>
      </c>
      <c r="D404" s="1" t="n">
        <v>44957</v>
      </c>
      <c r="E404" s="1" t="n">
        <v>46220</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65216-2023</t>
        </is>
      </c>
      <c r="B405" t="inlineStr">
        <is>
          <t>avverkningsanmälan</t>
        </is>
      </c>
      <c r="C405" t="inlineStr">
        <is>
          <t>Föryngringsavverkning</t>
        </is>
      </c>
      <c r="D405" s="1" t="n">
        <v>45289</v>
      </c>
      <c r="E405" s="1" t="n">
        <v>46220</v>
      </c>
      <c r="F405" t="inlineStr">
        <is>
          <t>JÄMTLANDS LÄN</t>
        </is>
      </c>
      <c r="G405" t="inlineStr">
        <is>
          <t>RAGUNDA</t>
        </is>
      </c>
      <c r="I405" t="n">
        <v>2.9</v>
      </c>
      <c r="J405" t="n">
        <v>0</v>
      </c>
      <c r="K405" t="n">
        <v>0</v>
      </c>
      <c r="L405" t="n">
        <v>0</v>
      </c>
      <c r="M405" t="n">
        <v>0</v>
      </c>
      <c r="N405" t="n">
        <v>0</v>
      </c>
      <c r="O405" t="n">
        <v>0</v>
      </c>
      <c r="P405" t="n">
        <v>0</v>
      </c>
      <c r="Q405" t="n">
        <v>0</v>
      </c>
      <c r="R405" t="n">
        <v>0</v>
      </c>
      <c r="S405" t="n">
        <v>0</v>
      </c>
      <c r="T405" t="n">
        <v>0</v>
      </c>
      <c r="U405" s="2" t="inlineStr"/>
    </row>
    <row r="406" ht="15" customHeight="1">
      <c r="A406" t="inlineStr">
        <is>
          <t>A 52148-2024</t>
        </is>
      </c>
      <c r="B406" t="inlineStr">
        <is>
          <t>avverkningsanmälan</t>
        </is>
      </c>
      <c r="C406" t="inlineStr">
        <is>
          <t>Föryngringsavverkning</t>
        </is>
      </c>
      <c r="D406" s="1" t="n">
        <v>45608</v>
      </c>
      <c r="E406" s="1" t="n">
        <v>46220</v>
      </c>
      <c r="F406" t="inlineStr">
        <is>
          <t>JÄMTLANDS LÄN</t>
        </is>
      </c>
      <c r="G406" t="inlineStr">
        <is>
          <t>RAGUNDA</t>
        </is>
      </c>
      <c r="H406" t="inlineStr">
        <is>
          <t>SCA</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13276-2025</t>
        </is>
      </c>
      <c r="B407" t="inlineStr">
        <is>
          <t>avverkningsanmälan</t>
        </is>
      </c>
      <c r="C407" t="inlineStr">
        <is>
          <t>Föryngringsavverkning</t>
        </is>
      </c>
      <c r="D407" s="1" t="n">
        <v>45735</v>
      </c>
      <c r="E407" s="1" t="n">
        <v>46220</v>
      </c>
      <c r="F407" t="inlineStr">
        <is>
          <t>JÄMTLANDS LÄN</t>
        </is>
      </c>
      <c r="G407" t="inlineStr">
        <is>
          <t>RAGUNDA</t>
        </is>
      </c>
      <c r="I407" t="n">
        <v>16.6</v>
      </c>
      <c r="J407" t="n">
        <v>0</v>
      </c>
      <c r="K407" t="n">
        <v>0</v>
      </c>
      <c r="L407" t="n">
        <v>0</v>
      </c>
      <c r="M407" t="n">
        <v>0</v>
      </c>
      <c r="N407" t="n">
        <v>0</v>
      </c>
      <c r="O407" t="n">
        <v>0</v>
      </c>
      <c r="P407" t="n">
        <v>0</v>
      </c>
      <c r="Q407" t="n">
        <v>0</v>
      </c>
      <c r="R407" t="n">
        <v>0</v>
      </c>
      <c r="S407" t="n">
        <v>0</v>
      </c>
      <c r="T407" t="n">
        <v>0</v>
      </c>
      <c r="U407" s="2" t="inlineStr"/>
    </row>
    <row r="408" ht="15" customHeight="1">
      <c r="A408" t="inlineStr">
        <is>
          <t>A 45335-2023</t>
        </is>
      </c>
      <c r="B408" t="inlineStr">
        <is>
          <t>avverkningsanmälan</t>
        </is>
      </c>
      <c r="C408" t="inlineStr">
        <is>
          <t>Föryngringsavverkning</t>
        </is>
      </c>
      <c r="D408" s="1" t="n">
        <v>45191</v>
      </c>
      <c r="E408" s="1" t="n">
        <v>46220</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22569-2023</t>
        </is>
      </c>
      <c r="B409" t="inlineStr">
        <is>
          <t>avverkningsanmälan</t>
        </is>
      </c>
      <c r="C409" t="inlineStr">
        <is>
          <t>Föryngringsavverkning</t>
        </is>
      </c>
      <c r="D409" s="1" t="n">
        <v>45069</v>
      </c>
      <c r="E409" s="1" t="n">
        <v>46220</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s="2" t="inlineStr"/>
    </row>
    <row r="410" ht="15" customHeight="1">
      <c r="A410" t="inlineStr">
        <is>
          <t>A 11048-2023</t>
        </is>
      </c>
      <c r="B410" t="inlineStr">
        <is>
          <t>avverkningsanmälan</t>
        </is>
      </c>
      <c r="C410" t="inlineStr">
        <is>
          <t>Föryngringsavverkning</t>
        </is>
      </c>
      <c r="D410" s="1" t="n">
        <v>44991</v>
      </c>
      <c r="E410" s="1" t="n">
        <v>46220</v>
      </c>
      <c r="F410" t="inlineStr">
        <is>
          <t>JÄMTLANDS LÄN</t>
        </is>
      </c>
      <c r="G410" t="inlineStr">
        <is>
          <t>RAGUNDA</t>
        </is>
      </c>
      <c r="H410" t="inlineStr">
        <is>
          <t>SCA</t>
        </is>
      </c>
      <c r="I410" t="n">
        <v>13.5</v>
      </c>
      <c r="J410" t="n">
        <v>0</v>
      </c>
      <c r="K410" t="n">
        <v>0</v>
      </c>
      <c r="L410" t="n">
        <v>0</v>
      </c>
      <c r="M410" t="n">
        <v>0</v>
      </c>
      <c r="N410" t="n">
        <v>0</v>
      </c>
      <c r="O410" t="n">
        <v>0</v>
      </c>
      <c r="P410" t="n">
        <v>0</v>
      </c>
      <c r="Q410" t="n">
        <v>0</v>
      </c>
      <c r="R410" t="n">
        <v>0</v>
      </c>
      <c r="S410" t="n">
        <v>0</v>
      </c>
      <c r="T410" t="n">
        <v>0</v>
      </c>
      <c r="U410" s="2" t="inlineStr"/>
    </row>
    <row r="411" ht="15" customHeight="1">
      <c r="A411" t="inlineStr">
        <is>
          <t>A 11062-2023</t>
        </is>
      </c>
      <c r="B411" t="inlineStr">
        <is>
          <t>avverkningsanmälan</t>
        </is>
      </c>
      <c r="C411" t="inlineStr">
        <is>
          <t>Föryngringsavverkning</t>
        </is>
      </c>
      <c r="D411" s="1" t="n">
        <v>44991</v>
      </c>
      <c r="E411" s="1" t="n">
        <v>46220</v>
      </c>
      <c r="F411" t="inlineStr">
        <is>
          <t>JÄMTLANDS LÄN</t>
        </is>
      </c>
      <c r="G411" t="inlineStr">
        <is>
          <t>RAGUNDA</t>
        </is>
      </c>
      <c r="H411" t="inlineStr">
        <is>
          <t>SCA</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9360-2023</t>
        </is>
      </c>
      <c r="B412" t="inlineStr">
        <is>
          <t>avverkningsanmälan</t>
        </is>
      </c>
      <c r="C412" t="inlineStr">
        <is>
          <t>Föryngringsavverkning</t>
        </is>
      </c>
      <c r="D412" s="1" t="n">
        <v>44980</v>
      </c>
      <c r="E412" s="1" t="n">
        <v>46220</v>
      </c>
      <c r="F412" t="inlineStr">
        <is>
          <t>JÄMTLANDS LÄN</t>
        </is>
      </c>
      <c r="G412" t="inlineStr">
        <is>
          <t>RAGUNDA</t>
        </is>
      </c>
      <c r="H412" t="inlineStr">
        <is>
          <t>SCA</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57064-2024</t>
        </is>
      </c>
      <c r="B413" t="inlineStr">
        <is>
          <t>avverkningsanmälan</t>
        </is>
      </c>
      <c r="C413" t="inlineStr">
        <is>
          <t>Föryngringsavverkning</t>
        </is>
      </c>
      <c r="D413" s="1" t="n">
        <v>45629</v>
      </c>
      <c r="E413" s="1" t="n">
        <v>46220</v>
      </c>
      <c r="F413" t="inlineStr">
        <is>
          <t>JÄMTLANDS LÄN</t>
        </is>
      </c>
      <c r="G413" t="inlineStr">
        <is>
          <t>RAGUNDA</t>
        </is>
      </c>
      <c r="H413" t="inlineStr">
        <is>
          <t>Naturvårdsverket</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55524-2024</t>
        </is>
      </c>
      <c r="B414" t="inlineStr">
        <is>
          <t>avverkningsanmälan</t>
        </is>
      </c>
      <c r="C414" t="inlineStr">
        <is>
          <t>Föryngringsavverkning</t>
        </is>
      </c>
      <c r="D414" s="1" t="n">
        <v>45622</v>
      </c>
      <c r="E414" s="1" t="n">
        <v>46220</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25332-2023</t>
        </is>
      </c>
      <c r="B415" t="inlineStr">
        <is>
          <t>avverkningsanmälan</t>
        </is>
      </c>
      <c r="C415" t="inlineStr">
        <is>
          <t>Avverkning för att bevara och utveckla /försöksver</t>
        </is>
      </c>
      <c r="D415" s="1" t="n">
        <v>45086</v>
      </c>
      <c r="E415" s="1" t="n">
        <v>46220</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29920-2024</t>
        </is>
      </c>
      <c r="B416" t="inlineStr">
        <is>
          <t>avverkningsanmälan</t>
        </is>
      </c>
      <c r="C416" t="inlineStr">
        <is>
          <t>Föryngringsavverkning</t>
        </is>
      </c>
      <c r="D416" s="1" t="n">
        <v>45487</v>
      </c>
      <c r="E416" s="1" t="n">
        <v>46220</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44778-2024</t>
        </is>
      </c>
      <c r="B417" t="inlineStr">
        <is>
          <t>avverkningsanmälan</t>
        </is>
      </c>
      <c r="C417" t="inlineStr">
        <is>
          <t>Föryngringsavverkning</t>
        </is>
      </c>
      <c r="D417" s="1" t="n">
        <v>45574</v>
      </c>
      <c r="E417" s="1" t="n">
        <v>46220</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s="2" t="inlineStr"/>
    </row>
    <row r="418" ht="15" customHeight="1">
      <c r="A418" t="inlineStr">
        <is>
          <t>A 2673-2024</t>
        </is>
      </c>
      <c r="B418" t="inlineStr">
        <is>
          <t>avverkningsanmälan</t>
        </is>
      </c>
      <c r="C418" t="inlineStr">
        <is>
          <t>Föryngringsavverkning</t>
        </is>
      </c>
      <c r="D418" s="1" t="n">
        <v>45314</v>
      </c>
      <c r="E418" s="1" t="n">
        <v>46220</v>
      </c>
      <c r="F418" t="inlineStr">
        <is>
          <t>JÄMTLANDS LÄN</t>
        </is>
      </c>
      <c r="G418" t="inlineStr">
        <is>
          <t>RAGUNDA</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64492-2023</t>
        </is>
      </c>
      <c r="B419" t="inlineStr">
        <is>
          <t>avverkningsanmälan</t>
        </is>
      </c>
      <c r="C419" t="inlineStr">
        <is>
          <t>Föryngringsavverkning</t>
        </is>
      </c>
      <c r="D419" s="1" t="n">
        <v>45280</v>
      </c>
      <c r="E419" s="1" t="n">
        <v>46220</v>
      </c>
      <c r="F419" t="inlineStr">
        <is>
          <t>JÄMTLANDS LÄN</t>
        </is>
      </c>
      <c r="G419" t="inlineStr">
        <is>
          <t>RAGUNDA</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14368-2024</t>
        </is>
      </c>
      <c r="B420" t="inlineStr">
        <is>
          <t>avverkningsanmälan</t>
        </is>
      </c>
      <c r="C420" t="inlineStr">
        <is>
          <t>Föryngringsavverkning</t>
        </is>
      </c>
      <c r="D420" s="1" t="n">
        <v>45393</v>
      </c>
      <c r="E420" s="1" t="n">
        <v>46220</v>
      </c>
      <c r="F420" t="inlineStr">
        <is>
          <t>JÄMTLANDS LÄN</t>
        </is>
      </c>
      <c r="G420" t="inlineStr">
        <is>
          <t>RAGUNDA</t>
        </is>
      </c>
      <c r="H420" t="inlineStr">
        <is>
          <t>Naturvårdsverket</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53171-2024</t>
        </is>
      </c>
      <c r="B421" t="inlineStr">
        <is>
          <t>avverkningsanmälan</t>
        </is>
      </c>
      <c r="C421" t="inlineStr">
        <is>
          <t>Föryngringsavverkning</t>
        </is>
      </c>
      <c r="D421" s="1" t="n">
        <v>45611</v>
      </c>
      <c r="E421" s="1" t="n">
        <v>46220</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12660-2024</t>
        </is>
      </c>
      <c r="B422" t="inlineStr">
        <is>
          <t>avverkningsanmälan</t>
        </is>
      </c>
      <c r="C422" t="inlineStr">
        <is>
          <t>Föryngringsavverkning</t>
        </is>
      </c>
      <c r="D422" s="1" t="n">
        <v>45384</v>
      </c>
      <c r="E422" s="1" t="n">
        <v>46220</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55649-2023</t>
        </is>
      </c>
      <c r="B423" t="inlineStr">
        <is>
          <t>avverkningsanmälan</t>
        </is>
      </c>
      <c r="C423" t="inlineStr">
        <is>
          <t>Föryngringsavverkning</t>
        </is>
      </c>
      <c r="D423" s="1" t="n">
        <v>45238</v>
      </c>
      <c r="E423" s="1" t="n">
        <v>46220</v>
      </c>
      <c r="F423" t="inlineStr">
        <is>
          <t>JÄMTLANDS LÄN</t>
        </is>
      </c>
      <c r="G423" t="inlineStr">
        <is>
          <t>RAGUNDA</t>
        </is>
      </c>
      <c r="H423" t="inlineStr">
        <is>
          <t>SCA</t>
        </is>
      </c>
      <c r="I423" t="n">
        <v>6</v>
      </c>
      <c r="J423" t="n">
        <v>0</v>
      </c>
      <c r="K423" t="n">
        <v>0</v>
      </c>
      <c r="L423" t="n">
        <v>0</v>
      </c>
      <c r="M423" t="n">
        <v>0</v>
      </c>
      <c r="N423" t="n">
        <v>0</v>
      </c>
      <c r="O423" t="n">
        <v>0</v>
      </c>
      <c r="P423" t="n">
        <v>0</v>
      </c>
      <c r="Q423" t="n">
        <v>0</v>
      </c>
      <c r="R423" t="n">
        <v>0</v>
      </c>
      <c r="S423" t="n">
        <v>0</v>
      </c>
      <c r="T423" t="n">
        <v>0</v>
      </c>
      <c r="U423" s="2" t="inlineStr"/>
    </row>
    <row r="424" ht="15" customHeight="1">
      <c r="A424" t="inlineStr">
        <is>
          <t>A 54599-2023</t>
        </is>
      </c>
      <c r="B424" t="inlineStr">
        <is>
          <t>avverkningsanmälan</t>
        </is>
      </c>
      <c r="C424" t="inlineStr">
        <is>
          <t>Föryngringsavverkning</t>
        </is>
      </c>
      <c r="D424" s="1" t="n">
        <v>45233</v>
      </c>
      <c r="E424" s="1" t="n">
        <v>46220</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50233-2024</t>
        </is>
      </c>
      <c r="B425" t="inlineStr">
        <is>
          <t>avverkningsanmälan</t>
        </is>
      </c>
      <c r="C425" t="inlineStr">
        <is>
          <t>Avverkning för att bevara och utveckla /försöksver</t>
        </is>
      </c>
      <c r="D425" s="1" t="n">
        <v>45600</v>
      </c>
      <c r="E425" s="1" t="n">
        <v>46220</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s="2" t="inlineStr"/>
    </row>
    <row r="426" ht="15" customHeight="1">
      <c r="A426" t="inlineStr">
        <is>
          <t>A 464-2023</t>
        </is>
      </c>
      <c r="B426" t="inlineStr">
        <is>
          <t>avverkningsanmälan</t>
        </is>
      </c>
      <c r="C426" t="inlineStr">
        <is>
          <t>Föryngringsavverkning</t>
        </is>
      </c>
      <c r="D426" s="1" t="n">
        <v>44929</v>
      </c>
      <c r="E426" s="1" t="n">
        <v>46220</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53769-2023</t>
        </is>
      </c>
      <c r="B427" t="inlineStr">
        <is>
          <t>avverkningsanmälan</t>
        </is>
      </c>
      <c r="C427" t="inlineStr">
        <is>
          <t>Föryngringsavverkning</t>
        </is>
      </c>
      <c r="D427" s="1" t="n">
        <v>45230</v>
      </c>
      <c r="E427" s="1" t="n">
        <v>46220</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s="2" t="inlineStr"/>
    </row>
    <row r="428" ht="15" customHeight="1">
      <c r="A428" t="inlineStr">
        <is>
          <t>A 52228-2024</t>
        </is>
      </c>
      <c r="B428" t="inlineStr">
        <is>
          <t>avverkningsanmälan</t>
        </is>
      </c>
      <c r="C428" t="inlineStr">
        <is>
          <t>Avverkning för att bevara och utveckla /försöksver</t>
        </is>
      </c>
      <c r="D428" s="1" t="n">
        <v>45608</v>
      </c>
      <c r="E428" s="1" t="n">
        <v>46220</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18612-2024</t>
        </is>
      </c>
      <c r="B429" t="inlineStr">
        <is>
          <t>avverkningsanmälan</t>
        </is>
      </c>
      <c r="C429" t="inlineStr">
        <is>
          <t>Föryngringsavverkning</t>
        </is>
      </c>
      <c r="D429" s="1" t="n">
        <v>45425</v>
      </c>
      <c r="E429" s="1" t="n">
        <v>46220</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2242-2024</t>
        </is>
      </c>
      <c r="B430" t="inlineStr">
        <is>
          <t>avverkningsanmälan</t>
        </is>
      </c>
      <c r="C430" t="inlineStr">
        <is>
          <t>Föryngringsavverkning</t>
        </is>
      </c>
      <c r="D430" s="1" t="n">
        <v>45309</v>
      </c>
      <c r="E430" s="1" t="n">
        <v>46220</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29265-2024</t>
        </is>
      </c>
      <c r="B431" t="inlineStr">
        <is>
          <t>avverkningsanmälan</t>
        </is>
      </c>
      <c r="C431" t="inlineStr">
        <is>
          <t>Föryngringsavverkning</t>
        </is>
      </c>
      <c r="D431" s="1" t="n">
        <v>45482</v>
      </c>
      <c r="E431" s="1" t="n">
        <v>46220</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s="2" t="inlineStr"/>
    </row>
    <row r="432" ht="15" customHeight="1">
      <c r="A432" t="inlineStr">
        <is>
          <t>A 19264-2025</t>
        </is>
      </c>
      <c r="B432" t="inlineStr">
        <is>
          <t>avverkningsanmälan</t>
        </is>
      </c>
      <c r="C432" t="inlineStr">
        <is>
          <t>Föryngringsavverkning</t>
        </is>
      </c>
      <c r="D432" s="1" t="n">
        <v>45769</v>
      </c>
      <c r="E432" s="1" t="n">
        <v>46220</v>
      </c>
      <c r="F432" t="inlineStr">
        <is>
          <t>JÄMTLANDS LÄN</t>
        </is>
      </c>
      <c r="G432" t="inlineStr">
        <is>
          <t>RAGUNDA</t>
        </is>
      </c>
      <c r="H432" t="inlineStr">
        <is>
          <t>SCA</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27291-2022</t>
        </is>
      </c>
      <c r="B433" t="inlineStr">
        <is>
          <t>avverkningsanmälan</t>
        </is>
      </c>
      <c r="C433" t="inlineStr">
        <is>
          <t>Föryngringsavverkning</t>
        </is>
      </c>
      <c r="D433" s="1" t="n">
        <v>44741</v>
      </c>
      <c r="E433" s="1" t="n">
        <v>46220</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8776-2025</t>
        </is>
      </c>
      <c r="B434" t="inlineStr">
        <is>
          <t>avverkningsanmälan</t>
        </is>
      </c>
      <c r="C434" t="inlineStr">
        <is>
          <t>Föryngringsavverkning</t>
        </is>
      </c>
      <c r="D434" s="1" t="n">
        <v>45712</v>
      </c>
      <c r="E434" s="1" t="n">
        <v>46220</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36375-2022</t>
        </is>
      </c>
      <c r="B435" t="inlineStr">
        <is>
          <t>avverkningsanmälan</t>
        </is>
      </c>
      <c r="C435" t="inlineStr">
        <is>
          <t>Avverkning för att bevara och utveckla /försöksver</t>
        </is>
      </c>
      <c r="D435" s="1" t="n">
        <v>44803</v>
      </c>
      <c r="E435" s="1" t="n">
        <v>46220</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24158-2025</t>
        </is>
      </c>
      <c r="B436" t="inlineStr">
        <is>
          <t>avverkningsanmälan</t>
        </is>
      </c>
      <c r="C436" t="inlineStr">
        <is>
          <t>Föryngringsavverkning</t>
        </is>
      </c>
      <c r="D436" s="1" t="n">
        <v>45796</v>
      </c>
      <c r="E436" s="1" t="n">
        <v>46220</v>
      </c>
      <c r="F436" t="inlineStr">
        <is>
          <t>JÄMTLANDS LÄN</t>
        </is>
      </c>
      <c r="G436" t="inlineStr">
        <is>
          <t>RAGUNDA</t>
        </is>
      </c>
      <c r="I436" t="n">
        <v>2.9</v>
      </c>
      <c r="J436" t="n">
        <v>0</v>
      </c>
      <c r="K436" t="n">
        <v>0</v>
      </c>
      <c r="L436" t="n">
        <v>0</v>
      </c>
      <c r="M436" t="n">
        <v>0</v>
      </c>
      <c r="N436" t="n">
        <v>0</v>
      </c>
      <c r="O436" t="n">
        <v>0</v>
      </c>
      <c r="P436" t="n">
        <v>0</v>
      </c>
      <c r="Q436" t="n">
        <v>0</v>
      </c>
      <c r="R436" t="n">
        <v>0</v>
      </c>
      <c r="S436" t="n">
        <v>0</v>
      </c>
      <c r="T436" t="n">
        <v>0</v>
      </c>
      <c r="U436" s="2" t="inlineStr"/>
      <c r="X436">
        <f>HYPERLINK("https://klasma.github.io/Logging_2303/knärot/A 24158-2025 karta knärot.png", "A 24158-2025")</f>
        <v/>
      </c>
      <c r="Y436">
        <f>HYPERLINK("https://klasma.github.io/Logging_2303/klagomål/A 24158-2025 FSC-klagomål.docx", "A 24158-2025")</f>
        <v/>
      </c>
      <c r="Z436">
        <f>HYPERLINK("https://klasma.github.io/Logging_2303/klagomålsmail/A 24158-2025 FSC-klagomål mail.docx", "A 24158-2025")</f>
        <v/>
      </c>
      <c r="AA436">
        <f>HYPERLINK("https://klasma.github.io/Logging_2303/tillsyn/A 24158-2025 tillsynsbegäran.docx", "A 24158-2025")</f>
        <v/>
      </c>
      <c r="AB436">
        <f>HYPERLINK("https://klasma.github.io/Logging_2303/tillsynsmail/A 24158-2025 tillsynsbegäran mail.docx", "A 24158-2025")</f>
        <v/>
      </c>
    </row>
    <row r="437" ht="15" customHeight="1">
      <c r="A437" t="inlineStr">
        <is>
          <t>A 24161-2025</t>
        </is>
      </c>
      <c r="B437" t="inlineStr">
        <is>
          <t>avverkningsanmälan</t>
        </is>
      </c>
      <c r="C437" t="inlineStr">
        <is>
          <t>Föryngringsavverkning</t>
        </is>
      </c>
      <c r="D437" s="1" t="n">
        <v>45796</v>
      </c>
      <c r="E437" s="1" t="n">
        <v>46220</v>
      </c>
      <c r="F437" t="inlineStr">
        <is>
          <t>JÄMTLANDS LÄN</t>
        </is>
      </c>
      <c r="G437" t="inlineStr">
        <is>
          <t>RAGUNDA</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63828-2025</t>
        </is>
      </c>
      <c r="B438" t="inlineStr">
        <is>
          <t>avverkningsanmälan</t>
        </is>
      </c>
      <c r="C438" t="inlineStr">
        <is>
          <t>Föryngringsavverkning</t>
        </is>
      </c>
      <c r="D438" s="1" t="n">
        <v>46020</v>
      </c>
      <c r="E438" s="1" t="n">
        <v>46220</v>
      </c>
      <c r="F438" t="inlineStr">
        <is>
          <t>JÄMTLANDS LÄN</t>
        </is>
      </c>
      <c r="G438" t="inlineStr">
        <is>
          <t>RAGUNDA</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9325-2024</t>
        </is>
      </c>
      <c r="B439" t="inlineStr">
        <is>
          <t>avverkningsanmälan</t>
        </is>
      </c>
      <c r="C439" t="inlineStr">
        <is>
          <t>Föryngringsavverkning</t>
        </is>
      </c>
      <c r="D439" s="1" t="n">
        <v>45358</v>
      </c>
      <c r="E439" s="1" t="n">
        <v>46220</v>
      </c>
      <c r="F439" t="inlineStr">
        <is>
          <t>JÄMTLANDS LÄN</t>
        </is>
      </c>
      <c r="G439" t="inlineStr">
        <is>
          <t>RAGUNDA</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5930-2025</t>
        </is>
      </c>
      <c r="B440" t="inlineStr">
        <is>
          <t>avverkningsanmälan</t>
        </is>
      </c>
      <c r="C440" t="inlineStr">
        <is>
          <t>Föryngringsavverkning</t>
        </is>
      </c>
      <c r="D440" s="1" t="n">
        <v>45695</v>
      </c>
      <c r="E440" s="1" t="n">
        <v>46220</v>
      </c>
      <c r="F440" t="inlineStr">
        <is>
          <t>JÄMTLANDS LÄN</t>
        </is>
      </c>
      <c r="G440" t="inlineStr">
        <is>
          <t>RAGUNDA</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24159-2025</t>
        </is>
      </c>
      <c r="B441" t="inlineStr">
        <is>
          <t>avverkningsanmälan</t>
        </is>
      </c>
      <c r="C441" t="inlineStr">
        <is>
          <t>Föryngringsavverkning</t>
        </is>
      </c>
      <c r="D441" s="1" t="n">
        <v>45796</v>
      </c>
      <c r="E441" s="1" t="n">
        <v>46220</v>
      </c>
      <c r="F441" t="inlineStr">
        <is>
          <t>JÄMTLANDS LÄN</t>
        </is>
      </c>
      <c r="G441" t="inlineStr">
        <is>
          <t>RAGUNDA</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57170-2024</t>
        </is>
      </c>
      <c r="B442" t="inlineStr">
        <is>
          <t>avverkningsanmälan</t>
        </is>
      </c>
      <c r="C442" t="inlineStr">
        <is>
          <t>Föryngringsavverkning</t>
        </is>
      </c>
      <c r="D442" s="1" t="n">
        <v>45629</v>
      </c>
      <c r="E442" s="1" t="n">
        <v>46220</v>
      </c>
      <c r="F442" t="inlineStr">
        <is>
          <t>JÄMTLANDS LÄN</t>
        </is>
      </c>
      <c r="G442" t="inlineStr">
        <is>
          <t>RAGUNDA</t>
        </is>
      </c>
      <c r="H442" t="inlineStr">
        <is>
          <t>SCA</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62407-2023</t>
        </is>
      </c>
      <c r="B443" t="inlineStr">
        <is>
          <t>avverkningsanmälan</t>
        </is>
      </c>
      <c r="C443" t="inlineStr">
        <is>
          <t>Föryngringsavverkning</t>
        </is>
      </c>
      <c r="D443" s="1" t="n">
        <v>45266</v>
      </c>
      <c r="E443" s="1" t="n">
        <v>46220</v>
      </c>
      <c r="F443" t="inlineStr">
        <is>
          <t>JÄMTLANDS LÄN</t>
        </is>
      </c>
      <c r="G443" t="inlineStr">
        <is>
          <t>RAGUNDA</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222-2026</t>
        </is>
      </c>
      <c r="B444" t="inlineStr">
        <is>
          <t>avverkningsanmälan</t>
        </is>
      </c>
      <c r="C444" t="inlineStr">
        <is>
          <t>Föryngringsavverkning</t>
        </is>
      </c>
      <c r="D444" s="1" t="n">
        <v>46026</v>
      </c>
      <c r="E444" s="1" t="n">
        <v>46220</v>
      </c>
      <c r="F444" t="inlineStr">
        <is>
          <t>JÄMTLANDS LÄN</t>
        </is>
      </c>
      <c r="G444" t="inlineStr">
        <is>
          <t>RAGUNDA</t>
        </is>
      </c>
      <c r="I444" t="n">
        <v>10.6</v>
      </c>
      <c r="J444" t="n">
        <v>0</v>
      </c>
      <c r="K444" t="n">
        <v>0</v>
      </c>
      <c r="L444" t="n">
        <v>0</v>
      </c>
      <c r="M444" t="n">
        <v>0</v>
      </c>
      <c r="N444" t="n">
        <v>0</v>
      </c>
      <c r="O444" t="n">
        <v>0</v>
      </c>
      <c r="P444" t="n">
        <v>0</v>
      </c>
      <c r="Q444" t="n">
        <v>0</v>
      </c>
      <c r="R444" t="n">
        <v>0</v>
      </c>
      <c r="S444" t="n">
        <v>0</v>
      </c>
      <c r="T444" t="n">
        <v>0</v>
      </c>
      <c r="U444" s="2" t="inlineStr"/>
    </row>
    <row r="445" ht="15" customHeight="1">
      <c r="A445" t="inlineStr">
        <is>
          <t>A 21524-2024</t>
        </is>
      </c>
      <c r="B445" t="inlineStr">
        <is>
          <t>avverkningsanmälan</t>
        </is>
      </c>
      <c r="C445" t="inlineStr">
        <is>
          <t>Föryngringsavverkning</t>
        </is>
      </c>
      <c r="D445" s="1" t="n">
        <v>45441</v>
      </c>
      <c r="E445" s="1" t="n">
        <v>46220</v>
      </c>
      <c r="F445" t="inlineStr">
        <is>
          <t>JÄMTLANDS LÄN</t>
        </is>
      </c>
      <c r="G445" t="inlineStr">
        <is>
          <t>RAGUNDA</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38191-2024</t>
        </is>
      </c>
      <c r="B446" t="inlineStr">
        <is>
          <t>avverkningsanmälan</t>
        </is>
      </c>
      <c r="C446" t="inlineStr">
        <is>
          <t>Föryngringsavverkning</t>
        </is>
      </c>
      <c r="D446" s="1" t="n">
        <v>45545</v>
      </c>
      <c r="E446" s="1" t="n">
        <v>46220</v>
      </c>
      <c r="F446" t="inlineStr">
        <is>
          <t>JÄMTLANDS LÄN</t>
        </is>
      </c>
      <c r="G446" t="inlineStr">
        <is>
          <t>RAGUNDA</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8795-2022</t>
        </is>
      </c>
      <c r="B447" t="inlineStr">
        <is>
          <t>avverkningsanmälan</t>
        </is>
      </c>
      <c r="C447" t="inlineStr">
        <is>
          <t>Föryngringsavverkning</t>
        </is>
      </c>
      <c r="D447" s="1" t="n">
        <v>44614</v>
      </c>
      <c r="E447" s="1" t="n">
        <v>46220</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s="2" t="inlineStr"/>
    </row>
    <row r="448" ht="15" customHeight="1">
      <c r="A448" t="inlineStr">
        <is>
          <t>A 647-2026</t>
        </is>
      </c>
      <c r="B448" t="inlineStr">
        <is>
          <t>avverkningsanmälan</t>
        </is>
      </c>
      <c r="C448" t="inlineStr">
        <is>
          <t>Föryngringsavverkning</t>
        </is>
      </c>
      <c r="D448" s="1" t="n">
        <v>46029</v>
      </c>
      <c r="E448" s="1" t="n">
        <v>46220</v>
      </c>
      <c r="F448" t="inlineStr">
        <is>
          <t>JÄMTLANDS LÄN</t>
        </is>
      </c>
      <c r="G448" t="inlineStr">
        <is>
          <t>RAGUNDA</t>
        </is>
      </c>
      <c r="H448" t="inlineStr">
        <is>
          <t>SCA</t>
        </is>
      </c>
      <c r="I448" t="n">
        <v>6</v>
      </c>
      <c r="J448" t="n">
        <v>0</v>
      </c>
      <c r="K448" t="n">
        <v>0</v>
      </c>
      <c r="L448" t="n">
        <v>0</v>
      </c>
      <c r="M448" t="n">
        <v>0</v>
      </c>
      <c r="N448" t="n">
        <v>0</v>
      </c>
      <c r="O448" t="n">
        <v>0</v>
      </c>
      <c r="P448" t="n">
        <v>0</v>
      </c>
      <c r="Q448" t="n">
        <v>0</v>
      </c>
      <c r="R448" t="n">
        <v>0</v>
      </c>
      <c r="S448" t="n">
        <v>0</v>
      </c>
      <c r="T448" t="n">
        <v>0</v>
      </c>
      <c r="U448" s="2" t="inlineStr"/>
    </row>
    <row r="449" ht="15" customHeight="1">
      <c r="A449" t="inlineStr">
        <is>
          <t>A 35265-2023</t>
        </is>
      </c>
      <c r="B449" t="inlineStr">
        <is>
          <t>avverkningsanmälan</t>
        </is>
      </c>
      <c r="C449" t="inlineStr">
        <is>
          <t>Avverkning för att bevara och utveckla /försöksver</t>
        </is>
      </c>
      <c r="D449" s="1" t="n">
        <v>45145</v>
      </c>
      <c r="E449" s="1" t="n">
        <v>46220</v>
      </c>
      <c r="F449" t="inlineStr">
        <is>
          <t>JÄMTLANDS LÄN</t>
        </is>
      </c>
      <c r="G449" t="inlineStr">
        <is>
          <t>RAGUNDA</t>
        </is>
      </c>
      <c r="H449" t="inlineStr">
        <is>
          <t>SCA</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66471-2021</t>
        </is>
      </c>
      <c r="B450" t="inlineStr">
        <is>
          <t>avverkningsanmälan</t>
        </is>
      </c>
      <c r="C450" t="inlineStr">
        <is>
          <t>Föryngringsavverkning</t>
        </is>
      </c>
      <c r="D450" s="1" t="n">
        <v>44518</v>
      </c>
      <c r="E450" s="1" t="n">
        <v>46220</v>
      </c>
      <c r="F450" t="inlineStr">
        <is>
          <t>JÄMTLANDS LÄN</t>
        </is>
      </c>
      <c r="G450" t="inlineStr">
        <is>
          <t>RAGUNDA</t>
        </is>
      </c>
      <c r="I450" t="n">
        <v>13.4</v>
      </c>
      <c r="J450" t="n">
        <v>0</v>
      </c>
      <c r="K450" t="n">
        <v>0</v>
      </c>
      <c r="L450" t="n">
        <v>0</v>
      </c>
      <c r="M450" t="n">
        <v>0</v>
      </c>
      <c r="N450" t="n">
        <v>0</v>
      </c>
      <c r="O450" t="n">
        <v>0</v>
      </c>
      <c r="P450" t="n">
        <v>0</v>
      </c>
      <c r="Q450" t="n">
        <v>0</v>
      </c>
      <c r="R450" t="n">
        <v>0</v>
      </c>
      <c r="S450" t="n">
        <v>0</v>
      </c>
      <c r="T450" t="n">
        <v>0</v>
      </c>
      <c r="U450" s="2" t="inlineStr"/>
    </row>
    <row r="451" ht="15" customHeight="1">
      <c r="A451" t="inlineStr">
        <is>
          <t>A 18778-2024</t>
        </is>
      </c>
      <c r="B451" t="inlineStr">
        <is>
          <t>avverkningsanmälan</t>
        </is>
      </c>
      <c r="C451" t="inlineStr">
        <is>
          <t>Föryngringsavverkning</t>
        </is>
      </c>
      <c r="D451" s="1" t="n">
        <v>45426</v>
      </c>
      <c r="E451" s="1" t="n">
        <v>46220</v>
      </c>
      <c r="F451" t="inlineStr">
        <is>
          <t>JÄMTLANDS LÄN</t>
        </is>
      </c>
      <c r="G451" t="inlineStr">
        <is>
          <t>RAGUNDA</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59556-2024</t>
        </is>
      </c>
      <c r="B452" t="inlineStr">
        <is>
          <t>avverkningsanmälan</t>
        </is>
      </c>
      <c r="C452" t="inlineStr">
        <is>
          <t>Föryngringsavverkning</t>
        </is>
      </c>
      <c r="D452" s="1" t="n">
        <v>45638</v>
      </c>
      <c r="E452" s="1" t="n">
        <v>46220</v>
      </c>
      <c r="F452" t="inlineStr">
        <is>
          <t>JÄMTLANDS LÄN</t>
        </is>
      </c>
      <c r="G452" t="inlineStr">
        <is>
          <t>RAGUNDA</t>
        </is>
      </c>
      <c r="H452" t="inlineStr">
        <is>
          <t>SCA</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16529-2022</t>
        </is>
      </c>
      <c r="B453" t="inlineStr">
        <is>
          <t>avverkningsanmälan</t>
        </is>
      </c>
      <c r="C453" t="inlineStr">
        <is>
          <t>Föryngringsavverkning</t>
        </is>
      </c>
      <c r="D453" s="1" t="n">
        <v>44671</v>
      </c>
      <c r="E453" s="1" t="n">
        <v>46220</v>
      </c>
      <c r="F453" t="inlineStr">
        <is>
          <t>JÄMTLANDS LÄN</t>
        </is>
      </c>
      <c r="G453" t="inlineStr">
        <is>
          <t>RAGUNDA</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19613-2023</t>
        </is>
      </c>
      <c r="B454" t="inlineStr">
        <is>
          <t>avverkningsanmälan</t>
        </is>
      </c>
      <c r="C454" t="inlineStr">
        <is>
          <t>Föryngringsavverkning</t>
        </is>
      </c>
      <c r="D454" s="1" t="n">
        <v>45050</v>
      </c>
      <c r="E454" s="1" t="n">
        <v>46220</v>
      </c>
      <c r="F454" t="inlineStr">
        <is>
          <t>JÄMTLANDS LÄN</t>
        </is>
      </c>
      <c r="G454" t="inlineStr">
        <is>
          <t>RAGUNDA</t>
        </is>
      </c>
      <c r="H454" t="inlineStr">
        <is>
          <t>SCA</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25814-2025</t>
        </is>
      </c>
      <c r="B455" t="inlineStr">
        <is>
          <t>avverkningsanmälan</t>
        </is>
      </c>
      <c r="C455" t="inlineStr">
        <is>
          <t>Föryngringsavverkning</t>
        </is>
      </c>
      <c r="D455" s="1" t="n">
        <v>45804</v>
      </c>
      <c r="E455" s="1" t="n">
        <v>46220</v>
      </c>
      <c r="F455" t="inlineStr">
        <is>
          <t>JÄMTLANDS LÄN</t>
        </is>
      </c>
      <c r="G455" t="inlineStr">
        <is>
          <t>RAGUNDA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25944-2025</t>
        </is>
      </c>
      <c r="B456" t="inlineStr">
        <is>
          <t>avverkningsanmälan</t>
        </is>
      </c>
      <c r="C456" t="inlineStr">
        <is>
          <t>Föryngringsavverkning</t>
        </is>
      </c>
      <c r="D456" s="1" t="n">
        <v>45804</v>
      </c>
      <c r="E456" s="1" t="n">
        <v>46220</v>
      </c>
      <c r="F456" t="inlineStr">
        <is>
          <t>JÄMTLANDS LÄN</t>
        </is>
      </c>
      <c r="G456" t="inlineStr">
        <is>
          <t>RAGUNDA</t>
        </is>
      </c>
      <c r="H456" t="inlineStr">
        <is>
          <t>SCA</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26283-2025</t>
        </is>
      </c>
      <c r="B457" t="inlineStr">
        <is>
          <t>avverkningsanmälan</t>
        </is>
      </c>
      <c r="C457" t="inlineStr">
        <is>
          <t>Föryngringsavverkning</t>
        </is>
      </c>
      <c r="D457" s="1" t="n">
        <v>45805</v>
      </c>
      <c r="E457" s="1" t="n">
        <v>46220</v>
      </c>
      <c r="F457" t="inlineStr">
        <is>
          <t>JÄMTLANDS LÄN</t>
        </is>
      </c>
      <c r="G457" t="inlineStr">
        <is>
          <t>RAGUNDA</t>
        </is>
      </c>
      <c r="H457" t="inlineStr">
        <is>
          <t>SCA</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10788-2025</t>
        </is>
      </c>
      <c r="B458" t="inlineStr">
        <is>
          <t>avverkningsanmälan</t>
        </is>
      </c>
      <c r="C458" t="inlineStr">
        <is>
          <t>Föryngringsavverkning</t>
        </is>
      </c>
      <c r="D458" s="1" t="n">
        <v>45722</v>
      </c>
      <c r="E458" s="1" t="n">
        <v>46220</v>
      </c>
      <c r="F458" t="inlineStr">
        <is>
          <t>JÄMTLANDS LÄN</t>
        </is>
      </c>
      <c r="G458" t="inlineStr">
        <is>
          <t>RAGUNDA</t>
        </is>
      </c>
      <c r="I458" t="n">
        <v>3.5</v>
      </c>
      <c r="J458" t="n">
        <v>0</v>
      </c>
      <c r="K458" t="n">
        <v>0</v>
      </c>
      <c r="L458" t="n">
        <v>0</v>
      </c>
      <c r="M458" t="n">
        <v>0</v>
      </c>
      <c r="N458" t="n">
        <v>0</v>
      </c>
      <c r="O458" t="n">
        <v>0</v>
      </c>
      <c r="P458" t="n">
        <v>0</v>
      </c>
      <c r="Q458" t="n">
        <v>0</v>
      </c>
      <c r="R458" t="n">
        <v>0</v>
      </c>
      <c r="S458" t="n">
        <v>0</v>
      </c>
      <c r="T458" t="n">
        <v>0</v>
      </c>
      <c r="U458" s="2" t="inlineStr"/>
    </row>
    <row r="459" ht="15" customHeight="1">
      <c r="A459" t="inlineStr">
        <is>
          <t>A 26172-2025</t>
        </is>
      </c>
      <c r="B459" t="inlineStr">
        <is>
          <t>avverkningsanmälan</t>
        </is>
      </c>
      <c r="C459" t="inlineStr">
        <is>
          <t>Föryngringsavverkning</t>
        </is>
      </c>
      <c r="D459" s="1" t="n">
        <v>45805</v>
      </c>
      <c r="E459" s="1" t="n">
        <v>46220</v>
      </c>
      <c r="F459" t="inlineStr">
        <is>
          <t>JÄMTLANDS LÄN</t>
        </is>
      </c>
      <c r="G459" t="inlineStr">
        <is>
          <t>RAGUNDA</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39192-2025</t>
        </is>
      </c>
      <c r="B460" t="inlineStr">
        <is>
          <t>avverkningsanmälan</t>
        </is>
      </c>
      <c r="C460" t="inlineStr">
        <is>
          <t>Föryngringsavverkning</t>
        </is>
      </c>
      <c r="D460" s="1" t="n">
        <v>45888</v>
      </c>
      <c r="E460" s="1" t="n">
        <v>46220</v>
      </c>
      <c r="F460" t="inlineStr">
        <is>
          <t>JÄMTLANDS LÄN</t>
        </is>
      </c>
      <c r="G460" t="inlineStr">
        <is>
          <t>RAGUNDA</t>
        </is>
      </c>
      <c r="H460" t="inlineStr">
        <is>
          <t>Naturvårdsverket</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26246-2025</t>
        </is>
      </c>
      <c r="B461" t="inlineStr">
        <is>
          <t>avverkningsanmälan</t>
        </is>
      </c>
      <c r="C461" t="inlineStr">
        <is>
          <t>Föryngringsavverkning</t>
        </is>
      </c>
      <c r="D461" s="1" t="n">
        <v>45805</v>
      </c>
      <c r="E461" s="1" t="n">
        <v>46220</v>
      </c>
      <c r="F461" t="inlineStr">
        <is>
          <t>JÄMTLANDS LÄN</t>
        </is>
      </c>
      <c r="G461" t="inlineStr">
        <is>
          <t>RAGUNDA</t>
        </is>
      </c>
      <c r="H461" t="inlineStr">
        <is>
          <t>SCA</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28742-2023</t>
        </is>
      </c>
      <c r="B462" t="inlineStr">
        <is>
          <t>avverkningsanmälan</t>
        </is>
      </c>
      <c r="C462" t="inlineStr">
        <is>
          <t>Avverkning för annat ändamål</t>
        </is>
      </c>
      <c r="D462" s="1" t="n">
        <v>45103</v>
      </c>
      <c r="E462" s="1" t="n">
        <v>46220</v>
      </c>
      <c r="F462" t="inlineStr">
        <is>
          <t>JÄMTLANDS LÄN</t>
        </is>
      </c>
      <c r="G462" t="inlineStr">
        <is>
          <t>RAGUNDA</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17323-2025</t>
        </is>
      </c>
      <c r="B463" t="inlineStr">
        <is>
          <t>avverkningsanmälan</t>
        </is>
      </c>
      <c r="C463" t="inlineStr">
        <is>
          <t>Föryngringsavverkning</t>
        </is>
      </c>
      <c r="D463" s="1" t="n">
        <v>45756</v>
      </c>
      <c r="E463" s="1" t="n">
        <v>46220</v>
      </c>
      <c r="F463" t="inlineStr">
        <is>
          <t>JÄMTLANDS LÄN</t>
        </is>
      </c>
      <c r="G463" t="inlineStr">
        <is>
          <t>RAGUNDA</t>
        </is>
      </c>
      <c r="H463" t="inlineStr">
        <is>
          <t>SCA</t>
        </is>
      </c>
      <c r="I463" t="n">
        <v>2.2</v>
      </c>
      <c r="J463" t="n">
        <v>0</v>
      </c>
      <c r="K463" t="n">
        <v>0</v>
      </c>
      <c r="L463" t="n">
        <v>0</v>
      </c>
      <c r="M463" t="n">
        <v>0</v>
      </c>
      <c r="N463" t="n">
        <v>0</v>
      </c>
      <c r="O463" t="n">
        <v>0</v>
      </c>
      <c r="P463" t="n">
        <v>0</v>
      </c>
      <c r="Q463" t="n">
        <v>0</v>
      </c>
      <c r="R463" t="n">
        <v>0</v>
      </c>
      <c r="S463" t="n">
        <v>0</v>
      </c>
      <c r="T463" t="n">
        <v>0</v>
      </c>
      <c r="U463" s="2" t="inlineStr"/>
    </row>
    <row r="464" ht="15" customHeight="1">
      <c r="A464" t="inlineStr">
        <is>
          <t>A 39384-2025</t>
        </is>
      </c>
      <c r="B464" t="inlineStr">
        <is>
          <t>avverkningsanmälan</t>
        </is>
      </c>
      <c r="C464" t="inlineStr">
        <is>
          <t>Föryngringsavverkning</t>
        </is>
      </c>
      <c r="D464" s="1" t="n">
        <v>45889</v>
      </c>
      <c r="E464" s="1" t="n">
        <v>46220</v>
      </c>
      <c r="F464" t="inlineStr">
        <is>
          <t>JÄMTLANDS LÄN</t>
        </is>
      </c>
      <c r="G464" t="inlineStr">
        <is>
          <t>RAGUNDA</t>
        </is>
      </c>
      <c r="H464" t="inlineStr">
        <is>
          <t>SCA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73278-2021</t>
        </is>
      </c>
      <c r="B465" t="inlineStr">
        <is>
          <t>avverkningsanmälan</t>
        </is>
      </c>
      <c r="C465" t="inlineStr">
        <is>
          <t>Föryngringsavverkning</t>
        </is>
      </c>
      <c r="D465" s="1" t="n">
        <v>44550</v>
      </c>
      <c r="E465" s="1" t="n">
        <v>46220</v>
      </c>
      <c r="F465" t="inlineStr">
        <is>
          <t>JÄMTLANDS LÄN</t>
        </is>
      </c>
      <c r="G465" t="inlineStr">
        <is>
          <t>RAGUNDA</t>
        </is>
      </c>
      <c r="I465" t="n">
        <v>4.4</v>
      </c>
      <c r="J465" t="n">
        <v>0</v>
      </c>
      <c r="K465" t="n">
        <v>0</v>
      </c>
      <c r="L465" t="n">
        <v>0</v>
      </c>
      <c r="M465" t="n">
        <v>0</v>
      </c>
      <c r="N465" t="n">
        <v>0</v>
      </c>
      <c r="O465" t="n">
        <v>0</v>
      </c>
      <c r="P465" t="n">
        <v>0</v>
      </c>
      <c r="Q465" t="n">
        <v>0</v>
      </c>
      <c r="R465" t="n">
        <v>0</v>
      </c>
      <c r="S465" t="n">
        <v>0</v>
      </c>
      <c r="T465" t="n">
        <v>0</v>
      </c>
      <c r="U465" s="2" t="inlineStr"/>
    </row>
    <row r="466" ht="15" customHeight="1">
      <c r="A466" t="inlineStr">
        <is>
          <t>A 51396-2024</t>
        </is>
      </c>
      <c r="B466" t="inlineStr">
        <is>
          <t>avverkningsanmälan</t>
        </is>
      </c>
      <c r="C466" t="inlineStr">
        <is>
          <t>Föryngringsavverkning</t>
        </is>
      </c>
      <c r="D466" s="1" t="n">
        <v>45604</v>
      </c>
      <c r="E466" s="1" t="n">
        <v>46220</v>
      </c>
      <c r="F466" t="inlineStr">
        <is>
          <t>JÄMTLANDS LÄN</t>
        </is>
      </c>
      <c r="G466" t="inlineStr">
        <is>
          <t>RAGUNDA</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59136-2023</t>
        </is>
      </c>
      <c r="B467" t="inlineStr">
        <is>
          <t>avverkningsanmälan</t>
        </is>
      </c>
      <c r="C467" t="inlineStr">
        <is>
          <t>Avverkning för att bevara och utveckla /försöksver</t>
        </is>
      </c>
      <c r="D467" s="1" t="n">
        <v>45251</v>
      </c>
      <c r="E467" s="1" t="n">
        <v>46220</v>
      </c>
      <c r="F467" t="inlineStr">
        <is>
          <t>JÄMTLANDS LÄN</t>
        </is>
      </c>
      <c r="G467" t="inlineStr">
        <is>
          <t>RAGUNDA</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26640-2025</t>
        </is>
      </c>
      <c r="B468" t="inlineStr">
        <is>
          <t>avverkningsanmälan</t>
        </is>
      </c>
      <c r="C468" t="inlineStr">
        <is>
          <t>Föryngringsavverkning</t>
        </is>
      </c>
      <c r="D468" s="1" t="n">
        <v>45810</v>
      </c>
      <c r="E468" s="1" t="n">
        <v>46220</v>
      </c>
      <c r="F468" t="inlineStr">
        <is>
          <t>JÄMTLANDS LÄN</t>
        </is>
      </c>
      <c r="G468" t="inlineStr">
        <is>
          <t>RAGUNDA</t>
        </is>
      </c>
      <c r="H468" t="inlineStr">
        <is>
          <t>SCA</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39947-2025</t>
        </is>
      </c>
      <c r="B469" t="inlineStr">
        <is>
          <t>avverkningsanmälan</t>
        </is>
      </c>
      <c r="C469" t="inlineStr">
        <is>
          <t>Föryngringsavverkning</t>
        </is>
      </c>
      <c r="D469" s="1" t="n">
        <v>45892</v>
      </c>
      <c r="E469" s="1" t="n">
        <v>46220</v>
      </c>
      <c r="F469" t="inlineStr">
        <is>
          <t>JÄMTLANDS LÄN</t>
        </is>
      </c>
      <c r="G469" t="inlineStr">
        <is>
          <t>RAGUNDA</t>
        </is>
      </c>
      <c r="I469" t="n">
        <v>6.6</v>
      </c>
      <c r="J469" t="n">
        <v>0</v>
      </c>
      <c r="K469" t="n">
        <v>0</v>
      </c>
      <c r="L469" t="n">
        <v>0</v>
      </c>
      <c r="M469" t="n">
        <v>0</v>
      </c>
      <c r="N469" t="n">
        <v>0</v>
      </c>
      <c r="O469" t="n">
        <v>0</v>
      </c>
      <c r="P469" t="n">
        <v>0</v>
      </c>
      <c r="Q469" t="n">
        <v>0</v>
      </c>
      <c r="R469" t="n">
        <v>0</v>
      </c>
      <c r="S469" t="n">
        <v>0</v>
      </c>
      <c r="T469" t="n">
        <v>0</v>
      </c>
      <c r="U469" s="2" t="inlineStr"/>
    </row>
    <row r="470" ht="15" customHeight="1">
      <c r="A470" t="inlineStr">
        <is>
          <t>A 39951-2025</t>
        </is>
      </c>
      <c r="B470" t="inlineStr">
        <is>
          <t>avverkningsanmälan</t>
        </is>
      </c>
      <c r="C470" t="inlineStr">
        <is>
          <t>Föryngringsavverkning</t>
        </is>
      </c>
      <c r="D470" s="1" t="n">
        <v>45892</v>
      </c>
      <c r="E470" s="1" t="n">
        <v>46220</v>
      </c>
      <c r="F470" t="inlineStr">
        <is>
          <t>JÄMTLANDS LÄN</t>
        </is>
      </c>
      <c r="G470" t="inlineStr">
        <is>
          <t>RAGUNDA</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39948-2025</t>
        </is>
      </c>
      <c r="B471" t="inlineStr">
        <is>
          <t>avverkningsanmälan</t>
        </is>
      </c>
      <c r="C471" t="inlineStr">
        <is>
          <t>Föryngringsavverkning</t>
        </is>
      </c>
      <c r="D471" s="1" t="n">
        <v>45892</v>
      </c>
      <c r="E471" s="1" t="n">
        <v>46220</v>
      </c>
      <c r="F471" t="inlineStr">
        <is>
          <t>JÄMTLANDS LÄN</t>
        </is>
      </c>
      <c r="G471" t="inlineStr">
        <is>
          <t>RAGUNDA</t>
        </is>
      </c>
      <c r="I471" t="n">
        <v>5</v>
      </c>
      <c r="J471" t="n">
        <v>0</v>
      </c>
      <c r="K471" t="n">
        <v>0</v>
      </c>
      <c r="L471" t="n">
        <v>0</v>
      </c>
      <c r="M471" t="n">
        <v>0</v>
      </c>
      <c r="N471" t="n">
        <v>0</v>
      </c>
      <c r="O471" t="n">
        <v>0</v>
      </c>
      <c r="P471" t="n">
        <v>0</v>
      </c>
      <c r="Q471" t="n">
        <v>0</v>
      </c>
      <c r="R471" t="n">
        <v>0</v>
      </c>
      <c r="S471" t="n">
        <v>0</v>
      </c>
      <c r="T471" t="n">
        <v>0</v>
      </c>
      <c r="U471" s="2" t="inlineStr"/>
    </row>
    <row r="472" ht="15" customHeight="1">
      <c r="A472" t="inlineStr">
        <is>
          <t>A 39946-2025</t>
        </is>
      </c>
      <c r="B472" t="inlineStr">
        <is>
          <t>avverkningsanmälan</t>
        </is>
      </c>
      <c r="C472" t="inlineStr">
        <is>
          <t>Föryngringsavverkning</t>
        </is>
      </c>
      <c r="D472" s="1" t="n">
        <v>45892</v>
      </c>
      <c r="E472" s="1" t="n">
        <v>46220</v>
      </c>
      <c r="F472" t="inlineStr">
        <is>
          <t>JÄMTLANDS LÄN</t>
        </is>
      </c>
      <c r="G472" t="inlineStr">
        <is>
          <t>RAGUNDA</t>
        </is>
      </c>
      <c r="I472" t="n">
        <v>4.7</v>
      </c>
      <c r="J472" t="n">
        <v>0</v>
      </c>
      <c r="K472" t="n">
        <v>0</v>
      </c>
      <c r="L472" t="n">
        <v>0</v>
      </c>
      <c r="M472" t="n">
        <v>0</v>
      </c>
      <c r="N472" t="n">
        <v>0</v>
      </c>
      <c r="O472" t="n">
        <v>0</v>
      </c>
      <c r="P472" t="n">
        <v>0</v>
      </c>
      <c r="Q472" t="n">
        <v>0</v>
      </c>
      <c r="R472" t="n">
        <v>0</v>
      </c>
      <c r="S472" t="n">
        <v>0</v>
      </c>
      <c r="T472" t="n">
        <v>0</v>
      </c>
      <c r="U472" s="2" t="inlineStr"/>
    </row>
    <row r="473" ht="15" customHeight="1">
      <c r="A473" t="inlineStr">
        <is>
          <t>A 39950-2025</t>
        </is>
      </c>
      <c r="B473" t="inlineStr">
        <is>
          <t>avverkningsanmälan</t>
        </is>
      </c>
      <c r="C473" t="inlineStr">
        <is>
          <t>Föryngringsavverkning</t>
        </is>
      </c>
      <c r="D473" s="1" t="n">
        <v>45892</v>
      </c>
      <c r="E473" s="1" t="n">
        <v>46220</v>
      </c>
      <c r="F473" t="inlineStr">
        <is>
          <t>JÄMTLANDS LÄN</t>
        </is>
      </c>
      <c r="G473" t="inlineStr">
        <is>
          <t>RAGUNDA</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39955-2025</t>
        </is>
      </c>
      <c r="B474" t="inlineStr">
        <is>
          <t>avverkningsanmälan</t>
        </is>
      </c>
      <c r="C474" t="inlineStr">
        <is>
          <t>Föryngringsavverkning</t>
        </is>
      </c>
      <c r="D474" s="1" t="n">
        <v>45892</v>
      </c>
      <c r="E474" s="1" t="n">
        <v>46220</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39956-2025</t>
        </is>
      </c>
      <c r="B475" t="inlineStr">
        <is>
          <t>avverkningsanmälan</t>
        </is>
      </c>
      <c r="C475" t="inlineStr">
        <is>
          <t>Föryngringsavverkning</t>
        </is>
      </c>
      <c r="D475" s="1" t="n">
        <v>45892</v>
      </c>
      <c r="E475" s="1" t="n">
        <v>46220</v>
      </c>
      <c r="F475" t="inlineStr">
        <is>
          <t>JÄMTLANDS LÄN</t>
        </is>
      </c>
      <c r="G475" t="inlineStr">
        <is>
          <t>RAGUNDA</t>
        </is>
      </c>
      <c r="I475" t="n">
        <v>3.6</v>
      </c>
      <c r="J475" t="n">
        <v>0</v>
      </c>
      <c r="K475" t="n">
        <v>0</v>
      </c>
      <c r="L475" t="n">
        <v>0</v>
      </c>
      <c r="M475" t="n">
        <v>0</v>
      </c>
      <c r="N475" t="n">
        <v>0</v>
      </c>
      <c r="O475" t="n">
        <v>0</v>
      </c>
      <c r="P475" t="n">
        <v>0</v>
      </c>
      <c r="Q475" t="n">
        <v>0</v>
      </c>
      <c r="R475" t="n">
        <v>0</v>
      </c>
      <c r="S475" t="n">
        <v>0</v>
      </c>
      <c r="T475" t="n">
        <v>0</v>
      </c>
      <c r="U475" s="2" t="inlineStr"/>
    </row>
    <row r="476" ht="15" customHeight="1">
      <c r="A476" t="inlineStr">
        <is>
          <t>A 2001-2025</t>
        </is>
      </c>
      <c r="B476" t="inlineStr">
        <is>
          <t>avverkningsanmälan</t>
        </is>
      </c>
      <c r="C476" t="inlineStr">
        <is>
          <t>Föryngringsavverkning</t>
        </is>
      </c>
      <c r="D476" s="1" t="n">
        <v>45672</v>
      </c>
      <c r="E476" s="1" t="n">
        <v>46220</v>
      </c>
      <c r="F476" t="inlineStr">
        <is>
          <t>JÄMTLANDS LÄN</t>
        </is>
      </c>
      <c r="G476" t="inlineStr">
        <is>
          <t>RAGUNDA</t>
        </is>
      </c>
      <c r="H476" t="inlineStr">
        <is>
          <t>SCA</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53762-2023</t>
        </is>
      </c>
      <c r="B477" t="inlineStr">
        <is>
          <t>avverkningsanmälan</t>
        </is>
      </c>
      <c r="C477" t="inlineStr">
        <is>
          <t>Föryngringsavverkning</t>
        </is>
      </c>
      <c r="D477" s="1" t="n">
        <v>45230</v>
      </c>
      <c r="E477" s="1" t="n">
        <v>46220</v>
      </c>
      <c r="F477" t="inlineStr">
        <is>
          <t>JÄMTLANDS LÄN</t>
        </is>
      </c>
      <c r="G477" t="inlineStr">
        <is>
          <t>RAGUNDA</t>
        </is>
      </c>
      <c r="H477" t="inlineStr">
        <is>
          <t>SCA</t>
        </is>
      </c>
      <c r="I477" t="n">
        <v>4.1</v>
      </c>
      <c r="J477" t="n">
        <v>0</v>
      </c>
      <c r="K477" t="n">
        <v>0</v>
      </c>
      <c r="L477" t="n">
        <v>0</v>
      </c>
      <c r="M477" t="n">
        <v>0</v>
      </c>
      <c r="N477" t="n">
        <v>0</v>
      </c>
      <c r="O477" t="n">
        <v>0</v>
      </c>
      <c r="P477" t="n">
        <v>0</v>
      </c>
      <c r="Q477" t="n">
        <v>0</v>
      </c>
      <c r="R477" t="n">
        <v>0</v>
      </c>
      <c r="S477" t="n">
        <v>0</v>
      </c>
      <c r="T477" t="n">
        <v>0</v>
      </c>
      <c r="U477" s="2" t="inlineStr"/>
    </row>
    <row r="478" ht="15" customHeight="1">
      <c r="A478" t="inlineStr">
        <is>
          <t>A 49659-2023</t>
        </is>
      </c>
      <c r="B478" t="inlineStr">
        <is>
          <t>avverkningsanmälan</t>
        </is>
      </c>
      <c r="C478" t="inlineStr">
        <is>
          <t>Föryngringsavverkning</t>
        </is>
      </c>
      <c r="D478" s="1" t="n">
        <v>45211</v>
      </c>
      <c r="E478" s="1" t="n">
        <v>46220</v>
      </c>
      <c r="F478" t="inlineStr">
        <is>
          <t>JÄMTLANDS LÄN</t>
        </is>
      </c>
      <c r="G478" t="inlineStr">
        <is>
          <t>RAGUNDA</t>
        </is>
      </c>
      <c r="H478" t="inlineStr">
        <is>
          <t>SCA</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39949-2025</t>
        </is>
      </c>
      <c r="B479" t="inlineStr">
        <is>
          <t>avverkningsanmälan</t>
        </is>
      </c>
      <c r="C479" t="inlineStr">
        <is>
          <t>Föryngringsavverkning</t>
        </is>
      </c>
      <c r="D479" s="1" t="n">
        <v>45892</v>
      </c>
      <c r="E479" s="1" t="n">
        <v>46220</v>
      </c>
      <c r="F479" t="inlineStr">
        <is>
          <t>JÄMTLANDS LÄN</t>
        </is>
      </c>
      <c r="G479" t="inlineStr">
        <is>
          <t>RAGUNDA</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19089-2024</t>
        </is>
      </c>
      <c r="B480" t="inlineStr">
        <is>
          <t>avverkningsanmälan</t>
        </is>
      </c>
      <c r="C480" t="inlineStr">
        <is>
          <t>Avverkning för att bevara och utveckla /försöksver</t>
        </is>
      </c>
      <c r="D480" s="1" t="n">
        <v>45428</v>
      </c>
      <c r="E480" s="1" t="n">
        <v>46220</v>
      </c>
      <c r="F480" t="inlineStr">
        <is>
          <t>JÄMTLANDS LÄN</t>
        </is>
      </c>
      <c r="G480" t="inlineStr">
        <is>
          <t>RAGUNDA</t>
        </is>
      </c>
      <c r="H480" t="inlineStr">
        <is>
          <t>SCA</t>
        </is>
      </c>
      <c r="I480" t="n">
        <v>6.1</v>
      </c>
      <c r="J480" t="n">
        <v>0</v>
      </c>
      <c r="K480" t="n">
        <v>0</v>
      </c>
      <c r="L480" t="n">
        <v>0</v>
      </c>
      <c r="M480" t="n">
        <v>0</v>
      </c>
      <c r="N480" t="n">
        <v>0</v>
      </c>
      <c r="O480" t="n">
        <v>0</v>
      </c>
      <c r="P480" t="n">
        <v>0</v>
      </c>
      <c r="Q480" t="n">
        <v>0</v>
      </c>
      <c r="R480" t="n">
        <v>0</v>
      </c>
      <c r="S480" t="n">
        <v>0</v>
      </c>
      <c r="T480" t="n">
        <v>0</v>
      </c>
      <c r="U480" s="2" t="inlineStr"/>
    </row>
    <row r="481" ht="15" customHeight="1">
      <c r="A481" t="inlineStr">
        <is>
          <t>A 50521-2024</t>
        </is>
      </c>
      <c r="B481" t="inlineStr">
        <is>
          <t>avverkningsanmälan</t>
        </is>
      </c>
      <c r="C481" t="inlineStr">
        <is>
          <t>Avverkning för att bevara och utveckla /försöksver</t>
        </is>
      </c>
      <c r="D481" s="1" t="n">
        <v>45601</v>
      </c>
      <c r="E481" s="1" t="n">
        <v>46220</v>
      </c>
      <c r="F481" t="inlineStr">
        <is>
          <t>JÄMTLANDS LÄN</t>
        </is>
      </c>
      <c r="G481" t="inlineStr">
        <is>
          <t>RAGUNDA</t>
        </is>
      </c>
      <c r="H481" t="inlineStr">
        <is>
          <t>SCA</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4916-2025</t>
        </is>
      </c>
      <c r="B482" t="inlineStr">
        <is>
          <t>avverkningsanmälan</t>
        </is>
      </c>
      <c r="C482" t="inlineStr">
        <is>
          <t>Föryngringsavverkning</t>
        </is>
      </c>
      <c r="D482" s="1" t="n">
        <v>45688</v>
      </c>
      <c r="E482" s="1" t="n">
        <v>46220</v>
      </c>
      <c r="F482" t="inlineStr">
        <is>
          <t>JÄMTLANDS LÄN</t>
        </is>
      </c>
      <c r="G482" t="inlineStr">
        <is>
          <t>RAGUNDA</t>
        </is>
      </c>
      <c r="H482" t="inlineStr">
        <is>
          <t>SCA</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59557-2023</t>
        </is>
      </c>
      <c r="B483" t="inlineStr">
        <is>
          <t>avverkningsanmälan</t>
        </is>
      </c>
      <c r="C483" t="inlineStr">
        <is>
          <t>Föryngringsavverkning</t>
        </is>
      </c>
      <c r="D483" s="1" t="n">
        <v>45253</v>
      </c>
      <c r="E483" s="1" t="n">
        <v>46220</v>
      </c>
      <c r="F483" t="inlineStr">
        <is>
          <t>JÄMTLANDS LÄN</t>
        </is>
      </c>
      <c r="G483" t="inlineStr">
        <is>
          <t>RAGUNDA</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27510-2025</t>
        </is>
      </c>
      <c r="B484" t="inlineStr">
        <is>
          <t>avverkningsanmälan</t>
        </is>
      </c>
      <c r="C484" t="inlineStr">
        <is>
          <t>Avverkning för att bevara och utveckla /försöksver</t>
        </is>
      </c>
      <c r="D484" s="1" t="n">
        <v>45813</v>
      </c>
      <c r="E484" s="1" t="n">
        <v>46220</v>
      </c>
      <c r="F484" t="inlineStr">
        <is>
          <t>JÄMTLANDS LÄN</t>
        </is>
      </c>
      <c r="G484" t="inlineStr">
        <is>
          <t>RAGUNDA</t>
        </is>
      </c>
      <c r="H484" t="inlineStr">
        <is>
          <t>SCA</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53136-2024</t>
        </is>
      </c>
      <c r="B485" t="inlineStr">
        <is>
          <t>avverkningsanmälan</t>
        </is>
      </c>
      <c r="C485" t="inlineStr">
        <is>
          <t>Föryngringsavverkning</t>
        </is>
      </c>
      <c r="D485" s="1" t="n">
        <v>45611</v>
      </c>
      <c r="E485" s="1" t="n">
        <v>46220</v>
      </c>
      <c r="F485" t="inlineStr">
        <is>
          <t>JÄMTLANDS LÄN</t>
        </is>
      </c>
      <c r="G485" t="inlineStr">
        <is>
          <t>RAGUNDA</t>
        </is>
      </c>
      <c r="I485" t="n">
        <v>3.8</v>
      </c>
      <c r="J485" t="n">
        <v>0</v>
      </c>
      <c r="K485" t="n">
        <v>0</v>
      </c>
      <c r="L485" t="n">
        <v>0</v>
      </c>
      <c r="M485" t="n">
        <v>0</v>
      </c>
      <c r="N485" t="n">
        <v>0</v>
      </c>
      <c r="O485" t="n">
        <v>0</v>
      </c>
      <c r="P485" t="n">
        <v>0</v>
      </c>
      <c r="Q485" t="n">
        <v>0</v>
      </c>
      <c r="R485" t="n">
        <v>0</v>
      </c>
      <c r="S485" t="n">
        <v>0</v>
      </c>
      <c r="T485" t="n">
        <v>0</v>
      </c>
      <c r="U485" s="2" t="inlineStr"/>
    </row>
    <row r="486" ht="15" customHeight="1">
      <c r="A486" t="inlineStr">
        <is>
          <t>A 41161-2025</t>
        </is>
      </c>
      <c r="B486" t="inlineStr">
        <is>
          <t>avverkningsanmälan</t>
        </is>
      </c>
      <c r="C486" t="inlineStr">
        <is>
          <t>Föryngringsavverkning</t>
        </is>
      </c>
      <c r="D486" s="1" t="n">
        <v>45898</v>
      </c>
      <c r="E486" s="1" t="n">
        <v>46220</v>
      </c>
      <c r="F486" t="inlineStr">
        <is>
          <t>JÄMTLANDS LÄN</t>
        </is>
      </c>
      <c r="G486" t="inlineStr">
        <is>
          <t>RAGUNDA</t>
        </is>
      </c>
      <c r="H486" t="inlineStr">
        <is>
          <t>SCA</t>
        </is>
      </c>
      <c r="I486" t="n">
        <v>4.4</v>
      </c>
      <c r="J486" t="n">
        <v>0</v>
      </c>
      <c r="K486" t="n">
        <v>0</v>
      </c>
      <c r="L486" t="n">
        <v>0</v>
      </c>
      <c r="M486" t="n">
        <v>0</v>
      </c>
      <c r="N486" t="n">
        <v>0</v>
      </c>
      <c r="O486" t="n">
        <v>0</v>
      </c>
      <c r="P486" t="n">
        <v>0</v>
      </c>
      <c r="Q486" t="n">
        <v>0</v>
      </c>
      <c r="R486" t="n">
        <v>0</v>
      </c>
      <c r="S486" t="n">
        <v>0</v>
      </c>
      <c r="T486" t="n">
        <v>0</v>
      </c>
      <c r="U486" s="2" t="inlineStr"/>
    </row>
    <row r="487" ht="15" customHeight="1">
      <c r="A487" t="inlineStr">
        <is>
          <t>A 33621-2023</t>
        </is>
      </c>
      <c r="B487" t="inlineStr">
        <is>
          <t>avverkningsanmälan</t>
        </is>
      </c>
      <c r="C487" t="inlineStr">
        <is>
          <t>Avverkning för annat ändamål</t>
        </is>
      </c>
      <c r="D487" s="1" t="n">
        <v>45119</v>
      </c>
      <c r="E487" s="1" t="n">
        <v>46220</v>
      </c>
      <c r="F487" t="inlineStr">
        <is>
          <t>JÄMTLANDS LÄN</t>
        </is>
      </c>
      <c r="G487" t="inlineStr">
        <is>
          <t>RAGUNDA</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6694-2024</t>
        </is>
      </c>
      <c r="B488" t="inlineStr">
        <is>
          <t>avverkningsanmälan</t>
        </is>
      </c>
      <c r="C488" t="inlineStr">
        <is>
          <t>Avverkning för att bevara och utveckla /försöksver</t>
        </is>
      </c>
      <c r="D488" s="1" t="n">
        <v>45341</v>
      </c>
      <c r="E488" s="1" t="n">
        <v>46220</v>
      </c>
      <c r="F488" t="inlineStr">
        <is>
          <t>JÄMTLANDS LÄN</t>
        </is>
      </c>
      <c r="G488" t="inlineStr">
        <is>
          <t>RAGUNDA</t>
        </is>
      </c>
      <c r="H488" t="inlineStr">
        <is>
          <t>SCA</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41262-2025</t>
        </is>
      </c>
      <c r="B489" t="inlineStr">
        <is>
          <t>avverkningsanmälan</t>
        </is>
      </c>
      <c r="C489" t="inlineStr">
        <is>
          <t>Föryngringsavverkning</t>
        </is>
      </c>
      <c r="D489" s="1" t="n">
        <v>45898</v>
      </c>
      <c r="E489" s="1" t="n">
        <v>46220</v>
      </c>
      <c r="F489" t="inlineStr">
        <is>
          <t>JÄMTLANDS LÄN</t>
        </is>
      </c>
      <c r="G489" t="inlineStr">
        <is>
          <t>RAGUNDA</t>
        </is>
      </c>
      <c r="H489" t="inlineStr">
        <is>
          <t>SCA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1537-2024</t>
        </is>
      </c>
      <c r="B490" t="inlineStr">
        <is>
          <t>avverkningsanmälan</t>
        </is>
      </c>
      <c r="C490" t="inlineStr">
        <is>
          <t>Avverkning för annat ändamål</t>
        </is>
      </c>
      <c r="D490" s="1" t="n">
        <v>45306</v>
      </c>
      <c r="E490" s="1" t="n">
        <v>46220</v>
      </c>
      <c r="F490" t="inlineStr">
        <is>
          <t>JÄMTLANDS LÄN</t>
        </is>
      </c>
      <c r="G490" t="inlineStr">
        <is>
          <t>RAGUNDA</t>
        </is>
      </c>
      <c r="I490" t="n">
        <v>0.2</v>
      </c>
      <c r="J490" t="n">
        <v>0</v>
      </c>
      <c r="K490" t="n">
        <v>0</v>
      </c>
      <c r="L490" t="n">
        <v>0</v>
      </c>
      <c r="M490" t="n">
        <v>0</v>
      </c>
      <c r="N490" t="n">
        <v>0</v>
      </c>
      <c r="O490" t="n">
        <v>0</v>
      </c>
      <c r="P490" t="n">
        <v>0</v>
      </c>
      <c r="Q490" t="n">
        <v>0</v>
      </c>
      <c r="R490" t="n">
        <v>0</v>
      </c>
      <c r="S490" t="n">
        <v>0</v>
      </c>
      <c r="T490" t="n">
        <v>0</v>
      </c>
      <c r="U490" s="2" t="inlineStr"/>
    </row>
    <row r="491" ht="15" customHeight="1">
      <c r="A491" t="inlineStr">
        <is>
          <t>A 41423-2025</t>
        </is>
      </c>
      <c r="B491" t="inlineStr">
        <is>
          <t>avverkningsanmälan</t>
        </is>
      </c>
      <c r="C491" t="inlineStr">
        <is>
          <t>Föryngringsavverkning</t>
        </is>
      </c>
      <c r="D491" s="1" t="n">
        <v>45901</v>
      </c>
      <c r="E491" s="1" t="n">
        <v>46220</v>
      </c>
      <c r="F491" t="inlineStr">
        <is>
          <t>JÄMTLANDS LÄN</t>
        </is>
      </c>
      <c r="G491" t="inlineStr">
        <is>
          <t>RAGUNDA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60935-2024</t>
        </is>
      </c>
      <c r="B492" t="inlineStr">
        <is>
          <t>avverkningsanmälan</t>
        </is>
      </c>
      <c r="C492" t="inlineStr">
        <is>
          <t>Föryngringsavverkning</t>
        </is>
      </c>
      <c r="D492" s="1" t="n">
        <v>45645</v>
      </c>
      <c r="E492" s="1" t="n">
        <v>46220</v>
      </c>
      <c r="F492" t="inlineStr">
        <is>
          <t>JÄMTLANDS LÄN</t>
        </is>
      </c>
      <c r="G492" t="inlineStr">
        <is>
          <t>RAGUNDA</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18989-2025</t>
        </is>
      </c>
      <c r="B493" t="inlineStr">
        <is>
          <t>avverkningsanmälan</t>
        </is>
      </c>
      <c r="C493" t="inlineStr">
        <is>
          <t>Avverkning för annat ändamål</t>
        </is>
      </c>
      <c r="D493" s="1" t="n">
        <v>45764</v>
      </c>
      <c r="E493" s="1" t="n">
        <v>46220</v>
      </c>
      <c r="F493" t="inlineStr">
        <is>
          <t>JÄMTLANDS LÄN</t>
        </is>
      </c>
      <c r="G493" t="inlineStr">
        <is>
          <t>RAGUNDA</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41140-2025</t>
        </is>
      </c>
      <c r="B494" t="inlineStr">
        <is>
          <t>avverkningsanmälan</t>
        </is>
      </c>
      <c r="C494" t="inlineStr">
        <is>
          <t>Föryngringsavverkning</t>
        </is>
      </c>
      <c r="D494" s="1" t="n">
        <v>45898</v>
      </c>
      <c r="E494" s="1" t="n">
        <v>46220</v>
      </c>
      <c r="F494" t="inlineStr">
        <is>
          <t>JÄMTLANDS LÄN</t>
        </is>
      </c>
      <c r="G494" t="inlineStr">
        <is>
          <t>RAGUNDA</t>
        </is>
      </c>
      <c r="H494" t="inlineStr">
        <is>
          <t>SCA</t>
        </is>
      </c>
      <c r="I494" t="n">
        <v>3.7</v>
      </c>
      <c r="J494" t="n">
        <v>0</v>
      </c>
      <c r="K494" t="n">
        <v>0</v>
      </c>
      <c r="L494" t="n">
        <v>0</v>
      </c>
      <c r="M494" t="n">
        <v>0</v>
      </c>
      <c r="N494" t="n">
        <v>0</v>
      </c>
      <c r="O494" t="n">
        <v>0</v>
      </c>
      <c r="P494" t="n">
        <v>0</v>
      </c>
      <c r="Q494" t="n">
        <v>0</v>
      </c>
      <c r="R494" t="n">
        <v>0</v>
      </c>
      <c r="S494" t="n">
        <v>0</v>
      </c>
      <c r="T494" t="n">
        <v>0</v>
      </c>
      <c r="U494" s="2" t="inlineStr"/>
    </row>
    <row r="495" ht="15" customHeight="1">
      <c r="A495" t="inlineStr">
        <is>
          <t>A 6257-2025</t>
        </is>
      </c>
      <c r="B495" t="inlineStr">
        <is>
          <t>avverkningsanmälan</t>
        </is>
      </c>
      <c r="C495" t="inlineStr">
        <is>
          <t>Föryngringsavverkning</t>
        </is>
      </c>
      <c r="D495" s="1" t="n">
        <v>45698</v>
      </c>
      <c r="E495" s="1" t="n">
        <v>46220</v>
      </c>
      <c r="F495" t="inlineStr">
        <is>
          <t>JÄMTLANDS LÄN</t>
        </is>
      </c>
      <c r="G495" t="inlineStr">
        <is>
          <t>RAGUNDA</t>
        </is>
      </c>
      <c r="H495" t="inlineStr">
        <is>
          <t>SCA</t>
        </is>
      </c>
      <c r="I495" t="n">
        <v>7</v>
      </c>
      <c r="J495" t="n">
        <v>0</v>
      </c>
      <c r="K495" t="n">
        <v>0</v>
      </c>
      <c r="L495" t="n">
        <v>0</v>
      </c>
      <c r="M495" t="n">
        <v>0</v>
      </c>
      <c r="N495" t="n">
        <v>0</v>
      </c>
      <c r="O495" t="n">
        <v>0</v>
      </c>
      <c r="P495" t="n">
        <v>0</v>
      </c>
      <c r="Q495" t="n">
        <v>0</v>
      </c>
      <c r="R495" t="n">
        <v>0</v>
      </c>
      <c r="S495" t="n">
        <v>0</v>
      </c>
      <c r="T495" t="n">
        <v>0</v>
      </c>
      <c r="U495" s="2" t="inlineStr"/>
    </row>
    <row r="496" ht="15" customHeight="1">
      <c r="A496" t="inlineStr">
        <is>
          <t>A 37265-2024</t>
        </is>
      </c>
      <c r="B496" t="inlineStr">
        <is>
          <t>avverkningsanmälan</t>
        </is>
      </c>
      <c r="C496" t="inlineStr">
        <is>
          <t>Avverkning för annat ändamål</t>
        </is>
      </c>
      <c r="D496" s="1" t="n">
        <v>45540</v>
      </c>
      <c r="E496" s="1" t="n">
        <v>46220</v>
      </c>
      <c r="F496" t="inlineStr">
        <is>
          <t>JÄMTLANDS LÄN</t>
        </is>
      </c>
      <c r="G496" t="inlineStr">
        <is>
          <t>RAGUNDA</t>
        </is>
      </c>
      <c r="H496" t="inlineStr">
        <is>
          <t>SCA</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2233-2026</t>
        </is>
      </c>
      <c r="B497" t="inlineStr">
        <is>
          <t>avverkningsanmälan</t>
        </is>
      </c>
      <c r="C497" t="inlineStr">
        <is>
          <t>Föryngringsavverkning</t>
        </is>
      </c>
      <c r="D497" s="1" t="n">
        <v>46036</v>
      </c>
      <c r="E497" s="1" t="n">
        <v>46220</v>
      </c>
      <c r="F497" t="inlineStr">
        <is>
          <t>JÄMTLANDS LÄN</t>
        </is>
      </c>
      <c r="G497" t="inlineStr">
        <is>
          <t>RAGUNDA</t>
        </is>
      </c>
      <c r="H497" t="inlineStr">
        <is>
          <t>SCA</t>
        </is>
      </c>
      <c r="I497" t="n">
        <v>2.3</v>
      </c>
      <c r="J497" t="n">
        <v>0</v>
      </c>
      <c r="K497" t="n">
        <v>0</v>
      </c>
      <c r="L497" t="n">
        <v>0</v>
      </c>
      <c r="M497" t="n">
        <v>0</v>
      </c>
      <c r="N497" t="n">
        <v>0</v>
      </c>
      <c r="O497" t="n">
        <v>0</v>
      </c>
      <c r="P497" t="n">
        <v>0</v>
      </c>
      <c r="Q497" t="n">
        <v>0</v>
      </c>
      <c r="R497" t="n">
        <v>0</v>
      </c>
      <c r="S497" t="n">
        <v>0</v>
      </c>
      <c r="T497" t="n">
        <v>0</v>
      </c>
      <c r="U497" s="2" t="inlineStr"/>
    </row>
    <row r="498" ht="15" customHeight="1">
      <c r="A498" t="inlineStr">
        <is>
          <t>A 18777-2024</t>
        </is>
      </c>
      <c r="B498" t="inlineStr">
        <is>
          <t>avverkningsanmälan</t>
        </is>
      </c>
      <c r="C498" t="inlineStr">
        <is>
          <t>Föryngringsavverkning</t>
        </is>
      </c>
      <c r="D498" s="1" t="n">
        <v>45426</v>
      </c>
      <c r="E498" s="1" t="n">
        <v>46220</v>
      </c>
      <c r="F498" t="inlineStr">
        <is>
          <t>JÄMTLANDS LÄN</t>
        </is>
      </c>
      <c r="G498" t="inlineStr">
        <is>
          <t>RAGUNDA</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28637-2025</t>
        </is>
      </c>
      <c r="B499" t="inlineStr">
        <is>
          <t>avverkningsanmälan</t>
        </is>
      </c>
      <c r="C499" t="inlineStr">
        <is>
          <t>Föryngringsavverkning</t>
        </is>
      </c>
      <c r="D499" s="1" t="n">
        <v>45819</v>
      </c>
      <c r="E499" s="1" t="n">
        <v>46220</v>
      </c>
      <c r="F499" t="inlineStr">
        <is>
          <t>JÄMTLANDS LÄN</t>
        </is>
      </c>
      <c r="G499" t="inlineStr">
        <is>
          <t>RAGUNDA</t>
        </is>
      </c>
      <c r="H499" t="inlineStr">
        <is>
          <t>SCA</t>
        </is>
      </c>
      <c r="I499" t="n">
        <v>6.6</v>
      </c>
      <c r="J499" t="n">
        <v>0</v>
      </c>
      <c r="K499" t="n">
        <v>0</v>
      </c>
      <c r="L499" t="n">
        <v>0</v>
      </c>
      <c r="M499" t="n">
        <v>0</v>
      </c>
      <c r="N499" t="n">
        <v>0</v>
      </c>
      <c r="O499" t="n">
        <v>0</v>
      </c>
      <c r="P499" t="n">
        <v>0</v>
      </c>
      <c r="Q499" t="n">
        <v>0</v>
      </c>
      <c r="R499" t="n">
        <v>0</v>
      </c>
      <c r="S499" t="n">
        <v>0</v>
      </c>
      <c r="T499" t="n">
        <v>0</v>
      </c>
      <c r="U499" s="2" t="inlineStr"/>
    </row>
    <row r="500" ht="15" customHeight="1">
      <c r="A500" t="inlineStr">
        <is>
          <t>A 2156-2026</t>
        </is>
      </c>
      <c r="B500" t="inlineStr">
        <is>
          <t>avverkningsanmälan</t>
        </is>
      </c>
      <c r="C500" t="inlineStr">
        <is>
          <t>Föryngringsavverkning</t>
        </is>
      </c>
      <c r="D500" s="1" t="n">
        <v>46036</v>
      </c>
      <c r="E500" s="1" t="n">
        <v>46220</v>
      </c>
      <c r="F500" t="inlineStr">
        <is>
          <t>JÄMTLANDS LÄN</t>
        </is>
      </c>
      <c r="G500" t="inlineStr">
        <is>
          <t>RAGUNDA</t>
        </is>
      </c>
      <c r="H500" t="inlineStr">
        <is>
          <t>SCA</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8243-2024</t>
        </is>
      </c>
      <c r="B501" t="inlineStr">
        <is>
          <t>avverkningsanmälan</t>
        </is>
      </c>
      <c r="C501" t="inlineStr">
        <is>
          <t>Föryngringsavverkning</t>
        </is>
      </c>
      <c r="D501" s="1" t="n">
        <v>45351</v>
      </c>
      <c r="E501" s="1" t="n">
        <v>46220</v>
      </c>
      <c r="F501" t="inlineStr">
        <is>
          <t>JÄMTLANDS LÄN</t>
        </is>
      </c>
      <c r="G501" t="inlineStr">
        <is>
          <t>RAGUNDA</t>
        </is>
      </c>
      <c r="H501" t="inlineStr">
        <is>
          <t>SCA</t>
        </is>
      </c>
      <c r="I501" t="n">
        <v>4.5</v>
      </c>
      <c r="J501" t="n">
        <v>0</v>
      </c>
      <c r="K501" t="n">
        <v>0</v>
      </c>
      <c r="L501" t="n">
        <v>0</v>
      </c>
      <c r="M501" t="n">
        <v>0</v>
      </c>
      <c r="N501" t="n">
        <v>0</v>
      </c>
      <c r="O501" t="n">
        <v>0</v>
      </c>
      <c r="P501" t="n">
        <v>0</v>
      </c>
      <c r="Q501" t="n">
        <v>0</v>
      </c>
      <c r="R501" t="n">
        <v>0</v>
      </c>
      <c r="S501" t="n">
        <v>0</v>
      </c>
      <c r="T501" t="n">
        <v>0</v>
      </c>
      <c r="U501" s="2" t="inlineStr"/>
    </row>
    <row r="502" ht="15" customHeight="1">
      <c r="A502" t="inlineStr">
        <is>
          <t>A 1325-2025</t>
        </is>
      </c>
      <c r="B502" t="inlineStr">
        <is>
          <t>avverkningsanmälan</t>
        </is>
      </c>
      <c r="C502" t="inlineStr">
        <is>
          <t>Föryngringsavverkning</t>
        </is>
      </c>
      <c r="D502" s="1" t="n">
        <v>45667</v>
      </c>
      <c r="E502" s="1" t="n">
        <v>46220</v>
      </c>
      <c r="F502" t="inlineStr">
        <is>
          <t>JÄMTLANDS LÄN</t>
        </is>
      </c>
      <c r="G502" t="inlineStr">
        <is>
          <t>RAGUNDA</t>
        </is>
      </c>
      <c r="H502" t="inlineStr">
        <is>
          <t>SCA</t>
        </is>
      </c>
      <c r="I502" t="n">
        <v>20.2</v>
      </c>
      <c r="J502" t="n">
        <v>0</v>
      </c>
      <c r="K502" t="n">
        <v>0</v>
      </c>
      <c r="L502" t="n">
        <v>0</v>
      </c>
      <c r="M502" t="n">
        <v>0</v>
      </c>
      <c r="N502" t="n">
        <v>0</v>
      </c>
      <c r="O502" t="n">
        <v>0</v>
      </c>
      <c r="P502" t="n">
        <v>0</v>
      </c>
      <c r="Q502" t="n">
        <v>0</v>
      </c>
      <c r="R502" t="n">
        <v>0</v>
      </c>
      <c r="S502" t="n">
        <v>0</v>
      </c>
      <c r="T502" t="n">
        <v>0</v>
      </c>
      <c r="U502" s="2" t="inlineStr"/>
    </row>
    <row r="503" ht="15" customHeight="1">
      <c r="A503" t="inlineStr">
        <is>
          <t>A 18159-2023</t>
        </is>
      </c>
      <c r="B503" t="inlineStr">
        <is>
          <t>avverkningsanmälan</t>
        </is>
      </c>
      <c r="C503" t="inlineStr">
        <is>
          <t>Föryngringsavverkning</t>
        </is>
      </c>
      <c r="D503" s="1" t="n">
        <v>45040</v>
      </c>
      <c r="E503" s="1" t="n">
        <v>46220</v>
      </c>
      <c r="F503" t="inlineStr">
        <is>
          <t>JÄMTLANDS LÄN</t>
        </is>
      </c>
      <c r="G503" t="inlineStr">
        <is>
          <t>RAGUNDA</t>
        </is>
      </c>
      <c r="H503" t="inlineStr">
        <is>
          <t>SCA</t>
        </is>
      </c>
      <c r="I503" t="n">
        <v>4</v>
      </c>
      <c r="J503" t="n">
        <v>0</v>
      </c>
      <c r="K503" t="n">
        <v>0</v>
      </c>
      <c r="L503" t="n">
        <v>0</v>
      </c>
      <c r="M503" t="n">
        <v>0</v>
      </c>
      <c r="N503" t="n">
        <v>0</v>
      </c>
      <c r="O503" t="n">
        <v>0</v>
      </c>
      <c r="P503" t="n">
        <v>0</v>
      </c>
      <c r="Q503" t="n">
        <v>0</v>
      </c>
      <c r="R503" t="n">
        <v>0</v>
      </c>
      <c r="S503" t="n">
        <v>0</v>
      </c>
      <c r="T503" t="n">
        <v>0</v>
      </c>
      <c r="U503" s="2" t="inlineStr"/>
    </row>
    <row r="504" ht="15" customHeight="1">
      <c r="A504" t="inlineStr">
        <is>
          <t>A 19486-2024</t>
        </is>
      </c>
      <c r="B504" t="inlineStr">
        <is>
          <t>avverkningsanmälan</t>
        </is>
      </c>
      <c r="C504" t="inlineStr">
        <is>
          <t>Föryngringsavverkning</t>
        </is>
      </c>
      <c r="D504" s="1" t="n">
        <v>45429</v>
      </c>
      <c r="E504" s="1" t="n">
        <v>46220</v>
      </c>
      <c r="F504" t="inlineStr">
        <is>
          <t>JÄMTLANDS LÄN</t>
        </is>
      </c>
      <c r="G504" t="inlineStr">
        <is>
          <t>RAGUNDA</t>
        </is>
      </c>
      <c r="I504" t="n">
        <v>2.3</v>
      </c>
      <c r="J504" t="n">
        <v>0</v>
      </c>
      <c r="K504" t="n">
        <v>0</v>
      </c>
      <c r="L504" t="n">
        <v>0</v>
      </c>
      <c r="M504" t="n">
        <v>0</v>
      </c>
      <c r="N504" t="n">
        <v>0</v>
      </c>
      <c r="O504" t="n">
        <v>0</v>
      </c>
      <c r="P504" t="n">
        <v>0</v>
      </c>
      <c r="Q504" t="n">
        <v>0</v>
      </c>
      <c r="R504" t="n">
        <v>0</v>
      </c>
      <c r="S504" t="n">
        <v>0</v>
      </c>
      <c r="T504" t="n">
        <v>0</v>
      </c>
      <c r="U504" s="2" t="inlineStr"/>
    </row>
    <row r="505" ht="15" customHeight="1">
      <c r="A505" t="inlineStr">
        <is>
          <t>A 1326-2025</t>
        </is>
      </c>
      <c r="B505" t="inlineStr">
        <is>
          <t>avverkningsanmälan</t>
        </is>
      </c>
      <c r="C505" t="inlineStr">
        <is>
          <t>Föryngringsavverkning</t>
        </is>
      </c>
      <c r="D505" s="1" t="n">
        <v>45667</v>
      </c>
      <c r="E505" s="1" t="n">
        <v>46220</v>
      </c>
      <c r="F505" t="inlineStr">
        <is>
          <t>JÄMTLANDS LÄN</t>
        </is>
      </c>
      <c r="G505" t="inlineStr">
        <is>
          <t>RAGUNDA</t>
        </is>
      </c>
      <c r="H505" t="inlineStr">
        <is>
          <t>SCA</t>
        </is>
      </c>
      <c r="I505" t="n">
        <v>2.5</v>
      </c>
      <c r="J505" t="n">
        <v>0</v>
      </c>
      <c r="K505" t="n">
        <v>0</v>
      </c>
      <c r="L505" t="n">
        <v>0</v>
      </c>
      <c r="M505" t="n">
        <v>0</v>
      </c>
      <c r="N505" t="n">
        <v>0</v>
      </c>
      <c r="O505" t="n">
        <v>0</v>
      </c>
      <c r="P505" t="n">
        <v>0</v>
      </c>
      <c r="Q505" t="n">
        <v>0</v>
      </c>
      <c r="R505" t="n">
        <v>0</v>
      </c>
      <c r="S505" t="n">
        <v>0</v>
      </c>
      <c r="T505" t="n">
        <v>0</v>
      </c>
      <c r="U505" s="2" t="inlineStr"/>
    </row>
    <row r="506" ht="15" customHeight="1">
      <c r="A506" t="inlineStr">
        <is>
          <t>A 2271-2026</t>
        </is>
      </c>
      <c r="B506" t="inlineStr">
        <is>
          <t>avverkningsanmälan</t>
        </is>
      </c>
      <c r="C506" t="inlineStr">
        <is>
          <t>Föryngringsavverkning</t>
        </is>
      </c>
      <c r="D506" s="1" t="n">
        <v>46036</v>
      </c>
      <c r="E506" s="1" t="n">
        <v>46220</v>
      </c>
      <c r="F506" t="inlineStr">
        <is>
          <t>JÄMTLANDS LÄN</t>
        </is>
      </c>
      <c r="G506" t="inlineStr">
        <is>
          <t>RAGUNDA</t>
        </is>
      </c>
      <c r="H506" t="inlineStr">
        <is>
          <t>SCA</t>
        </is>
      </c>
      <c r="I506" t="n">
        <v>3.6</v>
      </c>
      <c r="J506" t="n">
        <v>0</v>
      </c>
      <c r="K506" t="n">
        <v>0</v>
      </c>
      <c r="L506" t="n">
        <v>0</v>
      </c>
      <c r="M506" t="n">
        <v>0</v>
      </c>
      <c r="N506" t="n">
        <v>0</v>
      </c>
      <c r="O506" t="n">
        <v>0</v>
      </c>
      <c r="P506" t="n">
        <v>0</v>
      </c>
      <c r="Q506" t="n">
        <v>0</v>
      </c>
      <c r="R506" t="n">
        <v>0</v>
      </c>
      <c r="S506" t="n">
        <v>0</v>
      </c>
      <c r="T506" t="n">
        <v>0</v>
      </c>
      <c r="U506" s="2" t="inlineStr"/>
    </row>
    <row r="507" ht="15" customHeight="1">
      <c r="A507" t="inlineStr">
        <is>
          <t>A 30088-2025</t>
        </is>
      </c>
      <c r="B507" t="inlineStr">
        <is>
          <t>avverkningsanmälan</t>
        </is>
      </c>
      <c r="C507" t="inlineStr">
        <is>
          <t>Föryngringsavverkning</t>
        </is>
      </c>
      <c r="D507" s="1" t="n">
        <v>45826</v>
      </c>
      <c r="E507" s="1" t="n">
        <v>46220</v>
      </c>
      <c r="F507" t="inlineStr">
        <is>
          <t>JÄMTLANDS LÄN</t>
        </is>
      </c>
      <c r="G507" t="inlineStr">
        <is>
          <t>RAGUNDA</t>
        </is>
      </c>
      <c r="H507" t="inlineStr">
        <is>
          <t>SCA</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30348-2025</t>
        </is>
      </c>
      <c r="B508" t="inlineStr">
        <is>
          <t>avverkningsanmälan</t>
        </is>
      </c>
      <c r="C508" t="inlineStr">
        <is>
          <t>Föryngringsavverkning</t>
        </is>
      </c>
      <c r="D508" s="1" t="n">
        <v>45827</v>
      </c>
      <c r="E508" s="1" t="n">
        <v>46220</v>
      </c>
      <c r="F508" t="inlineStr">
        <is>
          <t>JÄMTLANDS LÄN</t>
        </is>
      </c>
      <c r="G508" t="inlineStr">
        <is>
          <t>RAGUNDA</t>
        </is>
      </c>
      <c r="H508" t="inlineStr">
        <is>
          <t>SCA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43177-2025</t>
        </is>
      </c>
      <c r="B509" t="inlineStr">
        <is>
          <t>avverkningsanmälan</t>
        </is>
      </c>
      <c r="C509" t="inlineStr">
        <is>
          <t>Föryngringsavverkning</t>
        </is>
      </c>
      <c r="D509" s="1" t="n">
        <v>45910</v>
      </c>
      <c r="E509" s="1" t="n">
        <v>46220</v>
      </c>
      <c r="F509" t="inlineStr">
        <is>
          <t>JÄMTLANDS LÄN</t>
        </is>
      </c>
      <c r="G509" t="inlineStr">
        <is>
          <t>RAGUNDA</t>
        </is>
      </c>
      <c r="H509" t="inlineStr">
        <is>
          <t>SCA</t>
        </is>
      </c>
      <c r="I509" t="n">
        <v>4.9</v>
      </c>
      <c r="J509" t="n">
        <v>0</v>
      </c>
      <c r="K509" t="n">
        <v>0</v>
      </c>
      <c r="L509" t="n">
        <v>0</v>
      </c>
      <c r="M509" t="n">
        <v>0</v>
      </c>
      <c r="N509" t="n">
        <v>0</v>
      </c>
      <c r="O509" t="n">
        <v>0</v>
      </c>
      <c r="P509" t="n">
        <v>0</v>
      </c>
      <c r="Q509" t="n">
        <v>0</v>
      </c>
      <c r="R509" t="n">
        <v>0</v>
      </c>
      <c r="S509" t="n">
        <v>0</v>
      </c>
      <c r="T509" t="n">
        <v>0</v>
      </c>
      <c r="U509" s="2" t="inlineStr"/>
    </row>
    <row r="510" ht="15" customHeight="1">
      <c r="A510" t="inlineStr">
        <is>
          <t>A 43181-2025</t>
        </is>
      </c>
      <c r="B510" t="inlineStr">
        <is>
          <t>avverkningsanmälan</t>
        </is>
      </c>
      <c r="C510" t="inlineStr">
        <is>
          <t>Föryngringsavverkning</t>
        </is>
      </c>
      <c r="D510" s="1" t="n">
        <v>45910</v>
      </c>
      <c r="E510" s="1" t="n">
        <v>46220</v>
      </c>
      <c r="F510" t="inlineStr">
        <is>
          <t>JÄMTLANDS LÄN</t>
        </is>
      </c>
      <c r="G510" t="inlineStr">
        <is>
          <t>RAGUNDA</t>
        </is>
      </c>
      <c r="H510" t="inlineStr">
        <is>
          <t>SCA</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30434-2025</t>
        </is>
      </c>
      <c r="B511" t="inlineStr">
        <is>
          <t>avverkningsanmälan</t>
        </is>
      </c>
      <c r="C511" t="inlineStr">
        <is>
          <t>Avverkning för att bevara och utveckla /försöksver</t>
        </is>
      </c>
      <c r="D511" s="1" t="n">
        <v>45827</v>
      </c>
      <c r="E511" s="1" t="n">
        <v>46220</v>
      </c>
      <c r="F511" t="inlineStr">
        <is>
          <t>JÄMTLANDS LÄN</t>
        </is>
      </c>
      <c r="G511" t="inlineStr">
        <is>
          <t>RAGUNDA</t>
        </is>
      </c>
      <c r="H511" t="inlineStr">
        <is>
          <t>SCA</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43330-2025</t>
        </is>
      </c>
      <c r="B512" t="inlineStr">
        <is>
          <t>avverkningsanmälan</t>
        </is>
      </c>
      <c r="C512" t="inlineStr">
        <is>
          <t>Föryngringsavverkning</t>
        </is>
      </c>
      <c r="D512" s="1" t="n">
        <v>45910</v>
      </c>
      <c r="E512" s="1" t="n">
        <v>46220</v>
      </c>
      <c r="F512" t="inlineStr">
        <is>
          <t>JÄMTLANDS LÄN</t>
        </is>
      </c>
      <c r="G512" t="inlineStr">
        <is>
          <t>RAGUNDA</t>
        </is>
      </c>
      <c r="H512" t="inlineStr">
        <is>
          <t>SCA</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48427-2023</t>
        </is>
      </c>
      <c r="B513" t="inlineStr">
        <is>
          <t>avverkningsanmälan</t>
        </is>
      </c>
      <c r="C513" t="inlineStr">
        <is>
          <t>Föryngringsavverkning</t>
        </is>
      </c>
      <c r="D513" s="1" t="n">
        <v>45205</v>
      </c>
      <c r="E513" s="1" t="n">
        <v>46220</v>
      </c>
      <c r="F513" t="inlineStr">
        <is>
          <t>JÄMTLANDS LÄN</t>
        </is>
      </c>
      <c r="G513" t="inlineStr">
        <is>
          <t>RAGUNDA</t>
        </is>
      </c>
      <c r="H513" t="inlineStr">
        <is>
          <t>SCA</t>
        </is>
      </c>
      <c r="I513" t="n">
        <v>10.1</v>
      </c>
      <c r="J513" t="n">
        <v>0</v>
      </c>
      <c r="K513" t="n">
        <v>0</v>
      </c>
      <c r="L513" t="n">
        <v>0</v>
      </c>
      <c r="M513" t="n">
        <v>0</v>
      </c>
      <c r="N513" t="n">
        <v>0</v>
      </c>
      <c r="O513" t="n">
        <v>0</v>
      </c>
      <c r="P513" t="n">
        <v>0</v>
      </c>
      <c r="Q513" t="n">
        <v>0</v>
      </c>
      <c r="R513" t="n">
        <v>0</v>
      </c>
      <c r="S513" t="n">
        <v>0</v>
      </c>
      <c r="T513" t="n">
        <v>0</v>
      </c>
      <c r="U513" s="2" t="inlineStr"/>
    </row>
    <row r="514" ht="15" customHeight="1">
      <c r="A514" t="inlineStr">
        <is>
          <t>A 28081-2022</t>
        </is>
      </c>
      <c r="B514" t="inlineStr">
        <is>
          <t>avverkningsanmälan</t>
        </is>
      </c>
      <c r="C514" t="inlineStr">
        <is>
          <t>Avverkning för annat ändamål</t>
        </is>
      </c>
      <c r="D514" s="1" t="n">
        <v>44746</v>
      </c>
      <c r="E514" s="1" t="n">
        <v>46220</v>
      </c>
      <c r="F514" t="inlineStr">
        <is>
          <t>JÄMTLANDS LÄN</t>
        </is>
      </c>
      <c r="G514" t="inlineStr">
        <is>
          <t>RAGUNDA</t>
        </is>
      </c>
      <c r="I514" t="n">
        <v>7.2</v>
      </c>
      <c r="J514" t="n">
        <v>0</v>
      </c>
      <c r="K514" t="n">
        <v>0</v>
      </c>
      <c r="L514" t="n">
        <v>0</v>
      </c>
      <c r="M514" t="n">
        <v>0</v>
      </c>
      <c r="N514" t="n">
        <v>0</v>
      </c>
      <c r="O514" t="n">
        <v>0</v>
      </c>
      <c r="P514" t="n">
        <v>0</v>
      </c>
      <c r="Q514" t="n">
        <v>0</v>
      </c>
      <c r="R514" t="n">
        <v>0</v>
      </c>
      <c r="S514" t="n">
        <v>0</v>
      </c>
      <c r="T514" t="n">
        <v>0</v>
      </c>
      <c r="U514" s="2" t="inlineStr"/>
    </row>
    <row r="515" ht="15" customHeight="1">
      <c r="A515" t="inlineStr">
        <is>
          <t>A 31463-2024</t>
        </is>
      </c>
      <c r="B515" t="inlineStr">
        <is>
          <t>avverkningsanmälan</t>
        </is>
      </c>
      <c r="C515" t="inlineStr">
        <is>
          <t>Föryngringsavverkning</t>
        </is>
      </c>
      <c r="D515" s="1" t="n">
        <v>45505</v>
      </c>
      <c r="E515" s="1" t="n">
        <v>46220</v>
      </c>
      <c r="F515" t="inlineStr">
        <is>
          <t>JÄMTLANDS LÄN</t>
        </is>
      </c>
      <c r="G515" t="inlineStr">
        <is>
          <t>RAGUNDA</t>
        </is>
      </c>
      <c r="H515" t="inlineStr">
        <is>
          <t>SCA</t>
        </is>
      </c>
      <c r="I515" t="n">
        <v>20.3</v>
      </c>
      <c r="J515" t="n">
        <v>0</v>
      </c>
      <c r="K515" t="n">
        <v>0</v>
      </c>
      <c r="L515" t="n">
        <v>0</v>
      </c>
      <c r="M515" t="n">
        <v>0</v>
      </c>
      <c r="N515" t="n">
        <v>0</v>
      </c>
      <c r="O515" t="n">
        <v>0</v>
      </c>
      <c r="P515" t="n">
        <v>0</v>
      </c>
      <c r="Q515" t="n">
        <v>0</v>
      </c>
      <c r="R515" t="n">
        <v>0</v>
      </c>
      <c r="S515" t="n">
        <v>0</v>
      </c>
      <c r="T515" t="n">
        <v>0</v>
      </c>
      <c r="U515" s="2" t="inlineStr"/>
    </row>
    <row r="516" ht="15" customHeight="1">
      <c r="A516" t="inlineStr">
        <is>
          <t>A 30887-2025</t>
        </is>
      </c>
      <c r="B516" t="inlineStr">
        <is>
          <t>avverkningsanmälan</t>
        </is>
      </c>
      <c r="C516" t="inlineStr">
        <is>
          <t>Föryngringsavverkning</t>
        </is>
      </c>
      <c r="D516" s="1" t="n">
        <v>45832</v>
      </c>
      <c r="E516" s="1" t="n">
        <v>46220</v>
      </c>
      <c r="F516" t="inlineStr">
        <is>
          <t>JÄMTLANDS LÄN</t>
        </is>
      </c>
      <c r="G516" t="inlineStr">
        <is>
          <t>RAGUNDA</t>
        </is>
      </c>
      <c r="H516" t="inlineStr">
        <is>
          <t>SCA</t>
        </is>
      </c>
      <c r="I516" t="n">
        <v>10.1</v>
      </c>
      <c r="J516" t="n">
        <v>0</v>
      </c>
      <c r="K516" t="n">
        <v>0</v>
      </c>
      <c r="L516" t="n">
        <v>0</v>
      </c>
      <c r="M516" t="n">
        <v>0</v>
      </c>
      <c r="N516" t="n">
        <v>0</v>
      </c>
      <c r="O516" t="n">
        <v>0</v>
      </c>
      <c r="P516" t="n">
        <v>0</v>
      </c>
      <c r="Q516" t="n">
        <v>0</v>
      </c>
      <c r="R516" t="n">
        <v>0</v>
      </c>
      <c r="S516" t="n">
        <v>0</v>
      </c>
      <c r="T516" t="n">
        <v>0</v>
      </c>
      <c r="U516" s="2" t="inlineStr"/>
    </row>
    <row r="517" ht="15" customHeight="1">
      <c r="A517" t="inlineStr">
        <is>
          <t>A 30883-2025</t>
        </is>
      </c>
      <c r="B517" t="inlineStr">
        <is>
          <t>avverkningsanmälan</t>
        </is>
      </c>
      <c r="C517" t="inlineStr">
        <is>
          <t>Föryngringsavverkning</t>
        </is>
      </c>
      <c r="D517" s="1" t="n">
        <v>45832</v>
      </c>
      <c r="E517" s="1" t="n">
        <v>46220</v>
      </c>
      <c r="F517" t="inlineStr">
        <is>
          <t>JÄMTLANDS LÄN</t>
        </is>
      </c>
      <c r="G517" t="inlineStr">
        <is>
          <t>RAGUNDA</t>
        </is>
      </c>
      <c r="H517" t="inlineStr">
        <is>
          <t>SCA</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51049-2024</t>
        </is>
      </c>
      <c r="B518" t="inlineStr">
        <is>
          <t>avverkningsanmälan</t>
        </is>
      </c>
      <c r="C518" t="inlineStr">
        <is>
          <t>Föryngringsavverkning</t>
        </is>
      </c>
      <c r="D518" s="1" t="n">
        <v>45603</v>
      </c>
      <c r="E518" s="1" t="n">
        <v>46220</v>
      </c>
      <c r="F518" t="inlineStr">
        <is>
          <t>JÄMTLANDS LÄN</t>
        </is>
      </c>
      <c r="G518" t="inlineStr">
        <is>
          <t>RAGUNDA</t>
        </is>
      </c>
      <c r="H518" t="inlineStr">
        <is>
          <t>SCA</t>
        </is>
      </c>
      <c r="I518" t="n">
        <v>6.9</v>
      </c>
      <c r="J518" t="n">
        <v>0</v>
      </c>
      <c r="K518" t="n">
        <v>0</v>
      </c>
      <c r="L518" t="n">
        <v>0</v>
      </c>
      <c r="M518" t="n">
        <v>0</v>
      </c>
      <c r="N518" t="n">
        <v>0</v>
      </c>
      <c r="O518" t="n">
        <v>0</v>
      </c>
      <c r="P518" t="n">
        <v>0</v>
      </c>
      <c r="Q518" t="n">
        <v>0</v>
      </c>
      <c r="R518" t="n">
        <v>0</v>
      </c>
      <c r="S518" t="n">
        <v>0</v>
      </c>
      <c r="T518" t="n">
        <v>0</v>
      </c>
      <c r="U518" s="2" t="inlineStr"/>
    </row>
    <row r="519" ht="15" customHeight="1">
      <c r="A519" t="inlineStr">
        <is>
          <t>A 44759-2024</t>
        </is>
      </c>
      <c r="B519" t="inlineStr">
        <is>
          <t>avverkningsanmälan</t>
        </is>
      </c>
      <c r="C519" t="inlineStr">
        <is>
          <t>Föryngringsavverkning</t>
        </is>
      </c>
      <c r="D519" s="1" t="n">
        <v>45574</v>
      </c>
      <c r="E519" s="1" t="n">
        <v>46220</v>
      </c>
      <c r="F519" t="inlineStr">
        <is>
          <t>JÄMTLANDS LÄN</t>
        </is>
      </c>
      <c r="G519" t="inlineStr">
        <is>
          <t>RAGUNDA</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37324-2022</t>
        </is>
      </c>
      <c r="B520" t="inlineStr">
        <is>
          <t>avverkningsanmälan</t>
        </is>
      </c>
      <c r="C520" t="inlineStr">
        <is>
          <t>Föryngringsavverkning</t>
        </is>
      </c>
      <c r="D520" s="1" t="n">
        <v>44806</v>
      </c>
      <c r="E520" s="1" t="n">
        <v>46220</v>
      </c>
      <c r="F520" t="inlineStr">
        <is>
          <t>JÄMTLANDS LÄN</t>
        </is>
      </c>
      <c r="G520" t="inlineStr">
        <is>
          <t>RAGUNDA</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43776-2025</t>
        </is>
      </c>
      <c r="B521" t="inlineStr">
        <is>
          <t>avverkningsanmälan</t>
        </is>
      </c>
      <c r="C521" t="inlineStr">
        <is>
          <t>Föryngringsavverkning</t>
        </is>
      </c>
      <c r="D521" s="1" t="n">
        <v>45912</v>
      </c>
      <c r="E521" s="1" t="n">
        <v>46220</v>
      </c>
      <c r="F521" t="inlineStr">
        <is>
          <t>JÄMTLANDS LÄN</t>
        </is>
      </c>
      <c r="G521" t="inlineStr">
        <is>
          <t>RAGUNDA</t>
        </is>
      </c>
      <c r="H521" t="inlineStr">
        <is>
          <t>SCA</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43971-2025</t>
        </is>
      </c>
      <c r="B522" t="inlineStr">
        <is>
          <t>avverkningsanmälan</t>
        </is>
      </c>
      <c r="C522" t="inlineStr">
        <is>
          <t>Föryngringsavverkning</t>
        </is>
      </c>
      <c r="D522" s="1" t="n">
        <v>45915</v>
      </c>
      <c r="E522" s="1" t="n">
        <v>46220</v>
      </c>
      <c r="F522" t="inlineStr">
        <is>
          <t>JÄMTLANDS LÄN</t>
        </is>
      </c>
      <c r="G522" t="inlineStr">
        <is>
          <t>RAGUNDA</t>
        </is>
      </c>
      <c r="H522" t="inlineStr">
        <is>
          <t>SCA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43804-2025</t>
        </is>
      </c>
      <c r="B523" t="inlineStr">
        <is>
          <t>avverkningsanmälan</t>
        </is>
      </c>
      <c r="C523" t="inlineStr">
        <is>
          <t>Föryngringsavverkning</t>
        </is>
      </c>
      <c r="D523" s="1" t="n">
        <v>45912</v>
      </c>
      <c r="E523" s="1" t="n">
        <v>46220</v>
      </c>
      <c r="F523" t="inlineStr">
        <is>
          <t>JÄMTLANDS LÄN</t>
        </is>
      </c>
      <c r="G523" t="inlineStr">
        <is>
          <t>RAGUNDA</t>
        </is>
      </c>
      <c r="H523" t="inlineStr">
        <is>
          <t>SCA</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30880-2025</t>
        </is>
      </c>
      <c r="B524" t="inlineStr">
        <is>
          <t>avverkningsanmälan</t>
        </is>
      </c>
      <c r="C524" t="inlineStr">
        <is>
          <t>Föryngringsavverkning</t>
        </is>
      </c>
      <c r="D524" s="1" t="n">
        <v>45832</v>
      </c>
      <c r="E524" s="1" t="n">
        <v>46220</v>
      </c>
      <c r="F524" t="inlineStr">
        <is>
          <t>JÄMTLANDS LÄN</t>
        </is>
      </c>
      <c r="G524" t="inlineStr">
        <is>
          <t>RAGUNDA</t>
        </is>
      </c>
      <c r="I524" t="n">
        <v>9.300000000000001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45953-2023</t>
        </is>
      </c>
      <c r="B525" t="inlineStr">
        <is>
          <t>avverkningsanmälan</t>
        </is>
      </c>
      <c r="C525" t="inlineStr">
        <is>
          <t>Föryngringsavverkning</t>
        </is>
      </c>
      <c r="D525" s="1" t="n">
        <v>45195</v>
      </c>
      <c r="E525" s="1" t="n">
        <v>46220</v>
      </c>
      <c r="F525" t="inlineStr">
        <is>
          <t>JÄMTLANDS LÄN</t>
        </is>
      </c>
      <c r="G525" t="inlineStr">
        <is>
          <t>RAGUNDA</t>
        </is>
      </c>
      <c r="H525" t="inlineStr">
        <is>
          <t>SCA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32096-2025</t>
        </is>
      </c>
      <c r="B526" t="inlineStr">
        <is>
          <t>avverkningsanmälan</t>
        </is>
      </c>
      <c r="C526" t="inlineStr">
        <is>
          <t>Föryngringsavverkning</t>
        </is>
      </c>
      <c r="D526" s="1" t="n">
        <v>45835</v>
      </c>
      <c r="E526" s="1" t="n">
        <v>46220</v>
      </c>
      <c r="F526" t="inlineStr">
        <is>
          <t>JÄMTLANDS LÄN</t>
        </is>
      </c>
      <c r="G526" t="inlineStr">
        <is>
          <t>RAGUNDA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32151-2025</t>
        </is>
      </c>
      <c r="B527" t="inlineStr">
        <is>
          <t>avverkningsanmälan</t>
        </is>
      </c>
      <c r="C527" t="inlineStr">
        <is>
          <t>Föryngringsavverkning</t>
        </is>
      </c>
      <c r="D527" s="1" t="n">
        <v>45835</v>
      </c>
      <c r="E527" s="1" t="n">
        <v>46220</v>
      </c>
      <c r="F527" t="inlineStr">
        <is>
          <t>JÄMTLANDS LÄN</t>
        </is>
      </c>
      <c r="G527" t="inlineStr">
        <is>
          <t>RAGUNDA</t>
        </is>
      </c>
      <c r="H527" t="inlineStr">
        <is>
          <t>SCA</t>
        </is>
      </c>
      <c r="I527" t="n">
        <v>12.3</v>
      </c>
      <c r="J527" t="n">
        <v>0</v>
      </c>
      <c r="K527" t="n">
        <v>0</v>
      </c>
      <c r="L527" t="n">
        <v>0</v>
      </c>
      <c r="M527" t="n">
        <v>0</v>
      </c>
      <c r="N527" t="n">
        <v>0</v>
      </c>
      <c r="O527" t="n">
        <v>0</v>
      </c>
      <c r="P527" t="n">
        <v>0</v>
      </c>
      <c r="Q527" t="n">
        <v>0</v>
      </c>
      <c r="R527" t="n">
        <v>0</v>
      </c>
      <c r="S527" t="n">
        <v>0</v>
      </c>
      <c r="T527" t="n">
        <v>0</v>
      </c>
      <c r="U527" s="2" t="inlineStr"/>
    </row>
    <row r="528" ht="15" customHeight="1">
      <c r="A528" t="inlineStr">
        <is>
          <t>A 49650-2024</t>
        </is>
      </c>
      <c r="B528" t="inlineStr">
        <is>
          <t>avverkningsanmälan</t>
        </is>
      </c>
      <c r="C528" t="inlineStr">
        <is>
          <t>Föryngringsavverkning</t>
        </is>
      </c>
      <c r="D528" s="1" t="n">
        <v>45596</v>
      </c>
      <c r="E528" s="1" t="n">
        <v>46220</v>
      </c>
      <c r="F528" t="inlineStr">
        <is>
          <t>JÄMTLANDS LÄN</t>
        </is>
      </c>
      <c r="G528" t="inlineStr">
        <is>
          <t>RAGUNDA</t>
        </is>
      </c>
      <c r="H528" t="inlineStr">
        <is>
          <t>Naturvårdsverket</t>
        </is>
      </c>
      <c r="I528" t="n">
        <v>3</v>
      </c>
      <c r="J528" t="n">
        <v>0</v>
      </c>
      <c r="K528" t="n">
        <v>0</v>
      </c>
      <c r="L528" t="n">
        <v>0</v>
      </c>
      <c r="M528" t="n">
        <v>0</v>
      </c>
      <c r="N528" t="n">
        <v>0</v>
      </c>
      <c r="O528" t="n">
        <v>0</v>
      </c>
      <c r="P528" t="n">
        <v>0</v>
      </c>
      <c r="Q528" t="n">
        <v>0</v>
      </c>
      <c r="R528" t="n">
        <v>0</v>
      </c>
      <c r="S528" t="n">
        <v>0</v>
      </c>
      <c r="T528" t="n">
        <v>0</v>
      </c>
      <c r="U528" s="2" t="inlineStr"/>
    </row>
    <row r="529" ht="15" customHeight="1">
      <c r="A529" t="inlineStr">
        <is>
          <t>A 32306-2025</t>
        </is>
      </c>
      <c r="B529" t="inlineStr">
        <is>
          <t>avverkningsanmälan</t>
        </is>
      </c>
      <c r="C529" t="inlineStr">
        <is>
          <t>Föryngringsavverkning</t>
        </is>
      </c>
      <c r="D529" s="1" t="n">
        <v>45835</v>
      </c>
      <c r="E529" s="1" t="n">
        <v>46220</v>
      </c>
      <c r="F529" t="inlineStr">
        <is>
          <t>JÄMTLANDS LÄN</t>
        </is>
      </c>
      <c r="G529" t="inlineStr">
        <is>
          <t>RAGUNDA</t>
        </is>
      </c>
      <c r="I529" t="n">
        <v>10.2</v>
      </c>
      <c r="J529" t="n">
        <v>0</v>
      </c>
      <c r="K529" t="n">
        <v>0</v>
      </c>
      <c r="L529" t="n">
        <v>0</v>
      </c>
      <c r="M529" t="n">
        <v>0</v>
      </c>
      <c r="N529" t="n">
        <v>0</v>
      </c>
      <c r="O529" t="n">
        <v>0</v>
      </c>
      <c r="P529" t="n">
        <v>0</v>
      </c>
      <c r="Q529" t="n">
        <v>0</v>
      </c>
      <c r="R529" t="n">
        <v>0</v>
      </c>
      <c r="S529" t="n">
        <v>0</v>
      </c>
      <c r="T529" t="n">
        <v>0</v>
      </c>
      <c r="U529" s="2" t="inlineStr"/>
    </row>
    <row r="530" ht="15" customHeight="1">
      <c r="A530" t="inlineStr">
        <is>
          <t>A 32021-2025</t>
        </is>
      </c>
      <c r="B530" t="inlineStr">
        <is>
          <t>avverkningsanmälan</t>
        </is>
      </c>
      <c r="C530" t="inlineStr">
        <is>
          <t>Avverkning för annat ändamål</t>
        </is>
      </c>
      <c r="D530" s="1" t="n">
        <v>45835</v>
      </c>
      <c r="E530" s="1" t="n">
        <v>46220</v>
      </c>
      <c r="F530" t="inlineStr">
        <is>
          <t>JÄMTLANDS LÄN</t>
        </is>
      </c>
      <c r="G530" t="inlineStr">
        <is>
          <t>RAGUNDA</t>
        </is>
      </c>
      <c r="H530" t="inlineStr">
        <is>
          <t>SCA</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31882-2025</t>
        </is>
      </c>
      <c r="B531" t="inlineStr">
        <is>
          <t>avverkningsanmälan</t>
        </is>
      </c>
      <c r="C531" t="inlineStr">
        <is>
          <t>Föryngringsavverkning</t>
        </is>
      </c>
      <c r="D531" s="1" t="n">
        <v>45834</v>
      </c>
      <c r="E531" s="1" t="n">
        <v>46220</v>
      </c>
      <c r="F531" t="inlineStr">
        <is>
          <t>JÄMTLANDS LÄN</t>
        </is>
      </c>
      <c r="G531" t="inlineStr">
        <is>
          <t>RAGUNDA</t>
        </is>
      </c>
      <c r="H531" t="inlineStr">
        <is>
          <t>SCA</t>
        </is>
      </c>
      <c r="I531" t="n">
        <v>5.5</v>
      </c>
      <c r="J531" t="n">
        <v>0</v>
      </c>
      <c r="K531" t="n">
        <v>0</v>
      </c>
      <c r="L531" t="n">
        <v>0</v>
      </c>
      <c r="M531" t="n">
        <v>0</v>
      </c>
      <c r="N531" t="n">
        <v>0</v>
      </c>
      <c r="O531" t="n">
        <v>0</v>
      </c>
      <c r="P531" t="n">
        <v>0</v>
      </c>
      <c r="Q531" t="n">
        <v>0</v>
      </c>
      <c r="R531" t="n">
        <v>0</v>
      </c>
      <c r="S531" t="n">
        <v>0</v>
      </c>
      <c r="T531" t="n">
        <v>0</v>
      </c>
      <c r="U531" s="2" t="inlineStr"/>
    </row>
    <row r="532" ht="15" customHeight="1">
      <c r="A532" t="inlineStr">
        <is>
          <t>A 32796-2025</t>
        </is>
      </c>
      <c r="B532" t="inlineStr">
        <is>
          <t>avverkningsanmälan</t>
        </is>
      </c>
      <c r="C532" t="inlineStr">
        <is>
          <t>Föryngringsavverkning</t>
        </is>
      </c>
      <c r="D532" s="1" t="n">
        <v>45839</v>
      </c>
      <c r="E532" s="1" t="n">
        <v>46220</v>
      </c>
      <c r="F532" t="inlineStr">
        <is>
          <t>JÄMTLANDS LÄN</t>
        </is>
      </c>
      <c r="G532" t="inlineStr">
        <is>
          <t>RAGUNDA</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32751-2025</t>
        </is>
      </c>
      <c r="B533" t="inlineStr">
        <is>
          <t>avverkningsanmälan</t>
        </is>
      </c>
      <c r="C533" t="inlineStr">
        <is>
          <t>Föryngringsavverkning</t>
        </is>
      </c>
      <c r="D533" s="1" t="n">
        <v>45839</v>
      </c>
      <c r="E533" s="1" t="n">
        <v>46220</v>
      </c>
      <c r="F533" t="inlineStr">
        <is>
          <t>JÄMTLANDS LÄN</t>
        </is>
      </c>
      <c r="G533" t="inlineStr">
        <is>
          <t>RAGUNDA</t>
        </is>
      </c>
      <c r="H533" t="inlineStr">
        <is>
          <t>SCA</t>
        </is>
      </c>
      <c r="I533" t="n">
        <v>10</v>
      </c>
      <c r="J533" t="n">
        <v>0</v>
      </c>
      <c r="K533" t="n">
        <v>0</v>
      </c>
      <c r="L533" t="n">
        <v>0</v>
      </c>
      <c r="M533" t="n">
        <v>0</v>
      </c>
      <c r="N533" t="n">
        <v>0</v>
      </c>
      <c r="O533" t="n">
        <v>0</v>
      </c>
      <c r="P533" t="n">
        <v>0</v>
      </c>
      <c r="Q533" t="n">
        <v>0</v>
      </c>
      <c r="R533" t="n">
        <v>0</v>
      </c>
      <c r="S533" t="n">
        <v>0</v>
      </c>
      <c r="T533" t="n">
        <v>0</v>
      </c>
      <c r="U533" s="2" t="inlineStr"/>
    </row>
    <row r="534" ht="15" customHeight="1">
      <c r="A534" t="inlineStr">
        <is>
          <t>A 32777-2025</t>
        </is>
      </c>
      <c r="B534" t="inlineStr">
        <is>
          <t>avverkningsanmälan</t>
        </is>
      </c>
      <c r="C534" t="inlineStr">
        <is>
          <t>Föryngringsavverkning</t>
        </is>
      </c>
      <c r="D534" s="1" t="n">
        <v>45839</v>
      </c>
      <c r="E534" s="1" t="n">
        <v>46220</v>
      </c>
      <c r="F534" t="inlineStr">
        <is>
          <t>JÄMTLANDS LÄN</t>
        </is>
      </c>
      <c r="G534" t="inlineStr">
        <is>
          <t>RAGUNDA</t>
        </is>
      </c>
      <c r="H534" t="inlineStr">
        <is>
          <t>SCA</t>
        </is>
      </c>
      <c r="I534" t="n">
        <v>21.7</v>
      </c>
      <c r="J534" t="n">
        <v>0</v>
      </c>
      <c r="K534" t="n">
        <v>0</v>
      </c>
      <c r="L534" t="n">
        <v>0</v>
      </c>
      <c r="M534" t="n">
        <v>0</v>
      </c>
      <c r="N534" t="n">
        <v>0</v>
      </c>
      <c r="O534" t="n">
        <v>0</v>
      </c>
      <c r="P534" t="n">
        <v>0</v>
      </c>
      <c r="Q534" t="n">
        <v>0</v>
      </c>
      <c r="R534" t="n">
        <v>0</v>
      </c>
      <c r="S534" t="n">
        <v>0</v>
      </c>
      <c r="T534" t="n">
        <v>0</v>
      </c>
      <c r="U534" s="2" t="inlineStr"/>
    </row>
    <row r="535" ht="15" customHeight="1">
      <c r="A535" t="inlineStr">
        <is>
          <t>A 64264-2023</t>
        </is>
      </c>
      <c r="B535" t="inlineStr">
        <is>
          <t>avverkningsanmälan</t>
        </is>
      </c>
      <c r="C535" t="inlineStr">
        <is>
          <t>Föryngringsavverkning</t>
        </is>
      </c>
      <c r="D535" s="1" t="n">
        <v>45279</v>
      </c>
      <c r="E535" s="1" t="n">
        <v>46220</v>
      </c>
      <c r="F535" t="inlineStr">
        <is>
          <t>JÄMTLANDS LÄN</t>
        </is>
      </c>
      <c r="G535" t="inlineStr">
        <is>
          <t>RAGUNDA</t>
        </is>
      </c>
      <c r="H535" t="inlineStr">
        <is>
          <t>SCA</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32430-2025</t>
        </is>
      </c>
      <c r="B536" t="inlineStr">
        <is>
          <t>avverkningsanmälan</t>
        </is>
      </c>
      <c r="C536" t="inlineStr">
        <is>
          <t>Avverkning för att bevara och utveckla /försöksver</t>
        </is>
      </c>
      <c r="D536" s="1" t="n">
        <v>45838</v>
      </c>
      <c r="E536" s="1" t="n">
        <v>46220</v>
      </c>
      <c r="F536" t="inlineStr">
        <is>
          <t>JÄMTLANDS LÄN</t>
        </is>
      </c>
      <c r="G536" t="inlineStr">
        <is>
          <t>RAGUNDA</t>
        </is>
      </c>
      <c r="H536" t="inlineStr">
        <is>
          <t>SCA</t>
        </is>
      </c>
      <c r="I536" t="n">
        <v>4.3</v>
      </c>
      <c r="J536" t="n">
        <v>0</v>
      </c>
      <c r="K536" t="n">
        <v>0</v>
      </c>
      <c r="L536" t="n">
        <v>0</v>
      </c>
      <c r="M536" t="n">
        <v>0</v>
      </c>
      <c r="N536" t="n">
        <v>0</v>
      </c>
      <c r="O536" t="n">
        <v>0</v>
      </c>
      <c r="P536" t="n">
        <v>0</v>
      </c>
      <c r="Q536" t="n">
        <v>0</v>
      </c>
      <c r="R536" t="n">
        <v>0</v>
      </c>
      <c r="S536" t="n">
        <v>0</v>
      </c>
      <c r="T536" t="n">
        <v>0</v>
      </c>
      <c r="U536" s="2" t="inlineStr"/>
    </row>
    <row r="537" ht="15" customHeight="1">
      <c r="A537" t="inlineStr">
        <is>
          <t>A 32747-2025</t>
        </is>
      </c>
      <c r="B537" t="inlineStr">
        <is>
          <t>avverkningsanmälan</t>
        </is>
      </c>
      <c r="C537" t="inlineStr">
        <is>
          <t>Föryngringsavverkning</t>
        </is>
      </c>
      <c r="D537" s="1" t="n">
        <v>45839</v>
      </c>
      <c r="E537" s="1" t="n">
        <v>46220</v>
      </c>
      <c r="F537" t="inlineStr">
        <is>
          <t>JÄMTLANDS LÄN</t>
        </is>
      </c>
      <c r="G537" t="inlineStr">
        <is>
          <t>RAGUNDA</t>
        </is>
      </c>
      <c r="H537" t="inlineStr">
        <is>
          <t>SCA</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32846-2025</t>
        </is>
      </c>
      <c r="B538" t="inlineStr">
        <is>
          <t>avverkningsanmälan</t>
        </is>
      </c>
      <c r="C538" t="inlineStr">
        <is>
          <t>Föryngringsavverkning</t>
        </is>
      </c>
      <c r="D538" s="1" t="n">
        <v>45839</v>
      </c>
      <c r="E538" s="1" t="n">
        <v>46220</v>
      </c>
      <c r="F538" t="inlineStr">
        <is>
          <t>JÄMTLANDS LÄN</t>
        </is>
      </c>
      <c r="G538" t="inlineStr">
        <is>
          <t>RAGUNDA</t>
        </is>
      </c>
      <c r="H538" t="inlineStr">
        <is>
          <t>SCA</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32748-2025</t>
        </is>
      </c>
      <c r="B539" t="inlineStr">
        <is>
          <t>avverkningsanmälan</t>
        </is>
      </c>
      <c r="C539" t="inlineStr">
        <is>
          <t>Föryngringsavverkning</t>
        </is>
      </c>
      <c r="D539" s="1" t="n">
        <v>45839</v>
      </c>
      <c r="E539" s="1" t="n">
        <v>46220</v>
      </c>
      <c r="F539" t="inlineStr">
        <is>
          <t>JÄMTLANDS LÄN</t>
        </is>
      </c>
      <c r="G539" t="inlineStr">
        <is>
          <t>RAGUNDA</t>
        </is>
      </c>
      <c r="H539" t="inlineStr">
        <is>
          <t>SCA</t>
        </is>
      </c>
      <c r="I539" t="n">
        <v>4.4</v>
      </c>
      <c r="J539" t="n">
        <v>0</v>
      </c>
      <c r="K539" t="n">
        <v>0</v>
      </c>
      <c r="L539" t="n">
        <v>0</v>
      </c>
      <c r="M539" t="n">
        <v>0</v>
      </c>
      <c r="N539" t="n">
        <v>0</v>
      </c>
      <c r="O539" t="n">
        <v>0</v>
      </c>
      <c r="P539" t="n">
        <v>0</v>
      </c>
      <c r="Q539" t="n">
        <v>0</v>
      </c>
      <c r="R539" t="n">
        <v>0</v>
      </c>
      <c r="S539" t="n">
        <v>0</v>
      </c>
      <c r="T539" t="n">
        <v>0</v>
      </c>
      <c r="U539" s="2" t="inlineStr"/>
    </row>
    <row r="540" ht="15" customHeight="1">
      <c r="A540" t="inlineStr">
        <is>
          <t>A 32660-2025</t>
        </is>
      </c>
      <c r="B540" t="inlineStr">
        <is>
          <t>avverkningsanmälan</t>
        </is>
      </c>
      <c r="C540" t="inlineStr">
        <is>
          <t>Föryngringsavverkning</t>
        </is>
      </c>
      <c r="D540" s="1" t="n">
        <v>45838</v>
      </c>
      <c r="E540" s="1" t="n">
        <v>46220</v>
      </c>
      <c r="F540" t="inlineStr">
        <is>
          <t>JÄMTLANDS LÄN</t>
        </is>
      </c>
      <c r="G540" t="inlineStr">
        <is>
          <t>RAGUNDA</t>
        </is>
      </c>
      <c r="H540" t="inlineStr">
        <is>
          <t>SCA</t>
        </is>
      </c>
      <c r="I540" t="n">
        <v>10.3</v>
      </c>
      <c r="J540" t="n">
        <v>0</v>
      </c>
      <c r="K540" t="n">
        <v>0</v>
      </c>
      <c r="L540" t="n">
        <v>0</v>
      </c>
      <c r="M540" t="n">
        <v>0</v>
      </c>
      <c r="N540" t="n">
        <v>0</v>
      </c>
      <c r="O540" t="n">
        <v>0</v>
      </c>
      <c r="P540" t="n">
        <v>0</v>
      </c>
      <c r="Q540" t="n">
        <v>0</v>
      </c>
      <c r="R540" t="n">
        <v>0</v>
      </c>
      <c r="S540" t="n">
        <v>0</v>
      </c>
      <c r="T540" t="n">
        <v>0</v>
      </c>
      <c r="U540" s="2" t="inlineStr"/>
    </row>
    <row r="541" ht="15" customHeight="1">
      <c r="A541" t="inlineStr">
        <is>
          <t>A 32527-2025</t>
        </is>
      </c>
      <c r="B541" t="inlineStr">
        <is>
          <t>avverkningsanmälan</t>
        </is>
      </c>
      <c r="C541" t="inlineStr">
        <is>
          <t>Föryngringsavverkning</t>
        </is>
      </c>
      <c r="D541" s="1" t="n">
        <v>45838</v>
      </c>
      <c r="E541" s="1" t="n">
        <v>46220</v>
      </c>
      <c r="F541" t="inlineStr">
        <is>
          <t>JÄMTLANDS LÄN</t>
        </is>
      </c>
      <c r="G541" t="inlineStr">
        <is>
          <t>RAGUNDA</t>
        </is>
      </c>
      <c r="I541" t="n">
        <v>5</v>
      </c>
      <c r="J541" t="n">
        <v>0</v>
      </c>
      <c r="K541" t="n">
        <v>0</v>
      </c>
      <c r="L541" t="n">
        <v>0</v>
      </c>
      <c r="M541" t="n">
        <v>0</v>
      </c>
      <c r="N541" t="n">
        <v>0</v>
      </c>
      <c r="O541" t="n">
        <v>0</v>
      </c>
      <c r="P541" t="n">
        <v>0</v>
      </c>
      <c r="Q541" t="n">
        <v>0</v>
      </c>
      <c r="R541" t="n">
        <v>0</v>
      </c>
      <c r="S541" t="n">
        <v>0</v>
      </c>
      <c r="T541" t="n">
        <v>0</v>
      </c>
      <c r="U541" s="2" t="inlineStr"/>
    </row>
    <row r="542" ht="15" customHeight="1">
      <c r="A542" t="inlineStr">
        <is>
          <t>A 42893-2022</t>
        </is>
      </c>
      <c r="B542" t="inlineStr">
        <is>
          <t>avverkningsanmälan</t>
        </is>
      </c>
      <c r="C542" t="inlineStr">
        <is>
          <t>Föryngringsavverkning</t>
        </is>
      </c>
      <c r="D542" s="1" t="n">
        <v>44832</v>
      </c>
      <c r="E542" s="1" t="n">
        <v>46220</v>
      </c>
      <c r="F542" t="inlineStr">
        <is>
          <t>JÄMTLANDS LÄN</t>
        </is>
      </c>
      <c r="G542" t="inlineStr">
        <is>
          <t>RAGUNDA</t>
        </is>
      </c>
      <c r="H542" t="inlineStr">
        <is>
          <t>SCA</t>
        </is>
      </c>
      <c r="I542" t="n">
        <v>28.4</v>
      </c>
      <c r="J542" t="n">
        <v>0</v>
      </c>
      <c r="K542" t="n">
        <v>0</v>
      </c>
      <c r="L542" t="n">
        <v>0</v>
      </c>
      <c r="M542" t="n">
        <v>0</v>
      </c>
      <c r="N542" t="n">
        <v>0</v>
      </c>
      <c r="O542" t="n">
        <v>0</v>
      </c>
      <c r="P542" t="n">
        <v>0</v>
      </c>
      <c r="Q542" t="n">
        <v>0</v>
      </c>
      <c r="R542" t="n">
        <v>0</v>
      </c>
      <c r="S542" t="n">
        <v>0</v>
      </c>
      <c r="T542" t="n">
        <v>0</v>
      </c>
      <c r="U542" s="2" t="inlineStr"/>
    </row>
    <row r="543" ht="15" customHeight="1">
      <c r="A543" t="inlineStr">
        <is>
          <t>A 33556-2025</t>
        </is>
      </c>
      <c r="B543" t="inlineStr">
        <is>
          <t>avverkningsanmälan</t>
        </is>
      </c>
      <c r="C543" t="inlineStr">
        <is>
          <t>Föryngringsavverkning</t>
        </is>
      </c>
      <c r="D543" s="1" t="n">
        <v>45841</v>
      </c>
      <c r="E543" s="1" t="n">
        <v>46220</v>
      </c>
      <c r="F543" t="inlineStr">
        <is>
          <t>JÄMTLANDS LÄN</t>
        </is>
      </c>
      <c r="G543" t="inlineStr">
        <is>
          <t>RAGUNDA</t>
        </is>
      </c>
      <c r="H543" t="inlineStr">
        <is>
          <t>SCA</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45894-2025</t>
        </is>
      </c>
      <c r="B544" t="inlineStr">
        <is>
          <t>avverkningsanmälan</t>
        </is>
      </c>
      <c r="C544" t="inlineStr">
        <is>
          <t>Föryngringsavverkning</t>
        </is>
      </c>
      <c r="D544" s="1" t="n">
        <v>45923</v>
      </c>
      <c r="E544" s="1" t="n">
        <v>46220</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46192-2025</t>
        </is>
      </c>
      <c r="B545" t="inlineStr">
        <is>
          <t>avverkningsanmälan</t>
        </is>
      </c>
      <c r="C545" t="inlineStr">
        <is>
          <t>Föryngringsavverkning</t>
        </is>
      </c>
      <c r="D545" s="1" t="n">
        <v>45924</v>
      </c>
      <c r="E545" s="1" t="n">
        <v>46220</v>
      </c>
      <c r="F545" t="inlineStr">
        <is>
          <t>JÄMTLANDS LÄN</t>
        </is>
      </c>
      <c r="G545" t="inlineStr">
        <is>
          <t>RAGUNDA</t>
        </is>
      </c>
      <c r="H545" t="inlineStr">
        <is>
          <t>SCA</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29940-2023</t>
        </is>
      </c>
      <c r="B546" t="inlineStr">
        <is>
          <t>avverkningsanmälan</t>
        </is>
      </c>
      <c r="C546" t="inlineStr">
        <is>
          <t>Föryngringsavverkning</t>
        </is>
      </c>
      <c r="D546" s="1" t="n">
        <v>45107</v>
      </c>
      <c r="E546" s="1" t="n">
        <v>46220</v>
      </c>
      <c r="F546" t="inlineStr">
        <is>
          <t>JÄMTLANDS LÄN</t>
        </is>
      </c>
      <c r="G546" t="inlineStr">
        <is>
          <t>RAGUNDA</t>
        </is>
      </c>
      <c r="I546" t="n">
        <v>13.5</v>
      </c>
      <c r="J546" t="n">
        <v>0</v>
      </c>
      <c r="K546" t="n">
        <v>0</v>
      </c>
      <c r="L546" t="n">
        <v>0</v>
      </c>
      <c r="M546" t="n">
        <v>0</v>
      </c>
      <c r="N546" t="n">
        <v>0</v>
      </c>
      <c r="O546" t="n">
        <v>0</v>
      </c>
      <c r="P546" t="n">
        <v>0</v>
      </c>
      <c r="Q546" t="n">
        <v>0</v>
      </c>
      <c r="R546" t="n">
        <v>0</v>
      </c>
      <c r="S546" t="n">
        <v>0</v>
      </c>
      <c r="T546" t="n">
        <v>0</v>
      </c>
      <c r="U546" s="2" t="inlineStr"/>
    </row>
    <row r="547" ht="15" customHeight="1">
      <c r="A547" t="inlineStr">
        <is>
          <t>A 34607-2025</t>
        </is>
      </c>
      <c r="B547" t="inlineStr">
        <is>
          <t>avverkningsanmälan</t>
        </is>
      </c>
      <c r="C547" t="inlineStr">
        <is>
          <t>Avverkning för att bevara och utveckla /försöksver</t>
        </is>
      </c>
      <c r="D547" s="1" t="n">
        <v>45847</v>
      </c>
      <c r="E547" s="1" t="n">
        <v>46220</v>
      </c>
      <c r="F547" t="inlineStr">
        <is>
          <t>JÄMTLANDS LÄN</t>
        </is>
      </c>
      <c r="G547" t="inlineStr">
        <is>
          <t>RAGUNDA</t>
        </is>
      </c>
      <c r="H547" t="inlineStr">
        <is>
          <t>SCA</t>
        </is>
      </c>
      <c r="I547" t="n">
        <v>31.4</v>
      </c>
      <c r="J547" t="n">
        <v>0</v>
      </c>
      <c r="K547" t="n">
        <v>0</v>
      </c>
      <c r="L547" t="n">
        <v>0</v>
      </c>
      <c r="M547" t="n">
        <v>0</v>
      </c>
      <c r="N547" t="n">
        <v>0</v>
      </c>
      <c r="O547" t="n">
        <v>0</v>
      </c>
      <c r="P547" t="n">
        <v>0</v>
      </c>
      <c r="Q547" t="n">
        <v>0</v>
      </c>
      <c r="R547" t="n">
        <v>0</v>
      </c>
      <c r="S547" t="n">
        <v>0</v>
      </c>
      <c r="T547" t="n">
        <v>0</v>
      </c>
      <c r="U547" s="2" t="inlineStr"/>
    </row>
    <row r="548" ht="15" customHeight="1">
      <c r="A548" t="inlineStr">
        <is>
          <t>A 34461-2025</t>
        </is>
      </c>
      <c r="B548" t="inlineStr">
        <is>
          <t>avverkningsanmälan</t>
        </is>
      </c>
      <c r="C548" t="inlineStr">
        <is>
          <t>Föryngringsavverkning</t>
        </is>
      </c>
      <c r="D548" s="1" t="n">
        <v>45847</v>
      </c>
      <c r="E548" s="1" t="n">
        <v>46220</v>
      </c>
      <c r="F548" t="inlineStr">
        <is>
          <t>JÄMTLANDS LÄN</t>
        </is>
      </c>
      <c r="G548" t="inlineStr">
        <is>
          <t>RAGUNDA</t>
        </is>
      </c>
      <c r="H548" t="inlineStr">
        <is>
          <t>SCA</t>
        </is>
      </c>
      <c r="I548" t="n">
        <v>44.8</v>
      </c>
      <c r="J548" t="n">
        <v>0</v>
      </c>
      <c r="K548" t="n">
        <v>0</v>
      </c>
      <c r="L548" t="n">
        <v>0</v>
      </c>
      <c r="M548" t="n">
        <v>0</v>
      </c>
      <c r="N548" t="n">
        <v>0</v>
      </c>
      <c r="O548" t="n">
        <v>0</v>
      </c>
      <c r="P548" t="n">
        <v>0</v>
      </c>
      <c r="Q548" t="n">
        <v>0</v>
      </c>
      <c r="R548" t="n">
        <v>0</v>
      </c>
      <c r="S548" t="n">
        <v>0</v>
      </c>
      <c r="T548" t="n">
        <v>0</v>
      </c>
      <c r="U548" s="2" t="inlineStr"/>
    </row>
    <row r="549" ht="15" customHeight="1">
      <c r="A549" t="inlineStr">
        <is>
          <t>A 34468-2025</t>
        </is>
      </c>
      <c r="B549" t="inlineStr">
        <is>
          <t>avverkningsanmälan</t>
        </is>
      </c>
      <c r="C549" t="inlineStr">
        <is>
          <t>Föryngringsavverkning</t>
        </is>
      </c>
      <c r="D549" s="1" t="n">
        <v>45847</v>
      </c>
      <c r="E549" s="1" t="n">
        <v>46220</v>
      </c>
      <c r="F549" t="inlineStr">
        <is>
          <t>JÄMTLANDS LÄN</t>
        </is>
      </c>
      <c r="G549" t="inlineStr">
        <is>
          <t>RAGUNDA</t>
        </is>
      </c>
      <c r="H549" t="inlineStr">
        <is>
          <t>SCA</t>
        </is>
      </c>
      <c r="I549" t="n">
        <v>10</v>
      </c>
      <c r="J549" t="n">
        <v>0</v>
      </c>
      <c r="K549" t="n">
        <v>0</v>
      </c>
      <c r="L549" t="n">
        <v>0</v>
      </c>
      <c r="M549" t="n">
        <v>0</v>
      </c>
      <c r="N549" t="n">
        <v>0</v>
      </c>
      <c r="O549" t="n">
        <v>0</v>
      </c>
      <c r="P549" t="n">
        <v>0</v>
      </c>
      <c r="Q549" t="n">
        <v>0</v>
      </c>
      <c r="R549" t="n">
        <v>0</v>
      </c>
      <c r="S549" t="n">
        <v>0</v>
      </c>
      <c r="T549" t="n">
        <v>0</v>
      </c>
      <c r="U549" s="2" t="inlineStr"/>
    </row>
    <row r="550" ht="15" customHeight="1">
      <c r="A550" t="inlineStr">
        <is>
          <t>A 34466-2025</t>
        </is>
      </c>
      <c r="B550" t="inlineStr">
        <is>
          <t>avverkningsanmälan</t>
        </is>
      </c>
      <c r="C550" t="inlineStr">
        <is>
          <t>Föryngringsavverkning</t>
        </is>
      </c>
      <c r="D550" s="1" t="n">
        <v>45847</v>
      </c>
      <c r="E550" s="1" t="n">
        <v>46220</v>
      </c>
      <c r="F550" t="inlineStr">
        <is>
          <t>JÄMTLANDS LÄN</t>
        </is>
      </c>
      <c r="G550" t="inlineStr">
        <is>
          <t>RAGUNDA</t>
        </is>
      </c>
      <c r="H550" t="inlineStr">
        <is>
          <t>SCA</t>
        </is>
      </c>
      <c r="I550" t="n">
        <v>3</v>
      </c>
      <c r="J550" t="n">
        <v>0</v>
      </c>
      <c r="K550" t="n">
        <v>0</v>
      </c>
      <c r="L550" t="n">
        <v>0</v>
      </c>
      <c r="M550" t="n">
        <v>0</v>
      </c>
      <c r="N550" t="n">
        <v>0</v>
      </c>
      <c r="O550" t="n">
        <v>0</v>
      </c>
      <c r="P550" t="n">
        <v>0</v>
      </c>
      <c r="Q550" t="n">
        <v>0</v>
      </c>
      <c r="R550" t="n">
        <v>0</v>
      </c>
      <c r="S550" t="n">
        <v>0</v>
      </c>
      <c r="T550" t="n">
        <v>0</v>
      </c>
      <c r="U550" s="2" t="inlineStr"/>
    </row>
    <row r="551" ht="15" customHeight="1">
      <c r="A551" t="inlineStr">
        <is>
          <t>A 179-2025</t>
        </is>
      </c>
      <c r="B551" t="inlineStr">
        <is>
          <t>avverkningsanmälan</t>
        </is>
      </c>
      <c r="C551" t="inlineStr">
        <is>
          <t>Föryngringsavverkning</t>
        </is>
      </c>
      <c r="D551" s="1" t="n">
        <v>45659</v>
      </c>
      <c r="E551" s="1" t="n">
        <v>46220</v>
      </c>
      <c r="F551" t="inlineStr">
        <is>
          <t>JÄMTLANDS LÄN</t>
        </is>
      </c>
      <c r="G551" t="inlineStr">
        <is>
          <t>RAGUNDA</t>
        </is>
      </c>
      <c r="H551" t="inlineStr">
        <is>
          <t>SCA</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34463-2025</t>
        </is>
      </c>
      <c r="B552" t="inlineStr">
        <is>
          <t>avverkningsanmälan</t>
        </is>
      </c>
      <c r="C552" t="inlineStr">
        <is>
          <t>Föryngringsavverkning</t>
        </is>
      </c>
      <c r="D552" s="1" t="n">
        <v>45847</v>
      </c>
      <c r="E552" s="1" t="n">
        <v>46220</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s="2" t="inlineStr"/>
    </row>
    <row r="553" ht="15" customHeight="1">
      <c r="A553" t="inlineStr">
        <is>
          <t>A 34586-2025</t>
        </is>
      </c>
      <c r="B553" t="inlineStr">
        <is>
          <t>avverkningsanmälan</t>
        </is>
      </c>
      <c r="C553" t="inlineStr">
        <is>
          <t>Föryngringsavverkning</t>
        </is>
      </c>
      <c r="D553" s="1" t="n">
        <v>45847</v>
      </c>
      <c r="E553" s="1" t="n">
        <v>46220</v>
      </c>
      <c r="F553" t="inlineStr">
        <is>
          <t>JÄMTLANDS LÄN</t>
        </is>
      </c>
      <c r="G553" t="inlineStr">
        <is>
          <t>RAGUNDA</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22412-2024</t>
        </is>
      </c>
      <c r="B554" t="inlineStr">
        <is>
          <t>avverkningsanmälan</t>
        </is>
      </c>
      <c r="C554" t="inlineStr">
        <is>
          <t>Föryngringsavverkning</t>
        </is>
      </c>
      <c r="D554" s="1" t="n">
        <v>45446</v>
      </c>
      <c r="E554" s="1" t="n">
        <v>46220</v>
      </c>
      <c r="F554" t="inlineStr">
        <is>
          <t>JÄMTLANDS LÄN</t>
        </is>
      </c>
      <c r="G554" t="inlineStr">
        <is>
          <t>RAGUNDA</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34588-2025</t>
        </is>
      </c>
      <c r="B555" t="inlineStr">
        <is>
          <t>avverkningsanmälan</t>
        </is>
      </c>
      <c r="C555" t="inlineStr">
        <is>
          <t>Föryngringsavverkning</t>
        </is>
      </c>
      <c r="D555" s="1" t="n">
        <v>45847</v>
      </c>
      <c r="E555" s="1" t="n">
        <v>46220</v>
      </c>
      <c r="F555" t="inlineStr">
        <is>
          <t>JÄMTLANDS LÄN</t>
        </is>
      </c>
      <c r="G555" t="inlineStr">
        <is>
          <t>RAGUNDA</t>
        </is>
      </c>
      <c r="I555" t="n">
        <v>32.3</v>
      </c>
      <c r="J555" t="n">
        <v>0</v>
      </c>
      <c r="K555" t="n">
        <v>0</v>
      </c>
      <c r="L555" t="n">
        <v>0</v>
      </c>
      <c r="M555" t="n">
        <v>0</v>
      </c>
      <c r="N555" t="n">
        <v>0</v>
      </c>
      <c r="O555" t="n">
        <v>0</v>
      </c>
      <c r="P555" t="n">
        <v>0</v>
      </c>
      <c r="Q555" t="n">
        <v>0</v>
      </c>
      <c r="R555" t="n">
        <v>0</v>
      </c>
      <c r="S555" t="n">
        <v>0</v>
      </c>
      <c r="T555" t="n">
        <v>0</v>
      </c>
      <c r="U555" s="2" t="inlineStr"/>
    </row>
    <row r="556" ht="15" customHeight="1">
      <c r="A556" t="inlineStr">
        <is>
          <t>A 34296-2025</t>
        </is>
      </c>
      <c r="B556" t="inlineStr">
        <is>
          <t>avverkningsanmälan</t>
        </is>
      </c>
      <c r="C556" t="inlineStr">
        <is>
          <t>Föryngringsavverkning</t>
        </is>
      </c>
      <c r="D556" s="1" t="n">
        <v>45846</v>
      </c>
      <c r="E556" s="1" t="n">
        <v>46220</v>
      </c>
      <c r="F556" t="inlineStr">
        <is>
          <t>JÄMTLANDS LÄN</t>
        </is>
      </c>
      <c r="G556" t="inlineStr">
        <is>
          <t>RAGUNDA</t>
        </is>
      </c>
      <c r="H556" t="inlineStr">
        <is>
          <t>SCA</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13334-2024</t>
        </is>
      </c>
      <c r="B557" t="inlineStr">
        <is>
          <t>avverkningsanmälan</t>
        </is>
      </c>
      <c r="C557" t="inlineStr">
        <is>
          <t>Föryngringsavverkning</t>
        </is>
      </c>
      <c r="D557" s="1" t="n">
        <v>45386</v>
      </c>
      <c r="E557" s="1" t="n">
        <v>46220</v>
      </c>
      <c r="F557" t="inlineStr">
        <is>
          <t>JÄMTLANDS LÄN</t>
        </is>
      </c>
      <c r="G557" t="inlineStr">
        <is>
          <t>RAGUNDA</t>
        </is>
      </c>
      <c r="I557" t="n">
        <v>8.6</v>
      </c>
      <c r="J557" t="n">
        <v>0</v>
      </c>
      <c r="K557" t="n">
        <v>0</v>
      </c>
      <c r="L557" t="n">
        <v>0</v>
      </c>
      <c r="M557" t="n">
        <v>0</v>
      </c>
      <c r="N557" t="n">
        <v>0</v>
      </c>
      <c r="O557" t="n">
        <v>0</v>
      </c>
      <c r="P557" t="n">
        <v>0</v>
      </c>
      <c r="Q557" t="n">
        <v>0</v>
      </c>
      <c r="R557" t="n">
        <v>0</v>
      </c>
      <c r="S557" t="n">
        <v>0</v>
      </c>
      <c r="T557" t="n">
        <v>0</v>
      </c>
      <c r="U557" s="2" t="inlineStr"/>
    </row>
    <row r="558" ht="15" customHeight="1">
      <c r="A558" t="inlineStr">
        <is>
          <t>A 60443-2023</t>
        </is>
      </c>
      <c r="B558" t="inlineStr">
        <is>
          <t>avverkningsanmälan</t>
        </is>
      </c>
      <c r="C558" t="inlineStr">
        <is>
          <t>Föryngringsavverkning</t>
        </is>
      </c>
      <c r="D558" s="1" t="n">
        <v>45258</v>
      </c>
      <c r="E558" s="1" t="n">
        <v>46220</v>
      </c>
      <c r="F558" t="inlineStr">
        <is>
          <t>JÄMTLANDS LÄN</t>
        </is>
      </c>
      <c r="G558" t="inlineStr">
        <is>
          <t>RAGUNDA</t>
        </is>
      </c>
      <c r="I558" t="n">
        <v>2.9</v>
      </c>
      <c r="J558" t="n">
        <v>0</v>
      </c>
      <c r="K558" t="n">
        <v>0</v>
      </c>
      <c r="L558" t="n">
        <v>0</v>
      </c>
      <c r="M558" t="n">
        <v>0</v>
      </c>
      <c r="N558" t="n">
        <v>0</v>
      </c>
      <c r="O558" t="n">
        <v>0</v>
      </c>
      <c r="P558" t="n">
        <v>0</v>
      </c>
      <c r="Q558" t="n">
        <v>0</v>
      </c>
      <c r="R558" t="n">
        <v>0</v>
      </c>
      <c r="S558" t="n">
        <v>0</v>
      </c>
      <c r="T558" t="n">
        <v>0</v>
      </c>
      <c r="U558" s="2" t="inlineStr"/>
    </row>
    <row r="559" ht="15" customHeight="1">
      <c r="A559" t="inlineStr">
        <is>
          <t>A 34709-2025</t>
        </is>
      </c>
      <c r="B559" t="inlineStr">
        <is>
          <t>avverkningsanmälan</t>
        </is>
      </c>
      <c r="C559" t="inlineStr">
        <is>
          <t>Föryngringsavverkning</t>
        </is>
      </c>
      <c r="D559" s="1" t="n">
        <v>45848</v>
      </c>
      <c r="E559" s="1" t="n">
        <v>46220</v>
      </c>
      <c r="F559" t="inlineStr">
        <is>
          <t>JÄMTLANDS LÄN</t>
        </is>
      </c>
      <c r="G559" t="inlineStr">
        <is>
          <t>RAGUNDA</t>
        </is>
      </c>
      <c r="I559" t="n">
        <v>3.1</v>
      </c>
      <c r="J559" t="n">
        <v>0</v>
      </c>
      <c r="K559" t="n">
        <v>0</v>
      </c>
      <c r="L559" t="n">
        <v>0</v>
      </c>
      <c r="M559" t="n">
        <v>0</v>
      </c>
      <c r="N559" t="n">
        <v>0</v>
      </c>
      <c r="O559" t="n">
        <v>0</v>
      </c>
      <c r="P559" t="n">
        <v>0</v>
      </c>
      <c r="Q559" t="n">
        <v>0</v>
      </c>
      <c r="R559" t="n">
        <v>0</v>
      </c>
      <c r="S559" t="n">
        <v>0</v>
      </c>
      <c r="T559" t="n">
        <v>0</v>
      </c>
      <c r="U559" s="2" t="inlineStr"/>
    </row>
    <row r="560" ht="15" customHeight="1">
      <c r="A560" t="inlineStr">
        <is>
          <t>A 34772-2025</t>
        </is>
      </c>
      <c r="B560" t="inlineStr">
        <is>
          <t>avverkningsanmälan</t>
        </is>
      </c>
      <c r="C560" t="inlineStr">
        <is>
          <t>Föryngringsavverkning</t>
        </is>
      </c>
      <c r="D560" s="1" t="n">
        <v>45848</v>
      </c>
      <c r="E560" s="1" t="n">
        <v>46220</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34710-2025</t>
        </is>
      </c>
      <c r="B561" t="inlineStr">
        <is>
          <t>avverkningsanmälan</t>
        </is>
      </c>
      <c r="C561" t="inlineStr">
        <is>
          <t>Föryngringsavverkning</t>
        </is>
      </c>
      <c r="D561" s="1" t="n">
        <v>45848</v>
      </c>
      <c r="E561" s="1" t="n">
        <v>46220</v>
      </c>
      <c r="F561" t="inlineStr">
        <is>
          <t>JÄMTLANDS LÄN</t>
        </is>
      </c>
      <c r="G561" t="inlineStr">
        <is>
          <t>RAGUNDA</t>
        </is>
      </c>
      <c r="I561" t="n">
        <v>4.1</v>
      </c>
      <c r="J561" t="n">
        <v>0</v>
      </c>
      <c r="K561" t="n">
        <v>0</v>
      </c>
      <c r="L561" t="n">
        <v>0</v>
      </c>
      <c r="M561" t="n">
        <v>0</v>
      </c>
      <c r="N561" t="n">
        <v>0</v>
      </c>
      <c r="O561" t="n">
        <v>0</v>
      </c>
      <c r="P561" t="n">
        <v>0</v>
      </c>
      <c r="Q561" t="n">
        <v>0</v>
      </c>
      <c r="R561" t="n">
        <v>0</v>
      </c>
      <c r="S561" t="n">
        <v>0</v>
      </c>
      <c r="T561" t="n">
        <v>0</v>
      </c>
      <c r="U561" s="2" t="inlineStr"/>
    </row>
    <row r="562" ht="15" customHeight="1">
      <c r="A562" t="inlineStr">
        <is>
          <t>A 21726-2023</t>
        </is>
      </c>
      <c r="B562" t="inlineStr">
        <is>
          <t>avverkningsanmälan</t>
        </is>
      </c>
      <c r="C562" t="inlineStr">
        <is>
          <t>Avverkning för annat ändamål</t>
        </is>
      </c>
      <c r="D562" s="1" t="n">
        <v>45065</v>
      </c>
      <c r="E562" s="1" t="n">
        <v>46220</v>
      </c>
      <c r="F562" t="inlineStr">
        <is>
          <t>JÄMTLANDS LÄN</t>
        </is>
      </c>
      <c r="G562" t="inlineStr">
        <is>
          <t>RAGUNDA</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34968-2025</t>
        </is>
      </c>
      <c r="B563" t="inlineStr">
        <is>
          <t>avverkningsanmälan</t>
        </is>
      </c>
      <c r="C563" t="inlineStr">
        <is>
          <t>Föryngringsavverkning</t>
        </is>
      </c>
      <c r="D563" s="1" t="n">
        <v>45849</v>
      </c>
      <c r="E563" s="1" t="n">
        <v>46220</v>
      </c>
      <c r="F563" t="inlineStr">
        <is>
          <t>JÄMTLANDS LÄN</t>
        </is>
      </c>
      <c r="G563" t="inlineStr">
        <is>
          <t>RAGUNDA</t>
        </is>
      </c>
      <c r="H563" t="inlineStr">
        <is>
          <t>SCA</t>
        </is>
      </c>
      <c r="I563" t="n">
        <v>20.2</v>
      </c>
      <c r="J563" t="n">
        <v>0</v>
      </c>
      <c r="K563" t="n">
        <v>0</v>
      </c>
      <c r="L563" t="n">
        <v>0</v>
      </c>
      <c r="M563" t="n">
        <v>0</v>
      </c>
      <c r="N563" t="n">
        <v>0</v>
      </c>
      <c r="O563" t="n">
        <v>0</v>
      </c>
      <c r="P563" t="n">
        <v>0</v>
      </c>
      <c r="Q563" t="n">
        <v>0</v>
      </c>
      <c r="R563" t="n">
        <v>0</v>
      </c>
      <c r="S563" t="n">
        <v>0</v>
      </c>
      <c r="T563" t="n">
        <v>0</v>
      </c>
      <c r="U563" s="2" t="inlineStr"/>
    </row>
    <row r="564" ht="15" customHeight="1">
      <c r="A564" t="inlineStr">
        <is>
          <t>A 47075-2025</t>
        </is>
      </c>
      <c r="B564" t="inlineStr">
        <is>
          <t>avverkningsanmälan</t>
        </is>
      </c>
      <c r="C564" t="inlineStr">
        <is>
          <t>Föryngringsavverkning</t>
        </is>
      </c>
      <c r="D564" s="1" t="n">
        <v>45929</v>
      </c>
      <c r="E564" s="1" t="n">
        <v>46220</v>
      </c>
      <c r="F564" t="inlineStr">
        <is>
          <t>JÄMTLANDS LÄN</t>
        </is>
      </c>
      <c r="G564" t="inlineStr">
        <is>
          <t>RAGUNDA</t>
        </is>
      </c>
      <c r="H564" t="inlineStr">
        <is>
          <t>SCA</t>
        </is>
      </c>
      <c r="I564" t="n">
        <v>9.199999999999999</v>
      </c>
      <c r="J564" t="n">
        <v>0</v>
      </c>
      <c r="K564" t="n">
        <v>0</v>
      </c>
      <c r="L564" t="n">
        <v>0</v>
      </c>
      <c r="M564" t="n">
        <v>0</v>
      </c>
      <c r="N564" t="n">
        <v>0</v>
      </c>
      <c r="O564" t="n">
        <v>0</v>
      </c>
      <c r="P564" t="n">
        <v>0</v>
      </c>
      <c r="Q564" t="n">
        <v>0</v>
      </c>
      <c r="R564" t="n">
        <v>0</v>
      </c>
      <c r="S564" t="n">
        <v>0</v>
      </c>
      <c r="T564" t="n">
        <v>0</v>
      </c>
      <c r="U564" s="2" t="inlineStr"/>
    </row>
    <row r="565" ht="15" customHeight="1">
      <c r="A565" t="inlineStr">
        <is>
          <t>A 34998-2025</t>
        </is>
      </c>
      <c r="B565" t="inlineStr">
        <is>
          <t>avverkningsanmälan</t>
        </is>
      </c>
      <c r="C565" t="inlineStr">
        <is>
          <t>Föryngringsavverkning</t>
        </is>
      </c>
      <c r="D565" s="1" t="n">
        <v>45850</v>
      </c>
      <c r="E565" s="1" t="n">
        <v>46220</v>
      </c>
      <c r="F565" t="inlineStr">
        <is>
          <t>JÄMTLANDS LÄN</t>
        </is>
      </c>
      <c r="G565" t="inlineStr">
        <is>
          <t>RAGUNDA</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45952-2023</t>
        </is>
      </c>
      <c r="B566" t="inlineStr">
        <is>
          <t>avverkningsanmälan</t>
        </is>
      </c>
      <c r="C566" t="inlineStr">
        <is>
          <t>Föryngringsavverkning</t>
        </is>
      </c>
      <c r="D566" s="1" t="n">
        <v>45195</v>
      </c>
      <c r="E566" s="1" t="n">
        <v>46220</v>
      </c>
      <c r="F566" t="inlineStr">
        <is>
          <t>JÄMTLANDS LÄN</t>
        </is>
      </c>
      <c r="G566" t="inlineStr">
        <is>
          <t>RAGUNDA</t>
        </is>
      </c>
      <c r="H566" t="inlineStr">
        <is>
          <t>SCA</t>
        </is>
      </c>
      <c r="I566" t="n">
        <v>2.8</v>
      </c>
      <c r="J566" t="n">
        <v>0</v>
      </c>
      <c r="K566" t="n">
        <v>0</v>
      </c>
      <c r="L566" t="n">
        <v>0</v>
      </c>
      <c r="M566" t="n">
        <v>0</v>
      </c>
      <c r="N566" t="n">
        <v>0</v>
      </c>
      <c r="O566" t="n">
        <v>0</v>
      </c>
      <c r="P566" t="n">
        <v>0</v>
      </c>
      <c r="Q566" t="n">
        <v>0</v>
      </c>
      <c r="R566" t="n">
        <v>0</v>
      </c>
      <c r="S566" t="n">
        <v>0</v>
      </c>
      <c r="T566" t="n">
        <v>0</v>
      </c>
      <c r="U566" s="2" t="inlineStr"/>
    </row>
    <row r="567" ht="15" customHeight="1">
      <c r="A567" t="inlineStr">
        <is>
          <t>A 45954-2023</t>
        </is>
      </c>
      <c r="B567" t="inlineStr">
        <is>
          <t>avverkningsanmälan</t>
        </is>
      </c>
      <c r="C567" t="inlineStr">
        <is>
          <t>Avverkning för att bevara och utveckla /försöksver</t>
        </is>
      </c>
      <c r="D567" s="1" t="n">
        <v>45195</v>
      </c>
      <c r="E567" s="1" t="n">
        <v>46220</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45955-2023</t>
        </is>
      </c>
      <c r="B568" t="inlineStr">
        <is>
          <t>avverkningsanmälan</t>
        </is>
      </c>
      <c r="C568" t="inlineStr">
        <is>
          <t>Avverkning för att bevara och utveckla /försöksver</t>
        </is>
      </c>
      <c r="D568" s="1" t="n">
        <v>45195</v>
      </c>
      <c r="E568" s="1" t="n">
        <v>46220</v>
      </c>
      <c r="F568" t="inlineStr">
        <is>
          <t>JÄMTLANDS LÄN</t>
        </is>
      </c>
      <c r="G568" t="inlineStr">
        <is>
          <t>RAGUNDA</t>
        </is>
      </c>
      <c r="H568" t="inlineStr">
        <is>
          <t>SCA</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34999-2025</t>
        </is>
      </c>
      <c r="B569" t="inlineStr">
        <is>
          <t>avverkningsanmälan</t>
        </is>
      </c>
      <c r="C569" t="inlineStr">
        <is>
          <t>Föryngringsavverkning</t>
        </is>
      </c>
      <c r="D569" s="1" t="n">
        <v>45850</v>
      </c>
      <c r="E569" s="1" t="n">
        <v>46220</v>
      </c>
      <c r="F569" t="inlineStr">
        <is>
          <t>JÄMTLANDS LÄN</t>
        </is>
      </c>
      <c r="G569" t="inlineStr">
        <is>
          <t>RAGUNDA</t>
        </is>
      </c>
      <c r="H569" t="inlineStr">
        <is>
          <t>SCA</t>
        </is>
      </c>
      <c r="I569" t="n">
        <v>2.9</v>
      </c>
      <c r="J569" t="n">
        <v>0</v>
      </c>
      <c r="K569" t="n">
        <v>0</v>
      </c>
      <c r="L569" t="n">
        <v>0</v>
      </c>
      <c r="M569" t="n">
        <v>0</v>
      </c>
      <c r="N569" t="n">
        <v>0</v>
      </c>
      <c r="O569" t="n">
        <v>0</v>
      </c>
      <c r="P569" t="n">
        <v>0</v>
      </c>
      <c r="Q569" t="n">
        <v>0</v>
      </c>
      <c r="R569" t="n">
        <v>0</v>
      </c>
      <c r="S569" t="n">
        <v>0</v>
      </c>
      <c r="T569" t="n">
        <v>0</v>
      </c>
      <c r="U569" s="2" t="inlineStr"/>
    </row>
    <row r="570" ht="15" customHeight="1">
      <c r="A570" t="inlineStr">
        <is>
          <t>A 47119-2025</t>
        </is>
      </c>
      <c r="B570" t="inlineStr">
        <is>
          <t>avverkningsanmälan</t>
        </is>
      </c>
      <c r="C570" t="inlineStr">
        <is>
          <t>Föryngringsavverkning</t>
        </is>
      </c>
      <c r="D570" s="1" t="n">
        <v>45929</v>
      </c>
      <c r="E570" s="1" t="n">
        <v>46220</v>
      </c>
      <c r="F570" t="inlineStr">
        <is>
          <t>JÄMTLANDS LÄN</t>
        </is>
      </c>
      <c r="G570" t="inlineStr">
        <is>
          <t>RAGUNDA</t>
        </is>
      </c>
      <c r="H570" t="inlineStr">
        <is>
          <t>SCA</t>
        </is>
      </c>
      <c r="I570" t="n">
        <v>22.7</v>
      </c>
      <c r="J570" t="n">
        <v>0</v>
      </c>
      <c r="K570" t="n">
        <v>0</v>
      </c>
      <c r="L570" t="n">
        <v>0</v>
      </c>
      <c r="M570" t="n">
        <v>0</v>
      </c>
      <c r="N570" t="n">
        <v>0</v>
      </c>
      <c r="O570" t="n">
        <v>0</v>
      </c>
      <c r="P570" t="n">
        <v>0</v>
      </c>
      <c r="Q570" t="n">
        <v>0</v>
      </c>
      <c r="R570" t="n">
        <v>0</v>
      </c>
      <c r="S570" t="n">
        <v>0</v>
      </c>
      <c r="T570" t="n">
        <v>0</v>
      </c>
      <c r="U570" s="2" t="inlineStr"/>
    </row>
    <row r="571" ht="15" customHeight="1">
      <c r="A571" t="inlineStr">
        <is>
          <t>A 35092-2025</t>
        </is>
      </c>
      <c r="B571" t="inlineStr">
        <is>
          <t>avverkningsanmälan</t>
        </is>
      </c>
      <c r="C571" t="inlineStr">
        <is>
          <t>Föryngringsavverkning</t>
        </is>
      </c>
      <c r="D571" s="1" t="n">
        <v>45852</v>
      </c>
      <c r="E571" s="1" t="n">
        <v>46220</v>
      </c>
      <c r="F571" t="inlineStr">
        <is>
          <t>JÄMTLANDS LÄN</t>
        </is>
      </c>
      <c r="G571" t="inlineStr">
        <is>
          <t>RAGUNDA</t>
        </is>
      </c>
      <c r="H571" t="inlineStr">
        <is>
          <t>SCA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46689-2025</t>
        </is>
      </c>
      <c r="B572" t="inlineStr">
        <is>
          <t>avverkningsanmälan</t>
        </is>
      </c>
      <c r="C572" t="inlineStr">
        <is>
          <t>Föryngringsavverkning</t>
        </is>
      </c>
      <c r="D572" s="1" t="n">
        <v>45926</v>
      </c>
      <c r="E572" s="1" t="n">
        <v>46220</v>
      </c>
      <c r="F572" t="inlineStr">
        <is>
          <t>JÄMTLANDS LÄN</t>
        </is>
      </c>
      <c r="G572" t="inlineStr">
        <is>
          <t>RAGUNDA</t>
        </is>
      </c>
      <c r="H572" t="inlineStr">
        <is>
          <t>SCA</t>
        </is>
      </c>
      <c r="I572" t="n">
        <v>8</v>
      </c>
      <c r="J572" t="n">
        <v>0</v>
      </c>
      <c r="K572" t="n">
        <v>0</v>
      </c>
      <c r="L572" t="n">
        <v>0</v>
      </c>
      <c r="M572" t="n">
        <v>0</v>
      </c>
      <c r="N572" t="n">
        <v>0</v>
      </c>
      <c r="O572" t="n">
        <v>0</v>
      </c>
      <c r="P572" t="n">
        <v>0</v>
      </c>
      <c r="Q572" t="n">
        <v>0</v>
      </c>
      <c r="R572" t="n">
        <v>0</v>
      </c>
      <c r="S572" t="n">
        <v>0</v>
      </c>
      <c r="T572" t="n">
        <v>0</v>
      </c>
      <c r="U572" s="2" t="inlineStr"/>
    </row>
    <row r="573" ht="15" customHeight="1">
      <c r="A573" t="inlineStr">
        <is>
          <t>A 35091-2025</t>
        </is>
      </c>
      <c r="B573" t="inlineStr">
        <is>
          <t>avverkningsanmälan</t>
        </is>
      </c>
      <c r="C573" t="inlineStr">
        <is>
          <t>Föryngringsavverkning</t>
        </is>
      </c>
      <c r="D573" s="1" t="n">
        <v>45852</v>
      </c>
      <c r="E573" s="1" t="n">
        <v>46220</v>
      </c>
      <c r="F573" t="inlineStr">
        <is>
          <t>JÄMTLANDS LÄN</t>
        </is>
      </c>
      <c r="G573" t="inlineStr">
        <is>
          <t>RAGUNDA</t>
        </is>
      </c>
      <c r="H573" t="inlineStr">
        <is>
          <t>SCA</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16334-2025</t>
        </is>
      </c>
      <c r="B574" t="inlineStr">
        <is>
          <t>avverkningsanmälan</t>
        </is>
      </c>
      <c r="C574" t="inlineStr">
        <is>
          <t>Föryngringsavverkning</t>
        </is>
      </c>
      <c r="D574" s="1" t="n">
        <v>45751</v>
      </c>
      <c r="E574" s="1" t="n">
        <v>46220</v>
      </c>
      <c r="F574" t="inlineStr">
        <is>
          <t>JÄMTLANDS LÄN</t>
        </is>
      </c>
      <c r="G574" t="inlineStr">
        <is>
          <t>RAGUNDA</t>
        </is>
      </c>
      <c r="H574" t="inlineStr">
        <is>
          <t>SCA</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58438-2022</t>
        </is>
      </c>
      <c r="B575" t="inlineStr">
        <is>
          <t>avverkningsanmälan</t>
        </is>
      </c>
      <c r="C575" t="inlineStr">
        <is>
          <t>Föryngringsavverkning</t>
        </is>
      </c>
      <c r="D575" s="1" t="n">
        <v>44901</v>
      </c>
      <c r="E575" s="1" t="n">
        <v>46220</v>
      </c>
      <c r="F575" t="inlineStr">
        <is>
          <t>JÄMTLANDS LÄN</t>
        </is>
      </c>
      <c r="G575" t="inlineStr">
        <is>
          <t>RAGUNDA</t>
        </is>
      </c>
      <c r="H575" t="inlineStr">
        <is>
          <t>SCA</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58442-2022</t>
        </is>
      </c>
      <c r="B576" t="inlineStr">
        <is>
          <t>avverkningsanmälan</t>
        </is>
      </c>
      <c r="C576" t="inlineStr">
        <is>
          <t>Föryngringsavverkning</t>
        </is>
      </c>
      <c r="D576" s="1" t="n">
        <v>44901</v>
      </c>
      <c r="E576" s="1" t="n">
        <v>46220</v>
      </c>
      <c r="F576" t="inlineStr">
        <is>
          <t>JÄMTLANDS LÄN</t>
        </is>
      </c>
      <c r="G576" t="inlineStr">
        <is>
          <t>RAGUNDA</t>
        </is>
      </c>
      <c r="H576" t="inlineStr">
        <is>
          <t>SCA</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46751-2025</t>
        </is>
      </c>
      <c r="B577" t="inlineStr">
        <is>
          <t>avverkningsanmälan</t>
        </is>
      </c>
      <c r="C577" t="inlineStr">
        <is>
          <t>Föryngringsavverkning</t>
        </is>
      </c>
      <c r="D577" s="1" t="n">
        <v>45926</v>
      </c>
      <c r="E577" s="1" t="n">
        <v>46220</v>
      </c>
      <c r="F577" t="inlineStr">
        <is>
          <t>JÄMTLANDS LÄN</t>
        </is>
      </c>
      <c r="G577" t="inlineStr">
        <is>
          <t>RAGUNDA</t>
        </is>
      </c>
      <c r="H577" t="inlineStr">
        <is>
          <t>SCA</t>
        </is>
      </c>
      <c r="I577" t="n">
        <v>7.8</v>
      </c>
      <c r="J577" t="n">
        <v>0</v>
      </c>
      <c r="K577" t="n">
        <v>0</v>
      </c>
      <c r="L577" t="n">
        <v>0</v>
      </c>
      <c r="M577" t="n">
        <v>0</v>
      </c>
      <c r="N577" t="n">
        <v>0</v>
      </c>
      <c r="O577" t="n">
        <v>0</v>
      </c>
      <c r="P577" t="n">
        <v>0</v>
      </c>
      <c r="Q577" t="n">
        <v>0</v>
      </c>
      <c r="R577" t="n">
        <v>0</v>
      </c>
      <c r="S577" t="n">
        <v>0</v>
      </c>
      <c r="T577" t="n">
        <v>0</v>
      </c>
      <c r="U577" s="2" t="inlineStr"/>
    </row>
    <row r="578" ht="15" customHeight="1">
      <c r="A578" t="inlineStr">
        <is>
          <t>A 35462-2025</t>
        </is>
      </c>
      <c r="B578" t="inlineStr">
        <is>
          <t>avverkningsanmälan</t>
        </is>
      </c>
      <c r="C578" t="inlineStr">
        <is>
          <t>Föryngringsavverkning</t>
        </is>
      </c>
      <c r="D578" s="1" t="n">
        <v>45855</v>
      </c>
      <c r="E578" s="1" t="n">
        <v>46220</v>
      </c>
      <c r="F578" t="inlineStr">
        <is>
          <t>JÄMTLANDS LÄN</t>
        </is>
      </c>
      <c r="G578" t="inlineStr">
        <is>
          <t>RAGUNDA</t>
        </is>
      </c>
      <c r="H578" t="inlineStr">
        <is>
          <t>SCA</t>
        </is>
      </c>
      <c r="I578" t="n">
        <v>5.7</v>
      </c>
      <c r="J578" t="n">
        <v>0</v>
      </c>
      <c r="K578" t="n">
        <v>0</v>
      </c>
      <c r="L578" t="n">
        <v>0</v>
      </c>
      <c r="M578" t="n">
        <v>0</v>
      </c>
      <c r="N578" t="n">
        <v>0</v>
      </c>
      <c r="O578" t="n">
        <v>0</v>
      </c>
      <c r="P578" t="n">
        <v>0</v>
      </c>
      <c r="Q578" t="n">
        <v>0</v>
      </c>
      <c r="R578" t="n">
        <v>0</v>
      </c>
      <c r="S578" t="n">
        <v>0</v>
      </c>
      <c r="T578" t="n">
        <v>0</v>
      </c>
      <c r="U578" s="2" t="inlineStr"/>
    </row>
    <row r="579" ht="15" customHeight="1">
      <c r="A579" t="inlineStr">
        <is>
          <t>A 35355-2025</t>
        </is>
      </c>
      <c r="B579" t="inlineStr">
        <is>
          <t>avverkningsanmälan</t>
        </is>
      </c>
      <c r="C579" t="inlineStr">
        <is>
          <t>Föryngringsavverkning</t>
        </is>
      </c>
      <c r="D579" s="1" t="n">
        <v>45854</v>
      </c>
      <c r="E579" s="1" t="n">
        <v>46220</v>
      </c>
      <c r="F579" t="inlineStr">
        <is>
          <t>JÄMTLANDS LÄN</t>
        </is>
      </c>
      <c r="G579" t="inlineStr">
        <is>
          <t>RAGUNDA</t>
        </is>
      </c>
      <c r="H579" t="inlineStr">
        <is>
          <t>SCA</t>
        </is>
      </c>
      <c r="I579" t="n">
        <v>4</v>
      </c>
      <c r="J579" t="n">
        <v>0</v>
      </c>
      <c r="K579" t="n">
        <v>0</v>
      </c>
      <c r="L579" t="n">
        <v>0</v>
      </c>
      <c r="M579" t="n">
        <v>0</v>
      </c>
      <c r="N579" t="n">
        <v>0</v>
      </c>
      <c r="O579" t="n">
        <v>0</v>
      </c>
      <c r="P579" t="n">
        <v>0</v>
      </c>
      <c r="Q579" t="n">
        <v>0</v>
      </c>
      <c r="R579" t="n">
        <v>0</v>
      </c>
      <c r="S579" t="n">
        <v>0</v>
      </c>
      <c r="T579" t="n">
        <v>0</v>
      </c>
      <c r="U579" s="2" t="inlineStr"/>
    </row>
    <row r="580" ht="15" customHeight="1">
      <c r="A580" t="inlineStr">
        <is>
          <t>A 47037-2025</t>
        </is>
      </c>
      <c r="B580" t="inlineStr">
        <is>
          <t>avverkningsanmälan</t>
        </is>
      </c>
      <c r="C580" t="inlineStr">
        <is>
          <t>Föryngringsavverkning</t>
        </is>
      </c>
      <c r="D580" s="1" t="n">
        <v>45929</v>
      </c>
      <c r="E580" s="1" t="n">
        <v>46220</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41179-2022</t>
        </is>
      </c>
      <c r="B581" t="inlineStr">
        <is>
          <t>avverkningsanmälan</t>
        </is>
      </c>
      <c r="C581" t="inlineStr">
        <is>
          <t>Föryngringsavverkning</t>
        </is>
      </c>
      <c r="D581" s="1" t="n">
        <v>44825</v>
      </c>
      <c r="E581" s="1" t="n">
        <v>46220</v>
      </c>
      <c r="F581" t="inlineStr">
        <is>
          <t>JÄMTLANDS LÄN</t>
        </is>
      </c>
      <c r="G581" t="inlineStr">
        <is>
          <t>RAGUNDA</t>
        </is>
      </c>
      <c r="H581" t="inlineStr">
        <is>
          <t>SCA</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35477-2025</t>
        </is>
      </c>
      <c r="B582" t="inlineStr">
        <is>
          <t>avverkningsanmälan</t>
        </is>
      </c>
      <c r="C582" t="inlineStr">
        <is>
          <t>Föryngringsavverkning</t>
        </is>
      </c>
      <c r="D582" s="1" t="n">
        <v>45855</v>
      </c>
      <c r="E582" s="1" t="n">
        <v>46220</v>
      </c>
      <c r="F582" t="inlineStr">
        <is>
          <t>JÄMTLANDS LÄN</t>
        </is>
      </c>
      <c r="G582" t="inlineStr">
        <is>
          <t>RAGUNDA</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35541-2025</t>
        </is>
      </c>
      <c r="B583" t="inlineStr">
        <is>
          <t>avverkningsanmälan</t>
        </is>
      </c>
      <c r="C583" t="inlineStr">
        <is>
          <t>Föryngringsavverkning</t>
        </is>
      </c>
      <c r="D583" s="1" t="n">
        <v>45856</v>
      </c>
      <c r="E583" s="1" t="n">
        <v>46220</v>
      </c>
      <c r="F583" t="inlineStr">
        <is>
          <t>JÄMTLANDS LÄN</t>
        </is>
      </c>
      <c r="G583" t="inlineStr">
        <is>
          <t>RAGUNDA</t>
        </is>
      </c>
      <c r="H583" t="inlineStr">
        <is>
          <t>SCA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19438-2023</t>
        </is>
      </c>
      <c r="B584" t="inlineStr">
        <is>
          <t>avverkningsanmälan</t>
        </is>
      </c>
      <c r="C584" t="inlineStr">
        <is>
          <t>Föryngringsavverkning</t>
        </is>
      </c>
      <c r="D584" s="1" t="n">
        <v>45049</v>
      </c>
      <c r="E584" s="1" t="n">
        <v>46220</v>
      </c>
      <c r="F584" t="inlineStr">
        <is>
          <t>JÄMTLANDS LÄN</t>
        </is>
      </c>
      <c r="G584" t="inlineStr">
        <is>
          <t>RAGUNDA</t>
        </is>
      </c>
      <c r="H584" t="inlineStr">
        <is>
          <t>SCA</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35658-2025</t>
        </is>
      </c>
      <c r="B585" t="inlineStr">
        <is>
          <t>avverkningsanmälan</t>
        </is>
      </c>
      <c r="C585" t="inlineStr">
        <is>
          <t>Föryngringsavverkning</t>
        </is>
      </c>
      <c r="D585" s="1" t="n">
        <v>45859</v>
      </c>
      <c r="E585" s="1" t="n">
        <v>46220</v>
      </c>
      <c r="F585" t="inlineStr">
        <is>
          <t>JÄMTLANDS LÄN</t>
        </is>
      </c>
      <c r="G585" t="inlineStr">
        <is>
          <t>RAGUNDA</t>
        </is>
      </c>
      <c r="H585" t="inlineStr">
        <is>
          <t>SCA</t>
        </is>
      </c>
      <c r="I585" t="n">
        <v>6</v>
      </c>
      <c r="J585" t="n">
        <v>0</v>
      </c>
      <c r="K585" t="n">
        <v>0</v>
      </c>
      <c r="L585" t="n">
        <v>0</v>
      </c>
      <c r="M585" t="n">
        <v>0</v>
      </c>
      <c r="N585" t="n">
        <v>0</v>
      </c>
      <c r="O585" t="n">
        <v>0</v>
      </c>
      <c r="P585" t="n">
        <v>0</v>
      </c>
      <c r="Q585" t="n">
        <v>0</v>
      </c>
      <c r="R585" t="n">
        <v>0</v>
      </c>
      <c r="S585" t="n">
        <v>0</v>
      </c>
      <c r="T585" t="n">
        <v>0</v>
      </c>
      <c r="U585" s="2" t="inlineStr"/>
    </row>
    <row r="586" ht="15" customHeight="1">
      <c r="A586" t="inlineStr">
        <is>
          <t>A 47229-2025</t>
        </is>
      </c>
      <c r="B586" t="inlineStr">
        <is>
          <t>avverkningsanmälan</t>
        </is>
      </c>
      <c r="C586" t="inlineStr">
        <is>
          <t>Föryngringsavverkning</t>
        </is>
      </c>
      <c r="D586" s="1" t="n">
        <v>45930</v>
      </c>
      <c r="E586" s="1" t="n">
        <v>46220</v>
      </c>
      <c r="F586" t="inlineStr">
        <is>
          <t>JÄMTLANDS LÄN</t>
        </is>
      </c>
      <c r="G586" t="inlineStr">
        <is>
          <t>RAGUNDA</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17667-2025</t>
        </is>
      </c>
      <c r="B587" t="inlineStr">
        <is>
          <t>avverkningsanmälan</t>
        </is>
      </c>
      <c r="C587" t="inlineStr">
        <is>
          <t>Föryngringsavverkning</t>
        </is>
      </c>
      <c r="D587" s="1" t="n">
        <v>45758</v>
      </c>
      <c r="E587" s="1" t="n">
        <v>46220</v>
      </c>
      <c r="F587" t="inlineStr">
        <is>
          <t>JÄMTLANDS LÄN</t>
        </is>
      </c>
      <c r="G587" t="inlineStr">
        <is>
          <t>RAGUNDA</t>
        </is>
      </c>
      <c r="H587" t="inlineStr">
        <is>
          <t>SCA</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12405-2025</t>
        </is>
      </c>
      <c r="B588" t="inlineStr">
        <is>
          <t>avverkningsanmälan</t>
        </is>
      </c>
      <c r="C588" t="inlineStr">
        <is>
          <t>Föryngringsavverkning</t>
        </is>
      </c>
      <c r="D588" s="1" t="n">
        <v>45730</v>
      </c>
      <c r="E588" s="1" t="n">
        <v>46220</v>
      </c>
      <c r="F588" t="inlineStr">
        <is>
          <t>JÄMTLANDS LÄN</t>
        </is>
      </c>
      <c r="G588" t="inlineStr">
        <is>
          <t>RAGUNDA</t>
        </is>
      </c>
      <c r="H588" t="inlineStr">
        <is>
          <t>SCA</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54092-2024</t>
        </is>
      </c>
      <c r="B589" t="inlineStr">
        <is>
          <t>avverkningsanmälan</t>
        </is>
      </c>
      <c r="C589" t="inlineStr">
        <is>
          <t>Föryngringsavverkning</t>
        </is>
      </c>
      <c r="D589" s="1" t="n">
        <v>45616</v>
      </c>
      <c r="E589" s="1" t="n">
        <v>46220</v>
      </c>
      <c r="F589" t="inlineStr">
        <is>
          <t>JÄMTLANDS LÄN</t>
        </is>
      </c>
      <c r="G589" t="inlineStr">
        <is>
          <t>RAGUNDA</t>
        </is>
      </c>
      <c r="H589" t="inlineStr">
        <is>
          <t>Naturvårdsverket</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36986-2023</t>
        </is>
      </c>
      <c r="B590" t="inlineStr">
        <is>
          <t>avverkningsanmälan</t>
        </is>
      </c>
      <c r="C590" t="inlineStr">
        <is>
          <t>Föryngringsavverkning</t>
        </is>
      </c>
      <c r="D590" s="1" t="n">
        <v>45154</v>
      </c>
      <c r="E590" s="1" t="n">
        <v>46220</v>
      </c>
      <c r="F590" t="inlineStr">
        <is>
          <t>JÄMTLANDS LÄN</t>
        </is>
      </c>
      <c r="G590" t="inlineStr">
        <is>
          <t>RAGUNDA</t>
        </is>
      </c>
      <c r="H590" t="inlineStr">
        <is>
          <t>SCA</t>
        </is>
      </c>
      <c r="I590" t="n">
        <v>0.2</v>
      </c>
      <c r="J590" t="n">
        <v>0</v>
      </c>
      <c r="K590" t="n">
        <v>0</v>
      </c>
      <c r="L590" t="n">
        <v>0</v>
      </c>
      <c r="M590" t="n">
        <v>0</v>
      </c>
      <c r="N590" t="n">
        <v>0</v>
      </c>
      <c r="O590" t="n">
        <v>0</v>
      </c>
      <c r="P590" t="n">
        <v>0</v>
      </c>
      <c r="Q590" t="n">
        <v>0</v>
      </c>
      <c r="R590" t="n">
        <v>0</v>
      </c>
      <c r="S590" t="n">
        <v>0</v>
      </c>
      <c r="T590" t="n">
        <v>0</v>
      </c>
      <c r="U590" s="2" t="inlineStr"/>
    </row>
    <row r="591" ht="15" customHeight="1">
      <c r="A591" t="inlineStr">
        <is>
          <t>A 48748-2025</t>
        </is>
      </c>
      <c r="B591" t="inlineStr">
        <is>
          <t>avverkningsanmälan</t>
        </is>
      </c>
      <c r="C591" t="inlineStr">
        <is>
          <t>Föryngringsavverkning</t>
        </is>
      </c>
      <c r="D591" s="1" t="n">
        <v>45936</v>
      </c>
      <c r="E591" s="1" t="n">
        <v>46220</v>
      </c>
      <c r="F591" t="inlineStr">
        <is>
          <t>JÄMTLANDS LÄN</t>
        </is>
      </c>
      <c r="G591" t="inlineStr">
        <is>
          <t>RAGUNDA</t>
        </is>
      </c>
      <c r="H591" t="inlineStr">
        <is>
          <t>SCA</t>
        </is>
      </c>
      <c r="I591" t="n">
        <v>11.1</v>
      </c>
      <c r="J591" t="n">
        <v>0</v>
      </c>
      <c r="K591" t="n">
        <v>0</v>
      </c>
      <c r="L591" t="n">
        <v>0</v>
      </c>
      <c r="M591" t="n">
        <v>0</v>
      </c>
      <c r="N591" t="n">
        <v>0</v>
      </c>
      <c r="O591" t="n">
        <v>0</v>
      </c>
      <c r="P591" t="n">
        <v>0</v>
      </c>
      <c r="Q591" t="n">
        <v>0</v>
      </c>
      <c r="R591" t="n">
        <v>0</v>
      </c>
      <c r="S591" t="n">
        <v>0</v>
      </c>
      <c r="T591" t="n">
        <v>0</v>
      </c>
      <c r="U591" s="2" t="inlineStr"/>
    </row>
    <row r="592" ht="15" customHeight="1">
      <c r="A592" t="inlineStr">
        <is>
          <t>A 36541-2025</t>
        </is>
      </c>
      <c r="B592" t="inlineStr">
        <is>
          <t>avverkningsanmälan</t>
        </is>
      </c>
      <c r="C592" t="inlineStr">
        <is>
          <t>Föryngringsavverkning</t>
        </is>
      </c>
      <c r="D592" s="1" t="n">
        <v>45869</v>
      </c>
      <c r="E592" s="1" t="n">
        <v>46220</v>
      </c>
      <c r="F592" t="inlineStr">
        <is>
          <t>JÄMTLANDS LÄN</t>
        </is>
      </c>
      <c r="G592" t="inlineStr">
        <is>
          <t>RAGUNDA</t>
        </is>
      </c>
      <c r="H592" t="inlineStr">
        <is>
          <t>SCA</t>
        </is>
      </c>
      <c r="I592" t="n">
        <v>1.6</v>
      </c>
      <c r="J592" t="n">
        <v>0</v>
      </c>
      <c r="K592" t="n">
        <v>0</v>
      </c>
      <c r="L592" t="n">
        <v>0</v>
      </c>
      <c r="M592" t="n">
        <v>0</v>
      </c>
      <c r="N592" t="n">
        <v>0</v>
      </c>
      <c r="O592" t="n">
        <v>0</v>
      </c>
      <c r="P592" t="n">
        <v>0</v>
      </c>
      <c r="Q592" t="n">
        <v>0</v>
      </c>
      <c r="R592" t="n">
        <v>0</v>
      </c>
      <c r="S592" t="n">
        <v>0</v>
      </c>
      <c r="T592" t="n">
        <v>0</v>
      </c>
      <c r="U592" s="2" t="inlineStr"/>
    </row>
    <row r="593" ht="15" customHeight="1">
      <c r="A593" t="inlineStr">
        <is>
          <t>A 36544-2025</t>
        </is>
      </c>
      <c r="B593" t="inlineStr">
        <is>
          <t>avverkningsanmälan</t>
        </is>
      </c>
      <c r="C593" t="inlineStr">
        <is>
          <t>Föryngringsavverkning</t>
        </is>
      </c>
      <c r="D593" s="1" t="n">
        <v>45869</v>
      </c>
      <c r="E593" s="1" t="n">
        <v>46220</v>
      </c>
      <c r="F593" t="inlineStr">
        <is>
          <t>JÄMTLANDS LÄN</t>
        </is>
      </c>
      <c r="G593" t="inlineStr">
        <is>
          <t>RAGUNDA</t>
        </is>
      </c>
      <c r="H593" t="inlineStr">
        <is>
          <t>SCA</t>
        </is>
      </c>
      <c r="I593" t="n">
        <v>6.1</v>
      </c>
      <c r="J593" t="n">
        <v>0</v>
      </c>
      <c r="K593" t="n">
        <v>0</v>
      </c>
      <c r="L593" t="n">
        <v>0</v>
      </c>
      <c r="M593" t="n">
        <v>0</v>
      </c>
      <c r="N593" t="n">
        <v>0</v>
      </c>
      <c r="O593" t="n">
        <v>0</v>
      </c>
      <c r="P593" t="n">
        <v>0</v>
      </c>
      <c r="Q593" t="n">
        <v>0</v>
      </c>
      <c r="R593" t="n">
        <v>0</v>
      </c>
      <c r="S593" t="n">
        <v>0</v>
      </c>
      <c r="T593" t="n">
        <v>0</v>
      </c>
      <c r="U593" s="2" t="inlineStr"/>
    </row>
    <row r="594" ht="15" customHeight="1">
      <c r="A594" t="inlineStr">
        <is>
          <t>A 48528-2025</t>
        </is>
      </c>
      <c r="B594" t="inlineStr">
        <is>
          <t>avverkningsanmälan</t>
        </is>
      </c>
      <c r="C594" t="inlineStr">
        <is>
          <t>Föryngringsavverkning</t>
        </is>
      </c>
      <c r="D594" s="1" t="n">
        <v>45936</v>
      </c>
      <c r="E594" s="1" t="n">
        <v>46220</v>
      </c>
      <c r="F594" t="inlineStr">
        <is>
          <t>JÄMTLANDS LÄN</t>
        </is>
      </c>
      <c r="G594" t="inlineStr">
        <is>
          <t>RAGUNDA</t>
        </is>
      </c>
      <c r="H594" t="inlineStr">
        <is>
          <t>SCA</t>
        </is>
      </c>
      <c r="I594" t="n">
        <v>6.8</v>
      </c>
      <c r="J594" t="n">
        <v>0</v>
      </c>
      <c r="K594" t="n">
        <v>0</v>
      </c>
      <c r="L594" t="n">
        <v>0</v>
      </c>
      <c r="M594" t="n">
        <v>0</v>
      </c>
      <c r="N594" t="n">
        <v>0</v>
      </c>
      <c r="O594" t="n">
        <v>0</v>
      </c>
      <c r="P594" t="n">
        <v>0</v>
      </c>
      <c r="Q594" t="n">
        <v>0</v>
      </c>
      <c r="R594" t="n">
        <v>0</v>
      </c>
      <c r="S594" t="n">
        <v>0</v>
      </c>
      <c r="T594" t="n">
        <v>0</v>
      </c>
      <c r="U594" s="2" t="inlineStr"/>
    </row>
    <row r="595" ht="15" customHeight="1">
      <c r="A595" t="inlineStr">
        <is>
          <t>A 48742-2025</t>
        </is>
      </c>
      <c r="B595" t="inlineStr">
        <is>
          <t>avverkningsanmälan</t>
        </is>
      </c>
      <c r="C595" t="inlineStr">
        <is>
          <t>Föryngringsavverkning</t>
        </is>
      </c>
      <c r="D595" s="1" t="n">
        <v>45936</v>
      </c>
      <c r="E595" s="1" t="n">
        <v>46220</v>
      </c>
      <c r="F595" t="inlineStr">
        <is>
          <t>JÄMTLANDS LÄN</t>
        </is>
      </c>
      <c r="G595" t="inlineStr">
        <is>
          <t>RAGUNDA</t>
        </is>
      </c>
      <c r="H595" t="inlineStr">
        <is>
          <t>SCA</t>
        </is>
      </c>
      <c r="I595" t="n">
        <v>8.9</v>
      </c>
      <c r="J595" t="n">
        <v>0</v>
      </c>
      <c r="K595" t="n">
        <v>0</v>
      </c>
      <c r="L595" t="n">
        <v>0</v>
      </c>
      <c r="M595" t="n">
        <v>0</v>
      </c>
      <c r="N595" t="n">
        <v>0</v>
      </c>
      <c r="O595" t="n">
        <v>0</v>
      </c>
      <c r="P595" t="n">
        <v>0</v>
      </c>
      <c r="Q595" t="n">
        <v>0</v>
      </c>
      <c r="R595" t="n">
        <v>0</v>
      </c>
      <c r="S595" t="n">
        <v>0</v>
      </c>
      <c r="T595" t="n">
        <v>0</v>
      </c>
      <c r="U595" s="2" t="inlineStr"/>
    </row>
    <row r="596" ht="15" customHeight="1">
      <c r="A596" t="inlineStr">
        <is>
          <t>A 36553-2025</t>
        </is>
      </c>
      <c r="B596" t="inlineStr">
        <is>
          <t>avverkningsanmälan</t>
        </is>
      </c>
      <c r="C596" t="inlineStr">
        <is>
          <t>Föryngringsavverkning</t>
        </is>
      </c>
      <c r="D596" s="1" t="n">
        <v>45870</v>
      </c>
      <c r="E596" s="1" t="n">
        <v>46220</v>
      </c>
      <c r="F596" t="inlineStr">
        <is>
          <t>JÄMTLANDS LÄN</t>
        </is>
      </c>
      <c r="G596" t="inlineStr">
        <is>
          <t>RAGUNDA</t>
        </is>
      </c>
      <c r="H596" t="inlineStr">
        <is>
          <t>SCA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48746-2025</t>
        </is>
      </c>
      <c r="B597" t="inlineStr">
        <is>
          <t>avverkningsanmälan</t>
        </is>
      </c>
      <c r="C597" t="inlineStr">
        <is>
          <t>Föryngringsavverkning</t>
        </is>
      </c>
      <c r="D597" s="1" t="n">
        <v>45936</v>
      </c>
      <c r="E597" s="1" t="n">
        <v>46220</v>
      </c>
      <c r="F597" t="inlineStr">
        <is>
          <t>JÄMTLANDS LÄN</t>
        </is>
      </c>
      <c r="G597" t="inlineStr">
        <is>
          <t>RAGUNDA</t>
        </is>
      </c>
      <c r="H597" t="inlineStr">
        <is>
          <t>SCA</t>
        </is>
      </c>
      <c r="I597" t="n">
        <v>6.5</v>
      </c>
      <c r="J597" t="n">
        <v>0</v>
      </c>
      <c r="K597" t="n">
        <v>0</v>
      </c>
      <c r="L597" t="n">
        <v>0</v>
      </c>
      <c r="M597" t="n">
        <v>0</v>
      </c>
      <c r="N597" t="n">
        <v>0</v>
      </c>
      <c r="O597" t="n">
        <v>0</v>
      </c>
      <c r="P597" t="n">
        <v>0</v>
      </c>
      <c r="Q597" t="n">
        <v>0</v>
      </c>
      <c r="R597" t="n">
        <v>0</v>
      </c>
      <c r="S597" t="n">
        <v>0</v>
      </c>
      <c r="T597" t="n">
        <v>0</v>
      </c>
      <c r="U597" s="2" t="inlineStr"/>
    </row>
    <row r="598" ht="15" customHeight="1">
      <c r="A598" t="inlineStr">
        <is>
          <t>A 2224-2024</t>
        </is>
      </c>
      <c r="B598" t="inlineStr">
        <is>
          <t>avverkningsanmälan</t>
        </is>
      </c>
      <c r="C598" t="inlineStr">
        <is>
          <t>Föryngringsavverkning</t>
        </is>
      </c>
      <c r="D598" s="1" t="n">
        <v>45309</v>
      </c>
      <c r="E598" s="1" t="n">
        <v>46220</v>
      </c>
      <c r="F598" t="inlineStr">
        <is>
          <t>JÄMTLANDS LÄN</t>
        </is>
      </c>
      <c r="G598" t="inlineStr">
        <is>
          <t>RAGUNDA</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1523-2024</t>
        </is>
      </c>
      <c r="B599" t="inlineStr">
        <is>
          <t>avverkningsanmälan</t>
        </is>
      </c>
      <c r="C599" t="inlineStr">
        <is>
          <t>Föryngringsavverkning</t>
        </is>
      </c>
      <c r="D599" s="1" t="n">
        <v>45306</v>
      </c>
      <c r="E599" s="1" t="n">
        <v>46220</v>
      </c>
      <c r="F599" t="inlineStr">
        <is>
          <t>JÄMTLANDS LÄN</t>
        </is>
      </c>
      <c r="G599" t="inlineStr">
        <is>
          <t>RAGUNDA</t>
        </is>
      </c>
      <c r="I599" t="n">
        <v>4.1</v>
      </c>
      <c r="J599" t="n">
        <v>0</v>
      </c>
      <c r="K599" t="n">
        <v>0</v>
      </c>
      <c r="L599" t="n">
        <v>0</v>
      </c>
      <c r="M599" t="n">
        <v>0</v>
      </c>
      <c r="N599" t="n">
        <v>0</v>
      </c>
      <c r="O599" t="n">
        <v>0</v>
      </c>
      <c r="P599" t="n">
        <v>0</v>
      </c>
      <c r="Q599" t="n">
        <v>0</v>
      </c>
      <c r="R599" t="n">
        <v>0</v>
      </c>
      <c r="S599" t="n">
        <v>0</v>
      </c>
      <c r="T599" t="n">
        <v>0</v>
      </c>
      <c r="U599" s="2" t="inlineStr"/>
    </row>
    <row r="600" ht="15" customHeight="1">
      <c r="A600" t="inlineStr">
        <is>
          <t>A 49059-2025</t>
        </is>
      </c>
      <c r="B600" t="inlineStr">
        <is>
          <t>avverkningsanmälan</t>
        </is>
      </c>
      <c r="C600" t="inlineStr">
        <is>
          <t>Föryngringsavverkning</t>
        </is>
      </c>
      <c r="D600" s="1" t="n">
        <v>45937</v>
      </c>
      <c r="E600" s="1" t="n">
        <v>46220</v>
      </c>
      <c r="F600" t="inlineStr">
        <is>
          <t>JÄMTLANDS LÄN</t>
        </is>
      </c>
      <c r="G600" t="inlineStr">
        <is>
          <t>RAGUNDA</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58630-2024</t>
        </is>
      </c>
      <c r="B601" t="inlineStr">
        <is>
          <t>avverkningsanmälan</t>
        </is>
      </c>
      <c r="C601" t="inlineStr">
        <is>
          <t>Föryngringsavverkning</t>
        </is>
      </c>
      <c r="D601" s="1" t="n">
        <v>45635</v>
      </c>
      <c r="E601" s="1" t="n">
        <v>46220</v>
      </c>
      <c r="F601" t="inlineStr">
        <is>
          <t>JÄMTLANDS LÄN</t>
        </is>
      </c>
      <c r="G601" t="inlineStr">
        <is>
          <t>RAGUNDA</t>
        </is>
      </c>
      <c r="H601" t="inlineStr">
        <is>
          <t>SCA</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32075-2025</t>
        </is>
      </c>
      <c r="B602" t="inlineStr">
        <is>
          <t>avverkningsanmälan</t>
        </is>
      </c>
      <c r="C602" t="inlineStr">
        <is>
          <t>Föryngringsavverkning</t>
        </is>
      </c>
      <c r="D602" s="1" t="n">
        <v>45835</v>
      </c>
      <c r="E602" s="1" t="n">
        <v>46220</v>
      </c>
      <c r="F602" t="inlineStr">
        <is>
          <t>JÄMTLANDS LÄN</t>
        </is>
      </c>
      <c r="G602" t="inlineStr">
        <is>
          <t>RAGUNDA</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38270-2021</t>
        </is>
      </c>
      <c r="B603" t="inlineStr">
        <is>
          <t>avverkningsanmälan</t>
        </is>
      </c>
      <c r="C603" t="inlineStr">
        <is>
          <t>Föryngringsavverkning</t>
        </is>
      </c>
      <c r="D603" s="1" t="n">
        <v>44405</v>
      </c>
      <c r="E603" s="1" t="n">
        <v>46220</v>
      </c>
      <c r="F603" t="inlineStr">
        <is>
          <t>JÄMTLANDS LÄN</t>
        </is>
      </c>
      <c r="G603" t="inlineStr">
        <is>
          <t>RAGUNDA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36994-2025</t>
        </is>
      </c>
      <c r="B604" t="inlineStr">
        <is>
          <t>avverkningsanmälan</t>
        </is>
      </c>
      <c r="C604" t="inlineStr">
        <is>
          <t>Föryngringsavverkning</t>
        </is>
      </c>
      <c r="D604" s="1" t="n">
        <v>45874</v>
      </c>
      <c r="E604" s="1" t="n">
        <v>46220</v>
      </c>
      <c r="F604" t="inlineStr">
        <is>
          <t>JÄMTLANDS LÄN</t>
        </is>
      </c>
      <c r="G604" t="inlineStr">
        <is>
          <t>RAGUNDA</t>
        </is>
      </c>
      <c r="H604" t="inlineStr">
        <is>
          <t>SCA</t>
        </is>
      </c>
      <c r="I604" t="n">
        <v>7.2</v>
      </c>
      <c r="J604" t="n">
        <v>0</v>
      </c>
      <c r="K604" t="n">
        <v>0</v>
      </c>
      <c r="L604" t="n">
        <v>0</v>
      </c>
      <c r="M604" t="n">
        <v>0</v>
      </c>
      <c r="N604" t="n">
        <v>0</v>
      </c>
      <c r="O604" t="n">
        <v>0</v>
      </c>
      <c r="P604" t="n">
        <v>0</v>
      </c>
      <c r="Q604" t="n">
        <v>0</v>
      </c>
      <c r="R604" t="n">
        <v>0</v>
      </c>
      <c r="S604" t="n">
        <v>0</v>
      </c>
      <c r="T604" t="n">
        <v>0</v>
      </c>
      <c r="U604" s="2" t="inlineStr"/>
    </row>
    <row r="605" ht="15" customHeight="1">
      <c r="A605" t="inlineStr">
        <is>
          <t>A 29257-2024</t>
        </is>
      </c>
      <c r="B605" t="inlineStr">
        <is>
          <t>avverkningsanmälan</t>
        </is>
      </c>
      <c r="C605" t="inlineStr">
        <is>
          <t>Avverkning för att bevara och utveckla /försöksver</t>
        </is>
      </c>
      <c r="D605" s="1" t="n">
        <v>45482</v>
      </c>
      <c r="E605" s="1" t="n">
        <v>46220</v>
      </c>
      <c r="F605" t="inlineStr">
        <is>
          <t>JÄMTLANDS LÄN</t>
        </is>
      </c>
      <c r="G605" t="inlineStr">
        <is>
          <t>RAGUNDA</t>
        </is>
      </c>
      <c r="H605" t="inlineStr">
        <is>
          <t>SCA</t>
        </is>
      </c>
      <c r="I605" t="n">
        <v>3.9</v>
      </c>
      <c r="J605" t="n">
        <v>0</v>
      </c>
      <c r="K605" t="n">
        <v>0</v>
      </c>
      <c r="L605" t="n">
        <v>0</v>
      </c>
      <c r="M605" t="n">
        <v>0</v>
      </c>
      <c r="N605" t="n">
        <v>0</v>
      </c>
      <c r="O605" t="n">
        <v>0</v>
      </c>
      <c r="P605" t="n">
        <v>0</v>
      </c>
      <c r="Q605" t="n">
        <v>0</v>
      </c>
      <c r="R605" t="n">
        <v>0</v>
      </c>
      <c r="S605" t="n">
        <v>0</v>
      </c>
      <c r="T605" t="n">
        <v>0</v>
      </c>
      <c r="U605" s="2" t="inlineStr"/>
    </row>
    <row r="606" ht="15" customHeight="1">
      <c r="A606" t="inlineStr">
        <is>
          <t>A 27373-2023</t>
        </is>
      </c>
      <c r="B606" t="inlineStr">
        <is>
          <t>avverkningsanmälan</t>
        </is>
      </c>
      <c r="C606" t="inlineStr">
        <is>
          <t>Avverkning för att bevara och utveckla /försöksver</t>
        </is>
      </c>
      <c r="D606" s="1" t="n">
        <v>45096</v>
      </c>
      <c r="E606" s="1" t="n">
        <v>46220</v>
      </c>
      <c r="F606" t="inlineStr">
        <is>
          <t>JÄMTLANDS LÄN</t>
        </is>
      </c>
      <c r="G606" t="inlineStr">
        <is>
          <t>RAGUNDA</t>
        </is>
      </c>
      <c r="H606" t="inlineStr">
        <is>
          <t>SCA</t>
        </is>
      </c>
      <c r="I606" t="n">
        <v>6.9</v>
      </c>
      <c r="J606" t="n">
        <v>0</v>
      </c>
      <c r="K606" t="n">
        <v>0</v>
      </c>
      <c r="L606" t="n">
        <v>0</v>
      </c>
      <c r="M606" t="n">
        <v>0</v>
      </c>
      <c r="N606" t="n">
        <v>0</v>
      </c>
      <c r="O606" t="n">
        <v>0</v>
      </c>
      <c r="P606" t="n">
        <v>0</v>
      </c>
      <c r="Q606" t="n">
        <v>0</v>
      </c>
      <c r="R606" t="n">
        <v>0</v>
      </c>
      <c r="S606" t="n">
        <v>0</v>
      </c>
      <c r="T606" t="n">
        <v>0</v>
      </c>
      <c r="U606" s="2" t="inlineStr"/>
    </row>
    <row r="607" ht="15" customHeight="1">
      <c r="A607" t="inlineStr">
        <is>
          <t>A 37008-2025</t>
        </is>
      </c>
      <c r="B607" t="inlineStr">
        <is>
          <t>avverkningsanmälan</t>
        </is>
      </c>
      <c r="C607" t="inlineStr">
        <is>
          <t>Föryngringsavverkning</t>
        </is>
      </c>
      <c r="D607" s="1" t="n">
        <v>45874</v>
      </c>
      <c r="E607" s="1" t="n">
        <v>46220</v>
      </c>
      <c r="F607" t="inlineStr">
        <is>
          <t>JÄMTLANDS LÄN</t>
        </is>
      </c>
      <c r="G607" t="inlineStr">
        <is>
          <t>RAGUNDA</t>
        </is>
      </c>
      <c r="H607" t="inlineStr">
        <is>
          <t>SCA</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A 12653-2024</t>
        </is>
      </c>
      <c r="B608" t="inlineStr">
        <is>
          <t>avverkningsanmälan</t>
        </is>
      </c>
      <c r="C608" t="inlineStr">
        <is>
          <t>Föryngringsavverkning</t>
        </is>
      </c>
      <c r="D608" s="1" t="n">
        <v>45384</v>
      </c>
      <c r="E608" s="1" t="n">
        <v>46220</v>
      </c>
      <c r="F608" t="inlineStr">
        <is>
          <t>JÄMTLANDS LÄN</t>
        </is>
      </c>
      <c r="G608" t="inlineStr">
        <is>
          <t>RAGUNDA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36947-2025</t>
        </is>
      </c>
      <c r="B609" t="inlineStr">
        <is>
          <t>avverkningsanmälan</t>
        </is>
      </c>
      <c r="C609" t="inlineStr">
        <is>
          <t>Föryngringsavverkning</t>
        </is>
      </c>
      <c r="D609" s="1" t="n">
        <v>45874</v>
      </c>
      <c r="E609" s="1" t="n">
        <v>46220</v>
      </c>
      <c r="F609" t="inlineStr">
        <is>
          <t>JÄMTLANDS LÄN</t>
        </is>
      </c>
      <c r="G609" t="inlineStr">
        <is>
          <t>RAGUNDA</t>
        </is>
      </c>
      <c r="H609" t="inlineStr">
        <is>
          <t>SCA</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50215-2025</t>
        </is>
      </c>
      <c r="B610" t="inlineStr">
        <is>
          <t>avverkningsanmälan</t>
        </is>
      </c>
      <c r="C610" t="inlineStr">
        <is>
          <t>Föryngringsavverkning</t>
        </is>
      </c>
      <c r="D610" s="1" t="n">
        <v>45943</v>
      </c>
      <c r="E610" s="1" t="n">
        <v>46220</v>
      </c>
      <c r="F610" t="inlineStr">
        <is>
          <t>JÄMTLANDS LÄN</t>
        </is>
      </c>
      <c r="G610" t="inlineStr">
        <is>
          <t>RAGUNDA</t>
        </is>
      </c>
      <c r="H610" t="inlineStr">
        <is>
          <t>SCA</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37292-2025</t>
        </is>
      </c>
      <c r="B611" t="inlineStr">
        <is>
          <t>avverkningsanmälan</t>
        </is>
      </c>
      <c r="C611" t="inlineStr">
        <is>
          <t>Föryngringsavverkning</t>
        </is>
      </c>
      <c r="D611" s="1" t="n">
        <v>45876</v>
      </c>
      <c r="E611" s="1" t="n">
        <v>46220</v>
      </c>
      <c r="F611" t="inlineStr">
        <is>
          <t>JÄMTLANDS LÄN</t>
        </is>
      </c>
      <c r="G611" t="inlineStr">
        <is>
          <t>RAGUNDA</t>
        </is>
      </c>
      <c r="H611" t="inlineStr">
        <is>
          <t>SCA</t>
        </is>
      </c>
      <c r="I611" t="n">
        <v>2.6</v>
      </c>
      <c r="J611" t="n">
        <v>0</v>
      </c>
      <c r="K611" t="n">
        <v>0</v>
      </c>
      <c r="L611" t="n">
        <v>0</v>
      </c>
      <c r="M611" t="n">
        <v>0</v>
      </c>
      <c r="N611" t="n">
        <v>0</v>
      </c>
      <c r="O611" t="n">
        <v>0</v>
      </c>
      <c r="P611" t="n">
        <v>0</v>
      </c>
      <c r="Q611" t="n">
        <v>0</v>
      </c>
      <c r="R611" t="n">
        <v>0</v>
      </c>
      <c r="S611" t="n">
        <v>0</v>
      </c>
      <c r="T611" t="n">
        <v>0</v>
      </c>
      <c r="U611" s="2" t="inlineStr"/>
    </row>
    <row r="612" ht="15" customHeight="1">
      <c r="A612" t="inlineStr">
        <is>
          <t>A 9232-2025</t>
        </is>
      </c>
      <c r="B612" t="inlineStr">
        <is>
          <t>avverkningsanmälan</t>
        </is>
      </c>
      <c r="C612" t="inlineStr">
        <is>
          <t>Föryngringsavverkning</t>
        </is>
      </c>
      <c r="D612" s="1" t="n">
        <v>45714</v>
      </c>
      <c r="E612" s="1" t="n">
        <v>46220</v>
      </c>
      <c r="F612" t="inlineStr">
        <is>
          <t>JÄMTLANDS LÄN</t>
        </is>
      </c>
      <c r="G612" t="inlineStr">
        <is>
          <t>RAGUNDA</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50098-2025</t>
        </is>
      </c>
      <c r="B613" t="inlineStr">
        <is>
          <t>avverkningsanmälan</t>
        </is>
      </c>
      <c r="C613" t="inlineStr">
        <is>
          <t>Föryngringsavverkning</t>
        </is>
      </c>
      <c r="D613" s="1" t="n">
        <v>45943</v>
      </c>
      <c r="E613" s="1" t="n">
        <v>46220</v>
      </c>
      <c r="F613" t="inlineStr">
        <is>
          <t>JÄMTLANDS LÄN</t>
        </is>
      </c>
      <c r="G613" t="inlineStr">
        <is>
          <t>RAGUNDA</t>
        </is>
      </c>
      <c r="H613" t="inlineStr">
        <is>
          <t>SCA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29775-2023</t>
        </is>
      </c>
      <c r="B614" t="inlineStr">
        <is>
          <t>avverkningsanmälan</t>
        </is>
      </c>
      <c r="C614" t="inlineStr">
        <is>
          <t>Föryngringsavverkning</t>
        </is>
      </c>
      <c r="D614" s="1" t="n">
        <v>45098</v>
      </c>
      <c r="E614" s="1" t="n">
        <v>46220</v>
      </c>
      <c r="F614" t="inlineStr">
        <is>
          <t>JÄMTLANDS LÄN</t>
        </is>
      </c>
      <c r="G614" t="inlineStr">
        <is>
          <t>RAGUNDA</t>
        </is>
      </c>
      <c r="I614" t="n">
        <v>3.6</v>
      </c>
      <c r="J614" t="n">
        <v>0</v>
      </c>
      <c r="K614" t="n">
        <v>0</v>
      </c>
      <c r="L614" t="n">
        <v>0</v>
      </c>
      <c r="M614" t="n">
        <v>0</v>
      </c>
      <c r="N614" t="n">
        <v>0</v>
      </c>
      <c r="O614" t="n">
        <v>0</v>
      </c>
      <c r="P614" t="n">
        <v>0</v>
      </c>
      <c r="Q614" t="n">
        <v>0</v>
      </c>
      <c r="R614" t="n">
        <v>0</v>
      </c>
      <c r="S614" t="n">
        <v>0</v>
      </c>
      <c r="T614" t="n">
        <v>0</v>
      </c>
      <c r="U614" s="2" t="inlineStr"/>
    </row>
    <row r="615" ht="15" customHeight="1">
      <c r="A615" t="inlineStr">
        <is>
          <t>A 50260-2025</t>
        </is>
      </c>
      <c r="B615" t="inlineStr">
        <is>
          <t>avverkningsanmälan</t>
        </is>
      </c>
      <c r="C615" t="inlineStr">
        <is>
          <t>Föryngringsavverkning</t>
        </is>
      </c>
      <c r="D615" s="1" t="n">
        <v>45944</v>
      </c>
      <c r="E615" s="1" t="n">
        <v>46220</v>
      </c>
      <c r="F615" t="inlineStr">
        <is>
          <t>JÄMTLANDS LÄN</t>
        </is>
      </c>
      <c r="G615" t="inlineStr">
        <is>
          <t>RAGUNDA</t>
        </is>
      </c>
      <c r="H615" t="inlineStr">
        <is>
          <t>SCA</t>
        </is>
      </c>
      <c r="I615" t="n">
        <v>7.9</v>
      </c>
      <c r="J615" t="n">
        <v>0</v>
      </c>
      <c r="K615" t="n">
        <v>0</v>
      </c>
      <c r="L615" t="n">
        <v>0</v>
      </c>
      <c r="M615" t="n">
        <v>0</v>
      </c>
      <c r="N615" t="n">
        <v>0</v>
      </c>
      <c r="O615" t="n">
        <v>0</v>
      </c>
      <c r="P615" t="n">
        <v>0</v>
      </c>
      <c r="Q615" t="n">
        <v>0</v>
      </c>
      <c r="R615" t="n">
        <v>0</v>
      </c>
      <c r="S615" t="n">
        <v>0</v>
      </c>
      <c r="T615" t="n">
        <v>0</v>
      </c>
      <c r="U615" s="2" t="inlineStr"/>
    </row>
    <row r="616" ht="15" customHeight="1">
      <c r="A616" t="inlineStr">
        <is>
          <t>A 13898-2023</t>
        </is>
      </c>
      <c r="B616" t="inlineStr">
        <is>
          <t>avverkningsanmälan</t>
        </is>
      </c>
      <c r="C616" t="inlineStr">
        <is>
          <t>Föryngringsavverkning</t>
        </is>
      </c>
      <c r="D616" s="1" t="n">
        <v>45008</v>
      </c>
      <c r="E616" s="1" t="n">
        <v>46220</v>
      </c>
      <c r="F616" t="inlineStr">
        <is>
          <t>JÄMTLANDS LÄN</t>
        </is>
      </c>
      <c r="G616" t="inlineStr">
        <is>
          <t>RAGUNDA</t>
        </is>
      </c>
      <c r="H616" t="inlineStr">
        <is>
          <t>SCA</t>
        </is>
      </c>
      <c r="I616" t="n">
        <v>5</v>
      </c>
      <c r="J616" t="n">
        <v>0</v>
      </c>
      <c r="K616" t="n">
        <v>0</v>
      </c>
      <c r="L616" t="n">
        <v>0</v>
      </c>
      <c r="M616" t="n">
        <v>0</v>
      </c>
      <c r="N616" t="n">
        <v>0</v>
      </c>
      <c r="O616" t="n">
        <v>0</v>
      </c>
      <c r="P616" t="n">
        <v>0</v>
      </c>
      <c r="Q616" t="n">
        <v>0</v>
      </c>
      <c r="R616" t="n">
        <v>0</v>
      </c>
      <c r="S616" t="n">
        <v>0</v>
      </c>
      <c r="T616" t="n">
        <v>0</v>
      </c>
      <c r="U616" s="2" t="inlineStr"/>
    </row>
    <row r="617" ht="15" customHeight="1">
      <c r="A617" t="inlineStr">
        <is>
          <t>A 50503-2025</t>
        </is>
      </c>
      <c r="B617" t="inlineStr">
        <is>
          <t>avverkningsanmälan</t>
        </is>
      </c>
      <c r="C617" t="inlineStr">
        <is>
          <t>Föryngringsavverkning</t>
        </is>
      </c>
      <c r="D617" s="1" t="n">
        <v>45945</v>
      </c>
      <c r="E617" s="1" t="n">
        <v>46220</v>
      </c>
      <c r="F617" t="inlineStr">
        <is>
          <t>JÄMTLANDS LÄN</t>
        </is>
      </c>
      <c r="G617" t="inlineStr">
        <is>
          <t>RAGUNDA</t>
        </is>
      </c>
      <c r="H617" t="inlineStr">
        <is>
          <t>SCA</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9504-2025</t>
        </is>
      </c>
      <c r="B618" t="inlineStr">
        <is>
          <t>avverkningsanmälan</t>
        </is>
      </c>
      <c r="C618" t="inlineStr">
        <is>
          <t>Föryngringsavverkning</t>
        </is>
      </c>
      <c r="D618" s="1" t="n">
        <v>45714</v>
      </c>
      <c r="E618" s="1" t="n">
        <v>46220</v>
      </c>
      <c r="F618" t="inlineStr">
        <is>
          <t>JÄMTLANDS LÄN</t>
        </is>
      </c>
      <c r="G618" t="inlineStr">
        <is>
          <t>RAGUNDA</t>
        </is>
      </c>
      <c r="I618" t="n">
        <v>6</v>
      </c>
      <c r="J618" t="n">
        <v>0</v>
      </c>
      <c r="K618" t="n">
        <v>0</v>
      </c>
      <c r="L618" t="n">
        <v>0</v>
      </c>
      <c r="M618" t="n">
        <v>0</v>
      </c>
      <c r="N618" t="n">
        <v>0</v>
      </c>
      <c r="O618" t="n">
        <v>0</v>
      </c>
      <c r="P618" t="n">
        <v>0</v>
      </c>
      <c r="Q618" t="n">
        <v>0</v>
      </c>
      <c r="R618" t="n">
        <v>0</v>
      </c>
      <c r="S618" t="n">
        <v>0</v>
      </c>
      <c r="T618" t="n">
        <v>0</v>
      </c>
      <c r="U618" s="2" t="inlineStr"/>
    </row>
    <row r="619" ht="15" customHeight="1">
      <c r="A619" t="inlineStr">
        <is>
          <t>A 4142-2026</t>
        </is>
      </c>
      <c r="B619" t="inlineStr">
        <is>
          <t>avverkningsanmälan</t>
        </is>
      </c>
      <c r="C619" t="inlineStr">
        <is>
          <t>Föryngringsavverkning</t>
        </is>
      </c>
      <c r="D619" s="1" t="n">
        <v>46044</v>
      </c>
      <c r="E619" s="1" t="n">
        <v>46220</v>
      </c>
      <c r="F619" t="inlineStr">
        <is>
          <t>JÄMTLANDS LÄN</t>
        </is>
      </c>
      <c r="G619" t="inlineStr">
        <is>
          <t>RAGUNDA</t>
        </is>
      </c>
      <c r="H619" t="inlineStr">
        <is>
          <t>SCA</t>
        </is>
      </c>
      <c r="I619" t="n">
        <v>19.3</v>
      </c>
      <c r="J619" t="n">
        <v>0</v>
      </c>
      <c r="K619" t="n">
        <v>0</v>
      </c>
      <c r="L619" t="n">
        <v>0</v>
      </c>
      <c r="M619" t="n">
        <v>0</v>
      </c>
      <c r="N619" t="n">
        <v>0</v>
      </c>
      <c r="O619" t="n">
        <v>0</v>
      </c>
      <c r="P619" t="n">
        <v>0</v>
      </c>
      <c r="Q619" t="n">
        <v>0</v>
      </c>
      <c r="R619" t="n">
        <v>0</v>
      </c>
      <c r="S619" t="n">
        <v>0</v>
      </c>
      <c r="T619" t="n">
        <v>0</v>
      </c>
      <c r="U619" s="2" t="inlineStr"/>
    </row>
    <row r="620" ht="15" customHeight="1">
      <c r="A620" t="inlineStr">
        <is>
          <t>A 50711-2025</t>
        </is>
      </c>
      <c r="B620" t="inlineStr">
        <is>
          <t>avverkningsanmälan</t>
        </is>
      </c>
      <c r="C620" t="inlineStr">
        <is>
          <t>Avverkning för att bevara och utveckla /försöksver</t>
        </is>
      </c>
      <c r="D620" s="1" t="n">
        <v>45946</v>
      </c>
      <c r="E620" s="1" t="n">
        <v>46220</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s="2" t="inlineStr"/>
    </row>
    <row r="621" ht="15" customHeight="1">
      <c r="A621" t="inlineStr">
        <is>
          <t>A 50716-2025</t>
        </is>
      </c>
      <c r="B621" t="inlineStr">
        <is>
          <t>avverkningsanmälan</t>
        </is>
      </c>
      <c r="C621" t="inlineStr">
        <is>
          <t>Föryngringsavverkning</t>
        </is>
      </c>
      <c r="D621" s="1" t="n">
        <v>45946</v>
      </c>
      <c r="E621" s="1" t="n">
        <v>46220</v>
      </c>
      <c r="F621" t="inlineStr">
        <is>
          <t>JÄMTLANDS LÄN</t>
        </is>
      </c>
      <c r="G621" t="inlineStr">
        <is>
          <t>RAGUNDA</t>
        </is>
      </c>
      <c r="H621" t="inlineStr">
        <is>
          <t>SCA</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50719-2025</t>
        </is>
      </c>
      <c r="B622" t="inlineStr">
        <is>
          <t>avverkningsanmälan</t>
        </is>
      </c>
      <c r="C622" t="inlineStr">
        <is>
          <t>Föryngringsavverkning</t>
        </is>
      </c>
      <c r="D622" s="1" t="n">
        <v>45946</v>
      </c>
      <c r="E622" s="1" t="n">
        <v>46220</v>
      </c>
      <c r="F622" t="inlineStr">
        <is>
          <t>JÄMTLANDS LÄN</t>
        </is>
      </c>
      <c r="G622" t="inlineStr">
        <is>
          <t>RAGUNDA</t>
        </is>
      </c>
      <c r="H622" t="inlineStr">
        <is>
          <t>SCA</t>
        </is>
      </c>
      <c r="I622" t="n">
        <v>2.9</v>
      </c>
      <c r="J622" t="n">
        <v>0</v>
      </c>
      <c r="K622" t="n">
        <v>0</v>
      </c>
      <c r="L622" t="n">
        <v>0</v>
      </c>
      <c r="M622" t="n">
        <v>0</v>
      </c>
      <c r="N622" t="n">
        <v>0</v>
      </c>
      <c r="O622" t="n">
        <v>0</v>
      </c>
      <c r="P622" t="n">
        <v>0</v>
      </c>
      <c r="Q622" t="n">
        <v>0</v>
      </c>
      <c r="R622" t="n">
        <v>0</v>
      </c>
      <c r="S622" t="n">
        <v>0</v>
      </c>
      <c r="T622" t="n">
        <v>0</v>
      </c>
      <c r="U622" s="2" t="inlineStr"/>
    </row>
    <row r="623" ht="15" customHeight="1">
      <c r="A623" t="inlineStr">
        <is>
          <t>A 51019-2025</t>
        </is>
      </c>
      <c r="B623" t="inlineStr">
        <is>
          <t>avverkningsanmälan</t>
        </is>
      </c>
      <c r="C623" t="inlineStr">
        <is>
          <t>Föryngringsavverkning</t>
        </is>
      </c>
      <c r="D623" s="1" t="n">
        <v>45947</v>
      </c>
      <c r="E623" s="1" t="n">
        <v>46220</v>
      </c>
      <c r="F623" t="inlineStr">
        <is>
          <t>JÄMTLANDS LÄN</t>
        </is>
      </c>
      <c r="G623" t="inlineStr">
        <is>
          <t>RAGUNDA</t>
        </is>
      </c>
      <c r="H623" t="inlineStr">
        <is>
          <t>SCA</t>
        </is>
      </c>
      <c r="I623" t="n">
        <v>4</v>
      </c>
      <c r="J623" t="n">
        <v>0</v>
      </c>
      <c r="K623" t="n">
        <v>0</v>
      </c>
      <c r="L623" t="n">
        <v>0</v>
      </c>
      <c r="M623" t="n">
        <v>0</v>
      </c>
      <c r="N623" t="n">
        <v>0</v>
      </c>
      <c r="O623" t="n">
        <v>0</v>
      </c>
      <c r="P623" t="n">
        <v>0</v>
      </c>
      <c r="Q623" t="n">
        <v>0</v>
      </c>
      <c r="R623" t="n">
        <v>0</v>
      </c>
      <c r="S623" t="n">
        <v>0</v>
      </c>
      <c r="T623" t="n">
        <v>0</v>
      </c>
      <c r="U623" s="2" t="inlineStr"/>
    </row>
    <row r="624" ht="15" customHeight="1">
      <c r="A624" t="inlineStr">
        <is>
          <t>A 26026-2024</t>
        </is>
      </c>
      <c r="B624" t="inlineStr">
        <is>
          <t>avverkningsanmälan</t>
        </is>
      </c>
      <c r="C624" t="inlineStr">
        <is>
          <t>Föryngringsavverkning</t>
        </is>
      </c>
      <c r="D624" s="1" t="n">
        <v>45467</v>
      </c>
      <c r="E624" s="1" t="n">
        <v>46220</v>
      </c>
      <c r="F624" t="inlineStr">
        <is>
          <t>JÄMTLANDS LÄN</t>
        </is>
      </c>
      <c r="G624" t="inlineStr">
        <is>
          <t>RAGUNDA</t>
        </is>
      </c>
      <c r="H624" t="inlineStr">
        <is>
          <t>SCA</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4046-2026</t>
        </is>
      </c>
      <c r="B625" t="inlineStr">
        <is>
          <t>avverkningsanmälan</t>
        </is>
      </c>
      <c r="C625" t="inlineStr">
        <is>
          <t>Föryngringsavverkning</t>
        </is>
      </c>
      <c r="D625" s="1" t="n">
        <v>46044</v>
      </c>
      <c r="E625" s="1" t="n">
        <v>46220</v>
      </c>
      <c r="F625" t="inlineStr">
        <is>
          <t>JÄMTLANDS LÄN</t>
        </is>
      </c>
      <c r="G625" t="inlineStr">
        <is>
          <t>RAGUNDA</t>
        </is>
      </c>
      <c r="I625" t="n">
        <v>5.3</v>
      </c>
      <c r="J625" t="n">
        <v>0</v>
      </c>
      <c r="K625" t="n">
        <v>0</v>
      </c>
      <c r="L625" t="n">
        <v>0</v>
      </c>
      <c r="M625" t="n">
        <v>0</v>
      </c>
      <c r="N625" t="n">
        <v>0</v>
      </c>
      <c r="O625" t="n">
        <v>0</v>
      </c>
      <c r="P625" t="n">
        <v>0</v>
      </c>
      <c r="Q625" t="n">
        <v>0</v>
      </c>
      <c r="R625" t="n">
        <v>0</v>
      </c>
      <c r="S625" t="n">
        <v>0</v>
      </c>
      <c r="T625" t="n">
        <v>0</v>
      </c>
      <c r="U625" s="2" t="inlineStr"/>
    </row>
    <row r="626" ht="15" customHeight="1">
      <c r="A626" t="inlineStr">
        <is>
          <t>A 4073-2026</t>
        </is>
      </c>
      <c r="B626" t="inlineStr">
        <is>
          <t>avverkningsanmälan</t>
        </is>
      </c>
      <c r="C626" t="inlineStr">
        <is>
          <t>Föryngringsavverkning</t>
        </is>
      </c>
      <c r="D626" s="1" t="n">
        <v>46044</v>
      </c>
      <c r="E626" s="1" t="n">
        <v>46220</v>
      </c>
      <c r="F626" t="inlineStr">
        <is>
          <t>JÄMTLANDS LÄN</t>
        </is>
      </c>
      <c r="G626" t="inlineStr">
        <is>
          <t>RAGUNDA</t>
        </is>
      </c>
      <c r="H626" t="inlineStr">
        <is>
          <t>SCA</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51034-2025</t>
        </is>
      </c>
      <c r="B627" t="inlineStr">
        <is>
          <t>avverkningsanmälan</t>
        </is>
      </c>
      <c r="C627" t="inlineStr">
        <is>
          <t>Föryngringsavverkning</t>
        </is>
      </c>
      <c r="D627" s="1" t="n">
        <v>45947</v>
      </c>
      <c r="E627" s="1" t="n">
        <v>46220</v>
      </c>
      <c r="F627" t="inlineStr">
        <is>
          <t>JÄMTLANDS LÄN</t>
        </is>
      </c>
      <c r="G627" t="inlineStr">
        <is>
          <t>RAGUNDA</t>
        </is>
      </c>
      <c r="H627" t="inlineStr">
        <is>
          <t>SCA</t>
        </is>
      </c>
      <c r="I627" t="n">
        <v>44.1</v>
      </c>
      <c r="J627" t="n">
        <v>0</v>
      </c>
      <c r="K627" t="n">
        <v>0</v>
      </c>
      <c r="L627" t="n">
        <v>0</v>
      </c>
      <c r="M627" t="n">
        <v>0</v>
      </c>
      <c r="N627" t="n">
        <v>0</v>
      </c>
      <c r="O627" t="n">
        <v>0</v>
      </c>
      <c r="P627" t="n">
        <v>0</v>
      </c>
      <c r="Q627" t="n">
        <v>0</v>
      </c>
      <c r="R627" t="n">
        <v>0</v>
      </c>
      <c r="S627" t="n">
        <v>0</v>
      </c>
      <c r="T627" t="n">
        <v>0</v>
      </c>
      <c r="U627" s="2" t="inlineStr"/>
    </row>
    <row r="628" ht="15" customHeight="1">
      <c r="A628" t="inlineStr">
        <is>
          <t>A 51592-2025</t>
        </is>
      </c>
      <c r="B628" t="inlineStr">
        <is>
          <t>avverkningsanmälan</t>
        </is>
      </c>
      <c r="C628" t="inlineStr">
        <is>
          <t>Föryngringsavverkning</t>
        </is>
      </c>
      <c r="D628" s="1" t="n">
        <v>45951</v>
      </c>
      <c r="E628" s="1" t="n">
        <v>46220</v>
      </c>
      <c r="F628" t="inlineStr">
        <is>
          <t>JÄMTLANDS LÄN</t>
        </is>
      </c>
      <c r="G628" t="inlineStr">
        <is>
          <t>RAGUNDA</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4047-2026</t>
        </is>
      </c>
      <c r="B629" t="inlineStr">
        <is>
          <t>avverkningsanmälan</t>
        </is>
      </c>
      <c r="C629" t="inlineStr">
        <is>
          <t>Föryngringsavverkning</t>
        </is>
      </c>
      <c r="D629" s="1" t="n">
        <v>46044</v>
      </c>
      <c r="E629" s="1" t="n">
        <v>46220</v>
      </c>
      <c r="F629" t="inlineStr">
        <is>
          <t>JÄMTLANDS LÄN</t>
        </is>
      </c>
      <c r="G629" t="inlineStr">
        <is>
          <t>RAGUNDA</t>
        </is>
      </c>
      <c r="H629" t="inlineStr">
        <is>
          <t>SCA</t>
        </is>
      </c>
      <c r="I629" t="n">
        <v>4.7</v>
      </c>
      <c r="J629" t="n">
        <v>0</v>
      </c>
      <c r="K629" t="n">
        <v>0</v>
      </c>
      <c r="L629" t="n">
        <v>0</v>
      </c>
      <c r="M629" t="n">
        <v>0</v>
      </c>
      <c r="N629" t="n">
        <v>0</v>
      </c>
      <c r="O629" t="n">
        <v>0</v>
      </c>
      <c r="P629" t="n">
        <v>0</v>
      </c>
      <c r="Q629" t="n">
        <v>0</v>
      </c>
      <c r="R629" t="n">
        <v>0</v>
      </c>
      <c r="S629" t="n">
        <v>0</v>
      </c>
      <c r="T629" t="n">
        <v>0</v>
      </c>
      <c r="U629" s="2" t="inlineStr"/>
    </row>
    <row r="630" ht="15" customHeight="1">
      <c r="A630" t="inlineStr">
        <is>
          <t>A 51395-2025</t>
        </is>
      </c>
      <c r="B630" t="inlineStr">
        <is>
          <t>avverkningsanmälan</t>
        </is>
      </c>
      <c r="C630" t="inlineStr">
        <is>
          <t>Föryngringsavverkning</t>
        </is>
      </c>
      <c r="D630" s="1" t="n">
        <v>45950</v>
      </c>
      <c r="E630" s="1" t="n">
        <v>46220</v>
      </c>
      <c r="F630" t="inlineStr">
        <is>
          <t>JÄMTLANDS LÄN</t>
        </is>
      </c>
      <c r="G630" t="inlineStr">
        <is>
          <t>RAGUNDA</t>
        </is>
      </c>
      <c r="H630" t="inlineStr">
        <is>
          <t>SCA</t>
        </is>
      </c>
      <c r="I630" t="n">
        <v>30.7</v>
      </c>
      <c r="J630" t="n">
        <v>0</v>
      </c>
      <c r="K630" t="n">
        <v>0</v>
      </c>
      <c r="L630" t="n">
        <v>0</v>
      </c>
      <c r="M630" t="n">
        <v>0</v>
      </c>
      <c r="N630" t="n">
        <v>0</v>
      </c>
      <c r="O630" t="n">
        <v>0</v>
      </c>
      <c r="P630" t="n">
        <v>0</v>
      </c>
      <c r="Q630" t="n">
        <v>0</v>
      </c>
      <c r="R630" t="n">
        <v>0</v>
      </c>
      <c r="S630" t="n">
        <v>0</v>
      </c>
      <c r="T630" t="n">
        <v>0</v>
      </c>
      <c r="U630" s="2" t="inlineStr"/>
    </row>
    <row r="631" ht="15" customHeight="1">
      <c r="A631" t="inlineStr">
        <is>
          <t>A 5429-2024</t>
        </is>
      </c>
      <c r="B631" t="inlineStr">
        <is>
          <t>avverkningsanmälan</t>
        </is>
      </c>
      <c r="C631" t="inlineStr">
        <is>
          <t>Föryngringsavverkning</t>
        </is>
      </c>
      <c r="D631" s="1" t="n">
        <v>45331</v>
      </c>
      <c r="E631" s="1" t="n">
        <v>46220</v>
      </c>
      <c r="F631" t="inlineStr">
        <is>
          <t>JÄMTLANDS LÄN</t>
        </is>
      </c>
      <c r="G631" t="inlineStr">
        <is>
          <t>RAGUNDA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4099-2026</t>
        </is>
      </c>
      <c r="B632" t="inlineStr">
        <is>
          <t>avverkningsanmälan</t>
        </is>
      </c>
      <c r="C632" t="inlineStr">
        <is>
          <t>Föryngringsavverkning</t>
        </is>
      </c>
      <c r="D632" s="1" t="n">
        <v>46044</v>
      </c>
      <c r="E632" s="1" t="n">
        <v>46220</v>
      </c>
      <c r="F632" t="inlineStr">
        <is>
          <t>JÄMTLANDS LÄN</t>
        </is>
      </c>
      <c r="G632" t="inlineStr">
        <is>
          <t>RAGUNDA</t>
        </is>
      </c>
      <c r="I632" t="n">
        <v>8.4</v>
      </c>
      <c r="J632" t="n">
        <v>0</v>
      </c>
      <c r="K632" t="n">
        <v>0</v>
      </c>
      <c r="L632" t="n">
        <v>0</v>
      </c>
      <c r="M632" t="n">
        <v>0</v>
      </c>
      <c r="N632" t="n">
        <v>0</v>
      </c>
      <c r="O632" t="n">
        <v>0</v>
      </c>
      <c r="P632" t="n">
        <v>0</v>
      </c>
      <c r="Q632" t="n">
        <v>0</v>
      </c>
      <c r="R632" t="n">
        <v>0</v>
      </c>
      <c r="S632" t="n">
        <v>0</v>
      </c>
      <c r="T632" t="n">
        <v>0</v>
      </c>
      <c r="U632" s="2" t="inlineStr"/>
    </row>
    <row r="633" ht="15" customHeight="1">
      <c r="A633" t="inlineStr">
        <is>
          <t>A 51593-2025</t>
        </is>
      </c>
      <c r="B633" t="inlineStr">
        <is>
          <t>avverkningsanmälan</t>
        </is>
      </c>
      <c r="C633" t="inlineStr">
        <is>
          <t>Föryngringsavverkning</t>
        </is>
      </c>
      <c r="D633" s="1" t="n">
        <v>45951</v>
      </c>
      <c r="E633" s="1" t="n">
        <v>46220</v>
      </c>
      <c r="F633" t="inlineStr">
        <is>
          <t>JÄMTLANDS LÄN</t>
        </is>
      </c>
      <c r="G633" t="inlineStr">
        <is>
          <t>RAGUNDA</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51484-2025</t>
        </is>
      </c>
      <c r="B634" t="inlineStr">
        <is>
          <t>avverkningsanmälan</t>
        </is>
      </c>
      <c r="C634" t="inlineStr">
        <is>
          <t>Föryngringsavverkning</t>
        </is>
      </c>
      <c r="D634" s="1" t="n">
        <v>45950</v>
      </c>
      <c r="E634" s="1" t="n">
        <v>46220</v>
      </c>
      <c r="F634" t="inlineStr">
        <is>
          <t>JÄMTLANDS LÄN</t>
        </is>
      </c>
      <c r="G634" t="inlineStr">
        <is>
          <t>RAGUNDA</t>
        </is>
      </c>
      <c r="H634" t="inlineStr">
        <is>
          <t>SCA</t>
        </is>
      </c>
      <c r="I634" t="n">
        <v>23.1</v>
      </c>
      <c r="J634" t="n">
        <v>0</v>
      </c>
      <c r="K634" t="n">
        <v>0</v>
      </c>
      <c r="L634" t="n">
        <v>0</v>
      </c>
      <c r="M634" t="n">
        <v>0</v>
      </c>
      <c r="N634" t="n">
        <v>0</v>
      </c>
      <c r="O634" t="n">
        <v>0</v>
      </c>
      <c r="P634" t="n">
        <v>0</v>
      </c>
      <c r="Q634" t="n">
        <v>0</v>
      </c>
      <c r="R634" t="n">
        <v>0</v>
      </c>
      <c r="S634" t="n">
        <v>0</v>
      </c>
      <c r="T634" t="n">
        <v>0</v>
      </c>
      <c r="U634" s="2" t="inlineStr"/>
    </row>
    <row r="635" ht="15" customHeight="1">
      <c r="A635" t="inlineStr">
        <is>
          <t>A 3720-2025</t>
        </is>
      </c>
      <c r="B635" t="inlineStr">
        <is>
          <t>avverkningsanmälan</t>
        </is>
      </c>
      <c r="C635" t="inlineStr">
        <is>
          <t>Föryngringsavverkning</t>
        </is>
      </c>
      <c r="D635" s="1" t="n">
        <v>45681</v>
      </c>
      <c r="E635" s="1" t="n">
        <v>46220</v>
      </c>
      <c r="F635" t="inlineStr">
        <is>
          <t>JÄMTLANDS LÄN</t>
        </is>
      </c>
      <c r="G635" t="inlineStr">
        <is>
          <t>RAGUNDA</t>
        </is>
      </c>
      <c r="H635" t="inlineStr">
        <is>
          <t>SCA</t>
        </is>
      </c>
      <c r="I635" t="n">
        <v>2.8</v>
      </c>
      <c r="J635" t="n">
        <v>0</v>
      </c>
      <c r="K635" t="n">
        <v>0</v>
      </c>
      <c r="L635" t="n">
        <v>0</v>
      </c>
      <c r="M635" t="n">
        <v>0</v>
      </c>
      <c r="N635" t="n">
        <v>0</v>
      </c>
      <c r="O635" t="n">
        <v>0</v>
      </c>
      <c r="P635" t="n">
        <v>0</v>
      </c>
      <c r="Q635" t="n">
        <v>0</v>
      </c>
      <c r="R635" t="n">
        <v>0</v>
      </c>
      <c r="S635" t="n">
        <v>0</v>
      </c>
      <c r="T635" t="n">
        <v>0</v>
      </c>
      <c r="U635" s="2" t="inlineStr"/>
    </row>
    <row r="636" ht="15" customHeight="1">
      <c r="A636" t="inlineStr">
        <is>
          <t>A 51791-2025</t>
        </is>
      </c>
      <c r="B636" t="inlineStr">
        <is>
          <t>avverkningsanmälan</t>
        </is>
      </c>
      <c r="C636" t="inlineStr">
        <is>
          <t>Föryngringsavverkning</t>
        </is>
      </c>
      <c r="D636" s="1" t="n">
        <v>45951</v>
      </c>
      <c r="E636" s="1" t="n">
        <v>46220</v>
      </c>
      <c r="F636" t="inlineStr">
        <is>
          <t>JÄMTLANDS LÄN</t>
        </is>
      </c>
      <c r="G636" t="inlineStr">
        <is>
          <t>RAGUNDA</t>
        </is>
      </c>
      <c r="H636" t="inlineStr">
        <is>
          <t>SCA</t>
        </is>
      </c>
      <c r="I636" t="n">
        <v>43.3</v>
      </c>
      <c r="J636" t="n">
        <v>0</v>
      </c>
      <c r="K636" t="n">
        <v>0</v>
      </c>
      <c r="L636" t="n">
        <v>0</v>
      </c>
      <c r="M636" t="n">
        <v>0</v>
      </c>
      <c r="N636" t="n">
        <v>0</v>
      </c>
      <c r="O636" t="n">
        <v>0</v>
      </c>
      <c r="P636" t="n">
        <v>0</v>
      </c>
      <c r="Q636" t="n">
        <v>0</v>
      </c>
      <c r="R636" t="n">
        <v>0</v>
      </c>
      <c r="S636" t="n">
        <v>0</v>
      </c>
      <c r="T636" t="n">
        <v>0</v>
      </c>
      <c r="U636" s="2" t="inlineStr"/>
    </row>
    <row r="637" ht="15" customHeight="1">
      <c r="A637" t="inlineStr">
        <is>
          <t>A 51394-2025</t>
        </is>
      </c>
      <c r="B637" t="inlineStr">
        <is>
          <t>avverkningsanmälan</t>
        </is>
      </c>
      <c r="C637" t="inlineStr">
        <is>
          <t>Föryngringsavverkning</t>
        </is>
      </c>
      <c r="D637" s="1" t="n">
        <v>45950</v>
      </c>
      <c r="E637" s="1" t="n">
        <v>46220</v>
      </c>
      <c r="F637" t="inlineStr">
        <is>
          <t>JÄMTLANDS LÄN</t>
        </is>
      </c>
      <c r="G637" t="inlineStr">
        <is>
          <t>RAGUNDA</t>
        </is>
      </c>
      <c r="H637" t="inlineStr">
        <is>
          <t>SCA</t>
        </is>
      </c>
      <c r="I637" t="n">
        <v>36.5</v>
      </c>
      <c r="J637" t="n">
        <v>0</v>
      </c>
      <c r="K637" t="n">
        <v>0</v>
      </c>
      <c r="L637" t="n">
        <v>0</v>
      </c>
      <c r="M637" t="n">
        <v>0</v>
      </c>
      <c r="N637" t="n">
        <v>0</v>
      </c>
      <c r="O637" t="n">
        <v>0</v>
      </c>
      <c r="P637" t="n">
        <v>0</v>
      </c>
      <c r="Q637" t="n">
        <v>0</v>
      </c>
      <c r="R637" t="n">
        <v>0</v>
      </c>
      <c r="S637" t="n">
        <v>0</v>
      </c>
      <c r="T637" t="n">
        <v>0</v>
      </c>
      <c r="U637" s="2" t="inlineStr"/>
    </row>
    <row r="638" ht="15" customHeight="1">
      <c r="A638" t="inlineStr">
        <is>
          <t>A 52317-2025</t>
        </is>
      </c>
      <c r="B638" t="inlineStr">
        <is>
          <t>avverkningsanmälan</t>
        </is>
      </c>
      <c r="C638" t="inlineStr">
        <is>
          <t>Föryngringsavverkning</t>
        </is>
      </c>
      <c r="D638" s="1" t="n">
        <v>45953</v>
      </c>
      <c r="E638" s="1" t="n">
        <v>46220</v>
      </c>
      <c r="F638" t="inlineStr">
        <is>
          <t>JÄMTLANDS LÄN</t>
        </is>
      </c>
      <c r="G638" t="inlineStr">
        <is>
          <t>RAGUNDA</t>
        </is>
      </c>
      <c r="H638" t="inlineStr">
        <is>
          <t>SCA</t>
        </is>
      </c>
      <c r="I638" t="n">
        <v>27.2</v>
      </c>
      <c r="J638" t="n">
        <v>0</v>
      </c>
      <c r="K638" t="n">
        <v>0</v>
      </c>
      <c r="L638" t="n">
        <v>0</v>
      </c>
      <c r="M638" t="n">
        <v>0</v>
      </c>
      <c r="N638" t="n">
        <v>0</v>
      </c>
      <c r="O638" t="n">
        <v>0</v>
      </c>
      <c r="P638" t="n">
        <v>0</v>
      </c>
      <c r="Q638" t="n">
        <v>0</v>
      </c>
      <c r="R638" t="n">
        <v>0</v>
      </c>
      <c r="S638" t="n">
        <v>0</v>
      </c>
      <c r="T638" t="n">
        <v>0</v>
      </c>
      <c r="U638" s="2" t="inlineStr"/>
    </row>
    <row r="639" ht="15" customHeight="1">
      <c r="A639" t="inlineStr">
        <is>
          <t>A 4627-2026</t>
        </is>
      </c>
      <c r="B639" t="inlineStr">
        <is>
          <t>avverkningsanmälan</t>
        </is>
      </c>
      <c r="C639" t="inlineStr">
        <is>
          <t>Föryngringsavverkning</t>
        </is>
      </c>
      <c r="D639" s="1" t="n">
        <v>46048</v>
      </c>
      <c r="E639" s="1" t="n">
        <v>46220</v>
      </c>
      <c r="F639" t="inlineStr">
        <is>
          <t>JÄMTLANDS LÄN</t>
        </is>
      </c>
      <c r="G639" t="inlineStr">
        <is>
          <t>RAGUNDA</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52122-2025</t>
        </is>
      </c>
      <c r="B640" t="inlineStr">
        <is>
          <t>avverkningsanmälan</t>
        </is>
      </c>
      <c r="C640" t="inlineStr">
        <is>
          <t>Föryngringsavverkning</t>
        </is>
      </c>
      <c r="D640" s="1" t="n">
        <v>45952</v>
      </c>
      <c r="E640" s="1" t="n">
        <v>46220</v>
      </c>
      <c r="F640" t="inlineStr">
        <is>
          <t>JÄMTLANDS LÄN</t>
        </is>
      </c>
      <c r="G640" t="inlineStr">
        <is>
          <t>RAGUNDA</t>
        </is>
      </c>
      <c r="H640" t="inlineStr">
        <is>
          <t>SCA</t>
        </is>
      </c>
      <c r="I640" t="n">
        <v>8</v>
      </c>
      <c r="J640" t="n">
        <v>0</v>
      </c>
      <c r="K640" t="n">
        <v>0</v>
      </c>
      <c r="L640" t="n">
        <v>0</v>
      </c>
      <c r="M640" t="n">
        <v>0</v>
      </c>
      <c r="N640" t="n">
        <v>0</v>
      </c>
      <c r="O640" t="n">
        <v>0</v>
      </c>
      <c r="P640" t="n">
        <v>0</v>
      </c>
      <c r="Q640" t="n">
        <v>0</v>
      </c>
      <c r="R640" t="n">
        <v>0</v>
      </c>
      <c r="S640" t="n">
        <v>0</v>
      </c>
      <c r="T640" t="n">
        <v>0</v>
      </c>
      <c r="U640" s="2" t="inlineStr"/>
    </row>
    <row r="641" ht="15" customHeight="1">
      <c r="A641" t="inlineStr">
        <is>
          <t>A 4628-2026</t>
        </is>
      </c>
      <c r="B641" t="inlineStr">
        <is>
          <t>avverkningsanmälan</t>
        </is>
      </c>
      <c r="C641" t="inlineStr">
        <is>
          <t>Föryngringsavverkning</t>
        </is>
      </c>
      <c r="D641" s="1" t="n">
        <v>46048</v>
      </c>
      <c r="E641" s="1" t="n">
        <v>46220</v>
      </c>
      <c r="F641" t="inlineStr">
        <is>
          <t>JÄMTLANDS LÄN</t>
        </is>
      </c>
      <c r="G641" t="inlineStr">
        <is>
          <t>RAGUNDA</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8775-2025</t>
        </is>
      </c>
      <c r="B642" t="inlineStr">
        <is>
          <t>avverkningsanmälan</t>
        </is>
      </c>
      <c r="C642" t="inlineStr">
        <is>
          <t>Föryngringsavverkning</t>
        </is>
      </c>
      <c r="D642" s="1" t="n">
        <v>45712</v>
      </c>
      <c r="E642" s="1" t="n">
        <v>46220</v>
      </c>
      <c r="F642" t="inlineStr">
        <is>
          <t>JÄMTLANDS LÄN</t>
        </is>
      </c>
      <c r="G642" t="inlineStr">
        <is>
          <t>RAGUNDA</t>
        </is>
      </c>
      <c r="H642" t="inlineStr">
        <is>
          <t>SCA</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52330-2025</t>
        </is>
      </c>
      <c r="B643" t="inlineStr">
        <is>
          <t>avverkningsanmälan</t>
        </is>
      </c>
      <c r="C643" t="inlineStr">
        <is>
          <t>Föryngringsavverkning</t>
        </is>
      </c>
      <c r="D643" s="1" t="n">
        <v>45953</v>
      </c>
      <c r="E643" s="1" t="n">
        <v>46220</v>
      </c>
      <c r="F643" t="inlineStr">
        <is>
          <t>JÄMTLANDS LÄN</t>
        </is>
      </c>
      <c r="G643" t="inlineStr">
        <is>
          <t>RAGUNDA</t>
        </is>
      </c>
      <c r="H643" t="inlineStr">
        <is>
          <t>SCA</t>
        </is>
      </c>
      <c r="I643" t="n">
        <v>10.1</v>
      </c>
      <c r="J643" t="n">
        <v>0</v>
      </c>
      <c r="K643" t="n">
        <v>0</v>
      </c>
      <c r="L643" t="n">
        <v>0</v>
      </c>
      <c r="M643" t="n">
        <v>0</v>
      </c>
      <c r="N643" t="n">
        <v>0</v>
      </c>
      <c r="O643" t="n">
        <v>0</v>
      </c>
      <c r="P643" t="n">
        <v>0</v>
      </c>
      <c r="Q643" t="n">
        <v>0</v>
      </c>
      <c r="R643" t="n">
        <v>0</v>
      </c>
      <c r="S643" t="n">
        <v>0</v>
      </c>
      <c r="T643" t="n">
        <v>0</v>
      </c>
      <c r="U643" s="2" t="inlineStr"/>
    </row>
    <row r="644" ht="15" customHeight="1">
      <c r="A644" t="inlineStr">
        <is>
          <t>A 51912-2025</t>
        </is>
      </c>
      <c r="B644" t="inlineStr">
        <is>
          <t>avverkningsanmälan</t>
        </is>
      </c>
      <c r="C644" t="inlineStr">
        <is>
          <t>Föryngringsavverkning</t>
        </is>
      </c>
      <c r="D644" s="1" t="n">
        <v>45952</v>
      </c>
      <c r="E644" s="1" t="n">
        <v>46220</v>
      </c>
      <c r="F644" t="inlineStr">
        <is>
          <t>JÄMTLANDS LÄN</t>
        </is>
      </c>
      <c r="G644" t="inlineStr">
        <is>
          <t>RAGUNDA</t>
        </is>
      </c>
      <c r="H644" t="inlineStr">
        <is>
          <t>SCA</t>
        </is>
      </c>
      <c r="I644" t="n">
        <v>24.2</v>
      </c>
      <c r="J644" t="n">
        <v>0</v>
      </c>
      <c r="K644" t="n">
        <v>0</v>
      </c>
      <c r="L644" t="n">
        <v>0</v>
      </c>
      <c r="M644" t="n">
        <v>0</v>
      </c>
      <c r="N644" t="n">
        <v>0</v>
      </c>
      <c r="O644" t="n">
        <v>0</v>
      </c>
      <c r="P644" t="n">
        <v>0</v>
      </c>
      <c r="Q644" t="n">
        <v>0</v>
      </c>
      <c r="R644" t="n">
        <v>0</v>
      </c>
      <c r="S644" t="n">
        <v>0</v>
      </c>
      <c r="T644" t="n">
        <v>0</v>
      </c>
      <c r="U644" s="2" t="inlineStr"/>
    </row>
    <row r="645" ht="15" customHeight="1">
      <c r="A645" t="inlineStr">
        <is>
          <t>A 52093-2025</t>
        </is>
      </c>
      <c r="B645" t="inlineStr">
        <is>
          <t>avverkningsanmälan</t>
        </is>
      </c>
      <c r="C645" t="inlineStr">
        <is>
          <t>Föryngringsavverkning</t>
        </is>
      </c>
      <c r="D645" s="1" t="n">
        <v>45952</v>
      </c>
      <c r="E645" s="1" t="n">
        <v>46220</v>
      </c>
      <c r="F645" t="inlineStr">
        <is>
          <t>JÄMTLANDS LÄN</t>
        </is>
      </c>
      <c r="G645" t="inlineStr">
        <is>
          <t>RAGUNDA</t>
        </is>
      </c>
      <c r="H645" t="inlineStr">
        <is>
          <t>SCA</t>
        </is>
      </c>
      <c r="I645" t="n">
        <v>22.7</v>
      </c>
      <c r="J645" t="n">
        <v>0</v>
      </c>
      <c r="K645" t="n">
        <v>0</v>
      </c>
      <c r="L645" t="n">
        <v>0</v>
      </c>
      <c r="M645" t="n">
        <v>0</v>
      </c>
      <c r="N645" t="n">
        <v>0</v>
      </c>
      <c r="O645" t="n">
        <v>0</v>
      </c>
      <c r="P645" t="n">
        <v>0</v>
      </c>
      <c r="Q645" t="n">
        <v>0</v>
      </c>
      <c r="R645" t="n">
        <v>0</v>
      </c>
      <c r="S645" t="n">
        <v>0</v>
      </c>
      <c r="T645" t="n">
        <v>0</v>
      </c>
      <c r="U645" s="2" t="inlineStr"/>
    </row>
    <row r="646" ht="15" customHeight="1">
      <c r="A646" t="inlineStr">
        <is>
          <t>A 51903-2025</t>
        </is>
      </c>
      <c r="B646" t="inlineStr">
        <is>
          <t>avverkningsanmälan</t>
        </is>
      </c>
      <c r="C646" t="inlineStr">
        <is>
          <t>Föryngringsavverkning</t>
        </is>
      </c>
      <c r="D646" s="1" t="n">
        <v>45952</v>
      </c>
      <c r="E646" s="1" t="n">
        <v>46220</v>
      </c>
      <c r="F646" t="inlineStr">
        <is>
          <t>JÄMTLANDS LÄN</t>
        </is>
      </c>
      <c r="G646" t="inlineStr">
        <is>
          <t>RAGUNDA</t>
        </is>
      </c>
      <c r="H646" t="inlineStr">
        <is>
          <t>SCA</t>
        </is>
      </c>
      <c r="I646" t="n">
        <v>20.8</v>
      </c>
      <c r="J646" t="n">
        <v>0</v>
      </c>
      <c r="K646" t="n">
        <v>0</v>
      </c>
      <c r="L646" t="n">
        <v>0</v>
      </c>
      <c r="M646" t="n">
        <v>0</v>
      </c>
      <c r="N646" t="n">
        <v>0</v>
      </c>
      <c r="O646" t="n">
        <v>0</v>
      </c>
      <c r="P646" t="n">
        <v>0</v>
      </c>
      <c r="Q646" t="n">
        <v>0</v>
      </c>
      <c r="R646" t="n">
        <v>0</v>
      </c>
      <c r="S646" t="n">
        <v>0</v>
      </c>
      <c r="T646" t="n">
        <v>0</v>
      </c>
      <c r="U646" s="2" t="inlineStr"/>
    </row>
    <row r="647" ht="15" customHeight="1">
      <c r="A647" t="inlineStr">
        <is>
          <t>A 51932-2025</t>
        </is>
      </c>
      <c r="B647" t="inlineStr">
        <is>
          <t>avverkningsanmälan</t>
        </is>
      </c>
      <c r="C647" t="inlineStr">
        <is>
          <t>Föryngringsavverkning</t>
        </is>
      </c>
      <c r="D647" s="1" t="n">
        <v>45952</v>
      </c>
      <c r="E647" s="1" t="n">
        <v>46220</v>
      </c>
      <c r="F647" t="inlineStr">
        <is>
          <t>JÄMTLANDS LÄN</t>
        </is>
      </c>
      <c r="G647" t="inlineStr">
        <is>
          <t>RAGUNDA</t>
        </is>
      </c>
      <c r="H647" t="inlineStr">
        <is>
          <t>SCA</t>
        </is>
      </c>
      <c r="I647" t="n">
        <v>39.2</v>
      </c>
      <c r="J647" t="n">
        <v>0</v>
      </c>
      <c r="K647" t="n">
        <v>0</v>
      </c>
      <c r="L647" t="n">
        <v>0</v>
      </c>
      <c r="M647" t="n">
        <v>0</v>
      </c>
      <c r="N647" t="n">
        <v>0</v>
      </c>
      <c r="O647" t="n">
        <v>0</v>
      </c>
      <c r="P647" t="n">
        <v>0</v>
      </c>
      <c r="Q647" t="n">
        <v>0</v>
      </c>
      <c r="R647" t="n">
        <v>0</v>
      </c>
      <c r="S647" t="n">
        <v>0</v>
      </c>
      <c r="T647" t="n">
        <v>0</v>
      </c>
      <c r="U647" s="2" t="inlineStr"/>
    </row>
    <row r="648" ht="15" customHeight="1">
      <c r="A648" t="inlineStr">
        <is>
          <t>A 51906-2025</t>
        </is>
      </c>
      <c r="B648" t="inlineStr">
        <is>
          <t>avverkningsanmälan</t>
        </is>
      </c>
      <c r="C648" t="inlineStr">
        <is>
          <t>Föryngringsavverkning</t>
        </is>
      </c>
      <c r="D648" s="1" t="n">
        <v>45952</v>
      </c>
      <c r="E648" s="1" t="n">
        <v>46220</v>
      </c>
      <c r="F648" t="inlineStr">
        <is>
          <t>JÄMTLANDS LÄN</t>
        </is>
      </c>
      <c r="G648" t="inlineStr">
        <is>
          <t>RAGUNDA</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4629-2026</t>
        </is>
      </c>
      <c r="B649" t="inlineStr">
        <is>
          <t>avverkningsanmälan</t>
        </is>
      </c>
      <c r="C649" t="inlineStr">
        <is>
          <t>Föryngringsavverkning</t>
        </is>
      </c>
      <c r="D649" s="1" t="n">
        <v>46048</v>
      </c>
      <c r="E649" s="1" t="n">
        <v>46220</v>
      </c>
      <c r="F649" t="inlineStr">
        <is>
          <t>JÄMTLANDS LÄN</t>
        </is>
      </c>
      <c r="G649" t="inlineStr">
        <is>
          <t>RAGUNDA</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27499-2024</t>
        </is>
      </c>
      <c r="B650" t="inlineStr">
        <is>
          <t>avverkningsanmälan</t>
        </is>
      </c>
      <c r="C650" t="inlineStr">
        <is>
          <t>Föryngringsavverkning</t>
        </is>
      </c>
      <c r="D650" s="1" t="n">
        <v>45474</v>
      </c>
      <c r="E650" s="1" t="n">
        <v>46220</v>
      </c>
      <c r="F650" t="inlineStr">
        <is>
          <t>JÄMTLANDS LÄN</t>
        </is>
      </c>
      <c r="G650" t="inlineStr">
        <is>
          <t>RAGUNDA</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52972-2025</t>
        </is>
      </c>
      <c r="B651" t="inlineStr">
        <is>
          <t>avverkningsanmälan</t>
        </is>
      </c>
      <c r="C651" t="inlineStr">
        <is>
          <t>Föryngringsavverkning</t>
        </is>
      </c>
      <c r="D651" s="1" t="n">
        <v>45957</v>
      </c>
      <c r="E651" s="1" t="n">
        <v>46220</v>
      </c>
      <c r="F651" t="inlineStr">
        <is>
          <t>JÄMTLANDS LÄN</t>
        </is>
      </c>
      <c r="G651" t="inlineStr">
        <is>
          <t>RAGUNDA</t>
        </is>
      </c>
      <c r="H651" t="inlineStr">
        <is>
          <t>SCA</t>
        </is>
      </c>
      <c r="I651" t="n">
        <v>53.4</v>
      </c>
      <c r="J651" t="n">
        <v>0</v>
      </c>
      <c r="K651" t="n">
        <v>0</v>
      </c>
      <c r="L651" t="n">
        <v>0</v>
      </c>
      <c r="M651" t="n">
        <v>0</v>
      </c>
      <c r="N651" t="n">
        <v>0</v>
      </c>
      <c r="O651" t="n">
        <v>0</v>
      </c>
      <c r="P651" t="n">
        <v>0</v>
      </c>
      <c r="Q651" t="n">
        <v>0</v>
      </c>
      <c r="R651" t="n">
        <v>0</v>
      </c>
      <c r="S651" t="n">
        <v>0</v>
      </c>
      <c r="T651" t="n">
        <v>0</v>
      </c>
      <c r="U651" s="2" t="inlineStr"/>
    </row>
    <row r="652" ht="15" customHeight="1">
      <c r="A652" t="inlineStr">
        <is>
          <t>A 57078-2023</t>
        </is>
      </c>
      <c r="B652" t="inlineStr">
        <is>
          <t>avverkningsanmälan</t>
        </is>
      </c>
      <c r="C652" t="inlineStr">
        <is>
          <t>Föryngringsavverkning</t>
        </is>
      </c>
      <c r="D652" s="1" t="n">
        <v>45244</v>
      </c>
      <c r="E652" s="1" t="n">
        <v>46220</v>
      </c>
      <c r="F652" t="inlineStr">
        <is>
          <t>JÄMTLANDS LÄN</t>
        </is>
      </c>
      <c r="G652" t="inlineStr">
        <is>
          <t>RAGUNDA</t>
        </is>
      </c>
      <c r="H652" t="inlineStr">
        <is>
          <t>SCA</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59368-2022</t>
        </is>
      </c>
      <c r="B653" t="inlineStr">
        <is>
          <t>avverkningsanmälan</t>
        </is>
      </c>
      <c r="C653" t="inlineStr">
        <is>
          <t>Avverkning för att bevara och utveckla /försöksver</t>
        </is>
      </c>
      <c r="D653" s="1" t="n">
        <v>44904</v>
      </c>
      <c r="E653" s="1" t="n">
        <v>46220</v>
      </c>
      <c r="F653" t="inlineStr">
        <is>
          <t>JÄMTLANDS LÄN</t>
        </is>
      </c>
      <c r="G653" t="inlineStr">
        <is>
          <t>RAGUNDA</t>
        </is>
      </c>
      <c r="H653" t="inlineStr">
        <is>
          <t>SCA</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52430-2025</t>
        </is>
      </c>
      <c r="B654" t="inlineStr">
        <is>
          <t>avverkningsanmälan</t>
        </is>
      </c>
      <c r="C654" t="inlineStr">
        <is>
          <t>Föryngringsavverkning</t>
        </is>
      </c>
      <c r="D654" s="1" t="n">
        <v>45954</v>
      </c>
      <c r="E654" s="1" t="n">
        <v>46220</v>
      </c>
      <c r="F654" t="inlineStr">
        <is>
          <t>JÄMTLANDS LÄN</t>
        </is>
      </c>
      <c r="G654" t="inlineStr">
        <is>
          <t>RAGUNDA</t>
        </is>
      </c>
      <c r="H654" t="inlineStr">
        <is>
          <t>SCA</t>
        </is>
      </c>
      <c r="I654" t="n">
        <v>18</v>
      </c>
      <c r="J654" t="n">
        <v>0</v>
      </c>
      <c r="K654" t="n">
        <v>0</v>
      </c>
      <c r="L654" t="n">
        <v>0</v>
      </c>
      <c r="M654" t="n">
        <v>0</v>
      </c>
      <c r="N654" t="n">
        <v>0</v>
      </c>
      <c r="O654" t="n">
        <v>0</v>
      </c>
      <c r="P654" t="n">
        <v>0</v>
      </c>
      <c r="Q654" t="n">
        <v>0</v>
      </c>
      <c r="R654" t="n">
        <v>0</v>
      </c>
      <c r="S654" t="n">
        <v>0</v>
      </c>
      <c r="T654" t="n">
        <v>0</v>
      </c>
      <c r="U654" s="2" t="inlineStr"/>
    </row>
    <row r="655" ht="15" customHeight="1">
      <c r="A655" t="inlineStr">
        <is>
          <t>A 6801-2023</t>
        </is>
      </c>
      <c r="B655" t="inlineStr">
        <is>
          <t>avverkningsanmälan</t>
        </is>
      </c>
      <c r="C655" t="inlineStr">
        <is>
          <t>Föryngringsavverkning</t>
        </is>
      </c>
      <c r="D655" s="1" t="n">
        <v>44966</v>
      </c>
      <c r="E655" s="1" t="n">
        <v>46220</v>
      </c>
      <c r="F655" t="inlineStr">
        <is>
          <t>JÄMTLANDS LÄN</t>
        </is>
      </c>
      <c r="G655" t="inlineStr">
        <is>
          <t>RAGUNDA</t>
        </is>
      </c>
      <c r="H655" t="inlineStr">
        <is>
          <t>SCA</t>
        </is>
      </c>
      <c r="I655" t="n">
        <v>10.6</v>
      </c>
      <c r="J655" t="n">
        <v>0</v>
      </c>
      <c r="K655" t="n">
        <v>0</v>
      </c>
      <c r="L655" t="n">
        <v>0</v>
      </c>
      <c r="M655" t="n">
        <v>0</v>
      </c>
      <c r="N655" t="n">
        <v>0</v>
      </c>
      <c r="O655" t="n">
        <v>0</v>
      </c>
      <c r="P655" t="n">
        <v>0</v>
      </c>
      <c r="Q655" t="n">
        <v>0</v>
      </c>
      <c r="R655" t="n">
        <v>0</v>
      </c>
      <c r="S655" t="n">
        <v>0</v>
      </c>
      <c r="T655" t="n">
        <v>0</v>
      </c>
      <c r="U655" s="2" t="inlineStr"/>
    </row>
    <row r="656" ht="15" customHeight="1">
      <c r="A656" t="inlineStr">
        <is>
          <t>A 52875-2025</t>
        </is>
      </c>
      <c r="B656" t="inlineStr">
        <is>
          <t>avverkningsanmälan</t>
        </is>
      </c>
      <c r="C656" t="inlineStr">
        <is>
          <t>Föryngringsavverkning</t>
        </is>
      </c>
      <c r="D656" s="1" t="n">
        <v>45957</v>
      </c>
      <c r="E656" s="1" t="n">
        <v>46220</v>
      </c>
      <c r="F656" t="inlineStr">
        <is>
          <t>JÄMTLANDS LÄN</t>
        </is>
      </c>
      <c r="G656" t="inlineStr">
        <is>
          <t>RAGUNDA</t>
        </is>
      </c>
      <c r="H656" t="inlineStr">
        <is>
          <t>SCA</t>
        </is>
      </c>
      <c r="I656" t="n">
        <v>34.3</v>
      </c>
      <c r="J656" t="n">
        <v>0</v>
      </c>
      <c r="K656" t="n">
        <v>0</v>
      </c>
      <c r="L656" t="n">
        <v>0</v>
      </c>
      <c r="M656" t="n">
        <v>0</v>
      </c>
      <c r="N656" t="n">
        <v>0</v>
      </c>
      <c r="O656" t="n">
        <v>0</v>
      </c>
      <c r="P656" t="n">
        <v>0</v>
      </c>
      <c r="Q656" t="n">
        <v>0</v>
      </c>
      <c r="R656" t="n">
        <v>0</v>
      </c>
      <c r="S656" t="n">
        <v>0</v>
      </c>
      <c r="T656" t="n">
        <v>0</v>
      </c>
      <c r="U656" s="2" t="inlineStr"/>
    </row>
    <row r="657" ht="15" customHeight="1">
      <c r="A657" t="inlineStr">
        <is>
          <t>A 5009-2026</t>
        </is>
      </c>
      <c r="B657" t="inlineStr">
        <is>
          <t>avverkningsanmälan</t>
        </is>
      </c>
      <c r="C657" t="inlineStr">
        <is>
          <t>Föryngringsavverkning</t>
        </is>
      </c>
      <c r="D657" s="1" t="n">
        <v>46049</v>
      </c>
      <c r="E657" s="1" t="n">
        <v>46220</v>
      </c>
      <c r="F657" t="inlineStr">
        <is>
          <t>JÄMTLANDS LÄN</t>
        </is>
      </c>
      <c r="G657" t="inlineStr">
        <is>
          <t>RAGUNDA</t>
        </is>
      </c>
      <c r="H657" t="inlineStr">
        <is>
          <t>SCA</t>
        </is>
      </c>
      <c r="I657" t="n">
        <v>37.4</v>
      </c>
      <c r="J657" t="n">
        <v>0</v>
      </c>
      <c r="K657" t="n">
        <v>0</v>
      </c>
      <c r="L657" t="n">
        <v>0</v>
      </c>
      <c r="M657" t="n">
        <v>0</v>
      </c>
      <c r="N657" t="n">
        <v>0</v>
      </c>
      <c r="O657" t="n">
        <v>0</v>
      </c>
      <c r="P657" t="n">
        <v>0</v>
      </c>
      <c r="Q657" t="n">
        <v>0</v>
      </c>
      <c r="R657" t="n">
        <v>0</v>
      </c>
      <c r="S657" t="n">
        <v>0</v>
      </c>
      <c r="T657" t="n">
        <v>0</v>
      </c>
      <c r="U657" s="2" t="inlineStr"/>
    </row>
    <row r="658" ht="15" customHeight="1">
      <c r="A658" t="inlineStr">
        <is>
          <t>A 41656-2023</t>
        </is>
      </c>
      <c r="B658" t="inlineStr">
        <is>
          <t>avverkningsanmälan</t>
        </is>
      </c>
      <c r="C658" t="inlineStr">
        <is>
          <t>Föryngringsavverkning</t>
        </is>
      </c>
      <c r="D658" s="1" t="n">
        <v>45175</v>
      </c>
      <c r="E658" s="1" t="n">
        <v>46220</v>
      </c>
      <c r="F658" t="inlineStr">
        <is>
          <t>JÄMTLANDS LÄN</t>
        </is>
      </c>
      <c r="G658" t="inlineStr">
        <is>
          <t>RAGUNDA</t>
        </is>
      </c>
      <c r="H658" t="inlineStr">
        <is>
          <t>SCA</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4841-2026</t>
        </is>
      </c>
      <c r="B659" t="inlineStr">
        <is>
          <t>avverkningsanmälan</t>
        </is>
      </c>
      <c r="C659" t="inlineStr">
        <is>
          <t>Föryngringsavverkning</t>
        </is>
      </c>
      <c r="D659" s="1" t="n">
        <v>46048</v>
      </c>
      <c r="E659" s="1" t="n">
        <v>46220</v>
      </c>
      <c r="F659" t="inlineStr">
        <is>
          <t>JÄMTLANDS LÄN</t>
        </is>
      </c>
      <c r="G659" t="inlineStr">
        <is>
          <t>RAGUNDA</t>
        </is>
      </c>
      <c r="H659" t="inlineStr">
        <is>
          <t>SCA</t>
        </is>
      </c>
      <c r="I659" t="n">
        <v>2.3</v>
      </c>
      <c r="J659" t="n">
        <v>0</v>
      </c>
      <c r="K659" t="n">
        <v>0</v>
      </c>
      <c r="L659" t="n">
        <v>0</v>
      </c>
      <c r="M659" t="n">
        <v>0</v>
      </c>
      <c r="N659" t="n">
        <v>0</v>
      </c>
      <c r="O659" t="n">
        <v>0</v>
      </c>
      <c r="P659" t="n">
        <v>0</v>
      </c>
      <c r="Q659" t="n">
        <v>0</v>
      </c>
      <c r="R659" t="n">
        <v>0</v>
      </c>
      <c r="S659" t="n">
        <v>0</v>
      </c>
      <c r="T659" t="n">
        <v>0</v>
      </c>
      <c r="U659" s="2" t="inlineStr"/>
    </row>
    <row r="660" ht="15" customHeight="1">
      <c r="A660" t="inlineStr">
        <is>
          <t>A 53211-2025</t>
        </is>
      </c>
      <c r="B660" t="inlineStr">
        <is>
          <t>avverkningsanmälan</t>
        </is>
      </c>
      <c r="C660" t="inlineStr">
        <is>
          <t>Föryngringsavverkning</t>
        </is>
      </c>
      <c r="D660" s="1" t="n">
        <v>45958</v>
      </c>
      <c r="E660" s="1" t="n">
        <v>46220</v>
      </c>
      <c r="F660" t="inlineStr">
        <is>
          <t>JÄMTLANDS LÄN</t>
        </is>
      </c>
      <c r="G660" t="inlineStr">
        <is>
          <t>RAGUNDA</t>
        </is>
      </c>
      <c r="H660" t="inlineStr">
        <is>
          <t>SCA</t>
        </is>
      </c>
      <c r="I660" t="n">
        <v>7.4</v>
      </c>
      <c r="J660" t="n">
        <v>0</v>
      </c>
      <c r="K660" t="n">
        <v>0</v>
      </c>
      <c r="L660" t="n">
        <v>0</v>
      </c>
      <c r="M660" t="n">
        <v>0</v>
      </c>
      <c r="N660" t="n">
        <v>0</v>
      </c>
      <c r="O660" t="n">
        <v>0</v>
      </c>
      <c r="P660" t="n">
        <v>0</v>
      </c>
      <c r="Q660" t="n">
        <v>0</v>
      </c>
      <c r="R660" t="n">
        <v>0</v>
      </c>
      <c r="S660" t="n">
        <v>0</v>
      </c>
      <c r="T660" t="n">
        <v>0</v>
      </c>
      <c r="U660" s="2" t="inlineStr"/>
    </row>
    <row r="661" ht="15" customHeight="1">
      <c r="A661" t="inlineStr">
        <is>
          <t>A 53032-2025</t>
        </is>
      </c>
      <c r="B661" t="inlineStr">
        <is>
          <t>avverkningsanmälan</t>
        </is>
      </c>
      <c r="C661" t="inlineStr">
        <is>
          <t>Föryngringsavverkning</t>
        </is>
      </c>
      <c r="D661" s="1" t="n">
        <v>45958</v>
      </c>
      <c r="E661" s="1" t="n">
        <v>46220</v>
      </c>
      <c r="F661" t="inlineStr">
        <is>
          <t>JÄMTLANDS LÄN</t>
        </is>
      </c>
      <c r="G661" t="inlineStr">
        <is>
          <t>RAGUNDA</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51646-2023</t>
        </is>
      </c>
      <c r="B662" t="inlineStr">
        <is>
          <t>avverkningsanmälan</t>
        </is>
      </c>
      <c r="C662" t="inlineStr">
        <is>
          <t>Föryngringsavverkning</t>
        </is>
      </c>
      <c r="D662" s="1" t="n">
        <v>45215</v>
      </c>
      <c r="E662" s="1" t="n">
        <v>46220</v>
      </c>
      <c r="F662" t="inlineStr">
        <is>
          <t>JÄMTLANDS LÄN</t>
        </is>
      </c>
      <c r="G662" t="inlineStr">
        <is>
          <t>RAGUNDA</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53075-2025</t>
        </is>
      </c>
      <c r="B663" t="inlineStr">
        <is>
          <t>avverkningsanmälan</t>
        </is>
      </c>
      <c r="C663" t="inlineStr">
        <is>
          <t>Föryngringsavverkning</t>
        </is>
      </c>
      <c r="D663" s="1" t="n">
        <v>45958</v>
      </c>
      <c r="E663" s="1" t="n">
        <v>46220</v>
      </c>
      <c r="F663" t="inlineStr">
        <is>
          <t>JÄMTLANDS LÄN</t>
        </is>
      </c>
      <c r="G663" t="inlineStr">
        <is>
          <t>RAGUNDA</t>
        </is>
      </c>
      <c r="H663" t="inlineStr">
        <is>
          <t>SCA</t>
        </is>
      </c>
      <c r="I663" t="n">
        <v>28.9</v>
      </c>
      <c r="J663" t="n">
        <v>0</v>
      </c>
      <c r="K663" t="n">
        <v>0</v>
      </c>
      <c r="L663" t="n">
        <v>0</v>
      </c>
      <c r="M663" t="n">
        <v>0</v>
      </c>
      <c r="N663" t="n">
        <v>0</v>
      </c>
      <c r="O663" t="n">
        <v>0</v>
      </c>
      <c r="P663" t="n">
        <v>0</v>
      </c>
      <c r="Q663" t="n">
        <v>0</v>
      </c>
      <c r="R663" t="n">
        <v>0</v>
      </c>
      <c r="S663" t="n">
        <v>0</v>
      </c>
      <c r="T663" t="n">
        <v>0</v>
      </c>
      <c r="U663" s="2" t="inlineStr"/>
    </row>
    <row r="664" ht="15" customHeight="1">
      <c r="A664" t="inlineStr">
        <is>
          <t>A 37268-2024</t>
        </is>
      </c>
      <c r="B664" t="inlineStr">
        <is>
          <t>avverkningsanmälan</t>
        </is>
      </c>
      <c r="C664" t="inlineStr">
        <is>
          <t>Avverkning för annat ändamål</t>
        </is>
      </c>
      <c r="D664" s="1" t="n">
        <v>45540</v>
      </c>
      <c r="E664" s="1" t="n">
        <v>46220</v>
      </c>
      <c r="F664" t="inlineStr">
        <is>
          <t>JÄMTLANDS LÄN</t>
        </is>
      </c>
      <c r="G664" t="inlineStr">
        <is>
          <t>RAGUNDA</t>
        </is>
      </c>
      <c r="H664" t="inlineStr">
        <is>
          <t>SCA</t>
        </is>
      </c>
      <c r="I664" t="n">
        <v>6.3</v>
      </c>
      <c r="J664" t="n">
        <v>0</v>
      </c>
      <c r="K664" t="n">
        <v>0</v>
      </c>
      <c r="L664" t="n">
        <v>0</v>
      </c>
      <c r="M664" t="n">
        <v>0</v>
      </c>
      <c r="N664" t="n">
        <v>0</v>
      </c>
      <c r="O664" t="n">
        <v>0</v>
      </c>
      <c r="P664" t="n">
        <v>0</v>
      </c>
      <c r="Q664" t="n">
        <v>0</v>
      </c>
      <c r="R664" t="n">
        <v>0</v>
      </c>
      <c r="S664" t="n">
        <v>0</v>
      </c>
      <c r="T664" t="n">
        <v>0</v>
      </c>
      <c r="U664" s="2" t="inlineStr"/>
    </row>
    <row r="665" ht="15" customHeight="1">
      <c r="A665" t="inlineStr">
        <is>
          <t>A 25304-2023</t>
        </is>
      </c>
      <c r="B665" t="inlineStr">
        <is>
          <t>avverkningsanmälan</t>
        </is>
      </c>
      <c r="C665" t="inlineStr">
        <is>
          <t>Avverkning för annat ändamål</t>
        </is>
      </c>
      <c r="D665" s="1" t="n">
        <v>45086</v>
      </c>
      <c r="E665" s="1" t="n">
        <v>46220</v>
      </c>
      <c r="F665" t="inlineStr">
        <is>
          <t>JÄMTLANDS LÄN</t>
        </is>
      </c>
      <c r="G665" t="inlineStr">
        <is>
          <t>RAGUNDA</t>
        </is>
      </c>
      <c r="H665" t="inlineStr">
        <is>
          <t>SCA</t>
        </is>
      </c>
      <c r="I665" t="n">
        <v>1.7</v>
      </c>
      <c r="J665" t="n">
        <v>0</v>
      </c>
      <c r="K665" t="n">
        <v>0</v>
      </c>
      <c r="L665" t="n">
        <v>0</v>
      </c>
      <c r="M665" t="n">
        <v>0</v>
      </c>
      <c r="N665" t="n">
        <v>0</v>
      </c>
      <c r="O665" t="n">
        <v>0</v>
      </c>
      <c r="P665" t="n">
        <v>0</v>
      </c>
      <c r="Q665" t="n">
        <v>0</v>
      </c>
      <c r="R665" t="n">
        <v>0</v>
      </c>
      <c r="S665" t="n">
        <v>0</v>
      </c>
      <c r="T665" t="n">
        <v>0</v>
      </c>
      <c r="U665" s="2" t="inlineStr"/>
    </row>
    <row r="666" ht="15" customHeight="1">
      <c r="A666" t="inlineStr">
        <is>
          <t>A 5359-2026</t>
        </is>
      </c>
      <c r="B666" t="inlineStr">
        <is>
          <t>avverkningsanmälan</t>
        </is>
      </c>
      <c r="C666" t="inlineStr">
        <is>
          <t>Föryngringsavverkning</t>
        </is>
      </c>
      <c r="D666" s="1" t="n">
        <v>46050</v>
      </c>
      <c r="E666" s="1" t="n">
        <v>46220</v>
      </c>
      <c r="F666" t="inlineStr">
        <is>
          <t>JÄMTLANDS LÄN</t>
        </is>
      </c>
      <c r="G666" t="inlineStr">
        <is>
          <t>RAGUNDA</t>
        </is>
      </c>
      <c r="H666" t="inlineStr">
        <is>
          <t>SCA</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53986-2025</t>
        </is>
      </c>
      <c r="B667" t="inlineStr">
        <is>
          <t>avverkningsanmälan</t>
        </is>
      </c>
      <c r="C667" t="inlineStr">
        <is>
          <t>Föryngringsavverkning</t>
        </is>
      </c>
      <c r="D667" s="1" t="n">
        <v>45961</v>
      </c>
      <c r="E667" s="1" t="n">
        <v>46220</v>
      </c>
      <c r="F667" t="inlineStr">
        <is>
          <t>JÄMTLANDS LÄN</t>
        </is>
      </c>
      <c r="G667" t="inlineStr">
        <is>
          <t>RAGUNDA</t>
        </is>
      </c>
      <c r="H667" t="inlineStr">
        <is>
          <t>SCA</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53973-2025</t>
        </is>
      </c>
      <c r="B668" t="inlineStr">
        <is>
          <t>avverkningsanmälan</t>
        </is>
      </c>
      <c r="C668" t="inlineStr">
        <is>
          <t>Föryngringsavverkning</t>
        </is>
      </c>
      <c r="D668" s="1" t="n">
        <v>45961</v>
      </c>
      <c r="E668" s="1" t="n">
        <v>46220</v>
      </c>
      <c r="F668" t="inlineStr">
        <is>
          <t>JÄMTLANDS LÄN</t>
        </is>
      </c>
      <c r="G668" t="inlineStr">
        <is>
          <t>RAGUNDA</t>
        </is>
      </c>
      <c r="I668" t="n">
        <v>2.4</v>
      </c>
      <c r="J668" t="n">
        <v>0</v>
      </c>
      <c r="K668" t="n">
        <v>0</v>
      </c>
      <c r="L668" t="n">
        <v>0</v>
      </c>
      <c r="M668" t="n">
        <v>0</v>
      </c>
      <c r="N668" t="n">
        <v>0</v>
      </c>
      <c r="O668" t="n">
        <v>0</v>
      </c>
      <c r="P668" t="n">
        <v>0</v>
      </c>
      <c r="Q668" t="n">
        <v>0</v>
      </c>
      <c r="R668" t="n">
        <v>0</v>
      </c>
      <c r="S668" t="n">
        <v>0</v>
      </c>
      <c r="T668" t="n">
        <v>0</v>
      </c>
      <c r="U668" s="2" t="inlineStr"/>
    </row>
    <row r="669" ht="15" customHeight="1">
      <c r="A669" t="inlineStr">
        <is>
          <t>A 53549-2025</t>
        </is>
      </c>
      <c r="B669" t="inlineStr">
        <is>
          <t>avverkningsanmälan</t>
        </is>
      </c>
      <c r="C669" t="inlineStr">
        <is>
          <t>Föryngringsavverkning</t>
        </is>
      </c>
      <c r="D669" s="1" t="n">
        <v>45960</v>
      </c>
      <c r="E669" s="1" t="n">
        <v>46220</v>
      </c>
      <c r="F669" t="inlineStr">
        <is>
          <t>JÄMTLANDS LÄN</t>
        </is>
      </c>
      <c r="G669" t="inlineStr">
        <is>
          <t>RAGUNDA</t>
        </is>
      </c>
      <c r="I669" t="n">
        <v>5.4</v>
      </c>
      <c r="J669" t="n">
        <v>0</v>
      </c>
      <c r="K669" t="n">
        <v>0</v>
      </c>
      <c r="L669" t="n">
        <v>0</v>
      </c>
      <c r="M669" t="n">
        <v>0</v>
      </c>
      <c r="N669" t="n">
        <v>0</v>
      </c>
      <c r="O669" t="n">
        <v>0</v>
      </c>
      <c r="P669" t="n">
        <v>0</v>
      </c>
      <c r="Q669" t="n">
        <v>0</v>
      </c>
      <c r="R669" t="n">
        <v>0</v>
      </c>
      <c r="S669" t="n">
        <v>0</v>
      </c>
      <c r="T669" t="n">
        <v>0</v>
      </c>
      <c r="U669" s="2" t="inlineStr"/>
    </row>
    <row r="670" ht="15" customHeight="1">
      <c r="A670" t="inlineStr">
        <is>
          <t>A 53726-2025</t>
        </is>
      </c>
      <c r="B670" t="inlineStr">
        <is>
          <t>avverkningsanmälan</t>
        </is>
      </c>
      <c r="C670" t="inlineStr">
        <is>
          <t>Föryngringsavverkning</t>
        </is>
      </c>
      <c r="D670" s="1" t="n">
        <v>45960</v>
      </c>
      <c r="E670" s="1" t="n">
        <v>46220</v>
      </c>
      <c r="F670" t="inlineStr">
        <is>
          <t>JÄMTLANDS LÄN</t>
        </is>
      </c>
      <c r="G670" t="inlineStr">
        <is>
          <t>RAGUNDA</t>
        </is>
      </c>
      <c r="H670" t="inlineStr">
        <is>
          <t>SCA</t>
        </is>
      </c>
      <c r="I670" t="n">
        <v>10.9</v>
      </c>
      <c r="J670" t="n">
        <v>0</v>
      </c>
      <c r="K670" t="n">
        <v>0</v>
      </c>
      <c r="L670" t="n">
        <v>0</v>
      </c>
      <c r="M670" t="n">
        <v>0</v>
      </c>
      <c r="N670" t="n">
        <v>0</v>
      </c>
      <c r="O670" t="n">
        <v>0</v>
      </c>
      <c r="P670" t="n">
        <v>0</v>
      </c>
      <c r="Q670" t="n">
        <v>0</v>
      </c>
      <c r="R670" t="n">
        <v>0</v>
      </c>
      <c r="S670" t="n">
        <v>0</v>
      </c>
      <c r="T670" t="n">
        <v>0</v>
      </c>
      <c r="U670" s="2" t="inlineStr"/>
    </row>
    <row r="671" ht="15" customHeight="1">
      <c r="A671" t="inlineStr">
        <is>
          <t>A 53748-2025</t>
        </is>
      </c>
      <c r="B671" t="inlineStr">
        <is>
          <t>avverkningsanmälan</t>
        </is>
      </c>
      <c r="C671" t="inlineStr">
        <is>
          <t>Föryngringsavverkning</t>
        </is>
      </c>
      <c r="D671" s="1" t="n">
        <v>45960</v>
      </c>
      <c r="E671" s="1" t="n">
        <v>46220</v>
      </c>
      <c r="F671" t="inlineStr">
        <is>
          <t>JÄMTLANDS LÄN</t>
        </is>
      </c>
      <c r="G671" t="inlineStr">
        <is>
          <t>RAGUNDA</t>
        </is>
      </c>
      <c r="H671" t="inlineStr">
        <is>
          <t>SCA</t>
        </is>
      </c>
      <c r="I671" t="n">
        <v>14.9</v>
      </c>
      <c r="J671" t="n">
        <v>0</v>
      </c>
      <c r="K671" t="n">
        <v>0</v>
      </c>
      <c r="L671" t="n">
        <v>0</v>
      </c>
      <c r="M671" t="n">
        <v>0</v>
      </c>
      <c r="N671" t="n">
        <v>0</v>
      </c>
      <c r="O671" t="n">
        <v>0</v>
      </c>
      <c r="P671" t="n">
        <v>0</v>
      </c>
      <c r="Q671" t="n">
        <v>0</v>
      </c>
      <c r="R671" t="n">
        <v>0</v>
      </c>
      <c r="S671" t="n">
        <v>0</v>
      </c>
      <c r="T671" t="n">
        <v>0</v>
      </c>
      <c r="U671" s="2" t="inlineStr"/>
    </row>
    <row r="672" ht="15" customHeight="1">
      <c r="A672" t="inlineStr">
        <is>
          <t>A 6174-2026</t>
        </is>
      </c>
      <c r="B672" t="inlineStr">
        <is>
          <t>avverkningsanmälan</t>
        </is>
      </c>
      <c r="C672" t="inlineStr">
        <is>
          <t>Föryngringsavverkning</t>
        </is>
      </c>
      <c r="D672" s="1" t="n">
        <v>46055</v>
      </c>
      <c r="E672" s="1" t="n">
        <v>46220</v>
      </c>
      <c r="F672" t="inlineStr">
        <is>
          <t>JÄMTLANDS LÄN</t>
        </is>
      </c>
      <c r="G672" t="inlineStr">
        <is>
          <t>RAGUNDA</t>
        </is>
      </c>
      <c r="H672" t="inlineStr">
        <is>
          <t>SCA</t>
        </is>
      </c>
      <c r="I672" t="n">
        <v>24.3</v>
      </c>
      <c r="J672" t="n">
        <v>0</v>
      </c>
      <c r="K672" t="n">
        <v>0</v>
      </c>
      <c r="L672" t="n">
        <v>0</v>
      </c>
      <c r="M672" t="n">
        <v>0</v>
      </c>
      <c r="N672" t="n">
        <v>0</v>
      </c>
      <c r="O672" t="n">
        <v>0</v>
      </c>
      <c r="P672" t="n">
        <v>0</v>
      </c>
      <c r="Q672" t="n">
        <v>0</v>
      </c>
      <c r="R672" t="n">
        <v>0</v>
      </c>
      <c r="S672" t="n">
        <v>0</v>
      </c>
      <c r="T672" t="n">
        <v>0</v>
      </c>
      <c r="U672" s="2" t="inlineStr"/>
    </row>
    <row r="673" ht="15" customHeight="1">
      <c r="A673" t="inlineStr">
        <is>
          <t>A 53765-2025</t>
        </is>
      </c>
      <c r="B673" t="inlineStr">
        <is>
          <t>avverkningsanmälan</t>
        </is>
      </c>
      <c r="C673" t="inlineStr">
        <is>
          <t>Föryngringsavverkning</t>
        </is>
      </c>
      <c r="D673" s="1" t="n">
        <v>45960</v>
      </c>
      <c r="E673" s="1" t="n">
        <v>46220</v>
      </c>
      <c r="F673" t="inlineStr">
        <is>
          <t>JÄMTLANDS LÄN</t>
        </is>
      </c>
      <c r="G673" t="inlineStr">
        <is>
          <t>RAGUNDA</t>
        </is>
      </c>
      <c r="H673" t="inlineStr">
        <is>
          <t>SCA</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53951-2025</t>
        </is>
      </c>
      <c r="B674" t="inlineStr">
        <is>
          <t>avverkningsanmälan</t>
        </is>
      </c>
      <c r="C674" t="inlineStr">
        <is>
          <t>Föryngringsavverkning</t>
        </is>
      </c>
      <c r="D674" s="1" t="n">
        <v>45961</v>
      </c>
      <c r="E674" s="1" t="n">
        <v>46220</v>
      </c>
      <c r="F674" t="inlineStr">
        <is>
          <t>JÄMTLANDS LÄN</t>
        </is>
      </c>
      <c r="G674" t="inlineStr">
        <is>
          <t>RAGUNDA</t>
        </is>
      </c>
      <c r="I674" t="n">
        <v>1.8</v>
      </c>
      <c r="J674" t="n">
        <v>0</v>
      </c>
      <c r="K674" t="n">
        <v>0</v>
      </c>
      <c r="L674" t="n">
        <v>0</v>
      </c>
      <c r="M674" t="n">
        <v>0</v>
      </c>
      <c r="N674" t="n">
        <v>0</v>
      </c>
      <c r="O674" t="n">
        <v>0</v>
      </c>
      <c r="P674" t="n">
        <v>0</v>
      </c>
      <c r="Q674" t="n">
        <v>0</v>
      </c>
      <c r="R674" t="n">
        <v>0</v>
      </c>
      <c r="S674" t="n">
        <v>0</v>
      </c>
      <c r="T674" t="n">
        <v>0</v>
      </c>
      <c r="U674" s="2" t="inlineStr"/>
    </row>
    <row r="675" ht="15" customHeight="1">
      <c r="A675" t="inlineStr">
        <is>
          <t>A 53948-2025</t>
        </is>
      </c>
      <c r="B675" t="inlineStr">
        <is>
          <t>avverkningsanmälan</t>
        </is>
      </c>
      <c r="C675" t="inlineStr">
        <is>
          <t>Föryngringsavverkning</t>
        </is>
      </c>
      <c r="D675" s="1" t="n">
        <v>45961</v>
      </c>
      <c r="E675" s="1" t="n">
        <v>46220</v>
      </c>
      <c r="F675" t="inlineStr">
        <is>
          <t>JÄMTLANDS LÄN</t>
        </is>
      </c>
      <c r="G675" t="inlineStr">
        <is>
          <t>RAGUNDA</t>
        </is>
      </c>
      <c r="I675" t="n">
        <v>7.9</v>
      </c>
      <c r="J675" t="n">
        <v>0</v>
      </c>
      <c r="K675" t="n">
        <v>0</v>
      </c>
      <c r="L675" t="n">
        <v>0</v>
      </c>
      <c r="M675" t="n">
        <v>0</v>
      </c>
      <c r="N675" t="n">
        <v>0</v>
      </c>
      <c r="O675" t="n">
        <v>0</v>
      </c>
      <c r="P675" t="n">
        <v>0</v>
      </c>
      <c r="Q675" t="n">
        <v>0</v>
      </c>
      <c r="R675" t="n">
        <v>0</v>
      </c>
      <c r="S675" t="n">
        <v>0</v>
      </c>
      <c r="T675" t="n">
        <v>0</v>
      </c>
      <c r="U675" s="2" t="inlineStr"/>
    </row>
    <row r="676" ht="15" customHeight="1">
      <c r="A676" t="inlineStr">
        <is>
          <t>A 54195-2025</t>
        </is>
      </c>
      <c r="B676" t="inlineStr">
        <is>
          <t>avverkningsanmälan</t>
        </is>
      </c>
      <c r="C676" t="inlineStr">
        <is>
          <t>Föryngringsavverkning</t>
        </is>
      </c>
      <c r="D676" s="1" t="n">
        <v>45964</v>
      </c>
      <c r="E676" s="1" t="n">
        <v>46220</v>
      </c>
      <c r="F676" t="inlineStr">
        <is>
          <t>JÄMTLANDS LÄN</t>
        </is>
      </c>
      <c r="G676" t="inlineStr">
        <is>
          <t>RAGUNDA</t>
        </is>
      </c>
      <c r="H676" t="inlineStr">
        <is>
          <t>SCA</t>
        </is>
      </c>
      <c r="I676" t="n">
        <v>5.3</v>
      </c>
      <c r="J676" t="n">
        <v>0</v>
      </c>
      <c r="K676" t="n">
        <v>0</v>
      </c>
      <c r="L676" t="n">
        <v>0</v>
      </c>
      <c r="M676" t="n">
        <v>0</v>
      </c>
      <c r="N676" t="n">
        <v>0</v>
      </c>
      <c r="O676" t="n">
        <v>0</v>
      </c>
      <c r="P676" t="n">
        <v>0</v>
      </c>
      <c r="Q676" t="n">
        <v>0</v>
      </c>
      <c r="R676" t="n">
        <v>0</v>
      </c>
      <c r="S676" t="n">
        <v>0</v>
      </c>
      <c r="T676" t="n">
        <v>0</v>
      </c>
      <c r="U676" s="2" t="inlineStr"/>
    </row>
    <row r="677" ht="15" customHeight="1">
      <c r="A677" t="inlineStr">
        <is>
          <t>A 54396-2025</t>
        </is>
      </c>
      <c r="B677" t="inlineStr">
        <is>
          <t>avverkningsanmälan</t>
        </is>
      </c>
      <c r="C677" t="inlineStr">
        <is>
          <t>Föryngringsavverkning</t>
        </is>
      </c>
      <c r="D677" s="1" t="n">
        <v>45965</v>
      </c>
      <c r="E677" s="1" t="n">
        <v>46220</v>
      </c>
      <c r="F677" t="inlineStr">
        <is>
          <t>JÄMTLANDS LÄN</t>
        </is>
      </c>
      <c r="G677" t="inlineStr">
        <is>
          <t>RAGUNDA</t>
        </is>
      </c>
      <c r="H677" t="inlineStr">
        <is>
          <t>SCA</t>
        </is>
      </c>
      <c r="I677" t="n">
        <v>35.2</v>
      </c>
      <c r="J677" t="n">
        <v>0</v>
      </c>
      <c r="K677" t="n">
        <v>0</v>
      </c>
      <c r="L677" t="n">
        <v>0</v>
      </c>
      <c r="M677" t="n">
        <v>0</v>
      </c>
      <c r="N677" t="n">
        <v>0</v>
      </c>
      <c r="O677" t="n">
        <v>0</v>
      </c>
      <c r="P677" t="n">
        <v>0</v>
      </c>
      <c r="Q677" t="n">
        <v>0</v>
      </c>
      <c r="R677" t="n">
        <v>0</v>
      </c>
      <c r="S677" t="n">
        <v>0</v>
      </c>
      <c r="T677" t="n">
        <v>0</v>
      </c>
      <c r="U677" s="2" t="inlineStr"/>
    </row>
    <row r="678" ht="15" customHeight="1">
      <c r="A678" t="inlineStr">
        <is>
          <t>A 6569-2026</t>
        </is>
      </c>
      <c r="B678" t="inlineStr">
        <is>
          <t>avverkningsanmälan</t>
        </is>
      </c>
      <c r="C678" t="inlineStr">
        <is>
          <t>Föryngringsavverkning</t>
        </is>
      </c>
      <c r="D678" s="1" t="n">
        <v>46052</v>
      </c>
      <c r="E678" s="1" t="n">
        <v>46220</v>
      </c>
      <c r="F678" t="inlineStr">
        <is>
          <t>JÄMTLANDS LÄN</t>
        </is>
      </c>
      <c r="G678" t="inlineStr">
        <is>
          <t>RAGUNDA</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50649-2022</t>
        </is>
      </c>
      <c r="B679" t="inlineStr">
        <is>
          <t>avverkningsanmälan</t>
        </is>
      </c>
      <c r="C679" t="inlineStr">
        <is>
          <t>Avverkning för att bevara och utveckla /försöksver</t>
        </is>
      </c>
      <c r="D679" s="1" t="n">
        <v>44866</v>
      </c>
      <c r="E679" s="1" t="n">
        <v>46220</v>
      </c>
      <c r="F679" t="inlineStr">
        <is>
          <t>JÄMTLANDS LÄN</t>
        </is>
      </c>
      <c r="G679" t="inlineStr">
        <is>
          <t>RAGUNDA</t>
        </is>
      </c>
      <c r="H679" t="inlineStr">
        <is>
          <t>SCA</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54794-2025</t>
        </is>
      </c>
      <c r="B680" t="inlineStr">
        <is>
          <t>avverkningsanmälan</t>
        </is>
      </c>
      <c r="C680" t="inlineStr">
        <is>
          <t>Föryngringsavverkning</t>
        </is>
      </c>
      <c r="D680" s="1" t="n">
        <v>45966</v>
      </c>
      <c r="E680" s="1" t="n">
        <v>46220</v>
      </c>
      <c r="F680" t="inlineStr">
        <is>
          <t>JÄMTLANDS LÄN</t>
        </is>
      </c>
      <c r="G680" t="inlineStr">
        <is>
          <t>RAGUNDA</t>
        </is>
      </c>
      <c r="I680" t="n">
        <v>4</v>
      </c>
      <c r="J680" t="n">
        <v>0</v>
      </c>
      <c r="K680" t="n">
        <v>0</v>
      </c>
      <c r="L680" t="n">
        <v>0</v>
      </c>
      <c r="M680" t="n">
        <v>0</v>
      </c>
      <c r="N680" t="n">
        <v>0</v>
      </c>
      <c r="O680" t="n">
        <v>0</v>
      </c>
      <c r="P680" t="n">
        <v>0</v>
      </c>
      <c r="Q680" t="n">
        <v>0</v>
      </c>
      <c r="R680" t="n">
        <v>0</v>
      </c>
      <c r="S680" t="n">
        <v>0</v>
      </c>
      <c r="T680" t="n">
        <v>0</v>
      </c>
      <c r="U680" s="2" t="inlineStr"/>
    </row>
    <row r="681" ht="15" customHeight="1">
      <c r="A681" t="inlineStr">
        <is>
          <t>A 2819-2023</t>
        </is>
      </c>
      <c r="B681" t="inlineStr">
        <is>
          <t>avverkningsanmälan</t>
        </is>
      </c>
      <c r="C681" t="inlineStr">
        <is>
          <t>Föryngringsavverkning</t>
        </is>
      </c>
      <c r="D681" s="1" t="n">
        <v>44944</v>
      </c>
      <c r="E681" s="1" t="n">
        <v>46220</v>
      </c>
      <c r="F681" t="inlineStr">
        <is>
          <t>JÄMTLANDS LÄN</t>
        </is>
      </c>
      <c r="G681" t="inlineStr">
        <is>
          <t>RAGUNDA</t>
        </is>
      </c>
      <c r="I681" t="n">
        <v>8.800000000000001</v>
      </c>
      <c r="J681" t="n">
        <v>0</v>
      </c>
      <c r="K681" t="n">
        <v>0</v>
      </c>
      <c r="L681" t="n">
        <v>0</v>
      </c>
      <c r="M681" t="n">
        <v>0</v>
      </c>
      <c r="N681" t="n">
        <v>0</v>
      </c>
      <c r="O681" t="n">
        <v>0</v>
      </c>
      <c r="P681" t="n">
        <v>0</v>
      </c>
      <c r="Q681" t="n">
        <v>0</v>
      </c>
      <c r="R681" t="n">
        <v>0</v>
      </c>
      <c r="S681" t="n">
        <v>0</v>
      </c>
      <c r="T681" t="n">
        <v>0</v>
      </c>
      <c r="U681" s="2" t="inlineStr"/>
    </row>
    <row r="682" ht="15" customHeight="1">
      <c r="A682" t="inlineStr">
        <is>
          <t>A 54820-2025</t>
        </is>
      </c>
      <c r="B682" t="inlineStr">
        <is>
          <t>avverkningsanmälan</t>
        </is>
      </c>
      <c r="C682" t="inlineStr">
        <is>
          <t>Föryngringsavverkning</t>
        </is>
      </c>
      <c r="D682" s="1" t="n">
        <v>45966</v>
      </c>
      <c r="E682" s="1" t="n">
        <v>46220</v>
      </c>
      <c r="F682" t="inlineStr">
        <is>
          <t>JÄMTLANDS LÄN</t>
        </is>
      </c>
      <c r="G682" t="inlineStr">
        <is>
          <t>RAGUNDA</t>
        </is>
      </c>
      <c r="I682" t="n">
        <v>15.3</v>
      </c>
      <c r="J682" t="n">
        <v>0</v>
      </c>
      <c r="K682" t="n">
        <v>0</v>
      </c>
      <c r="L682" t="n">
        <v>0</v>
      </c>
      <c r="M682" t="n">
        <v>0</v>
      </c>
      <c r="N682" t="n">
        <v>0</v>
      </c>
      <c r="O682" t="n">
        <v>0</v>
      </c>
      <c r="P682" t="n">
        <v>0</v>
      </c>
      <c r="Q682" t="n">
        <v>0</v>
      </c>
      <c r="R682" t="n">
        <v>0</v>
      </c>
      <c r="S682" t="n">
        <v>0</v>
      </c>
      <c r="T682" t="n">
        <v>0</v>
      </c>
      <c r="U682" s="2" t="inlineStr"/>
    </row>
    <row r="683" ht="15" customHeight="1">
      <c r="A683" t="inlineStr">
        <is>
          <t>A 58909-2025</t>
        </is>
      </c>
      <c r="B683" t="inlineStr">
        <is>
          <t>avverkningsanmälan</t>
        </is>
      </c>
      <c r="C683" t="inlineStr">
        <is>
          <t>Avverkning för annat ändamål</t>
        </is>
      </c>
      <c r="D683" s="1" t="n">
        <v>45987</v>
      </c>
      <c r="E683" s="1" t="n">
        <v>46220</v>
      </c>
      <c r="F683" t="inlineStr">
        <is>
          <t>JÄMTLANDS LÄN</t>
        </is>
      </c>
      <c r="G683" t="inlineStr">
        <is>
          <t>RAGUNDA</t>
        </is>
      </c>
      <c r="I683" t="n">
        <v>9.5</v>
      </c>
      <c r="J683" t="n">
        <v>0</v>
      </c>
      <c r="K683" t="n">
        <v>0</v>
      </c>
      <c r="L683" t="n">
        <v>0</v>
      </c>
      <c r="M683" t="n">
        <v>0</v>
      </c>
      <c r="N683" t="n">
        <v>0</v>
      </c>
      <c r="O683" t="n">
        <v>0</v>
      </c>
      <c r="P683" t="n">
        <v>0</v>
      </c>
      <c r="Q683" t="n">
        <v>0</v>
      </c>
      <c r="R683" t="n">
        <v>0</v>
      </c>
      <c r="S683" t="n">
        <v>0</v>
      </c>
      <c r="T683" t="n">
        <v>0</v>
      </c>
      <c r="U683" s="2" t="inlineStr"/>
    </row>
    <row r="684" ht="15" customHeight="1">
      <c r="A684" t="inlineStr">
        <is>
          <t>A 44536-2022</t>
        </is>
      </c>
      <c r="B684" t="inlineStr">
        <is>
          <t>avverkningsanmälan</t>
        </is>
      </c>
      <c r="C684" t="inlineStr">
        <is>
          <t>Föryngringsavverkning</t>
        </is>
      </c>
      <c r="D684" s="1" t="n">
        <v>44839</v>
      </c>
      <c r="E684" s="1" t="n">
        <v>46220</v>
      </c>
      <c r="F684" t="inlineStr">
        <is>
          <t>JÄMTLANDS LÄN</t>
        </is>
      </c>
      <c r="G684" t="inlineStr">
        <is>
          <t>RAGUNDA</t>
        </is>
      </c>
      <c r="I684" t="n">
        <v>4</v>
      </c>
      <c r="J684" t="n">
        <v>0</v>
      </c>
      <c r="K684" t="n">
        <v>0</v>
      </c>
      <c r="L684" t="n">
        <v>0</v>
      </c>
      <c r="M684" t="n">
        <v>0</v>
      </c>
      <c r="N684" t="n">
        <v>0</v>
      </c>
      <c r="O684" t="n">
        <v>0</v>
      </c>
      <c r="P684" t="n">
        <v>0</v>
      </c>
      <c r="Q684" t="n">
        <v>0</v>
      </c>
      <c r="R684" t="n">
        <v>0</v>
      </c>
      <c r="S684" t="n">
        <v>0</v>
      </c>
      <c r="T684" t="n">
        <v>0</v>
      </c>
      <c r="U684" s="2" t="inlineStr"/>
    </row>
    <row r="685" ht="15" customHeight="1">
      <c r="A685" t="inlineStr">
        <is>
          <t>A 37543-2023</t>
        </is>
      </c>
      <c r="B685" t="inlineStr">
        <is>
          <t>avverkningsanmälan</t>
        </is>
      </c>
      <c r="C685" t="inlineStr">
        <is>
          <t>Föryngringsavverkning</t>
        </is>
      </c>
      <c r="D685" s="1" t="n">
        <v>45158</v>
      </c>
      <c r="E685" s="1" t="n">
        <v>46220</v>
      </c>
      <c r="F685" t="inlineStr">
        <is>
          <t>JÄMTLANDS LÄN</t>
        </is>
      </c>
      <c r="G685" t="inlineStr">
        <is>
          <t>RAGUNDA</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36046-2023</t>
        </is>
      </c>
      <c r="B686" t="inlineStr">
        <is>
          <t>avverkningsanmälan</t>
        </is>
      </c>
      <c r="C686" t="inlineStr">
        <is>
          <t>Föryngringsavverkning</t>
        </is>
      </c>
      <c r="D686" s="1" t="n">
        <v>45148</v>
      </c>
      <c r="E686" s="1" t="n">
        <v>46220</v>
      </c>
      <c r="F686" t="inlineStr">
        <is>
          <t>JÄMTLANDS LÄN</t>
        </is>
      </c>
      <c r="G686" t="inlineStr">
        <is>
          <t>RAGUNDA</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56751-2025</t>
        </is>
      </c>
      <c r="B687" t="inlineStr">
        <is>
          <t>avverkningsanmälan</t>
        </is>
      </c>
      <c r="C687" t="inlineStr">
        <is>
          <t>Föryngringsavverkning</t>
        </is>
      </c>
      <c r="D687" s="1" t="n">
        <v>45978</v>
      </c>
      <c r="E687" s="1" t="n">
        <v>46220</v>
      </c>
      <c r="F687" t="inlineStr">
        <is>
          <t>JÄMTLANDS LÄN</t>
        </is>
      </c>
      <c r="G687" t="inlineStr">
        <is>
          <t>RAGUNDA</t>
        </is>
      </c>
      <c r="H687" t="inlineStr">
        <is>
          <t>SCA</t>
        </is>
      </c>
      <c r="I687" t="n">
        <v>34.5</v>
      </c>
      <c r="J687" t="n">
        <v>0</v>
      </c>
      <c r="K687" t="n">
        <v>0</v>
      </c>
      <c r="L687" t="n">
        <v>0</v>
      </c>
      <c r="M687" t="n">
        <v>0</v>
      </c>
      <c r="N687" t="n">
        <v>0</v>
      </c>
      <c r="O687" t="n">
        <v>0</v>
      </c>
      <c r="P687" t="n">
        <v>0</v>
      </c>
      <c r="Q687" t="n">
        <v>0</v>
      </c>
      <c r="R687" t="n">
        <v>0</v>
      </c>
      <c r="S687" t="n">
        <v>0</v>
      </c>
      <c r="T687" t="n">
        <v>0</v>
      </c>
      <c r="U687" s="2" t="inlineStr"/>
    </row>
    <row r="688" ht="15" customHeight="1">
      <c r="A688" t="inlineStr">
        <is>
          <t>A 56806-2025</t>
        </is>
      </c>
      <c r="B688" t="inlineStr">
        <is>
          <t>avverkningsanmälan</t>
        </is>
      </c>
      <c r="C688" t="inlineStr">
        <is>
          <t>Föryngringsavverkning</t>
        </is>
      </c>
      <c r="D688" s="1" t="n">
        <v>45978</v>
      </c>
      <c r="E688" s="1" t="n">
        <v>46220</v>
      </c>
      <c r="F688" t="inlineStr">
        <is>
          <t>JÄMTLANDS LÄN</t>
        </is>
      </c>
      <c r="G688" t="inlineStr">
        <is>
          <t>RAGUNDA</t>
        </is>
      </c>
      <c r="H688" t="inlineStr">
        <is>
          <t>SCA</t>
        </is>
      </c>
      <c r="I688" t="n">
        <v>7.5</v>
      </c>
      <c r="J688" t="n">
        <v>0</v>
      </c>
      <c r="K688" t="n">
        <v>0</v>
      </c>
      <c r="L688" t="n">
        <v>0</v>
      </c>
      <c r="M688" t="n">
        <v>0</v>
      </c>
      <c r="N688" t="n">
        <v>0</v>
      </c>
      <c r="O688" t="n">
        <v>0</v>
      </c>
      <c r="P688" t="n">
        <v>0</v>
      </c>
      <c r="Q688" t="n">
        <v>0</v>
      </c>
      <c r="R688" t="n">
        <v>0</v>
      </c>
      <c r="S688" t="n">
        <v>0</v>
      </c>
      <c r="T688" t="n">
        <v>0</v>
      </c>
      <c r="U688" s="2" t="inlineStr"/>
    </row>
    <row r="689" ht="15" customHeight="1">
      <c r="A689" t="inlineStr">
        <is>
          <t>A 8654-2024</t>
        </is>
      </c>
      <c r="B689" t="inlineStr">
        <is>
          <t>avverkningsanmälan</t>
        </is>
      </c>
      <c r="C689" t="inlineStr">
        <is>
          <t>Avverkning för att bevara och utveckla /försöksver</t>
        </is>
      </c>
      <c r="D689" s="1" t="n">
        <v>45356</v>
      </c>
      <c r="E689" s="1" t="n">
        <v>46220</v>
      </c>
      <c r="F689" t="inlineStr">
        <is>
          <t>JÄMTLANDS LÄN</t>
        </is>
      </c>
      <c r="G689" t="inlineStr">
        <is>
          <t>RAGUNDA</t>
        </is>
      </c>
      <c r="H689" t="inlineStr">
        <is>
          <t>SCA</t>
        </is>
      </c>
      <c r="I689" t="n">
        <v>2.6</v>
      </c>
      <c r="J689" t="n">
        <v>0</v>
      </c>
      <c r="K689" t="n">
        <v>0</v>
      </c>
      <c r="L689" t="n">
        <v>0</v>
      </c>
      <c r="M689" t="n">
        <v>0</v>
      </c>
      <c r="N689" t="n">
        <v>0</v>
      </c>
      <c r="O689" t="n">
        <v>0</v>
      </c>
      <c r="P689" t="n">
        <v>0</v>
      </c>
      <c r="Q689" t="n">
        <v>0</v>
      </c>
      <c r="R689" t="n">
        <v>0</v>
      </c>
      <c r="S689" t="n">
        <v>0</v>
      </c>
      <c r="T689" t="n">
        <v>0</v>
      </c>
      <c r="U689" s="2" t="inlineStr"/>
    </row>
    <row r="690" ht="15" customHeight="1">
      <c r="A690" t="inlineStr">
        <is>
          <t>A 57561-2025</t>
        </is>
      </c>
      <c r="B690" t="inlineStr">
        <is>
          <t>avverkningsanmälan</t>
        </is>
      </c>
      <c r="C690" t="inlineStr">
        <is>
          <t>Föryngringsavverkning</t>
        </is>
      </c>
      <c r="D690" s="1" t="n">
        <v>45980</v>
      </c>
      <c r="E690" s="1" t="n">
        <v>46220</v>
      </c>
      <c r="F690" t="inlineStr">
        <is>
          <t>JÄMTLANDS LÄN</t>
        </is>
      </c>
      <c r="G690" t="inlineStr">
        <is>
          <t>RAGUNDA</t>
        </is>
      </c>
      <c r="H690" t="inlineStr">
        <is>
          <t>SCA</t>
        </is>
      </c>
      <c r="I690" t="n">
        <v>0.8</v>
      </c>
      <c r="J690" t="n">
        <v>0</v>
      </c>
      <c r="K690" t="n">
        <v>0</v>
      </c>
      <c r="L690" t="n">
        <v>0</v>
      </c>
      <c r="M690" t="n">
        <v>0</v>
      </c>
      <c r="N690" t="n">
        <v>0</v>
      </c>
      <c r="O690" t="n">
        <v>0</v>
      </c>
      <c r="P690" t="n">
        <v>0</v>
      </c>
      <c r="Q690" t="n">
        <v>0</v>
      </c>
      <c r="R690" t="n">
        <v>0</v>
      </c>
      <c r="S690" t="n">
        <v>0</v>
      </c>
      <c r="T690" t="n">
        <v>0</v>
      </c>
      <c r="U690" s="2" t="inlineStr"/>
    </row>
    <row r="691" ht="15" customHeight="1">
      <c r="A691" t="inlineStr">
        <is>
          <t>A 6902-2024</t>
        </is>
      </c>
      <c r="B691" t="inlineStr">
        <is>
          <t>avverkningsanmälan</t>
        </is>
      </c>
      <c r="C691" t="inlineStr">
        <is>
          <t>Föryngringsavverkning</t>
        </is>
      </c>
      <c r="D691" s="1" t="n">
        <v>45342</v>
      </c>
      <c r="E691" s="1" t="n">
        <v>46220</v>
      </c>
      <c r="F691" t="inlineStr">
        <is>
          <t>JÄMTLANDS LÄN</t>
        </is>
      </c>
      <c r="G691" t="inlineStr">
        <is>
          <t>RAGUNDA</t>
        </is>
      </c>
      <c r="H691" t="inlineStr">
        <is>
          <t>SCA</t>
        </is>
      </c>
      <c r="I691" t="n">
        <v>18.7</v>
      </c>
      <c r="J691" t="n">
        <v>0</v>
      </c>
      <c r="K691" t="n">
        <v>0</v>
      </c>
      <c r="L691" t="n">
        <v>0</v>
      </c>
      <c r="M691" t="n">
        <v>0</v>
      </c>
      <c r="N691" t="n">
        <v>0</v>
      </c>
      <c r="O691" t="n">
        <v>0</v>
      </c>
      <c r="P691" t="n">
        <v>0</v>
      </c>
      <c r="Q691" t="n">
        <v>0</v>
      </c>
      <c r="R691" t="n">
        <v>0</v>
      </c>
      <c r="S691" t="n">
        <v>0</v>
      </c>
      <c r="T691" t="n">
        <v>0</v>
      </c>
      <c r="U691" s="2" t="inlineStr"/>
    </row>
    <row r="692" ht="15" customHeight="1">
      <c r="A692" t="inlineStr">
        <is>
          <t>A 22731-2023</t>
        </is>
      </c>
      <c r="B692" t="inlineStr">
        <is>
          <t>avverkningsanmälan</t>
        </is>
      </c>
      <c r="C692" t="inlineStr">
        <is>
          <t>Föryngringsavverkning</t>
        </is>
      </c>
      <c r="D692" s="1" t="n">
        <v>45071</v>
      </c>
      <c r="E692" s="1" t="n">
        <v>46220</v>
      </c>
      <c r="F692" t="inlineStr">
        <is>
          <t>JÄMTLANDS LÄN</t>
        </is>
      </c>
      <c r="G692" t="inlineStr">
        <is>
          <t>RAGUNDA</t>
        </is>
      </c>
      <c r="I692" t="n">
        <v>1.5</v>
      </c>
      <c r="J692" t="n">
        <v>0</v>
      </c>
      <c r="K692" t="n">
        <v>0</v>
      </c>
      <c r="L692" t="n">
        <v>0</v>
      </c>
      <c r="M692" t="n">
        <v>0</v>
      </c>
      <c r="N692" t="n">
        <v>0</v>
      </c>
      <c r="O692" t="n">
        <v>0</v>
      </c>
      <c r="P692" t="n">
        <v>0</v>
      </c>
      <c r="Q692" t="n">
        <v>0</v>
      </c>
      <c r="R692" t="n">
        <v>0</v>
      </c>
      <c r="S692" t="n">
        <v>0</v>
      </c>
      <c r="T692" t="n">
        <v>0</v>
      </c>
      <c r="U692" s="2" t="inlineStr"/>
    </row>
    <row r="693" ht="15" customHeight="1">
      <c r="A693" t="inlineStr">
        <is>
          <t>A 57560-2025</t>
        </is>
      </c>
      <c r="B693" t="inlineStr">
        <is>
          <t>avverkningsanmälan</t>
        </is>
      </c>
      <c r="C693" t="inlineStr">
        <is>
          <t>Föryngringsavverkning</t>
        </is>
      </c>
      <c r="D693" s="1" t="n">
        <v>45980</v>
      </c>
      <c r="E693" s="1" t="n">
        <v>46220</v>
      </c>
      <c r="F693" t="inlineStr">
        <is>
          <t>JÄMTLANDS LÄN</t>
        </is>
      </c>
      <c r="G693" t="inlineStr">
        <is>
          <t>RAGUNDA</t>
        </is>
      </c>
      <c r="H693" t="inlineStr">
        <is>
          <t>SCA</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57916-2025</t>
        </is>
      </c>
      <c r="B694" t="inlineStr">
        <is>
          <t>avverkningsanmälan</t>
        </is>
      </c>
      <c r="C694" t="inlineStr">
        <is>
          <t>Föryngringsavverkning</t>
        </is>
      </c>
      <c r="D694" s="1" t="n">
        <v>45981</v>
      </c>
      <c r="E694" s="1" t="n">
        <v>46220</v>
      </c>
      <c r="F694" t="inlineStr">
        <is>
          <t>JÄMTLANDS LÄN</t>
        </is>
      </c>
      <c r="G694" t="inlineStr">
        <is>
          <t>RAGUNDA</t>
        </is>
      </c>
      <c r="I694" t="n">
        <v>5.3</v>
      </c>
      <c r="J694" t="n">
        <v>0</v>
      </c>
      <c r="K694" t="n">
        <v>0</v>
      </c>
      <c r="L694" t="n">
        <v>0</v>
      </c>
      <c r="M694" t="n">
        <v>0</v>
      </c>
      <c r="N694" t="n">
        <v>0</v>
      </c>
      <c r="O694" t="n">
        <v>0</v>
      </c>
      <c r="P694" t="n">
        <v>0</v>
      </c>
      <c r="Q694" t="n">
        <v>0</v>
      </c>
      <c r="R694" t="n">
        <v>0</v>
      </c>
      <c r="S694" t="n">
        <v>0</v>
      </c>
      <c r="T694" t="n">
        <v>0</v>
      </c>
      <c r="U694" s="2" t="inlineStr"/>
    </row>
    <row r="695" ht="15" customHeight="1">
      <c r="A695" t="inlineStr">
        <is>
          <t>A 57914-2025</t>
        </is>
      </c>
      <c r="B695" t="inlineStr">
        <is>
          <t>avverkningsanmälan</t>
        </is>
      </c>
      <c r="C695" t="inlineStr">
        <is>
          <t>Föryngringsavverkning</t>
        </is>
      </c>
      <c r="D695" s="1" t="n">
        <v>45981</v>
      </c>
      <c r="E695" s="1" t="n">
        <v>46220</v>
      </c>
      <c r="F695" t="inlineStr">
        <is>
          <t>JÄMTLANDS LÄN</t>
        </is>
      </c>
      <c r="G695" t="inlineStr">
        <is>
          <t>RAGUNDA</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61923-2024</t>
        </is>
      </c>
      <c r="B696" t="inlineStr">
        <is>
          <t>avverkningsanmälan</t>
        </is>
      </c>
      <c r="C696" t="inlineStr">
        <is>
          <t>Föryngringsavverkning</t>
        </is>
      </c>
      <c r="D696" s="1" t="n">
        <v>45653</v>
      </c>
      <c r="E696" s="1" t="n">
        <v>46220</v>
      </c>
      <c r="F696" t="inlineStr">
        <is>
          <t>JÄMTLANDS LÄN</t>
        </is>
      </c>
      <c r="G696" t="inlineStr">
        <is>
          <t>RAGUNDA</t>
        </is>
      </c>
      <c r="H696" t="inlineStr">
        <is>
          <t>SCA</t>
        </is>
      </c>
      <c r="I696" t="n">
        <v>11.1</v>
      </c>
      <c r="J696" t="n">
        <v>0</v>
      </c>
      <c r="K696" t="n">
        <v>0</v>
      </c>
      <c r="L696" t="n">
        <v>0</v>
      </c>
      <c r="M696" t="n">
        <v>0</v>
      </c>
      <c r="N696" t="n">
        <v>0</v>
      </c>
      <c r="O696" t="n">
        <v>0</v>
      </c>
      <c r="P696" t="n">
        <v>0</v>
      </c>
      <c r="Q696" t="n">
        <v>0</v>
      </c>
      <c r="R696" t="n">
        <v>0</v>
      </c>
      <c r="S696" t="n">
        <v>0</v>
      </c>
      <c r="T696" t="n">
        <v>0</v>
      </c>
      <c r="U696" s="2" t="inlineStr"/>
    </row>
    <row r="697" ht="15" customHeight="1">
      <c r="A697" t="inlineStr">
        <is>
          <t>A 23567-2024</t>
        </is>
      </c>
      <c r="B697" t="inlineStr">
        <is>
          <t>avverkningsanmälan</t>
        </is>
      </c>
      <c r="C697" t="inlineStr">
        <is>
          <t>Avverkning för att bevara och utveckla /försöksver</t>
        </is>
      </c>
      <c r="D697" s="1" t="n">
        <v>45453</v>
      </c>
      <c r="E697" s="1" t="n">
        <v>46220</v>
      </c>
      <c r="F697" t="inlineStr">
        <is>
          <t>JÄMTLANDS LÄN</t>
        </is>
      </c>
      <c r="G697" t="inlineStr">
        <is>
          <t>RAGUNDA</t>
        </is>
      </c>
      <c r="H697" t="inlineStr">
        <is>
          <t>SCA</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19246-2023</t>
        </is>
      </c>
      <c r="B698" t="inlineStr">
        <is>
          <t>avverkningsanmälan</t>
        </is>
      </c>
      <c r="C698" t="inlineStr">
        <is>
          <t>Föryngringsavverkning</t>
        </is>
      </c>
      <c r="D698" s="1" t="n">
        <v>45048</v>
      </c>
      <c r="E698" s="1" t="n">
        <v>46220</v>
      </c>
      <c r="F698" t="inlineStr">
        <is>
          <t>JÄMTLANDS LÄN</t>
        </is>
      </c>
      <c r="G698" t="inlineStr">
        <is>
          <t>RAGUNDA</t>
        </is>
      </c>
      <c r="H698" t="inlineStr">
        <is>
          <t>SCA</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57785-2025</t>
        </is>
      </c>
      <c r="B699" t="inlineStr">
        <is>
          <t>avverkningsanmälan</t>
        </is>
      </c>
      <c r="C699" t="inlineStr">
        <is>
          <t>Föryngringsavverkning</t>
        </is>
      </c>
      <c r="D699" s="1" t="n">
        <v>45981</v>
      </c>
      <c r="E699" s="1" t="n">
        <v>46220</v>
      </c>
      <c r="F699" t="inlineStr">
        <is>
          <t>JÄMTLANDS LÄN</t>
        </is>
      </c>
      <c r="G699" t="inlineStr">
        <is>
          <t>RAGUNDA</t>
        </is>
      </c>
      <c r="H699" t="inlineStr">
        <is>
          <t>SCA</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58093-2025</t>
        </is>
      </c>
      <c r="B700" t="inlineStr">
        <is>
          <t>avverkningsanmälan</t>
        </is>
      </c>
      <c r="C700" t="inlineStr">
        <is>
          <t>Föryngringsavverkning</t>
        </is>
      </c>
      <c r="D700" s="1" t="n">
        <v>45982</v>
      </c>
      <c r="E700" s="1" t="n">
        <v>46220</v>
      </c>
      <c r="F700" t="inlineStr">
        <is>
          <t>JÄMTLANDS LÄN</t>
        </is>
      </c>
      <c r="G700" t="inlineStr">
        <is>
          <t>RAGUNDA</t>
        </is>
      </c>
      <c r="I700" t="n">
        <v>22.2</v>
      </c>
      <c r="J700" t="n">
        <v>0</v>
      </c>
      <c r="K700" t="n">
        <v>0</v>
      </c>
      <c r="L700" t="n">
        <v>0</v>
      </c>
      <c r="M700" t="n">
        <v>0</v>
      </c>
      <c r="N700" t="n">
        <v>0</v>
      </c>
      <c r="O700" t="n">
        <v>0</v>
      </c>
      <c r="P700" t="n">
        <v>0</v>
      </c>
      <c r="Q700" t="n">
        <v>0</v>
      </c>
      <c r="R700" t="n">
        <v>0</v>
      </c>
      <c r="S700" t="n">
        <v>0</v>
      </c>
      <c r="T700" t="n">
        <v>0</v>
      </c>
      <c r="U700" s="2" t="inlineStr"/>
    </row>
    <row r="701" ht="15" customHeight="1">
      <c r="A701" t="inlineStr">
        <is>
          <t>A 33877-2023</t>
        </is>
      </c>
      <c r="B701" t="inlineStr">
        <is>
          <t>avverkningsanmälan</t>
        </is>
      </c>
      <c r="C701" t="inlineStr">
        <is>
          <t>Avverkning för annat ändamål</t>
        </is>
      </c>
      <c r="D701" s="1" t="n">
        <v>45133</v>
      </c>
      <c r="E701" s="1" t="n">
        <v>46220</v>
      </c>
      <c r="F701" t="inlineStr">
        <is>
          <t>JÄMTLANDS LÄN</t>
        </is>
      </c>
      <c r="G701" t="inlineStr">
        <is>
          <t>RAGUNDA</t>
        </is>
      </c>
      <c r="H701" t="inlineStr">
        <is>
          <t>SCA</t>
        </is>
      </c>
      <c r="I701" t="n">
        <v>4.3</v>
      </c>
      <c r="J701" t="n">
        <v>0</v>
      </c>
      <c r="K701" t="n">
        <v>0</v>
      </c>
      <c r="L701" t="n">
        <v>0</v>
      </c>
      <c r="M701" t="n">
        <v>0</v>
      </c>
      <c r="N701" t="n">
        <v>0</v>
      </c>
      <c r="O701" t="n">
        <v>0</v>
      </c>
      <c r="P701" t="n">
        <v>0</v>
      </c>
      <c r="Q701" t="n">
        <v>0</v>
      </c>
      <c r="R701" t="n">
        <v>0</v>
      </c>
      <c r="S701" t="n">
        <v>0</v>
      </c>
      <c r="T701" t="n">
        <v>0</v>
      </c>
      <c r="U701" s="2" t="inlineStr"/>
    </row>
    <row r="702" ht="15" customHeight="1">
      <c r="A702" t="inlineStr">
        <is>
          <t>A 58076-2025</t>
        </is>
      </c>
      <c r="B702" t="inlineStr">
        <is>
          <t>avverkningsanmälan</t>
        </is>
      </c>
      <c r="C702" t="inlineStr">
        <is>
          <t>Föryngringsavverkning</t>
        </is>
      </c>
      <c r="D702" s="1" t="n">
        <v>45982</v>
      </c>
      <c r="E702" s="1" t="n">
        <v>46220</v>
      </c>
      <c r="F702" t="inlineStr">
        <is>
          <t>JÄMTLANDS LÄN</t>
        </is>
      </c>
      <c r="G702" t="inlineStr">
        <is>
          <t>RAGUNDA</t>
        </is>
      </c>
      <c r="I702" t="n">
        <v>0.1</v>
      </c>
      <c r="J702" t="n">
        <v>0</v>
      </c>
      <c r="K702" t="n">
        <v>0</v>
      </c>
      <c r="L702" t="n">
        <v>0</v>
      </c>
      <c r="M702" t="n">
        <v>0</v>
      </c>
      <c r="N702" t="n">
        <v>0</v>
      </c>
      <c r="O702" t="n">
        <v>0</v>
      </c>
      <c r="P702" t="n">
        <v>0</v>
      </c>
      <c r="Q702" t="n">
        <v>0</v>
      </c>
      <c r="R702" t="n">
        <v>0</v>
      </c>
      <c r="S702" t="n">
        <v>0</v>
      </c>
      <c r="T702" t="n">
        <v>0</v>
      </c>
      <c r="U702" s="2" t="inlineStr"/>
    </row>
    <row r="703" ht="15" customHeight="1">
      <c r="A703" t="inlineStr">
        <is>
          <t>A 62541-2022</t>
        </is>
      </c>
      <c r="B703" t="inlineStr">
        <is>
          <t>avverkningsanmälan</t>
        </is>
      </c>
      <c r="C703" t="inlineStr">
        <is>
          <t>Föryngringsavverkning</t>
        </is>
      </c>
      <c r="D703" s="1" t="n">
        <v>44917</v>
      </c>
      <c r="E703" s="1" t="n">
        <v>46220</v>
      </c>
      <c r="F703" t="inlineStr">
        <is>
          <t>JÄMTLANDS LÄN</t>
        </is>
      </c>
      <c r="G703" t="inlineStr">
        <is>
          <t>RAGUNDA</t>
        </is>
      </c>
      <c r="I703" t="n">
        <v>2.6</v>
      </c>
      <c r="J703" t="n">
        <v>0</v>
      </c>
      <c r="K703" t="n">
        <v>0</v>
      </c>
      <c r="L703" t="n">
        <v>0</v>
      </c>
      <c r="M703" t="n">
        <v>0</v>
      </c>
      <c r="N703" t="n">
        <v>0</v>
      </c>
      <c r="O703" t="n">
        <v>0</v>
      </c>
      <c r="P703" t="n">
        <v>0</v>
      </c>
      <c r="Q703" t="n">
        <v>0</v>
      </c>
      <c r="R703" t="n">
        <v>0</v>
      </c>
      <c r="S703" t="n">
        <v>0</v>
      </c>
      <c r="T703" t="n">
        <v>0</v>
      </c>
      <c r="U703" s="2" t="inlineStr"/>
    </row>
    <row r="704" ht="15" customHeight="1">
      <c r="A704" t="inlineStr">
        <is>
          <t>A 9567-2025</t>
        </is>
      </c>
      <c r="B704" t="inlineStr">
        <is>
          <t>avverkningsanmälan</t>
        </is>
      </c>
      <c r="C704" t="inlineStr">
        <is>
          <t>Föryngringsavverkning</t>
        </is>
      </c>
      <c r="D704" s="1" t="n">
        <v>45715</v>
      </c>
      <c r="E704" s="1" t="n">
        <v>46220</v>
      </c>
      <c r="F704" t="inlineStr">
        <is>
          <t>JÄMTLANDS LÄN</t>
        </is>
      </c>
      <c r="G704" t="inlineStr">
        <is>
          <t>RAGUNDA</t>
        </is>
      </c>
      <c r="H704" t="inlineStr">
        <is>
          <t>SCA</t>
        </is>
      </c>
      <c r="I704" t="n">
        <v>4.8</v>
      </c>
      <c r="J704" t="n">
        <v>0</v>
      </c>
      <c r="K704" t="n">
        <v>0</v>
      </c>
      <c r="L704" t="n">
        <v>0</v>
      </c>
      <c r="M704" t="n">
        <v>0</v>
      </c>
      <c r="N704" t="n">
        <v>0</v>
      </c>
      <c r="O704" t="n">
        <v>0</v>
      </c>
      <c r="P704" t="n">
        <v>0</v>
      </c>
      <c r="Q704" t="n">
        <v>0</v>
      </c>
      <c r="R704" t="n">
        <v>0</v>
      </c>
      <c r="S704" t="n">
        <v>0</v>
      </c>
      <c r="T704" t="n">
        <v>0</v>
      </c>
      <c r="U704" s="2" t="inlineStr"/>
    </row>
    <row r="705" ht="15" customHeight="1">
      <c r="A705" t="inlineStr">
        <is>
          <t>A 21661-2023</t>
        </is>
      </c>
      <c r="B705" t="inlineStr">
        <is>
          <t>avverkningsanmälan</t>
        </is>
      </c>
      <c r="C705" t="inlineStr">
        <is>
          <t>Föryngringsavverkning</t>
        </is>
      </c>
      <c r="D705" s="1" t="n">
        <v>45063</v>
      </c>
      <c r="E705" s="1" t="n">
        <v>46220</v>
      </c>
      <c r="F705" t="inlineStr">
        <is>
          <t>JÄMTLANDS LÄN</t>
        </is>
      </c>
      <c r="G705" t="inlineStr">
        <is>
          <t>RAGUNDA</t>
        </is>
      </c>
      <c r="I705" t="n">
        <v>1.5</v>
      </c>
      <c r="J705" t="n">
        <v>0</v>
      </c>
      <c r="K705" t="n">
        <v>0</v>
      </c>
      <c r="L705" t="n">
        <v>0</v>
      </c>
      <c r="M705" t="n">
        <v>0</v>
      </c>
      <c r="N705" t="n">
        <v>0</v>
      </c>
      <c r="O705" t="n">
        <v>0</v>
      </c>
      <c r="P705" t="n">
        <v>0</v>
      </c>
      <c r="Q705" t="n">
        <v>0</v>
      </c>
      <c r="R705" t="n">
        <v>0</v>
      </c>
      <c r="S705" t="n">
        <v>0</v>
      </c>
      <c r="T705" t="n">
        <v>0</v>
      </c>
      <c r="U705" s="2" t="inlineStr"/>
    </row>
    <row r="706" ht="15" customHeight="1">
      <c r="A706" t="inlineStr">
        <is>
          <t>A 58918-2025</t>
        </is>
      </c>
      <c r="B706" t="inlineStr">
        <is>
          <t>avverkningsanmälan</t>
        </is>
      </c>
      <c r="C706" t="inlineStr">
        <is>
          <t>Föryngringsavverkning</t>
        </is>
      </c>
      <c r="D706" s="1" t="n">
        <v>45987</v>
      </c>
      <c r="E706" s="1" t="n">
        <v>46220</v>
      </c>
      <c r="F706" t="inlineStr">
        <is>
          <t>JÄMTLANDS LÄN</t>
        </is>
      </c>
      <c r="G706" t="inlineStr">
        <is>
          <t>RAGUNDA</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58638-2025</t>
        </is>
      </c>
      <c r="B707" t="inlineStr">
        <is>
          <t>avverkningsanmälan</t>
        </is>
      </c>
      <c r="C707" t="inlineStr">
        <is>
          <t>Föryngringsavverkning</t>
        </is>
      </c>
      <c r="D707" s="1" t="n">
        <v>45986</v>
      </c>
      <c r="E707" s="1" t="n">
        <v>46220</v>
      </c>
      <c r="F707" t="inlineStr">
        <is>
          <t>JÄMTLANDS LÄN</t>
        </is>
      </c>
      <c r="G707" t="inlineStr">
        <is>
          <t>RAGUNDA</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58559-2025</t>
        </is>
      </c>
      <c r="B708" t="inlineStr">
        <is>
          <t>avverkningsanmälan</t>
        </is>
      </c>
      <c r="C708" t="inlineStr">
        <is>
          <t>Föryngringsavverkning</t>
        </is>
      </c>
      <c r="D708" s="1" t="n">
        <v>45986</v>
      </c>
      <c r="E708" s="1" t="n">
        <v>46220</v>
      </c>
      <c r="F708" t="inlineStr">
        <is>
          <t>JÄMTLANDS LÄN</t>
        </is>
      </c>
      <c r="G708" t="inlineStr">
        <is>
          <t>RAGUNDA</t>
        </is>
      </c>
      <c r="H708" t="inlineStr">
        <is>
          <t>SCA</t>
        </is>
      </c>
      <c r="I708" t="n">
        <v>8.300000000000001</v>
      </c>
      <c r="J708" t="n">
        <v>0</v>
      </c>
      <c r="K708" t="n">
        <v>0</v>
      </c>
      <c r="L708" t="n">
        <v>0</v>
      </c>
      <c r="M708" t="n">
        <v>0</v>
      </c>
      <c r="N708" t="n">
        <v>0</v>
      </c>
      <c r="O708" t="n">
        <v>0</v>
      </c>
      <c r="P708" t="n">
        <v>0</v>
      </c>
      <c r="Q708" t="n">
        <v>0</v>
      </c>
      <c r="R708" t="n">
        <v>0</v>
      </c>
      <c r="S708" t="n">
        <v>0</v>
      </c>
      <c r="T708" t="n">
        <v>0</v>
      </c>
      <c r="U708" s="2" t="inlineStr"/>
    </row>
    <row r="709" ht="15" customHeight="1">
      <c r="A709" t="inlineStr">
        <is>
          <t>A 69153-2021</t>
        </is>
      </c>
      <c r="B709" t="inlineStr">
        <is>
          <t>avverkningsanmälan</t>
        </is>
      </c>
      <c r="C709" t="inlineStr">
        <is>
          <t>Föryngringsavverkning</t>
        </is>
      </c>
      <c r="D709" s="1" t="n">
        <v>44530</v>
      </c>
      <c r="E709" s="1" t="n">
        <v>46220</v>
      </c>
      <c r="F709" t="inlineStr">
        <is>
          <t>JÄMTLANDS LÄN</t>
        </is>
      </c>
      <c r="G709" t="inlineStr">
        <is>
          <t>RAGUNDA</t>
        </is>
      </c>
      <c r="H709" t="inlineStr">
        <is>
          <t>SCA</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12585-2024</t>
        </is>
      </c>
      <c r="B710" t="inlineStr">
        <is>
          <t>avverkningsanmälan</t>
        </is>
      </c>
      <c r="C710" t="inlineStr">
        <is>
          <t>Föryngringsavverkning</t>
        </is>
      </c>
      <c r="D710" s="1" t="n">
        <v>45379</v>
      </c>
      <c r="E710" s="1" t="n">
        <v>46220</v>
      </c>
      <c r="F710" t="inlineStr">
        <is>
          <t>JÄMTLANDS LÄN</t>
        </is>
      </c>
      <c r="G710" t="inlineStr">
        <is>
          <t>RAGUNDA</t>
        </is>
      </c>
      <c r="H710" t="inlineStr">
        <is>
          <t>SCA</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55489-2024</t>
        </is>
      </c>
      <c r="B711" t="inlineStr">
        <is>
          <t>avverkningsanmälan</t>
        </is>
      </c>
      <c r="C711" t="inlineStr">
        <is>
          <t>Avverkning för att bevara och utveckla /försöksver</t>
        </is>
      </c>
      <c r="D711" s="1" t="n">
        <v>45622</v>
      </c>
      <c r="E711" s="1" t="n">
        <v>46220</v>
      </c>
      <c r="F711" t="inlineStr">
        <is>
          <t>JÄMTLANDS LÄN</t>
        </is>
      </c>
      <c r="G711" t="inlineStr">
        <is>
          <t>RAGUNDA</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18631-2024</t>
        </is>
      </c>
      <c r="B712" t="inlineStr">
        <is>
          <t>avverkningsanmälan</t>
        </is>
      </c>
      <c r="C712" t="inlineStr">
        <is>
          <t>Föryngringsavverkning</t>
        </is>
      </c>
      <c r="D712" s="1" t="n">
        <v>45425</v>
      </c>
      <c r="E712" s="1" t="n">
        <v>46220</v>
      </c>
      <c r="F712" t="inlineStr">
        <is>
          <t>JÄMTLANDS LÄN</t>
        </is>
      </c>
      <c r="G712" t="inlineStr">
        <is>
          <t>RAGUNDA</t>
        </is>
      </c>
      <c r="H712" t="inlineStr">
        <is>
          <t>SCA</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59739-2025</t>
        </is>
      </c>
      <c r="B713" t="inlineStr">
        <is>
          <t>avverkningsanmälan</t>
        </is>
      </c>
      <c r="C713" t="inlineStr">
        <is>
          <t>Föryngringsavverkning</t>
        </is>
      </c>
      <c r="D713" s="1" t="n">
        <v>45992</v>
      </c>
      <c r="E713" s="1" t="n">
        <v>46220</v>
      </c>
      <c r="F713" t="inlineStr">
        <is>
          <t>JÄMTLANDS LÄN</t>
        </is>
      </c>
      <c r="G713" t="inlineStr">
        <is>
          <t>RAGUNDA</t>
        </is>
      </c>
      <c r="H713" t="inlineStr">
        <is>
          <t>SCA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26646-2023</t>
        </is>
      </c>
      <c r="B714" t="inlineStr">
        <is>
          <t>avverkningsanmälan</t>
        </is>
      </c>
      <c r="C714" t="inlineStr">
        <is>
          <t>Föryngringsavverkning</t>
        </is>
      </c>
      <c r="D714" s="1" t="n">
        <v>45092</v>
      </c>
      <c r="E714" s="1" t="n">
        <v>46220</v>
      </c>
      <c r="F714" t="inlineStr">
        <is>
          <t>JÄMTLANDS LÄN</t>
        </is>
      </c>
      <c r="G714" t="inlineStr">
        <is>
          <t>RAGUNDA</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43405-2023</t>
        </is>
      </c>
      <c r="B715" t="inlineStr">
        <is>
          <t>avverkningsanmälan</t>
        </is>
      </c>
      <c r="C715" t="inlineStr">
        <is>
          <t>Avverkning för att bevara och utveckla /försöksver</t>
        </is>
      </c>
      <c r="D715" s="1" t="n">
        <v>45183</v>
      </c>
      <c r="E715" s="1" t="n">
        <v>46220</v>
      </c>
      <c r="F715" t="inlineStr">
        <is>
          <t>JÄMTLANDS LÄN</t>
        </is>
      </c>
      <c r="G715" t="inlineStr">
        <is>
          <t>RAGUNDA</t>
        </is>
      </c>
      <c r="H715" t="inlineStr">
        <is>
          <t>SCA</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59693-2025</t>
        </is>
      </c>
      <c r="B716" t="inlineStr">
        <is>
          <t>avverkningsanmälan</t>
        </is>
      </c>
      <c r="C716" t="inlineStr">
        <is>
          <t>Föryngringsavverkning</t>
        </is>
      </c>
      <c r="D716" s="1" t="n">
        <v>45992</v>
      </c>
      <c r="E716" s="1" t="n">
        <v>46220</v>
      </c>
      <c r="F716" t="inlineStr">
        <is>
          <t>JÄMTLANDS LÄN</t>
        </is>
      </c>
      <c r="G716" t="inlineStr">
        <is>
          <t>RAGUNDA</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18781-2024</t>
        </is>
      </c>
      <c r="B717" t="inlineStr">
        <is>
          <t>avverkningsanmälan</t>
        </is>
      </c>
      <c r="C717" t="inlineStr">
        <is>
          <t>Föryngringsavverkning</t>
        </is>
      </c>
      <c r="D717" s="1" t="n">
        <v>45426</v>
      </c>
      <c r="E717" s="1" t="n">
        <v>46220</v>
      </c>
      <c r="F717" t="inlineStr">
        <is>
          <t>JÄMTLANDS LÄN</t>
        </is>
      </c>
      <c r="G717" t="inlineStr">
        <is>
          <t>RAGUNDA</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60389-2025</t>
        </is>
      </c>
      <c r="B718" t="inlineStr">
        <is>
          <t>avverkningsanmälan</t>
        </is>
      </c>
      <c r="C718" t="inlineStr">
        <is>
          <t>Föryngringsavverkning</t>
        </is>
      </c>
      <c r="D718" s="1" t="n">
        <v>45995</v>
      </c>
      <c r="E718" s="1" t="n">
        <v>46220</v>
      </c>
      <c r="F718" t="inlineStr">
        <is>
          <t>JÄMTLANDS LÄN</t>
        </is>
      </c>
      <c r="G718" t="inlineStr">
        <is>
          <t>RAGUNDA</t>
        </is>
      </c>
      <c r="I718" t="n">
        <v>3.3</v>
      </c>
      <c r="J718" t="n">
        <v>0</v>
      </c>
      <c r="K718" t="n">
        <v>0</v>
      </c>
      <c r="L718" t="n">
        <v>0</v>
      </c>
      <c r="M718" t="n">
        <v>0</v>
      </c>
      <c r="N718" t="n">
        <v>0</v>
      </c>
      <c r="O718" t="n">
        <v>0</v>
      </c>
      <c r="P718" t="n">
        <v>0</v>
      </c>
      <c r="Q718" t="n">
        <v>0</v>
      </c>
      <c r="R718" t="n">
        <v>0</v>
      </c>
      <c r="S718" t="n">
        <v>0</v>
      </c>
      <c r="T718" t="n">
        <v>0</v>
      </c>
      <c r="U718" s="2" t="inlineStr"/>
    </row>
    <row r="719" ht="15" customHeight="1">
      <c r="A719" t="inlineStr">
        <is>
          <t>A 9097-2026</t>
        </is>
      </c>
      <c r="B719" t="inlineStr">
        <is>
          <t>avverkningsanmälan</t>
        </is>
      </c>
      <c r="C719" t="inlineStr">
        <is>
          <t>Föryngringsavverkning</t>
        </is>
      </c>
      <c r="D719" s="1" t="n">
        <v>46069</v>
      </c>
      <c r="E719" s="1" t="n">
        <v>46220</v>
      </c>
      <c r="F719" t="inlineStr">
        <is>
          <t>JÄMTLANDS LÄN</t>
        </is>
      </c>
      <c r="G719" t="inlineStr">
        <is>
          <t>RAGUNDA</t>
        </is>
      </c>
      <c r="H719" t="inlineStr">
        <is>
          <t>SCA</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30826-2023</t>
        </is>
      </c>
      <c r="B720" t="inlineStr">
        <is>
          <t>avverkningsanmälan</t>
        </is>
      </c>
      <c r="C720" t="inlineStr">
        <is>
          <t>Avverkning för att bevara och utveckla /försöksver</t>
        </is>
      </c>
      <c r="D720" s="1" t="n">
        <v>45112</v>
      </c>
      <c r="E720" s="1" t="n">
        <v>46220</v>
      </c>
      <c r="F720" t="inlineStr">
        <is>
          <t>JÄMTLANDS LÄN</t>
        </is>
      </c>
      <c r="G720" t="inlineStr">
        <is>
          <t>RAGUNDA</t>
        </is>
      </c>
      <c r="H720" t="inlineStr">
        <is>
          <t>SCA</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53263-2024</t>
        </is>
      </c>
      <c r="B721" t="inlineStr">
        <is>
          <t>avverkningsanmälan</t>
        </is>
      </c>
      <c r="C721" t="inlineStr">
        <is>
          <t>Föryngringsavverkning</t>
        </is>
      </c>
      <c r="D721" s="1" t="n">
        <v>45614</v>
      </c>
      <c r="E721" s="1" t="n">
        <v>46220</v>
      </c>
      <c r="F721" t="inlineStr">
        <is>
          <t>JÄMTLANDS LÄN</t>
        </is>
      </c>
      <c r="G721" t="inlineStr">
        <is>
          <t>RAGUNDA</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26645-2024</t>
        </is>
      </c>
      <c r="B722" t="inlineStr">
        <is>
          <t>avverkningsanmälan</t>
        </is>
      </c>
      <c r="C722" t="inlineStr">
        <is>
          <t>Avverkning för att bevara och utveckla /försöksver</t>
        </is>
      </c>
      <c r="D722" s="1" t="n">
        <v>45469</v>
      </c>
      <c r="E722" s="1" t="n">
        <v>46220</v>
      </c>
      <c r="F722" t="inlineStr">
        <is>
          <t>JÄMTLANDS LÄN</t>
        </is>
      </c>
      <c r="G722" t="inlineStr">
        <is>
          <t>RAGUNDA</t>
        </is>
      </c>
      <c r="H722" t="inlineStr">
        <is>
          <t>SCA</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893-2025</t>
        </is>
      </c>
      <c r="B723" t="inlineStr">
        <is>
          <t>avverkningsanmälan</t>
        </is>
      </c>
      <c r="C723" t="inlineStr">
        <is>
          <t>Föryngringsavverkning</t>
        </is>
      </c>
      <c r="D723" s="1" t="n">
        <v>45665</v>
      </c>
      <c r="E723" s="1" t="n">
        <v>46220</v>
      </c>
      <c r="F723" t="inlineStr">
        <is>
          <t>JÄMTLANDS LÄN</t>
        </is>
      </c>
      <c r="G723" t="inlineStr">
        <is>
          <t>RAGUNDA</t>
        </is>
      </c>
      <c r="H723" t="inlineStr">
        <is>
          <t>SCA</t>
        </is>
      </c>
      <c r="I723" t="n">
        <v>45.1</v>
      </c>
      <c r="J723" t="n">
        <v>0</v>
      </c>
      <c r="K723" t="n">
        <v>0</v>
      </c>
      <c r="L723" t="n">
        <v>0</v>
      </c>
      <c r="M723" t="n">
        <v>0</v>
      </c>
      <c r="N723" t="n">
        <v>0</v>
      </c>
      <c r="O723" t="n">
        <v>0</v>
      </c>
      <c r="P723" t="n">
        <v>0</v>
      </c>
      <c r="Q723" t="n">
        <v>0</v>
      </c>
      <c r="R723" t="n">
        <v>0</v>
      </c>
      <c r="S723" t="n">
        <v>0</v>
      </c>
      <c r="T723" t="n">
        <v>0</v>
      </c>
      <c r="U723" s="2" t="inlineStr"/>
    </row>
    <row r="724" ht="15" customHeight="1">
      <c r="A724" t="inlineStr">
        <is>
          <t>A 60760-2025</t>
        </is>
      </c>
      <c r="B724" t="inlineStr">
        <is>
          <t>avverkningsanmälan</t>
        </is>
      </c>
      <c r="C724" t="inlineStr">
        <is>
          <t>Föryngringsavverkning</t>
        </is>
      </c>
      <c r="D724" s="1" t="n">
        <v>45999</v>
      </c>
      <c r="E724" s="1" t="n">
        <v>46220</v>
      </c>
      <c r="F724" t="inlineStr">
        <is>
          <t>JÄMTLANDS LÄN</t>
        </is>
      </c>
      <c r="G724" t="inlineStr">
        <is>
          <t>RAGUNDA</t>
        </is>
      </c>
      <c r="H724" t="inlineStr">
        <is>
          <t>SCA</t>
        </is>
      </c>
      <c r="I724" t="n">
        <v>5.6</v>
      </c>
      <c r="J724" t="n">
        <v>0</v>
      </c>
      <c r="K724" t="n">
        <v>0</v>
      </c>
      <c r="L724" t="n">
        <v>0</v>
      </c>
      <c r="M724" t="n">
        <v>0</v>
      </c>
      <c r="N724" t="n">
        <v>0</v>
      </c>
      <c r="O724" t="n">
        <v>0</v>
      </c>
      <c r="P724" t="n">
        <v>0</v>
      </c>
      <c r="Q724" t="n">
        <v>0</v>
      </c>
      <c r="R724" t="n">
        <v>0</v>
      </c>
      <c r="S724" t="n">
        <v>0</v>
      </c>
      <c r="T724" t="n">
        <v>0</v>
      </c>
      <c r="U724" s="2" t="inlineStr"/>
    </row>
    <row r="725" ht="15" customHeight="1">
      <c r="A725" t="inlineStr">
        <is>
          <t>A 31135-2023</t>
        </is>
      </c>
      <c r="B725" t="inlineStr">
        <is>
          <t>avverkningsanmälan</t>
        </is>
      </c>
      <c r="C725" t="inlineStr">
        <is>
          <t>Föryngringsavverkning</t>
        </is>
      </c>
      <c r="D725" s="1" t="n">
        <v>45103</v>
      </c>
      <c r="E725" s="1" t="n">
        <v>46220</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60630-2025</t>
        </is>
      </c>
      <c r="B726" t="inlineStr">
        <is>
          <t>avverkningsanmälan</t>
        </is>
      </c>
      <c r="C726" t="inlineStr">
        <is>
          <t>Föryngringsavverkning</t>
        </is>
      </c>
      <c r="D726" s="1" t="n">
        <v>45996</v>
      </c>
      <c r="E726" s="1" t="n">
        <v>46220</v>
      </c>
      <c r="F726" t="inlineStr">
        <is>
          <t>JÄMTLANDS LÄN</t>
        </is>
      </c>
      <c r="G726" t="inlineStr">
        <is>
          <t>RAGUNDA</t>
        </is>
      </c>
      <c r="I726" t="n">
        <v>13.2</v>
      </c>
      <c r="J726" t="n">
        <v>0</v>
      </c>
      <c r="K726" t="n">
        <v>0</v>
      </c>
      <c r="L726" t="n">
        <v>0</v>
      </c>
      <c r="M726" t="n">
        <v>0</v>
      </c>
      <c r="N726" t="n">
        <v>0</v>
      </c>
      <c r="O726" t="n">
        <v>0</v>
      </c>
      <c r="P726" t="n">
        <v>0</v>
      </c>
      <c r="Q726" t="n">
        <v>0</v>
      </c>
      <c r="R726" t="n">
        <v>0</v>
      </c>
      <c r="S726" t="n">
        <v>0</v>
      </c>
      <c r="T726" t="n">
        <v>0</v>
      </c>
      <c r="U726" s="2" t="inlineStr"/>
    </row>
    <row r="727" ht="15" customHeight="1">
      <c r="A727" t="inlineStr">
        <is>
          <t>A 61233-2025</t>
        </is>
      </c>
      <c r="B727" t="inlineStr">
        <is>
          <t>avverkningsanmälan</t>
        </is>
      </c>
      <c r="C727" t="inlineStr">
        <is>
          <t>Föryngringsavverkning</t>
        </is>
      </c>
      <c r="D727" s="1" t="n">
        <v>46000</v>
      </c>
      <c r="E727" s="1" t="n">
        <v>46220</v>
      </c>
      <c r="F727" t="inlineStr">
        <is>
          <t>JÄMTLANDS LÄN</t>
        </is>
      </c>
      <c r="G727" t="inlineStr">
        <is>
          <t>RAGUNDA</t>
        </is>
      </c>
      <c r="H727" t="inlineStr">
        <is>
          <t>SCA</t>
        </is>
      </c>
      <c r="I727" t="n">
        <v>8.300000000000001</v>
      </c>
      <c r="J727" t="n">
        <v>0</v>
      </c>
      <c r="K727" t="n">
        <v>0</v>
      </c>
      <c r="L727" t="n">
        <v>0</v>
      </c>
      <c r="M727" t="n">
        <v>0</v>
      </c>
      <c r="N727" t="n">
        <v>0</v>
      </c>
      <c r="O727" t="n">
        <v>0</v>
      </c>
      <c r="P727" t="n">
        <v>0</v>
      </c>
      <c r="Q727" t="n">
        <v>0</v>
      </c>
      <c r="R727" t="n">
        <v>0</v>
      </c>
      <c r="S727" t="n">
        <v>0</v>
      </c>
      <c r="T727" t="n">
        <v>0</v>
      </c>
      <c r="U727" s="2" t="inlineStr"/>
    </row>
    <row r="728" ht="15" customHeight="1">
      <c r="A728" t="inlineStr">
        <is>
          <t>A 61509-2025</t>
        </is>
      </c>
      <c r="B728" t="inlineStr">
        <is>
          <t>avverkningsanmälan</t>
        </is>
      </c>
      <c r="C728" t="inlineStr">
        <is>
          <t>Föryngringsavverkning</t>
        </is>
      </c>
      <c r="D728" s="1" t="n">
        <v>46001</v>
      </c>
      <c r="E728" s="1" t="n">
        <v>46220</v>
      </c>
      <c r="F728" t="inlineStr">
        <is>
          <t>JÄMTLANDS LÄN</t>
        </is>
      </c>
      <c r="G728" t="inlineStr">
        <is>
          <t>RAGUNDA</t>
        </is>
      </c>
      <c r="H728" t="inlineStr">
        <is>
          <t>SCA</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43132-2023</t>
        </is>
      </c>
      <c r="B729" t="inlineStr">
        <is>
          <t>avverkningsanmälan</t>
        </is>
      </c>
      <c r="C729" t="inlineStr">
        <is>
          <t>Föryngringsavverkning</t>
        </is>
      </c>
      <c r="D729" s="1" t="n">
        <v>45182</v>
      </c>
      <c r="E729" s="1" t="n">
        <v>46220</v>
      </c>
      <c r="F729" t="inlineStr">
        <is>
          <t>JÄMTLANDS LÄN</t>
        </is>
      </c>
      <c r="G729" t="inlineStr">
        <is>
          <t>RAGUNDA</t>
        </is>
      </c>
      <c r="H729" t="inlineStr">
        <is>
          <t>SCA</t>
        </is>
      </c>
      <c r="I729" t="n">
        <v>1.7</v>
      </c>
      <c r="J729" t="n">
        <v>0</v>
      </c>
      <c r="K729" t="n">
        <v>0</v>
      </c>
      <c r="L729" t="n">
        <v>0</v>
      </c>
      <c r="M729" t="n">
        <v>0</v>
      </c>
      <c r="N729" t="n">
        <v>0</v>
      </c>
      <c r="O729" t="n">
        <v>0</v>
      </c>
      <c r="P729" t="n">
        <v>0</v>
      </c>
      <c r="Q729" t="n">
        <v>0</v>
      </c>
      <c r="R729" t="n">
        <v>0</v>
      </c>
      <c r="S729" t="n">
        <v>0</v>
      </c>
      <c r="T729" t="n">
        <v>0</v>
      </c>
      <c r="U729" s="2" t="inlineStr"/>
    </row>
    <row r="730" ht="15" customHeight="1">
      <c r="A730" t="inlineStr">
        <is>
          <t>A 61266-2025</t>
        </is>
      </c>
      <c r="B730" t="inlineStr">
        <is>
          <t>avverkningsanmälan</t>
        </is>
      </c>
      <c r="C730" t="inlineStr">
        <is>
          <t>Föryngringsavverkning</t>
        </is>
      </c>
      <c r="D730" s="1" t="n">
        <v>46000</v>
      </c>
      <c r="E730" s="1" t="n">
        <v>46220</v>
      </c>
      <c r="F730" t="inlineStr">
        <is>
          <t>JÄMTLANDS LÄN</t>
        </is>
      </c>
      <c r="G730" t="inlineStr">
        <is>
          <t>RAGUNDA</t>
        </is>
      </c>
      <c r="I730" t="n">
        <v>7.9</v>
      </c>
      <c r="J730" t="n">
        <v>0</v>
      </c>
      <c r="K730" t="n">
        <v>0</v>
      </c>
      <c r="L730" t="n">
        <v>0</v>
      </c>
      <c r="M730" t="n">
        <v>0</v>
      </c>
      <c r="N730" t="n">
        <v>0</v>
      </c>
      <c r="O730" t="n">
        <v>0</v>
      </c>
      <c r="P730" t="n">
        <v>0</v>
      </c>
      <c r="Q730" t="n">
        <v>0</v>
      </c>
      <c r="R730" t="n">
        <v>0</v>
      </c>
      <c r="S730" t="n">
        <v>0</v>
      </c>
      <c r="T730" t="n">
        <v>0</v>
      </c>
      <c r="U730" s="2" t="inlineStr"/>
    </row>
    <row r="731" ht="15" customHeight="1">
      <c r="A731" t="inlineStr">
        <is>
          <t>A 56284-2023</t>
        </is>
      </c>
      <c r="B731" t="inlineStr">
        <is>
          <t>avverkningsanmälan</t>
        </is>
      </c>
      <c r="C731" t="inlineStr">
        <is>
          <t>Föryngringsavverkning</t>
        </is>
      </c>
      <c r="D731" s="1" t="n">
        <v>45241</v>
      </c>
      <c r="E731" s="1" t="n">
        <v>46220</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3841-2026</t>
        </is>
      </c>
      <c r="B732" t="inlineStr">
        <is>
          <t>avverkningsanmälan</t>
        </is>
      </c>
      <c r="C732" t="inlineStr">
        <is>
          <t>Avverkning för annat ändamål</t>
        </is>
      </c>
      <c r="D732" s="1" t="n">
        <v>46043</v>
      </c>
      <c r="E732" s="1" t="n">
        <v>46220</v>
      </c>
      <c r="F732" t="inlineStr">
        <is>
          <t>JÄMTLANDS LÄN</t>
        </is>
      </c>
      <c r="G732" t="inlineStr">
        <is>
          <t>RAGUNDA</t>
        </is>
      </c>
      <c r="H732" t="inlineStr">
        <is>
          <t>Kommuner</t>
        </is>
      </c>
      <c r="I732" t="n">
        <v>0.6</v>
      </c>
      <c r="J732" t="n">
        <v>0</v>
      </c>
      <c r="K732" t="n">
        <v>0</v>
      </c>
      <c r="L732" t="n">
        <v>0</v>
      </c>
      <c r="M732" t="n">
        <v>0</v>
      </c>
      <c r="N732" t="n">
        <v>0</v>
      </c>
      <c r="O732" t="n">
        <v>0</v>
      </c>
      <c r="P732" t="n">
        <v>0</v>
      </c>
      <c r="Q732" t="n">
        <v>0</v>
      </c>
      <c r="R732" t="n">
        <v>0</v>
      </c>
      <c r="S732" t="n">
        <v>0</v>
      </c>
      <c r="T732" t="n">
        <v>0</v>
      </c>
      <c r="U732" s="2" t="inlineStr"/>
    </row>
    <row r="733" ht="15" customHeight="1">
      <c r="A733" t="inlineStr">
        <is>
          <t>A 9042-2026</t>
        </is>
      </c>
      <c r="B733" t="inlineStr">
        <is>
          <t>avverkningsanmälan</t>
        </is>
      </c>
      <c r="C733" t="inlineStr">
        <is>
          <t>Föryngringsavverkning</t>
        </is>
      </c>
      <c r="D733" s="1" t="n">
        <v>46069</v>
      </c>
      <c r="E733" s="1" t="n">
        <v>46220</v>
      </c>
      <c r="F733" t="inlineStr">
        <is>
          <t>JÄMTLANDS LÄN</t>
        </is>
      </c>
      <c r="G733" t="inlineStr">
        <is>
          <t>RAGUNDA</t>
        </is>
      </c>
      <c r="I733" t="n">
        <v>1.7</v>
      </c>
      <c r="J733" t="n">
        <v>0</v>
      </c>
      <c r="K733" t="n">
        <v>0</v>
      </c>
      <c r="L733" t="n">
        <v>0</v>
      </c>
      <c r="M733" t="n">
        <v>0</v>
      </c>
      <c r="N733" t="n">
        <v>0</v>
      </c>
      <c r="O733" t="n">
        <v>0</v>
      </c>
      <c r="P733" t="n">
        <v>0</v>
      </c>
      <c r="Q733" t="n">
        <v>0</v>
      </c>
      <c r="R733" t="n">
        <v>0</v>
      </c>
      <c r="S733" t="n">
        <v>0</v>
      </c>
      <c r="T733" t="n">
        <v>0</v>
      </c>
      <c r="U733" s="2" t="inlineStr"/>
    </row>
    <row r="734" ht="15" customHeight="1">
      <c r="A734" t="inlineStr">
        <is>
          <t>A 62490-2025</t>
        </is>
      </c>
      <c r="B734" t="inlineStr">
        <is>
          <t>avverkningsanmälan</t>
        </is>
      </c>
      <c r="C734" t="inlineStr">
        <is>
          <t>Avverkning för annat ändamål</t>
        </is>
      </c>
      <c r="D734" s="1" t="n">
        <v>46007</v>
      </c>
      <c r="E734" s="1" t="n">
        <v>46220</v>
      </c>
      <c r="F734" t="inlineStr">
        <is>
          <t>JÄMTLANDS LÄN</t>
        </is>
      </c>
      <c r="G734" t="inlineStr">
        <is>
          <t>RAGUNDA</t>
        </is>
      </c>
      <c r="H734" t="inlineStr">
        <is>
          <t>Kommuner</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61045-2022</t>
        </is>
      </c>
      <c r="B735" t="inlineStr">
        <is>
          <t>avverkningsanmälan</t>
        </is>
      </c>
      <c r="C735" t="inlineStr">
        <is>
          <t>Föryngringsavverkning</t>
        </is>
      </c>
      <c r="D735" s="1" t="n">
        <v>44914</v>
      </c>
      <c r="E735" s="1" t="n">
        <v>46220</v>
      </c>
      <c r="F735" t="inlineStr">
        <is>
          <t>JÄMTLANDS LÄN</t>
        </is>
      </c>
      <c r="G735" t="inlineStr">
        <is>
          <t>RAGUNDA</t>
        </is>
      </c>
      <c r="H735" t="inlineStr">
        <is>
          <t>SCA</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61197-2023</t>
        </is>
      </c>
      <c r="B736" t="inlineStr">
        <is>
          <t>avverkningsanmälan</t>
        </is>
      </c>
      <c r="C736" t="inlineStr">
        <is>
          <t>Föryngringsavverkning</t>
        </is>
      </c>
      <c r="D736" s="1" t="n">
        <v>45260</v>
      </c>
      <c r="E736" s="1" t="n">
        <v>46220</v>
      </c>
      <c r="F736" t="inlineStr">
        <is>
          <t>JÄMTLANDS LÄN</t>
        </is>
      </c>
      <c r="G736" t="inlineStr">
        <is>
          <t>RAGUNDA</t>
        </is>
      </c>
      <c r="I736" t="n">
        <v>2.5</v>
      </c>
      <c r="J736" t="n">
        <v>0</v>
      </c>
      <c r="K736" t="n">
        <v>0</v>
      </c>
      <c r="L736" t="n">
        <v>0</v>
      </c>
      <c r="M736" t="n">
        <v>0</v>
      </c>
      <c r="N736" t="n">
        <v>0</v>
      </c>
      <c r="O736" t="n">
        <v>0</v>
      </c>
      <c r="P736" t="n">
        <v>0</v>
      </c>
      <c r="Q736" t="n">
        <v>0</v>
      </c>
      <c r="R736" t="n">
        <v>0</v>
      </c>
      <c r="S736" t="n">
        <v>0</v>
      </c>
      <c r="T736" t="n">
        <v>0</v>
      </c>
      <c r="U736" s="2" t="inlineStr"/>
    </row>
    <row r="737" ht="15" customHeight="1">
      <c r="A737" t="inlineStr">
        <is>
          <t>A 13263-2025</t>
        </is>
      </c>
      <c r="B737" t="inlineStr">
        <is>
          <t>avverkningsanmälan</t>
        </is>
      </c>
      <c r="C737" t="inlineStr">
        <is>
          <t>Föryngringsavverkning</t>
        </is>
      </c>
      <c r="D737" s="1" t="n">
        <v>45735</v>
      </c>
      <c r="E737" s="1" t="n">
        <v>46220</v>
      </c>
      <c r="F737" t="inlineStr">
        <is>
          <t>JÄMTLANDS LÄN</t>
        </is>
      </c>
      <c r="G737" t="inlineStr">
        <is>
          <t>RAGUNDA</t>
        </is>
      </c>
      <c r="H737" t="inlineStr">
        <is>
          <t>SCA</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62436-2025</t>
        </is>
      </c>
      <c r="B738" t="inlineStr">
        <is>
          <t>avverkningsanmälan</t>
        </is>
      </c>
      <c r="C738" t="inlineStr">
        <is>
          <t>Föryngringsavverkning</t>
        </is>
      </c>
      <c r="D738" s="1" t="n">
        <v>46007</v>
      </c>
      <c r="E738" s="1" t="n">
        <v>46220</v>
      </c>
      <c r="F738" t="inlineStr">
        <is>
          <t>JÄMTLANDS LÄN</t>
        </is>
      </c>
      <c r="G738" t="inlineStr">
        <is>
          <t>RAGUNDA</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48066-2022</t>
        </is>
      </c>
      <c r="B739" t="inlineStr">
        <is>
          <t>avverkningsanmälan</t>
        </is>
      </c>
      <c r="C739" t="inlineStr">
        <is>
          <t>Avverkning för att bevara och utveckla /försöksver</t>
        </is>
      </c>
      <c r="D739" s="1" t="n">
        <v>44855</v>
      </c>
      <c r="E739" s="1" t="n">
        <v>46220</v>
      </c>
      <c r="F739" t="inlineStr">
        <is>
          <t>JÄMTLANDS LÄN</t>
        </is>
      </c>
      <c r="G739" t="inlineStr">
        <is>
          <t>RAGUNDA</t>
        </is>
      </c>
      <c r="H739" t="inlineStr">
        <is>
          <t>SCA</t>
        </is>
      </c>
      <c r="I739" t="n">
        <v>8.199999999999999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A 64415-2023</t>
        </is>
      </c>
      <c r="B740" t="inlineStr">
        <is>
          <t>avverkningsanmälan</t>
        </is>
      </c>
      <c r="C740" t="inlineStr">
        <is>
          <t>Föryngringsavverkning</t>
        </is>
      </c>
      <c r="D740" s="1" t="n">
        <v>45280</v>
      </c>
      <c r="E740" s="1" t="n">
        <v>46220</v>
      </c>
      <c r="F740" t="inlineStr">
        <is>
          <t>JÄMTLANDS LÄN</t>
        </is>
      </c>
      <c r="G740" t="inlineStr">
        <is>
          <t>RAGUNDA</t>
        </is>
      </c>
      <c r="I740" t="n">
        <v>5.1</v>
      </c>
      <c r="J740" t="n">
        <v>0</v>
      </c>
      <c r="K740" t="n">
        <v>0</v>
      </c>
      <c r="L740" t="n">
        <v>0</v>
      </c>
      <c r="M740" t="n">
        <v>0</v>
      </c>
      <c r="N740" t="n">
        <v>0</v>
      </c>
      <c r="O740" t="n">
        <v>0</v>
      </c>
      <c r="P740" t="n">
        <v>0</v>
      </c>
      <c r="Q740" t="n">
        <v>0</v>
      </c>
      <c r="R740" t="n">
        <v>0</v>
      </c>
      <c r="S740" t="n">
        <v>0</v>
      </c>
      <c r="T740" t="n">
        <v>0</v>
      </c>
      <c r="U740" s="2" t="inlineStr"/>
    </row>
    <row r="741" ht="15" customHeight="1">
      <c r="A741" t="inlineStr">
        <is>
          <t>A 60225-2022</t>
        </is>
      </c>
      <c r="B741" t="inlineStr">
        <is>
          <t>avverkningsanmälan</t>
        </is>
      </c>
      <c r="C741" t="inlineStr">
        <is>
          <t>Föryngringsavverkning</t>
        </is>
      </c>
      <c r="D741" s="1" t="n">
        <v>44903</v>
      </c>
      <c r="E741" s="1" t="n">
        <v>46220</v>
      </c>
      <c r="F741" t="inlineStr">
        <is>
          <t>JÄMTLANDS LÄN</t>
        </is>
      </c>
      <c r="G741" t="inlineStr">
        <is>
          <t>RAGUNDA</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63057-2025</t>
        </is>
      </c>
      <c r="B742" t="inlineStr">
        <is>
          <t>avverkningsanmälan</t>
        </is>
      </c>
      <c r="C742" t="inlineStr">
        <is>
          <t>Föryngringsavverkning</t>
        </is>
      </c>
      <c r="D742" s="1" t="n">
        <v>46009</v>
      </c>
      <c r="E742" s="1" t="n">
        <v>46220</v>
      </c>
      <c r="F742" t="inlineStr">
        <is>
          <t>JÄMTLANDS LÄN</t>
        </is>
      </c>
      <c r="G742" t="inlineStr">
        <is>
          <t>RAGUNDA</t>
        </is>
      </c>
      <c r="I742" t="n">
        <v>13.7</v>
      </c>
      <c r="J742" t="n">
        <v>0</v>
      </c>
      <c r="K742" t="n">
        <v>0</v>
      </c>
      <c r="L742" t="n">
        <v>0</v>
      </c>
      <c r="M742" t="n">
        <v>0</v>
      </c>
      <c r="N742" t="n">
        <v>0</v>
      </c>
      <c r="O742" t="n">
        <v>0</v>
      </c>
      <c r="P742" t="n">
        <v>0</v>
      </c>
      <c r="Q742" t="n">
        <v>0</v>
      </c>
      <c r="R742" t="n">
        <v>0</v>
      </c>
      <c r="S742" t="n">
        <v>0</v>
      </c>
      <c r="T742" t="n">
        <v>0</v>
      </c>
      <c r="U742" s="2" t="inlineStr"/>
    </row>
    <row r="743" ht="15" customHeight="1">
      <c r="A743" t="inlineStr">
        <is>
          <t>A 57749-2024</t>
        </is>
      </c>
      <c r="B743" t="inlineStr">
        <is>
          <t>avverkningsanmälan</t>
        </is>
      </c>
      <c r="C743" t="inlineStr">
        <is>
          <t>Föryngringsavverkning</t>
        </is>
      </c>
      <c r="D743" s="1" t="n">
        <v>45630</v>
      </c>
      <c r="E743" s="1" t="n">
        <v>46220</v>
      </c>
      <c r="F743" t="inlineStr">
        <is>
          <t>JÄMTLANDS LÄN</t>
        </is>
      </c>
      <c r="G743" t="inlineStr">
        <is>
          <t>RAGUNDA</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8886-2024</t>
        </is>
      </c>
      <c r="B744" t="inlineStr">
        <is>
          <t>avverkningsanmälan</t>
        </is>
      </c>
      <c r="C744" t="inlineStr">
        <is>
          <t>Avverkning för att bevara och utveckla /försöksver</t>
        </is>
      </c>
      <c r="D744" s="1" t="n">
        <v>45357</v>
      </c>
      <c r="E744" s="1" t="n">
        <v>46220</v>
      </c>
      <c r="F744" t="inlineStr">
        <is>
          <t>JÄMTLANDS LÄN</t>
        </is>
      </c>
      <c r="G744" t="inlineStr">
        <is>
          <t>RAGUNDA</t>
        </is>
      </c>
      <c r="H744" t="inlineStr">
        <is>
          <t>SCA</t>
        </is>
      </c>
      <c r="I744" t="n">
        <v>3.7</v>
      </c>
      <c r="J744" t="n">
        <v>0</v>
      </c>
      <c r="K744" t="n">
        <v>0</v>
      </c>
      <c r="L744" t="n">
        <v>0</v>
      </c>
      <c r="M744" t="n">
        <v>0</v>
      </c>
      <c r="N744" t="n">
        <v>0</v>
      </c>
      <c r="O744" t="n">
        <v>0</v>
      </c>
      <c r="P744" t="n">
        <v>0</v>
      </c>
      <c r="Q744" t="n">
        <v>0</v>
      </c>
      <c r="R744" t="n">
        <v>0</v>
      </c>
      <c r="S744" t="n">
        <v>0</v>
      </c>
      <c r="T744" t="n">
        <v>0</v>
      </c>
      <c r="U744" s="2" t="inlineStr"/>
    </row>
    <row r="745" ht="15" customHeight="1">
      <c r="A745" t="inlineStr">
        <is>
          <t>A 62638-2025</t>
        </is>
      </c>
      <c r="B745" t="inlineStr">
        <is>
          <t>avverkningsanmälan</t>
        </is>
      </c>
      <c r="C745" t="inlineStr">
        <is>
          <t>Föryngringsavverkning</t>
        </is>
      </c>
      <c r="D745" s="1" t="n">
        <v>46008</v>
      </c>
      <c r="E745" s="1" t="n">
        <v>46220</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9538-2026</t>
        </is>
      </c>
      <c r="B746" t="inlineStr">
        <is>
          <t>avverkningsanmälan</t>
        </is>
      </c>
      <c r="C746" t="inlineStr">
        <is>
          <t>Föryngringsavverkning</t>
        </is>
      </c>
      <c r="D746" s="1" t="n">
        <v>46071</v>
      </c>
      <c r="E746" s="1" t="n">
        <v>46220</v>
      </c>
      <c r="F746" t="inlineStr">
        <is>
          <t>JÄMTLANDS LÄN</t>
        </is>
      </c>
      <c r="G746" t="inlineStr">
        <is>
          <t>RAGUNDA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9537-2026</t>
        </is>
      </c>
      <c r="B747" t="inlineStr">
        <is>
          <t>avverkningsanmälan</t>
        </is>
      </c>
      <c r="C747" t="inlineStr">
        <is>
          <t>Avverkning för att bevara och utveckla /försöksver</t>
        </is>
      </c>
      <c r="D747" s="1" t="n">
        <v>46071</v>
      </c>
      <c r="E747" s="1" t="n">
        <v>46220</v>
      </c>
      <c r="F747" t="inlineStr">
        <is>
          <t>JÄMTLANDS LÄN</t>
        </is>
      </c>
      <c r="G747" t="inlineStr">
        <is>
          <t>RAGUNDA</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9566-2026</t>
        </is>
      </c>
      <c r="B748" t="inlineStr">
        <is>
          <t>avverkningsanmälan</t>
        </is>
      </c>
      <c r="C748" t="inlineStr">
        <is>
          <t>Föryngringsavverkning</t>
        </is>
      </c>
      <c r="D748" s="1" t="n">
        <v>46071</v>
      </c>
      <c r="E748" s="1" t="n">
        <v>46220</v>
      </c>
      <c r="F748" t="inlineStr">
        <is>
          <t>JÄMTLANDS LÄN</t>
        </is>
      </c>
      <c r="G748" t="inlineStr">
        <is>
          <t>RAGUNDA</t>
        </is>
      </c>
      <c r="H748" t="inlineStr">
        <is>
          <t>SCA</t>
        </is>
      </c>
      <c r="I748" t="n">
        <v>18.9</v>
      </c>
      <c r="J748" t="n">
        <v>0</v>
      </c>
      <c r="K748" t="n">
        <v>0</v>
      </c>
      <c r="L748" t="n">
        <v>0</v>
      </c>
      <c r="M748" t="n">
        <v>0</v>
      </c>
      <c r="N748" t="n">
        <v>0</v>
      </c>
      <c r="O748" t="n">
        <v>0</v>
      </c>
      <c r="P748" t="n">
        <v>0</v>
      </c>
      <c r="Q748" t="n">
        <v>0</v>
      </c>
      <c r="R748" t="n">
        <v>0</v>
      </c>
      <c r="S748" t="n">
        <v>0</v>
      </c>
      <c r="T748" t="n">
        <v>0</v>
      </c>
      <c r="U748" s="2" t="inlineStr"/>
    </row>
    <row r="749" ht="15" customHeight="1">
      <c r="A749" t="inlineStr">
        <is>
          <t>A 63060-2025</t>
        </is>
      </c>
      <c r="B749" t="inlineStr">
        <is>
          <t>avverkningsanmälan</t>
        </is>
      </c>
      <c r="C749" t="inlineStr">
        <is>
          <t>Föryngringsavverkning</t>
        </is>
      </c>
      <c r="D749" s="1" t="n">
        <v>46009</v>
      </c>
      <c r="E749" s="1" t="n">
        <v>46220</v>
      </c>
      <c r="F749" t="inlineStr">
        <is>
          <t>JÄMTLANDS LÄN</t>
        </is>
      </c>
      <c r="G749" t="inlineStr">
        <is>
          <t>RAGUNDA</t>
        </is>
      </c>
      <c r="I749" t="n">
        <v>6.5</v>
      </c>
      <c r="J749" t="n">
        <v>0</v>
      </c>
      <c r="K749" t="n">
        <v>0</v>
      </c>
      <c r="L749" t="n">
        <v>0</v>
      </c>
      <c r="M749" t="n">
        <v>0</v>
      </c>
      <c r="N749" t="n">
        <v>0</v>
      </c>
      <c r="O749" t="n">
        <v>0</v>
      </c>
      <c r="P749" t="n">
        <v>0</v>
      </c>
      <c r="Q749" t="n">
        <v>0</v>
      </c>
      <c r="R749" t="n">
        <v>0</v>
      </c>
      <c r="S749" t="n">
        <v>0</v>
      </c>
      <c r="T749" t="n">
        <v>0</v>
      </c>
      <c r="U749" s="2" t="inlineStr"/>
    </row>
    <row r="750" ht="15" customHeight="1">
      <c r="A750" t="inlineStr">
        <is>
          <t>A 9513-2026</t>
        </is>
      </c>
      <c r="B750" t="inlineStr">
        <is>
          <t>avverkningsanmälan</t>
        </is>
      </c>
      <c r="C750" t="inlineStr">
        <is>
          <t>Föryngringsavverkning</t>
        </is>
      </c>
      <c r="D750" s="1" t="n">
        <v>46071</v>
      </c>
      <c r="E750" s="1" t="n">
        <v>46220</v>
      </c>
      <c r="F750" t="inlineStr">
        <is>
          <t>JÄMTLANDS LÄN</t>
        </is>
      </c>
      <c r="G750" t="inlineStr">
        <is>
          <t>RAGUNDA</t>
        </is>
      </c>
      <c r="H750" t="inlineStr">
        <is>
          <t>SCA</t>
        </is>
      </c>
      <c r="I750" t="n">
        <v>26.1</v>
      </c>
      <c r="J750" t="n">
        <v>0</v>
      </c>
      <c r="K750" t="n">
        <v>0</v>
      </c>
      <c r="L750" t="n">
        <v>0</v>
      </c>
      <c r="M750" t="n">
        <v>0</v>
      </c>
      <c r="N750" t="n">
        <v>0</v>
      </c>
      <c r="O750" t="n">
        <v>0</v>
      </c>
      <c r="P750" t="n">
        <v>0</v>
      </c>
      <c r="Q750" t="n">
        <v>0</v>
      </c>
      <c r="R750" t="n">
        <v>0</v>
      </c>
      <c r="S750" t="n">
        <v>0</v>
      </c>
      <c r="T750" t="n">
        <v>0</v>
      </c>
      <c r="U750" s="2" t="inlineStr"/>
    </row>
    <row r="751" ht="15" customHeight="1">
      <c r="A751" t="inlineStr">
        <is>
          <t>A 62819-2025</t>
        </is>
      </c>
      <c r="B751" t="inlineStr">
        <is>
          <t>avverkningsanmälan</t>
        </is>
      </c>
      <c r="C751" t="inlineStr">
        <is>
          <t>Föryngringsavverkning</t>
        </is>
      </c>
      <c r="D751" s="1" t="n">
        <v>46008</v>
      </c>
      <c r="E751" s="1" t="n">
        <v>46220</v>
      </c>
      <c r="F751" t="inlineStr">
        <is>
          <t>JÄMTLANDS LÄN</t>
        </is>
      </c>
      <c r="G751" t="inlineStr">
        <is>
          <t>RAGUNDA</t>
        </is>
      </c>
      <c r="I751" t="n">
        <v>3.5</v>
      </c>
      <c r="J751" t="n">
        <v>0</v>
      </c>
      <c r="K751" t="n">
        <v>0</v>
      </c>
      <c r="L751" t="n">
        <v>0</v>
      </c>
      <c r="M751" t="n">
        <v>0</v>
      </c>
      <c r="N751" t="n">
        <v>0</v>
      </c>
      <c r="O751" t="n">
        <v>0</v>
      </c>
      <c r="P751" t="n">
        <v>0</v>
      </c>
      <c r="Q751" t="n">
        <v>0</v>
      </c>
      <c r="R751" t="n">
        <v>0</v>
      </c>
      <c r="S751" t="n">
        <v>0</v>
      </c>
      <c r="T751" t="n">
        <v>0</v>
      </c>
      <c r="U751" s="2" t="inlineStr"/>
    </row>
    <row r="752" ht="15" customHeight="1">
      <c r="A752" t="inlineStr">
        <is>
          <t>A 11058-2025</t>
        </is>
      </c>
      <c r="B752" t="inlineStr">
        <is>
          <t>avverkningsanmälan</t>
        </is>
      </c>
      <c r="C752" t="inlineStr">
        <is>
          <t>Föryngringsavverkning</t>
        </is>
      </c>
      <c r="D752" s="1" t="n">
        <v>45723</v>
      </c>
      <c r="E752" s="1" t="n">
        <v>46220</v>
      </c>
      <c r="F752" t="inlineStr">
        <is>
          <t>JÄMTLANDS LÄN</t>
        </is>
      </c>
      <c r="G752" t="inlineStr">
        <is>
          <t>RAGUNDA</t>
        </is>
      </c>
      <c r="H752" t="inlineStr">
        <is>
          <t>SCA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9736-2026</t>
        </is>
      </c>
      <c r="B753" t="inlineStr">
        <is>
          <t>avverkningsanmälan</t>
        </is>
      </c>
      <c r="C753" t="inlineStr">
        <is>
          <t>Föryngringsavverkning</t>
        </is>
      </c>
      <c r="D753" s="1" t="n">
        <v>46072</v>
      </c>
      <c r="E753" s="1" t="n">
        <v>46220</v>
      </c>
      <c r="F753" t="inlineStr">
        <is>
          <t>JÄMTLANDS LÄN</t>
        </is>
      </c>
      <c r="G753" t="inlineStr">
        <is>
          <t>RAGUNDA</t>
        </is>
      </c>
      <c r="H753" t="inlineStr">
        <is>
          <t>SCA</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24441-2024</t>
        </is>
      </c>
      <c r="B754" t="inlineStr">
        <is>
          <t>avverkningsanmälan</t>
        </is>
      </c>
      <c r="C754" t="inlineStr">
        <is>
          <t>Föryngringsavverkning</t>
        </is>
      </c>
      <c r="D754" s="1" t="n">
        <v>45457</v>
      </c>
      <c r="E754" s="1" t="n">
        <v>46220</v>
      </c>
      <c r="F754" t="inlineStr">
        <is>
          <t>JÄMTLANDS LÄN</t>
        </is>
      </c>
      <c r="G754" t="inlineStr">
        <is>
          <t>RAGUNDA</t>
        </is>
      </c>
      <c r="H754" t="inlineStr">
        <is>
          <t>SCA</t>
        </is>
      </c>
      <c r="I754" t="n">
        <v>2.7</v>
      </c>
      <c r="J754" t="n">
        <v>0</v>
      </c>
      <c r="K754" t="n">
        <v>0</v>
      </c>
      <c r="L754" t="n">
        <v>0</v>
      </c>
      <c r="M754" t="n">
        <v>0</v>
      </c>
      <c r="N754" t="n">
        <v>0</v>
      </c>
      <c r="O754" t="n">
        <v>0</v>
      </c>
      <c r="P754" t="n">
        <v>0</v>
      </c>
      <c r="Q754" t="n">
        <v>0</v>
      </c>
      <c r="R754" t="n">
        <v>0</v>
      </c>
      <c r="S754" t="n">
        <v>0</v>
      </c>
      <c r="T754" t="n">
        <v>0</v>
      </c>
      <c r="U754" s="2" t="inlineStr"/>
    </row>
    <row r="755" ht="15" customHeight="1">
      <c r="A755" t="inlineStr">
        <is>
          <t>A 10570-2026</t>
        </is>
      </c>
      <c r="B755" t="inlineStr">
        <is>
          <t>avverkningsanmälan</t>
        </is>
      </c>
      <c r="C755" t="inlineStr">
        <is>
          <t>Föryngringsavverkning</t>
        </is>
      </c>
      <c r="D755" s="1" t="n">
        <v>46077</v>
      </c>
      <c r="E755" s="1" t="n">
        <v>46220</v>
      </c>
      <c r="F755" t="inlineStr">
        <is>
          <t>JÄMTLANDS LÄN</t>
        </is>
      </c>
      <c r="G755" t="inlineStr">
        <is>
          <t>RAGUNDA</t>
        </is>
      </c>
      <c r="H755" t="inlineStr">
        <is>
          <t>SCA</t>
        </is>
      </c>
      <c r="I755" t="n">
        <v>22.9</v>
      </c>
      <c r="J755" t="n">
        <v>0</v>
      </c>
      <c r="K755" t="n">
        <v>0</v>
      </c>
      <c r="L755" t="n">
        <v>0</v>
      </c>
      <c r="M755" t="n">
        <v>0</v>
      </c>
      <c r="N755" t="n">
        <v>0</v>
      </c>
      <c r="O755" t="n">
        <v>0</v>
      </c>
      <c r="P755" t="n">
        <v>0</v>
      </c>
      <c r="Q755" t="n">
        <v>0</v>
      </c>
      <c r="R755" t="n">
        <v>0</v>
      </c>
      <c r="S755" t="n">
        <v>0</v>
      </c>
      <c r="T755" t="n">
        <v>0</v>
      </c>
      <c r="U755" s="2" t="inlineStr"/>
    </row>
    <row r="756" ht="15" customHeight="1">
      <c r="A756" t="inlineStr">
        <is>
          <t>A 63672-2025</t>
        </is>
      </c>
      <c r="B756" t="inlineStr">
        <is>
          <t>avverkningsanmälan</t>
        </is>
      </c>
      <c r="C756" t="inlineStr">
        <is>
          <t>Föryngringsavverkning</t>
        </is>
      </c>
      <c r="D756" s="1" t="n">
        <v>46014</v>
      </c>
      <c r="E756" s="1" t="n">
        <v>46220</v>
      </c>
      <c r="F756" t="inlineStr">
        <is>
          <t>JÄMTLANDS LÄN</t>
        </is>
      </c>
      <c r="G756" t="inlineStr">
        <is>
          <t>RAGUNDA</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60195-2023</t>
        </is>
      </c>
      <c r="B757" t="inlineStr">
        <is>
          <t>avverkningsanmälan</t>
        </is>
      </c>
      <c r="C757" t="inlineStr">
        <is>
          <t>Föryngringsavverkning</t>
        </is>
      </c>
      <c r="D757" s="1" t="n">
        <v>45257</v>
      </c>
      <c r="E757" s="1" t="n">
        <v>46220</v>
      </c>
      <c r="F757" t="inlineStr">
        <is>
          <t>JÄMTLANDS LÄN</t>
        </is>
      </c>
      <c r="G757" t="inlineStr">
        <is>
          <t>RAGUNDA</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11243-2026</t>
        </is>
      </c>
      <c r="B758" t="inlineStr">
        <is>
          <t>avverkningsanmälan</t>
        </is>
      </c>
      <c r="C758" t="inlineStr">
        <is>
          <t>Föryngringsavverkning</t>
        </is>
      </c>
      <c r="D758" s="1" t="n">
        <v>46080</v>
      </c>
      <c r="E758" s="1" t="n">
        <v>46220</v>
      </c>
      <c r="F758" t="inlineStr">
        <is>
          <t>JÄMTLANDS LÄN</t>
        </is>
      </c>
      <c r="G758" t="inlineStr">
        <is>
          <t>RAGUNDA</t>
        </is>
      </c>
      <c r="H758" t="inlineStr">
        <is>
          <t>SCA</t>
        </is>
      </c>
      <c r="I758" t="n">
        <v>52.9</v>
      </c>
      <c r="J758" t="n">
        <v>0</v>
      </c>
      <c r="K758" t="n">
        <v>0</v>
      </c>
      <c r="L758" t="n">
        <v>0</v>
      </c>
      <c r="M758" t="n">
        <v>0</v>
      </c>
      <c r="N758" t="n">
        <v>0</v>
      </c>
      <c r="O758" t="n">
        <v>0</v>
      </c>
      <c r="P758" t="n">
        <v>0</v>
      </c>
      <c r="Q758" t="n">
        <v>0</v>
      </c>
      <c r="R758" t="n">
        <v>0</v>
      </c>
      <c r="S758" t="n">
        <v>0</v>
      </c>
      <c r="T758" t="n">
        <v>0</v>
      </c>
      <c r="U758" s="2" t="inlineStr"/>
    </row>
    <row r="759" ht="15" customHeight="1">
      <c r="A759" t="inlineStr">
        <is>
          <t>A 22981-2023</t>
        </is>
      </c>
      <c r="B759" t="inlineStr">
        <is>
          <t>avverkningsanmälan</t>
        </is>
      </c>
      <c r="C759" t="inlineStr">
        <is>
          <t>Föryngringsavverkning</t>
        </is>
      </c>
      <c r="D759" s="1" t="n">
        <v>45072</v>
      </c>
      <c r="E759" s="1" t="n">
        <v>46220</v>
      </c>
      <c r="F759" t="inlineStr">
        <is>
          <t>JÄMTLANDS LÄN</t>
        </is>
      </c>
      <c r="G759" t="inlineStr">
        <is>
          <t>RAGUNDA</t>
        </is>
      </c>
      <c r="I759" t="n">
        <v>3.8</v>
      </c>
      <c r="J759" t="n">
        <v>0</v>
      </c>
      <c r="K759" t="n">
        <v>0</v>
      </c>
      <c r="L759" t="n">
        <v>0</v>
      </c>
      <c r="M759" t="n">
        <v>0</v>
      </c>
      <c r="N759" t="n">
        <v>0</v>
      </c>
      <c r="O759" t="n">
        <v>0</v>
      </c>
      <c r="P759" t="n">
        <v>0</v>
      </c>
      <c r="Q759" t="n">
        <v>0</v>
      </c>
      <c r="R759" t="n">
        <v>0</v>
      </c>
      <c r="S759" t="n">
        <v>0</v>
      </c>
      <c r="T759" t="n">
        <v>0</v>
      </c>
      <c r="U759" s="2" t="inlineStr"/>
    </row>
    <row r="760" ht="15" customHeight="1">
      <c r="A760" t="inlineStr">
        <is>
          <t>A 19865-2023</t>
        </is>
      </c>
      <c r="B760" t="inlineStr">
        <is>
          <t>avverkningsanmälan</t>
        </is>
      </c>
      <c r="C760" t="inlineStr">
        <is>
          <t>Föryngringsavverkning</t>
        </is>
      </c>
      <c r="D760" s="1" t="n">
        <v>45053</v>
      </c>
      <c r="E760" s="1" t="n">
        <v>46220</v>
      </c>
      <c r="F760" t="inlineStr">
        <is>
          <t>JÄMTLANDS LÄN</t>
        </is>
      </c>
      <c r="G760" t="inlineStr">
        <is>
          <t>RAGUNDA</t>
        </is>
      </c>
      <c r="H760" t="inlineStr">
        <is>
          <t>SCA</t>
        </is>
      </c>
      <c r="I760" t="n">
        <v>3.6</v>
      </c>
      <c r="J760" t="n">
        <v>0</v>
      </c>
      <c r="K760" t="n">
        <v>0</v>
      </c>
      <c r="L760" t="n">
        <v>0</v>
      </c>
      <c r="M760" t="n">
        <v>0</v>
      </c>
      <c r="N760" t="n">
        <v>0</v>
      </c>
      <c r="O760" t="n">
        <v>0</v>
      </c>
      <c r="P760" t="n">
        <v>0</v>
      </c>
      <c r="Q760" t="n">
        <v>0</v>
      </c>
      <c r="R760" t="n">
        <v>0</v>
      </c>
      <c r="S760" t="n">
        <v>0</v>
      </c>
      <c r="T760" t="n">
        <v>0</v>
      </c>
      <c r="U760" s="2" t="inlineStr"/>
    </row>
    <row r="761" ht="15" customHeight="1">
      <c r="A761" t="inlineStr">
        <is>
          <t>A 12179-2026</t>
        </is>
      </c>
      <c r="B761" t="inlineStr">
        <is>
          <t>avverkningsanmälan</t>
        </is>
      </c>
      <c r="C761" t="inlineStr">
        <is>
          <t>Föryngringsavverkning</t>
        </is>
      </c>
      <c r="D761" s="1" t="n">
        <v>46086</v>
      </c>
      <c r="E761" s="1" t="n">
        <v>46220</v>
      </c>
      <c r="F761" t="inlineStr">
        <is>
          <t>JÄMTLANDS LÄN</t>
        </is>
      </c>
      <c r="G761" t="inlineStr">
        <is>
          <t>RAGUNDA</t>
        </is>
      </c>
      <c r="H761" t="inlineStr">
        <is>
          <t>SCA</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11876-2026</t>
        </is>
      </c>
      <c r="B762" t="inlineStr">
        <is>
          <t>avverkningsanmälan</t>
        </is>
      </c>
      <c r="C762" t="inlineStr">
        <is>
          <t>Föryngringsavverkning</t>
        </is>
      </c>
      <c r="D762" s="1" t="n">
        <v>46085</v>
      </c>
      <c r="E762" s="1" t="n">
        <v>46220</v>
      </c>
      <c r="F762" t="inlineStr">
        <is>
          <t>JÄMTLANDS LÄN</t>
        </is>
      </c>
      <c r="G762" t="inlineStr">
        <is>
          <t>RAGUNDA</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11882-2026</t>
        </is>
      </c>
      <c r="B763" t="inlineStr">
        <is>
          <t>avverkningsanmälan</t>
        </is>
      </c>
      <c r="C763" t="inlineStr">
        <is>
          <t>Föryngringsavverkning</t>
        </is>
      </c>
      <c r="D763" s="1" t="n">
        <v>46085</v>
      </c>
      <c r="E763" s="1" t="n">
        <v>46220</v>
      </c>
      <c r="F763" t="inlineStr">
        <is>
          <t>JÄMTLANDS LÄN</t>
        </is>
      </c>
      <c r="G763" t="inlineStr">
        <is>
          <t>RAGUNDA</t>
        </is>
      </c>
      <c r="I763" t="n">
        <v>7</v>
      </c>
      <c r="J763" t="n">
        <v>0</v>
      </c>
      <c r="K763" t="n">
        <v>0</v>
      </c>
      <c r="L763" t="n">
        <v>0</v>
      </c>
      <c r="M763" t="n">
        <v>0</v>
      </c>
      <c r="N763" t="n">
        <v>0</v>
      </c>
      <c r="O763" t="n">
        <v>0</v>
      </c>
      <c r="P763" t="n">
        <v>0</v>
      </c>
      <c r="Q763" t="n">
        <v>0</v>
      </c>
      <c r="R763" t="n">
        <v>0</v>
      </c>
      <c r="S763" t="n">
        <v>0</v>
      </c>
      <c r="T763" t="n">
        <v>0</v>
      </c>
      <c r="U763" s="2" t="inlineStr"/>
    </row>
    <row r="764" ht="15" customHeight="1">
      <c r="A764" t="inlineStr">
        <is>
          <t>A 11832-2026</t>
        </is>
      </c>
      <c r="B764" t="inlineStr">
        <is>
          <t>avverkningsanmälan</t>
        </is>
      </c>
      <c r="C764" t="inlineStr">
        <is>
          <t>Föryngringsavverkning</t>
        </is>
      </c>
      <c r="D764" s="1" t="n">
        <v>46085</v>
      </c>
      <c r="E764" s="1" t="n">
        <v>46220</v>
      </c>
      <c r="F764" t="inlineStr">
        <is>
          <t>JÄMTLANDS LÄN</t>
        </is>
      </c>
      <c r="G764" t="inlineStr">
        <is>
          <t>RAGUNDA</t>
        </is>
      </c>
      <c r="H764" t="inlineStr">
        <is>
          <t>SCA</t>
        </is>
      </c>
      <c r="I764" t="n">
        <v>6.9</v>
      </c>
      <c r="J764" t="n">
        <v>0</v>
      </c>
      <c r="K764" t="n">
        <v>0</v>
      </c>
      <c r="L764" t="n">
        <v>0</v>
      </c>
      <c r="M764" t="n">
        <v>0</v>
      </c>
      <c r="N764" t="n">
        <v>0</v>
      </c>
      <c r="O764" t="n">
        <v>0</v>
      </c>
      <c r="P764" t="n">
        <v>0</v>
      </c>
      <c r="Q764" t="n">
        <v>0</v>
      </c>
      <c r="R764" t="n">
        <v>0</v>
      </c>
      <c r="S764" t="n">
        <v>0</v>
      </c>
      <c r="T764" t="n">
        <v>0</v>
      </c>
      <c r="U764" s="2" t="inlineStr"/>
    </row>
    <row r="765" ht="15" customHeight="1">
      <c r="A765" t="inlineStr">
        <is>
          <t>A 564-2025</t>
        </is>
      </c>
      <c r="B765" t="inlineStr">
        <is>
          <t>avverkningsanmälan</t>
        </is>
      </c>
      <c r="C765" t="inlineStr">
        <is>
          <t>Föryngringsavverkning</t>
        </is>
      </c>
      <c r="D765" s="1" t="n">
        <v>45664</v>
      </c>
      <c r="E765" s="1" t="n">
        <v>46220</v>
      </c>
      <c r="F765" t="inlineStr">
        <is>
          <t>JÄMTLANDS LÄN</t>
        </is>
      </c>
      <c r="G765" t="inlineStr">
        <is>
          <t>RAGUNDA</t>
        </is>
      </c>
      <c r="H765" t="inlineStr">
        <is>
          <t>SCA</t>
        </is>
      </c>
      <c r="I765" t="n">
        <v>7</v>
      </c>
      <c r="J765" t="n">
        <v>0</v>
      </c>
      <c r="K765" t="n">
        <v>0</v>
      </c>
      <c r="L765" t="n">
        <v>0</v>
      </c>
      <c r="M765" t="n">
        <v>0</v>
      </c>
      <c r="N765" t="n">
        <v>0</v>
      </c>
      <c r="O765" t="n">
        <v>0</v>
      </c>
      <c r="P765" t="n">
        <v>0</v>
      </c>
      <c r="Q765" t="n">
        <v>0</v>
      </c>
      <c r="R765" t="n">
        <v>0</v>
      </c>
      <c r="S765" t="n">
        <v>0</v>
      </c>
      <c r="T765" t="n">
        <v>0</v>
      </c>
      <c r="U765" s="2" t="inlineStr"/>
    </row>
    <row r="766" ht="15" customHeight="1">
      <c r="A766" t="inlineStr">
        <is>
          <t>A 50555-2024</t>
        </is>
      </c>
      <c r="B766" t="inlineStr">
        <is>
          <t>avverkningsanmälan</t>
        </is>
      </c>
      <c r="C766" t="inlineStr">
        <is>
          <t>Föryngringsavverkning</t>
        </is>
      </c>
      <c r="D766" s="1" t="n">
        <v>45601</v>
      </c>
      <c r="E766" s="1" t="n">
        <v>46220</v>
      </c>
      <c r="F766" t="inlineStr">
        <is>
          <t>JÄMTLANDS LÄN</t>
        </is>
      </c>
      <c r="G766" t="inlineStr">
        <is>
          <t>RAGUNDA</t>
        </is>
      </c>
      <c r="H766" t="inlineStr">
        <is>
          <t>SCA</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12499-2026</t>
        </is>
      </c>
      <c r="B767" t="inlineStr">
        <is>
          <t>avverkningsanmälan</t>
        </is>
      </c>
      <c r="C767" t="inlineStr">
        <is>
          <t>Föryngringsavverkning</t>
        </is>
      </c>
      <c r="D767" s="1" t="n">
        <v>46090</v>
      </c>
      <c r="E767" s="1" t="n">
        <v>46220</v>
      </c>
      <c r="F767" t="inlineStr">
        <is>
          <t>JÄMTLANDS LÄN</t>
        </is>
      </c>
      <c r="G767" t="inlineStr">
        <is>
          <t>RAGUNDA</t>
        </is>
      </c>
      <c r="H767" t="inlineStr">
        <is>
          <t>SCA</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49649-2024</t>
        </is>
      </c>
      <c r="B768" t="inlineStr">
        <is>
          <t>avverkningsanmälan</t>
        </is>
      </c>
      <c r="C768" t="inlineStr">
        <is>
          <t>Föryngringsavverkning</t>
        </is>
      </c>
      <c r="D768" s="1" t="n">
        <v>45596</v>
      </c>
      <c r="E768" s="1" t="n">
        <v>46220</v>
      </c>
      <c r="F768" t="inlineStr">
        <is>
          <t>JÄMTLANDS LÄN</t>
        </is>
      </c>
      <c r="G768" t="inlineStr">
        <is>
          <t>RAGUNDA</t>
        </is>
      </c>
      <c r="H768" t="inlineStr">
        <is>
          <t>SCA</t>
        </is>
      </c>
      <c r="I768" t="n">
        <v>4</v>
      </c>
      <c r="J768" t="n">
        <v>0</v>
      </c>
      <c r="K768" t="n">
        <v>0</v>
      </c>
      <c r="L768" t="n">
        <v>0</v>
      </c>
      <c r="M768" t="n">
        <v>0</v>
      </c>
      <c r="N768" t="n">
        <v>0</v>
      </c>
      <c r="O768" t="n">
        <v>0</v>
      </c>
      <c r="P768" t="n">
        <v>0</v>
      </c>
      <c r="Q768" t="n">
        <v>0</v>
      </c>
      <c r="R768" t="n">
        <v>0</v>
      </c>
      <c r="S768" t="n">
        <v>0</v>
      </c>
      <c r="T768" t="n">
        <v>0</v>
      </c>
      <c r="U768" s="2" t="inlineStr"/>
    </row>
    <row r="769" ht="15" customHeight="1">
      <c r="A769" t="inlineStr">
        <is>
          <t>A 2831-2024</t>
        </is>
      </c>
      <c r="B769" t="inlineStr">
        <is>
          <t>avverkningsanmälan</t>
        </is>
      </c>
      <c r="C769" t="inlineStr">
        <is>
          <t>Föryngringsavverkning</t>
        </is>
      </c>
      <c r="D769" s="1" t="n">
        <v>45314</v>
      </c>
      <c r="E769" s="1" t="n">
        <v>46220</v>
      </c>
      <c r="F769" t="inlineStr">
        <is>
          <t>JÄMTLANDS LÄN</t>
        </is>
      </c>
      <c r="G769" t="inlineStr">
        <is>
          <t>RAGUNDA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12960-2026</t>
        </is>
      </c>
      <c r="B770" t="inlineStr">
        <is>
          <t>avverkningsanmälan</t>
        </is>
      </c>
      <c r="C770" t="inlineStr">
        <is>
          <t>Föryngringsavverkning</t>
        </is>
      </c>
      <c r="D770" s="1" t="n">
        <v>46092</v>
      </c>
      <c r="E770" s="1" t="n">
        <v>46220</v>
      </c>
      <c r="F770" t="inlineStr">
        <is>
          <t>JÄMTLANDS LÄN</t>
        </is>
      </c>
      <c r="G770" t="inlineStr">
        <is>
          <t>RAGUNDA</t>
        </is>
      </c>
      <c r="I770" t="n">
        <v>3.8</v>
      </c>
      <c r="J770" t="n">
        <v>0</v>
      </c>
      <c r="K770" t="n">
        <v>0</v>
      </c>
      <c r="L770" t="n">
        <v>0</v>
      </c>
      <c r="M770" t="n">
        <v>0</v>
      </c>
      <c r="N770" t="n">
        <v>0</v>
      </c>
      <c r="O770" t="n">
        <v>0</v>
      </c>
      <c r="P770" t="n">
        <v>0</v>
      </c>
      <c r="Q770" t="n">
        <v>0</v>
      </c>
      <c r="R770" t="n">
        <v>0</v>
      </c>
      <c r="S770" t="n">
        <v>0</v>
      </c>
      <c r="T770" t="n">
        <v>0</v>
      </c>
      <c r="U770" s="2" t="inlineStr"/>
    </row>
    <row r="771" ht="15" customHeight="1">
      <c r="A771" t="inlineStr">
        <is>
          <t>A 59372-2024</t>
        </is>
      </c>
      <c r="B771" t="inlineStr">
        <is>
          <t>avverkningsanmälan</t>
        </is>
      </c>
      <c r="C771" t="inlineStr">
        <is>
          <t>Föryngringsavverkning</t>
        </is>
      </c>
      <c r="D771" s="1" t="n">
        <v>45638</v>
      </c>
      <c r="E771" s="1" t="n">
        <v>46220</v>
      </c>
      <c r="F771" t="inlineStr">
        <is>
          <t>JÄMTLANDS LÄN</t>
        </is>
      </c>
      <c r="G771" t="inlineStr">
        <is>
          <t>RAGUNDA</t>
        </is>
      </c>
      <c r="H771" t="inlineStr">
        <is>
          <t>SCA</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12794-2026</t>
        </is>
      </c>
      <c r="B772" t="inlineStr">
        <is>
          <t>avverkningsanmälan</t>
        </is>
      </c>
      <c r="C772" t="inlineStr">
        <is>
          <t>Föryngringsavverkning</t>
        </is>
      </c>
      <c r="D772" s="1" t="n">
        <v>46092</v>
      </c>
      <c r="E772" s="1" t="n">
        <v>46220</v>
      </c>
      <c r="F772" t="inlineStr">
        <is>
          <t>JÄMTLANDS LÄN</t>
        </is>
      </c>
      <c r="G772" t="inlineStr">
        <is>
          <t>RAGUNDA</t>
        </is>
      </c>
      <c r="H772" t="inlineStr">
        <is>
          <t>SCA</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13439-2026</t>
        </is>
      </c>
      <c r="B773" t="inlineStr">
        <is>
          <t>avverkningsanmälan</t>
        </is>
      </c>
      <c r="C773" t="inlineStr">
        <is>
          <t>Föryngringsavverkning</t>
        </is>
      </c>
      <c r="D773" s="1" t="n">
        <v>46094</v>
      </c>
      <c r="E773" s="1" t="n">
        <v>46220</v>
      </c>
      <c r="F773" t="inlineStr">
        <is>
          <t>JÄMTLANDS LÄN</t>
        </is>
      </c>
      <c r="G773" t="inlineStr">
        <is>
          <t>RAGUNDA</t>
        </is>
      </c>
      <c r="H773" t="inlineStr">
        <is>
          <t>SCA</t>
        </is>
      </c>
      <c r="I773" t="n">
        <v>31.2</v>
      </c>
      <c r="J773" t="n">
        <v>0</v>
      </c>
      <c r="K773" t="n">
        <v>0</v>
      </c>
      <c r="L773" t="n">
        <v>0</v>
      </c>
      <c r="M773" t="n">
        <v>0</v>
      </c>
      <c r="N773" t="n">
        <v>0</v>
      </c>
      <c r="O773" t="n">
        <v>0</v>
      </c>
      <c r="P773" t="n">
        <v>0</v>
      </c>
      <c r="Q773" t="n">
        <v>0</v>
      </c>
      <c r="R773" t="n">
        <v>0</v>
      </c>
      <c r="S773" t="n">
        <v>0</v>
      </c>
      <c r="T773" t="n">
        <v>0</v>
      </c>
      <c r="U773" s="2" t="inlineStr"/>
    </row>
    <row r="774" ht="15" customHeight="1">
      <c r="A774" t="inlineStr">
        <is>
          <t>A 12522-2023</t>
        </is>
      </c>
      <c r="B774" t="inlineStr">
        <is>
          <t>avverkningsanmälan</t>
        </is>
      </c>
      <c r="C774" t="inlineStr">
        <is>
          <t>Föryngringsavverkning</t>
        </is>
      </c>
      <c r="D774" s="1" t="n">
        <v>45000</v>
      </c>
      <c r="E774" s="1" t="n">
        <v>46220</v>
      </c>
      <c r="F774" t="inlineStr">
        <is>
          <t>JÄMTLANDS LÄN</t>
        </is>
      </c>
      <c r="G774" t="inlineStr">
        <is>
          <t>RAGUNDA</t>
        </is>
      </c>
      <c r="H774" t="inlineStr">
        <is>
          <t>SCA</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24861-2023</t>
        </is>
      </c>
      <c r="B775" t="inlineStr">
        <is>
          <t>avverkningsanmälan</t>
        </is>
      </c>
      <c r="C775" t="inlineStr">
        <is>
          <t>Föryngringsavverkning</t>
        </is>
      </c>
      <c r="D775" s="1" t="n">
        <v>45078</v>
      </c>
      <c r="E775" s="1" t="n">
        <v>46220</v>
      </c>
      <c r="F775" t="inlineStr">
        <is>
          <t>JÄMTLANDS LÄN</t>
        </is>
      </c>
      <c r="G775" t="inlineStr">
        <is>
          <t>RAGUNDA</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13751-2026</t>
        </is>
      </c>
      <c r="B776" t="inlineStr">
        <is>
          <t>avverkningsanmälan</t>
        </is>
      </c>
      <c r="C776" t="inlineStr">
        <is>
          <t>Föryngringsavverkning</t>
        </is>
      </c>
      <c r="D776" s="1" t="n">
        <v>46097</v>
      </c>
      <c r="E776" s="1" t="n">
        <v>46220</v>
      </c>
      <c r="F776" t="inlineStr">
        <is>
          <t>JÄMTLANDS LÄN</t>
        </is>
      </c>
      <c r="G776" t="inlineStr">
        <is>
          <t>RAGUNDA</t>
        </is>
      </c>
      <c r="H776" t="inlineStr">
        <is>
          <t>SCA</t>
        </is>
      </c>
      <c r="I776" t="n">
        <v>0.8</v>
      </c>
      <c r="J776" t="n">
        <v>0</v>
      </c>
      <c r="K776" t="n">
        <v>0</v>
      </c>
      <c r="L776" t="n">
        <v>0</v>
      </c>
      <c r="M776" t="n">
        <v>0</v>
      </c>
      <c r="N776" t="n">
        <v>0</v>
      </c>
      <c r="O776" t="n">
        <v>0</v>
      </c>
      <c r="P776" t="n">
        <v>0</v>
      </c>
      <c r="Q776" t="n">
        <v>0</v>
      </c>
      <c r="R776" t="n">
        <v>0</v>
      </c>
      <c r="S776" t="n">
        <v>0</v>
      </c>
      <c r="T776" t="n">
        <v>0</v>
      </c>
      <c r="U776" s="2" t="inlineStr"/>
    </row>
    <row r="777" ht="15" customHeight="1">
      <c r="A777" t="inlineStr">
        <is>
          <t>A 13752-2026</t>
        </is>
      </c>
      <c r="B777" t="inlineStr">
        <is>
          <t>avverkningsanmälan</t>
        </is>
      </c>
      <c r="C777" t="inlineStr">
        <is>
          <t>Föryngringsavverkning</t>
        </is>
      </c>
      <c r="D777" s="1" t="n">
        <v>46097</v>
      </c>
      <c r="E777" s="1" t="n">
        <v>46220</v>
      </c>
      <c r="F777" t="inlineStr">
        <is>
          <t>JÄMTLANDS LÄN</t>
        </is>
      </c>
      <c r="G777" t="inlineStr">
        <is>
          <t>RAGUNDA</t>
        </is>
      </c>
      <c r="H777" t="inlineStr">
        <is>
          <t>SCA</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13620-2026</t>
        </is>
      </c>
      <c r="B778" t="inlineStr">
        <is>
          <t>avverkningsanmälan</t>
        </is>
      </c>
      <c r="C778" t="inlineStr">
        <is>
          <t>Föryngringsavverkning</t>
        </is>
      </c>
      <c r="D778" s="1" t="n">
        <v>46097</v>
      </c>
      <c r="E778" s="1" t="n">
        <v>46220</v>
      </c>
      <c r="F778" t="inlineStr">
        <is>
          <t>JÄMTLANDS LÄN</t>
        </is>
      </c>
      <c r="G778" t="inlineStr">
        <is>
          <t>RAGUNDA</t>
        </is>
      </c>
      <c r="H778" t="inlineStr">
        <is>
          <t>SCA</t>
        </is>
      </c>
      <c r="I778" t="n">
        <v>2.9</v>
      </c>
      <c r="J778" t="n">
        <v>0</v>
      </c>
      <c r="K778" t="n">
        <v>0</v>
      </c>
      <c r="L778" t="n">
        <v>0</v>
      </c>
      <c r="M778" t="n">
        <v>0</v>
      </c>
      <c r="N778" t="n">
        <v>0</v>
      </c>
      <c r="O778" t="n">
        <v>0</v>
      </c>
      <c r="P778" t="n">
        <v>0</v>
      </c>
      <c r="Q778" t="n">
        <v>0</v>
      </c>
      <c r="R778" t="n">
        <v>0</v>
      </c>
      <c r="S778" t="n">
        <v>0</v>
      </c>
      <c r="T778" t="n">
        <v>0</v>
      </c>
      <c r="U778" s="2" t="inlineStr"/>
    </row>
    <row r="779" ht="15" customHeight="1">
      <c r="A779" t="inlineStr">
        <is>
          <t>A 13905-2025</t>
        </is>
      </c>
      <c r="B779" t="inlineStr">
        <is>
          <t>avverkningsanmälan</t>
        </is>
      </c>
      <c r="C779" t="inlineStr">
        <is>
          <t>Föryngringsavverkning</t>
        </is>
      </c>
      <c r="D779" s="1" t="n">
        <v>45737</v>
      </c>
      <c r="E779" s="1" t="n">
        <v>46220</v>
      </c>
      <c r="F779" t="inlineStr">
        <is>
          <t>JÄMTLANDS LÄN</t>
        </is>
      </c>
      <c r="G779" t="inlineStr">
        <is>
          <t>RAGUNDA</t>
        </is>
      </c>
      <c r="H779" t="inlineStr">
        <is>
          <t>SCA</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13941-2025</t>
        </is>
      </c>
      <c r="B780" t="inlineStr">
        <is>
          <t>avverkningsanmälan</t>
        </is>
      </c>
      <c r="C780" t="inlineStr">
        <is>
          <t>Föryngringsavverkning</t>
        </is>
      </c>
      <c r="D780" s="1" t="n">
        <v>45737</v>
      </c>
      <c r="E780" s="1" t="n">
        <v>46220</v>
      </c>
      <c r="F780" t="inlineStr">
        <is>
          <t>JÄMTLANDS LÄN</t>
        </is>
      </c>
      <c r="G780" t="inlineStr">
        <is>
          <t>RAGUNDA</t>
        </is>
      </c>
      <c r="H780" t="inlineStr">
        <is>
          <t>SCA</t>
        </is>
      </c>
      <c r="I780" t="n">
        <v>3.1</v>
      </c>
      <c r="J780" t="n">
        <v>0</v>
      </c>
      <c r="K780" t="n">
        <v>0</v>
      </c>
      <c r="L780" t="n">
        <v>0</v>
      </c>
      <c r="M780" t="n">
        <v>0</v>
      </c>
      <c r="N780" t="n">
        <v>0</v>
      </c>
      <c r="O780" t="n">
        <v>0</v>
      </c>
      <c r="P780" t="n">
        <v>0</v>
      </c>
      <c r="Q780" t="n">
        <v>0</v>
      </c>
      <c r="R780" t="n">
        <v>0</v>
      </c>
      <c r="S780" t="n">
        <v>0</v>
      </c>
      <c r="T780" t="n">
        <v>0</v>
      </c>
      <c r="U780" s="2" t="inlineStr"/>
    </row>
    <row r="781" ht="15" customHeight="1">
      <c r="A781" t="inlineStr">
        <is>
          <t>A 14443-2026</t>
        </is>
      </c>
      <c r="B781" t="inlineStr">
        <is>
          <t>avverkningsanmälan</t>
        </is>
      </c>
      <c r="C781" t="inlineStr">
        <is>
          <t>Föryngringsavverkning</t>
        </is>
      </c>
      <c r="D781" s="1" t="n">
        <v>46100</v>
      </c>
      <c r="E781" s="1" t="n">
        <v>46220</v>
      </c>
      <c r="F781" t="inlineStr">
        <is>
          <t>JÄMTLANDS LÄN</t>
        </is>
      </c>
      <c r="G781" t="inlineStr">
        <is>
          <t>RAGUNDA</t>
        </is>
      </c>
      <c r="I781" t="n">
        <v>5.1</v>
      </c>
      <c r="J781" t="n">
        <v>0</v>
      </c>
      <c r="K781" t="n">
        <v>0</v>
      </c>
      <c r="L781" t="n">
        <v>0</v>
      </c>
      <c r="M781" t="n">
        <v>0</v>
      </c>
      <c r="N781" t="n">
        <v>0</v>
      </c>
      <c r="O781" t="n">
        <v>0</v>
      </c>
      <c r="P781" t="n">
        <v>0</v>
      </c>
      <c r="Q781" t="n">
        <v>0</v>
      </c>
      <c r="R781" t="n">
        <v>0</v>
      </c>
      <c r="S781" t="n">
        <v>0</v>
      </c>
      <c r="T781" t="n">
        <v>0</v>
      </c>
      <c r="U781" s="2" t="inlineStr"/>
    </row>
    <row r="782" ht="15" customHeight="1">
      <c r="A782" t="inlineStr">
        <is>
          <t>A 14387-2026</t>
        </is>
      </c>
      <c r="B782" t="inlineStr">
        <is>
          <t>avverkningsanmälan</t>
        </is>
      </c>
      <c r="C782" t="inlineStr">
        <is>
          <t>Föryngringsavverkning</t>
        </is>
      </c>
      <c r="D782" s="1" t="n">
        <v>46100</v>
      </c>
      <c r="E782" s="1" t="n">
        <v>46220</v>
      </c>
      <c r="F782" t="inlineStr">
        <is>
          <t>JÄMTLANDS LÄN</t>
        </is>
      </c>
      <c r="G782" t="inlineStr">
        <is>
          <t>RAGUNDA</t>
        </is>
      </c>
      <c r="H782" t="inlineStr">
        <is>
          <t>SCA</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51245-2024</t>
        </is>
      </c>
      <c r="B783" t="inlineStr">
        <is>
          <t>avverkningsanmälan</t>
        </is>
      </c>
      <c r="C783" t="inlineStr">
        <is>
          <t>Föryngringsavverkning</t>
        </is>
      </c>
      <c r="D783" s="1" t="n">
        <v>45603</v>
      </c>
      <c r="E783" s="1" t="n">
        <v>46220</v>
      </c>
      <c r="F783" t="inlineStr">
        <is>
          <t>JÄMTLANDS LÄN</t>
        </is>
      </c>
      <c r="G783" t="inlineStr">
        <is>
          <t>RAGUNDA</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14412-2026</t>
        </is>
      </c>
      <c r="B784" t="inlineStr">
        <is>
          <t>avverkningsanmälan</t>
        </is>
      </c>
      <c r="C784" t="inlineStr">
        <is>
          <t>Föryngringsavverkning</t>
        </is>
      </c>
      <c r="D784" s="1" t="n">
        <v>46100</v>
      </c>
      <c r="E784" s="1" t="n">
        <v>46220</v>
      </c>
      <c r="F784" t="inlineStr">
        <is>
          <t>JÄMTLANDS LÄN</t>
        </is>
      </c>
      <c r="G784" t="inlineStr">
        <is>
          <t>RAGUNDA</t>
        </is>
      </c>
      <c r="I784" t="n">
        <v>13.5</v>
      </c>
      <c r="J784" t="n">
        <v>0</v>
      </c>
      <c r="K784" t="n">
        <v>0</v>
      </c>
      <c r="L784" t="n">
        <v>0</v>
      </c>
      <c r="M784" t="n">
        <v>0</v>
      </c>
      <c r="N784" t="n">
        <v>0</v>
      </c>
      <c r="O784" t="n">
        <v>0</v>
      </c>
      <c r="P784" t="n">
        <v>0</v>
      </c>
      <c r="Q784" t="n">
        <v>0</v>
      </c>
      <c r="R784" t="n">
        <v>0</v>
      </c>
      <c r="S784" t="n">
        <v>0</v>
      </c>
      <c r="T784" t="n">
        <v>0</v>
      </c>
      <c r="U784" s="2" t="inlineStr"/>
    </row>
    <row r="785" ht="15" customHeight="1">
      <c r="A785" t="inlineStr">
        <is>
          <t>A 53955-2022</t>
        </is>
      </c>
      <c r="B785" t="inlineStr">
        <is>
          <t>avverkningsanmälan</t>
        </is>
      </c>
      <c r="C785" t="inlineStr">
        <is>
          <t>Avverkning för att bevara och utveckla /försöksver</t>
        </is>
      </c>
      <c r="D785" s="1" t="n">
        <v>44880</v>
      </c>
      <c r="E785" s="1" t="n">
        <v>46220</v>
      </c>
      <c r="F785" t="inlineStr">
        <is>
          <t>JÄMTLANDS LÄN</t>
        </is>
      </c>
      <c r="G785" t="inlineStr">
        <is>
          <t>RAGUNDA</t>
        </is>
      </c>
      <c r="H785" t="inlineStr">
        <is>
          <t>SCA</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A 41772-2024</t>
        </is>
      </c>
      <c r="B786" t="inlineStr">
        <is>
          <t>avverkningsanmälan</t>
        </is>
      </c>
      <c r="C786" t="inlineStr">
        <is>
          <t>Föryngringsavverkning</t>
        </is>
      </c>
      <c r="D786" s="1" t="n">
        <v>45561</v>
      </c>
      <c r="E786" s="1" t="n">
        <v>46220</v>
      </c>
      <c r="F786" t="inlineStr">
        <is>
          <t>JÄMTLANDS LÄN</t>
        </is>
      </c>
      <c r="G786" t="inlineStr">
        <is>
          <t>RAGUNDA</t>
        </is>
      </c>
      <c r="H786" t="inlineStr">
        <is>
          <t>SCA</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14668-2026</t>
        </is>
      </c>
      <c r="B787" t="inlineStr">
        <is>
          <t>avverkningsanmälan</t>
        </is>
      </c>
      <c r="C787" t="inlineStr">
        <is>
          <t>Föryngringsavverkning</t>
        </is>
      </c>
      <c r="D787" s="1" t="n">
        <v>46101</v>
      </c>
      <c r="E787" s="1" t="n">
        <v>46220</v>
      </c>
      <c r="F787" t="inlineStr">
        <is>
          <t>JÄMTLANDS LÄN</t>
        </is>
      </c>
      <c r="G787" t="inlineStr">
        <is>
          <t>RAGUNDA</t>
        </is>
      </c>
      <c r="I787" t="n">
        <v>12.8</v>
      </c>
      <c r="J787" t="n">
        <v>0</v>
      </c>
      <c r="K787" t="n">
        <v>0</v>
      </c>
      <c r="L787" t="n">
        <v>0</v>
      </c>
      <c r="M787" t="n">
        <v>0</v>
      </c>
      <c r="N787" t="n">
        <v>0</v>
      </c>
      <c r="O787" t="n">
        <v>0</v>
      </c>
      <c r="P787" t="n">
        <v>0</v>
      </c>
      <c r="Q787" t="n">
        <v>0</v>
      </c>
      <c r="R787" t="n">
        <v>0</v>
      </c>
      <c r="S787" t="n">
        <v>0</v>
      </c>
      <c r="T787" t="n">
        <v>0</v>
      </c>
      <c r="U787" s="2" t="inlineStr"/>
    </row>
    <row r="788" ht="15" customHeight="1">
      <c r="A788" t="inlineStr">
        <is>
          <t>A 15652-2026</t>
        </is>
      </c>
      <c r="B788" t="inlineStr">
        <is>
          <t>avverkningsanmälan</t>
        </is>
      </c>
      <c r="C788" t="inlineStr">
        <is>
          <t>Föryngringsavverkning</t>
        </is>
      </c>
      <c r="D788" s="1" t="n">
        <v>46106</v>
      </c>
      <c r="E788" s="1" t="n">
        <v>46220</v>
      </c>
      <c r="F788" t="inlineStr">
        <is>
          <t>JÄMTLANDS LÄN</t>
        </is>
      </c>
      <c r="G788" t="inlineStr">
        <is>
          <t>RAGUNDA</t>
        </is>
      </c>
      <c r="H788" t="inlineStr">
        <is>
          <t>SCA</t>
        </is>
      </c>
      <c r="I788" t="n">
        <v>4.2</v>
      </c>
      <c r="J788" t="n">
        <v>0</v>
      </c>
      <c r="K788" t="n">
        <v>0</v>
      </c>
      <c r="L788" t="n">
        <v>0</v>
      </c>
      <c r="M788" t="n">
        <v>0</v>
      </c>
      <c r="N788" t="n">
        <v>0</v>
      </c>
      <c r="O788" t="n">
        <v>0</v>
      </c>
      <c r="P788" t="n">
        <v>0</v>
      </c>
      <c r="Q788" t="n">
        <v>0</v>
      </c>
      <c r="R788" t="n">
        <v>0</v>
      </c>
      <c r="S788" t="n">
        <v>0</v>
      </c>
      <c r="T788" t="n">
        <v>0</v>
      </c>
      <c r="U788" s="2" t="inlineStr"/>
    </row>
    <row r="789" ht="15" customHeight="1">
      <c r="A789" t="inlineStr">
        <is>
          <t>A 10972-2022</t>
        </is>
      </c>
      <c r="B789" t="inlineStr">
        <is>
          <t>avverkningsanmälan</t>
        </is>
      </c>
      <c r="C789" t="inlineStr">
        <is>
          <t>Föryngringsavverkning</t>
        </is>
      </c>
      <c r="D789" s="1" t="n">
        <v>44628</v>
      </c>
      <c r="E789" s="1" t="n">
        <v>46220</v>
      </c>
      <c r="F789" t="inlineStr">
        <is>
          <t>JÄMTLANDS LÄN</t>
        </is>
      </c>
      <c r="G789" t="inlineStr">
        <is>
          <t>RAGUNDA</t>
        </is>
      </c>
      <c r="I789" t="n">
        <v>9.5</v>
      </c>
      <c r="J789" t="n">
        <v>0</v>
      </c>
      <c r="K789" t="n">
        <v>0</v>
      </c>
      <c r="L789" t="n">
        <v>0</v>
      </c>
      <c r="M789" t="n">
        <v>0</v>
      </c>
      <c r="N789" t="n">
        <v>0</v>
      </c>
      <c r="O789" t="n">
        <v>0</v>
      </c>
      <c r="P789" t="n">
        <v>0</v>
      </c>
      <c r="Q789" t="n">
        <v>0</v>
      </c>
      <c r="R789" t="n">
        <v>0</v>
      </c>
      <c r="S789" t="n">
        <v>0</v>
      </c>
      <c r="T789" t="n">
        <v>0</v>
      </c>
      <c r="U789" s="2" t="inlineStr"/>
    </row>
    <row r="790" ht="15" customHeight="1">
      <c r="A790" t="inlineStr">
        <is>
          <t>A 11834-2023</t>
        </is>
      </c>
      <c r="B790" t="inlineStr">
        <is>
          <t>avverkningsanmälan</t>
        </is>
      </c>
      <c r="C790" t="inlineStr">
        <is>
          <t>Föryngringsavverkning</t>
        </is>
      </c>
      <c r="D790" s="1" t="n">
        <v>44994</v>
      </c>
      <c r="E790" s="1" t="n">
        <v>46220</v>
      </c>
      <c r="F790" t="inlineStr">
        <is>
          <t>JÄMTLANDS LÄN</t>
        </is>
      </c>
      <c r="G790" t="inlineStr">
        <is>
          <t>RAGUNDA</t>
        </is>
      </c>
      <c r="H790" t="inlineStr">
        <is>
          <t>SCA</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15565-2026</t>
        </is>
      </c>
      <c r="B791" t="inlineStr">
        <is>
          <t>avverkningsanmälan</t>
        </is>
      </c>
      <c r="C791" t="inlineStr">
        <is>
          <t>Föryngringsavverkning</t>
        </is>
      </c>
      <c r="D791" s="1" t="n">
        <v>46106</v>
      </c>
      <c r="E791" s="1" t="n">
        <v>46220</v>
      </c>
      <c r="F791" t="inlineStr">
        <is>
          <t>JÄMTLANDS LÄN</t>
        </is>
      </c>
      <c r="G791" t="inlineStr">
        <is>
          <t>RAGUNDA</t>
        </is>
      </c>
      <c r="H791" t="inlineStr">
        <is>
          <t>SCA</t>
        </is>
      </c>
      <c r="I791" t="n">
        <v>10.6</v>
      </c>
      <c r="J791" t="n">
        <v>0</v>
      </c>
      <c r="K791" t="n">
        <v>0</v>
      </c>
      <c r="L791" t="n">
        <v>0</v>
      </c>
      <c r="M791" t="n">
        <v>0</v>
      </c>
      <c r="N791" t="n">
        <v>0</v>
      </c>
      <c r="O791" t="n">
        <v>0</v>
      </c>
      <c r="P791" t="n">
        <v>0</v>
      </c>
      <c r="Q791" t="n">
        <v>0</v>
      </c>
      <c r="R791" t="n">
        <v>0</v>
      </c>
      <c r="S791" t="n">
        <v>0</v>
      </c>
      <c r="T791" t="n">
        <v>0</v>
      </c>
      <c r="U791" s="2" t="inlineStr"/>
    </row>
    <row r="792" ht="15" customHeight="1">
      <c r="A792" t="inlineStr">
        <is>
          <t>A 15563-2026</t>
        </is>
      </c>
      <c r="B792" t="inlineStr">
        <is>
          <t>avverkningsanmälan</t>
        </is>
      </c>
      <c r="C792" t="inlineStr">
        <is>
          <t>Föryngringsavverkning</t>
        </is>
      </c>
      <c r="D792" s="1" t="n">
        <v>46106</v>
      </c>
      <c r="E792" s="1" t="n">
        <v>46220</v>
      </c>
      <c r="F792" t="inlineStr">
        <is>
          <t>JÄMTLANDS LÄN</t>
        </is>
      </c>
      <c r="G792" t="inlineStr">
        <is>
          <t>RAGUNDA</t>
        </is>
      </c>
      <c r="H792" t="inlineStr">
        <is>
          <t>SCA</t>
        </is>
      </c>
      <c r="I792" t="n">
        <v>31.9</v>
      </c>
      <c r="J792" t="n">
        <v>0</v>
      </c>
      <c r="K792" t="n">
        <v>0</v>
      </c>
      <c r="L792" t="n">
        <v>0</v>
      </c>
      <c r="M792" t="n">
        <v>0</v>
      </c>
      <c r="N792" t="n">
        <v>0</v>
      </c>
      <c r="O792" t="n">
        <v>0</v>
      </c>
      <c r="P792" t="n">
        <v>0</v>
      </c>
      <c r="Q792" t="n">
        <v>0</v>
      </c>
      <c r="R792" t="n">
        <v>0</v>
      </c>
      <c r="S792" t="n">
        <v>0</v>
      </c>
      <c r="T792" t="n">
        <v>0</v>
      </c>
      <c r="U792" s="2" t="inlineStr"/>
    </row>
    <row r="793" ht="15" customHeight="1">
      <c r="A793" t="inlineStr">
        <is>
          <t>A 15564-2026</t>
        </is>
      </c>
      <c r="B793" t="inlineStr">
        <is>
          <t>avverkningsanmälan</t>
        </is>
      </c>
      <c r="C793" t="inlineStr">
        <is>
          <t>Föryngringsavverkning</t>
        </is>
      </c>
      <c r="D793" s="1" t="n">
        <v>46106</v>
      </c>
      <c r="E793" s="1" t="n">
        <v>46220</v>
      </c>
      <c r="F793" t="inlineStr">
        <is>
          <t>JÄMTLANDS LÄN</t>
        </is>
      </c>
      <c r="G793" t="inlineStr">
        <is>
          <t>RAGUNDA</t>
        </is>
      </c>
      <c r="H793" t="inlineStr">
        <is>
          <t>SCA</t>
        </is>
      </c>
      <c r="I793" t="n">
        <v>32.2</v>
      </c>
      <c r="J793" t="n">
        <v>0</v>
      </c>
      <c r="K793" t="n">
        <v>0</v>
      </c>
      <c r="L793" t="n">
        <v>0</v>
      </c>
      <c r="M793" t="n">
        <v>0</v>
      </c>
      <c r="N793" t="n">
        <v>0</v>
      </c>
      <c r="O793" t="n">
        <v>0</v>
      </c>
      <c r="P793" t="n">
        <v>0</v>
      </c>
      <c r="Q793" t="n">
        <v>0</v>
      </c>
      <c r="R793" t="n">
        <v>0</v>
      </c>
      <c r="S793" t="n">
        <v>0</v>
      </c>
      <c r="T793" t="n">
        <v>0</v>
      </c>
      <c r="U793" s="2" t="inlineStr"/>
    </row>
    <row r="794" ht="15" customHeight="1">
      <c r="A794" t="inlineStr">
        <is>
          <t>A 17559-2023</t>
        </is>
      </c>
      <c r="B794" t="inlineStr">
        <is>
          <t>avverkningsanmälan</t>
        </is>
      </c>
      <c r="C794" t="inlineStr">
        <is>
          <t>Föryngringsavverkning</t>
        </is>
      </c>
      <c r="D794" s="1" t="n">
        <v>45034</v>
      </c>
      <c r="E794" s="1" t="n">
        <v>46220</v>
      </c>
      <c r="F794" t="inlineStr">
        <is>
          <t>JÄMTLANDS LÄN</t>
        </is>
      </c>
      <c r="G794" t="inlineStr">
        <is>
          <t>RAGUNDA</t>
        </is>
      </c>
      <c r="I794" t="n">
        <v>7.5</v>
      </c>
      <c r="J794" t="n">
        <v>0</v>
      </c>
      <c r="K794" t="n">
        <v>0</v>
      </c>
      <c r="L794" t="n">
        <v>0</v>
      </c>
      <c r="M794" t="n">
        <v>0</v>
      </c>
      <c r="N794" t="n">
        <v>0</v>
      </c>
      <c r="O794" t="n">
        <v>0</v>
      </c>
      <c r="P794" t="n">
        <v>0</v>
      </c>
      <c r="Q794" t="n">
        <v>0</v>
      </c>
      <c r="R794" t="n">
        <v>0</v>
      </c>
      <c r="S794" t="n">
        <v>0</v>
      </c>
      <c r="T794" t="n">
        <v>0</v>
      </c>
      <c r="U794" s="2" t="inlineStr"/>
    </row>
    <row r="795" ht="15" customHeight="1">
      <c r="A795" t="inlineStr">
        <is>
          <t>A 38312-2024</t>
        </is>
      </c>
      <c r="B795" t="inlineStr">
        <is>
          <t>avverkningsanmälan</t>
        </is>
      </c>
      <c r="C795" t="inlineStr">
        <is>
          <t>Föryngringsavverkning</t>
        </is>
      </c>
      <c r="D795" s="1" t="n">
        <v>45545</v>
      </c>
      <c r="E795" s="1" t="n">
        <v>46220</v>
      </c>
      <c r="F795" t="inlineStr">
        <is>
          <t>JÄMTLANDS LÄN</t>
        </is>
      </c>
      <c r="G795" t="inlineStr">
        <is>
          <t>RAGUNDA</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15356-2026</t>
        </is>
      </c>
      <c r="B796" t="inlineStr">
        <is>
          <t>avverkningsanmälan</t>
        </is>
      </c>
      <c r="C796" t="inlineStr">
        <is>
          <t>Föryngringsavverkning</t>
        </is>
      </c>
      <c r="D796" s="1" t="n">
        <v>46105</v>
      </c>
      <c r="E796" s="1" t="n">
        <v>46220</v>
      </c>
      <c r="F796" t="inlineStr">
        <is>
          <t>JÄMTLANDS LÄN</t>
        </is>
      </c>
      <c r="G796" t="inlineStr">
        <is>
          <t>RAGUNDA</t>
        </is>
      </c>
      <c r="H796" t="inlineStr">
        <is>
          <t>SCA</t>
        </is>
      </c>
      <c r="I796" t="n">
        <v>35.2</v>
      </c>
      <c r="J796" t="n">
        <v>0</v>
      </c>
      <c r="K796" t="n">
        <v>0</v>
      </c>
      <c r="L796" t="n">
        <v>0</v>
      </c>
      <c r="M796" t="n">
        <v>0</v>
      </c>
      <c r="N796" t="n">
        <v>0</v>
      </c>
      <c r="O796" t="n">
        <v>0</v>
      </c>
      <c r="P796" t="n">
        <v>0</v>
      </c>
      <c r="Q796" t="n">
        <v>0</v>
      </c>
      <c r="R796" t="n">
        <v>0</v>
      </c>
      <c r="S796" t="n">
        <v>0</v>
      </c>
      <c r="T796" t="n">
        <v>0</v>
      </c>
      <c r="U796" s="2" t="inlineStr"/>
    </row>
    <row r="797" ht="15" customHeight="1">
      <c r="A797" t="inlineStr">
        <is>
          <t>A 15349-2026</t>
        </is>
      </c>
      <c r="B797" t="inlineStr">
        <is>
          <t>avverkningsanmälan</t>
        </is>
      </c>
      <c r="C797" t="inlineStr">
        <is>
          <t>Föryngringsavverkning</t>
        </is>
      </c>
      <c r="D797" s="1" t="n">
        <v>46105</v>
      </c>
      <c r="E797" s="1" t="n">
        <v>46220</v>
      </c>
      <c r="F797" t="inlineStr">
        <is>
          <t>JÄMTLANDS LÄN</t>
        </is>
      </c>
      <c r="G797" t="inlineStr">
        <is>
          <t>RAGUNDA</t>
        </is>
      </c>
      <c r="H797" t="inlineStr">
        <is>
          <t>SCA</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15830-2026</t>
        </is>
      </c>
      <c r="B798" t="inlineStr">
        <is>
          <t>avverkningsanmälan</t>
        </is>
      </c>
      <c r="C798" t="inlineStr">
        <is>
          <t>Föryngringsavverkning</t>
        </is>
      </c>
      <c r="D798" s="1" t="n">
        <v>46107</v>
      </c>
      <c r="E798" s="1" t="n">
        <v>46220</v>
      </c>
      <c r="F798" t="inlineStr">
        <is>
          <t>JÄMTLANDS LÄN</t>
        </is>
      </c>
      <c r="G798" t="inlineStr">
        <is>
          <t>RAGUNDA</t>
        </is>
      </c>
      <c r="H798" t="inlineStr">
        <is>
          <t>SCA</t>
        </is>
      </c>
      <c r="I798" t="n">
        <v>49.5</v>
      </c>
      <c r="J798" t="n">
        <v>0</v>
      </c>
      <c r="K798" t="n">
        <v>0</v>
      </c>
      <c r="L798" t="n">
        <v>0</v>
      </c>
      <c r="M798" t="n">
        <v>0</v>
      </c>
      <c r="N798" t="n">
        <v>0</v>
      </c>
      <c r="O798" t="n">
        <v>0</v>
      </c>
      <c r="P798" t="n">
        <v>0</v>
      </c>
      <c r="Q798" t="n">
        <v>0</v>
      </c>
      <c r="R798" t="n">
        <v>0</v>
      </c>
      <c r="S798" t="n">
        <v>0</v>
      </c>
      <c r="T798" t="n">
        <v>0</v>
      </c>
      <c r="U798" s="2" t="inlineStr"/>
    </row>
    <row r="799" ht="15" customHeight="1">
      <c r="A799" t="inlineStr">
        <is>
          <t>A 16129-2026</t>
        </is>
      </c>
      <c r="B799" t="inlineStr">
        <is>
          <t>avverkningsanmälan</t>
        </is>
      </c>
      <c r="C799" t="inlineStr">
        <is>
          <t>Föryngringsavverkning</t>
        </is>
      </c>
      <c r="D799" s="1" t="n">
        <v>46108</v>
      </c>
      <c r="E799" s="1" t="n">
        <v>46220</v>
      </c>
      <c r="F799" t="inlineStr">
        <is>
          <t>JÄMTLANDS LÄN</t>
        </is>
      </c>
      <c r="G799" t="inlineStr">
        <is>
          <t>RAGUNDA</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14158-2024</t>
        </is>
      </c>
      <c r="B800" t="inlineStr">
        <is>
          <t>avverkningsanmälan</t>
        </is>
      </c>
      <c r="C800" t="inlineStr">
        <is>
          <t>Föryngringsavverkning</t>
        </is>
      </c>
      <c r="D800" s="1" t="n">
        <v>45392</v>
      </c>
      <c r="E800" s="1" t="n">
        <v>46220</v>
      </c>
      <c r="F800" t="inlineStr">
        <is>
          <t>JÄMTLANDS LÄN</t>
        </is>
      </c>
      <c r="G800" t="inlineStr">
        <is>
          <t>RAGUNDA</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15651-2026</t>
        </is>
      </c>
      <c r="B801" t="inlineStr">
        <is>
          <t>avverkningsanmälan</t>
        </is>
      </c>
      <c r="C801" t="inlineStr">
        <is>
          <t>Föryngringsavverkning</t>
        </is>
      </c>
      <c r="D801" s="1" t="n">
        <v>46106</v>
      </c>
      <c r="E801" s="1" t="n">
        <v>46220</v>
      </c>
      <c r="F801" t="inlineStr">
        <is>
          <t>JÄMTLANDS LÄN</t>
        </is>
      </c>
      <c r="G801" t="inlineStr">
        <is>
          <t>RAGUNDA</t>
        </is>
      </c>
      <c r="H801" t="inlineStr">
        <is>
          <t>SCA</t>
        </is>
      </c>
      <c r="I801" t="n">
        <v>34.8</v>
      </c>
      <c r="J801" t="n">
        <v>0</v>
      </c>
      <c r="K801" t="n">
        <v>0</v>
      </c>
      <c r="L801" t="n">
        <v>0</v>
      </c>
      <c r="M801" t="n">
        <v>0</v>
      </c>
      <c r="N801" t="n">
        <v>0</v>
      </c>
      <c r="O801" t="n">
        <v>0</v>
      </c>
      <c r="P801" t="n">
        <v>0</v>
      </c>
      <c r="Q801" t="n">
        <v>0</v>
      </c>
      <c r="R801" t="n">
        <v>0</v>
      </c>
      <c r="S801" t="n">
        <v>0</v>
      </c>
      <c r="T801" t="n">
        <v>0</v>
      </c>
      <c r="U801" s="2" t="inlineStr"/>
    </row>
    <row r="802" ht="15" customHeight="1">
      <c r="A802" t="inlineStr">
        <is>
          <t>A 16126-2026</t>
        </is>
      </c>
      <c r="B802" t="inlineStr">
        <is>
          <t>avverkningsanmälan</t>
        </is>
      </c>
      <c r="C802" t="inlineStr">
        <is>
          <t>Föryngringsavverkning</t>
        </is>
      </c>
      <c r="D802" s="1" t="n">
        <v>46108</v>
      </c>
      <c r="E802" s="1" t="n">
        <v>46220</v>
      </c>
      <c r="F802" t="inlineStr">
        <is>
          <t>JÄMTLANDS LÄN</t>
        </is>
      </c>
      <c r="G802" t="inlineStr">
        <is>
          <t>RAGUNDA</t>
        </is>
      </c>
      <c r="H802" t="inlineStr">
        <is>
          <t>SCA</t>
        </is>
      </c>
      <c r="I802" t="n">
        <v>5.9</v>
      </c>
      <c r="J802" t="n">
        <v>0</v>
      </c>
      <c r="K802" t="n">
        <v>0</v>
      </c>
      <c r="L802" t="n">
        <v>0</v>
      </c>
      <c r="M802" t="n">
        <v>0</v>
      </c>
      <c r="N802" t="n">
        <v>0</v>
      </c>
      <c r="O802" t="n">
        <v>0</v>
      </c>
      <c r="P802" t="n">
        <v>0</v>
      </c>
      <c r="Q802" t="n">
        <v>0</v>
      </c>
      <c r="R802" t="n">
        <v>0</v>
      </c>
      <c r="S802" t="n">
        <v>0</v>
      </c>
      <c r="T802" t="n">
        <v>0</v>
      </c>
      <c r="U802" s="2" t="inlineStr"/>
    </row>
    <row r="803" ht="15" customHeight="1">
      <c r="A803" t="inlineStr">
        <is>
          <t>A 15939-2026</t>
        </is>
      </c>
      <c r="B803" t="inlineStr">
        <is>
          <t>avverkningsanmälan</t>
        </is>
      </c>
      <c r="C803" t="inlineStr">
        <is>
          <t>Föryngringsavverkning</t>
        </is>
      </c>
      <c r="D803" s="1" t="n">
        <v>46107</v>
      </c>
      <c r="E803" s="1" t="n">
        <v>46220</v>
      </c>
      <c r="F803" t="inlineStr">
        <is>
          <t>JÄMTLANDS LÄN</t>
        </is>
      </c>
      <c r="G803" t="inlineStr">
        <is>
          <t>RAGUNDA</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16142-2026</t>
        </is>
      </c>
      <c r="B804" t="inlineStr">
        <is>
          <t>avverkningsanmälan</t>
        </is>
      </c>
      <c r="C804" t="inlineStr">
        <is>
          <t>Föryngringsavverkning</t>
        </is>
      </c>
      <c r="D804" s="1" t="n">
        <v>46108</v>
      </c>
      <c r="E804" s="1" t="n">
        <v>46220</v>
      </c>
      <c r="F804" t="inlineStr">
        <is>
          <t>JÄMTLANDS LÄN</t>
        </is>
      </c>
      <c r="G804" t="inlineStr">
        <is>
          <t>RAGUNDA</t>
        </is>
      </c>
      <c r="H804" t="inlineStr">
        <is>
          <t>SCA</t>
        </is>
      </c>
      <c r="I804" t="n">
        <v>52.5</v>
      </c>
      <c r="J804" t="n">
        <v>0</v>
      </c>
      <c r="K804" t="n">
        <v>0</v>
      </c>
      <c r="L804" t="n">
        <v>0</v>
      </c>
      <c r="M804" t="n">
        <v>0</v>
      </c>
      <c r="N804" t="n">
        <v>0</v>
      </c>
      <c r="O804" t="n">
        <v>0</v>
      </c>
      <c r="P804" t="n">
        <v>0</v>
      </c>
      <c r="Q804" t="n">
        <v>0</v>
      </c>
      <c r="R804" t="n">
        <v>0</v>
      </c>
      <c r="S804" t="n">
        <v>0</v>
      </c>
      <c r="T804" t="n">
        <v>0</v>
      </c>
      <c r="U804" s="2" t="inlineStr"/>
    </row>
    <row r="805" ht="15" customHeight="1">
      <c r="A805" t="inlineStr">
        <is>
          <t>A 16127-2026</t>
        </is>
      </c>
      <c r="B805" t="inlineStr">
        <is>
          <t>avverkningsanmälan</t>
        </is>
      </c>
      <c r="C805" t="inlineStr">
        <is>
          <t>Föryngringsavverkning</t>
        </is>
      </c>
      <c r="D805" s="1" t="n">
        <v>46108</v>
      </c>
      <c r="E805" s="1" t="n">
        <v>46220</v>
      </c>
      <c r="F805" t="inlineStr">
        <is>
          <t>JÄMTLANDS LÄN</t>
        </is>
      </c>
      <c r="G805" t="inlineStr">
        <is>
          <t>RAGUNDA</t>
        </is>
      </c>
      <c r="H805" t="inlineStr">
        <is>
          <t>SCA</t>
        </is>
      </c>
      <c r="I805" t="n">
        <v>16.7</v>
      </c>
      <c r="J805" t="n">
        <v>0</v>
      </c>
      <c r="K805" t="n">
        <v>0</v>
      </c>
      <c r="L805" t="n">
        <v>0</v>
      </c>
      <c r="M805" t="n">
        <v>0</v>
      </c>
      <c r="N805" t="n">
        <v>0</v>
      </c>
      <c r="O805" t="n">
        <v>0</v>
      </c>
      <c r="P805" t="n">
        <v>0</v>
      </c>
      <c r="Q805" t="n">
        <v>0</v>
      </c>
      <c r="R805" t="n">
        <v>0</v>
      </c>
      <c r="S805" t="n">
        <v>0</v>
      </c>
      <c r="T805" t="n">
        <v>0</v>
      </c>
      <c r="U805" s="2" t="inlineStr"/>
    </row>
    <row r="806" ht="15" customHeight="1">
      <c r="A806" t="inlineStr">
        <is>
          <t>A 35274-2023</t>
        </is>
      </c>
      <c r="B806" t="inlineStr">
        <is>
          <t>avverkningsanmälan</t>
        </is>
      </c>
      <c r="C806" t="inlineStr">
        <is>
          <t>Avverkning för att bevara och utveckla /försöksver</t>
        </is>
      </c>
      <c r="D806" s="1" t="n">
        <v>45145</v>
      </c>
      <c r="E806" s="1" t="n">
        <v>46220</v>
      </c>
      <c r="F806" t="inlineStr">
        <is>
          <t>JÄMTLANDS LÄN</t>
        </is>
      </c>
      <c r="G806" t="inlineStr">
        <is>
          <t>RAGUNDA</t>
        </is>
      </c>
      <c r="H806" t="inlineStr">
        <is>
          <t>SCA</t>
        </is>
      </c>
      <c r="I806" t="n">
        <v>6.1</v>
      </c>
      <c r="J806" t="n">
        <v>0</v>
      </c>
      <c r="K806" t="n">
        <v>0</v>
      </c>
      <c r="L806" t="n">
        <v>0</v>
      </c>
      <c r="M806" t="n">
        <v>0</v>
      </c>
      <c r="N806" t="n">
        <v>0</v>
      </c>
      <c r="O806" t="n">
        <v>0</v>
      </c>
      <c r="P806" t="n">
        <v>0</v>
      </c>
      <c r="Q806" t="n">
        <v>0</v>
      </c>
      <c r="R806" t="n">
        <v>0</v>
      </c>
      <c r="S806" t="n">
        <v>0</v>
      </c>
      <c r="T806" t="n">
        <v>0</v>
      </c>
      <c r="U806" s="2" t="inlineStr"/>
    </row>
    <row r="807" ht="15" customHeight="1">
      <c r="A807" t="inlineStr">
        <is>
          <t>A 16456-2026</t>
        </is>
      </c>
      <c r="B807" t="inlineStr">
        <is>
          <t>avverkningsanmälan</t>
        </is>
      </c>
      <c r="C807" t="inlineStr">
        <is>
          <t>Föryngringsavverkning</t>
        </is>
      </c>
      <c r="D807" s="1" t="n">
        <v>46112</v>
      </c>
      <c r="E807" s="1" t="n">
        <v>46220</v>
      </c>
      <c r="F807" t="inlineStr">
        <is>
          <t>JÄMTLANDS LÄN</t>
        </is>
      </c>
      <c r="G807" t="inlineStr">
        <is>
          <t>RAGUNDA</t>
        </is>
      </c>
      <c r="H807" t="inlineStr">
        <is>
          <t>SCA</t>
        </is>
      </c>
      <c r="I807" t="n">
        <v>12.6</v>
      </c>
      <c r="J807" t="n">
        <v>0</v>
      </c>
      <c r="K807" t="n">
        <v>0</v>
      </c>
      <c r="L807" t="n">
        <v>0</v>
      </c>
      <c r="M807" t="n">
        <v>0</v>
      </c>
      <c r="N807" t="n">
        <v>0</v>
      </c>
      <c r="O807" t="n">
        <v>0</v>
      </c>
      <c r="P807" t="n">
        <v>0</v>
      </c>
      <c r="Q807" t="n">
        <v>0</v>
      </c>
      <c r="R807" t="n">
        <v>0</v>
      </c>
      <c r="S807" t="n">
        <v>0</v>
      </c>
      <c r="T807" t="n">
        <v>0</v>
      </c>
      <c r="U807" s="2" t="inlineStr"/>
    </row>
    <row r="808" ht="15" customHeight="1">
      <c r="A808" t="inlineStr">
        <is>
          <t>A 12983-2025</t>
        </is>
      </c>
      <c r="B808" t="inlineStr">
        <is>
          <t>avverkningsanmälan</t>
        </is>
      </c>
      <c r="C808" t="inlineStr">
        <is>
          <t>Föryngringsavverkning</t>
        </is>
      </c>
      <c r="D808" s="1" t="n">
        <v>45734</v>
      </c>
      <c r="E808" s="1" t="n">
        <v>46220</v>
      </c>
      <c r="F808" t="inlineStr">
        <is>
          <t>JÄMTLANDS LÄN</t>
        </is>
      </c>
      <c r="G808" t="inlineStr">
        <is>
          <t>RAGUNDA</t>
        </is>
      </c>
      <c r="I808" t="n">
        <v>5.2</v>
      </c>
      <c r="J808" t="n">
        <v>0</v>
      </c>
      <c r="K808" t="n">
        <v>0</v>
      </c>
      <c r="L808" t="n">
        <v>0</v>
      </c>
      <c r="M808" t="n">
        <v>0</v>
      </c>
      <c r="N808" t="n">
        <v>0</v>
      </c>
      <c r="O808" t="n">
        <v>0</v>
      </c>
      <c r="P808" t="n">
        <v>0</v>
      </c>
      <c r="Q808" t="n">
        <v>0</v>
      </c>
      <c r="R808" t="n">
        <v>0</v>
      </c>
      <c r="S808" t="n">
        <v>0</v>
      </c>
      <c r="T808" t="n">
        <v>0</v>
      </c>
      <c r="U808" s="2" t="inlineStr"/>
    </row>
    <row r="809" ht="15" customHeight="1">
      <c r="A809" t="inlineStr">
        <is>
          <t>A 3938-2024</t>
        </is>
      </c>
      <c r="B809" t="inlineStr">
        <is>
          <t>avverkningsanmälan</t>
        </is>
      </c>
      <c r="C809" t="inlineStr">
        <is>
          <t>Föryngringsavverkning</t>
        </is>
      </c>
      <c r="D809" s="1" t="n">
        <v>45322</v>
      </c>
      <c r="E809" s="1" t="n">
        <v>46220</v>
      </c>
      <c r="F809" t="inlineStr">
        <is>
          <t>JÄMTLANDS LÄN</t>
        </is>
      </c>
      <c r="G809" t="inlineStr">
        <is>
          <t>RAGUNDA</t>
        </is>
      </c>
      <c r="I809" t="n">
        <v>3.2</v>
      </c>
      <c r="J809" t="n">
        <v>0</v>
      </c>
      <c r="K809" t="n">
        <v>0</v>
      </c>
      <c r="L809" t="n">
        <v>0</v>
      </c>
      <c r="M809" t="n">
        <v>0</v>
      </c>
      <c r="N809" t="n">
        <v>0</v>
      </c>
      <c r="O809" t="n">
        <v>0</v>
      </c>
      <c r="P809" t="n">
        <v>0</v>
      </c>
      <c r="Q809" t="n">
        <v>0</v>
      </c>
      <c r="R809" t="n">
        <v>0</v>
      </c>
      <c r="S809" t="n">
        <v>0</v>
      </c>
      <c r="T809" t="n">
        <v>0</v>
      </c>
      <c r="U809" s="2" t="inlineStr"/>
    </row>
    <row r="810" ht="15" customHeight="1">
      <c r="A810" t="inlineStr">
        <is>
          <t>A 53144-2024</t>
        </is>
      </c>
      <c r="B810" t="inlineStr">
        <is>
          <t>avverkningsanmälan</t>
        </is>
      </c>
      <c r="C810" t="inlineStr">
        <is>
          <t>Avverkning för att bevara och utveckla /försöksver</t>
        </is>
      </c>
      <c r="D810" s="1" t="n">
        <v>45611</v>
      </c>
      <c r="E810" s="1" t="n">
        <v>46220</v>
      </c>
      <c r="F810" t="inlineStr">
        <is>
          <t>JÄMTLANDS LÄN</t>
        </is>
      </c>
      <c r="G810" t="inlineStr">
        <is>
          <t>RAGUNDA</t>
        </is>
      </c>
      <c r="H810" t="inlineStr">
        <is>
          <t>SCA</t>
        </is>
      </c>
      <c r="I810" t="n">
        <v>5.4</v>
      </c>
      <c r="J810" t="n">
        <v>0</v>
      </c>
      <c r="K810" t="n">
        <v>0</v>
      </c>
      <c r="L810" t="n">
        <v>0</v>
      </c>
      <c r="M810" t="n">
        <v>0</v>
      </c>
      <c r="N810" t="n">
        <v>0</v>
      </c>
      <c r="O810" t="n">
        <v>0</v>
      </c>
      <c r="P810" t="n">
        <v>0</v>
      </c>
      <c r="Q810" t="n">
        <v>0</v>
      </c>
      <c r="R810" t="n">
        <v>0</v>
      </c>
      <c r="S810" t="n">
        <v>0</v>
      </c>
      <c r="T810" t="n">
        <v>0</v>
      </c>
      <c r="U810" s="2" t="inlineStr"/>
    </row>
    <row r="811" ht="15" customHeight="1">
      <c r="A811" t="inlineStr">
        <is>
          <t>A 16995-2026</t>
        </is>
      </c>
      <c r="B811" t="inlineStr">
        <is>
          <t>avverkningsanmälan</t>
        </is>
      </c>
      <c r="C811" t="inlineStr">
        <is>
          <t>Föryngringsavverkning</t>
        </is>
      </c>
      <c r="D811" s="1" t="n">
        <v>46114</v>
      </c>
      <c r="E811" s="1" t="n">
        <v>46220</v>
      </c>
      <c r="F811" t="inlineStr">
        <is>
          <t>JÄMTLANDS LÄN</t>
        </is>
      </c>
      <c r="G811" t="inlineStr">
        <is>
          <t>RAGUNDA</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17034-2026</t>
        </is>
      </c>
      <c r="B812" t="inlineStr">
        <is>
          <t>avverkningsanmälan</t>
        </is>
      </c>
      <c r="C812" t="inlineStr">
        <is>
          <t>Föryngringsavverkning</t>
        </is>
      </c>
      <c r="D812" s="1" t="n">
        <v>46114</v>
      </c>
      <c r="E812" s="1" t="n">
        <v>46220</v>
      </c>
      <c r="F812" t="inlineStr">
        <is>
          <t>JÄMTLANDS LÄN</t>
        </is>
      </c>
      <c r="G812" t="inlineStr">
        <is>
          <t>RAGUNDA</t>
        </is>
      </c>
      <c r="H812" t="inlineStr">
        <is>
          <t>SCA</t>
        </is>
      </c>
      <c r="I812" t="n">
        <v>39.6</v>
      </c>
      <c r="J812" t="n">
        <v>0</v>
      </c>
      <c r="K812" t="n">
        <v>0</v>
      </c>
      <c r="L812" t="n">
        <v>0</v>
      </c>
      <c r="M812" t="n">
        <v>0</v>
      </c>
      <c r="N812" t="n">
        <v>0</v>
      </c>
      <c r="O812" t="n">
        <v>0</v>
      </c>
      <c r="P812" t="n">
        <v>0</v>
      </c>
      <c r="Q812" t="n">
        <v>0</v>
      </c>
      <c r="R812" t="n">
        <v>0</v>
      </c>
      <c r="S812" t="n">
        <v>0</v>
      </c>
      <c r="T812" t="n">
        <v>0</v>
      </c>
      <c r="U812" s="2" t="inlineStr"/>
    </row>
    <row r="813" ht="15" customHeight="1">
      <c r="A813" t="inlineStr">
        <is>
          <t>A 17150-2026</t>
        </is>
      </c>
      <c r="B813" t="inlineStr">
        <is>
          <t>avverkningsanmälan</t>
        </is>
      </c>
      <c r="C813" t="inlineStr">
        <is>
          <t>Föryngringsavverkning</t>
        </is>
      </c>
      <c r="D813" s="1" t="n">
        <v>46115</v>
      </c>
      <c r="E813" s="1" t="n">
        <v>46220</v>
      </c>
      <c r="F813" t="inlineStr">
        <is>
          <t>JÄMTLANDS LÄN</t>
        </is>
      </c>
      <c r="G813" t="inlineStr">
        <is>
          <t>RAGUNDA</t>
        </is>
      </c>
      <c r="H813" t="inlineStr">
        <is>
          <t>SCA</t>
        </is>
      </c>
      <c r="I813" t="n">
        <v>15.3</v>
      </c>
      <c r="J813" t="n">
        <v>0</v>
      </c>
      <c r="K813" t="n">
        <v>0</v>
      </c>
      <c r="L813" t="n">
        <v>0</v>
      </c>
      <c r="M813" t="n">
        <v>0</v>
      </c>
      <c r="N813" t="n">
        <v>0</v>
      </c>
      <c r="O813" t="n">
        <v>0</v>
      </c>
      <c r="P813" t="n">
        <v>0</v>
      </c>
      <c r="Q813" t="n">
        <v>0</v>
      </c>
      <c r="R813" t="n">
        <v>0</v>
      </c>
      <c r="S813" t="n">
        <v>0</v>
      </c>
      <c r="T813" t="n">
        <v>0</v>
      </c>
      <c r="U813" s="2" t="inlineStr"/>
    </row>
    <row r="814" ht="15" customHeight="1">
      <c r="A814" t="inlineStr">
        <is>
          <t>A 22311-2024</t>
        </is>
      </c>
      <c r="B814" t="inlineStr">
        <is>
          <t>avverkningsanmälan</t>
        </is>
      </c>
      <c r="C814" t="inlineStr">
        <is>
          <t>Föryngringsavverkning</t>
        </is>
      </c>
      <c r="D814" s="1" t="n">
        <v>45446</v>
      </c>
      <c r="E814" s="1" t="n">
        <v>46220</v>
      </c>
      <c r="F814" t="inlineStr">
        <is>
          <t>JÄMTLANDS LÄN</t>
        </is>
      </c>
      <c r="G814" t="inlineStr">
        <is>
          <t>RAGUNDA</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17410-2026</t>
        </is>
      </c>
      <c r="B815" t="inlineStr">
        <is>
          <t>avverkningsanmälan</t>
        </is>
      </c>
      <c r="C815" t="inlineStr">
        <is>
          <t>Föryngringsavverkning</t>
        </is>
      </c>
      <c r="D815" s="1" t="n">
        <v>46120</v>
      </c>
      <c r="E815" s="1" t="n">
        <v>46220</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s="2" t="inlineStr"/>
    </row>
    <row r="816" ht="15" customHeight="1">
      <c r="A816" t="inlineStr">
        <is>
          <t>A 19403-2025</t>
        </is>
      </c>
      <c r="B816" t="inlineStr">
        <is>
          <t>avverkningsanmälan</t>
        </is>
      </c>
      <c r="C816" t="inlineStr">
        <is>
          <t>Föryngringsavverkning</t>
        </is>
      </c>
      <c r="D816" s="1" t="n">
        <v>45769</v>
      </c>
      <c r="E816" s="1" t="n">
        <v>46220</v>
      </c>
      <c r="F816" t="inlineStr">
        <is>
          <t>JÄMTLANDS LÄN</t>
        </is>
      </c>
      <c r="G816" t="inlineStr">
        <is>
          <t>RAGUNDA</t>
        </is>
      </c>
      <c r="H816" t="inlineStr">
        <is>
          <t>SCA</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18131-2026</t>
        </is>
      </c>
      <c r="B817" t="inlineStr">
        <is>
          <t>avverkningsanmälan</t>
        </is>
      </c>
      <c r="C817" t="inlineStr">
        <is>
          <t>Föryngringsavverkning</t>
        </is>
      </c>
      <c r="D817" s="1" t="n">
        <v>46125</v>
      </c>
      <c r="E817" s="1" t="n">
        <v>46220</v>
      </c>
      <c r="F817" t="inlineStr">
        <is>
          <t>JÄMTLANDS LÄN</t>
        </is>
      </c>
      <c r="G817" t="inlineStr">
        <is>
          <t>RAGUNDA</t>
        </is>
      </c>
      <c r="I817" t="n">
        <v>5.5</v>
      </c>
      <c r="J817" t="n">
        <v>0</v>
      </c>
      <c r="K817" t="n">
        <v>0</v>
      </c>
      <c r="L817" t="n">
        <v>0</v>
      </c>
      <c r="M817" t="n">
        <v>0</v>
      </c>
      <c r="N817" t="n">
        <v>0</v>
      </c>
      <c r="O817" t="n">
        <v>0</v>
      </c>
      <c r="P817" t="n">
        <v>0</v>
      </c>
      <c r="Q817" t="n">
        <v>0</v>
      </c>
      <c r="R817" t="n">
        <v>0</v>
      </c>
      <c r="S817" t="n">
        <v>0</v>
      </c>
      <c r="T817" t="n">
        <v>0</v>
      </c>
      <c r="U817" s="2" t="inlineStr"/>
    </row>
    <row r="818" ht="15" customHeight="1">
      <c r="A818" t="inlineStr">
        <is>
          <t>A 23734-2024</t>
        </is>
      </c>
      <c r="B818" t="inlineStr">
        <is>
          <t>avverkningsanmälan</t>
        </is>
      </c>
      <c r="C818" t="inlineStr">
        <is>
          <t>Föryngringsavverkning</t>
        </is>
      </c>
      <c r="D818" s="1" t="n">
        <v>45454</v>
      </c>
      <c r="E818" s="1" t="n">
        <v>46220</v>
      </c>
      <c r="F818" t="inlineStr">
        <is>
          <t>JÄMTLANDS LÄN</t>
        </is>
      </c>
      <c r="G818" t="inlineStr">
        <is>
          <t>RAGUNDA</t>
        </is>
      </c>
      <c r="H818" t="inlineStr">
        <is>
          <t>SCA</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38425-2022</t>
        </is>
      </c>
      <c r="B819" t="inlineStr">
        <is>
          <t>avverkningsanmälan</t>
        </is>
      </c>
      <c r="C819" t="inlineStr">
        <is>
          <t>Föryngringsavverkning</t>
        </is>
      </c>
      <c r="D819" s="1" t="n">
        <v>44812</v>
      </c>
      <c r="E819" s="1" t="n">
        <v>46220</v>
      </c>
      <c r="F819" t="inlineStr">
        <is>
          <t>JÄMTLANDS LÄN</t>
        </is>
      </c>
      <c r="G819" t="inlineStr">
        <is>
          <t>RAGUNDA</t>
        </is>
      </c>
      <c r="H819" t="inlineStr">
        <is>
          <t>SCA</t>
        </is>
      </c>
      <c r="I819" t="n">
        <v>6.1</v>
      </c>
      <c r="J819" t="n">
        <v>0</v>
      </c>
      <c r="K819" t="n">
        <v>0</v>
      </c>
      <c r="L819" t="n">
        <v>0</v>
      </c>
      <c r="M819" t="n">
        <v>0</v>
      </c>
      <c r="N819" t="n">
        <v>0</v>
      </c>
      <c r="O819" t="n">
        <v>0</v>
      </c>
      <c r="P819" t="n">
        <v>0</v>
      </c>
      <c r="Q819" t="n">
        <v>0</v>
      </c>
      <c r="R819" t="n">
        <v>0</v>
      </c>
      <c r="S819" t="n">
        <v>0</v>
      </c>
      <c r="T819" t="n">
        <v>0</v>
      </c>
      <c r="U819" s="2" t="inlineStr"/>
    </row>
    <row r="820" ht="15" customHeight="1">
      <c r="A820" t="inlineStr">
        <is>
          <t>A 12995-2023</t>
        </is>
      </c>
      <c r="B820" t="inlineStr">
        <is>
          <t>avverkningsanmälan</t>
        </is>
      </c>
      <c r="C820" t="inlineStr">
        <is>
          <t>Föryngringsavverkning</t>
        </is>
      </c>
      <c r="D820" s="1" t="n">
        <v>45002</v>
      </c>
      <c r="E820" s="1" t="n">
        <v>46220</v>
      </c>
      <c r="F820" t="inlineStr">
        <is>
          <t>JÄMTLANDS LÄN</t>
        </is>
      </c>
      <c r="G820" t="inlineStr">
        <is>
          <t>RAGUNDA</t>
        </is>
      </c>
      <c r="H820" t="inlineStr">
        <is>
          <t>SCA</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44755-2024</t>
        </is>
      </c>
      <c r="B821" t="inlineStr">
        <is>
          <t>avverkningsanmälan</t>
        </is>
      </c>
      <c r="C821" t="inlineStr">
        <is>
          <t>Föryngringsavverkning</t>
        </is>
      </c>
      <c r="D821" s="1" t="n">
        <v>45574</v>
      </c>
      <c r="E821" s="1" t="n">
        <v>46220</v>
      </c>
      <c r="F821" t="inlineStr">
        <is>
          <t>JÄMTLANDS LÄN</t>
        </is>
      </c>
      <c r="G821" t="inlineStr">
        <is>
          <t>RAGUNDA</t>
        </is>
      </c>
      <c r="I821" t="n">
        <v>4.4</v>
      </c>
      <c r="J821" t="n">
        <v>0</v>
      </c>
      <c r="K821" t="n">
        <v>0</v>
      </c>
      <c r="L821" t="n">
        <v>0</v>
      </c>
      <c r="M821" t="n">
        <v>0</v>
      </c>
      <c r="N821" t="n">
        <v>0</v>
      </c>
      <c r="O821" t="n">
        <v>0</v>
      </c>
      <c r="P821" t="n">
        <v>0</v>
      </c>
      <c r="Q821" t="n">
        <v>0</v>
      </c>
      <c r="R821" t="n">
        <v>0</v>
      </c>
      <c r="S821" t="n">
        <v>0</v>
      </c>
      <c r="T821" t="n">
        <v>0</v>
      </c>
      <c r="U821" s="2" t="inlineStr"/>
    </row>
    <row r="822" ht="15" customHeight="1">
      <c r="A822" t="inlineStr">
        <is>
          <t>A 44766-2024</t>
        </is>
      </c>
      <c r="B822" t="inlineStr">
        <is>
          <t>avverkningsanmälan</t>
        </is>
      </c>
      <c r="C822" t="inlineStr">
        <is>
          <t>Föryngringsavverkning</t>
        </is>
      </c>
      <c r="D822" s="1" t="n">
        <v>45574</v>
      </c>
      <c r="E822" s="1" t="n">
        <v>46220</v>
      </c>
      <c r="F822" t="inlineStr">
        <is>
          <t>JÄMTLANDS LÄN</t>
        </is>
      </c>
      <c r="G822" t="inlineStr">
        <is>
          <t>RAGUNDA</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55536-2024</t>
        </is>
      </c>
      <c r="B823" t="inlineStr">
        <is>
          <t>avverkningsanmälan</t>
        </is>
      </c>
      <c r="C823" t="inlineStr">
        <is>
          <t>Föryngringsavverkning</t>
        </is>
      </c>
      <c r="D823" s="1" t="n">
        <v>45622</v>
      </c>
      <c r="E823" s="1" t="n">
        <v>46220</v>
      </c>
      <c r="F823" t="inlineStr">
        <is>
          <t>JÄMTLANDS LÄN</t>
        </is>
      </c>
      <c r="G823" t="inlineStr">
        <is>
          <t>RAGUNDA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44597-2024</t>
        </is>
      </c>
      <c r="B824" t="inlineStr">
        <is>
          <t>avverkningsanmälan</t>
        </is>
      </c>
      <c r="C824" t="inlineStr">
        <is>
          <t>Föryngringsavverkning</t>
        </is>
      </c>
      <c r="D824" s="1" t="n">
        <v>45574</v>
      </c>
      <c r="E824" s="1" t="n">
        <v>46220</v>
      </c>
      <c r="F824" t="inlineStr">
        <is>
          <t>JÄMTLANDS LÄN</t>
        </is>
      </c>
      <c r="G824" t="inlineStr">
        <is>
          <t>RAGUNDA</t>
        </is>
      </c>
      <c r="H824" t="inlineStr">
        <is>
          <t>SCA</t>
        </is>
      </c>
      <c r="I824" t="n">
        <v>2.8</v>
      </c>
      <c r="J824" t="n">
        <v>0</v>
      </c>
      <c r="K824" t="n">
        <v>0</v>
      </c>
      <c r="L824" t="n">
        <v>0</v>
      </c>
      <c r="M824" t="n">
        <v>0</v>
      </c>
      <c r="N824" t="n">
        <v>0</v>
      </c>
      <c r="O824" t="n">
        <v>0</v>
      </c>
      <c r="P824" t="n">
        <v>0</v>
      </c>
      <c r="Q824" t="n">
        <v>0</v>
      </c>
      <c r="R824" t="n">
        <v>0</v>
      </c>
      <c r="S824" t="n">
        <v>0</v>
      </c>
      <c r="T824" t="n">
        <v>0</v>
      </c>
      <c r="U824" s="2" t="inlineStr"/>
    </row>
    <row r="825" ht="15" customHeight="1">
      <c r="A825" t="inlineStr">
        <is>
          <t>A 40246-2024</t>
        </is>
      </c>
      <c r="B825" t="inlineStr">
        <is>
          <t>avverkningsanmälan</t>
        </is>
      </c>
      <c r="C825" t="inlineStr">
        <is>
          <t>Föryngringsavverkning</t>
        </is>
      </c>
      <c r="D825" s="1" t="n">
        <v>45554</v>
      </c>
      <c r="E825" s="1" t="n">
        <v>46220</v>
      </c>
      <c r="F825" t="inlineStr">
        <is>
          <t>JÄMTLANDS LÄN</t>
        </is>
      </c>
      <c r="G825" t="inlineStr">
        <is>
          <t>RAGUNDA</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4878-2022</t>
        </is>
      </c>
      <c r="B826" t="inlineStr">
        <is>
          <t>avverkningsanmälan</t>
        </is>
      </c>
      <c r="C826" t="inlineStr">
        <is>
          <t>Föryngringsavverkning</t>
        </is>
      </c>
      <c r="D826" s="1" t="n">
        <v>44593</v>
      </c>
      <c r="E826" s="1" t="n">
        <v>46220</v>
      </c>
      <c r="F826" t="inlineStr">
        <is>
          <t>JÄMTLANDS LÄN</t>
        </is>
      </c>
      <c r="G826" t="inlineStr">
        <is>
          <t>RAGUNDA</t>
        </is>
      </c>
      <c r="I826" t="n">
        <v>21.7</v>
      </c>
      <c r="J826" t="n">
        <v>0</v>
      </c>
      <c r="K826" t="n">
        <v>0</v>
      </c>
      <c r="L826" t="n">
        <v>0</v>
      </c>
      <c r="M826" t="n">
        <v>0</v>
      </c>
      <c r="N826" t="n">
        <v>0</v>
      </c>
      <c r="O826" t="n">
        <v>0</v>
      </c>
      <c r="P826" t="n">
        <v>0</v>
      </c>
      <c r="Q826" t="n">
        <v>0</v>
      </c>
      <c r="R826" t="n">
        <v>0</v>
      </c>
      <c r="S826" t="n">
        <v>0</v>
      </c>
      <c r="T826" t="n">
        <v>0</v>
      </c>
      <c r="U826" s="2" t="inlineStr"/>
    </row>
    <row r="827" ht="15" customHeight="1">
      <c r="A827" t="inlineStr">
        <is>
          <t>A 19641-2026</t>
        </is>
      </c>
      <c r="B827" t="inlineStr">
        <is>
          <t>avverkningsanmälan</t>
        </is>
      </c>
      <c r="C827" t="inlineStr">
        <is>
          <t>Föryngringsavverkning</t>
        </is>
      </c>
      <c r="D827" s="1" t="n">
        <v>46134</v>
      </c>
      <c r="E827" s="1" t="n">
        <v>46220</v>
      </c>
      <c r="F827" t="inlineStr">
        <is>
          <t>JÄMTLANDS LÄN</t>
        </is>
      </c>
      <c r="G827" t="inlineStr">
        <is>
          <t>RAGUNDA</t>
        </is>
      </c>
      <c r="I827" t="n">
        <v>1.1</v>
      </c>
      <c r="J827" t="n">
        <v>0</v>
      </c>
      <c r="K827" t="n">
        <v>0</v>
      </c>
      <c r="L827" t="n">
        <v>0</v>
      </c>
      <c r="M827" t="n">
        <v>0</v>
      </c>
      <c r="N827" t="n">
        <v>0</v>
      </c>
      <c r="O827" t="n">
        <v>0</v>
      </c>
      <c r="P827" t="n">
        <v>0</v>
      </c>
      <c r="Q827" t="n">
        <v>0</v>
      </c>
      <c r="R827" t="n">
        <v>0</v>
      </c>
      <c r="S827" t="n">
        <v>0</v>
      </c>
      <c r="T827" t="n">
        <v>0</v>
      </c>
      <c r="U827" s="2" t="inlineStr"/>
    </row>
    <row r="828" ht="15" customHeight="1">
      <c r="A828" t="inlineStr">
        <is>
          <t>A 19634-2026</t>
        </is>
      </c>
      <c r="B828" t="inlineStr">
        <is>
          <t>avverkningsanmälan</t>
        </is>
      </c>
      <c r="C828" t="inlineStr">
        <is>
          <t>Föryngringsavverkning</t>
        </is>
      </c>
      <c r="D828" s="1" t="n">
        <v>46134</v>
      </c>
      <c r="E828" s="1" t="n">
        <v>46220</v>
      </c>
      <c r="F828" t="inlineStr">
        <is>
          <t>JÄMTLANDS LÄN</t>
        </is>
      </c>
      <c r="G828" t="inlineStr">
        <is>
          <t>RAGUNDA</t>
        </is>
      </c>
      <c r="I828" t="n">
        <v>2.4</v>
      </c>
      <c r="J828" t="n">
        <v>0</v>
      </c>
      <c r="K828" t="n">
        <v>0</v>
      </c>
      <c r="L828" t="n">
        <v>0</v>
      </c>
      <c r="M828" t="n">
        <v>0</v>
      </c>
      <c r="N828" t="n">
        <v>0</v>
      </c>
      <c r="O828" t="n">
        <v>0</v>
      </c>
      <c r="P828" t="n">
        <v>0</v>
      </c>
      <c r="Q828" t="n">
        <v>0</v>
      </c>
      <c r="R828" t="n">
        <v>0</v>
      </c>
      <c r="S828" t="n">
        <v>0</v>
      </c>
      <c r="T828" t="n">
        <v>0</v>
      </c>
      <c r="U828" s="2" t="inlineStr"/>
    </row>
    <row r="829" ht="15" customHeight="1">
      <c r="A829" t="inlineStr">
        <is>
          <t>A 57237-2022</t>
        </is>
      </c>
      <c r="B829" t="inlineStr">
        <is>
          <t>avverkningsanmälan</t>
        </is>
      </c>
      <c r="C829" t="inlineStr">
        <is>
          <t>Föryngringsavverkning</t>
        </is>
      </c>
      <c r="D829" s="1" t="n">
        <v>44889</v>
      </c>
      <c r="E829" s="1" t="n">
        <v>46220</v>
      </c>
      <c r="F829" t="inlineStr">
        <is>
          <t>JÄMTLANDS LÄN</t>
        </is>
      </c>
      <c r="G829" t="inlineStr">
        <is>
          <t>RAGUNDA</t>
        </is>
      </c>
      <c r="I829" t="n">
        <v>2.2</v>
      </c>
      <c r="J829" t="n">
        <v>0</v>
      </c>
      <c r="K829" t="n">
        <v>0</v>
      </c>
      <c r="L829" t="n">
        <v>0</v>
      </c>
      <c r="M829" t="n">
        <v>0</v>
      </c>
      <c r="N829" t="n">
        <v>0</v>
      </c>
      <c r="O829" t="n">
        <v>0</v>
      </c>
      <c r="P829" t="n">
        <v>0</v>
      </c>
      <c r="Q829" t="n">
        <v>0</v>
      </c>
      <c r="R829" t="n">
        <v>0</v>
      </c>
      <c r="S829" t="n">
        <v>0</v>
      </c>
      <c r="T829" t="n">
        <v>0</v>
      </c>
      <c r="U829" s="2" t="inlineStr"/>
    </row>
    <row r="830" ht="15" customHeight="1">
      <c r="A830" t="inlineStr">
        <is>
          <t>A 2133-2023</t>
        </is>
      </c>
      <c r="B830" t="inlineStr">
        <is>
          <t>avverkningsanmälan</t>
        </is>
      </c>
      <c r="C830" t="inlineStr">
        <is>
          <t>Avverkning för att bevara och utveckla /försöksver</t>
        </is>
      </c>
      <c r="D830" s="1" t="n">
        <v>44939</v>
      </c>
      <c r="E830" s="1" t="n">
        <v>46220</v>
      </c>
      <c r="F830" t="inlineStr">
        <is>
          <t>JÄMTLANDS LÄN</t>
        </is>
      </c>
      <c r="G830" t="inlineStr">
        <is>
          <t>RAGUNDA</t>
        </is>
      </c>
      <c r="H830" t="inlineStr">
        <is>
          <t>SCA</t>
        </is>
      </c>
      <c r="I830" t="n">
        <v>3.6</v>
      </c>
      <c r="J830" t="n">
        <v>0</v>
      </c>
      <c r="K830" t="n">
        <v>0</v>
      </c>
      <c r="L830" t="n">
        <v>0</v>
      </c>
      <c r="M830" t="n">
        <v>0</v>
      </c>
      <c r="N830" t="n">
        <v>0</v>
      </c>
      <c r="O830" t="n">
        <v>0</v>
      </c>
      <c r="P830" t="n">
        <v>0</v>
      </c>
      <c r="Q830" t="n">
        <v>0</v>
      </c>
      <c r="R830" t="n">
        <v>0</v>
      </c>
      <c r="S830" t="n">
        <v>0</v>
      </c>
      <c r="T830" t="n">
        <v>0</v>
      </c>
      <c r="U830" s="2" t="inlineStr"/>
    </row>
    <row r="831" ht="15" customHeight="1">
      <c r="A831" t="inlineStr">
        <is>
          <t>A 19419-2024</t>
        </is>
      </c>
      <c r="B831" t="inlineStr">
        <is>
          <t>avverkningsanmälan</t>
        </is>
      </c>
      <c r="C831" t="inlineStr">
        <is>
          <t>Föryngringsavverkning</t>
        </is>
      </c>
      <c r="D831" s="1" t="n">
        <v>45429</v>
      </c>
      <c r="E831" s="1" t="n">
        <v>46220</v>
      </c>
      <c r="F831" t="inlineStr">
        <is>
          <t>JÄMTLANDS LÄN</t>
        </is>
      </c>
      <c r="G831" t="inlineStr">
        <is>
          <t>RAGUNDA</t>
        </is>
      </c>
      <c r="I831" t="n">
        <v>3.5</v>
      </c>
      <c r="J831" t="n">
        <v>0</v>
      </c>
      <c r="K831" t="n">
        <v>0</v>
      </c>
      <c r="L831" t="n">
        <v>0</v>
      </c>
      <c r="M831" t="n">
        <v>0</v>
      </c>
      <c r="N831" t="n">
        <v>0</v>
      </c>
      <c r="O831" t="n">
        <v>0</v>
      </c>
      <c r="P831" t="n">
        <v>0</v>
      </c>
      <c r="Q831" t="n">
        <v>0</v>
      </c>
      <c r="R831" t="n">
        <v>0</v>
      </c>
      <c r="S831" t="n">
        <v>0</v>
      </c>
      <c r="T831" t="n">
        <v>0</v>
      </c>
      <c r="U831" s="2" t="inlineStr"/>
    </row>
    <row r="832" ht="15" customHeight="1">
      <c r="A832" t="inlineStr">
        <is>
          <t>A 53347-2023</t>
        </is>
      </c>
      <c r="B832" t="inlineStr">
        <is>
          <t>avverkningsanmälan</t>
        </is>
      </c>
      <c r="C832" t="inlineStr">
        <is>
          <t>Föryngringsavverkning</t>
        </is>
      </c>
      <c r="D832" s="1" t="n">
        <v>45223</v>
      </c>
      <c r="E832" s="1" t="n">
        <v>46220</v>
      </c>
      <c r="F832" t="inlineStr">
        <is>
          <t>JÄMTLANDS LÄN</t>
        </is>
      </c>
      <c r="G832" t="inlineStr">
        <is>
          <t>RAGUNDA</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19383-2025</t>
        </is>
      </c>
      <c r="B833" t="inlineStr">
        <is>
          <t>avverkningsanmälan</t>
        </is>
      </c>
      <c r="C833" t="inlineStr">
        <is>
          <t>Föryngringsavverkning</t>
        </is>
      </c>
      <c r="D833" s="1" t="n">
        <v>45769</v>
      </c>
      <c r="E833" s="1" t="n">
        <v>46220</v>
      </c>
      <c r="F833" t="inlineStr">
        <is>
          <t>JÄMTLANDS LÄN</t>
        </is>
      </c>
      <c r="G833" t="inlineStr">
        <is>
          <t>RAGUNDA</t>
        </is>
      </c>
      <c r="H833" t="inlineStr">
        <is>
          <t>SCA</t>
        </is>
      </c>
      <c r="I833" t="n">
        <v>6</v>
      </c>
      <c r="J833" t="n">
        <v>0</v>
      </c>
      <c r="K833" t="n">
        <v>0</v>
      </c>
      <c r="L833" t="n">
        <v>0</v>
      </c>
      <c r="M833" t="n">
        <v>0</v>
      </c>
      <c r="N833" t="n">
        <v>0</v>
      </c>
      <c r="O833" t="n">
        <v>0</v>
      </c>
      <c r="P833" t="n">
        <v>0</v>
      </c>
      <c r="Q833" t="n">
        <v>0</v>
      </c>
      <c r="R833" t="n">
        <v>0</v>
      </c>
      <c r="S833" t="n">
        <v>0</v>
      </c>
      <c r="T833" t="n">
        <v>0</v>
      </c>
      <c r="U833" s="2" t="inlineStr"/>
    </row>
    <row r="834" ht="15" customHeight="1">
      <c r="A834" t="inlineStr">
        <is>
          <t>A 49229-2024</t>
        </is>
      </c>
      <c r="B834" t="inlineStr">
        <is>
          <t>avverkningsanmälan</t>
        </is>
      </c>
      <c r="C834" t="inlineStr">
        <is>
          <t>Avverkning för att bevara och utveckla /försöksver</t>
        </is>
      </c>
      <c r="D834" s="1" t="n">
        <v>45595</v>
      </c>
      <c r="E834" s="1" t="n">
        <v>46220</v>
      </c>
      <c r="F834" t="inlineStr">
        <is>
          <t>JÄMTLANDS LÄN</t>
        </is>
      </c>
      <c r="G834" t="inlineStr">
        <is>
          <t>RAGUNDA</t>
        </is>
      </c>
      <c r="H834" t="inlineStr">
        <is>
          <t>SCA</t>
        </is>
      </c>
      <c r="I834" t="n">
        <v>1.7</v>
      </c>
      <c r="J834" t="n">
        <v>0</v>
      </c>
      <c r="K834" t="n">
        <v>0</v>
      </c>
      <c r="L834" t="n">
        <v>0</v>
      </c>
      <c r="M834" t="n">
        <v>0</v>
      </c>
      <c r="N834" t="n">
        <v>0</v>
      </c>
      <c r="O834" t="n">
        <v>0</v>
      </c>
      <c r="P834" t="n">
        <v>0</v>
      </c>
      <c r="Q834" t="n">
        <v>0</v>
      </c>
      <c r="R834" t="n">
        <v>0</v>
      </c>
      <c r="S834" t="n">
        <v>0</v>
      </c>
      <c r="T834" t="n">
        <v>0</v>
      </c>
      <c r="U834" s="2" t="inlineStr"/>
    </row>
    <row r="835" ht="15" customHeight="1">
      <c r="A835" t="inlineStr">
        <is>
          <t>A 51389-2024</t>
        </is>
      </c>
      <c r="B835" t="inlineStr">
        <is>
          <t>avverkningsanmälan</t>
        </is>
      </c>
      <c r="C835" t="inlineStr">
        <is>
          <t>Föryngringsavverkning</t>
        </is>
      </c>
      <c r="D835" s="1" t="n">
        <v>45604</v>
      </c>
      <c r="E835" s="1" t="n">
        <v>46220</v>
      </c>
      <c r="F835" t="inlineStr">
        <is>
          <t>JÄMTLANDS LÄN</t>
        </is>
      </c>
      <c r="G835" t="inlineStr">
        <is>
          <t>RAGUNDA</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51393-2024</t>
        </is>
      </c>
      <c r="B836" t="inlineStr">
        <is>
          <t>avverkningsanmälan</t>
        </is>
      </c>
      <c r="C836" t="inlineStr">
        <is>
          <t>Föryngringsavverkning</t>
        </is>
      </c>
      <c r="D836" s="1" t="n">
        <v>45604</v>
      </c>
      <c r="E836" s="1" t="n">
        <v>46220</v>
      </c>
      <c r="F836" t="inlineStr">
        <is>
          <t>JÄMTLANDS LÄN</t>
        </is>
      </c>
      <c r="G836" t="inlineStr">
        <is>
          <t>RAGUNDA</t>
        </is>
      </c>
      <c r="I836" t="n">
        <v>9.300000000000001</v>
      </c>
      <c r="J836" t="n">
        <v>0</v>
      </c>
      <c r="K836" t="n">
        <v>0</v>
      </c>
      <c r="L836" t="n">
        <v>0</v>
      </c>
      <c r="M836" t="n">
        <v>0</v>
      </c>
      <c r="N836" t="n">
        <v>0</v>
      </c>
      <c r="O836" t="n">
        <v>0</v>
      </c>
      <c r="P836" t="n">
        <v>0</v>
      </c>
      <c r="Q836" t="n">
        <v>0</v>
      </c>
      <c r="R836" t="n">
        <v>0</v>
      </c>
      <c r="S836" t="n">
        <v>0</v>
      </c>
      <c r="T836" t="n">
        <v>0</v>
      </c>
      <c r="U836" s="2" t="inlineStr"/>
    </row>
    <row r="837" ht="15" customHeight="1">
      <c r="A837" t="inlineStr">
        <is>
          <t>A 55487-2023</t>
        </is>
      </c>
      <c r="B837" t="inlineStr">
        <is>
          <t>avverkningsanmälan</t>
        </is>
      </c>
      <c r="C837" t="inlineStr">
        <is>
          <t>Föryngringsavverkning</t>
        </is>
      </c>
      <c r="D837" s="1" t="n">
        <v>45238</v>
      </c>
      <c r="E837" s="1" t="n">
        <v>46220</v>
      </c>
      <c r="F837" t="inlineStr">
        <is>
          <t>JÄMTLANDS LÄN</t>
        </is>
      </c>
      <c r="G837" t="inlineStr">
        <is>
          <t>RAGUNDA</t>
        </is>
      </c>
      <c r="I837" t="n">
        <v>3</v>
      </c>
      <c r="J837" t="n">
        <v>0</v>
      </c>
      <c r="K837" t="n">
        <v>0</v>
      </c>
      <c r="L837" t="n">
        <v>0</v>
      </c>
      <c r="M837" t="n">
        <v>0</v>
      </c>
      <c r="N837" t="n">
        <v>0</v>
      </c>
      <c r="O837" t="n">
        <v>0</v>
      </c>
      <c r="P837" t="n">
        <v>0</v>
      </c>
      <c r="Q837" t="n">
        <v>0</v>
      </c>
      <c r="R837" t="n">
        <v>0</v>
      </c>
      <c r="S837" t="n">
        <v>0</v>
      </c>
      <c r="T837" t="n">
        <v>0</v>
      </c>
      <c r="U837" s="2" t="inlineStr"/>
    </row>
    <row r="838" ht="15" customHeight="1">
      <c r="A838" t="inlineStr">
        <is>
          <t>A 20987-2023</t>
        </is>
      </c>
      <c r="B838" t="inlineStr">
        <is>
          <t>avverkningsanmälan</t>
        </is>
      </c>
      <c r="C838" t="inlineStr">
        <is>
          <t>Avverkning för annat ändamål</t>
        </is>
      </c>
      <c r="D838" s="1" t="n">
        <v>45056</v>
      </c>
      <c r="E838" s="1" t="n">
        <v>46220</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20994-2023</t>
        </is>
      </c>
      <c r="B839" t="inlineStr">
        <is>
          <t>avverkningsanmälan</t>
        </is>
      </c>
      <c r="C839" t="inlineStr">
        <is>
          <t>Avverkning för annat ändamål</t>
        </is>
      </c>
      <c r="D839" s="1" t="n">
        <v>45056</v>
      </c>
      <c r="E839" s="1" t="n">
        <v>46220</v>
      </c>
      <c r="F839" t="inlineStr">
        <is>
          <t>JÄMTLANDS LÄN</t>
        </is>
      </c>
      <c r="G839" t="inlineStr">
        <is>
          <t>RAGUNDA</t>
        </is>
      </c>
      <c r="I839" t="n">
        <v>1.3</v>
      </c>
      <c r="J839" t="n">
        <v>0</v>
      </c>
      <c r="K839" t="n">
        <v>0</v>
      </c>
      <c r="L839" t="n">
        <v>0</v>
      </c>
      <c r="M839" t="n">
        <v>0</v>
      </c>
      <c r="N839" t="n">
        <v>0</v>
      </c>
      <c r="O839" t="n">
        <v>0</v>
      </c>
      <c r="P839" t="n">
        <v>0</v>
      </c>
      <c r="Q839" t="n">
        <v>0</v>
      </c>
      <c r="R839" t="n">
        <v>0</v>
      </c>
      <c r="S839" t="n">
        <v>0</v>
      </c>
      <c r="T839" t="n">
        <v>0</v>
      </c>
      <c r="U839" s="2" t="inlineStr"/>
    </row>
    <row r="840" ht="15" customHeight="1">
      <c r="A840" t="inlineStr">
        <is>
          <t>A 55669-2023</t>
        </is>
      </c>
      <c r="B840" t="inlineStr">
        <is>
          <t>avverkningsanmälan</t>
        </is>
      </c>
      <c r="C840" t="inlineStr">
        <is>
          <t>Föryngringsavverkning</t>
        </is>
      </c>
      <c r="D840" s="1" t="n">
        <v>45238</v>
      </c>
      <c r="E840" s="1" t="n">
        <v>46220</v>
      </c>
      <c r="F840" t="inlineStr">
        <is>
          <t>JÄMTLANDS LÄN</t>
        </is>
      </c>
      <c r="G840" t="inlineStr">
        <is>
          <t>RAGUNDA</t>
        </is>
      </c>
      <c r="H840" t="inlineStr">
        <is>
          <t>SCA</t>
        </is>
      </c>
      <c r="I840" t="n">
        <v>1</v>
      </c>
      <c r="J840" t="n">
        <v>0</v>
      </c>
      <c r="K840" t="n">
        <v>0</v>
      </c>
      <c r="L840" t="n">
        <v>0</v>
      </c>
      <c r="M840" t="n">
        <v>0</v>
      </c>
      <c r="N840" t="n">
        <v>0</v>
      </c>
      <c r="O840" t="n">
        <v>0</v>
      </c>
      <c r="P840" t="n">
        <v>0</v>
      </c>
      <c r="Q840" t="n">
        <v>0</v>
      </c>
      <c r="R840" t="n">
        <v>0</v>
      </c>
      <c r="S840" t="n">
        <v>0</v>
      </c>
      <c r="T840" t="n">
        <v>0</v>
      </c>
      <c r="U840" s="2" t="inlineStr"/>
    </row>
    <row r="841" ht="15" customHeight="1">
      <c r="A841" t="inlineStr">
        <is>
          <t>A 32063-2024</t>
        </is>
      </c>
      <c r="B841" t="inlineStr">
        <is>
          <t>avverkningsanmälan</t>
        </is>
      </c>
      <c r="C841" t="inlineStr">
        <is>
          <t>Föryngringsavverkning</t>
        </is>
      </c>
      <c r="D841" s="1" t="n">
        <v>45510</v>
      </c>
      <c r="E841" s="1" t="n">
        <v>46220</v>
      </c>
      <c r="F841" t="inlineStr">
        <is>
          <t>JÄMTLANDS LÄN</t>
        </is>
      </c>
      <c r="G841" t="inlineStr">
        <is>
          <t>RAGUNDA</t>
        </is>
      </c>
      <c r="H841" t="inlineStr">
        <is>
          <t>SCA</t>
        </is>
      </c>
      <c r="I841" t="n">
        <v>4</v>
      </c>
      <c r="J841" t="n">
        <v>0</v>
      </c>
      <c r="K841" t="n">
        <v>0</v>
      </c>
      <c r="L841" t="n">
        <v>0</v>
      </c>
      <c r="M841" t="n">
        <v>0</v>
      </c>
      <c r="N841" t="n">
        <v>0</v>
      </c>
      <c r="O841" t="n">
        <v>0</v>
      </c>
      <c r="P841" t="n">
        <v>0</v>
      </c>
      <c r="Q841" t="n">
        <v>0</v>
      </c>
      <c r="R841" t="n">
        <v>0</v>
      </c>
      <c r="S841" t="n">
        <v>0</v>
      </c>
      <c r="T841" t="n">
        <v>0</v>
      </c>
      <c r="U841" s="2" t="inlineStr"/>
    </row>
    <row r="842" ht="15" customHeight="1">
      <c r="A842" t="inlineStr">
        <is>
          <t>A 10641-2024</t>
        </is>
      </c>
      <c r="B842" t="inlineStr">
        <is>
          <t>avverkningsanmälan</t>
        </is>
      </c>
      <c r="C842" t="inlineStr">
        <is>
          <t>Föryngringsavverkning</t>
        </is>
      </c>
      <c r="D842" s="1" t="n">
        <v>45367</v>
      </c>
      <c r="E842" s="1" t="n">
        <v>46220</v>
      </c>
      <c r="F842" t="inlineStr">
        <is>
          <t>JÄMTLANDS LÄN</t>
        </is>
      </c>
      <c r="G842" t="inlineStr">
        <is>
          <t>RAGUNDA</t>
        </is>
      </c>
      <c r="I842" t="n">
        <v>0.9</v>
      </c>
      <c r="J842" t="n">
        <v>0</v>
      </c>
      <c r="K842" t="n">
        <v>0</v>
      </c>
      <c r="L842" t="n">
        <v>0</v>
      </c>
      <c r="M842" t="n">
        <v>0</v>
      </c>
      <c r="N842" t="n">
        <v>0</v>
      </c>
      <c r="O842" t="n">
        <v>0</v>
      </c>
      <c r="P842" t="n">
        <v>0</v>
      </c>
      <c r="Q842" t="n">
        <v>0</v>
      </c>
      <c r="R842" t="n">
        <v>0</v>
      </c>
      <c r="S842" t="n">
        <v>0</v>
      </c>
      <c r="T842" t="n">
        <v>0</v>
      </c>
      <c r="U842" s="2" t="inlineStr"/>
    </row>
    <row r="843" ht="15" customHeight="1">
      <c r="A843" t="inlineStr">
        <is>
          <t>A 10644-2024</t>
        </is>
      </c>
      <c r="B843" t="inlineStr">
        <is>
          <t>avverkningsanmälan</t>
        </is>
      </c>
      <c r="C843" t="inlineStr">
        <is>
          <t>Föryngringsavverkning</t>
        </is>
      </c>
      <c r="D843" s="1" t="n">
        <v>45367</v>
      </c>
      <c r="E843" s="1" t="n">
        <v>46220</v>
      </c>
      <c r="F843" t="inlineStr">
        <is>
          <t>JÄMTLANDS LÄN</t>
        </is>
      </c>
      <c r="G843" t="inlineStr">
        <is>
          <t>RAGUNDA</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44727-2024</t>
        </is>
      </c>
      <c r="B844" t="inlineStr">
        <is>
          <t>avverkningsanmälan</t>
        </is>
      </c>
      <c r="C844" t="inlineStr">
        <is>
          <t>Föryngringsavverkning</t>
        </is>
      </c>
      <c r="D844" s="1" t="n">
        <v>45574</v>
      </c>
      <c r="E844" s="1" t="n">
        <v>46220</v>
      </c>
      <c r="F844" t="inlineStr">
        <is>
          <t>JÄMTLANDS LÄN</t>
        </is>
      </c>
      <c r="G844" t="inlineStr">
        <is>
          <t>RAGUNDA</t>
        </is>
      </c>
      <c r="I844" t="n">
        <v>4.7</v>
      </c>
      <c r="J844" t="n">
        <v>0</v>
      </c>
      <c r="K844" t="n">
        <v>0</v>
      </c>
      <c r="L844" t="n">
        <v>0</v>
      </c>
      <c r="M844" t="n">
        <v>0</v>
      </c>
      <c r="N844" t="n">
        <v>0</v>
      </c>
      <c r="O844" t="n">
        <v>0</v>
      </c>
      <c r="P844" t="n">
        <v>0</v>
      </c>
      <c r="Q844" t="n">
        <v>0</v>
      </c>
      <c r="R844" t="n">
        <v>0</v>
      </c>
      <c r="S844" t="n">
        <v>0</v>
      </c>
      <c r="T844" t="n">
        <v>0</v>
      </c>
      <c r="U844" s="2" t="inlineStr"/>
    </row>
    <row r="845" ht="15" customHeight="1">
      <c r="A845" t="inlineStr">
        <is>
          <t>A 20426-2024</t>
        </is>
      </c>
      <c r="B845" t="inlineStr">
        <is>
          <t>avverkningsanmälan</t>
        </is>
      </c>
      <c r="C845" t="inlineStr">
        <is>
          <t>Föryngringsavverkning</t>
        </is>
      </c>
      <c r="D845" s="1" t="n">
        <v>45435</v>
      </c>
      <c r="E845" s="1" t="n">
        <v>46220</v>
      </c>
      <c r="F845" t="inlineStr">
        <is>
          <t>JÄMTLANDS LÄN</t>
        </is>
      </c>
      <c r="G845" t="inlineStr">
        <is>
          <t>RAGUNDA</t>
        </is>
      </c>
      <c r="I845" t="n">
        <v>2.1</v>
      </c>
      <c r="J845" t="n">
        <v>0</v>
      </c>
      <c r="K845" t="n">
        <v>0</v>
      </c>
      <c r="L845" t="n">
        <v>0</v>
      </c>
      <c r="M845" t="n">
        <v>0</v>
      </c>
      <c r="N845" t="n">
        <v>0</v>
      </c>
      <c r="O845" t="n">
        <v>0</v>
      </c>
      <c r="P845" t="n">
        <v>0</v>
      </c>
      <c r="Q845" t="n">
        <v>0</v>
      </c>
      <c r="R845" t="n">
        <v>0</v>
      </c>
      <c r="S845" t="n">
        <v>0</v>
      </c>
      <c r="T845" t="n">
        <v>0</v>
      </c>
      <c r="U845" s="2" t="inlineStr"/>
    </row>
    <row r="846" ht="15" customHeight="1">
      <c r="A846" t="inlineStr">
        <is>
          <t>A 17742-2022</t>
        </is>
      </c>
      <c r="B846" t="inlineStr">
        <is>
          <t>avverkningsanmälan</t>
        </is>
      </c>
      <c r="C846" t="inlineStr">
        <is>
          <t>Föryngringsavverkning</t>
        </is>
      </c>
      <c r="D846" s="1" t="n">
        <v>44680</v>
      </c>
      <c r="E846" s="1" t="n">
        <v>46220</v>
      </c>
      <c r="F846" t="inlineStr">
        <is>
          <t>JÄMTLANDS LÄN</t>
        </is>
      </c>
      <c r="G846" t="inlineStr">
        <is>
          <t>RAGUNDA</t>
        </is>
      </c>
      <c r="H846" t="inlineStr">
        <is>
          <t>SCA</t>
        </is>
      </c>
      <c r="I846" t="n">
        <v>7.2</v>
      </c>
      <c r="J846" t="n">
        <v>0</v>
      </c>
      <c r="K846" t="n">
        <v>0</v>
      </c>
      <c r="L846" t="n">
        <v>0</v>
      </c>
      <c r="M846" t="n">
        <v>0</v>
      </c>
      <c r="N846" t="n">
        <v>0</v>
      </c>
      <c r="O846" t="n">
        <v>0</v>
      </c>
      <c r="P846" t="n">
        <v>0</v>
      </c>
      <c r="Q846" t="n">
        <v>0</v>
      </c>
      <c r="R846" t="n">
        <v>0</v>
      </c>
      <c r="S846" t="n">
        <v>0</v>
      </c>
      <c r="T846" t="n">
        <v>0</v>
      </c>
      <c r="U846" s="2" t="inlineStr"/>
    </row>
    <row r="847" ht="15" customHeight="1">
      <c r="A847" t="inlineStr">
        <is>
          <t>A 44954-2025</t>
        </is>
      </c>
      <c r="B847" t="inlineStr">
        <is>
          <t>avverkningsanmälan</t>
        </is>
      </c>
      <c r="C847" t="inlineStr">
        <is>
          <t>Föryngringsavverkning</t>
        </is>
      </c>
      <c r="D847" s="1" t="n">
        <v>45918</v>
      </c>
      <c r="E847" s="1" t="n">
        <v>46220</v>
      </c>
      <c r="F847" t="inlineStr">
        <is>
          <t>JÄMTLANDS LÄN</t>
        </is>
      </c>
      <c r="G847" t="inlineStr">
        <is>
          <t>RAGUNDA</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3561-2026</t>
        </is>
      </c>
      <c r="B848" t="inlineStr">
        <is>
          <t>avverkningsanmälan</t>
        </is>
      </c>
      <c r="C848" t="inlineStr">
        <is>
          <t>Föryngringsavverkning</t>
        </is>
      </c>
      <c r="D848" s="1" t="n">
        <v>46042</v>
      </c>
      <c r="E848" s="1" t="n">
        <v>46220</v>
      </c>
      <c r="F848" t="inlineStr">
        <is>
          <t>JÄMTLANDS LÄN</t>
        </is>
      </c>
      <c r="G848" t="inlineStr">
        <is>
          <t>RAGUNDA</t>
        </is>
      </c>
      <c r="I848" t="n">
        <v>3.8</v>
      </c>
      <c r="J848" t="n">
        <v>0</v>
      </c>
      <c r="K848" t="n">
        <v>0</v>
      </c>
      <c r="L848" t="n">
        <v>0</v>
      </c>
      <c r="M848" t="n">
        <v>0</v>
      </c>
      <c r="N848" t="n">
        <v>0</v>
      </c>
      <c r="O848" t="n">
        <v>0</v>
      </c>
      <c r="P848" t="n">
        <v>0</v>
      </c>
      <c r="Q848" t="n">
        <v>0</v>
      </c>
      <c r="R848" t="n">
        <v>0</v>
      </c>
      <c r="S848" t="n">
        <v>0</v>
      </c>
      <c r="T848" t="n">
        <v>0</v>
      </c>
      <c r="U848" s="2" t="inlineStr"/>
    </row>
    <row r="849" ht="15" customHeight="1">
      <c r="A849" t="inlineStr">
        <is>
          <t>A 9084-2023</t>
        </is>
      </c>
      <c r="B849" t="inlineStr">
        <is>
          <t>avverkningsanmälan</t>
        </is>
      </c>
      <c r="C849" t="inlineStr">
        <is>
          <t>Avverkning för annat ändamål</t>
        </is>
      </c>
      <c r="D849" s="1" t="n">
        <v>44979</v>
      </c>
      <c r="E849" s="1" t="n">
        <v>46220</v>
      </c>
      <c r="F849" t="inlineStr">
        <is>
          <t>JÄMTLANDS LÄN</t>
        </is>
      </c>
      <c r="G849" t="inlineStr">
        <is>
          <t>RAGUNDA</t>
        </is>
      </c>
      <c r="I849" t="n">
        <v>1.9</v>
      </c>
      <c r="J849" t="n">
        <v>0</v>
      </c>
      <c r="K849" t="n">
        <v>0</v>
      </c>
      <c r="L849" t="n">
        <v>0</v>
      </c>
      <c r="M849" t="n">
        <v>0</v>
      </c>
      <c r="N849" t="n">
        <v>0</v>
      </c>
      <c r="O849" t="n">
        <v>0</v>
      </c>
      <c r="P849" t="n">
        <v>0</v>
      </c>
      <c r="Q849" t="n">
        <v>0</v>
      </c>
      <c r="R849" t="n">
        <v>0</v>
      </c>
      <c r="S849" t="n">
        <v>0</v>
      </c>
      <c r="T849" t="n">
        <v>0</v>
      </c>
      <c r="U849" s="2" t="inlineStr"/>
    </row>
    <row r="850" ht="15" customHeight="1">
      <c r="A850" t="inlineStr">
        <is>
          <t>A 9326-2024</t>
        </is>
      </c>
      <c r="B850" t="inlineStr">
        <is>
          <t>avverkningsanmälan</t>
        </is>
      </c>
      <c r="C850" t="inlineStr">
        <is>
          <t>Föryngringsavverkning</t>
        </is>
      </c>
      <c r="D850" s="1" t="n">
        <v>45358</v>
      </c>
      <c r="E850" s="1" t="n">
        <v>46220</v>
      </c>
      <c r="F850" t="inlineStr">
        <is>
          <t>JÄMTLANDS LÄN</t>
        </is>
      </c>
      <c r="G850" t="inlineStr">
        <is>
          <t>RAGUNDA</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7520-2023</t>
        </is>
      </c>
      <c r="B851" t="inlineStr">
        <is>
          <t>avverkningsanmälan</t>
        </is>
      </c>
      <c r="C851" t="inlineStr">
        <is>
          <t>Föryngringsavverkning</t>
        </is>
      </c>
      <c r="D851" s="1" t="n">
        <v>44971</v>
      </c>
      <c r="E851" s="1" t="n">
        <v>46220</v>
      </c>
      <c r="F851" t="inlineStr">
        <is>
          <t>JÄMTLANDS LÄN</t>
        </is>
      </c>
      <c r="G851" t="inlineStr">
        <is>
          <t>RAGUNDA</t>
        </is>
      </c>
      <c r="H851" t="inlineStr">
        <is>
          <t>SCA</t>
        </is>
      </c>
      <c r="I851" t="n">
        <v>3.5</v>
      </c>
      <c r="J851" t="n">
        <v>0</v>
      </c>
      <c r="K851" t="n">
        <v>0</v>
      </c>
      <c r="L851" t="n">
        <v>0</v>
      </c>
      <c r="M851" t="n">
        <v>0</v>
      </c>
      <c r="N851" t="n">
        <v>0</v>
      </c>
      <c r="O851" t="n">
        <v>0</v>
      </c>
      <c r="P851" t="n">
        <v>0</v>
      </c>
      <c r="Q851" t="n">
        <v>0</v>
      </c>
      <c r="R851" t="n">
        <v>0</v>
      </c>
      <c r="S851" t="n">
        <v>0</v>
      </c>
      <c r="T851" t="n">
        <v>0</v>
      </c>
      <c r="U851" s="2" t="inlineStr"/>
    </row>
    <row r="852" ht="15" customHeight="1">
      <c r="A852" t="inlineStr">
        <is>
          <t>A 21662-2023</t>
        </is>
      </c>
      <c r="B852" t="inlineStr">
        <is>
          <t>avverkningsanmälan</t>
        </is>
      </c>
      <c r="C852" t="inlineStr">
        <is>
          <t>Föryngringsavverkning</t>
        </is>
      </c>
      <c r="D852" s="1" t="n">
        <v>45063</v>
      </c>
      <c r="E852" s="1" t="n">
        <v>46220</v>
      </c>
      <c r="F852" t="inlineStr">
        <is>
          <t>JÄMTLANDS LÄN</t>
        </is>
      </c>
      <c r="G852" t="inlineStr">
        <is>
          <t>RAGUNDA</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25949-2026</t>
        </is>
      </c>
      <c r="B853" t="inlineStr">
        <is>
          <t>avverkningsanmälan</t>
        </is>
      </c>
      <c r="C853" t="inlineStr">
        <is>
          <t>Föryngringsavverkning</t>
        </is>
      </c>
      <c r="D853" s="1" t="n">
        <v>46181</v>
      </c>
      <c r="E853" s="1" t="n">
        <v>46220</v>
      </c>
      <c r="F853" t="inlineStr">
        <is>
          <t>JÄMTLANDS LÄN</t>
        </is>
      </c>
      <c r="G853" t="inlineStr">
        <is>
          <t>RAGUNDA</t>
        </is>
      </c>
      <c r="H853" t="inlineStr">
        <is>
          <t>SCA</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21083-2024</t>
        </is>
      </c>
      <c r="B854" t="inlineStr">
        <is>
          <t>avverkningsanmälan</t>
        </is>
      </c>
      <c r="C854" t="inlineStr">
        <is>
          <t>Föryngringsavverkning</t>
        </is>
      </c>
      <c r="D854" s="1" t="n">
        <v>45439</v>
      </c>
      <c r="E854" s="1" t="n">
        <v>46220</v>
      </c>
      <c r="F854" t="inlineStr">
        <is>
          <t>JÄMTLANDS LÄN</t>
        </is>
      </c>
      <c r="G854" t="inlineStr">
        <is>
          <t>RAGUNDA</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462-2023</t>
        </is>
      </c>
      <c r="B855" t="inlineStr">
        <is>
          <t>avverkningsanmälan</t>
        </is>
      </c>
      <c r="C855" t="inlineStr">
        <is>
          <t>Föryngringsavverkning</t>
        </is>
      </c>
      <c r="D855" s="1" t="n">
        <v>44929</v>
      </c>
      <c r="E855" s="1" t="n">
        <v>46220</v>
      </c>
      <c r="F855" t="inlineStr">
        <is>
          <t>JÄMTLANDS LÄN</t>
        </is>
      </c>
      <c r="G855" t="inlineStr">
        <is>
          <t>RAGUNDA</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12050-2023</t>
        </is>
      </c>
      <c r="B856" t="inlineStr">
        <is>
          <t>avverkningsanmälan</t>
        </is>
      </c>
      <c r="C856" t="inlineStr">
        <is>
          <t>Föryngringsavverkning</t>
        </is>
      </c>
      <c r="D856" s="1" t="n">
        <v>44995</v>
      </c>
      <c r="E856" s="1" t="n">
        <v>46220</v>
      </c>
      <c r="F856" t="inlineStr">
        <is>
          <t>JÄMTLANDS LÄN</t>
        </is>
      </c>
      <c r="G856" t="inlineStr">
        <is>
          <t>RAGUNDA</t>
        </is>
      </c>
      <c r="H856" t="inlineStr">
        <is>
          <t>SCA</t>
        </is>
      </c>
      <c r="I856" t="n">
        <v>0.9</v>
      </c>
      <c r="J856" t="n">
        <v>0</v>
      </c>
      <c r="K856" t="n">
        <v>0</v>
      </c>
      <c r="L856" t="n">
        <v>0</v>
      </c>
      <c r="M856" t="n">
        <v>0</v>
      </c>
      <c r="N856" t="n">
        <v>0</v>
      </c>
      <c r="O856" t="n">
        <v>0</v>
      </c>
      <c r="P856" t="n">
        <v>0</v>
      </c>
      <c r="Q856" t="n">
        <v>0</v>
      </c>
      <c r="R856" t="n">
        <v>0</v>
      </c>
      <c r="S856" t="n">
        <v>0</v>
      </c>
      <c r="T856" t="n">
        <v>0</v>
      </c>
      <c r="U856" s="2" t="inlineStr"/>
    </row>
    <row r="857" ht="15" customHeight="1">
      <c r="A857" t="inlineStr">
        <is>
          <t>A 62358-2023</t>
        </is>
      </c>
      <c r="B857" t="inlineStr">
        <is>
          <t>avverkningsanmälan</t>
        </is>
      </c>
      <c r="C857" t="inlineStr">
        <is>
          <t>Föryngringsavverkning</t>
        </is>
      </c>
      <c r="D857" s="1" t="n">
        <v>45267</v>
      </c>
      <c r="E857" s="1" t="n">
        <v>46220</v>
      </c>
      <c r="F857" t="inlineStr">
        <is>
          <t>JÄMTLANDS LÄN</t>
        </is>
      </c>
      <c r="G857" t="inlineStr">
        <is>
          <t>RAGUNDA</t>
        </is>
      </c>
      <c r="H857" t="inlineStr">
        <is>
          <t>SCA</t>
        </is>
      </c>
      <c r="I857" t="n">
        <v>37</v>
      </c>
      <c r="J857" t="n">
        <v>0</v>
      </c>
      <c r="K857" t="n">
        <v>0</v>
      </c>
      <c r="L857" t="n">
        <v>0</v>
      </c>
      <c r="M857" t="n">
        <v>0</v>
      </c>
      <c r="N857" t="n">
        <v>0</v>
      </c>
      <c r="O857" t="n">
        <v>0</v>
      </c>
      <c r="P857" t="n">
        <v>0</v>
      </c>
      <c r="Q857" t="n">
        <v>0</v>
      </c>
      <c r="R857" t="n">
        <v>0</v>
      </c>
      <c r="S857" t="n">
        <v>0</v>
      </c>
      <c r="T857" t="n">
        <v>0</v>
      </c>
      <c r="U857" s="2" t="inlineStr"/>
    </row>
    <row r="858" ht="15" customHeight="1">
      <c r="A858" t="inlineStr">
        <is>
          <t>A 18820-2023</t>
        </is>
      </c>
      <c r="B858" t="inlineStr">
        <is>
          <t>avverkningsanmälan</t>
        </is>
      </c>
      <c r="C858" t="inlineStr">
        <is>
          <t>Föryngringsavverkning</t>
        </is>
      </c>
      <c r="D858" s="1" t="n">
        <v>45042</v>
      </c>
      <c r="E858" s="1" t="n">
        <v>46220</v>
      </c>
      <c r="F858" t="inlineStr">
        <is>
          <t>JÄMTLANDS LÄN</t>
        </is>
      </c>
      <c r="G858" t="inlineStr">
        <is>
          <t>RAGUNDA</t>
        </is>
      </c>
      <c r="I858" t="n">
        <v>18.8</v>
      </c>
      <c r="J858" t="n">
        <v>0</v>
      </c>
      <c r="K858" t="n">
        <v>0</v>
      </c>
      <c r="L858" t="n">
        <v>0</v>
      </c>
      <c r="M858" t="n">
        <v>0</v>
      </c>
      <c r="N858" t="n">
        <v>0</v>
      </c>
      <c r="O858" t="n">
        <v>0</v>
      </c>
      <c r="P858" t="n">
        <v>0</v>
      </c>
      <c r="Q858" t="n">
        <v>0</v>
      </c>
      <c r="R858" t="n">
        <v>0</v>
      </c>
      <c r="S858" t="n">
        <v>0</v>
      </c>
      <c r="T858" t="n">
        <v>0</v>
      </c>
      <c r="U858" s="2" t="inlineStr"/>
    </row>
    <row r="859" ht="15" customHeight="1">
      <c r="A859" t="inlineStr">
        <is>
          <t>A 49648-2023</t>
        </is>
      </c>
      <c r="B859" t="inlineStr">
        <is>
          <t>avverkningsanmälan</t>
        </is>
      </c>
      <c r="C859" t="inlineStr">
        <is>
          <t>Föryngringsavverkning</t>
        </is>
      </c>
      <c r="D859" s="1" t="n">
        <v>45211</v>
      </c>
      <c r="E859" s="1" t="n">
        <v>46220</v>
      </c>
      <c r="F859" t="inlineStr">
        <is>
          <t>JÄMTLANDS LÄN</t>
        </is>
      </c>
      <c r="G859" t="inlineStr">
        <is>
          <t>RAGUNDA</t>
        </is>
      </c>
      <c r="H859" t="inlineStr">
        <is>
          <t>SCA</t>
        </is>
      </c>
      <c r="I859" t="n">
        <v>4.3</v>
      </c>
      <c r="J859" t="n">
        <v>0</v>
      </c>
      <c r="K859" t="n">
        <v>0</v>
      </c>
      <c r="L859" t="n">
        <v>0</v>
      </c>
      <c r="M859" t="n">
        <v>0</v>
      </c>
      <c r="N859" t="n">
        <v>0</v>
      </c>
      <c r="O859" t="n">
        <v>0</v>
      </c>
      <c r="P859" t="n">
        <v>0</v>
      </c>
      <c r="Q859" t="n">
        <v>0</v>
      </c>
      <c r="R859" t="n">
        <v>0</v>
      </c>
      <c r="S859" t="n">
        <v>0</v>
      </c>
      <c r="T859" t="n">
        <v>0</v>
      </c>
      <c r="U859" s="2" t="inlineStr"/>
    </row>
    <row r="860" ht="15" customHeight="1">
      <c r="A860" t="inlineStr">
        <is>
          <t>A 51537-2022</t>
        </is>
      </c>
      <c r="B860" t="inlineStr">
        <is>
          <t>avverkningsanmälan</t>
        </is>
      </c>
      <c r="C860" t="inlineStr">
        <is>
          <t>Föryngringsavverkning</t>
        </is>
      </c>
      <c r="D860" s="1" t="n">
        <v>44869</v>
      </c>
      <c r="E860" s="1" t="n">
        <v>46220</v>
      </c>
      <c r="F860" t="inlineStr">
        <is>
          <t>JÄMTLANDS LÄN</t>
        </is>
      </c>
      <c r="G860" t="inlineStr">
        <is>
          <t>RAGUNDA</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20373-2026</t>
        </is>
      </c>
      <c r="B861" t="inlineStr">
        <is>
          <t>avverkningsanmälan</t>
        </is>
      </c>
      <c r="C861" t="inlineStr">
        <is>
          <t>Föryngringsavverkning</t>
        </is>
      </c>
      <c r="D861" s="1" t="n">
        <v>46139</v>
      </c>
      <c r="E861" s="1" t="n">
        <v>46220</v>
      </c>
      <c r="F861" t="inlineStr">
        <is>
          <t>JÄMTLANDS LÄN</t>
        </is>
      </c>
      <c r="G861" t="inlineStr">
        <is>
          <t>RAGUNDA</t>
        </is>
      </c>
      <c r="H861" t="inlineStr">
        <is>
          <t>SCA</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5958-2023</t>
        </is>
      </c>
      <c r="B862" t="inlineStr">
        <is>
          <t>avverkningsanmälan</t>
        </is>
      </c>
      <c r="C862" t="inlineStr">
        <is>
          <t>Föryngringsavverkning</t>
        </is>
      </c>
      <c r="D862" s="1" t="n">
        <v>44963</v>
      </c>
      <c r="E862" s="1" t="n">
        <v>46220</v>
      </c>
      <c r="F862" t="inlineStr">
        <is>
          <t>JÄMTLANDS LÄN</t>
        </is>
      </c>
      <c r="G862" t="inlineStr">
        <is>
          <t>RAGUNDA</t>
        </is>
      </c>
      <c r="H862" t="inlineStr">
        <is>
          <t>SCA</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8779-2025</t>
        </is>
      </c>
      <c r="B863" t="inlineStr">
        <is>
          <t>avverkningsanmälan</t>
        </is>
      </c>
      <c r="C863" t="inlineStr">
        <is>
          <t>Föryngringsavverkning</t>
        </is>
      </c>
      <c r="D863" s="1" t="n">
        <v>45712</v>
      </c>
      <c r="E863" s="1" t="n">
        <v>46220</v>
      </c>
      <c r="F863" t="inlineStr">
        <is>
          <t>JÄMTLANDS LÄN</t>
        </is>
      </c>
      <c r="G863" t="inlineStr">
        <is>
          <t>RAGUNDA</t>
        </is>
      </c>
      <c r="H863" t="inlineStr">
        <is>
          <t>SCA</t>
        </is>
      </c>
      <c r="I863" t="n">
        <v>4.9</v>
      </c>
      <c r="J863" t="n">
        <v>0</v>
      </c>
      <c r="K863" t="n">
        <v>0</v>
      </c>
      <c r="L863" t="n">
        <v>0</v>
      </c>
      <c r="M863" t="n">
        <v>0</v>
      </c>
      <c r="N863" t="n">
        <v>0</v>
      </c>
      <c r="O863" t="n">
        <v>0</v>
      </c>
      <c r="P863" t="n">
        <v>0</v>
      </c>
      <c r="Q863" t="n">
        <v>0</v>
      </c>
      <c r="R863" t="n">
        <v>0</v>
      </c>
      <c r="S863" t="n">
        <v>0</v>
      </c>
      <c r="T863" t="n">
        <v>0</v>
      </c>
      <c r="U863" s="2" t="inlineStr"/>
    </row>
    <row r="864" ht="15" customHeight="1">
      <c r="A864" t="inlineStr">
        <is>
          <t>A 993-2025</t>
        </is>
      </c>
      <c r="B864" t="inlineStr">
        <is>
          <t>avverkningsanmälan</t>
        </is>
      </c>
      <c r="C864" t="inlineStr">
        <is>
          <t>Föryngringsavverkning</t>
        </is>
      </c>
      <c r="D864" s="1" t="n">
        <v>45666</v>
      </c>
      <c r="E864" s="1" t="n">
        <v>46220</v>
      </c>
      <c r="F864" t="inlineStr">
        <is>
          <t>JÄMTLANDS LÄN</t>
        </is>
      </c>
      <c r="G864" t="inlineStr">
        <is>
          <t>RAGUNDA</t>
        </is>
      </c>
      <c r="I864" t="n">
        <v>11.3</v>
      </c>
      <c r="J864" t="n">
        <v>0</v>
      </c>
      <c r="K864" t="n">
        <v>0</v>
      </c>
      <c r="L864" t="n">
        <v>0</v>
      </c>
      <c r="M864" t="n">
        <v>0</v>
      </c>
      <c r="N864" t="n">
        <v>0</v>
      </c>
      <c r="O864" t="n">
        <v>0</v>
      </c>
      <c r="P864" t="n">
        <v>0</v>
      </c>
      <c r="Q864" t="n">
        <v>0</v>
      </c>
      <c r="R864" t="n">
        <v>0</v>
      </c>
      <c r="S864" t="n">
        <v>0</v>
      </c>
      <c r="T864" t="n">
        <v>0</v>
      </c>
      <c r="U864" s="2" t="inlineStr"/>
    </row>
    <row r="865" ht="15" customHeight="1">
      <c r="A865" t="inlineStr">
        <is>
          <t>A 61400-2022</t>
        </is>
      </c>
      <c r="B865" t="inlineStr">
        <is>
          <t>avverkningsanmälan</t>
        </is>
      </c>
      <c r="C865" t="inlineStr">
        <is>
          <t>Avverkning för att bevara och utveckla /försöksver</t>
        </is>
      </c>
      <c r="D865" s="1" t="n">
        <v>44915</v>
      </c>
      <c r="E865" s="1" t="n">
        <v>46220</v>
      </c>
      <c r="F865" t="inlineStr">
        <is>
          <t>JÄMTLANDS LÄN</t>
        </is>
      </c>
      <c r="G865" t="inlineStr">
        <is>
          <t>RAGUNDA</t>
        </is>
      </c>
      <c r="H865" t="inlineStr">
        <is>
          <t>SCA</t>
        </is>
      </c>
      <c r="I865" t="n">
        <v>3.9</v>
      </c>
      <c r="J865" t="n">
        <v>0</v>
      </c>
      <c r="K865" t="n">
        <v>0</v>
      </c>
      <c r="L865" t="n">
        <v>0</v>
      </c>
      <c r="M865" t="n">
        <v>0</v>
      </c>
      <c r="N865" t="n">
        <v>0</v>
      </c>
      <c r="O865" t="n">
        <v>0</v>
      </c>
      <c r="P865" t="n">
        <v>0</v>
      </c>
      <c r="Q865" t="n">
        <v>0</v>
      </c>
      <c r="R865" t="n">
        <v>0</v>
      </c>
      <c r="S865" t="n">
        <v>0</v>
      </c>
      <c r="T865" t="n">
        <v>0</v>
      </c>
      <c r="U865" s="2" t="inlineStr"/>
    </row>
    <row r="866" ht="15" customHeight="1">
      <c r="A866" t="inlineStr">
        <is>
          <t>A 56287-2023</t>
        </is>
      </c>
      <c r="B866" t="inlineStr">
        <is>
          <t>avverkningsanmälan</t>
        </is>
      </c>
      <c r="C866" t="inlineStr">
        <is>
          <t>Avverkning för att bevara och utveckla /försöksver</t>
        </is>
      </c>
      <c r="D866" s="1" t="n">
        <v>45241</v>
      </c>
      <c r="E866" s="1" t="n">
        <v>46220</v>
      </c>
      <c r="F866" t="inlineStr">
        <is>
          <t>JÄMTLANDS LÄN</t>
        </is>
      </c>
      <c r="G866" t="inlineStr">
        <is>
          <t>RAGUNDA</t>
        </is>
      </c>
      <c r="H866" t="inlineStr">
        <is>
          <t>SCA</t>
        </is>
      </c>
      <c r="I866" t="n">
        <v>2.1</v>
      </c>
      <c r="J866" t="n">
        <v>0</v>
      </c>
      <c r="K866" t="n">
        <v>0</v>
      </c>
      <c r="L866" t="n">
        <v>0</v>
      </c>
      <c r="M866" t="n">
        <v>0</v>
      </c>
      <c r="N866" t="n">
        <v>0</v>
      </c>
      <c r="O866" t="n">
        <v>0</v>
      </c>
      <c r="P866" t="n">
        <v>0</v>
      </c>
      <c r="Q866" t="n">
        <v>0</v>
      </c>
      <c r="R866" t="n">
        <v>0</v>
      </c>
      <c r="S866" t="n">
        <v>0</v>
      </c>
      <c r="T866" t="n">
        <v>0</v>
      </c>
      <c r="U866" s="2" t="inlineStr"/>
    </row>
    <row r="867" ht="15" customHeight="1">
      <c r="A867" t="inlineStr">
        <is>
          <t>A 25731-2026</t>
        </is>
      </c>
      <c r="B867" t="inlineStr">
        <is>
          <t>avverkningsanmälan</t>
        </is>
      </c>
      <c r="C867" t="inlineStr">
        <is>
          <t>Föryngringsavverkning</t>
        </is>
      </c>
      <c r="D867" s="1" t="n">
        <v>46178</v>
      </c>
      <c r="E867" s="1" t="n">
        <v>46220</v>
      </c>
      <c r="F867" t="inlineStr">
        <is>
          <t>JÄMTLANDS LÄN</t>
        </is>
      </c>
      <c r="G867" t="inlineStr">
        <is>
          <t>RAGUNDA</t>
        </is>
      </c>
      <c r="H867" t="inlineStr">
        <is>
          <t>SCA</t>
        </is>
      </c>
      <c r="I867" t="n">
        <v>5.5</v>
      </c>
      <c r="J867" t="n">
        <v>0</v>
      </c>
      <c r="K867" t="n">
        <v>0</v>
      </c>
      <c r="L867" t="n">
        <v>0</v>
      </c>
      <c r="M867" t="n">
        <v>0</v>
      </c>
      <c r="N867" t="n">
        <v>0</v>
      </c>
      <c r="O867" t="n">
        <v>0</v>
      </c>
      <c r="P867" t="n">
        <v>0</v>
      </c>
      <c r="Q867" t="n">
        <v>0</v>
      </c>
      <c r="R867" t="n">
        <v>0</v>
      </c>
      <c r="S867" t="n">
        <v>0</v>
      </c>
      <c r="T867" t="n">
        <v>0</v>
      </c>
      <c r="U867" s="2" t="inlineStr"/>
    </row>
    <row r="868" ht="15" customHeight="1">
      <c r="A868" t="inlineStr">
        <is>
          <t>A 18248-2023</t>
        </is>
      </c>
      <c r="B868" t="inlineStr">
        <is>
          <t>avverkningsanmälan</t>
        </is>
      </c>
      <c r="C868" t="inlineStr">
        <is>
          <t>Föryngringsavverkning</t>
        </is>
      </c>
      <c r="D868" s="1" t="n">
        <v>45040</v>
      </c>
      <c r="E868" s="1" t="n">
        <v>46220</v>
      </c>
      <c r="F868" t="inlineStr">
        <is>
          <t>JÄMTLANDS LÄN</t>
        </is>
      </c>
      <c r="G868" t="inlineStr">
        <is>
          <t>RAGUNDA</t>
        </is>
      </c>
      <c r="I868" t="n">
        <v>4.3</v>
      </c>
      <c r="J868" t="n">
        <v>0</v>
      </c>
      <c r="K868" t="n">
        <v>0</v>
      </c>
      <c r="L868" t="n">
        <v>0</v>
      </c>
      <c r="M868" t="n">
        <v>0</v>
      </c>
      <c r="N868" t="n">
        <v>0</v>
      </c>
      <c r="O868" t="n">
        <v>0</v>
      </c>
      <c r="P868" t="n">
        <v>0</v>
      </c>
      <c r="Q868" t="n">
        <v>0</v>
      </c>
      <c r="R868" t="n">
        <v>0</v>
      </c>
      <c r="S868" t="n">
        <v>0</v>
      </c>
      <c r="T868" t="n">
        <v>0</v>
      </c>
      <c r="U868" s="2" t="inlineStr"/>
    </row>
    <row r="869" ht="15" customHeight="1">
      <c r="A869" t="inlineStr">
        <is>
          <t>A 8802-2022</t>
        </is>
      </c>
      <c r="B869" t="inlineStr">
        <is>
          <t>avverkningsanmälan</t>
        </is>
      </c>
      <c r="C869" t="inlineStr">
        <is>
          <t>Föryngringsavverkning</t>
        </is>
      </c>
      <c r="D869" s="1" t="n">
        <v>44614</v>
      </c>
      <c r="E869" s="1" t="n">
        <v>46220</v>
      </c>
      <c r="F869" t="inlineStr">
        <is>
          <t>JÄMTLANDS LÄN</t>
        </is>
      </c>
      <c r="G869" t="inlineStr">
        <is>
          <t>RAGUNDA</t>
        </is>
      </c>
      <c r="I869" t="n">
        <v>2.8</v>
      </c>
      <c r="J869" t="n">
        <v>0</v>
      </c>
      <c r="K869" t="n">
        <v>0</v>
      </c>
      <c r="L869" t="n">
        <v>0</v>
      </c>
      <c r="M869" t="n">
        <v>0</v>
      </c>
      <c r="N869" t="n">
        <v>0</v>
      </c>
      <c r="O869" t="n">
        <v>0</v>
      </c>
      <c r="P869" t="n">
        <v>0</v>
      </c>
      <c r="Q869" t="n">
        <v>0</v>
      </c>
      <c r="R869" t="n">
        <v>0</v>
      </c>
      <c r="S869" t="n">
        <v>0</v>
      </c>
      <c r="T869" t="n">
        <v>0</v>
      </c>
      <c r="U869" s="2" t="inlineStr"/>
    </row>
    <row r="870" ht="15" customHeight="1">
      <c r="A870" t="inlineStr">
        <is>
          <t>A 39489-2023</t>
        </is>
      </c>
      <c r="B870" t="inlineStr">
        <is>
          <t>avverkningsanmälan</t>
        </is>
      </c>
      <c r="C870" t="inlineStr">
        <is>
          <t>Föryngringsavverkning</t>
        </is>
      </c>
      <c r="D870" s="1" t="n">
        <v>45166</v>
      </c>
      <c r="E870" s="1" t="n">
        <v>46220</v>
      </c>
      <c r="F870" t="inlineStr">
        <is>
          <t>JÄMTLANDS LÄN</t>
        </is>
      </c>
      <c r="G870" t="inlineStr">
        <is>
          <t>RAGUNDA</t>
        </is>
      </c>
      <c r="I870" t="n">
        <v>5</v>
      </c>
      <c r="J870" t="n">
        <v>0</v>
      </c>
      <c r="K870" t="n">
        <v>0</v>
      </c>
      <c r="L870" t="n">
        <v>0</v>
      </c>
      <c r="M870" t="n">
        <v>0</v>
      </c>
      <c r="N870" t="n">
        <v>0</v>
      </c>
      <c r="O870" t="n">
        <v>0</v>
      </c>
      <c r="P870" t="n">
        <v>0</v>
      </c>
      <c r="Q870" t="n">
        <v>0</v>
      </c>
      <c r="R870" t="n">
        <v>0</v>
      </c>
      <c r="S870" t="n">
        <v>0</v>
      </c>
      <c r="T870" t="n">
        <v>0</v>
      </c>
      <c r="U870" s="2" t="inlineStr"/>
    </row>
    <row r="871" ht="15" customHeight="1">
      <c r="A871" t="inlineStr">
        <is>
          <t>A 55214-2022</t>
        </is>
      </c>
      <c r="B871" t="inlineStr">
        <is>
          <t>avverkningsanmälan</t>
        </is>
      </c>
      <c r="C871" t="inlineStr">
        <is>
          <t>Föryngringsavverkning</t>
        </is>
      </c>
      <c r="D871" s="1" t="n">
        <v>44886</v>
      </c>
      <c r="E871" s="1" t="n">
        <v>46220</v>
      </c>
      <c r="F871" t="inlineStr">
        <is>
          <t>JÄMTLANDS LÄN</t>
        </is>
      </c>
      <c r="G871" t="inlineStr">
        <is>
          <t>RAGUNDA</t>
        </is>
      </c>
      <c r="H871" t="inlineStr">
        <is>
          <t>SCA</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20199-2026</t>
        </is>
      </c>
      <c r="B872" t="inlineStr">
        <is>
          <t>avverkningsanmälan</t>
        </is>
      </c>
      <c r="C872" t="inlineStr">
        <is>
          <t>Föryngringsavverkning</t>
        </is>
      </c>
      <c r="D872" s="1" t="n">
        <v>46139</v>
      </c>
      <c r="E872" s="1" t="n">
        <v>46220</v>
      </c>
      <c r="F872" t="inlineStr">
        <is>
          <t>JÄMTLANDS LÄN</t>
        </is>
      </c>
      <c r="G872" t="inlineStr">
        <is>
          <t>RAGUNDA</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20205-2026</t>
        </is>
      </c>
      <c r="B873" t="inlineStr">
        <is>
          <t>avverkningsanmälan</t>
        </is>
      </c>
      <c r="C873" t="inlineStr">
        <is>
          <t>Föryngringsavverkning</t>
        </is>
      </c>
      <c r="D873" s="1" t="n">
        <v>46139</v>
      </c>
      <c r="E873" s="1" t="n">
        <v>46220</v>
      </c>
      <c r="F873" t="inlineStr">
        <is>
          <t>JÄMTLANDS LÄN</t>
        </is>
      </c>
      <c r="G873" t="inlineStr">
        <is>
          <t>RAGUNDA</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4616-2026</t>
        </is>
      </c>
      <c r="B874" t="inlineStr">
        <is>
          <t>avverkningsanmälan</t>
        </is>
      </c>
      <c r="C874" t="inlineStr">
        <is>
          <t>Föryngringsavverkning</t>
        </is>
      </c>
      <c r="D874" s="1" t="n">
        <v>46048</v>
      </c>
      <c r="E874" s="1" t="n">
        <v>46220</v>
      </c>
      <c r="F874" t="inlineStr">
        <is>
          <t>JÄMTLANDS LÄN</t>
        </is>
      </c>
      <c r="G874" t="inlineStr">
        <is>
          <t>RAGUNDA</t>
        </is>
      </c>
      <c r="I874" t="n">
        <v>2.4</v>
      </c>
      <c r="J874" t="n">
        <v>0</v>
      </c>
      <c r="K874" t="n">
        <v>0</v>
      </c>
      <c r="L874" t="n">
        <v>0</v>
      </c>
      <c r="M874" t="n">
        <v>0</v>
      </c>
      <c r="N874" t="n">
        <v>0</v>
      </c>
      <c r="O874" t="n">
        <v>0</v>
      </c>
      <c r="P874" t="n">
        <v>0</v>
      </c>
      <c r="Q874" t="n">
        <v>0</v>
      </c>
      <c r="R874" t="n">
        <v>0</v>
      </c>
      <c r="S874" t="n">
        <v>0</v>
      </c>
      <c r="T874" t="n">
        <v>0</v>
      </c>
      <c r="U874" s="2" t="inlineStr"/>
    </row>
    <row r="875" ht="15" customHeight="1">
      <c r="A875" t="inlineStr">
        <is>
          <t>A 19981-2026</t>
        </is>
      </c>
      <c r="B875" t="inlineStr">
        <is>
          <t>avverkningsanmälan</t>
        </is>
      </c>
      <c r="C875" t="inlineStr">
        <is>
          <t>Föryngringsavverkning</t>
        </is>
      </c>
      <c r="D875" s="1" t="n">
        <v>46136</v>
      </c>
      <c r="E875" s="1" t="n">
        <v>46220</v>
      </c>
      <c r="F875" t="inlineStr">
        <is>
          <t>JÄMTLANDS LÄN</t>
        </is>
      </c>
      <c r="G875" t="inlineStr">
        <is>
          <t>RAGUNDA</t>
        </is>
      </c>
      <c r="H875" t="inlineStr">
        <is>
          <t>SCA</t>
        </is>
      </c>
      <c r="I875" t="n">
        <v>2.8</v>
      </c>
      <c r="J875" t="n">
        <v>0</v>
      </c>
      <c r="K875" t="n">
        <v>0</v>
      </c>
      <c r="L875" t="n">
        <v>0</v>
      </c>
      <c r="M875" t="n">
        <v>0</v>
      </c>
      <c r="N875" t="n">
        <v>0</v>
      </c>
      <c r="O875" t="n">
        <v>0</v>
      </c>
      <c r="P875" t="n">
        <v>0</v>
      </c>
      <c r="Q875" t="n">
        <v>0</v>
      </c>
      <c r="R875" t="n">
        <v>0</v>
      </c>
      <c r="S875" t="n">
        <v>0</v>
      </c>
      <c r="T875" t="n">
        <v>0</v>
      </c>
      <c r="U875" s="2" t="inlineStr"/>
    </row>
    <row r="876" ht="15" customHeight="1">
      <c r="A876" t="inlineStr">
        <is>
          <t>A 59492-2024</t>
        </is>
      </c>
      <c r="B876" t="inlineStr">
        <is>
          <t>avverkningsanmälan</t>
        </is>
      </c>
      <c r="C876" t="inlineStr">
        <is>
          <t>Avverkning för annat ändamål</t>
        </is>
      </c>
      <c r="D876" s="1" t="n">
        <v>45638</v>
      </c>
      <c r="E876" s="1" t="n">
        <v>46220</v>
      </c>
      <c r="F876" t="inlineStr">
        <is>
          <t>JÄMTLANDS LÄN</t>
        </is>
      </c>
      <c r="G876" t="inlineStr">
        <is>
          <t>RAGUNDA</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20206-2026</t>
        </is>
      </c>
      <c r="B877" t="inlineStr">
        <is>
          <t>avverkningsanmälan</t>
        </is>
      </c>
      <c r="C877" t="inlineStr">
        <is>
          <t>Föryngringsavverkning</t>
        </is>
      </c>
      <c r="D877" s="1" t="n">
        <v>46139</v>
      </c>
      <c r="E877" s="1" t="n">
        <v>46220</v>
      </c>
      <c r="F877" t="inlineStr">
        <is>
          <t>JÄMTLANDS LÄN</t>
        </is>
      </c>
      <c r="G877" t="inlineStr">
        <is>
          <t>RAGUNDA</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60387-2025</t>
        </is>
      </c>
      <c r="B878" t="inlineStr">
        <is>
          <t>avverkningsanmälan</t>
        </is>
      </c>
      <c r="C878" t="inlineStr">
        <is>
          <t>Föryngringsavverkning</t>
        </is>
      </c>
      <c r="D878" s="1" t="n">
        <v>45995</v>
      </c>
      <c r="E878" s="1" t="n">
        <v>46220</v>
      </c>
      <c r="F878" t="inlineStr">
        <is>
          <t>JÄMTLANDS LÄN</t>
        </is>
      </c>
      <c r="G878" t="inlineStr">
        <is>
          <t>RAGUNDA</t>
        </is>
      </c>
      <c r="I878" t="n">
        <v>8.5</v>
      </c>
      <c r="J878" t="n">
        <v>0</v>
      </c>
      <c r="K878" t="n">
        <v>0</v>
      </c>
      <c r="L878" t="n">
        <v>0</v>
      </c>
      <c r="M878" t="n">
        <v>0</v>
      </c>
      <c r="N878" t="n">
        <v>0</v>
      </c>
      <c r="O878" t="n">
        <v>0</v>
      </c>
      <c r="P878" t="n">
        <v>0</v>
      </c>
      <c r="Q878" t="n">
        <v>0</v>
      </c>
      <c r="R878" t="n">
        <v>0</v>
      </c>
      <c r="S878" t="n">
        <v>0</v>
      </c>
      <c r="T878" t="n">
        <v>0</v>
      </c>
      <c r="U878" s="2" t="inlineStr"/>
    </row>
    <row r="879" ht="15" customHeight="1">
      <c r="A879" t="inlineStr">
        <is>
          <t>A 32874-2025</t>
        </is>
      </c>
      <c r="B879" t="inlineStr">
        <is>
          <t>avverkningsanmälan</t>
        </is>
      </c>
      <c r="C879" t="inlineStr">
        <is>
          <t>Avverkning för annat ändamål</t>
        </is>
      </c>
      <c r="D879" s="1" t="n">
        <v>45839</v>
      </c>
      <c r="E879" s="1" t="n">
        <v>46220</v>
      </c>
      <c r="F879" t="inlineStr">
        <is>
          <t>JÄMTLANDS LÄN</t>
        </is>
      </c>
      <c r="G879" t="inlineStr">
        <is>
          <t>RAGUNDA</t>
        </is>
      </c>
      <c r="I879" t="n">
        <v>2.3</v>
      </c>
      <c r="J879" t="n">
        <v>0</v>
      </c>
      <c r="K879" t="n">
        <v>0</v>
      </c>
      <c r="L879" t="n">
        <v>0</v>
      </c>
      <c r="M879" t="n">
        <v>0</v>
      </c>
      <c r="N879" t="n">
        <v>0</v>
      </c>
      <c r="O879" t="n">
        <v>0</v>
      </c>
      <c r="P879" t="n">
        <v>0</v>
      </c>
      <c r="Q879" t="n">
        <v>0</v>
      </c>
      <c r="R879" t="n">
        <v>0</v>
      </c>
      <c r="S879" t="n">
        <v>0</v>
      </c>
      <c r="T879" t="n">
        <v>0</v>
      </c>
      <c r="U879" s="2" t="inlineStr"/>
    </row>
    <row r="880" ht="15" customHeight="1">
      <c r="A880" t="inlineStr">
        <is>
          <t>A 7722-2023</t>
        </is>
      </c>
      <c r="B880" t="inlineStr">
        <is>
          <t>avverkningsanmälan</t>
        </is>
      </c>
      <c r="C880" t="inlineStr">
        <is>
          <t>Föryngringsavverkning</t>
        </is>
      </c>
      <c r="D880" s="1" t="n">
        <v>44972</v>
      </c>
      <c r="E880" s="1" t="n">
        <v>46220</v>
      </c>
      <c r="F880" t="inlineStr">
        <is>
          <t>JÄMTLANDS LÄN</t>
        </is>
      </c>
      <c r="G880" t="inlineStr">
        <is>
          <t>RAGUNDA</t>
        </is>
      </c>
      <c r="H880" t="inlineStr">
        <is>
          <t>SCA</t>
        </is>
      </c>
      <c r="I880" t="n">
        <v>5.4</v>
      </c>
      <c r="J880" t="n">
        <v>0</v>
      </c>
      <c r="K880" t="n">
        <v>0</v>
      </c>
      <c r="L880" t="n">
        <v>0</v>
      </c>
      <c r="M880" t="n">
        <v>0</v>
      </c>
      <c r="N880" t="n">
        <v>0</v>
      </c>
      <c r="O880" t="n">
        <v>0</v>
      </c>
      <c r="P880" t="n">
        <v>0</v>
      </c>
      <c r="Q880" t="n">
        <v>0</v>
      </c>
      <c r="R880" t="n">
        <v>0</v>
      </c>
      <c r="S880" t="n">
        <v>0</v>
      </c>
      <c r="T880" t="n">
        <v>0</v>
      </c>
      <c r="U880" s="2" t="inlineStr"/>
    </row>
    <row r="881" ht="15" customHeight="1">
      <c r="A881" t="inlineStr">
        <is>
          <t>A 12204-2025</t>
        </is>
      </c>
      <c r="B881" t="inlineStr">
        <is>
          <t>avverkningsanmälan</t>
        </is>
      </c>
      <c r="C881" t="inlineStr">
        <is>
          <t>Föryngringsavverkning</t>
        </is>
      </c>
      <c r="D881" s="1" t="n">
        <v>45729</v>
      </c>
      <c r="E881" s="1" t="n">
        <v>46220</v>
      </c>
      <c r="F881" t="inlineStr">
        <is>
          <t>JÄMTLANDS LÄN</t>
        </is>
      </c>
      <c r="G881" t="inlineStr">
        <is>
          <t>RAGUNDA</t>
        </is>
      </c>
      <c r="H881" t="inlineStr">
        <is>
          <t>SCA</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13299-2024</t>
        </is>
      </c>
      <c r="B882" t="inlineStr">
        <is>
          <t>avverkningsanmälan</t>
        </is>
      </c>
      <c r="C882" t="inlineStr">
        <is>
          <t>Föryngringsavverkning</t>
        </is>
      </c>
      <c r="D882" s="1" t="n">
        <v>45386</v>
      </c>
      <c r="E882" s="1" t="n">
        <v>46220</v>
      </c>
      <c r="F882" t="inlineStr">
        <is>
          <t>JÄMTLANDS LÄN</t>
        </is>
      </c>
      <c r="G882" t="inlineStr">
        <is>
          <t>RAGUNDA</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15024-2022</t>
        </is>
      </c>
      <c r="B883" t="inlineStr">
        <is>
          <t>avverkningsanmälan</t>
        </is>
      </c>
      <c r="C883" t="inlineStr">
        <is>
          <t>Föryngringsavverkning</t>
        </is>
      </c>
      <c r="D883" s="1" t="n">
        <v>44657</v>
      </c>
      <c r="E883" s="1" t="n">
        <v>46220</v>
      </c>
      <c r="F883" t="inlineStr">
        <is>
          <t>JÄMTLANDS LÄN</t>
        </is>
      </c>
      <c r="G883" t="inlineStr">
        <is>
          <t>RAGUNDA</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891-2022</t>
        </is>
      </c>
      <c r="B884" t="inlineStr">
        <is>
          <t>avverkningsanmälan</t>
        </is>
      </c>
      <c r="C884" t="inlineStr">
        <is>
          <t>Föryngringsavverkning</t>
        </is>
      </c>
      <c r="D884" s="1" t="n">
        <v>44571</v>
      </c>
      <c r="E884" s="1" t="n">
        <v>46220</v>
      </c>
      <c r="F884" t="inlineStr">
        <is>
          <t>JÄMTLANDS LÄN</t>
        </is>
      </c>
      <c r="G884" t="inlineStr">
        <is>
          <t>RAGUNDA</t>
        </is>
      </c>
      <c r="I884" t="n">
        <v>1.7</v>
      </c>
      <c r="J884" t="n">
        <v>0</v>
      </c>
      <c r="K884" t="n">
        <v>0</v>
      </c>
      <c r="L884" t="n">
        <v>0</v>
      </c>
      <c r="M884" t="n">
        <v>0</v>
      </c>
      <c r="N884" t="n">
        <v>0</v>
      </c>
      <c r="O884" t="n">
        <v>0</v>
      </c>
      <c r="P884" t="n">
        <v>0</v>
      </c>
      <c r="Q884" t="n">
        <v>0</v>
      </c>
      <c r="R884" t="n">
        <v>0</v>
      </c>
      <c r="S884" t="n">
        <v>0</v>
      </c>
      <c r="T884" t="n">
        <v>0</v>
      </c>
      <c r="U884" s="2" t="inlineStr"/>
    </row>
    <row r="885" ht="15" customHeight="1">
      <c r="A885" t="inlineStr">
        <is>
          <t>A 36371-2023</t>
        </is>
      </c>
      <c r="B885" t="inlineStr">
        <is>
          <t>avverkningsanmälan</t>
        </is>
      </c>
      <c r="C885" t="inlineStr">
        <is>
          <t>Föryngringsavverkning</t>
        </is>
      </c>
      <c r="D885" s="1" t="n">
        <v>45149</v>
      </c>
      <c r="E885" s="1" t="n">
        <v>46220</v>
      </c>
      <c r="F885" t="inlineStr">
        <is>
          <t>JÄMTLANDS LÄN</t>
        </is>
      </c>
      <c r="G885" t="inlineStr">
        <is>
          <t>RAGUNDA</t>
        </is>
      </c>
      <c r="I885" t="n">
        <v>25.7</v>
      </c>
      <c r="J885" t="n">
        <v>0</v>
      </c>
      <c r="K885" t="n">
        <v>0</v>
      </c>
      <c r="L885" t="n">
        <v>0</v>
      </c>
      <c r="M885" t="n">
        <v>0</v>
      </c>
      <c r="N885" t="n">
        <v>0</v>
      </c>
      <c r="O885" t="n">
        <v>0</v>
      </c>
      <c r="P885" t="n">
        <v>0</v>
      </c>
      <c r="Q885" t="n">
        <v>0</v>
      </c>
      <c r="R885" t="n">
        <v>0</v>
      </c>
      <c r="S885" t="n">
        <v>0</v>
      </c>
      <c r="T885" t="n">
        <v>0</v>
      </c>
      <c r="U885" s="2" t="inlineStr"/>
    </row>
    <row r="886" ht="15" customHeight="1">
      <c r="A886" t="inlineStr">
        <is>
          <t>A 46546-2023</t>
        </is>
      </c>
      <c r="B886" t="inlineStr">
        <is>
          <t>avverkningsanmälan</t>
        </is>
      </c>
      <c r="C886" t="inlineStr">
        <is>
          <t>Föryngringsavverkning</t>
        </is>
      </c>
      <c r="D886" s="1" t="n">
        <v>45197</v>
      </c>
      <c r="E886" s="1" t="n">
        <v>46220</v>
      </c>
      <c r="F886" t="inlineStr">
        <is>
          <t>JÄMTLANDS LÄN</t>
        </is>
      </c>
      <c r="G886" t="inlineStr">
        <is>
          <t>RAGUNDA</t>
        </is>
      </c>
      <c r="H886" t="inlineStr">
        <is>
          <t>SCA</t>
        </is>
      </c>
      <c r="I886" t="n">
        <v>1.5</v>
      </c>
      <c r="J886" t="n">
        <v>0</v>
      </c>
      <c r="K886" t="n">
        <v>0</v>
      </c>
      <c r="L886" t="n">
        <v>0</v>
      </c>
      <c r="M886" t="n">
        <v>0</v>
      </c>
      <c r="N886" t="n">
        <v>0</v>
      </c>
      <c r="O886" t="n">
        <v>0</v>
      </c>
      <c r="P886" t="n">
        <v>0</v>
      </c>
      <c r="Q886" t="n">
        <v>0</v>
      </c>
      <c r="R886" t="n">
        <v>0</v>
      </c>
      <c r="S886" t="n">
        <v>0</v>
      </c>
      <c r="T886" t="n">
        <v>0</v>
      </c>
      <c r="U886" s="2" t="inlineStr"/>
    </row>
    <row r="887" ht="15" customHeight="1">
      <c r="A887" t="inlineStr">
        <is>
          <t>A 5357-2025</t>
        </is>
      </c>
      <c r="B887" t="inlineStr">
        <is>
          <t>avverkningsanmälan</t>
        </is>
      </c>
      <c r="C887" t="inlineStr">
        <is>
          <t>Föryngringsavverkning</t>
        </is>
      </c>
      <c r="D887" s="1" t="n">
        <v>45692</v>
      </c>
      <c r="E887" s="1" t="n">
        <v>46220</v>
      </c>
      <c r="F887" t="inlineStr">
        <is>
          <t>JÄMTLANDS LÄN</t>
        </is>
      </c>
      <c r="G887" t="inlineStr">
        <is>
          <t>RAGUNDA</t>
        </is>
      </c>
      <c r="H887" t="inlineStr">
        <is>
          <t>SCA</t>
        </is>
      </c>
      <c r="I887" t="n">
        <v>5.4</v>
      </c>
      <c r="J887" t="n">
        <v>0</v>
      </c>
      <c r="K887" t="n">
        <v>0</v>
      </c>
      <c r="L887" t="n">
        <v>0</v>
      </c>
      <c r="M887" t="n">
        <v>0</v>
      </c>
      <c r="N887" t="n">
        <v>0</v>
      </c>
      <c r="O887" t="n">
        <v>0</v>
      </c>
      <c r="P887" t="n">
        <v>0</v>
      </c>
      <c r="Q887" t="n">
        <v>0</v>
      </c>
      <c r="R887" t="n">
        <v>0</v>
      </c>
      <c r="S887" t="n">
        <v>0</v>
      </c>
      <c r="T887" t="n">
        <v>0</v>
      </c>
      <c r="U887" s="2" t="inlineStr"/>
    </row>
    <row r="888" ht="15" customHeight="1">
      <c r="A888" t="inlineStr">
        <is>
          <t>A 3018-2024</t>
        </is>
      </c>
      <c r="B888" t="inlineStr">
        <is>
          <t>avverkningsanmälan</t>
        </is>
      </c>
      <c r="C888" t="inlineStr">
        <is>
          <t>Föryngringsavverkning</t>
        </is>
      </c>
      <c r="D888" s="1" t="n">
        <v>45315</v>
      </c>
      <c r="E888" s="1" t="n">
        <v>46220</v>
      </c>
      <c r="F888" t="inlineStr">
        <is>
          <t>JÄMTLANDS LÄN</t>
        </is>
      </c>
      <c r="G888" t="inlineStr">
        <is>
          <t>RAGUNDA</t>
        </is>
      </c>
      <c r="H888" t="inlineStr">
        <is>
          <t>SCA</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44605-2024</t>
        </is>
      </c>
      <c r="B889" t="inlineStr">
        <is>
          <t>avverkningsanmälan</t>
        </is>
      </c>
      <c r="C889" t="inlineStr">
        <is>
          <t>Föryngringsavverkning</t>
        </is>
      </c>
      <c r="D889" s="1" t="n">
        <v>45574</v>
      </c>
      <c r="E889" s="1" t="n">
        <v>46220</v>
      </c>
      <c r="F889" t="inlineStr">
        <is>
          <t>JÄMTLANDS LÄN</t>
        </is>
      </c>
      <c r="G889" t="inlineStr">
        <is>
          <t>RAGUNDA</t>
        </is>
      </c>
      <c r="H889" t="inlineStr">
        <is>
          <t>SCA</t>
        </is>
      </c>
      <c r="I889" t="n">
        <v>2.6</v>
      </c>
      <c r="J889" t="n">
        <v>0</v>
      </c>
      <c r="K889" t="n">
        <v>0</v>
      </c>
      <c r="L889" t="n">
        <v>0</v>
      </c>
      <c r="M889" t="n">
        <v>0</v>
      </c>
      <c r="N889" t="n">
        <v>0</v>
      </c>
      <c r="O889" t="n">
        <v>0</v>
      </c>
      <c r="P889" t="n">
        <v>0</v>
      </c>
      <c r="Q889" t="n">
        <v>0</v>
      </c>
      <c r="R889" t="n">
        <v>0</v>
      </c>
      <c r="S889" t="n">
        <v>0</v>
      </c>
      <c r="T889" t="n">
        <v>0</v>
      </c>
      <c r="U889" s="2" t="inlineStr"/>
    </row>
    <row r="890" ht="15" customHeight="1">
      <c r="A890" t="inlineStr">
        <is>
          <t>A 20773-2024</t>
        </is>
      </c>
      <c r="B890" t="inlineStr">
        <is>
          <t>avverkningsanmälan</t>
        </is>
      </c>
      <c r="C890" t="inlineStr">
        <is>
          <t>Avverkning för att bevara och utveckla /försöksver</t>
        </is>
      </c>
      <c r="D890" s="1" t="n">
        <v>45436</v>
      </c>
      <c r="E890" s="1" t="n">
        <v>46220</v>
      </c>
      <c r="F890" t="inlineStr">
        <is>
          <t>JÄMTLANDS LÄN</t>
        </is>
      </c>
      <c r="G890" t="inlineStr">
        <is>
          <t>RAGUNDA</t>
        </is>
      </c>
      <c r="H890" t="inlineStr">
        <is>
          <t>SCA</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34323-2023</t>
        </is>
      </c>
      <c r="B891" t="inlineStr">
        <is>
          <t>avverkningsanmälan</t>
        </is>
      </c>
      <c r="C891" t="inlineStr">
        <is>
          <t>Avverkning för att bevara och utveckla /försöksver</t>
        </is>
      </c>
      <c r="D891" s="1" t="n">
        <v>45138</v>
      </c>
      <c r="E891" s="1" t="n">
        <v>46220</v>
      </c>
      <c r="F891" t="inlineStr">
        <is>
          <t>JÄMTLANDS LÄN</t>
        </is>
      </c>
      <c r="G891" t="inlineStr">
        <is>
          <t>RAGUNDA</t>
        </is>
      </c>
      <c r="H891" t="inlineStr">
        <is>
          <t>SCA</t>
        </is>
      </c>
      <c r="I891" t="n">
        <v>2.8</v>
      </c>
      <c r="J891" t="n">
        <v>0</v>
      </c>
      <c r="K891" t="n">
        <v>0</v>
      </c>
      <c r="L891" t="n">
        <v>0</v>
      </c>
      <c r="M891" t="n">
        <v>0</v>
      </c>
      <c r="N891" t="n">
        <v>0</v>
      </c>
      <c r="O891" t="n">
        <v>0</v>
      </c>
      <c r="P891" t="n">
        <v>0</v>
      </c>
      <c r="Q891" t="n">
        <v>0</v>
      </c>
      <c r="R891" t="n">
        <v>0</v>
      </c>
      <c r="S891" t="n">
        <v>0</v>
      </c>
      <c r="T891" t="n">
        <v>0</v>
      </c>
      <c r="U891" s="2" t="inlineStr"/>
    </row>
    <row r="892" ht="15" customHeight="1">
      <c r="A892" t="inlineStr">
        <is>
          <t>A 50486-2023</t>
        </is>
      </c>
      <c r="B892" t="inlineStr">
        <is>
          <t>avverkningsanmälan</t>
        </is>
      </c>
      <c r="C892" t="inlineStr">
        <is>
          <t>Föryngringsavverkning</t>
        </is>
      </c>
      <c r="D892" s="1" t="n">
        <v>45216</v>
      </c>
      <c r="E892" s="1" t="n">
        <v>46220</v>
      </c>
      <c r="F892" t="inlineStr">
        <is>
          <t>JÄMTLANDS LÄN</t>
        </is>
      </c>
      <c r="G892" t="inlineStr">
        <is>
          <t>RAGUNDA</t>
        </is>
      </c>
      <c r="I892" t="n">
        <v>8.699999999999999</v>
      </c>
      <c r="J892" t="n">
        <v>0</v>
      </c>
      <c r="K892" t="n">
        <v>0</v>
      </c>
      <c r="L892" t="n">
        <v>0</v>
      </c>
      <c r="M892" t="n">
        <v>0</v>
      </c>
      <c r="N892" t="n">
        <v>0</v>
      </c>
      <c r="O892" t="n">
        <v>0</v>
      </c>
      <c r="P892" t="n">
        <v>0</v>
      </c>
      <c r="Q892" t="n">
        <v>0</v>
      </c>
      <c r="R892" t="n">
        <v>0</v>
      </c>
      <c r="S892" t="n">
        <v>0</v>
      </c>
      <c r="T892" t="n">
        <v>0</v>
      </c>
      <c r="U892" s="2" t="inlineStr"/>
    </row>
    <row r="893" ht="15" customHeight="1">
      <c r="A893" t="inlineStr">
        <is>
          <t>A 51538-2022</t>
        </is>
      </c>
      <c r="B893" t="inlineStr">
        <is>
          <t>avverkningsanmälan</t>
        </is>
      </c>
      <c r="C893" t="inlineStr">
        <is>
          <t>Föryngringsavverkning</t>
        </is>
      </c>
      <c r="D893" s="1" t="n">
        <v>44869</v>
      </c>
      <c r="E893" s="1" t="n">
        <v>46220</v>
      </c>
      <c r="F893" t="inlineStr">
        <is>
          <t>JÄMTLANDS LÄN</t>
        </is>
      </c>
      <c r="G893" t="inlineStr">
        <is>
          <t>RAGUNDA</t>
        </is>
      </c>
      <c r="I893" t="n">
        <v>6.8</v>
      </c>
      <c r="J893" t="n">
        <v>0</v>
      </c>
      <c r="K893" t="n">
        <v>0</v>
      </c>
      <c r="L893" t="n">
        <v>0</v>
      </c>
      <c r="M893" t="n">
        <v>0</v>
      </c>
      <c r="N893" t="n">
        <v>0</v>
      </c>
      <c r="O893" t="n">
        <v>0</v>
      </c>
      <c r="P893" t="n">
        <v>0</v>
      </c>
      <c r="Q893" t="n">
        <v>0</v>
      </c>
      <c r="R893" t="n">
        <v>0</v>
      </c>
      <c r="S893" t="n">
        <v>0</v>
      </c>
      <c r="T893" t="n">
        <v>0</v>
      </c>
      <c r="U893" s="2" t="inlineStr"/>
    </row>
    <row r="894" ht="15" customHeight="1">
      <c r="A894" t="inlineStr">
        <is>
          <t>A 50503-2024</t>
        </is>
      </c>
      <c r="B894" t="inlineStr">
        <is>
          <t>avverkningsanmälan</t>
        </is>
      </c>
      <c r="C894" t="inlineStr">
        <is>
          <t>Avverkning för att bevara och utveckla /försöksver</t>
        </is>
      </c>
      <c r="D894" s="1" t="n">
        <v>45601</v>
      </c>
      <c r="E894" s="1" t="n">
        <v>46220</v>
      </c>
      <c r="F894" t="inlineStr">
        <is>
          <t>JÄMTLANDS LÄN</t>
        </is>
      </c>
      <c r="G894" t="inlineStr">
        <is>
          <t>RAGUNDA</t>
        </is>
      </c>
      <c r="H894" t="inlineStr">
        <is>
          <t>SCA</t>
        </is>
      </c>
      <c r="I894" t="n">
        <v>5.2</v>
      </c>
      <c r="J894" t="n">
        <v>0</v>
      </c>
      <c r="K894" t="n">
        <v>0</v>
      </c>
      <c r="L894" t="n">
        <v>0</v>
      </c>
      <c r="M894" t="n">
        <v>0</v>
      </c>
      <c r="N894" t="n">
        <v>0</v>
      </c>
      <c r="O894" t="n">
        <v>0</v>
      </c>
      <c r="P894" t="n">
        <v>0</v>
      </c>
      <c r="Q894" t="n">
        <v>0</v>
      </c>
      <c r="R894" t="n">
        <v>0</v>
      </c>
      <c r="S894" t="n">
        <v>0</v>
      </c>
      <c r="T894" t="n">
        <v>0</v>
      </c>
      <c r="U894" s="2" t="inlineStr"/>
    </row>
    <row r="895" ht="15" customHeight="1">
      <c r="A895" t="inlineStr">
        <is>
          <t>A 10610-2024</t>
        </is>
      </c>
      <c r="B895" t="inlineStr">
        <is>
          <t>avverkningsanmälan</t>
        </is>
      </c>
      <c r="C895" t="inlineStr">
        <is>
          <t>Föryngringsavverkning</t>
        </is>
      </c>
      <c r="D895" s="1" t="n">
        <v>45367</v>
      </c>
      <c r="E895" s="1" t="n">
        <v>46220</v>
      </c>
      <c r="F895" t="inlineStr">
        <is>
          <t>JÄMTLANDS LÄN</t>
        </is>
      </c>
      <c r="G895" t="inlineStr">
        <is>
          <t>RAGUNDA</t>
        </is>
      </c>
      <c r="H895" t="inlineStr">
        <is>
          <t>SCA</t>
        </is>
      </c>
      <c r="I895" t="n">
        <v>8.699999999999999</v>
      </c>
      <c r="J895" t="n">
        <v>0</v>
      </c>
      <c r="K895" t="n">
        <v>0</v>
      </c>
      <c r="L895" t="n">
        <v>0</v>
      </c>
      <c r="M895" t="n">
        <v>0</v>
      </c>
      <c r="N895" t="n">
        <v>0</v>
      </c>
      <c r="O895" t="n">
        <v>0</v>
      </c>
      <c r="P895" t="n">
        <v>0</v>
      </c>
      <c r="Q895" t="n">
        <v>0</v>
      </c>
      <c r="R895" t="n">
        <v>0</v>
      </c>
      <c r="S895" t="n">
        <v>0</v>
      </c>
      <c r="T895" t="n">
        <v>0</v>
      </c>
      <c r="U895" s="2" t="inlineStr"/>
    </row>
    <row r="896" ht="15" customHeight="1">
      <c r="A896" t="inlineStr">
        <is>
          <t>A 10706-2023</t>
        </is>
      </c>
      <c r="B896" t="inlineStr">
        <is>
          <t>avverkningsanmälan</t>
        </is>
      </c>
      <c r="C896" t="inlineStr">
        <is>
          <t>Föryngringsavverkning</t>
        </is>
      </c>
      <c r="D896" s="1" t="n">
        <v>44984</v>
      </c>
      <c r="E896" s="1" t="n">
        <v>46220</v>
      </c>
      <c r="F896" t="inlineStr">
        <is>
          <t>JÄMTLANDS LÄN</t>
        </is>
      </c>
      <c r="G896" t="inlineStr">
        <is>
          <t>RAGUNDA</t>
        </is>
      </c>
      <c r="I896" t="n">
        <v>7.7</v>
      </c>
      <c r="J896" t="n">
        <v>0</v>
      </c>
      <c r="K896" t="n">
        <v>0</v>
      </c>
      <c r="L896" t="n">
        <v>0</v>
      </c>
      <c r="M896" t="n">
        <v>0</v>
      </c>
      <c r="N896" t="n">
        <v>0</v>
      </c>
      <c r="O896" t="n">
        <v>0</v>
      </c>
      <c r="P896" t="n">
        <v>0</v>
      </c>
      <c r="Q896" t="n">
        <v>0</v>
      </c>
      <c r="R896" t="n">
        <v>0</v>
      </c>
      <c r="S896" t="n">
        <v>0</v>
      </c>
      <c r="T896" t="n">
        <v>0</v>
      </c>
      <c r="U896" s="2" t="inlineStr"/>
    </row>
    <row r="897" ht="15" customHeight="1">
      <c r="A897" t="inlineStr">
        <is>
          <t>A 55633-2025</t>
        </is>
      </c>
      <c r="B897" t="inlineStr">
        <is>
          <t>avverkningsanmälan</t>
        </is>
      </c>
      <c r="C897" t="inlineStr">
        <is>
          <t>Föryngringsavverkning</t>
        </is>
      </c>
      <c r="D897" s="1" t="n">
        <v>45972</v>
      </c>
      <c r="E897" s="1" t="n">
        <v>46220</v>
      </c>
      <c r="F897" t="inlineStr">
        <is>
          <t>JÄMTLANDS LÄN</t>
        </is>
      </c>
      <c r="G897" t="inlineStr">
        <is>
          <t>RAGUNDA</t>
        </is>
      </c>
      <c r="H897" t="inlineStr">
        <is>
          <t>SCA</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16250-2022</t>
        </is>
      </c>
      <c r="B898" t="inlineStr">
        <is>
          <t>avverkningsanmälan</t>
        </is>
      </c>
      <c r="C898" t="inlineStr">
        <is>
          <t>Föryngringsavverkning</t>
        </is>
      </c>
      <c r="D898" s="1" t="n">
        <v>44670</v>
      </c>
      <c r="E898" s="1" t="n">
        <v>46220</v>
      </c>
      <c r="F898" t="inlineStr">
        <is>
          <t>JÄMTLANDS LÄN</t>
        </is>
      </c>
      <c r="G898" t="inlineStr">
        <is>
          <t>RAGUNDA</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60663-2022</t>
        </is>
      </c>
      <c r="B899" t="inlineStr">
        <is>
          <t>avverkningsanmälan</t>
        </is>
      </c>
      <c r="C899" t="inlineStr">
        <is>
          <t>Avverkning för att bevara och utveckla /försöksver</t>
        </is>
      </c>
      <c r="D899" s="1" t="n">
        <v>44911</v>
      </c>
      <c r="E899" s="1" t="n">
        <v>46220</v>
      </c>
      <c r="F899" t="inlineStr">
        <is>
          <t>JÄMTLANDS LÄN</t>
        </is>
      </c>
      <c r="G899" t="inlineStr">
        <is>
          <t>RAGUNDA</t>
        </is>
      </c>
      <c r="H899" t="inlineStr">
        <is>
          <t>SCA</t>
        </is>
      </c>
      <c r="I899" t="n">
        <v>3.3</v>
      </c>
      <c r="J899" t="n">
        <v>0</v>
      </c>
      <c r="K899" t="n">
        <v>0</v>
      </c>
      <c r="L899" t="n">
        <v>0</v>
      </c>
      <c r="M899" t="n">
        <v>0</v>
      </c>
      <c r="N899" t="n">
        <v>0</v>
      </c>
      <c r="O899" t="n">
        <v>0</v>
      </c>
      <c r="P899" t="n">
        <v>0</v>
      </c>
      <c r="Q899" t="n">
        <v>0</v>
      </c>
      <c r="R899" t="n">
        <v>0</v>
      </c>
      <c r="S899" t="n">
        <v>0</v>
      </c>
      <c r="T899" t="n">
        <v>0</v>
      </c>
      <c r="U899" s="2" t="inlineStr"/>
    </row>
    <row r="900" ht="15" customHeight="1">
      <c r="A900" t="inlineStr">
        <is>
          <t>A 27777-2022</t>
        </is>
      </c>
      <c r="B900" t="inlineStr">
        <is>
          <t>avverkningsanmälan</t>
        </is>
      </c>
      <c r="C900" t="inlineStr">
        <is>
          <t>Föryngringsavverkning</t>
        </is>
      </c>
      <c r="D900" s="1" t="n">
        <v>44743</v>
      </c>
      <c r="E900" s="1" t="n">
        <v>46220</v>
      </c>
      <c r="F900" t="inlineStr">
        <is>
          <t>JÄMTLANDS LÄN</t>
        </is>
      </c>
      <c r="G900" t="inlineStr">
        <is>
          <t>RAGUNDA</t>
        </is>
      </c>
      <c r="I900" t="n">
        <v>1.5</v>
      </c>
      <c r="J900" t="n">
        <v>0</v>
      </c>
      <c r="K900" t="n">
        <v>0</v>
      </c>
      <c r="L900" t="n">
        <v>0</v>
      </c>
      <c r="M900" t="n">
        <v>0</v>
      </c>
      <c r="N900" t="n">
        <v>0</v>
      </c>
      <c r="O900" t="n">
        <v>0</v>
      </c>
      <c r="P900" t="n">
        <v>0</v>
      </c>
      <c r="Q900" t="n">
        <v>0</v>
      </c>
      <c r="R900" t="n">
        <v>0</v>
      </c>
      <c r="S900" t="n">
        <v>0</v>
      </c>
      <c r="T900" t="n">
        <v>0</v>
      </c>
      <c r="U900" s="2" t="inlineStr"/>
    </row>
    <row r="901" ht="15" customHeight="1">
      <c r="A901" t="inlineStr">
        <is>
          <t>A 55671-2025</t>
        </is>
      </c>
      <c r="B901" t="inlineStr">
        <is>
          <t>avverkningsanmälan</t>
        </is>
      </c>
      <c r="C901" t="inlineStr">
        <is>
          <t>Föryngringsavverkning</t>
        </is>
      </c>
      <c r="D901" s="1" t="n">
        <v>45972</v>
      </c>
      <c r="E901" s="1" t="n">
        <v>46220</v>
      </c>
      <c r="F901" t="inlineStr">
        <is>
          <t>JÄMTLANDS LÄN</t>
        </is>
      </c>
      <c r="G901" t="inlineStr">
        <is>
          <t>RAGUNDA</t>
        </is>
      </c>
      <c r="H901" t="inlineStr">
        <is>
          <t>SCA</t>
        </is>
      </c>
      <c r="I901" t="n">
        <v>4.1</v>
      </c>
      <c r="J901" t="n">
        <v>0</v>
      </c>
      <c r="K901" t="n">
        <v>0</v>
      </c>
      <c r="L901" t="n">
        <v>0</v>
      </c>
      <c r="M901" t="n">
        <v>0</v>
      </c>
      <c r="N901" t="n">
        <v>0</v>
      </c>
      <c r="O901" t="n">
        <v>0</v>
      </c>
      <c r="P901" t="n">
        <v>0</v>
      </c>
      <c r="Q901" t="n">
        <v>0</v>
      </c>
      <c r="R901" t="n">
        <v>0</v>
      </c>
      <c r="S901" t="n">
        <v>0</v>
      </c>
      <c r="T901" t="n">
        <v>0</v>
      </c>
      <c r="U901" s="2" t="inlineStr"/>
    </row>
    <row r="902" ht="15" customHeight="1">
      <c r="A902" t="inlineStr">
        <is>
          <t>A 53935-2022</t>
        </is>
      </c>
      <c r="B902" t="inlineStr">
        <is>
          <t>avverkningsanmälan</t>
        </is>
      </c>
      <c r="C902" t="inlineStr">
        <is>
          <t>Avverkning för att bevara och utveckla /försöksver</t>
        </is>
      </c>
      <c r="D902" s="1" t="n">
        <v>44880</v>
      </c>
      <c r="E902" s="1" t="n">
        <v>46220</v>
      </c>
      <c r="F902" t="inlineStr">
        <is>
          <t>JÄMTLANDS LÄN</t>
        </is>
      </c>
      <c r="G902" t="inlineStr">
        <is>
          <t>RAGUNDA</t>
        </is>
      </c>
      <c r="H902" t="inlineStr">
        <is>
          <t>SCA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41262-2021</t>
        </is>
      </c>
      <c r="B903" t="inlineStr">
        <is>
          <t>avverkningsanmälan</t>
        </is>
      </c>
      <c r="C903" t="inlineStr">
        <is>
          <t>Avverkning för annat ändamål</t>
        </is>
      </c>
      <c r="D903" s="1" t="n">
        <v>44424</v>
      </c>
      <c r="E903" s="1" t="n">
        <v>46220</v>
      </c>
      <c r="F903" t="inlineStr">
        <is>
          <t>JÄMTLANDS LÄN</t>
        </is>
      </c>
      <c r="G903" t="inlineStr">
        <is>
          <t>RAGUNDA</t>
        </is>
      </c>
      <c r="I903" t="n">
        <v>2.6</v>
      </c>
      <c r="J903" t="n">
        <v>0</v>
      </c>
      <c r="K903" t="n">
        <v>0</v>
      </c>
      <c r="L903" t="n">
        <v>0</v>
      </c>
      <c r="M903" t="n">
        <v>0</v>
      </c>
      <c r="N903" t="n">
        <v>0</v>
      </c>
      <c r="O903" t="n">
        <v>0</v>
      </c>
      <c r="P903" t="n">
        <v>0</v>
      </c>
      <c r="Q903" t="n">
        <v>0</v>
      </c>
      <c r="R903" t="n">
        <v>0</v>
      </c>
      <c r="S903" t="n">
        <v>0</v>
      </c>
      <c r="T903" t="n">
        <v>0</v>
      </c>
      <c r="U903" s="2" t="inlineStr"/>
    </row>
    <row r="904" ht="15" customHeight="1">
      <c r="A904" t="inlineStr">
        <is>
          <t>A 4015-2022</t>
        </is>
      </c>
      <c r="B904" t="inlineStr">
        <is>
          <t>avverkningsanmälan</t>
        </is>
      </c>
      <c r="C904" t="inlineStr">
        <is>
          <t>Föryngringsavverkning</t>
        </is>
      </c>
      <c r="D904" s="1" t="n">
        <v>44587</v>
      </c>
      <c r="E904" s="1" t="n">
        <v>46220</v>
      </c>
      <c r="F904" t="inlineStr">
        <is>
          <t>JÄMTLANDS LÄN</t>
        </is>
      </c>
      <c r="G904" t="inlineStr">
        <is>
          <t>RAGUNDA</t>
        </is>
      </c>
      <c r="I904" t="n">
        <v>3.9</v>
      </c>
      <c r="J904" t="n">
        <v>0</v>
      </c>
      <c r="K904" t="n">
        <v>0</v>
      </c>
      <c r="L904" t="n">
        <v>0</v>
      </c>
      <c r="M904" t="n">
        <v>0</v>
      </c>
      <c r="N904" t="n">
        <v>0</v>
      </c>
      <c r="O904" t="n">
        <v>0</v>
      </c>
      <c r="P904" t="n">
        <v>0</v>
      </c>
      <c r="Q904" t="n">
        <v>0</v>
      </c>
      <c r="R904" t="n">
        <v>0</v>
      </c>
      <c r="S904" t="n">
        <v>0</v>
      </c>
      <c r="T904" t="n">
        <v>0</v>
      </c>
      <c r="U904" s="2" t="inlineStr"/>
    </row>
    <row r="905" ht="15" customHeight="1">
      <c r="A905" t="inlineStr">
        <is>
          <t>A 55547-2025</t>
        </is>
      </c>
      <c r="B905" t="inlineStr">
        <is>
          <t>avverkningsanmälan</t>
        </is>
      </c>
      <c r="C905" t="inlineStr">
        <is>
          <t>Föryngringsavverkning</t>
        </is>
      </c>
      <c r="D905" s="1" t="n">
        <v>45971</v>
      </c>
      <c r="E905" s="1" t="n">
        <v>46220</v>
      </c>
      <c r="F905" t="inlineStr">
        <is>
          <t>JÄMTLANDS LÄN</t>
        </is>
      </c>
      <c r="G905" t="inlineStr">
        <is>
          <t>RAGUNDA</t>
        </is>
      </c>
      <c r="H905" t="inlineStr">
        <is>
          <t>SCA</t>
        </is>
      </c>
      <c r="I905" t="n">
        <v>4.1</v>
      </c>
      <c r="J905" t="n">
        <v>0</v>
      </c>
      <c r="K905" t="n">
        <v>0</v>
      </c>
      <c r="L905" t="n">
        <v>0</v>
      </c>
      <c r="M905" t="n">
        <v>0</v>
      </c>
      <c r="N905" t="n">
        <v>0</v>
      </c>
      <c r="O905" t="n">
        <v>0</v>
      </c>
      <c r="P905" t="n">
        <v>0</v>
      </c>
      <c r="Q905" t="n">
        <v>0</v>
      </c>
      <c r="R905" t="n">
        <v>0</v>
      </c>
      <c r="S905" t="n">
        <v>0</v>
      </c>
      <c r="T905" t="n">
        <v>0</v>
      </c>
      <c r="U905" s="2" t="inlineStr"/>
    </row>
    <row r="906" ht="15" customHeight="1">
      <c r="A906" t="inlineStr">
        <is>
          <t>A 8416-2023</t>
        </is>
      </c>
      <c r="B906" t="inlineStr">
        <is>
          <t>avverkningsanmälan</t>
        </is>
      </c>
      <c r="C906" t="inlineStr">
        <is>
          <t>Föryngringsavverkning</t>
        </is>
      </c>
      <c r="D906" s="1" t="n">
        <v>44977</v>
      </c>
      <c r="E906" s="1" t="n">
        <v>46220</v>
      </c>
      <c r="F906" t="inlineStr">
        <is>
          <t>JÄMTLANDS LÄN</t>
        </is>
      </c>
      <c r="G906" t="inlineStr">
        <is>
          <t>RAGUNDA</t>
        </is>
      </c>
      <c r="I906" t="n">
        <v>0.7</v>
      </c>
      <c r="J906" t="n">
        <v>0</v>
      </c>
      <c r="K906" t="n">
        <v>0</v>
      </c>
      <c r="L906" t="n">
        <v>0</v>
      </c>
      <c r="M906" t="n">
        <v>0</v>
      </c>
      <c r="N906" t="n">
        <v>0</v>
      </c>
      <c r="O906" t="n">
        <v>0</v>
      </c>
      <c r="P906" t="n">
        <v>0</v>
      </c>
      <c r="Q906" t="n">
        <v>0</v>
      </c>
      <c r="R906" t="n">
        <v>0</v>
      </c>
      <c r="S906" t="n">
        <v>0</v>
      </c>
      <c r="T906" t="n">
        <v>0</v>
      </c>
      <c r="U906" s="2" t="inlineStr"/>
    </row>
    <row r="907" ht="15" customHeight="1">
      <c r="A907" t="inlineStr">
        <is>
          <t>A 26177-2026</t>
        </is>
      </c>
      <c r="B907" t="inlineStr">
        <is>
          <t>avverkningsanmälan</t>
        </is>
      </c>
      <c r="C907" t="inlineStr">
        <is>
          <t>Föryngringsavverkning</t>
        </is>
      </c>
      <c r="D907" s="1" t="n">
        <v>46182</v>
      </c>
      <c r="E907" s="1" t="n">
        <v>46220</v>
      </c>
      <c r="F907" t="inlineStr">
        <is>
          <t>JÄMTLANDS LÄN</t>
        </is>
      </c>
      <c r="G907" t="inlineStr">
        <is>
          <t>RAGUNDA</t>
        </is>
      </c>
      <c r="H907" t="inlineStr">
        <is>
          <t>SCA</t>
        </is>
      </c>
      <c r="I907" t="n">
        <v>2.6</v>
      </c>
      <c r="J907" t="n">
        <v>0</v>
      </c>
      <c r="K907" t="n">
        <v>0</v>
      </c>
      <c r="L907" t="n">
        <v>0</v>
      </c>
      <c r="M907" t="n">
        <v>0</v>
      </c>
      <c r="N907" t="n">
        <v>0</v>
      </c>
      <c r="O907" t="n">
        <v>0</v>
      </c>
      <c r="P907" t="n">
        <v>0</v>
      </c>
      <c r="Q907" t="n">
        <v>0</v>
      </c>
      <c r="R907" t="n">
        <v>0</v>
      </c>
      <c r="S907" t="n">
        <v>0</v>
      </c>
      <c r="T907" t="n">
        <v>0</v>
      </c>
      <c r="U907" s="2" t="inlineStr"/>
    </row>
    <row r="908" ht="15" customHeight="1">
      <c r="A908" t="inlineStr">
        <is>
          <t>A 45253-2023</t>
        </is>
      </c>
      <c r="B908" t="inlineStr">
        <is>
          <t>avverkningsanmälan</t>
        </is>
      </c>
      <c r="C908" t="inlineStr">
        <is>
          <t>Föryngringsavverkning</t>
        </is>
      </c>
      <c r="D908" s="1" t="n">
        <v>45187</v>
      </c>
      <c r="E908" s="1" t="n">
        <v>46220</v>
      </c>
      <c r="F908" t="inlineStr">
        <is>
          <t>JÄMTLANDS LÄN</t>
        </is>
      </c>
      <c r="G908" t="inlineStr">
        <is>
          <t>RAGUNDA</t>
        </is>
      </c>
      <c r="I908" t="n">
        <v>3.3</v>
      </c>
      <c r="J908" t="n">
        <v>0</v>
      </c>
      <c r="K908" t="n">
        <v>0</v>
      </c>
      <c r="L908" t="n">
        <v>0</v>
      </c>
      <c r="M908" t="n">
        <v>0</v>
      </c>
      <c r="N908" t="n">
        <v>0</v>
      </c>
      <c r="O908" t="n">
        <v>0</v>
      </c>
      <c r="P908" t="n">
        <v>0</v>
      </c>
      <c r="Q908" t="n">
        <v>0</v>
      </c>
      <c r="R908" t="n">
        <v>0</v>
      </c>
      <c r="S908" t="n">
        <v>0</v>
      </c>
      <c r="T908" t="n">
        <v>0</v>
      </c>
      <c r="U908" s="2" t="inlineStr"/>
    </row>
    <row r="909" ht="15" customHeight="1">
      <c r="A909" t="inlineStr">
        <is>
          <t>A 14369-2024</t>
        </is>
      </c>
      <c r="B909" t="inlineStr">
        <is>
          <t>avverkningsanmälan</t>
        </is>
      </c>
      <c r="C909" t="inlineStr">
        <is>
          <t>Avverkning för att bevara och utveckla /försöksver</t>
        </is>
      </c>
      <c r="D909" s="1" t="n">
        <v>45393</v>
      </c>
      <c r="E909" s="1" t="n">
        <v>46220</v>
      </c>
      <c r="F909" t="inlineStr">
        <is>
          <t>JÄMTLANDS LÄN</t>
        </is>
      </c>
      <c r="G909" t="inlineStr">
        <is>
          <t>RAGUNDA</t>
        </is>
      </c>
      <c r="H909" t="inlineStr">
        <is>
          <t>Naturvårdsverket</t>
        </is>
      </c>
      <c r="I909" t="n">
        <v>1.8</v>
      </c>
      <c r="J909" t="n">
        <v>0</v>
      </c>
      <c r="K909" t="n">
        <v>0</v>
      </c>
      <c r="L909" t="n">
        <v>0</v>
      </c>
      <c r="M909" t="n">
        <v>0</v>
      </c>
      <c r="N909" t="n">
        <v>0</v>
      </c>
      <c r="O909" t="n">
        <v>0</v>
      </c>
      <c r="P909" t="n">
        <v>0</v>
      </c>
      <c r="Q909" t="n">
        <v>0</v>
      </c>
      <c r="R909" t="n">
        <v>0</v>
      </c>
      <c r="S909" t="n">
        <v>0</v>
      </c>
      <c r="T909" t="n">
        <v>0</v>
      </c>
      <c r="U909" s="2" t="inlineStr"/>
    </row>
    <row r="910" ht="15" customHeight="1">
      <c r="A910" t="inlineStr">
        <is>
          <t>A 53757-2024</t>
        </is>
      </c>
      <c r="B910" t="inlineStr">
        <is>
          <t>avverkningsanmälan</t>
        </is>
      </c>
      <c r="C910" t="inlineStr">
        <is>
          <t>Föryngringsavverkning</t>
        </is>
      </c>
      <c r="D910" s="1" t="n">
        <v>45615</v>
      </c>
      <c r="E910" s="1" t="n">
        <v>46220</v>
      </c>
      <c r="F910" t="inlineStr">
        <is>
          <t>JÄMTLANDS LÄN</t>
        </is>
      </c>
      <c r="G910" t="inlineStr">
        <is>
          <t>RAGUNDA</t>
        </is>
      </c>
      <c r="I910" t="n">
        <v>2</v>
      </c>
      <c r="J910" t="n">
        <v>0</v>
      </c>
      <c r="K910" t="n">
        <v>0</v>
      </c>
      <c r="L910" t="n">
        <v>0</v>
      </c>
      <c r="M910" t="n">
        <v>0</v>
      </c>
      <c r="N910" t="n">
        <v>0</v>
      </c>
      <c r="O910" t="n">
        <v>0</v>
      </c>
      <c r="P910" t="n">
        <v>0</v>
      </c>
      <c r="Q910" t="n">
        <v>0</v>
      </c>
      <c r="R910" t="n">
        <v>0</v>
      </c>
      <c r="S910" t="n">
        <v>0</v>
      </c>
      <c r="T910" t="n">
        <v>0</v>
      </c>
      <c r="U910" s="2" t="inlineStr"/>
    </row>
    <row r="911" ht="15" customHeight="1">
      <c r="A911" t="inlineStr">
        <is>
          <t>A 55797-2025</t>
        </is>
      </c>
      <c r="B911" t="inlineStr">
        <is>
          <t>avverkningsanmälan</t>
        </is>
      </c>
      <c r="C911" t="inlineStr">
        <is>
          <t>Föryngringsavverkning</t>
        </is>
      </c>
      <c r="D911" s="1" t="n">
        <v>45972</v>
      </c>
      <c r="E911" s="1" t="n">
        <v>46220</v>
      </c>
      <c r="F911" t="inlineStr">
        <is>
          <t>JÄMTLANDS LÄN</t>
        </is>
      </c>
      <c r="G911" t="inlineStr">
        <is>
          <t>RAGUNDA</t>
        </is>
      </c>
      <c r="H911" t="inlineStr">
        <is>
          <t>SCA</t>
        </is>
      </c>
      <c r="I911" t="n">
        <v>4.1</v>
      </c>
      <c r="J911" t="n">
        <v>0</v>
      </c>
      <c r="K911" t="n">
        <v>0</v>
      </c>
      <c r="L911" t="n">
        <v>0</v>
      </c>
      <c r="M911" t="n">
        <v>0</v>
      </c>
      <c r="N911" t="n">
        <v>0</v>
      </c>
      <c r="O911" t="n">
        <v>0</v>
      </c>
      <c r="P911" t="n">
        <v>0</v>
      </c>
      <c r="Q911" t="n">
        <v>0</v>
      </c>
      <c r="R911" t="n">
        <v>0</v>
      </c>
      <c r="S911" t="n">
        <v>0</v>
      </c>
      <c r="T911" t="n">
        <v>0</v>
      </c>
      <c r="U911" s="2" t="inlineStr"/>
    </row>
    <row r="912" ht="15" customHeight="1">
      <c r="A912" t="inlineStr">
        <is>
          <t>A 182-2023</t>
        </is>
      </c>
      <c r="B912" t="inlineStr">
        <is>
          <t>avverkningsanmälan</t>
        </is>
      </c>
      <c r="C912" t="inlineStr">
        <is>
          <t>Avverkning för annat ändamål</t>
        </is>
      </c>
      <c r="D912" s="1" t="n">
        <v>44922</v>
      </c>
      <c r="E912" s="1" t="n">
        <v>46220</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6490-2022</t>
        </is>
      </c>
      <c r="B913" t="inlineStr">
        <is>
          <t>avverkningsanmälan</t>
        </is>
      </c>
      <c r="C913" t="inlineStr">
        <is>
          <t>Föryngringsavverkning</t>
        </is>
      </c>
      <c r="D913" s="1" t="n">
        <v>44601</v>
      </c>
      <c r="E913" s="1" t="n">
        <v>46220</v>
      </c>
      <c r="F913" t="inlineStr">
        <is>
          <t>JÄMTLANDS LÄN</t>
        </is>
      </c>
      <c r="G913" t="inlineStr">
        <is>
          <t>RAGUNDA</t>
        </is>
      </c>
      <c r="I913" t="n">
        <v>3.8</v>
      </c>
      <c r="J913" t="n">
        <v>0</v>
      </c>
      <c r="K913" t="n">
        <v>0</v>
      </c>
      <c r="L913" t="n">
        <v>0</v>
      </c>
      <c r="M913" t="n">
        <v>0</v>
      </c>
      <c r="N913" t="n">
        <v>0</v>
      </c>
      <c r="O913" t="n">
        <v>0</v>
      </c>
      <c r="P913" t="n">
        <v>0</v>
      </c>
      <c r="Q913" t="n">
        <v>0</v>
      </c>
      <c r="R913" t="n">
        <v>0</v>
      </c>
      <c r="S913" t="n">
        <v>0</v>
      </c>
      <c r="T913" t="n">
        <v>0</v>
      </c>
      <c r="U913" s="2" t="inlineStr"/>
    </row>
    <row r="914" ht="15" customHeight="1">
      <c r="A914" t="inlineStr">
        <is>
          <t>A 6477-2024</t>
        </is>
      </c>
      <c r="B914" t="inlineStr">
        <is>
          <t>avverkningsanmälan</t>
        </is>
      </c>
      <c r="C914" t="inlineStr">
        <is>
          <t>Avverkning för att bevara och utveckla /försöksver</t>
        </is>
      </c>
      <c r="D914" s="1" t="n">
        <v>45338</v>
      </c>
      <c r="E914" s="1" t="n">
        <v>46220</v>
      </c>
      <c r="F914" t="inlineStr">
        <is>
          <t>JÄMTLANDS LÄN</t>
        </is>
      </c>
      <c r="G914" t="inlineStr">
        <is>
          <t>RAGUNDA</t>
        </is>
      </c>
      <c r="H914" t="inlineStr">
        <is>
          <t>SCA</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18193-2022</t>
        </is>
      </c>
      <c r="B915" t="inlineStr">
        <is>
          <t>avverkningsanmälan</t>
        </is>
      </c>
      <c r="C915" t="inlineStr">
        <is>
          <t>Avverkning för att bevara och utveckla /försöksver</t>
        </is>
      </c>
      <c r="D915" s="1" t="n">
        <v>44684</v>
      </c>
      <c r="E915" s="1" t="n">
        <v>46220</v>
      </c>
      <c r="F915" t="inlineStr">
        <is>
          <t>JÄMTLANDS LÄN</t>
        </is>
      </c>
      <c r="G915" t="inlineStr">
        <is>
          <t>RAGUNDA</t>
        </is>
      </c>
      <c r="H915" t="inlineStr">
        <is>
          <t>SCA</t>
        </is>
      </c>
      <c r="I915" t="n">
        <v>3.8</v>
      </c>
      <c r="J915" t="n">
        <v>0</v>
      </c>
      <c r="K915" t="n">
        <v>0</v>
      </c>
      <c r="L915" t="n">
        <v>0</v>
      </c>
      <c r="M915" t="n">
        <v>0</v>
      </c>
      <c r="N915" t="n">
        <v>0</v>
      </c>
      <c r="O915" t="n">
        <v>0</v>
      </c>
      <c r="P915" t="n">
        <v>0</v>
      </c>
      <c r="Q915" t="n">
        <v>0</v>
      </c>
      <c r="R915" t="n">
        <v>0</v>
      </c>
      <c r="S915" t="n">
        <v>0</v>
      </c>
      <c r="T915" t="n">
        <v>0</v>
      </c>
      <c r="U915" s="2" t="inlineStr"/>
    </row>
    <row r="916" ht="15" customHeight="1">
      <c r="A916" t="inlineStr">
        <is>
          <t>A 11551-2024</t>
        </is>
      </c>
      <c r="B916" t="inlineStr">
        <is>
          <t>avverkningsanmälan</t>
        </is>
      </c>
      <c r="C916" t="inlineStr">
        <is>
          <t>Avverkning för att bevara och utveckla /försöksver</t>
        </is>
      </c>
      <c r="D916" s="1" t="n">
        <v>45372</v>
      </c>
      <c r="E916" s="1" t="n">
        <v>46220</v>
      </c>
      <c r="F916" t="inlineStr">
        <is>
          <t>JÄMTLANDS LÄN</t>
        </is>
      </c>
      <c r="G916" t="inlineStr">
        <is>
          <t>RAGUNDA</t>
        </is>
      </c>
      <c r="H916" t="inlineStr">
        <is>
          <t>SCA</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53264-2024</t>
        </is>
      </c>
      <c r="B917" t="inlineStr">
        <is>
          <t>avverkningsanmälan</t>
        </is>
      </c>
      <c r="C917" t="inlineStr">
        <is>
          <t>Föryngringsavverkning</t>
        </is>
      </c>
      <c r="D917" s="1" t="n">
        <v>45614</v>
      </c>
      <c r="E917" s="1" t="n">
        <v>46220</v>
      </c>
      <c r="F917" t="inlineStr">
        <is>
          <t>JÄMTLANDS LÄN</t>
        </is>
      </c>
      <c r="G917" t="inlineStr">
        <is>
          <t>RAGUNDA</t>
        </is>
      </c>
      <c r="I917" t="n">
        <v>1.4</v>
      </c>
      <c r="J917" t="n">
        <v>0</v>
      </c>
      <c r="K917" t="n">
        <v>0</v>
      </c>
      <c r="L917" t="n">
        <v>0</v>
      </c>
      <c r="M917" t="n">
        <v>0</v>
      </c>
      <c r="N917" t="n">
        <v>0</v>
      </c>
      <c r="O917" t="n">
        <v>0</v>
      </c>
      <c r="P917" t="n">
        <v>0</v>
      </c>
      <c r="Q917" t="n">
        <v>0</v>
      </c>
      <c r="R917" t="n">
        <v>0</v>
      </c>
      <c r="S917" t="n">
        <v>0</v>
      </c>
      <c r="T917" t="n">
        <v>0</v>
      </c>
      <c r="U917" s="2" t="inlineStr"/>
    </row>
    <row r="918" ht="15" customHeight="1">
      <c r="A918" t="inlineStr">
        <is>
          <t>A 45631-2024</t>
        </is>
      </c>
      <c r="B918" t="inlineStr">
        <is>
          <t>avverkningsanmälan</t>
        </is>
      </c>
      <c r="C918" t="inlineStr">
        <is>
          <t>Föryngringsavverkning</t>
        </is>
      </c>
      <c r="D918" s="1" t="n">
        <v>45579</v>
      </c>
      <c r="E918" s="1" t="n">
        <v>46220</v>
      </c>
      <c r="F918" t="inlineStr">
        <is>
          <t>JÄMTLANDS LÄN</t>
        </is>
      </c>
      <c r="G918" t="inlineStr">
        <is>
          <t>RAGUNDA</t>
        </is>
      </c>
      <c r="I918" t="n">
        <v>15.1</v>
      </c>
      <c r="J918" t="n">
        <v>0</v>
      </c>
      <c r="K918" t="n">
        <v>0</v>
      </c>
      <c r="L918" t="n">
        <v>0</v>
      </c>
      <c r="M918" t="n">
        <v>0</v>
      </c>
      <c r="N918" t="n">
        <v>0</v>
      </c>
      <c r="O918" t="n">
        <v>0</v>
      </c>
      <c r="P918" t="n">
        <v>0</v>
      </c>
      <c r="Q918" t="n">
        <v>0</v>
      </c>
      <c r="R918" t="n">
        <v>0</v>
      </c>
      <c r="S918" t="n">
        <v>0</v>
      </c>
      <c r="T918" t="n">
        <v>0</v>
      </c>
      <c r="U918" s="2" t="inlineStr"/>
    </row>
    <row r="919" ht="15" customHeight="1">
      <c r="A919" t="inlineStr">
        <is>
          <t>A 19854-2025</t>
        </is>
      </c>
      <c r="B919" t="inlineStr">
        <is>
          <t>avverkningsanmälan</t>
        </is>
      </c>
      <c r="C919" t="inlineStr">
        <is>
          <t>Föryngringsavverkning</t>
        </is>
      </c>
      <c r="D919" s="1" t="n">
        <v>45771</v>
      </c>
      <c r="E919" s="1" t="n">
        <v>46220</v>
      </c>
      <c r="F919" t="inlineStr">
        <is>
          <t>JÄMTLANDS LÄN</t>
        </is>
      </c>
      <c r="G919" t="inlineStr">
        <is>
          <t>RAGUNDA</t>
        </is>
      </c>
      <c r="H919" t="inlineStr">
        <is>
          <t>SCA</t>
        </is>
      </c>
      <c r="I919" t="n">
        <v>8.4</v>
      </c>
      <c r="J919" t="n">
        <v>0</v>
      </c>
      <c r="K919" t="n">
        <v>0</v>
      </c>
      <c r="L919" t="n">
        <v>0</v>
      </c>
      <c r="M919" t="n">
        <v>0</v>
      </c>
      <c r="N919" t="n">
        <v>0</v>
      </c>
      <c r="O919" t="n">
        <v>0</v>
      </c>
      <c r="P919" t="n">
        <v>0</v>
      </c>
      <c r="Q919" t="n">
        <v>0</v>
      </c>
      <c r="R919" t="n">
        <v>0</v>
      </c>
      <c r="S919" t="n">
        <v>0</v>
      </c>
      <c r="T919" t="n">
        <v>0</v>
      </c>
      <c r="U919" s="2" t="inlineStr"/>
    </row>
    <row r="920" ht="15" customHeight="1">
      <c r="A920" t="inlineStr">
        <is>
          <t>A 55701-2021</t>
        </is>
      </c>
      <c r="B920" t="inlineStr">
        <is>
          <t>avverkningsanmälan</t>
        </is>
      </c>
      <c r="C920" t="inlineStr">
        <is>
          <t>Föryngringsavverkning</t>
        </is>
      </c>
      <c r="D920" s="1" t="n">
        <v>44475</v>
      </c>
      <c r="E920" s="1" t="n">
        <v>46220</v>
      </c>
      <c r="F920" t="inlineStr">
        <is>
          <t>JÄMTLANDS LÄN</t>
        </is>
      </c>
      <c r="G920" t="inlineStr">
        <is>
          <t>RAGUNDA</t>
        </is>
      </c>
      <c r="I920" t="n">
        <v>5.6</v>
      </c>
      <c r="J920" t="n">
        <v>0</v>
      </c>
      <c r="K920" t="n">
        <v>0</v>
      </c>
      <c r="L920" t="n">
        <v>0</v>
      </c>
      <c r="M920" t="n">
        <v>0</v>
      </c>
      <c r="N920" t="n">
        <v>0</v>
      </c>
      <c r="O920" t="n">
        <v>0</v>
      </c>
      <c r="P920" t="n">
        <v>0</v>
      </c>
      <c r="Q920" t="n">
        <v>0</v>
      </c>
      <c r="R920" t="n">
        <v>0</v>
      </c>
      <c r="S920" t="n">
        <v>0</v>
      </c>
      <c r="T920" t="n">
        <v>0</v>
      </c>
      <c r="U920" s="2" t="inlineStr"/>
    </row>
    <row r="921" ht="15" customHeight="1">
      <c r="A921" t="inlineStr">
        <is>
          <t>A 30484-2024</t>
        </is>
      </c>
      <c r="B921" t="inlineStr">
        <is>
          <t>avverkningsanmälan</t>
        </is>
      </c>
      <c r="C921" t="inlineStr">
        <is>
          <t>Avverkning för att bevara och utveckla /försöksver</t>
        </is>
      </c>
      <c r="D921" s="1" t="n">
        <v>45491</v>
      </c>
      <c r="E921" s="1" t="n">
        <v>46220</v>
      </c>
      <c r="F921" t="inlineStr">
        <is>
          <t>JÄMTLANDS LÄN</t>
        </is>
      </c>
      <c r="G921" t="inlineStr">
        <is>
          <t>RAGUNDA</t>
        </is>
      </c>
      <c r="H921" t="inlineStr">
        <is>
          <t>SCA</t>
        </is>
      </c>
      <c r="I921" t="n">
        <v>1.6</v>
      </c>
      <c r="J921" t="n">
        <v>0</v>
      </c>
      <c r="K921" t="n">
        <v>0</v>
      </c>
      <c r="L921" t="n">
        <v>0</v>
      </c>
      <c r="M921" t="n">
        <v>0</v>
      </c>
      <c r="N921" t="n">
        <v>0</v>
      </c>
      <c r="O921" t="n">
        <v>0</v>
      </c>
      <c r="P921" t="n">
        <v>0</v>
      </c>
      <c r="Q921" t="n">
        <v>0</v>
      </c>
      <c r="R921" t="n">
        <v>0</v>
      </c>
      <c r="S921" t="n">
        <v>0</v>
      </c>
      <c r="T921" t="n">
        <v>0</v>
      </c>
      <c r="U921" s="2" t="inlineStr"/>
    </row>
    <row r="922" ht="15" customHeight="1">
      <c r="A922" t="inlineStr">
        <is>
          <t>A 27093-2026</t>
        </is>
      </c>
      <c r="B922" t="inlineStr">
        <is>
          <t>avverkningsanmälan</t>
        </is>
      </c>
      <c r="C922" t="inlineStr">
        <is>
          <t>Avverkning för annat ändamål</t>
        </is>
      </c>
      <c r="D922" s="1" t="n">
        <v>46188</v>
      </c>
      <c r="E922" s="1" t="n">
        <v>46220</v>
      </c>
      <c r="F922" t="inlineStr">
        <is>
          <t>JÄMTLANDS LÄN</t>
        </is>
      </c>
      <c r="G922" t="inlineStr">
        <is>
          <t>RAGUNDA</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48249-2024</t>
        </is>
      </c>
      <c r="B923" t="inlineStr">
        <is>
          <t>avverkningsanmälan</t>
        </is>
      </c>
      <c r="C923" t="inlineStr">
        <is>
          <t>Föryngringsavverkning</t>
        </is>
      </c>
      <c r="D923" s="1" t="n">
        <v>45590</v>
      </c>
      <c r="E923" s="1" t="n">
        <v>46220</v>
      </c>
      <c r="F923" t="inlineStr">
        <is>
          <t>JÄMTLANDS LÄN</t>
        </is>
      </c>
      <c r="G923" t="inlineStr">
        <is>
          <t>RAGUNDA</t>
        </is>
      </c>
      <c r="H923" t="inlineStr">
        <is>
          <t>SCA</t>
        </is>
      </c>
      <c r="I923" t="n">
        <v>14.4</v>
      </c>
      <c r="J923" t="n">
        <v>0</v>
      </c>
      <c r="K923" t="n">
        <v>0</v>
      </c>
      <c r="L923" t="n">
        <v>0</v>
      </c>
      <c r="M923" t="n">
        <v>0</v>
      </c>
      <c r="N923" t="n">
        <v>0</v>
      </c>
      <c r="O923" t="n">
        <v>0</v>
      </c>
      <c r="P923" t="n">
        <v>0</v>
      </c>
      <c r="Q923" t="n">
        <v>0</v>
      </c>
      <c r="R923" t="n">
        <v>0</v>
      </c>
      <c r="S923" t="n">
        <v>0</v>
      </c>
      <c r="T923" t="n">
        <v>0</v>
      </c>
      <c r="U923" s="2" t="inlineStr"/>
    </row>
    <row r="924" ht="15" customHeight="1">
      <c r="A924" t="inlineStr">
        <is>
          <t>A 64265-2023</t>
        </is>
      </c>
      <c r="B924" t="inlineStr">
        <is>
          <t>avverkningsanmälan</t>
        </is>
      </c>
      <c r="C924" t="inlineStr">
        <is>
          <t>Föryngringsavverkning</t>
        </is>
      </c>
      <c r="D924" s="1" t="n">
        <v>45279</v>
      </c>
      <c r="E924" s="1" t="n">
        <v>46220</v>
      </c>
      <c r="F924" t="inlineStr">
        <is>
          <t>JÄMTLANDS LÄN</t>
        </is>
      </c>
      <c r="G924" t="inlineStr">
        <is>
          <t>RAGUNDA</t>
        </is>
      </c>
      <c r="H924" t="inlineStr">
        <is>
          <t>SCA</t>
        </is>
      </c>
      <c r="I924" t="n">
        <v>9.300000000000001</v>
      </c>
      <c r="J924" t="n">
        <v>0</v>
      </c>
      <c r="K924" t="n">
        <v>0</v>
      </c>
      <c r="L924" t="n">
        <v>0</v>
      </c>
      <c r="M924" t="n">
        <v>0</v>
      </c>
      <c r="N924" t="n">
        <v>0</v>
      </c>
      <c r="O924" t="n">
        <v>0</v>
      </c>
      <c r="P924" t="n">
        <v>0</v>
      </c>
      <c r="Q924" t="n">
        <v>0</v>
      </c>
      <c r="R924" t="n">
        <v>0</v>
      </c>
      <c r="S924" t="n">
        <v>0</v>
      </c>
      <c r="T924" t="n">
        <v>0</v>
      </c>
      <c r="U924" s="2" t="inlineStr"/>
    </row>
    <row r="925" ht="15" customHeight="1">
      <c r="A925" t="inlineStr">
        <is>
          <t>A 66706-2021</t>
        </is>
      </c>
      <c r="B925" t="inlineStr">
        <is>
          <t>avverkningsanmälan</t>
        </is>
      </c>
      <c r="C925" t="inlineStr">
        <is>
          <t>Föryngringsavverkning</t>
        </is>
      </c>
      <c r="D925" s="1" t="n">
        <v>44519</v>
      </c>
      <c r="E925" s="1" t="n">
        <v>46220</v>
      </c>
      <c r="F925" t="inlineStr">
        <is>
          <t>JÄMTLANDS LÄN</t>
        </is>
      </c>
      <c r="G925" t="inlineStr">
        <is>
          <t>RAGUNDA</t>
        </is>
      </c>
      <c r="H925" t="inlineStr">
        <is>
          <t>SCA</t>
        </is>
      </c>
      <c r="I925" t="n">
        <v>5.3</v>
      </c>
      <c r="J925" t="n">
        <v>0</v>
      </c>
      <c r="K925" t="n">
        <v>0</v>
      </c>
      <c r="L925" t="n">
        <v>0</v>
      </c>
      <c r="M925" t="n">
        <v>0</v>
      </c>
      <c r="N925" t="n">
        <v>0</v>
      </c>
      <c r="O925" t="n">
        <v>0</v>
      </c>
      <c r="P925" t="n">
        <v>0</v>
      </c>
      <c r="Q925" t="n">
        <v>0</v>
      </c>
      <c r="R925" t="n">
        <v>0</v>
      </c>
      <c r="S925" t="n">
        <v>0</v>
      </c>
      <c r="T925" t="n">
        <v>0</v>
      </c>
      <c r="U925" s="2" t="inlineStr"/>
    </row>
    <row r="926" ht="15" customHeight="1">
      <c r="A926" t="inlineStr">
        <is>
          <t>A 55222-2024</t>
        </is>
      </c>
      <c r="B926" t="inlineStr">
        <is>
          <t>avverkningsanmälan</t>
        </is>
      </c>
      <c r="C926" t="inlineStr">
        <is>
          <t>Föryngringsavverkning</t>
        </is>
      </c>
      <c r="D926" s="1" t="n">
        <v>45621</v>
      </c>
      <c r="E926" s="1" t="n">
        <v>46220</v>
      </c>
      <c r="F926" t="inlineStr">
        <is>
          <t>JÄMTLANDS LÄN</t>
        </is>
      </c>
      <c r="G926" t="inlineStr">
        <is>
          <t>RAGUNDA</t>
        </is>
      </c>
      <c r="H926" t="inlineStr">
        <is>
          <t>SCA</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46211-2024</t>
        </is>
      </c>
      <c r="B927" t="inlineStr">
        <is>
          <t>avverkningsanmälan</t>
        </is>
      </c>
      <c r="C927" t="inlineStr">
        <is>
          <t>Föryngringsavverkning</t>
        </is>
      </c>
      <c r="D927" s="1" t="n">
        <v>45581</v>
      </c>
      <c r="E927" s="1" t="n">
        <v>46220</v>
      </c>
      <c r="F927" t="inlineStr">
        <is>
          <t>JÄMTLANDS LÄN</t>
        </is>
      </c>
      <c r="G927" t="inlineStr">
        <is>
          <t>RAGUNDA</t>
        </is>
      </c>
      <c r="I927" t="n">
        <v>7.3</v>
      </c>
      <c r="J927" t="n">
        <v>0</v>
      </c>
      <c r="K927" t="n">
        <v>0</v>
      </c>
      <c r="L927" t="n">
        <v>0</v>
      </c>
      <c r="M927" t="n">
        <v>0</v>
      </c>
      <c r="N927" t="n">
        <v>0</v>
      </c>
      <c r="O927" t="n">
        <v>0</v>
      </c>
      <c r="P927" t="n">
        <v>0</v>
      </c>
      <c r="Q927" t="n">
        <v>0</v>
      </c>
      <c r="R927" t="n">
        <v>0</v>
      </c>
      <c r="S927" t="n">
        <v>0</v>
      </c>
      <c r="T927" t="n">
        <v>0</v>
      </c>
      <c r="U927" s="2" t="inlineStr"/>
    </row>
    <row r="928" ht="15" customHeight="1">
      <c r="A928" t="inlineStr">
        <is>
          <t>A 31435-2022</t>
        </is>
      </c>
      <c r="B928" t="inlineStr">
        <is>
          <t>avverkningsanmälan</t>
        </is>
      </c>
      <c r="C928" t="inlineStr">
        <is>
          <t>Föryngringsavverkning</t>
        </is>
      </c>
      <c r="D928" s="1" t="n">
        <v>44774</v>
      </c>
      <c r="E928" s="1" t="n">
        <v>46220</v>
      </c>
      <c r="F928" t="inlineStr">
        <is>
          <t>JÄMTLANDS LÄN</t>
        </is>
      </c>
      <c r="G928" t="inlineStr">
        <is>
          <t>RAGUNDA</t>
        </is>
      </c>
      <c r="I928" t="n">
        <v>1.6</v>
      </c>
      <c r="J928" t="n">
        <v>0</v>
      </c>
      <c r="K928" t="n">
        <v>0</v>
      </c>
      <c r="L928" t="n">
        <v>0</v>
      </c>
      <c r="M928" t="n">
        <v>0</v>
      </c>
      <c r="N928" t="n">
        <v>0</v>
      </c>
      <c r="O928" t="n">
        <v>0</v>
      </c>
      <c r="P928" t="n">
        <v>0</v>
      </c>
      <c r="Q928" t="n">
        <v>0</v>
      </c>
      <c r="R928" t="n">
        <v>0</v>
      </c>
      <c r="S928" t="n">
        <v>0</v>
      </c>
      <c r="T928" t="n">
        <v>0</v>
      </c>
      <c r="U928" s="2" t="inlineStr"/>
    </row>
    <row r="929" ht="15" customHeight="1">
      <c r="A929" t="inlineStr">
        <is>
          <t>A 39608-2024</t>
        </is>
      </c>
      <c r="B929" t="inlineStr">
        <is>
          <t>avverkningsanmälan</t>
        </is>
      </c>
      <c r="C929" t="inlineStr">
        <is>
          <t>Föryngringsavverkning</t>
        </is>
      </c>
      <c r="D929" s="1" t="n">
        <v>45552</v>
      </c>
      <c r="E929" s="1" t="n">
        <v>46220</v>
      </c>
      <c r="F929" t="inlineStr">
        <is>
          <t>JÄMTLANDS LÄN</t>
        </is>
      </c>
      <c r="G929" t="inlineStr">
        <is>
          <t>RAGUNDA</t>
        </is>
      </c>
      <c r="I929" t="n">
        <v>3.2</v>
      </c>
      <c r="J929" t="n">
        <v>0</v>
      </c>
      <c r="K929" t="n">
        <v>0</v>
      </c>
      <c r="L929" t="n">
        <v>0</v>
      </c>
      <c r="M929" t="n">
        <v>0</v>
      </c>
      <c r="N929" t="n">
        <v>0</v>
      </c>
      <c r="O929" t="n">
        <v>0</v>
      </c>
      <c r="P929" t="n">
        <v>0</v>
      </c>
      <c r="Q929" t="n">
        <v>0</v>
      </c>
      <c r="R929" t="n">
        <v>0</v>
      </c>
      <c r="S929" t="n">
        <v>0</v>
      </c>
      <c r="T929" t="n">
        <v>0</v>
      </c>
      <c r="U929" s="2" t="inlineStr"/>
    </row>
    <row r="930" ht="15" customHeight="1">
      <c r="A930" t="inlineStr">
        <is>
          <t>A 56984-2022</t>
        </is>
      </c>
      <c r="B930" t="inlineStr">
        <is>
          <t>avverkningsanmälan</t>
        </is>
      </c>
      <c r="C930" t="inlineStr">
        <is>
          <t>Föryngringsavverkning</t>
        </is>
      </c>
      <c r="D930" s="1" t="n">
        <v>44894</v>
      </c>
      <c r="E930" s="1" t="n">
        <v>46220</v>
      </c>
      <c r="F930" t="inlineStr">
        <is>
          <t>JÄMTLANDS LÄN</t>
        </is>
      </c>
      <c r="G930" t="inlineStr">
        <is>
          <t>RAGUNDA</t>
        </is>
      </c>
      <c r="I930" t="n">
        <v>1.4</v>
      </c>
      <c r="J930" t="n">
        <v>0</v>
      </c>
      <c r="K930" t="n">
        <v>0</v>
      </c>
      <c r="L930" t="n">
        <v>0</v>
      </c>
      <c r="M930" t="n">
        <v>0</v>
      </c>
      <c r="N930" t="n">
        <v>0</v>
      </c>
      <c r="O930" t="n">
        <v>0</v>
      </c>
      <c r="P930" t="n">
        <v>0</v>
      </c>
      <c r="Q930" t="n">
        <v>0</v>
      </c>
      <c r="R930" t="n">
        <v>0</v>
      </c>
      <c r="S930" t="n">
        <v>0</v>
      </c>
      <c r="T930" t="n">
        <v>0</v>
      </c>
      <c r="U930" s="2" t="inlineStr"/>
    </row>
    <row r="931" ht="15" customHeight="1">
      <c r="A931" t="inlineStr">
        <is>
          <t>A 27651-2026</t>
        </is>
      </c>
      <c r="B931" t="inlineStr">
        <is>
          <t>avverkningsanmälan</t>
        </is>
      </c>
      <c r="C931" t="inlineStr">
        <is>
          <t>Föryngringsavverkning</t>
        </is>
      </c>
      <c r="D931" s="1" t="n">
        <v>46188</v>
      </c>
      <c r="E931" s="1" t="n">
        <v>46220</v>
      </c>
      <c r="F931" t="inlineStr">
        <is>
          <t>JÄMTLANDS LÄN</t>
        </is>
      </c>
      <c r="G931" t="inlineStr">
        <is>
          <t>RAGUNDA</t>
        </is>
      </c>
      <c r="I931" t="n">
        <v>14.5</v>
      </c>
      <c r="J931" t="n">
        <v>0</v>
      </c>
      <c r="K931" t="n">
        <v>0</v>
      </c>
      <c r="L931" t="n">
        <v>0</v>
      </c>
      <c r="M931" t="n">
        <v>0</v>
      </c>
      <c r="N931" t="n">
        <v>0</v>
      </c>
      <c r="O931" t="n">
        <v>0</v>
      </c>
      <c r="P931" t="n">
        <v>0</v>
      </c>
      <c r="Q931" t="n">
        <v>0</v>
      </c>
      <c r="R931" t="n">
        <v>0</v>
      </c>
      <c r="S931" t="n">
        <v>0</v>
      </c>
      <c r="T931" t="n">
        <v>0</v>
      </c>
      <c r="U931" s="2" t="inlineStr"/>
    </row>
    <row r="932" ht="15" customHeight="1">
      <c r="A932" t="inlineStr">
        <is>
          <t>A 27966-2026</t>
        </is>
      </c>
      <c r="B932" t="inlineStr">
        <is>
          <t>avverkningsanmälan</t>
        </is>
      </c>
      <c r="C932" t="inlineStr">
        <is>
          <t>Föryngringsavverkning</t>
        </is>
      </c>
      <c r="D932" s="1" t="n">
        <v>46195</v>
      </c>
      <c r="E932" s="1" t="n">
        <v>46220</v>
      </c>
      <c r="F932" t="inlineStr">
        <is>
          <t>JÄMTLANDS LÄN</t>
        </is>
      </c>
      <c r="G932" t="inlineStr">
        <is>
          <t>RAGUNDA</t>
        </is>
      </c>
      <c r="I932" t="n">
        <v>6.5</v>
      </c>
      <c r="J932" t="n">
        <v>0</v>
      </c>
      <c r="K932" t="n">
        <v>0</v>
      </c>
      <c r="L932" t="n">
        <v>0</v>
      </c>
      <c r="M932" t="n">
        <v>0</v>
      </c>
      <c r="N932" t="n">
        <v>0</v>
      </c>
      <c r="O932" t="n">
        <v>0</v>
      </c>
      <c r="P932" t="n">
        <v>0</v>
      </c>
      <c r="Q932" t="n">
        <v>0</v>
      </c>
      <c r="R932" t="n">
        <v>0</v>
      </c>
      <c r="S932" t="n">
        <v>0</v>
      </c>
      <c r="T932" t="n">
        <v>0</v>
      </c>
      <c r="U932" s="2" t="inlineStr"/>
    </row>
    <row r="933" ht="15" customHeight="1">
      <c r="A933" t="inlineStr">
        <is>
          <t>A 21885-2026</t>
        </is>
      </c>
      <c r="B933" t="inlineStr">
        <is>
          <t>avverkningsanmälan</t>
        </is>
      </c>
      <c r="C933" t="inlineStr">
        <is>
          <t>Föryngringsavverkning</t>
        </is>
      </c>
      <c r="D933" s="1" t="n">
        <v>46150</v>
      </c>
      <c r="E933" s="1" t="n">
        <v>46220</v>
      </c>
      <c r="F933" t="inlineStr">
        <is>
          <t>JÄMTLANDS LÄN</t>
        </is>
      </c>
      <c r="G933" t="inlineStr">
        <is>
          <t>RAGUNDA</t>
        </is>
      </c>
      <c r="H933" t="inlineStr">
        <is>
          <t>SCA</t>
        </is>
      </c>
      <c r="I933" t="n">
        <v>8.1</v>
      </c>
      <c r="J933" t="n">
        <v>0</v>
      </c>
      <c r="K933" t="n">
        <v>0</v>
      </c>
      <c r="L933" t="n">
        <v>0</v>
      </c>
      <c r="M933" t="n">
        <v>0</v>
      </c>
      <c r="N933" t="n">
        <v>0</v>
      </c>
      <c r="O933" t="n">
        <v>0</v>
      </c>
      <c r="P933" t="n">
        <v>0</v>
      </c>
      <c r="Q933" t="n">
        <v>0</v>
      </c>
      <c r="R933" t="n">
        <v>0</v>
      </c>
      <c r="S933" t="n">
        <v>0</v>
      </c>
      <c r="T933" t="n">
        <v>0</v>
      </c>
      <c r="U933" s="2" t="inlineStr"/>
    </row>
    <row r="934" ht="15" customHeight="1">
      <c r="A934" t="inlineStr">
        <is>
          <t>A 38548-2024</t>
        </is>
      </c>
      <c r="B934" t="inlineStr">
        <is>
          <t>avverkningsanmälan</t>
        </is>
      </c>
      <c r="C934" t="inlineStr">
        <is>
          <t>Föryngringsavverkning</t>
        </is>
      </c>
      <c r="D934" s="1" t="n">
        <v>45546</v>
      </c>
      <c r="E934" s="1" t="n">
        <v>46220</v>
      </c>
      <c r="F934" t="inlineStr">
        <is>
          <t>JÄMTLANDS LÄN</t>
        </is>
      </c>
      <c r="G934" t="inlineStr">
        <is>
          <t>RAGUNDA</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28164-2026</t>
        </is>
      </c>
      <c r="B935" t="inlineStr">
        <is>
          <t>avverkningsanmälan</t>
        </is>
      </c>
      <c r="C935" t="inlineStr">
        <is>
          <t>Föryngringsavverkning</t>
        </is>
      </c>
      <c r="D935" s="1" t="n">
        <v>46195</v>
      </c>
      <c r="E935" s="1" t="n">
        <v>46220</v>
      </c>
      <c r="F935" t="inlineStr">
        <is>
          <t>JÄMTLANDS LÄN</t>
        </is>
      </c>
      <c r="G935" t="inlineStr">
        <is>
          <t>RAGUNDA</t>
        </is>
      </c>
      <c r="I935" t="n">
        <v>13.3</v>
      </c>
      <c r="J935" t="n">
        <v>0</v>
      </c>
      <c r="K935" t="n">
        <v>0</v>
      </c>
      <c r="L935" t="n">
        <v>0</v>
      </c>
      <c r="M935" t="n">
        <v>0</v>
      </c>
      <c r="N935" t="n">
        <v>0</v>
      </c>
      <c r="O935" t="n">
        <v>0</v>
      </c>
      <c r="P935" t="n">
        <v>0</v>
      </c>
      <c r="Q935" t="n">
        <v>0</v>
      </c>
      <c r="R935" t="n">
        <v>0</v>
      </c>
      <c r="S935" t="n">
        <v>0</v>
      </c>
      <c r="T935" t="n">
        <v>0</v>
      </c>
      <c r="U935" s="2" t="inlineStr"/>
    </row>
    <row r="936" ht="15" customHeight="1">
      <c r="A936" t="inlineStr">
        <is>
          <t>A 21916-2026</t>
        </is>
      </c>
      <c r="B936" t="inlineStr">
        <is>
          <t>avverkningsanmälan</t>
        </is>
      </c>
      <c r="C936" t="inlineStr">
        <is>
          <t>Föryngringsavverkning</t>
        </is>
      </c>
      <c r="D936" s="1" t="n">
        <v>46150</v>
      </c>
      <c r="E936" s="1" t="n">
        <v>46220</v>
      </c>
      <c r="F936" t="inlineStr">
        <is>
          <t>JÄMTLANDS LÄN</t>
        </is>
      </c>
      <c r="G936" t="inlineStr">
        <is>
          <t>RAGUNDA</t>
        </is>
      </c>
      <c r="H936" t="inlineStr">
        <is>
          <t>SCA</t>
        </is>
      </c>
      <c r="I936" t="n">
        <v>7.4</v>
      </c>
      <c r="J936" t="n">
        <v>0</v>
      </c>
      <c r="K936" t="n">
        <v>0</v>
      </c>
      <c r="L936" t="n">
        <v>0</v>
      </c>
      <c r="M936" t="n">
        <v>0</v>
      </c>
      <c r="N936" t="n">
        <v>0</v>
      </c>
      <c r="O936" t="n">
        <v>0</v>
      </c>
      <c r="P936" t="n">
        <v>0</v>
      </c>
      <c r="Q936" t="n">
        <v>0</v>
      </c>
      <c r="R936" t="n">
        <v>0</v>
      </c>
      <c r="S936" t="n">
        <v>0</v>
      </c>
      <c r="T936" t="n">
        <v>0</v>
      </c>
      <c r="U936" s="2" t="inlineStr"/>
    </row>
    <row r="937" ht="15" customHeight="1">
      <c r="A937" t="inlineStr">
        <is>
          <t>A 22100-2026</t>
        </is>
      </c>
      <c r="B937" t="inlineStr">
        <is>
          <t>avverkningsanmälan</t>
        </is>
      </c>
      <c r="C937" t="inlineStr">
        <is>
          <t>Föryngringsavverkning</t>
        </is>
      </c>
      <c r="D937" s="1" t="n">
        <v>46153</v>
      </c>
      <c r="E937" s="1" t="n">
        <v>46220</v>
      </c>
      <c r="F937" t="inlineStr">
        <is>
          <t>JÄMTLANDS LÄN</t>
        </is>
      </c>
      <c r="G937" t="inlineStr">
        <is>
          <t>RAGUNDA</t>
        </is>
      </c>
      <c r="H937" t="inlineStr">
        <is>
          <t>SCA</t>
        </is>
      </c>
      <c r="I937" t="n">
        <v>2.2</v>
      </c>
      <c r="J937" t="n">
        <v>0</v>
      </c>
      <c r="K937" t="n">
        <v>0</v>
      </c>
      <c r="L937" t="n">
        <v>0</v>
      </c>
      <c r="M937" t="n">
        <v>0</v>
      </c>
      <c r="N937" t="n">
        <v>0</v>
      </c>
      <c r="O937" t="n">
        <v>0</v>
      </c>
      <c r="P937" t="n">
        <v>0</v>
      </c>
      <c r="Q937" t="n">
        <v>0</v>
      </c>
      <c r="R937" t="n">
        <v>0</v>
      </c>
      <c r="S937" t="n">
        <v>0</v>
      </c>
      <c r="T937" t="n">
        <v>0</v>
      </c>
      <c r="U937" s="2" t="inlineStr"/>
    </row>
    <row r="938" ht="15" customHeight="1">
      <c r="A938" t="inlineStr">
        <is>
          <t>A 28182-2026</t>
        </is>
      </c>
      <c r="B938" t="inlineStr">
        <is>
          <t>avverkningsanmälan</t>
        </is>
      </c>
      <c r="C938" t="inlineStr">
        <is>
          <t>Föryngringsavverkning</t>
        </is>
      </c>
      <c r="D938" s="1" t="n">
        <v>46195</v>
      </c>
      <c r="E938" s="1" t="n">
        <v>46220</v>
      </c>
      <c r="F938" t="inlineStr">
        <is>
          <t>JÄMTLANDS LÄN</t>
        </is>
      </c>
      <c r="G938" t="inlineStr">
        <is>
          <t>RAGUNDA</t>
        </is>
      </c>
      <c r="I938" t="n">
        <v>6.2</v>
      </c>
      <c r="J938" t="n">
        <v>0</v>
      </c>
      <c r="K938" t="n">
        <v>0</v>
      </c>
      <c r="L938" t="n">
        <v>0</v>
      </c>
      <c r="M938" t="n">
        <v>0</v>
      </c>
      <c r="N938" t="n">
        <v>0</v>
      </c>
      <c r="O938" t="n">
        <v>0</v>
      </c>
      <c r="P938" t="n">
        <v>0</v>
      </c>
      <c r="Q938" t="n">
        <v>0</v>
      </c>
      <c r="R938" t="n">
        <v>0</v>
      </c>
      <c r="S938" t="n">
        <v>0</v>
      </c>
      <c r="T938" t="n">
        <v>0</v>
      </c>
      <c r="U938" s="2" t="inlineStr"/>
    </row>
    <row r="939" ht="15" customHeight="1">
      <c r="A939" t="inlineStr">
        <is>
          <t>A 21886-2026</t>
        </is>
      </c>
      <c r="B939" t="inlineStr">
        <is>
          <t>avverkningsanmälan</t>
        </is>
      </c>
      <c r="C939" t="inlineStr">
        <is>
          <t>Föryngringsavverkning</t>
        </is>
      </c>
      <c r="D939" s="1" t="n">
        <v>46150</v>
      </c>
      <c r="E939" s="1" t="n">
        <v>46220</v>
      </c>
      <c r="F939" t="inlineStr">
        <is>
          <t>JÄMTLANDS LÄN</t>
        </is>
      </c>
      <c r="G939" t="inlineStr">
        <is>
          <t>RAGUNDA</t>
        </is>
      </c>
      <c r="H939" t="inlineStr">
        <is>
          <t>SCA</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13935-2024</t>
        </is>
      </c>
      <c r="B940" t="inlineStr">
        <is>
          <t>avverkningsanmälan</t>
        </is>
      </c>
      <c r="C940" t="inlineStr">
        <is>
          <t>Avverkning för att bevara och utveckla /försöksver</t>
        </is>
      </c>
      <c r="D940" s="1" t="n">
        <v>45391</v>
      </c>
      <c r="E940" s="1" t="n">
        <v>46220</v>
      </c>
      <c r="F940" t="inlineStr">
        <is>
          <t>JÄMTLANDS LÄN</t>
        </is>
      </c>
      <c r="G940" t="inlineStr">
        <is>
          <t>RAGUNDA</t>
        </is>
      </c>
      <c r="H940" t="inlineStr">
        <is>
          <t>SCA</t>
        </is>
      </c>
      <c r="I940" t="n">
        <v>2.5</v>
      </c>
      <c r="J940" t="n">
        <v>0</v>
      </c>
      <c r="K940" t="n">
        <v>0</v>
      </c>
      <c r="L940" t="n">
        <v>0</v>
      </c>
      <c r="M940" t="n">
        <v>0</v>
      </c>
      <c r="N940" t="n">
        <v>0</v>
      </c>
      <c r="O940" t="n">
        <v>0</v>
      </c>
      <c r="P940" t="n">
        <v>0</v>
      </c>
      <c r="Q940" t="n">
        <v>0</v>
      </c>
      <c r="R940" t="n">
        <v>0</v>
      </c>
      <c r="S940" t="n">
        <v>0</v>
      </c>
      <c r="T940" t="n">
        <v>0</v>
      </c>
      <c r="U940" s="2" t="inlineStr"/>
    </row>
    <row r="941" ht="15" customHeight="1">
      <c r="A941" t="inlineStr">
        <is>
          <t>A 58194-2022</t>
        </is>
      </c>
      <c r="B941" t="inlineStr">
        <is>
          <t>avverkningsanmälan</t>
        </is>
      </c>
      <c r="C941" t="inlineStr">
        <is>
          <t>Föryngringsavverkning</t>
        </is>
      </c>
      <c r="D941" s="1" t="n">
        <v>44900</v>
      </c>
      <c r="E941" s="1" t="n">
        <v>46220</v>
      </c>
      <c r="F941" t="inlineStr">
        <is>
          <t>JÄMTLANDS LÄN</t>
        </is>
      </c>
      <c r="G941" t="inlineStr">
        <is>
          <t>RAGUNDA</t>
        </is>
      </c>
      <c r="H941" t="inlineStr">
        <is>
          <t>SCA</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22359-2026</t>
        </is>
      </c>
      <c r="B942" t="inlineStr">
        <is>
          <t>avverkningsanmälan</t>
        </is>
      </c>
      <c r="C942" t="inlineStr">
        <is>
          <t>Föryngringsavverkning</t>
        </is>
      </c>
      <c r="D942" s="1" t="n">
        <v>46154</v>
      </c>
      <c r="E942" s="1" t="n">
        <v>46220</v>
      </c>
      <c r="F942" t="inlineStr">
        <is>
          <t>JÄMTLANDS LÄN</t>
        </is>
      </c>
      <c r="G942" t="inlineStr">
        <is>
          <t>RAGUNDA</t>
        </is>
      </c>
      <c r="I942" t="n">
        <v>2.9</v>
      </c>
      <c r="J942" t="n">
        <v>0</v>
      </c>
      <c r="K942" t="n">
        <v>0</v>
      </c>
      <c r="L942" t="n">
        <v>0</v>
      </c>
      <c r="M942" t="n">
        <v>0</v>
      </c>
      <c r="N942" t="n">
        <v>0</v>
      </c>
      <c r="O942" t="n">
        <v>0</v>
      </c>
      <c r="P942" t="n">
        <v>0</v>
      </c>
      <c r="Q942" t="n">
        <v>0</v>
      </c>
      <c r="R942" t="n">
        <v>0</v>
      </c>
      <c r="S942" t="n">
        <v>0</v>
      </c>
      <c r="T942" t="n">
        <v>0</v>
      </c>
      <c r="U942" s="2" t="inlineStr"/>
    </row>
    <row r="943" ht="15" customHeight="1">
      <c r="A943" t="inlineStr">
        <is>
          <t>A 30642-2024</t>
        </is>
      </c>
      <c r="B943" t="inlineStr">
        <is>
          <t>avverkningsanmälan</t>
        </is>
      </c>
      <c r="C943" t="inlineStr">
        <is>
          <t>Föryngringsavverkning</t>
        </is>
      </c>
      <c r="D943" s="1" t="n">
        <v>45495</v>
      </c>
      <c r="E943" s="1" t="n">
        <v>46220</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s="2" t="inlineStr"/>
    </row>
    <row r="944" ht="15" customHeight="1">
      <c r="A944" t="inlineStr">
        <is>
          <t>A 28488-2026</t>
        </is>
      </c>
      <c r="B944" t="inlineStr">
        <is>
          <t>avverkningsanmälan</t>
        </is>
      </c>
      <c r="C944" t="inlineStr">
        <is>
          <t>Föryngringsavverkning</t>
        </is>
      </c>
      <c r="D944" s="1" t="n">
        <v>46197</v>
      </c>
      <c r="E944" s="1" t="n">
        <v>46220</v>
      </c>
      <c r="F944" t="inlineStr">
        <is>
          <t>JÄMTLANDS LÄN</t>
        </is>
      </c>
      <c r="G944" t="inlineStr">
        <is>
          <t>RAGUNDA</t>
        </is>
      </c>
      <c r="I944" t="n">
        <v>2.4</v>
      </c>
      <c r="J944" t="n">
        <v>0</v>
      </c>
      <c r="K944" t="n">
        <v>0</v>
      </c>
      <c r="L944" t="n">
        <v>0</v>
      </c>
      <c r="M944" t="n">
        <v>0</v>
      </c>
      <c r="N944" t="n">
        <v>0</v>
      </c>
      <c r="O944" t="n">
        <v>0</v>
      </c>
      <c r="P944" t="n">
        <v>0</v>
      </c>
      <c r="Q944" t="n">
        <v>0</v>
      </c>
      <c r="R944" t="n">
        <v>0</v>
      </c>
      <c r="S944" t="n">
        <v>0</v>
      </c>
      <c r="T944" t="n">
        <v>0</v>
      </c>
      <c r="U944" s="2" t="inlineStr"/>
    </row>
    <row r="945" ht="15" customHeight="1">
      <c r="A945" t="inlineStr">
        <is>
          <t>A 61107-2024</t>
        </is>
      </c>
      <c r="B945" t="inlineStr">
        <is>
          <t>avverkningsanmälan</t>
        </is>
      </c>
      <c r="C945" t="inlineStr">
        <is>
          <t>Föryngringsavverkning</t>
        </is>
      </c>
      <c r="D945" s="1" t="n">
        <v>45645</v>
      </c>
      <c r="E945" s="1" t="n">
        <v>46220</v>
      </c>
      <c r="F945" t="inlineStr">
        <is>
          <t>JÄMTLANDS LÄN</t>
        </is>
      </c>
      <c r="G945" t="inlineStr">
        <is>
          <t>RAGUNDA</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53287-2022</t>
        </is>
      </c>
      <c r="B946" t="inlineStr">
        <is>
          <t>avverkningsanmälan</t>
        </is>
      </c>
      <c r="C946" t="inlineStr">
        <is>
          <t>Avverkning för att bevara och utveckla /försöksver</t>
        </is>
      </c>
      <c r="D946" s="1" t="n">
        <v>44876</v>
      </c>
      <c r="E946" s="1" t="n">
        <v>46220</v>
      </c>
      <c r="F946" t="inlineStr">
        <is>
          <t>JÄMTLANDS LÄN</t>
        </is>
      </c>
      <c r="G946" t="inlineStr">
        <is>
          <t>RAGUNDA</t>
        </is>
      </c>
      <c r="H946" t="inlineStr">
        <is>
          <t>SCA</t>
        </is>
      </c>
      <c r="I946" t="n">
        <v>6.2</v>
      </c>
      <c r="J946" t="n">
        <v>0</v>
      </c>
      <c r="K946" t="n">
        <v>0</v>
      </c>
      <c r="L946" t="n">
        <v>0</v>
      </c>
      <c r="M946" t="n">
        <v>0</v>
      </c>
      <c r="N946" t="n">
        <v>0</v>
      </c>
      <c r="O946" t="n">
        <v>0</v>
      </c>
      <c r="P946" t="n">
        <v>0</v>
      </c>
      <c r="Q946" t="n">
        <v>0</v>
      </c>
      <c r="R946" t="n">
        <v>0</v>
      </c>
      <c r="S946" t="n">
        <v>0</v>
      </c>
      <c r="T946" t="n">
        <v>0</v>
      </c>
      <c r="U946" s="2" t="inlineStr"/>
    </row>
    <row r="947" ht="15" customHeight="1">
      <c r="A947" t="inlineStr">
        <is>
          <t>A 28424-2026</t>
        </is>
      </c>
      <c r="B947" t="inlineStr">
        <is>
          <t>avverkningsanmälan</t>
        </is>
      </c>
      <c r="C947" t="inlineStr">
        <is>
          <t>Föryngringsavverkning</t>
        </is>
      </c>
      <c r="D947" s="1" t="n">
        <v>46197</v>
      </c>
      <c r="E947" s="1" t="n">
        <v>46220</v>
      </c>
      <c r="F947" t="inlineStr">
        <is>
          <t>JÄMTLANDS LÄN</t>
        </is>
      </c>
      <c r="G947" t="inlineStr">
        <is>
          <t>RAGUNDA</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48192-2024</t>
        </is>
      </c>
      <c r="B948" t="inlineStr">
        <is>
          <t>avverkningsanmälan</t>
        </is>
      </c>
      <c r="C948" t="inlineStr">
        <is>
          <t>Avverkning för annat ändamål</t>
        </is>
      </c>
      <c r="D948" s="1" t="n">
        <v>45590</v>
      </c>
      <c r="E948" s="1" t="n">
        <v>46220</v>
      </c>
      <c r="F948" t="inlineStr">
        <is>
          <t>JÄMTLANDS LÄN</t>
        </is>
      </c>
      <c r="G948" t="inlineStr">
        <is>
          <t>RAGUNDA</t>
        </is>
      </c>
      <c r="I948" t="n">
        <v>2.3</v>
      </c>
      <c r="J948" t="n">
        <v>0</v>
      </c>
      <c r="K948" t="n">
        <v>0</v>
      </c>
      <c r="L948" t="n">
        <v>0</v>
      </c>
      <c r="M948" t="n">
        <v>0</v>
      </c>
      <c r="N948" t="n">
        <v>0</v>
      </c>
      <c r="O948" t="n">
        <v>0</v>
      </c>
      <c r="P948" t="n">
        <v>0</v>
      </c>
      <c r="Q948" t="n">
        <v>0</v>
      </c>
      <c r="R948" t="n">
        <v>0</v>
      </c>
      <c r="S948" t="n">
        <v>0</v>
      </c>
      <c r="T948" t="n">
        <v>0</v>
      </c>
      <c r="U948" s="2" t="inlineStr"/>
    </row>
    <row r="949" ht="15" customHeight="1">
      <c r="A949" t="inlineStr">
        <is>
          <t>A 55514-2024</t>
        </is>
      </c>
      <c r="B949" t="inlineStr">
        <is>
          <t>avverkningsanmälan</t>
        </is>
      </c>
      <c r="C949" t="inlineStr">
        <is>
          <t>Föryngringsavverkning</t>
        </is>
      </c>
      <c r="D949" s="1" t="n">
        <v>45622</v>
      </c>
      <c r="E949" s="1" t="n">
        <v>46220</v>
      </c>
      <c r="F949" t="inlineStr">
        <is>
          <t>JÄMTLANDS LÄN</t>
        </is>
      </c>
      <c r="G949" t="inlineStr">
        <is>
          <t>RAGUNDA</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18375-2022</t>
        </is>
      </c>
      <c r="B950" t="inlineStr">
        <is>
          <t>avverkningsanmälan</t>
        </is>
      </c>
      <c r="C950" t="inlineStr">
        <is>
          <t>Föryngringsavverkning</t>
        </is>
      </c>
      <c r="D950" s="1" t="n">
        <v>44685</v>
      </c>
      <c r="E950" s="1" t="n">
        <v>46220</v>
      </c>
      <c r="F950" t="inlineStr">
        <is>
          <t>JÄMTLANDS LÄN</t>
        </is>
      </c>
      <c r="G950" t="inlineStr">
        <is>
          <t>RAGUNDA</t>
        </is>
      </c>
      <c r="H950" t="inlineStr">
        <is>
          <t>SCA</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17248-2023</t>
        </is>
      </c>
      <c r="B951" t="inlineStr">
        <is>
          <t>avverkningsanmälan</t>
        </is>
      </c>
      <c r="C951" t="inlineStr">
        <is>
          <t>Föryngringsavverkning</t>
        </is>
      </c>
      <c r="D951" s="1" t="n">
        <v>45033</v>
      </c>
      <c r="E951" s="1" t="n">
        <v>46220</v>
      </c>
      <c r="F951" t="inlineStr">
        <is>
          <t>JÄMTLANDS LÄN</t>
        </is>
      </c>
      <c r="G951" t="inlineStr">
        <is>
          <t>RAGUNDA</t>
        </is>
      </c>
      <c r="I951" t="n">
        <v>3</v>
      </c>
      <c r="J951" t="n">
        <v>0</v>
      </c>
      <c r="K951" t="n">
        <v>0</v>
      </c>
      <c r="L951" t="n">
        <v>0</v>
      </c>
      <c r="M951" t="n">
        <v>0</v>
      </c>
      <c r="N951" t="n">
        <v>0</v>
      </c>
      <c r="O951" t="n">
        <v>0</v>
      </c>
      <c r="P951" t="n">
        <v>0</v>
      </c>
      <c r="Q951" t="n">
        <v>0</v>
      </c>
      <c r="R951" t="n">
        <v>0</v>
      </c>
      <c r="S951" t="n">
        <v>0</v>
      </c>
      <c r="T951" t="n">
        <v>0</v>
      </c>
      <c r="U951" s="2" t="inlineStr"/>
    </row>
    <row r="952" ht="15" customHeight="1">
      <c r="A952" t="inlineStr">
        <is>
          <t>A 62011-2022</t>
        </is>
      </c>
      <c r="B952" t="inlineStr">
        <is>
          <t>avverkningsanmälan</t>
        </is>
      </c>
      <c r="C952" t="inlineStr">
        <is>
          <t>Avverkning för annat ändamål</t>
        </is>
      </c>
      <c r="D952" s="1" t="n">
        <v>44914</v>
      </c>
      <c r="E952" s="1" t="n">
        <v>46220</v>
      </c>
      <c r="F952" t="inlineStr">
        <is>
          <t>JÄMTLANDS LÄN</t>
        </is>
      </c>
      <c r="G952" t="inlineStr">
        <is>
          <t>RAGUNDA</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11557-2023</t>
        </is>
      </c>
      <c r="B953" t="inlineStr">
        <is>
          <t>avverkningsanmälan</t>
        </is>
      </c>
      <c r="C953" t="inlineStr">
        <is>
          <t>Föryngringsavverkning</t>
        </is>
      </c>
      <c r="D953" s="1" t="n">
        <v>44993</v>
      </c>
      <c r="E953" s="1" t="n">
        <v>46220</v>
      </c>
      <c r="F953" t="inlineStr">
        <is>
          <t>JÄMTLANDS LÄN</t>
        </is>
      </c>
      <c r="G953" t="inlineStr">
        <is>
          <t>RAGUNDA</t>
        </is>
      </c>
      <c r="H953" t="inlineStr">
        <is>
          <t>SCA</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11562-2023</t>
        </is>
      </c>
      <c r="B954" t="inlineStr">
        <is>
          <t>avverkningsanmälan</t>
        </is>
      </c>
      <c r="C954" t="inlineStr">
        <is>
          <t>Avverkning för att bevara och utveckla /försöksver</t>
        </is>
      </c>
      <c r="D954" s="1" t="n">
        <v>44993</v>
      </c>
      <c r="E954" s="1" t="n">
        <v>46220</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28422-2026</t>
        </is>
      </c>
      <c r="B955" t="inlineStr">
        <is>
          <t>avverkningsanmälan</t>
        </is>
      </c>
      <c r="C955" t="inlineStr">
        <is>
          <t>Föryngringsavverkning</t>
        </is>
      </c>
      <c r="D955" s="1" t="n">
        <v>46197</v>
      </c>
      <c r="E955" s="1" t="n">
        <v>46220</v>
      </c>
      <c r="F955" t="inlineStr">
        <is>
          <t>JÄMTLANDS LÄN</t>
        </is>
      </c>
      <c r="G955" t="inlineStr">
        <is>
          <t>RAGUNDA</t>
        </is>
      </c>
      <c r="I955" t="n">
        <v>5.7</v>
      </c>
      <c r="J955" t="n">
        <v>0</v>
      </c>
      <c r="K955" t="n">
        <v>0</v>
      </c>
      <c r="L955" t="n">
        <v>0</v>
      </c>
      <c r="M955" t="n">
        <v>0</v>
      </c>
      <c r="N955" t="n">
        <v>0</v>
      </c>
      <c r="O955" t="n">
        <v>0</v>
      </c>
      <c r="P955" t="n">
        <v>0</v>
      </c>
      <c r="Q955" t="n">
        <v>0</v>
      </c>
      <c r="R955" t="n">
        <v>0</v>
      </c>
      <c r="S955" t="n">
        <v>0</v>
      </c>
      <c r="T955" t="n">
        <v>0</v>
      </c>
      <c r="U955" s="2" t="inlineStr"/>
    </row>
    <row r="956" ht="15" customHeight="1">
      <c r="A956" t="inlineStr">
        <is>
          <t>A 30563-2023</t>
        </is>
      </c>
      <c r="B956" t="inlineStr">
        <is>
          <t>avverkningsanmälan</t>
        </is>
      </c>
      <c r="C956" t="inlineStr">
        <is>
          <t>Föryngringsavverkning</t>
        </is>
      </c>
      <c r="D956" s="1" t="n">
        <v>45111</v>
      </c>
      <c r="E956" s="1" t="n">
        <v>46220</v>
      </c>
      <c r="F956" t="inlineStr">
        <is>
          <t>JÄMTLANDS LÄN</t>
        </is>
      </c>
      <c r="G956" t="inlineStr">
        <is>
          <t>RAGUNDA</t>
        </is>
      </c>
      <c r="H956" t="inlineStr">
        <is>
          <t>Övriga Aktiebolag</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36212-2023</t>
        </is>
      </c>
      <c r="B957" t="inlineStr">
        <is>
          <t>avverkningsanmälan</t>
        </is>
      </c>
      <c r="C957" t="inlineStr">
        <is>
          <t>Föryngringsavverkning</t>
        </is>
      </c>
      <c r="D957" s="1" t="n">
        <v>45149</v>
      </c>
      <c r="E957" s="1" t="n">
        <v>46220</v>
      </c>
      <c r="F957" t="inlineStr">
        <is>
          <t>JÄMTLANDS LÄN</t>
        </is>
      </c>
      <c r="G957" t="inlineStr">
        <is>
          <t>RAGUNDA</t>
        </is>
      </c>
      <c r="H957" t="inlineStr">
        <is>
          <t>SCA</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28423-2026</t>
        </is>
      </c>
      <c r="B958" t="inlineStr">
        <is>
          <t>avverkningsanmälan</t>
        </is>
      </c>
      <c r="C958" t="inlineStr">
        <is>
          <t>Föryngringsavverkning</t>
        </is>
      </c>
      <c r="D958" s="1" t="n">
        <v>46197</v>
      </c>
      <c r="E958" s="1" t="n">
        <v>46220</v>
      </c>
      <c r="F958" t="inlineStr">
        <is>
          <t>JÄMTLANDS LÄN</t>
        </is>
      </c>
      <c r="G958" t="inlineStr">
        <is>
          <t>RAGUNDA</t>
        </is>
      </c>
      <c r="I958" t="n">
        <v>5.1</v>
      </c>
      <c r="J958" t="n">
        <v>0</v>
      </c>
      <c r="K958" t="n">
        <v>0</v>
      </c>
      <c r="L958" t="n">
        <v>0</v>
      </c>
      <c r="M958" t="n">
        <v>0</v>
      </c>
      <c r="N958" t="n">
        <v>0</v>
      </c>
      <c r="O958" t="n">
        <v>0</v>
      </c>
      <c r="P958" t="n">
        <v>0</v>
      </c>
      <c r="Q958" t="n">
        <v>0</v>
      </c>
      <c r="R958" t="n">
        <v>0</v>
      </c>
      <c r="S958" t="n">
        <v>0</v>
      </c>
      <c r="T958" t="n">
        <v>0</v>
      </c>
      <c r="U958" s="2" t="inlineStr"/>
    </row>
    <row r="959" ht="15" customHeight="1">
      <c r="A959" t="inlineStr">
        <is>
          <t>A 12768-2022</t>
        </is>
      </c>
      <c r="B959" t="inlineStr">
        <is>
          <t>avverkningsanmälan</t>
        </is>
      </c>
      <c r="C959" t="inlineStr">
        <is>
          <t>Föryngringsavverkning</t>
        </is>
      </c>
      <c r="D959" s="1" t="n">
        <v>44641</v>
      </c>
      <c r="E959" s="1" t="n">
        <v>46220</v>
      </c>
      <c r="F959" t="inlineStr">
        <is>
          <t>JÄMTLANDS LÄN</t>
        </is>
      </c>
      <c r="G959" t="inlineStr">
        <is>
          <t>RAGUNDA</t>
        </is>
      </c>
      <c r="H959" t="inlineStr">
        <is>
          <t>SCA</t>
        </is>
      </c>
      <c r="I959" t="n">
        <v>8</v>
      </c>
      <c r="J959" t="n">
        <v>0</v>
      </c>
      <c r="K959" t="n">
        <v>0</v>
      </c>
      <c r="L959" t="n">
        <v>0</v>
      </c>
      <c r="M959" t="n">
        <v>0</v>
      </c>
      <c r="N959" t="n">
        <v>0</v>
      </c>
      <c r="O959" t="n">
        <v>0</v>
      </c>
      <c r="P959" t="n">
        <v>0</v>
      </c>
      <c r="Q959" t="n">
        <v>0</v>
      </c>
      <c r="R959" t="n">
        <v>0</v>
      </c>
      <c r="S959" t="n">
        <v>0</v>
      </c>
      <c r="T959" t="n">
        <v>0</v>
      </c>
      <c r="U959" s="2" t="inlineStr"/>
    </row>
    <row r="960" ht="15" customHeight="1">
      <c r="A960" t="inlineStr">
        <is>
          <t>A 12773-2022</t>
        </is>
      </c>
      <c r="B960" t="inlineStr">
        <is>
          <t>avverkningsanmälan</t>
        </is>
      </c>
      <c r="C960" t="inlineStr">
        <is>
          <t>Föryngringsavverkning</t>
        </is>
      </c>
      <c r="D960" s="1" t="n">
        <v>44641</v>
      </c>
      <c r="E960" s="1" t="n">
        <v>46220</v>
      </c>
      <c r="F960" t="inlineStr">
        <is>
          <t>JÄMTLANDS LÄN</t>
        </is>
      </c>
      <c r="G960" t="inlineStr">
        <is>
          <t>RAGUNDA</t>
        </is>
      </c>
      <c r="H960" t="inlineStr">
        <is>
          <t>SCA</t>
        </is>
      </c>
      <c r="I960" t="n">
        <v>14.7</v>
      </c>
      <c r="J960" t="n">
        <v>0</v>
      </c>
      <c r="K960" t="n">
        <v>0</v>
      </c>
      <c r="L960" t="n">
        <v>0</v>
      </c>
      <c r="M960" t="n">
        <v>0</v>
      </c>
      <c r="N960" t="n">
        <v>0</v>
      </c>
      <c r="O960" t="n">
        <v>0</v>
      </c>
      <c r="P960" t="n">
        <v>0</v>
      </c>
      <c r="Q960" t="n">
        <v>0</v>
      </c>
      <c r="R960" t="n">
        <v>0</v>
      </c>
      <c r="S960" t="n">
        <v>0</v>
      </c>
      <c r="T960" t="n">
        <v>0</v>
      </c>
      <c r="U960" s="2" t="inlineStr"/>
    </row>
    <row r="961" ht="15" customHeight="1">
      <c r="A961" t="inlineStr">
        <is>
          <t>A 28898-2026</t>
        </is>
      </c>
      <c r="B961" t="inlineStr">
        <is>
          <t>avverkningsanmälan</t>
        </is>
      </c>
      <c r="C961" t="inlineStr">
        <is>
          <t>Föryngringsavverkning</t>
        </is>
      </c>
      <c r="D961" s="1" t="n">
        <v>46199</v>
      </c>
      <c r="E961" s="1" t="n">
        <v>46220</v>
      </c>
      <c r="F961" t="inlineStr">
        <is>
          <t>JÄMTLANDS LÄN</t>
        </is>
      </c>
      <c r="G961" t="inlineStr">
        <is>
          <t>RAGUNDA</t>
        </is>
      </c>
      <c r="I961" t="n">
        <v>2.8</v>
      </c>
      <c r="J961" t="n">
        <v>0</v>
      </c>
      <c r="K961" t="n">
        <v>0</v>
      </c>
      <c r="L961" t="n">
        <v>0</v>
      </c>
      <c r="M961" t="n">
        <v>0</v>
      </c>
      <c r="N961" t="n">
        <v>0</v>
      </c>
      <c r="O961" t="n">
        <v>0</v>
      </c>
      <c r="P961" t="n">
        <v>0</v>
      </c>
      <c r="Q961" t="n">
        <v>0</v>
      </c>
      <c r="R961" t="n">
        <v>0</v>
      </c>
      <c r="S961" t="n">
        <v>0</v>
      </c>
      <c r="T961" t="n">
        <v>0</v>
      </c>
      <c r="U961" s="2" t="inlineStr"/>
    </row>
    <row r="962" ht="15" customHeight="1">
      <c r="A962" t="inlineStr">
        <is>
          <t>A 28921-2026</t>
        </is>
      </c>
      <c r="B962" t="inlineStr">
        <is>
          <t>avverkningsanmälan</t>
        </is>
      </c>
      <c r="C962" t="inlineStr">
        <is>
          <t>Föryngringsavverkning</t>
        </is>
      </c>
      <c r="D962" s="1" t="n">
        <v>46199</v>
      </c>
      <c r="E962" s="1" t="n">
        <v>46220</v>
      </c>
      <c r="F962" t="inlineStr">
        <is>
          <t>JÄMTLANDS LÄN</t>
        </is>
      </c>
      <c r="G962" t="inlineStr">
        <is>
          <t>RAGUNDA</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5067-2024</t>
        </is>
      </c>
      <c r="B963" t="inlineStr">
        <is>
          <t>avverkningsanmälan</t>
        </is>
      </c>
      <c r="C963" t="inlineStr">
        <is>
          <t>Föryngringsavverkning</t>
        </is>
      </c>
      <c r="D963" s="1" t="n">
        <v>45329</v>
      </c>
      <c r="E963" s="1" t="n">
        <v>46220</v>
      </c>
      <c r="F963" t="inlineStr">
        <is>
          <t>JÄMTLANDS LÄN</t>
        </is>
      </c>
      <c r="G963" t="inlineStr">
        <is>
          <t>RAGUNDA</t>
        </is>
      </c>
      <c r="H963" t="inlineStr">
        <is>
          <t>SCA</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28919-2026</t>
        </is>
      </c>
      <c r="B964" t="inlineStr">
        <is>
          <t>avverkningsanmälan</t>
        </is>
      </c>
      <c r="C964" t="inlineStr">
        <is>
          <t>Föryngringsavverkning</t>
        </is>
      </c>
      <c r="D964" s="1" t="n">
        <v>46199</v>
      </c>
      <c r="E964" s="1" t="n">
        <v>46220</v>
      </c>
      <c r="F964" t="inlineStr">
        <is>
          <t>JÄMTLANDS LÄN</t>
        </is>
      </c>
      <c r="G964" t="inlineStr">
        <is>
          <t>RAGUNDA</t>
        </is>
      </c>
      <c r="I964" t="n">
        <v>0.4</v>
      </c>
      <c r="J964" t="n">
        <v>0</v>
      </c>
      <c r="K964" t="n">
        <v>0</v>
      </c>
      <c r="L964" t="n">
        <v>0</v>
      </c>
      <c r="M964" t="n">
        <v>0</v>
      </c>
      <c r="N964" t="n">
        <v>0</v>
      </c>
      <c r="O964" t="n">
        <v>0</v>
      </c>
      <c r="P964" t="n">
        <v>0</v>
      </c>
      <c r="Q964" t="n">
        <v>0</v>
      </c>
      <c r="R964" t="n">
        <v>0</v>
      </c>
      <c r="S964" t="n">
        <v>0</v>
      </c>
      <c r="T964" t="n">
        <v>0</v>
      </c>
      <c r="U964" s="2" t="inlineStr"/>
    </row>
    <row r="965" ht="15" customHeight="1">
      <c r="A965" t="inlineStr">
        <is>
          <t>A 28920-2026</t>
        </is>
      </c>
      <c r="B965" t="inlineStr">
        <is>
          <t>avverkningsanmälan</t>
        </is>
      </c>
      <c r="C965" t="inlineStr">
        <is>
          <t>Föryngringsavverkning</t>
        </is>
      </c>
      <c r="D965" s="1" t="n">
        <v>46199</v>
      </c>
      <c r="E965" s="1" t="n">
        <v>46220</v>
      </c>
      <c r="F965" t="inlineStr">
        <is>
          <t>JÄMTLANDS LÄN</t>
        </is>
      </c>
      <c r="G965" t="inlineStr">
        <is>
          <t>RAGUNDA</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28922-2026</t>
        </is>
      </c>
      <c r="B966" t="inlineStr">
        <is>
          <t>avverkningsanmälan</t>
        </is>
      </c>
      <c r="C966" t="inlineStr">
        <is>
          <t>Föryngringsavverkning</t>
        </is>
      </c>
      <c r="D966" s="1" t="n">
        <v>46199</v>
      </c>
      <c r="E966" s="1" t="n">
        <v>46220</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14905-2022</t>
        </is>
      </c>
      <c r="B967" t="inlineStr">
        <is>
          <t>avverkningsanmälan</t>
        </is>
      </c>
      <c r="C967" t="inlineStr">
        <is>
          <t>Föryngringsavverkning</t>
        </is>
      </c>
      <c r="D967" s="1" t="n">
        <v>44656</v>
      </c>
      <c r="E967" s="1" t="n">
        <v>46220</v>
      </c>
      <c r="F967" t="inlineStr">
        <is>
          <t>JÄMTLANDS LÄN</t>
        </is>
      </c>
      <c r="G967" t="inlineStr">
        <is>
          <t>RAGUNDA</t>
        </is>
      </c>
      <c r="H967" t="inlineStr">
        <is>
          <t>SCA</t>
        </is>
      </c>
      <c r="I967" t="n">
        <v>1.2</v>
      </c>
      <c r="J967" t="n">
        <v>0</v>
      </c>
      <c r="K967" t="n">
        <v>0</v>
      </c>
      <c r="L967" t="n">
        <v>0</v>
      </c>
      <c r="M967" t="n">
        <v>0</v>
      </c>
      <c r="N967" t="n">
        <v>0</v>
      </c>
      <c r="O967" t="n">
        <v>0</v>
      </c>
      <c r="P967" t="n">
        <v>0</v>
      </c>
      <c r="Q967" t="n">
        <v>0</v>
      </c>
      <c r="R967" t="n">
        <v>0</v>
      </c>
      <c r="S967" t="n">
        <v>0</v>
      </c>
      <c r="T967" t="n">
        <v>0</v>
      </c>
      <c r="U967" s="2" t="inlineStr"/>
    </row>
    <row r="968" ht="15" customHeight="1">
      <c r="A968" t="inlineStr">
        <is>
          <t>A 28904-2026</t>
        </is>
      </c>
      <c r="B968" t="inlineStr">
        <is>
          <t>avverkningsanmälan</t>
        </is>
      </c>
      <c r="C968" t="inlineStr">
        <is>
          <t>Föryngringsavverkning</t>
        </is>
      </c>
      <c r="D968" s="1" t="n">
        <v>46199</v>
      </c>
      <c r="E968" s="1" t="n">
        <v>46220</v>
      </c>
      <c r="F968" t="inlineStr">
        <is>
          <t>JÄMTLANDS LÄN</t>
        </is>
      </c>
      <c r="G968" t="inlineStr">
        <is>
          <t>RAGUNDA</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22739-2026</t>
        </is>
      </c>
      <c r="B969" t="inlineStr">
        <is>
          <t>avverkningsanmälan</t>
        </is>
      </c>
      <c r="C969" t="inlineStr">
        <is>
          <t>Föryngringsavverkning</t>
        </is>
      </c>
      <c r="D969" s="1" t="n">
        <v>46157</v>
      </c>
      <c r="E969" s="1" t="n">
        <v>46220</v>
      </c>
      <c r="F969" t="inlineStr">
        <is>
          <t>JÄMTLANDS LÄN</t>
        </is>
      </c>
      <c r="G969" t="inlineStr">
        <is>
          <t>RAGUNDA</t>
        </is>
      </c>
      <c r="H969" t="inlineStr">
        <is>
          <t>SCA</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22710-2026</t>
        </is>
      </c>
      <c r="B970" t="inlineStr">
        <is>
          <t>avverkningsanmälan</t>
        </is>
      </c>
      <c r="C970" t="inlineStr">
        <is>
          <t>Föryngringsavverkning</t>
        </is>
      </c>
      <c r="D970" s="1" t="n">
        <v>46156</v>
      </c>
      <c r="E970" s="1" t="n">
        <v>46220</v>
      </c>
      <c r="F970" t="inlineStr">
        <is>
          <t>JÄMTLANDS LÄN</t>
        </is>
      </c>
      <c r="G970" t="inlineStr">
        <is>
          <t>RAGUNDA</t>
        </is>
      </c>
      <c r="H970" t="inlineStr">
        <is>
          <t>SCA</t>
        </is>
      </c>
      <c r="I970" t="n">
        <v>1.5</v>
      </c>
      <c r="J970" t="n">
        <v>0</v>
      </c>
      <c r="K970" t="n">
        <v>0</v>
      </c>
      <c r="L970" t="n">
        <v>0</v>
      </c>
      <c r="M970" t="n">
        <v>0</v>
      </c>
      <c r="N970" t="n">
        <v>0</v>
      </c>
      <c r="O970" t="n">
        <v>0</v>
      </c>
      <c r="P970" t="n">
        <v>0</v>
      </c>
      <c r="Q970" t="n">
        <v>0</v>
      </c>
      <c r="R970" t="n">
        <v>0</v>
      </c>
      <c r="S970" t="n">
        <v>0</v>
      </c>
      <c r="T970" t="n">
        <v>0</v>
      </c>
      <c r="U970" s="2" t="inlineStr"/>
    </row>
    <row r="971" ht="15" customHeight="1">
      <c r="A971" t="inlineStr">
        <is>
          <t>A 23287-2024</t>
        </is>
      </c>
      <c r="B971" t="inlineStr">
        <is>
          <t>avverkningsanmälan</t>
        </is>
      </c>
      <c r="C971" t="inlineStr">
        <is>
          <t>Föryngringsavverkning</t>
        </is>
      </c>
      <c r="D971" s="1" t="n">
        <v>45453</v>
      </c>
      <c r="E971" s="1" t="n">
        <v>46220</v>
      </c>
      <c r="F971" t="inlineStr">
        <is>
          <t>JÄMTLANDS LÄN</t>
        </is>
      </c>
      <c r="G971" t="inlineStr">
        <is>
          <t>RAGUNDA</t>
        </is>
      </c>
      <c r="I971" t="n">
        <v>3.1</v>
      </c>
      <c r="J971" t="n">
        <v>0</v>
      </c>
      <c r="K971" t="n">
        <v>0</v>
      </c>
      <c r="L971" t="n">
        <v>0</v>
      </c>
      <c r="M971" t="n">
        <v>0</v>
      </c>
      <c r="N971" t="n">
        <v>0</v>
      </c>
      <c r="O971" t="n">
        <v>0</v>
      </c>
      <c r="P971" t="n">
        <v>0</v>
      </c>
      <c r="Q971" t="n">
        <v>0</v>
      </c>
      <c r="R971" t="n">
        <v>0</v>
      </c>
      <c r="S971" t="n">
        <v>0</v>
      </c>
      <c r="T971" t="n">
        <v>0</v>
      </c>
      <c r="U971" s="2" t="inlineStr"/>
    </row>
    <row r="972" ht="15" customHeight="1">
      <c r="A972" t="inlineStr">
        <is>
          <t>A 36922-2022</t>
        </is>
      </c>
      <c r="B972" t="inlineStr">
        <is>
          <t>avverkningsanmälan</t>
        </is>
      </c>
      <c r="C972" t="inlineStr">
        <is>
          <t>Avverkning för att bevara och utveckla /försöksver</t>
        </is>
      </c>
      <c r="D972" s="1" t="n">
        <v>44805</v>
      </c>
      <c r="E972" s="1" t="n">
        <v>46220</v>
      </c>
      <c r="F972" t="inlineStr">
        <is>
          <t>JÄMTLANDS LÄN</t>
        </is>
      </c>
      <c r="G972" t="inlineStr">
        <is>
          <t>RAGUNDA</t>
        </is>
      </c>
      <c r="H972" t="inlineStr">
        <is>
          <t>SCA</t>
        </is>
      </c>
      <c r="I972" t="n">
        <v>4</v>
      </c>
      <c r="J972" t="n">
        <v>0</v>
      </c>
      <c r="K972" t="n">
        <v>0</v>
      </c>
      <c r="L972" t="n">
        <v>0</v>
      </c>
      <c r="M972" t="n">
        <v>0</v>
      </c>
      <c r="N972" t="n">
        <v>0</v>
      </c>
      <c r="O972" t="n">
        <v>0</v>
      </c>
      <c r="P972" t="n">
        <v>0</v>
      </c>
      <c r="Q972" t="n">
        <v>0</v>
      </c>
      <c r="R972" t="n">
        <v>0</v>
      </c>
      <c r="S972" t="n">
        <v>0</v>
      </c>
      <c r="T972" t="n">
        <v>0</v>
      </c>
      <c r="U972" s="2" t="inlineStr"/>
    </row>
    <row r="973" ht="15" customHeight="1">
      <c r="A973" t="inlineStr">
        <is>
          <t>A 26347-2023</t>
        </is>
      </c>
      <c r="B973" t="inlineStr">
        <is>
          <t>avverkningsanmälan</t>
        </is>
      </c>
      <c r="C973" t="inlineStr">
        <is>
          <t>Avverkning för att bevara och utveckla /försöksver</t>
        </is>
      </c>
      <c r="D973" s="1" t="n">
        <v>45091</v>
      </c>
      <c r="E973" s="1" t="n">
        <v>46220</v>
      </c>
      <c r="F973" t="inlineStr">
        <is>
          <t>JÄMTLANDS LÄN</t>
        </is>
      </c>
      <c r="G973" t="inlineStr">
        <is>
          <t>RAGUNDA</t>
        </is>
      </c>
      <c r="H973" t="inlineStr">
        <is>
          <t>SCA</t>
        </is>
      </c>
      <c r="I973" t="n">
        <v>6.6</v>
      </c>
      <c r="J973" t="n">
        <v>0</v>
      </c>
      <c r="K973" t="n">
        <v>0</v>
      </c>
      <c r="L973" t="n">
        <v>0</v>
      </c>
      <c r="M973" t="n">
        <v>0</v>
      </c>
      <c r="N973" t="n">
        <v>0</v>
      </c>
      <c r="O973" t="n">
        <v>0</v>
      </c>
      <c r="P973" t="n">
        <v>0</v>
      </c>
      <c r="Q973" t="n">
        <v>0</v>
      </c>
      <c r="R973" t="n">
        <v>0</v>
      </c>
      <c r="S973" t="n">
        <v>0</v>
      </c>
      <c r="T973" t="n">
        <v>0</v>
      </c>
      <c r="U973" s="2" t="inlineStr"/>
    </row>
    <row r="974" ht="15" customHeight="1">
      <c r="A974" t="inlineStr">
        <is>
          <t>A 28888-2026</t>
        </is>
      </c>
      <c r="B974" t="inlineStr">
        <is>
          <t>avverkningsanmälan</t>
        </is>
      </c>
      <c r="C974" t="inlineStr">
        <is>
          <t>Föryngringsavverkning</t>
        </is>
      </c>
      <c r="D974" s="1" t="n">
        <v>46199</v>
      </c>
      <c r="E974" s="1" t="n">
        <v>46220</v>
      </c>
      <c r="F974" t="inlineStr">
        <is>
          <t>JÄMTLANDS LÄN</t>
        </is>
      </c>
      <c r="G974" t="inlineStr">
        <is>
          <t>RAGUNDA</t>
        </is>
      </c>
      <c r="I974" t="n">
        <v>6.1</v>
      </c>
      <c r="J974" t="n">
        <v>0</v>
      </c>
      <c r="K974" t="n">
        <v>0</v>
      </c>
      <c r="L974" t="n">
        <v>0</v>
      </c>
      <c r="M974" t="n">
        <v>0</v>
      </c>
      <c r="N974" t="n">
        <v>0</v>
      </c>
      <c r="O974" t="n">
        <v>0</v>
      </c>
      <c r="P974" t="n">
        <v>0</v>
      </c>
      <c r="Q974" t="n">
        <v>0</v>
      </c>
      <c r="R974" t="n">
        <v>0</v>
      </c>
      <c r="S974" t="n">
        <v>0</v>
      </c>
      <c r="T974" t="n">
        <v>0</v>
      </c>
      <c r="U974" s="2" t="inlineStr"/>
    </row>
    <row r="975" ht="15" customHeight="1">
      <c r="A975" t="inlineStr">
        <is>
          <t>A 34483-2023</t>
        </is>
      </c>
      <c r="B975" t="inlineStr">
        <is>
          <t>avverkningsanmälan</t>
        </is>
      </c>
      <c r="C975" t="inlineStr">
        <is>
          <t>Avverkning för att bevara och utveckla /försöksver</t>
        </is>
      </c>
      <c r="D975" s="1" t="n">
        <v>45139</v>
      </c>
      <c r="E975" s="1" t="n">
        <v>46220</v>
      </c>
      <c r="F975" t="inlineStr">
        <is>
          <t>JÄMTLANDS LÄN</t>
        </is>
      </c>
      <c r="G975" t="inlineStr">
        <is>
          <t>RAGUNDA</t>
        </is>
      </c>
      <c r="H975" t="inlineStr">
        <is>
          <t>SCA</t>
        </is>
      </c>
      <c r="I975" t="n">
        <v>2.8</v>
      </c>
      <c r="J975" t="n">
        <v>0</v>
      </c>
      <c r="K975" t="n">
        <v>0</v>
      </c>
      <c r="L975" t="n">
        <v>0</v>
      </c>
      <c r="M975" t="n">
        <v>0</v>
      </c>
      <c r="N975" t="n">
        <v>0</v>
      </c>
      <c r="O975" t="n">
        <v>0</v>
      </c>
      <c r="P975" t="n">
        <v>0</v>
      </c>
      <c r="Q975" t="n">
        <v>0</v>
      </c>
      <c r="R975" t="n">
        <v>0</v>
      </c>
      <c r="S975" t="n">
        <v>0</v>
      </c>
      <c r="T975" t="n">
        <v>0</v>
      </c>
      <c r="U975" s="2" t="inlineStr"/>
    </row>
    <row r="976" ht="15" customHeight="1">
      <c r="A976" t="inlineStr">
        <is>
          <t>A 22948-2024</t>
        </is>
      </c>
      <c r="B976" t="inlineStr">
        <is>
          <t>avverkningsanmälan</t>
        </is>
      </c>
      <c r="C976" t="inlineStr">
        <is>
          <t>Föryngringsavverkning</t>
        </is>
      </c>
      <c r="D976" s="1" t="n">
        <v>45448</v>
      </c>
      <c r="E976" s="1" t="n">
        <v>46220</v>
      </c>
      <c r="F976" t="inlineStr">
        <is>
          <t>JÄMTLANDS LÄN</t>
        </is>
      </c>
      <c r="G976" t="inlineStr">
        <is>
          <t>RAGUNDA</t>
        </is>
      </c>
      <c r="H976" t="inlineStr">
        <is>
          <t>SCA</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36226-2023</t>
        </is>
      </c>
      <c r="B977" t="inlineStr">
        <is>
          <t>avverkningsanmälan</t>
        </is>
      </c>
      <c r="C977" t="inlineStr">
        <is>
          <t>Föryngringsavverkning</t>
        </is>
      </c>
      <c r="D977" s="1" t="n">
        <v>45149</v>
      </c>
      <c r="E977" s="1" t="n">
        <v>46220</v>
      </c>
      <c r="F977" t="inlineStr">
        <is>
          <t>JÄMTLANDS LÄN</t>
        </is>
      </c>
      <c r="G977" t="inlineStr">
        <is>
          <t>RAGUNDA</t>
        </is>
      </c>
      <c r="H977" t="inlineStr">
        <is>
          <t>SCA</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18615-2024</t>
        </is>
      </c>
      <c r="B978" t="inlineStr">
        <is>
          <t>avverkningsanmälan</t>
        </is>
      </c>
      <c r="C978" t="inlineStr">
        <is>
          <t>Avverkning för att bevara och utveckla /försöksver</t>
        </is>
      </c>
      <c r="D978" s="1" t="n">
        <v>45425</v>
      </c>
      <c r="E978" s="1" t="n">
        <v>46220</v>
      </c>
      <c r="F978" t="inlineStr">
        <is>
          <t>JÄMTLANDS LÄN</t>
        </is>
      </c>
      <c r="G978" t="inlineStr">
        <is>
          <t>RAGUNDA</t>
        </is>
      </c>
      <c r="H978" t="inlineStr">
        <is>
          <t>SCA</t>
        </is>
      </c>
      <c r="I978" t="n">
        <v>3.4</v>
      </c>
      <c r="J978" t="n">
        <v>0</v>
      </c>
      <c r="K978" t="n">
        <v>0</v>
      </c>
      <c r="L978" t="n">
        <v>0</v>
      </c>
      <c r="M978" t="n">
        <v>0</v>
      </c>
      <c r="N978" t="n">
        <v>0</v>
      </c>
      <c r="O978" t="n">
        <v>0</v>
      </c>
      <c r="P978" t="n">
        <v>0</v>
      </c>
      <c r="Q978" t="n">
        <v>0</v>
      </c>
      <c r="R978" t="n">
        <v>0</v>
      </c>
      <c r="S978" t="n">
        <v>0</v>
      </c>
      <c r="T978" t="n">
        <v>0</v>
      </c>
      <c r="U978" s="2" t="inlineStr"/>
    </row>
    <row r="979" ht="15" customHeight="1">
      <c r="A979" t="inlineStr">
        <is>
          <t>A 6693-2026</t>
        </is>
      </c>
      <c r="B979" t="inlineStr">
        <is>
          <t>avverkningsanmälan</t>
        </is>
      </c>
      <c r="C979" t="inlineStr">
        <is>
          <t>Föryngringsavverkning</t>
        </is>
      </c>
      <c r="D979" s="1" t="n">
        <v>46056</v>
      </c>
      <c r="E979" s="1" t="n">
        <v>46220</v>
      </c>
      <c r="F979" t="inlineStr">
        <is>
          <t>JÄMTLANDS LÄN</t>
        </is>
      </c>
      <c r="G979" t="inlineStr">
        <is>
          <t>RAGUNDA</t>
        </is>
      </c>
      <c r="I979" t="n">
        <v>4.3</v>
      </c>
      <c r="J979" t="n">
        <v>0</v>
      </c>
      <c r="K979" t="n">
        <v>0</v>
      </c>
      <c r="L979" t="n">
        <v>0</v>
      </c>
      <c r="M979" t="n">
        <v>0</v>
      </c>
      <c r="N979" t="n">
        <v>0</v>
      </c>
      <c r="O979" t="n">
        <v>0</v>
      </c>
      <c r="P979" t="n">
        <v>0</v>
      </c>
      <c r="Q979" t="n">
        <v>0</v>
      </c>
      <c r="R979" t="n">
        <v>0</v>
      </c>
      <c r="S979" t="n">
        <v>0</v>
      </c>
      <c r="T979" t="n">
        <v>0</v>
      </c>
      <c r="U979" s="2" t="inlineStr"/>
    </row>
    <row r="980" ht="15" customHeight="1">
      <c r="A980" t="inlineStr">
        <is>
          <t>A 40269-2022</t>
        </is>
      </c>
      <c r="B980" t="inlineStr">
        <is>
          <t>avverkningsanmälan</t>
        </is>
      </c>
      <c r="C980" t="inlineStr">
        <is>
          <t>Föryngringsavverkning</t>
        </is>
      </c>
      <c r="D980" s="1" t="n">
        <v>44820</v>
      </c>
      <c r="E980" s="1" t="n">
        <v>46220</v>
      </c>
      <c r="F980" t="inlineStr">
        <is>
          <t>JÄMTLANDS LÄN</t>
        </is>
      </c>
      <c r="G980" t="inlineStr">
        <is>
          <t>RAGUNDA</t>
        </is>
      </c>
      <c r="H980" t="inlineStr">
        <is>
          <t>SCA</t>
        </is>
      </c>
      <c r="I980" t="n">
        <v>77.8</v>
      </c>
      <c r="J980" t="n">
        <v>0</v>
      </c>
      <c r="K980" t="n">
        <v>0</v>
      </c>
      <c r="L980" t="n">
        <v>0</v>
      </c>
      <c r="M980" t="n">
        <v>0</v>
      </c>
      <c r="N980" t="n">
        <v>0</v>
      </c>
      <c r="O980" t="n">
        <v>0</v>
      </c>
      <c r="P980" t="n">
        <v>0</v>
      </c>
      <c r="Q980" t="n">
        <v>0</v>
      </c>
      <c r="R980" t="n">
        <v>0</v>
      </c>
      <c r="S980" t="n">
        <v>0</v>
      </c>
      <c r="T980" t="n">
        <v>0</v>
      </c>
      <c r="U980" s="2" t="inlineStr"/>
    </row>
    <row r="981" ht="15" customHeight="1">
      <c r="A981" t="inlineStr">
        <is>
          <t>A 37242-2024</t>
        </is>
      </c>
      <c r="B981" t="inlineStr">
        <is>
          <t>avverkningsanmälan</t>
        </is>
      </c>
      <c r="C981" t="inlineStr">
        <is>
          <t>Föryngringsavverkning</t>
        </is>
      </c>
      <c r="D981" s="1" t="n">
        <v>45540</v>
      </c>
      <c r="E981" s="1" t="n">
        <v>46220</v>
      </c>
      <c r="F981" t="inlineStr">
        <is>
          <t>JÄMTLANDS LÄN</t>
        </is>
      </c>
      <c r="G981" t="inlineStr">
        <is>
          <t>RAGUNDA</t>
        </is>
      </c>
      <c r="H981" t="inlineStr">
        <is>
          <t>SCA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45438-2022</t>
        </is>
      </c>
      <c r="B982" t="inlineStr">
        <is>
          <t>avverkningsanmälan</t>
        </is>
      </c>
      <c r="C982" t="inlineStr">
        <is>
          <t>Föryngringsavverkning</t>
        </is>
      </c>
      <c r="D982" s="1" t="n">
        <v>44844</v>
      </c>
      <c r="E982" s="1" t="n">
        <v>46220</v>
      </c>
      <c r="F982" t="inlineStr">
        <is>
          <t>JÄMTLANDS LÄN</t>
        </is>
      </c>
      <c r="G982" t="inlineStr">
        <is>
          <t>RAGUNDA</t>
        </is>
      </c>
      <c r="H982" t="inlineStr">
        <is>
          <t>SCA</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56191-2022</t>
        </is>
      </c>
      <c r="B983" t="inlineStr">
        <is>
          <t>avverkningsanmälan</t>
        </is>
      </c>
      <c r="C983" t="inlineStr">
        <is>
          <t>Föryngringsavverkning</t>
        </is>
      </c>
      <c r="D983" s="1" t="n">
        <v>44889</v>
      </c>
      <c r="E983" s="1" t="n">
        <v>46220</v>
      </c>
      <c r="F983" t="inlineStr">
        <is>
          <t>JÄMTLANDS LÄN</t>
        </is>
      </c>
      <c r="G983" t="inlineStr">
        <is>
          <t>RAGUNDA</t>
        </is>
      </c>
      <c r="H983" t="inlineStr">
        <is>
          <t>Sveaskog</t>
        </is>
      </c>
      <c r="I983" t="n">
        <v>3</v>
      </c>
      <c r="J983" t="n">
        <v>0</v>
      </c>
      <c r="K983" t="n">
        <v>0</v>
      </c>
      <c r="L983" t="n">
        <v>0</v>
      </c>
      <c r="M983" t="n">
        <v>0</v>
      </c>
      <c r="N983" t="n">
        <v>0</v>
      </c>
      <c r="O983" t="n">
        <v>0</v>
      </c>
      <c r="P983" t="n">
        <v>0</v>
      </c>
      <c r="Q983" t="n">
        <v>0</v>
      </c>
      <c r="R983" t="n">
        <v>0</v>
      </c>
      <c r="S983" t="n">
        <v>0</v>
      </c>
      <c r="T983" t="n">
        <v>0</v>
      </c>
      <c r="U983" s="2" t="inlineStr"/>
    </row>
    <row r="984" ht="15" customHeight="1">
      <c r="A984" t="inlineStr">
        <is>
          <t>A 30823-2023</t>
        </is>
      </c>
      <c r="B984" t="inlineStr">
        <is>
          <t>avverkningsanmälan</t>
        </is>
      </c>
      <c r="C984" t="inlineStr">
        <is>
          <t>Avverkning för att bevara och utveckla /försöksver</t>
        </is>
      </c>
      <c r="D984" s="1" t="n">
        <v>45112</v>
      </c>
      <c r="E984" s="1" t="n">
        <v>46220</v>
      </c>
      <c r="F984" t="inlineStr">
        <is>
          <t>JÄMTLANDS LÄN</t>
        </is>
      </c>
      <c r="G984" t="inlineStr">
        <is>
          <t>RAGUNDA</t>
        </is>
      </c>
      <c r="H984" t="inlineStr">
        <is>
          <t>SCA</t>
        </is>
      </c>
      <c r="I984" t="n">
        <v>9</v>
      </c>
      <c r="J984" t="n">
        <v>0</v>
      </c>
      <c r="K984" t="n">
        <v>0</v>
      </c>
      <c r="L984" t="n">
        <v>0</v>
      </c>
      <c r="M984" t="n">
        <v>0</v>
      </c>
      <c r="N984" t="n">
        <v>0</v>
      </c>
      <c r="O984" t="n">
        <v>0</v>
      </c>
      <c r="P984" t="n">
        <v>0</v>
      </c>
      <c r="Q984" t="n">
        <v>0</v>
      </c>
      <c r="R984" t="n">
        <v>0</v>
      </c>
      <c r="S984" t="n">
        <v>0</v>
      </c>
      <c r="T984" t="n">
        <v>0</v>
      </c>
      <c r="U984" s="2" t="inlineStr"/>
    </row>
    <row r="985" ht="15" customHeight="1">
      <c r="A985" t="inlineStr">
        <is>
          <t>A 23107-2026</t>
        </is>
      </c>
      <c r="B985" t="inlineStr">
        <is>
          <t>avverkningsanmälan</t>
        </is>
      </c>
      <c r="C985" t="inlineStr">
        <is>
          <t>Föryngringsavverkning</t>
        </is>
      </c>
      <c r="D985" s="1" t="n">
        <v>46161</v>
      </c>
      <c r="E985" s="1" t="n">
        <v>46220</v>
      </c>
      <c r="F985" t="inlineStr">
        <is>
          <t>JÄMTLANDS LÄN</t>
        </is>
      </c>
      <c r="G985" t="inlineStr">
        <is>
          <t>RAGUNDA</t>
        </is>
      </c>
      <c r="H985" t="inlineStr">
        <is>
          <t>SCA</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43339-2024</t>
        </is>
      </c>
      <c r="B986" t="inlineStr">
        <is>
          <t>avverkningsanmälan</t>
        </is>
      </c>
      <c r="C986" t="inlineStr">
        <is>
          <t>Föryngringsavverkning</t>
        </is>
      </c>
      <c r="D986" s="1" t="n">
        <v>45568</v>
      </c>
      <c r="E986" s="1" t="n">
        <v>46220</v>
      </c>
      <c r="F986" t="inlineStr">
        <is>
          <t>JÄMTLANDS LÄN</t>
        </is>
      </c>
      <c r="G986" t="inlineStr">
        <is>
          <t>RAGUNDA</t>
        </is>
      </c>
      <c r="H986" t="inlineStr">
        <is>
          <t>SCA</t>
        </is>
      </c>
      <c r="I986" t="n">
        <v>3</v>
      </c>
      <c r="J986" t="n">
        <v>0</v>
      </c>
      <c r="K986" t="n">
        <v>0</v>
      </c>
      <c r="L986" t="n">
        <v>0</v>
      </c>
      <c r="M986" t="n">
        <v>0</v>
      </c>
      <c r="N986" t="n">
        <v>0</v>
      </c>
      <c r="O986" t="n">
        <v>0</v>
      </c>
      <c r="P986" t="n">
        <v>0</v>
      </c>
      <c r="Q986" t="n">
        <v>0</v>
      </c>
      <c r="R986" t="n">
        <v>0</v>
      </c>
      <c r="S986" t="n">
        <v>0</v>
      </c>
      <c r="T986" t="n">
        <v>0</v>
      </c>
      <c r="U986" s="2" t="inlineStr"/>
    </row>
    <row r="987" ht="15" customHeight="1">
      <c r="A987" t="inlineStr">
        <is>
          <t>A 43102-2023</t>
        </is>
      </c>
      <c r="B987" t="inlineStr">
        <is>
          <t>avverkningsanmälan</t>
        </is>
      </c>
      <c r="C987" t="inlineStr">
        <is>
          <t>Avverkning för annat ändamål</t>
        </is>
      </c>
      <c r="D987" s="1" t="n">
        <v>45182</v>
      </c>
      <c r="E987" s="1" t="n">
        <v>46220</v>
      </c>
      <c r="F987" t="inlineStr">
        <is>
          <t>JÄMTLANDS LÄN</t>
        </is>
      </c>
      <c r="G987" t="inlineStr">
        <is>
          <t>RAGUNDA</t>
        </is>
      </c>
      <c r="H987" t="inlineStr">
        <is>
          <t>SCA</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13917-2023</t>
        </is>
      </c>
      <c r="B988" t="inlineStr">
        <is>
          <t>avverkningsanmälan</t>
        </is>
      </c>
      <c r="C988" t="inlineStr">
        <is>
          <t>Avverkning för annat ändamål</t>
        </is>
      </c>
      <c r="D988" s="1" t="n">
        <v>45007</v>
      </c>
      <c r="E988" s="1" t="n">
        <v>46220</v>
      </c>
      <c r="F988" t="inlineStr">
        <is>
          <t>JÄMTLANDS LÄN</t>
        </is>
      </c>
      <c r="G988" t="inlineStr">
        <is>
          <t>RAGUNDA</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53019-2023</t>
        </is>
      </c>
      <c r="B989" t="inlineStr">
        <is>
          <t>avverkningsanmälan</t>
        </is>
      </c>
      <c r="C989" t="inlineStr">
        <is>
          <t>Avverkning för annat ändamål</t>
        </is>
      </c>
      <c r="D989" s="1" t="n">
        <v>45222</v>
      </c>
      <c r="E989" s="1" t="n">
        <v>46220</v>
      </c>
      <c r="F989" t="inlineStr">
        <is>
          <t>JÄMTLANDS LÄN</t>
        </is>
      </c>
      <c r="G989" t="inlineStr">
        <is>
          <t>RAGUNDA</t>
        </is>
      </c>
      <c r="H989" t="inlineStr">
        <is>
          <t>SCA</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14212-2023</t>
        </is>
      </c>
      <c r="B990" t="inlineStr">
        <is>
          <t>avverkningsanmälan</t>
        </is>
      </c>
      <c r="C990" t="inlineStr">
        <is>
          <t>Föryngringsavverkning</t>
        </is>
      </c>
      <c r="D990" s="1" t="n">
        <v>45009</v>
      </c>
      <c r="E990" s="1" t="n">
        <v>46220</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59996-2023</t>
        </is>
      </c>
      <c r="B991" t="inlineStr">
        <is>
          <t>avverkningsanmälan</t>
        </is>
      </c>
      <c r="C991" t="inlineStr">
        <is>
          <t>Föryngringsavverkning</t>
        </is>
      </c>
      <c r="D991" s="1" t="n">
        <v>45257</v>
      </c>
      <c r="E991" s="1" t="n">
        <v>46220</v>
      </c>
      <c r="F991" t="inlineStr">
        <is>
          <t>JÄMTLANDS LÄN</t>
        </is>
      </c>
      <c r="G991" t="inlineStr">
        <is>
          <t>RAGUNDA</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44980-2023</t>
        </is>
      </c>
      <c r="B992" t="inlineStr">
        <is>
          <t>avverkningsanmälan</t>
        </is>
      </c>
      <c r="C992" t="inlineStr">
        <is>
          <t>Avverkning för att bevara och utveckla /försöksver</t>
        </is>
      </c>
      <c r="D992" s="1" t="n">
        <v>45190</v>
      </c>
      <c r="E992" s="1" t="n">
        <v>46220</v>
      </c>
      <c r="F992" t="inlineStr">
        <is>
          <t>JÄMTLANDS LÄN</t>
        </is>
      </c>
      <c r="G992" t="inlineStr">
        <is>
          <t>RAGUNDA</t>
        </is>
      </c>
      <c r="H992" t="inlineStr">
        <is>
          <t>SCA</t>
        </is>
      </c>
      <c r="I992" t="n">
        <v>5.2</v>
      </c>
      <c r="J992" t="n">
        <v>0</v>
      </c>
      <c r="K992" t="n">
        <v>0</v>
      </c>
      <c r="L992" t="n">
        <v>0</v>
      </c>
      <c r="M992" t="n">
        <v>0</v>
      </c>
      <c r="N992" t="n">
        <v>0</v>
      </c>
      <c r="O992" t="n">
        <v>0</v>
      </c>
      <c r="P992" t="n">
        <v>0</v>
      </c>
      <c r="Q992" t="n">
        <v>0</v>
      </c>
      <c r="R992" t="n">
        <v>0</v>
      </c>
      <c r="S992" t="n">
        <v>0</v>
      </c>
      <c r="T992" t="n">
        <v>0</v>
      </c>
      <c r="U992" s="2" t="inlineStr"/>
    </row>
    <row r="993" ht="15" customHeight="1">
      <c r="A993" t="inlineStr">
        <is>
          <t>A 29948-2026</t>
        </is>
      </c>
      <c r="B993" t="inlineStr">
        <is>
          <t>avverkningsanmälan</t>
        </is>
      </c>
      <c r="C993" t="inlineStr">
        <is>
          <t>Föryngringsavverkning</t>
        </is>
      </c>
      <c r="D993" s="1" t="n">
        <v>46205</v>
      </c>
      <c r="E993" s="1" t="n">
        <v>46220</v>
      </c>
      <c r="F993" t="inlineStr">
        <is>
          <t>JÄMTLANDS LÄN</t>
        </is>
      </c>
      <c r="G993" t="inlineStr">
        <is>
          <t>RAGUNDA</t>
        </is>
      </c>
      <c r="I993" t="n">
        <v>1.3</v>
      </c>
      <c r="J993" t="n">
        <v>0</v>
      </c>
      <c r="K993" t="n">
        <v>0</v>
      </c>
      <c r="L993" t="n">
        <v>0</v>
      </c>
      <c r="M993" t="n">
        <v>0</v>
      </c>
      <c r="N993" t="n">
        <v>0</v>
      </c>
      <c r="O993" t="n">
        <v>0</v>
      </c>
      <c r="P993" t="n">
        <v>0</v>
      </c>
      <c r="Q993" t="n">
        <v>0</v>
      </c>
      <c r="R993" t="n">
        <v>0</v>
      </c>
      <c r="S993" t="n">
        <v>0</v>
      </c>
      <c r="T993" t="n">
        <v>0</v>
      </c>
      <c r="U993" s="2" t="inlineStr"/>
    </row>
    <row r="994" ht="15" customHeight="1">
      <c r="A994" t="inlineStr">
        <is>
          <t>A 4615-2023</t>
        </is>
      </c>
      <c r="B994" t="inlineStr">
        <is>
          <t>avverkningsanmälan</t>
        </is>
      </c>
      <c r="C994" t="inlineStr">
        <is>
          <t>Föryngringsavverkning</t>
        </is>
      </c>
      <c r="D994" s="1" t="n">
        <v>44956</v>
      </c>
      <c r="E994" s="1" t="n">
        <v>46220</v>
      </c>
      <c r="F994" t="inlineStr">
        <is>
          <t>JÄMTLANDS LÄN</t>
        </is>
      </c>
      <c r="G994" t="inlineStr">
        <is>
          <t>RAGUNDA</t>
        </is>
      </c>
      <c r="H994" t="inlineStr">
        <is>
          <t>SCA</t>
        </is>
      </c>
      <c r="I994" t="n">
        <v>3.7</v>
      </c>
      <c r="J994" t="n">
        <v>0</v>
      </c>
      <c r="K994" t="n">
        <v>0</v>
      </c>
      <c r="L994" t="n">
        <v>0</v>
      </c>
      <c r="M994" t="n">
        <v>0</v>
      </c>
      <c r="N994" t="n">
        <v>0</v>
      </c>
      <c r="O994" t="n">
        <v>0</v>
      </c>
      <c r="P994" t="n">
        <v>0</v>
      </c>
      <c r="Q994" t="n">
        <v>0</v>
      </c>
      <c r="R994" t="n">
        <v>0</v>
      </c>
      <c r="S994" t="n">
        <v>0</v>
      </c>
      <c r="T994" t="n">
        <v>0</v>
      </c>
      <c r="U994" s="2" t="inlineStr"/>
    </row>
    <row r="995" ht="15" customHeight="1">
      <c r="A995" t="inlineStr">
        <is>
          <t>A 5938-2025</t>
        </is>
      </c>
      <c r="B995" t="inlineStr">
        <is>
          <t>avverkningsanmälan</t>
        </is>
      </c>
      <c r="C995" t="inlineStr">
        <is>
          <t>Föryngringsavverkning</t>
        </is>
      </c>
      <c r="D995" s="1" t="n">
        <v>45695</v>
      </c>
      <c r="E995" s="1" t="n">
        <v>46220</v>
      </c>
      <c r="F995" t="inlineStr">
        <is>
          <t>JÄMTLANDS LÄN</t>
        </is>
      </c>
      <c r="G995" t="inlineStr">
        <is>
          <t>RAGUNDA</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29980-2026</t>
        </is>
      </c>
      <c r="B996" t="inlineStr">
        <is>
          <t>avverkningsanmälan</t>
        </is>
      </c>
      <c r="C996" t="inlineStr">
        <is>
          <t>Föryngringsavverkning</t>
        </is>
      </c>
      <c r="D996" s="1" t="n">
        <v>46205</v>
      </c>
      <c r="E996" s="1" t="n">
        <v>46220</v>
      </c>
      <c r="F996" t="inlineStr">
        <is>
          <t>JÄMTLANDS LÄN</t>
        </is>
      </c>
      <c r="G996" t="inlineStr">
        <is>
          <t>RAGUNDA</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53549-2024</t>
        </is>
      </c>
      <c r="B997" t="inlineStr">
        <is>
          <t>avverkningsanmälan</t>
        </is>
      </c>
      <c r="C997" t="inlineStr">
        <is>
          <t>Avverkning för annat ändamål</t>
        </is>
      </c>
      <c r="D997" s="1" t="n">
        <v>45614</v>
      </c>
      <c r="E997" s="1" t="n">
        <v>46220</v>
      </c>
      <c r="F997" t="inlineStr">
        <is>
          <t>JÄMTLANDS LÄN</t>
        </is>
      </c>
      <c r="G997" t="inlineStr">
        <is>
          <t>RAGUNDA</t>
        </is>
      </c>
      <c r="H997" t="inlineStr">
        <is>
          <t>Kyrkan</t>
        </is>
      </c>
      <c r="I997" t="n">
        <v>1.7</v>
      </c>
      <c r="J997" t="n">
        <v>0</v>
      </c>
      <c r="K997" t="n">
        <v>0</v>
      </c>
      <c r="L997" t="n">
        <v>0</v>
      </c>
      <c r="M997" t="n">
        <v>0</v>
      </c>
      <c r="N997" t="n">
        <v>0</v>
      </c>
      <c r="O997" t="n">
        <v>0</v>
      </c>
      <c r="P997" t="n">
        <v>0</v>
      </c>
      <c r="Q997" t="n">
        <v>0</v>
      </c>
      <c r="R997" t="n">
        <v>0</v>
      </c>
      <c r="S997" t="n">
        <v>0</v>
      </c>
      <c r="T997" t="n">
        <v>0</v>
      </c>
      <c r="U997" s="2" t="inlineStr"/>
    </row>
    <row r="998" ht="15" customHeight="1">
      <c r="A998" t="inlineStr">
        <is>
          <t>A 7284-2025</t>
        </is>
      </c>
      <c r="B998" t="inlineStr">
        <is>
          <t>avverkningsanmälan</t>
        </is>
      </c>
      <c r="C998" t="inlineStr">
        <is>
          <t>Föryngringsavverkning</t>
        </is>
      </c>
      <c r="D998" s="1" t="n">
        <v>45702</v>
      </c>
      <c r="E998" s="1" t="n">
        <v>46220</v>
      </c>
      <c r="F998" t="inlineStr">
        <is>
          <t>JÄMTLANDS LÄN</t>
        </is>
      </c>
      <c r="G998" t="inlineStr">
        <is>
          <t>RAGUNDA</t>
        </is>
      </c>
      <c r="H998" t="inlineStr">
        <is>
          <t>SCA</t>
        </is>
      </c>
      <c r="I998" t="n">
        <v>0.3</v>
      </c>
      <c r="J998" t="n">
        <v>0</v>
      </c>
      <c r="K998" t="n">
        <v>0</v>
      </c>
      <c r="L998" t="n">
        <v>0</v>
      </c>
      <c r="M998" t="n">
        <v>0</v>
      </c>
      <c r="N998" t="n">
        <v>0</v>
      </c>
      <c r="O998" t="n">
        <v>0</v>
      </c>
      <c r="P998" t="n">
        <v>0</v>
      </c>
      <c r="Q998" t="n">
        <v>0</v>
      </c>
      <c r="R998" t="n">
        <v>0</v>
      </c>
      <c r="S998" t="n">
        <v>0</v>
      </c>
      <c r="T998" t="n">
        <v>0</v>
      </c>
      <c r="U998" s="2" t="inlineStr"/>
    </row>
    <row r="999" ht="15" customHeight="1">
      <c r="A999" t="inlineStr">
        <is>
          <t>A 31506-2024</t>
        </is>
      </c>
      <c r="B999" t="inlineStr">
        <is>
          <t>avverkningsanmälan</t>
        </is>
      </c>
      <c r="C999" t="inlineStr">
        <is>
          <t>Avverkning för att bevara och utveckla /försöksver</t>
        </is>
      </c>
      <c r="D999" s="1" t="n">
        <v>45505</v>
      </c>
      <c r="E999" s="1" t="n">
        <v>46220</v>
      </c>
      <c r="F999" t="inlineStr">
        <is>
          <t>JÄMTLANDS LÄN</t>
        </is>
      </c>
      <c r="G999" t="inlineStr">
        <is>
          <t>RAGUNDA</t>
        </is>
      </c>
      <c r="H999" t="inlineStr">
        <is>
          <t>SCA</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A 30439-2026</t>
        </is>
      </c>
      <c r="B1000" t="inlineStr">
        <is>
          <t>avverkningsanmälan</t>
        </is>
      </c>
      <c r="C1000" t="inlineStr">
        <is>
          <t>Avverkning för att bevara och utveckla /försöksver</t>
        </is>
      </c>
      <c r="D1000" s="1" t="n">
        <v>46209</v>
      </c>
      <c r="E1000" s="1" t="n">
        <v>46220</v>
      </c>
      <c r="F1000" t="inlineStr">
        <is>
          <t>JÄMTLANDS LÄN</t>
        </is>
      </c>
      <c r="G1000" t="inlineStr">
        <is>
          <t>RAGUNDA</t>
        </is>
      </c>
      <c r="H1000" t="inlineStr">
        <is>
          <t>SCA</t>
        </is>
      </c>
      <c r="I1000" t="n">
        <v>4.3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19382-2025</t>
        </is>
      </c>
      <c r="B1001" t="inlineStr">
        <is>
          <t>avverkningsanmälan</t>
        </is>
      </c>
      <c r="C1001" t="inlineStr">
        <is>
          <t>Föryngringsavverkning</t>
        </is>
      </c>
      <c r="D1001" s="1" t="n">
        <v>45769</v>
      </c>
      <c r="E1001" s="1" t="n">
        <v>46220</v>
      </c>
      <c r="F1001" t="inlineStr">
        <is>
          <t>JÄMTLANDS LÄN</t>
        </is>
      </c>
      <c r="G1001" t="inlineStr">
        <is>
          <t>RAGUNDA</t>
        </is>
      </c>
      <c r="H1001" t="inlineStr">
        <is>
          <t>SCA</t>
        </is>
      </c>
      <c r="I1001" t="n">
        <v>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37479-2023</t>
        </is>
      </c>
      <c r="B1002" t="inlineStr">
        <is>
          <t>avverkningsanmälan</t>
        </is>
      </c>
      <c r="C1002" t="inlineStr">
        <is>
          <t>Föryngringsavverkning</t>
        </is>
      </c>
      <c r="D1002" s="1" t="n">
        <v>45156</v>
      </c>
      <c r="E1002" s="1" t="n">
        <v>46220</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11780-2024</t>
        </is>
      </c>
      <c r="B1003" t="inlineStr">
        <is>
          <t>avverkningsanmälan</t>
        </is>
      </c>
      <c r="C1003" t="inlineStr">
        <is>
          <t>Föryngringsavverkning</t>
        </is>
      </c>
      <c r="D1003" s="1" t="n">
        <v>45374</v>
      </c>
      <c r="E1003" s="1" t="n">
        <v>46220</v>
      </c>
      <c r="F1003" t="inlineStr">
        <is>
          <t>JÄMTLANDS LÄN</t>
        </is>
      </c>
      <c r="G1003" t="inlineStr">
        <is>
          <t>RAGUNDA</t>
        </is>
      </c>
      <c r="I1003" t="n">
        <v>14.6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11288-2022</t>
        </is>
      </c>
      <c r="B1004" t="inlineStr">
        <is>
          <t>avverkningsanmälan</t>
        </is>
      </c>
      <c r="C1004" t="inlineStr">
        <is>
          <t>Föryngringsavverkning</t>
        </is>
      </c>
      <c r="D1004" s="1" t="n">
        <v>44629</v>
      </c>
      <c r="E1004" s="1" t="n">
        <v>46220</v>
      </c>
      <c r="F1004" t="inlineStr">
        <is>
          <t>JÄMTLANDS LÄN</t>
        </is>
      </c>
      <c r="G1004" t="inlineStr">
        <is>
          <t>RAGUNDA</t>
        </is>
      </c>
      <c r="I1004" t="n">
        <v>4.9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18984-2023</t>
        </is>
      </c>
      <c r="B1005" t="inlineStr">
        <is>
          <t>avverkningsanmälan</t>
        </is>
      </c>
      <c r="C1005" t="inlineStr">
        <is>
          <t>Föryngringsavverkning</t>
        </is>
      </c>
      <c r="D1005" s="1" t="n">
        <v>45044</v>
      </c>
      <c r="E1005" s="1" t="n">
        <v>46220</v>
      </c>
      <c r="F1005" t="inlineStr">
        <is>
          <t>JÄMTLANDS LÄN</t>
        </is>
      </c>
      <c r="G1005" t="inlineStr">
        <is>
          <t>RAGUNDA</t>
        </is>
      </c>
      <c r="H1005" t="inlineStr">
        <is>
          <t>SCA</t>
        </is>
      </c>
      <c r="I1005" t="n">
        <v>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66011-2021</t>
        </is>
      </c>
      <c r="B1006" t="inlineStr">
        <is>
          <t>avverkningsanmälan</t>
        </is>
      </c>
      <c r="C1006" t="inlineStr">
        <is>
          <t>Föryngringsavverkning</t>
        </is>
      </c>
      <c r="D1006" s="1" t="n">
        <v>44517</v>
      </c>
      <c r="E1006" s="1" t="n">
        <v>46220</v>
      </c>
      <c r="F1006" t="inlineStr">
        <is>
          <t>JÄMTLANDS LÄN</t>
        </is>
      </c>
      <c r="G1006" t="inlineStr">
        <is>
          <t>RAGUNDA</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30401-2026</t>
        </is>
      </c>
      <c r="B1007" t="inlineStr">
        <is>
          <t>avverkningsanmälan</t>
        </is>
      </c>
      <c r="C1007" t="inlineStr">
        <is>
          <t>Föryngringsavverkning</t>
        </is>
      </c>
      <c r="D1007" s="1" t="n">
        <v>46209</v>
      </c>
      <c r="E1007" s="1" t="n">
        <v>46220</v>
      </c>
      <c r="F1007" t="inlineStr">
        <is>
          <t>JÄMTLANDS LÄN</t>
        </is>
      </c>
      <c r="G1007" t="inlineStr">
        <is>
          <t>RAGUNDA</t>
        </is>
      </c>
      <c r="H1007" t="inlineStr">
        <is>
          <t>SCA</t>
        </is>
      </c>
      <c r="I1007" t="n">
        <v>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42509-2023</t>
        </is>
      </c>
      <c r="B1008" t="inlineStr">
        <is>
          <t>avverkningsanmälan</t>
        </is>
      </c>
      <c r="C1008" t="inlineStr">
        <is>
          <t>Föryngringsavverkning</t>
        </is>
      </c>
      <c r="D1008" s="1" t="n">
        <v>45180</v>
      </c>
      <c r="E1008" s="1" t="n">
        <v>46220</v>
      </c>
      <c r="F1008" t="inlineStr">
        <is>
          <t>JÄMTLANDS LÄN</t>
        </is>
      </c>
      <c r="G1008" t="inlineStr">
        <is>
          <t>RAGUNDA</t>
        </is>
      </c>
      <c r="H1008" t="inlineStr">
        <is>
          <t>SCA</t>
        </is>
      </c>
      <c r="I1008" t="n">
        <v>2.1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23926-2026</t>
        </is>
      </c>
      <c r="B1009" t="inlineStr">
        <is>
          <t>avverkningsanmälan</t>
        </is>
      </c>
      <c r="C1009" t="inlineStr">
        <is>
          <t>Föryngringsavverkning</t>
        </is>
      </c>
      <c r="D1009" s="1" t="n">
        <v>46167</v>
      </c>
      <c r="E1009" s="1" t="n">
        <v>46220</v>
      </c>
      <c r="F1009" t="inlineStr">
        <is>
          <t>JÄMTLANDS LÄN</t>
        </is>
      </c>
      <c r="G1009" t="inlineStr">
        <is>
          <t>RAGUNDA</t>
        </is>
      </c>
      <c r="H1009" t="inlineStr">
        <is>
          <t>SCA</t>
        </is>
      </c>
      <c r="I1009" t="n">
        <v>1.4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33615-2023</t>
        </is>
      </c>
      <c r="B1010" t="inlineStr">
        <is>
          <t>avverkningsanmälan</t>
        </is>
      </c>
      <c r="C1010" t="inlineStr">
        <is>
          <t>Avverkning för annat ändamål</t>
        </is>
      </c>
      <c r="D1010" s="1" t="n">
        <v>45119</v>
      </c>
      <c r="E1010" s="1" t="n">
        <v>46220</v>
      </c>
      <c r="F1010" t="inlineStr">
        <is>
          <t>JÄMTLANDS LÄN</t>
        </is>
      </c>
      <c r="G1010" t="inlineStr">
        <is>
          <t>RAGUNDA</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42510-2023</t>
        </is>
      </c>
      <c r="B1011" t="inlineStr">
        <is>
          <t>avverkningsanmälan</t>
        </is>
      </c>
      <c r="C1011" t="inlineStr">
        <is>
          <t>Föryngringsavverkning</t>
        </is>
      </c>
      <c r="D1011" s="1" t="n">
        <v>45180</v>
      </c>
      <c r="E1011" s="1" t="n">
        <v>46220</v>
      </c>
      <c r="F1011" t="inlineStr">
        <is>
          <t>JÄMTLANDS LÄN</t>
        </is>
      </c>
      <c r="G1011" t="inlineStr">
        <is>
          <t>RAGUNDA</t>
        </is>
      </c>
      <c r="H1011" t="inlineStr">
        <is>
          <t>SCA</t>
        </is>
      </c>
      <c r="I1011" t="n">
        <v>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53860-2023</t>
        </is>
      </c>
      <c r="B1012" t="inlineStr">
        <is>
          <t>avverkningsanmälan</t>
        </is>
      </c>
      <c r="C1012" t="inlineStr">
        <is>
          <t>Föryngringsavverkning</t>
        </is>
      </c>
      <c r="D1012" s="1" t="n">
        <v>45224</v>
      </c>
      <c r="E1012" s="1" t="n">
        <v>46220</v>
      </c>
      <c r="F1012" t="inlineStr">
        <is>
          <t>JÄMTLANDS LÄN</t>
        </is>
      </c>
      <c r="G1012" t="inlineStr">
        <is>
          <t>RAGUNDA</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12039-2023</t>
        </is>
      </c>
      <c r="B1013" t="inlineStr">
        <is>
          <t>avverkningsanmälan</t>
        </is>
      </c>
      <c r="C1013" t="inlineStr">
        <is>
          <t>Avverkning för att bevara och utveckla /försöksver</t>
        </is>
      </c>
      <c r="D1013" s="1" t="n">
        <v>44995</v>
      </c>
      <c r="E1013" s="1" t="n">
        <v>46220</v>
      </c>
      <c r="F1013" t="inlineStr">
        <is>
          <t>JÄMTLANDS LÄN</t>
        </is>
      </c>
      <c r="G1013" t="inlineStr">
        <is>
          <t>RAGUNDA</t>
        </is>
      </c>
      <c r="H1013" t="inlineStr">
        <is>
          <t>SCA</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26991-2023</t>
        </is>
      </c>
      <c r="B1014" t="inlineStr">
        <is>
          <t>avverkningsanmälan</t>
        </is>
      </c>
      <c r="C1014" t="inlineStr">
        <is>
          <t>Föryngringsavverkning</t>
        </is>
      </c>
      <c r="D1014" s="1" t="n">
        <v>45093</v>
      </c>
      <c r="E1014" s="1" t="n">
        <v>46220</v>
      </c>
      <c r="F1014" t="inlineStr">
        <is>
          <t>JÄMTLANDS LÄN</t>
        </is>
      </c>
      <c r="G1014" t="inlineStr">
        <is>
          <t>RAGUNDA</t>
        </is>
      </c>
      <c r="I1014" t="n">
        <v>1.4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26651-2024</t>
        </is>
      </c>
      <c r="B1015" t="inlineStr">
        <is>
          <t>avverkningsanmälan</t>
        </is>
      </c>
      <c r="C1015" t="inlineStr">
        <is>
          <t>Avverkning för att bevara och utveckla /försöksver</t>
        </is>
      </c>
      <c r="D1015" s="1" t="n">
        <v>45469</v>
      </c>
      <c r="E1015" s="1" t="n">
        <v>46220</v>
      </c>
      <c r="F1015" t="inlineStr">
        <is>
          <t>JÄMTLANDS LÄN</t>
        </is>
      </c>
      <c r="G1015" t="inlineStr">
        <is>
          <t>RAGUNDA</t>
        </is>
      </c>
      <c r="H1015" t="inlineStr">
        <is>
          <t>SCA</t>
        </is>
      </c>
      <c r="I1015" t="n">
        <v>10.4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40919-2024</t>
        </is>
      </c>
      <c r="B1016" t="inlineStr">
        <is>
          <t>avverkningsanmälan</t>
        </is>
      </c>
      <c r="C1016" t="inlineStr">
        <is>
          <t>Avverkning för att bevara och utveckla /försöksver</t>
        </is>
      </c>
      <c r="D1016" s="1" t="n">
        <v>45558</v>
      </c>
      <c r="E1016" s="1" t="n">
        <v>46220</v>
      </c>
      <c r="F1016" t="inlineStr">
        <is>
          <t>JÄMTLANDS LÄN</t>
        </is>
      </c>
      <c r="G1016" t="inlineStr">
        <is>
          <t>RAGUNDA</t>
        </is>
      </c>
      <c r="H1016" t="inlineStr">
        <is>
          <t>SCA</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3186-2025</t>
        </is>
      </c>
      <c r="B1017" t="inlineStr">
        <is>
          <t>avverkningsanmälan</t>
        </is>
      </c>
      <c r="C1017" t="inlineStr">
        <is>
          <t>Föryngringsavverkning</t>
        </is>
      </c>
      <c r="D1017" s="1" t="n">
        <v>45679</v>
      </c>
      <c r="E1017" s="1" t="n">
        <v>46220</v>
      </c>
      <c r="F1017" t="inlineStr">
        <is>
          <t>JÄMTLANDS LÄN</t>
        </is>
      </c>
      <c r="G1017" t="inlineStr">
        <is>
          <t>RAGUNDA</t>
        </is>
      </c>
      <c r="I1017" t="n">
        <v>5.2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30654-2026</t>
        </is>
      </c>
      <c r="B1018" t="inlineStr">
        <is>
          <t>avverkningsanmälan</t>
        </is>
      </c>
      <c r="C1018" t="inlineStr">
        <is>
          <t>Avverkning för att bevara och utveckla /försöksver</t>
        </is>
      </c>
      <c r="D1018" s="1" t="n">
        <v>46211</v>
      </c>
      <c r="E1018" s="1" t="n">
        <v>46220</v>
      </c>
      <c r="F1018" t="inlineStr">
        <is>
          <t>JÄMTLANDS LÄN</t>
        </is>
      </c>
      <c r="G1018" t="inlineStr">
        <is>
          <t>RAGUNDA</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465-2023</t>
        </is>
      </c>
      <c r="B1019" t="inlineStr">
        <is>
          <t>avverkningsanmälan</t>
        </is>
      </c>
      <c r="C1019" t="inlineStr">
        <is>
          <t>Föryngringsavverkning</t>
        </is>
      </c>
      <c r="D1019" s="1" t="n">
        <v>44929</v>
      </c>
      <c r="E1019" s="1" t="n">
        <v>46220</v>
      </c>
      <c r="F1019" t="inlineStr">
        <is>
          <t>JÄMTLANDS LÄN</t>
        </is>
      </c>
      <c r="G1019" t="inlineStr">
        <is>
          <t>RAGUNDA</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26455-2023</t>
        </is>
      </c>
      <c r="B1020" t="inlineStr">
        <is>
          <t>avverkningsanmälan</t>
        </is>
      </c>
      <c r="C1020" t="inlineStr">
        <is>
          <t>Föryngringsavverkning</t>
        </is>
      </c>
      <c r="D1020" s="1" t="n">
        <v>45092</v>
      </c>
      <c r="E1020" s="1" t="n">
        <v>46220</v>
      </c>
      <c r="F1020" t="inlineStr">
        <is>
          <t>JÄMTLANDS LÄN</t>
        </is>
      </c>
      <c r="G1020" t="inlineStr">
        <is>
          <t>RAGUNDA</t>
        </is>
      </c>
      <c r="I1020" t="n">
        <v>3.8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10639-2024</t>
        </is>
      </c>
      <c r="B1021" t="inlineStr">
        <is>
          <t>avverkningsanmälan</t>
        </is>
      </c>
      <c r="C1021" t="inlineStr">
        <is>
          <t>Föryngringsavverkning</t>
        </is>
      </c>
      <c r="D1021" s="1" t="n">
        <v>45367</v>
      </c>
      <c r="E1021" s="1" t="n">
        <v>46220</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2751-2024</t>
        </is>
      </c>
      <c r="B1022" t="inlineStr">
        <is>
          <t>avverkningsanmälan</t>
        </is>
      </c>
      <c r="C1022" t="inlineStr">
        <is>
          <t>Föryngringsavverkning</t>
        </is>
      </c>
      <c r="D1022" s="1" t="n">
        <v>45314</v>
      </c>
      <c r="E1022" s="1" t="n">
        <v>46220</v>
      </c>
      <c r="F1022" t="inlineStr">
        <is>
          <t>JÄMTLANDS LÄN</t>
        </is>
      </c>
      <c r="G1022" t="inlineStr">
        <is>
          <t>RAGUNDA</t>
        </is>
      </c>
      <c r="I1022" t="n">
        <v>1.8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24256-2026</t>
        </is>
      </c>
      <c r="B1023" t="inlineStr">
        <is>
          <t>avverkningsanmälan</t>
        </is>
      </c>
      <c r="C1023" t="inlineStr">
        <is>
          <t>Föryngringsavverkning</t>
        </is>
      </c>
      <c r="D1023" s="1" t="n">
        <v>46169</v>
      </c>
      <c r="E1023" s="1" t="n">
        <v>46220</v>
      </c>
      <c r="F1023" t="inlineStr">
        <is>
          <t>JÄMTLANDS LÄN</t>
        </is>
      </c>
      <c r="G1023" t="inlineStr">
        <is>
          <t>RAGUNDA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36317-2024</t>
        </is>
      </c>
      <c r="B1024" t="inlineStr">
        <is>
          <t>avverkningsanmälan</t>
        </is>
      </c>
      <c r="C1024" t="inlineStr">
        <is>
          <t>Föryngringsavverkning</t>
        </is>
      </c>
      <c r="D1024" s="1" t="n">
        <v>45534</v>
      </c>
      <c r="E1024" s="1" t="n">
        <v>46220</v>
      </c>
      <c r="F1024" t="inlineStr">
        <is>
          <t>JÄMTLANDS LÄN</t>
        </is>
      </c>
      <c r="G1024" t="inlineStr">
        <is>
          <t>RAGUNDA</t>
        </is>
      </c>
      <c r="H1024" t="inlineStr">
        <is>
          <t>SCA</t>
        </is>
      </c>
      <c r="I1024" t="n">
        <v>3.4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24242-2026</t>
        </is>
      </c>
      <c r="B1025" t="inlineStr">
        <is>
          <t>avverkningsanmälan</t>
        </is>
      </c>
      <c r="C1025" t="inlineStr">
        <is>
          <t>Föryngringsavverkning</t>
        </is>
      </c>
      <c r="D1025" s="1" t="n">
        <v>46168</v>
      </c>
      <c r="E1025" s="1" t="n">
        <v>46220</v>
      </c>
      <c r="F1025" t="inlineStr">
        <is>
          <t>JÄMTLANDS LÄN</t>
        </is>
      </c>
      <c r="G1025" t="inlineStr">
        <is>
          <t>RAGUNDA</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8787-2022</t>
        </is>
      </c>
      <c r="B1026" t="inlineStr">
        <is>
          <t>avverkningsanmälan</t>
        </is>
      </c>
      <c r="C1026" t="inlineStr">
        <is>
          <t>Föryngringsavverkning</t>
        </is>
      </c>
      <c r="D1026" s="1" t="n">
        <v>44614</v>
      </c>
      <c r="E1026" s="1" t="n">
        <v>46220</v>
      </c>
      <c r="F1026" t="inlineStr">
        <is>
          <t>JÄMTLANDS LÄN</t>
        </is>
      </c>
      <c r="G1026" t="inlineStr">
        <is>
          <t>RAGUNDA</t>
        </is>
      </c>
      <c r="I1026" t="n">
        <v>6.4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30472-2026</t>
        </is>
      </c>
      <c r="B1027" t="inlineStr">
        <is>
          <t>avverkningsanmälan</t>
        </is>
      </c>
      <c r="C1027" t="inlineStr">
        <is>
          <t>Föryngringsavverkning</t>
        </is>
      </c>
      <c r="D1027" s="1" t="n">
        <v>46210</v>
      </c>
      <c r="E1027" s="1" t="n">
        <v>46220</v>
      </c>
      <c r="F1027" t="inlineStr">
        <is>
          <t>JÄMTLANDS LÄN</t>
        </is>
      </c>
      <c r="G1027" t="inlineStr">
        <is>
          <t>RAGUNDA</t>
        </is>
      </c>
      <c r="I1027" t="n">
        <v>3.9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30673-2026</t>
        </is>
      </c>
      <c r="B1028" t="inlineStr">
        <is>
          <t>avverkningsanmälan</t>
        </is>
      </c>
      <c r="C1028" t="inlineStr">
        <is>
          <t>Föryngringsavverkning</t>
        </is>
      </c>
      <c r="D1028" s="1" t="n">
        <v>46211</v>
      </c>
      <c r="E1028" s="1" t="n">
        <v>46220</v>
      </c>
      <c r="F1028" t="inlineStr">
        <is>
          <t>JÄMTLANDS LÄN</t>
        </is>
      </c>
      <c r="G1028" t="inlineStr">
        <is>
          <t>RAGUNDA</t>
        </is>
      </c>
      <c r="I1028" t="n">
        <v>1.4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50431-2024</t>
        </is>
      </c>
      <c r="B1029" t="inlineStr">
        <is>
          <t>avverkningsanmälan</t>
        </is>
      </c>
      <c r="C1029" t="inlineStr">
        <is>
          <t>Avverkning för att bevara och utveckla /försöksver</t>
        </is>
      </c>
      <c r="D1029" s="1" t="n">
        <v>45601</v>
      </c>
      <c r="E1029" s="1" t="n">
        <v>46220</v>
      </c>
      <c r="F1029" t="inlineStr">
        <is>
          <t>JÄMTLANDS LÄN</t>
        </is>
      </c>
      <c r="G1029" t="inlineStr">
        <is>
          <t>RAGUNDA</t>
        </is>
      </c>
      <c r="H1029" t="inlineStr">
        <is>
          <t>SCA</t>
        </is>
      </c>
      <c r="I1029" t="n">
        <v>8.5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60936-2024</t>
        </is>
      </c>
      <c r="B1030" t="inlineStr">
        <is>
          <t>avverkningsanmälan</t>
        </is>
      </c>
      <c r="C1030" t="inlineStr">
        <is>
          <t>Föryngringsavverkning</t>
        </is>
      </c>
      <c r="D1030" s="1" t="n">
        <v>45645</v>
      </c>
      <c r="E1030" s="1" t="n">
        <v>46220</v>
      </c>
      <c r="F1030" t="inlineStr">
        <is>
          <t>JÄMTLANDS LÄN</t>
        </is>
      </c>
      <c r="G1030" t="inlineStr">
        <is>
          <t>RAGUNDA</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30681-2026</t>
        </is>
      </c>
      <c r="B1031" t="inlineStr">
        <is>
          <t>avverkningsanmälan</t>
        </is>
      </c>
      <c r="C1031" t="inlineStr">
        <is>
          <t>Föryngringsavverkning</t>
        </is>
      </c>
      <c r="D1031" s="1" t="n">
        <v>46211</v>
      </c>
      <c r="E1031" s="1" t="n">
        <v>46220</v>
      </c>
      <c r="F1031" t="inlineStr">
        <is>
          <t>JÄMTLANDS LÄN</t>
        </is>
      </c>
      <c r="G1031" t="inlineStr">
        <is>
          <t>RAGUNDA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4212-2024</t>
        </is>
      </c>
      <c r="B1032" t="inlineStr">
        <is>
          <t>avverkningsanmälan</t>
        </is>
      </c>
      <c r="C1032" t="inlineStr">
        <is>
          <t>Föryngringsavverkning</t>
        </is>
      </c>
      <c r="D1032" s="1" t="n">
        <v>45324</v>
      </c>
      <c r="E1032" s="1" t="n">
        <v>46220</v>
      </c>
      <c r="F1032" t="inlineStr">
        <is>
          <t>JÄMTLANDS LÄN</t>
        </is>
      </c>
      <c r="G1032" t="inlineStr">
        <is>
          <t>RAGUNDA</t>
        </is>
      </c>
      <c r="I1032" t="n">
        <v>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9262-2025</t>
        </is>
      </c>
      <c r="B1033" t="inlineStr">
        <is>
          <t>avverkningsanmälan</t>
        </is>
      </c>
      <c r="C1033" t="inlineStr">
        <is>
          <t>Föryngringsavverkning</t>
        </is>
      </c>
      <c r="D1033" s="1" t="n">
        <v>45714</v>
      </c>
      <c r="E1033" s="1" t="n">
        <v>46220</v>
      </c>
      <c r="F1033" t="inlineStr">
        <is>
          <t>JÄMTLANDS LÄN</t>
        </is>
      </c>
      <c r="G1033" t="inlineStr">
        <is>
          <t>RAGUNDA</t>
        </is>
      </c>
      <c r="I1033" t="n">
        <v>8.300000000000001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30541-2026</t>
        </is>
      </c>
      <c r="B1034" t="inlineStr">
        <is>
          <t>avverkningsanmälan</t>
        </is>
      </c>
      <c r="C1034" t="inlineStr">
        <is>
          <t>Föryngringsavverkning</t>
        </is>
      </c>
      <c r="D1034" s="1" t="n">
        <v>46210</v>
      </c>
      <c r="E1034" s="1" t="n">
        <v>46220</v>
      </c>
      <c r="F1034" t="inlineStr">
        <is>
          <t>JÄMTLANDS LÄN</t>
        </is>
      </c>
      <c r="G1034" t="inlineStr">
        <is>
          <t>RAGUNDA</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28592-2026</t>
        </is>
      </c>
      <c r="B1035" t="inlineStr">
        <is>
          <t>avverkningsanmälan</t>
        </is>
      </c>
      <c r="C1035" t="inlineStr">
        <is>
          <t>Föryngringsavverkning</t>
        </is>
      </c>
      <c r="D1035" s="1" t="n">
        <v>46190</v>
      </c>
      <c r="E1035" s="1" t="n">
        <v>46220</v>
      </c>
      <c r="F1035" t="inlineStr">
        <is>
          <t>JÄMTLANDS LÄN</t>
        </is>
      </c>
      <c r="G1035" t="inlineStr">
        <is>
          <t>RAGUNDA</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23999-2026</t>
        </is>
      </c>
      <c r="B1036" t="inlineStr">
        <is>
          <t>avverkningsanmälan</t>
        </is>
      </c>
      <c r="C1036" t="inlineStr">
        <is>
          <t>Föryngringsavverkning</t>
        </is>
      </c>
      <c r="D1036" s="1" t="n">
        <v>46167</v>
      </c>
      <c r="E1036" s="1" t="n">
        <v>46220</v>
      </c>
      <c r="F1036" t="inlineStr">
        <is>
          <t>JÄMTLANDS LÄN</t>
        </is>
      </c>
      <c r="G1036" t="inlineStr">
        <is>
          <t>RAGUNDA</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53676-2022</t>
        </is>
      </c>
      <c r="B1037" t="inlineStr">
        <is>
          <t>avverkningsanmälan</t>
        </is>
      </c>
      <c r="C1037" t="inlineStr">
        <is>
          <t>Föryngringsavverkning</t>
        </is>
      </c>
      <c r="D1037" s="1" t="n">
        <v>44879</v>
      </c>
      <c r="E1037" s="1" t="n">
        <v>46220</v>
      </c>
      <c r="F1037" t="inlineStr">
        <is>
          <t>JÄMTLANDS LÄN</t>
        </is>
      </c>
      <c r="G1037" t="inlineStr">
        <is>
          <t>RAGUNDA</t>
        </is>
      </c>
      <c r="H1037" t="inlineStr">
        <is>
          <t>Sveaskog</t>
        </is>
      </c>
      <c r="I1037" t="n">
        <v>2.5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30889-2026</t>
        </is>
      </c>
      <c r="B1038" t="inlineStr">
        <is>
          <t>avverkningsanmälan</t>
        </is>
      </c>
      <c r="C1038" t="inlineStr">
        <is>
          <t>Avverkning för annat ändamål</t>
        </is>
      </c>
      <c r="D1038" s="1" t="n">
        <v>46213</v>
      </c>
      <c r="E1038" s="1" t="n">
        <v>46220</v>
      </c>
      <c r="F1038" t="inlineStr">
        <is>
          <t>JÄMTLANDS LÄN</t>
        </is>
      </c>
      <c r="G1038" t="inlineStr">
        <is>
          <t>RAGUNDA</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56504-2024</t>
        </is>
      </c>
      <c r="B1039" t="inlineStr">
        <is>
          <t>avverkningsanmälan</t>
        </is>
      </c>
      <c r="C1039" t="inlineStr">
        <is>
          <t>Avverkning för att bevara och utveckla /försöksver</t>
        </is>
      </c>
      <c r="D1039" s="1" t="n">
        <v>45625</v>
      </c>
      <c r="E1039" s="1" t="n">
        <v>46220</v>
      </c>
      <c r="F1039" t="inlineStr">
        <is>
          <t>JÄMTLANDS LÄN</t>
        </is>
      </c>
      <c r="G1039" t="inlineStr">
        <is>
          <t>RAGUNDA</t>
        </is>
      </c>
      <c r="H1039" t="inlineStr">
        <is>
          <t>SCA</t>
        </is>
      </c>
      <c r="I1039" t="n">
        <v>1.3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934-2023</t>
        </is>
      </c>
      <c r="B1040" t="inlineStr">
        <is>
          <t>avverkningsanmälan</t>
        </is>
      </c>
      <c r="C1040" t="inlineStr">
        <is>
          <t>Avverkning för att bevara och utveckla /försöksver</t>
        </is>
      </c>
      <c r="D1040" s="1" t="n">
        <v>44932</v>
      </c>
      <c r="E1040" s="1" t="n">
        <v>46220</v>
      </c>
      <c r="F1040" t="inlineStr">
        <is>
          <t>JÄMTLANDS LÄN</t>
        </is>
      </c>
      <c r="G1040" t="inlineStr">
        <is>
          <t>RAGUNDA</t>
        </is>
      </c>
      <c r="H1040" t="inlineStr">
        <is>
          <t>SCA</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36106-2022</t>
        </is>
      </c>
      <c r="B1041" t="inlineStr">
        <is>
          <t>avverkningsanmälan</t>
        </is>
      </c>
      <c r="C1041" t="inlineStr">
        <is>
          <t>Föryngringsavverkning</t>
        </is>
      </c>
      <c r="D1041" s="1" t="n">
        <v>44802</v>
      </c>
      <c r="E1041" s="1" t="n">
        <v>46220</v>
      </c>
      <c r="F1041" t="inlineStr">
        <is>
          <t>JÄMTLANDS LÄN</t>
        </is>
      </c>
      <c r="G1041" t="inlineStr">
        <is>
          <t>RAGUNDA</t>
        </is>
      </c>
      <c r="H1041" t="inlineStr">
        <is>
          <t>SCA</t>
        </is>
      </c>
      <c r="I1041" t="n">
        <v>7.3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30897-2026</t>
        </is>
      </c>
      <c r="B1042" t="inlineStr">
        <is>
          <t>avverkningsanmälan</t>
        </is>
      </c>
      <c r="C1042" t="inlineStr">
        <is>
          <t>Avverkning för annat ändamål</t>
        </is>
      </c>
      <c r="D1042" s="1" t="n">
        <v>46213</v>
      </c>
      <c r="E1042" s="1" t="n">
        <v>46220</v>
      </c>
      <c r="F1042" t="inlineStr">
        <is>
          <t>JÄMTLANDS LÄN</t>
        </is>
      </c>
      <c r="G1042" t="inlineStr">
        <is>
          <t>RAGUNDA</t>
        </is>
      </c>
      <c r="H1042" t="inlineStr">
        <is>
          <t>SCA</t>
        </is>
      </c>
      <c r="I1042" t="n">
        <v>2.3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53678-2022</t>
        </is>
      </c>
      <c r="B1043" t="inlineStr">
        <is>
          <t>avverkningsanmälan</t>
        </is>
      </c>
      <c r="C1043" t="inlineStr">
        <is>
          <t>Föryngringsavverkning</t>
        </is>
      </c>
      <c r="D1043" s="1" t="n">
        <v>44879</v>
      </c>
      <c r="E1043" s="1" t="n">
        <v>46220</v>
      </c>
      <c r="F1043" t="inlineStr">
        <is>
          <t>JÄMTLANDS LÄN</t>
        </is>
      </c>
      <c r="G1043" t="inlineStr">
        <is>
          <t>RAGUNDA</t>
        </is>
      </c>
      <c r="H1043" t="inlineStr">
        <is>
          <t>Sveaskog</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24710-2026</t>
        </is>
      </c>
      <c r="B1044" t="inlineStr">
        <is>
          <t>avverkningsanmälan</t>
        </is>
      </c>
      <c r="C1044" t="inlineStr">
        <is>
          <t>Föryngringsavverkning</t>
        </is>
      </c>
      <c r="D1044" s="1" t="n">
        <v>46171</v>
      </c>
      <c r="E1044" s="1" t="n">
        <v>46220</v>
      </c>
      <c r="F1044" t="inlineStr">
        <is>
          <t>JÄMTLANDS LÄN</t>
        </is>
      </c>
      <c r="G1044" t="inlineStr">
        <is>
          <t>RAGUNDA</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24869-2026</t>
        </is>
      </c>
      <c r="B1045" t="inlineStr">
        <is>
          <t>avverkningsanmälan</t>
        </is>
      </c>
      <c r="C1045" t="inlineStr">
        <is>
          <t>Föryngringsavverkning</t>
        </is>
      </c>
      <c r="D1045" s="1" t="n">
        <v>46174</v>
      </c>
      <c r="E1045" s="1" t="n">
        <v>46220</v>
      </c>
      <c r="F1045" t="inlineStr">
        <is>
          <t>JÄMTLANDS LÄN</t>
        </is>
      </c>
      <c r="G1045" t="inlineStr">
        <is>
          <t>RAGUNDA</t>
        </is>
      </c>
      <c r="I1045" t="n">
        <v>2.2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25058-2026</t>
        </is>
      </c>
      <c r="B1046" t="inlineStr">
        <is>
          <t>avverkningsanmälan</t>
        </is>
      </c>
      <c r="C1046" t="inlineStr">
        <is>
          <t>Föryngringsavverkning</t>
        </is>
      </c>
      <c r="D1046" s="1" t="n">
        <v>46174</v>
      </c>
      <c r="E1046" s="1" t="n">
        <v>46220</v>
      </c>
      <c r="F1046" t="inlineStr">
        <is>
          <t>JÄMTLANDS LÄN</t>
        </is>
      </c>
      <c r="G1046" t="inlineStr">
        <is>
          <t>RAGUNDA</t>
        </is>
      </c>
      <c r="H1046" t="inlineStr">
        <is>
          <t>SCA</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12985-2026</t>
        </is>
      </c>
      <c r="B1047" t="inlineStr">
        <is>
          <t>avverkningsanmälan</t>
        </is>
      </c>
      <c r="C1047" t="inlineStr">
        <is>
          <t>Föryngringsavverkning</t>
        </is>
      </c>
      <c r="D1047" s="1" t="n">
        <v>46092</v>
      </c>
      <c r="E1047" s="1" t="n">
        <v>46220</v>
      </c>
      <c r="F1047" t="inlineStr">
        <is>
          <t>JÄMTLANDS LÄN</t>
        </is>
      </c>
      <c r="G1047" t="inlineStr">
        <is>
          <t>RAGUNDA</t>
        </is>
      </c>
      <c r="I1047" t="n">
        <v>5.9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18194-2025</t>
        </is>
      </c>
      <c r="B1048" t="inlineStr">
        <is>
          <t>avverkningsanmälan</t>
        </is>
      </c>
      <c r="C1048" t="inlineStr">
        <is>
          <t>Föryngringsavverkning</t>
        </is>
      </c>
      <c r="D1048" s="1" t="n">
        <v>45761</v>
      </c>
      <c r="E1048" s="1" t="n">
        <v>46220</v>
      </c>
      <c r="F1048" t="inlineStr">
        <is>
          <t>JÄMTLANDS LÄN</t>
        </is>
      </c>
      <c r="G1048" t="inlineStr">
        <is>
          <t>RAGUNDA</t>
        </is>
      </c>
      <c r="H1048" t="inlineStr">
        <is>
          <t>SCA</t>
        </is>
      </c>
      <c r="I1048" t="n">
        <v>4.2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12976-2025</t>
        </is>
      </c>
      <c r="B1049" t="inlineStr">
        <is>
          <t>avverkningsanmälan</t>
        </is>
      </c>
      <c r="C1049" t="inlineStr">
        <is>
          <t>Föryngringsavverkning</t>
        </is>
      </c>
      <c r="D1049" s="1" t="n">
        <v>45734</v>
      </c>
      <c r="E1049" s="1" t="n">
        <v>46220</v>
      </c>
      <c r="F1049" t="inlineStr">
        <is>
          <t>JÄMTLANDS LÄN</t>
        </is>
      </c>
      <c r="G1049" t="inlineStr">
        <is>
          <t>RAGUNDA</t>
        </is>
      </c>
      <c r="I1049" t="n">
        <v>24.2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59286-2023</t>
        </is>
      </c>
      <c r="B1050" t="inlineStr">
        <is>
          <t>avverkningsanmälan</t>
        </is>
      </c>
      <c r="C1050" t="inlineStr">
        <is>
          <t>Föryngringsavverkning</t>
        </is>
      </c>
      <c r="D1050" s="1" t="n">
        <v>45253</v>
      </c>
      <c r="E1050" s="1" t="n">
        <v>46220</v>
      </c>
      <c r="F1050" t="inlineStr">
        <is>
          <t>JÄMTLANDS LÄN</t>
        </is>
      </c>
      <c r="G1050" t="inlineStr">
        <is>
          <t>RAGUNDA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6688-2024</t>
        </is>
      </c>
      <c r="B1051" t="inlineStr">
        <is>
          <t>avverkningsanmälan</t>
        </is>
      </c>
      <c r="C1051" t="inlineStr">
        <is>
          <t>Föryngringsavverkning</t>
        </is>
      </c>
      <c r="D1051" s="1" t="n">
        <v>45341</v>
      </c>
      <c r="E1051" s="1" t="n">
        <v>46220</v>
      </c>
      <c r="F1051" t="inlineStr">
        <is>
          <t>JÄMTLANDS LÄN</t>
        </is>
      </c>
      <c r="G1051" t="inlineStr">
        <is>
          <t>RAGUNDA</t>
        </is>
      </c>
      <c r="I1051" t="n">
        <v>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29723-2025</t>
        </is>
      </c>
      <c r="B1052" t="inlineStr">
        <is>
          <t>avverkningsanmälan</t>
        </is>
      </c>
      <c r="C1052" t="inlineStr">
        <is>
          <t>Föryngringsavverkning</t>
        </is>
      </c>
      <c r="D1052" s="1" t="n">
        <v>45825</v>
      </c>
      <c r="E1052" s="1" t="n">
        <v>46220</v>
      </c>
      <c r="F1052" t="inlineStr">
        <is>
          <t>JÄMTLANDS LÄN</t>
        </is>
      </c>
      <c r="G1052" t="inlineStr">
        <is>
          <t>RAGUNDA</t>
        </is>
      </c>
      <c r="I1052" t="n">
        <v>3.1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50650-2023</t>
        </is>
      </c>
      <c r="B1053" t="inlineStr">
        <is>
          <t>avverkningsanmälan</t>
        </is>
      </c>
      <c r="C1053" t="inlineStr">
        <is>
          <t>Föryngringsavverkning</t>
        </is>
      </c>
      <c r="D1053" s="1" t="n">
        <v>45210</v>
      </c>
      <c r="E1053" s="1" t="n">
        <v>46220</v>
      </c>
      <c r="F1053" t="inlineStr">
        <is>
          <t>JÄMTLANDS LÄN</t>
        </is>
      </c>
      <c r="G1053" t="inlineStr">
        <is>
          <t>RAGUNDA</t>
        </is>
      </c>
      <c r="I1053" t="n">
        <v>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40586-2025</t>
        </is>
      </c>
      <c r="B1054" t="inlineStr">
        <is>
          <t>avverkningsanmälan</t>
        </is>
      </c>
      <c r="C1054" t="inlineStr">
        <is>
          <t>Avverkning för att bevara och utveckla /försöksver</t>
        </is>
      </c>
      <c r="D1054" s="1" t="n">
        <v>45896</v>
      </c>
      <c r="E1054" s="1" t="n">
        <v>46220</v>
      </c>
      <c r="F1054" t="inlineStr">
        <is>
          <t>JÄMTLANDS LÄN</t>
        </is>
      </c>
      <c r="G1054" t="inlineStr">
        <is>
          <t>RAGUNDA</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12346-2026</t>
        </is>
      </c>
      <c r="B1055" t="inlineStr">
        <is>
          <t>avverkningsanmälan</t>
        </is>
      </c>
      <c r="C1055" t="inlineStr">
        <is>
          <t>Föryngringsavverkning</t>
        </is>
      </c>
      <c r="D1055" s="1" t="n">
        <v>46087</v>
      </c>
      <c r="E1055" s="1" t="n">
        <v>46220</v>
      </c>
      <c r="F1055" t="inlineStr">
        <is>
          <t>JÄMTLANDS LÄN</t>
        </is>
      </c>
      <c r="G1055" t="inlineStr">
        <is>
          <t>RAGUNDA</t>
        </is>
      </c>
      <c r="H1055" t="inlineStr">
        <is>
          <t>SCA</t>
        </is>
      </c>
      <c r="I1055" t="n">
        <v>38.3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55508-2024</t>
        </is>
      </c>
      <c r="B1056" t="inlineStr">
        <is>
          <t>avverkningsanmälan</t>
        </is>
      </c>
      <c r="C1056" t="inlineStr">
        <is>
          <t>Föryngringsavverkning</t>
        </is>
      </c>
      <c r="D1056" s="1" t="n">
        <v>45622</v>
      </c>
      <c r="E1056" s="1" t="n">
        <v>46220</v>
      </c>
      <c r="F1056" t="inlineStr">
        <is>
          <t>JÄMTLANDS LÄN</t>
        </is>
      </c>
      <c r="G1056" t="inlineStr">
        <is>
          <t>RAGUNDA</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20772-2024</t>
        </is>
      </c>
      <c r="B1057" t="inlineStr">
        <is>
          <t>avverkningsanmälan</t>
        </is>
      </c>
      <c r="C1057" t="inlineStr">
        <is>
          <t>Avverkning för att bevara och utveckla /försöksver</t>
        </is>
      </c>
      <c r="D1057" s="1" t="n">
        <v>45436</v>
      </c>
      <c r="E1057" s="1" t="n">
        <v>46220</v>
      </c>
      <c r="F1057" t="inlineStr">
        <is>
          <t>JÄMTLANDS LÄN</t>
        </is>
      </c>
      <c r="G1057" t="inlineStr">
        <is>
          <t>RAGUNDA</t>
        </is>
      </c>
      <c r="H1057" t="inlineStr">
        <is>
          <t>SCA</t>
        </is>
      </c>
      <c r="I1057" t="n">
        <v>1.7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22711-2026</t>
        </is>
      </c>
      <c r="B1058" t="inlineStr">
        <is>
          <t>avverkningsanmälan</t>
        </is>
      </c>
      <c r="C1058" t="inlineStr">
        <is>
          <t>Föryngringsavverkning</t>
        </is>
      </c>
      <c r="D1058" s="1" t="n">
        <v>46156</v>
      </c>
      <c r="E1058" s="1" t="n">
        <v>46220</v>
      </c>
      <c r="F1058" t="inlineStr">
        <is>
          <t>JÄMTLANDS LÄN</t>
        </is>
      </c>
      <c r="G1058" t="inlineStr">
        <is>
          <t>RAGUNDA</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6716-2025</t>
        </is>
      </c>
      <c r="B1059" t="inlineStr">
        <is>
          <t>avverkningsanmälan</t>
        </is>
      </c>
      <c r="C1059" t="inlineStr">
        <is>
          <t>Föryngringsavverkning</t>
        </is>
      </c>
      <c r="D1059" s="1" t="n">
        <v>45700</v>
      </c>
      <c r="E1059" s="1" t="n">
        <v>46220</v>
      </c>
      <c r="F1059" t="inlineStr">
        <is>
          <t>JÄMTLANDS LÄN</t>
        </is>
      </c>
      <c r="G1059" t="inlineStr">
        <is>
          <t>RAGUNDA</t>
        </is>
      </c>
      <c r="H1059" t="inlineStr">
        <is>
          <t>SCA</t>
        </is>
      </c>
      <c r="I1059" t="n">
        <v>5.1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19866-2023</t>
        </is>
      </c>
      <c r="B1060" t="inlineStr">
        <is>
          <t>avverkningsanmälan</t>
        </is>
      </c>
      <c r="C1060" t="inlineStr">
        <is>
          <t>Föryngringsavverkning</t>
        </is>
      </c>
      <c r="D1060" s="1" t="n">
        <v>45053</v>
      </c>
      <c r="E1060" s="1" t="n">
        <v>46220</v>
      </c>
      <c r="F1060" t="inlineStr">
        <is>
          <t>JÄMTLANDS LÄN</t>
        </is>
      </c>
      <c r="G1060" t="inlineStr">
        <is>
          <t>RAGUNDA</t>
        </is>
      </c>
      <c r="H1060" t="inlineStr">
        <is>
          <t>SCA</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21853-2024</t>
        </is>
      </c>
      <c r="B1061" t="inlineStr">
        <is>
          <t>avverkningsanmälan</t>
        </is>
      </c>
      <c r="C1061" t="inlineStr">
        <is>
          <t>Avverkning för att bevara och utveckla /försöksver</t>
        </is>
      </c>
      <c r="D1061" s="1" t="n">
        <v>45442</v>
      </c>
      <c r="E1061" s="1" t="n">
        <v>46220</v>
      </c>
      <c r="F1061" t="inlineStr">
        <is>
          <t>JÄMTLANDS LÄN</t>
        </is>
      </c>
      <c r="G1061" t="inlineStr">
        <is>
          <t>RAGUNDA</t>
        </is>
      </c>
      <c r="H1061" t="inlineStr">
        <is>
          <t>SCA</t>
        </is>
      </c>
      <c r="I1061" t="n">
        <v>2.7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8241-2024</t>
        </is>
      </c>
      <c r="B1062" t="inlineStr">
        <is>
          <t>avverkningsanmälan</t>
        </is>
      </c>
      <c r="C1062" t="inlineStr">
        <is>
          <t>Avverkning för att bevara och utveckla /försöksver</t>
        </is>
      </c>
      <c r="D1062" s="1" t="n">
        <v>45351</v>
      </c>
      <c r="E1062" s="1" t="n">
        <v>46220</v>
      </c>
      <c r="F1062" t="inlineStr">
        <is>
          <t>JÄMTLANDS LÄN</t>
        </is>
      </c>
      <c r="G1062" t="inlineStr">
        <is>
          <t>RAGUNDA</t>
        </is>
      </c>
      <c r="H1062" t="inlineStr">
        <is>
          <t>SCA</t>
        </is>
      </c>
      <c r="I1062" t="n">
        <v>4.2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40365-2024</t>
        </is>
      </c>
      <c r="B1063" t="inlineStr">
        <is>
          <t>avverkningsanmälan</t>
        </is>
      </c>
      <c r="C1063" t="inlineStr">
        <is>
          <t>Föryngringsavverkning</t>
        </is>
      </c>
      <c r="D1063" s="1" t="n">
        <v>45555</v>
      </c>
      <c r="E1063" s="1" t="n">
        <v>46220</v>
      </c>
      <c r="F1063" t="inlineStr">
        <is>
          <t>JÄMTLANDS LÄN</t>
        </is>
      </c>
      <c r="G1063" t="inlineStr">
        <is>
          <t>RAGUNDA</t>
        </is>
      </c>
      <c r="I1063" t="n">
        <v>7.8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20770-2024</t>
        </is>
      </c>
      <c r="B1064" t="inlineStr">
        <is>
          <t>avverkningsanmälan</t>
        </is>
      </c>
      <c r="C1064" t="inlineStr">
        <is>
          <t>Föryngringsavverkning</t>
        </is>
      </c>
      <c r="D1064" s="1" t="n">
        <v>45436</v>
      </c>
      <c r="E1064" s="1" t="n">
        <v>46220</v>
      </c>
      <c r="F1064" t="inlineStr">
        <is>
          <t>JÄMTLANDS LÄN</t>
        </is>
      </c>
      <c r="G1064" t="inlineStr">
        <is>
          <t>RAGUNDA</t>
        </is>
      </c>
      <c r="H1064" t="inlineStr">
        <is>
          <t>SCA</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7281-2024</t>
        </is>
      </c>
      <c r="B1065" t="inlineStr">
        <is>
          <t>avverkningsanmälan</t>
        </is>
      </c>
      <c r="C1065" t="inlineStr">
        <is>
          <t>Föryngringsavverkning</t>
        </is>
      </c>
      <c r="D1065" s="1" t="n">
        <v>45344</v>
      </c>
      <c r="E1065" s="1" t="n">
        <v>46220</v>
      </c>
      <c r="F1065" t="inlineStr">
        <is>
          <t>JÄMTLANDS LÄN</t>
        </is>
      </c>
      <c r="G1065" t="inlineStr">
        <is>
          <t>RAGUNDA</t>
        </is>
      </c>
      <c r="I1065" t="n">
        <v>1.2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7284-2024</t>
        </is>
      </c>
      <c r="B1066" t="inlineStr">
        <is>
          <t>avverkningsanmälan</t>
        </is>
      </c>
      <c r="C1066" t="inlineStr">
        <is>
          <t>Föryngringsavverkning</t>
        </is>
      </c>
      <c r="D1066" s="1" t="n">
        <v>45344</v>
      </c>
      <c r="E1066" s="1" t="n">
        <v>46220</v>
      </c>
      <c r="F1066" t="inlineStr">
        <is>
          <t>JÄMTLANDS LÄN</t>
        </is>
      </c>
      <c r="G1066" t="inlineStr">
        <is>
          <t>RAGUNDA</t>
        </is>
      </c>
      <c r="I1066" t="n">
        <v>2.1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7285-2024</t>
        </is>
      </c>
      <c r="B1067" t="inlineStr">
        <is>
          <t>avverkningsanmälan</t>
        </is>
      </c>
      <c r="C1067" t="inlineStr">
        <is>
          <t>Föryngringsavverkning</t>
        </is>
      </c>
      <c r="D1067" s="1" t="n">
        <v>45344</v>
      </c>
      <c r="E1067" s="1" t="n">
        <v>46220</v>
      </c>
      <c r="F1067" t="inlineStr">
        <is>
          <t>JÄMTLANDS LÄN</t>
        </is>
      </c>
      <c r="G1067" t="inlineStr">
        <is>
          <t>RAGUNDA</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22713-2026</t>
        </is>
      </c>
      <c r="B1068" t="inlineStr">
        <is>
          <t>avverkningsanmälan</t>
        </is>
      </c>
      <c r="C1068" t="inlineStr">
        <is>
          <t>Föryngringsavverkning</t>
        </is>
      </c>
      <c r="D1068" s="1" t="n">
        <v>46156</v>
      </c>
      <c r="E1068" s="1" t="n">
        <v>46220</v>
      </c>
      <c r="F1068" t="inlineStr">
        <is>
          <t>JÄMTLANDS LÄN</t>
        </is>
      </c>
      <c r="G1068" t="inlineStr">
        <is>
          <t>RAGUNDA</t>
        </is>
      </c>
      <c r="I1068" t="n">
        <v>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60838-2023</t>
        </is>
      </c>
      <c r="B1069" t="inlineStr">
        <is>
          <t>avverkningsanmälan</t>
        </is>
      </c>
      <c r="C1069" t="inlineStr">
        <is>
          <t>Föryngringsavverkning</t>
        </is>
      </c>
      <c r="D1069" s="1" t="n">
        <v>45260</v>
      </c>
      <c r="E1069" s="1" t="n">
        <v>46220</v>
      </c>
      <c r="F1069" t="inlineStr">
        <is>
          <t>JÄMTLANDS LÄN</t>
        </is>
      </c>
      <c r="G1069" t="inlineStr">
        <is>
          <t>RAGUNDA</t>
        </is>
      </c>
      <c r="I1069" t="n">
        <v>2.7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15581-2024</t>
        </is>
      </c>
      <c r="B1070" t="inlineStr">
        <is>
          <t>avverkningsanmälan</t>
        </is>
      </c>
      <c r="C1070" t="inlineStr">
        <is>
          <t>Avverkning för annat ändamål</t>
        </is>
      </c>
      <c r="D1070" s="1" t="n">
        <v>45401</v>
      </c>
      <c r="E1070" s="1" t="n">
        <v>46220</v>
      </c>
      <c r="F1070" t="inlineStr">
        <is>
          <t>JÄMTLANDS LÄN</t>
        </is>
      </c>
      <c r="G1070" t="inlineStr">
        <is>
          <t>RAGUNDA</t>
        </is>
      </c>
      <c r="H1070" t="inlineStr">
        <is>
          <t>Kommuner</t>
        </is>
      </c>
      <c r="I1070" t="n">
        <v>2.2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23528-2024</t>
        </is>
      </c>
      <c r="B1071" t="inlineStr">
        <is>
          <t>avverkningsanmälan</t>
        </is>
      </c>
      <c r="C1071" t="inlineStr">
        <is>
          <t>Föryngringsavverkning</t>
        </is>
      </c>
      <c r="D1071" s="1" t="n">
        <v>45453</v>
      </c>
      <c r="E1071" s="1" t="n">
        <v>46220</v>
      </c>
      <c r="F1071" t="inlineStr">
        <is>
          <t>JÄMTLANDS LÄN</t>
        </is>
      </c>
      <c r="G1071" t="inlineStr">
        <is>
          <t>RAGUNDA</t>
        </is>
      </c>
      <c r="H1071" t="inlineStr">
        <is>
          <t>SCA</t>
        </is>
      </c>
      <c r="I1071" t="n">
        <v>4.7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4594-2024</t>
        </is>
      </c>
      <c r="B1072" t="inlineStr">
        <is>
          <t>avverkningsanmälan</t>
        </is>
      </c>
      <c r="C1072" t="inlineStr">
        <is>
          <t>Avverkning för att bevara och utveckla /försöksver</t>
        </is>
      </c>
      <c r="D1072" s="1" t="n">
        <v>45327</v>
      </c>
      <c r="E1072" s="1" t="n">
        <v>46220</v>
      </c>
      <c r="F1072" t="inlineStr">
        <is>
          <t>JÄMTLANDS LÄN</t>
        </is>
      </c>
      <c r="G1072" t="inlineStr">
        <is>
          <t>RAGUNDA</t>
        </is>
      </c>
      <c r="H1072" t="inlineStr">
        <is>
          <t>SCA</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30824-2023</t>
        </is>
      </c>
      <c r="B1073" t="inlineStr">
        <is>
          <t>avverkningsanmälan</t>
        </is>
      </c>
      <c r="C1073" t="inlineStr">
        <is>
          <t>Avverkning för att bevara och utveckla /försöksver</t>
        </is>
      </c>
      <c r="D1073" s="1" t="n">
        <v>45112</v>
      </c>
      <c r="E1073" s="1" t="n">
        <v>46220</v>
      </c>
      <c r="F1073" t="inlineStr">
        <is>
          <t>JÄMTLANDS LÄN</t>
        </is>
      </c>
      <c r="G1073" t="inlineStr">
        <is>
          <t>RAGUNDA</t>
        </is>
      </c>
      <c r="H1073" t="inlineStr">
        <is>
          <t>SCA</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4014-2022</t>
        </is>
      </c>
      <c r="B1074" t="inlineStr">
        <is>
          <t>avverkningsanmälan</t>
        </is>
      </c>
      <c r="C1074" t="inlineStr">
        <is>
          <t>Föryngringsavverkning</t>
        </is>
      </c>
      <c r="D1074" s="1" t="n">
        <v>44587</v>
      </c>
      <c r="E1074" s="1" t="n">
        <v>46220</v>
      </c>
      <c r="F1074" t="inlineStr">
        <is>
          <t>JÄMTLANDS LÄN</t>
        </is>
      </c>
      <c r="G1074" t="inlineStr">
        <is>
          <t>RAGUNDA</t>
        </is>
      </c>
      <c r="I1074" t="n">
        <v>3.6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1554-2024</t>
        </is>
      </c>
      <c r="B1075" t="inlineStr">
        <is>
          <t>avverkningsanmälan</t>
        </is>
      </c>
      <c r="C1075" t="inlineStr">
        <is>
          <t>Föryngringsavverkning</t>
        </is>
      </c>
      <c r="D1075" s="1" t="n">
        <v>45306</v>
      </c>
      <c r="E1075" s="1" t="n">
        <v>46220</v>
      </c>
      <c r="F1075" t="inlineStr">
        <is>
          <t>JÄMTLANDS LÄN</t>
        </is>
      </c>
      <c r="G1075" t="inlineStr">
        <is>
          <t>RAGUNDA</t>
        </is>
      </c>
      <c r="I1075" t="n">
        <v>4.3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38782-2021</t>
        </is>
      </c>
      <c r="B1076" t="inlineStr">
        <is>
          <t>avverkningsanmälan</t>
        </is>
      </c>
      <c r="C1076" t="inlineStr">
        <is>
          <t>Avverkning för annat ändamål</t>
        </is>
      </c>
      <c r="D1076" s="1" t="n">
        <v>44410</v>
      </c>
      <c r="E1076" s="1" t="n">
        <v>46220</v>
      </c>
      <c r="F1076" t="inlineStr">
        <is>
          <t>JÄMTLANDS LÄN</t>
        </is>
      </c>
      <c r="G1076" t="inlineStr">
        <is>
          <t>RAGUNDA</t>
        </is>
      </c>
      <c r="I1076" t="n">
        <v>3.2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20722-2025</t>
        </is>
      </c>
      <c r="B1077" t="inlineStr">
        <is>
          <t>avverkningsanmälan</t>
        </is>
      </c>
      <c r="C1077" t="inlineStr">
        <is>
          <t>Avverkning för annat ändamål</t>
        </is>
      </c>
      <c r="D1077" s="1" t="n">
        <v>45776</v>
      </c>
      <c r="E1077" s="1" t="n">
        <v>46220</v>
      </c>
      <c r="F1077" t="inlineStr">
        <is>
          <t>JÄMTLANDS LÄN</t>
        </is>
      </c>
      <c r="G1077" t="inlineStr">
        <is>
          <t>RAGUNDA</t>
        </is>
      </c>
      <c r="H1077" t="inlineStr">
        <is>
          <t>Kommuner</t>
        </is>
      </c>
      <c r="I1077" t="n">
        <v>0.8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20777-2025</t>
        </is>
      </c>
      <c r="B1078" t="inlineStr">
        <is>
          <t>avverkningsanmälan</t>
        </is>
      </c>
      <c r="C1078" t="inlineStr">
        <is>
          <t>Föryngringsavverkning</t>
        </is>
      </c>
      <c r="D1078" s="1" t="n">
        <v>45776</v>
      </c>
      <c r="E1078" s="1" t="n">
        <v>46220</v>
      </c>
      <c r="F1078" t="inlineStr">
        <is>
          <t>JÄMTLANDS LÄN</t>
        </is>
      </c>
      <c r="G1078" t="inlineStr">
        <is>
          <t>RAGUNDA</t>
        </is>
      </c>
      <c r="H1078" t="inlineStr">
        <is>
          <t>SCA</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21214-2025</t>
        </is>
      </c>
      <c r="B1079" t="inlineStr">
        <is>
          <t>avverkningsanmälan</t>
        </is>
      </c>
      <c r="C1079" t="inlineStr">
        <is>
          <t>Föryngringsavverkning</t>
        </is>
      </c>
      <c r="D1079" s="1" t="n">
        <v>45779</v>
      </c>
      <c r="E1079" s="1" t="n">
        <v>46220</v>
      </c>
      <c r="F1079" t="inlineStr">
        <is>
          <t>JÄMTLANDS LÄN</t>
        </is>
      </c>
      <c r="G1079" t="inlineStr">
        <is>
          <t>RAGUNDA</t>
        </is>
      </c>
      <c r="H1079" t="inlineStr">
        <is>
          <t>SCA</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22941-2024</t>
        </is>
      </c>
      <c r="B1080" t="inlineStr">
        <is>
          <t>avverkningsanmälan</t>
        </is>
      </c>
      <c r="C1080" t="inlineStr">
        <is>
          <t>Föryngringsavverkning</t>
        </is>
      </c>
      <c r="D1080" s="1" t="n">
        <v>45448</v>
      </c>
      <c r="E1080" s="1" t="n">
        <v>46220</v>
      </c>
      <c r="F1080" t="inlineStr">
        <is>
          <t>JÄMTLANDS LÄN</t>
        </is>
      </c>
      <c r="G1080" t="inlineStr">
        <is>
          <t>RAGUNDA</t>
        </is>
      </c>
      <c r="H1080" t="inlineStr">
        <is>
          <t>SCA</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44881-2023</t>
        </is>
      </c>
      <c r="B1081" t="inlineStr">
        <is>
          <t>avverkningsanmälan</t>
        </is>
      </c>
      <c r="C1081" t="inlineStr">
        <is>
          <t>Avverkning för annat ändamål</t>
        </is>
      </c>
      <c r="D1081" s="1" t="n">
        <v>45187</v>
      </c>
      <c r="E1081" s="1" t="n">
        <v>46220</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21451-2025</t>
        </is>
      </c>
      <c r="B1082" t="inlineStr">
        <is>
          <t>avverkningsanmälan</t>
        </is>
      </c>
      <c r="C1082" t="inlineStr">
        <is>
          <t>Föryngringsavverkning</t>
        </is>
      </c>
      <c r="D1082" s="1" t="n">
        <v>45782</v>
      </c>
      <c r="E1082" s="1" t="n">
        <v>46220</v>
      </c>
      <c r="F1082" t="inlineStr">
        <is>
          <t>JÄMTLANDS LÄN</t>
        </is>
      </c>
      <c r="G1082" t="inlineStr">
        <is>
          <t>RAGUNDA</t>
        </is>
      </c>
      <c r="H1082" t="inlineStr">
        <is>
          <t>SCA</t>
        </is>
      </c>
      <c r="I1082" t="n">
        <v>1.3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21432-2025</t>
        </is>
      </c>
      <c r="B1083" t="inlineStr">
        <is>
          <t>avverkningsanmälan</t>
        </is>
      </c>
      <c r="C1083" t="inlineStr">
        <is>
          <t>Föryngringsavverkning</t>
        </is>
      </c>
      <c r="D1083" s="1" t="n">
        <v>45782</v>
      </c>
      <c r="E1083" s="1" t="n">
        <v>46220</v>
      </c>
      <c r="F1083" t="inlineStr">
        <is>
          <t>JÄMTLANDS LÄN</t>
        </is>
      </c>
      <c r="G1083" t="inlineStr">
        <is>
          <t>RAGUNDA</t>
        </is>
      </c>
      <c r="H1083" t="inlineStr">
        <is>
          <t>SCA</t>
        </is>
      </c>
      <c r="I1083" t="n">
        <v>4.6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21550-2025</t>
        </is>
      </c>
      <c r="B1084" t="inlineStr">
        <is>
          <t>avverkningsanmälan</t>
        </is>
      </c>
      <c r="C1084" t="inlineStr">
        <is>
          <t>Föryngringsavverkning</t>
        </is>
      </c>
      <c r="D1084" s="1" t="n">
        <v>45782</v>
      </c>
      <c r="E1084" s="1" t="n">
        <v>46220</v>
      </c>
      <c r="F1084" t="inlineStr">
        <is>
          <t>JÄMTLANDS LÄN</t>
        </is>
      </c>
      <c r="G1084" t="inlineStr">
        <is>
          <t>RAGUNDA</t>
        </is>
      </c>
      <c r="H1084" t="inlineStr">
        <is>
          <t>SCA</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57889-2024</t>
        </is>
      </c>
      <c r="B1085" t="inlineStr">
        <is>
          <t>avverkningsanmälan</t>
        </is>
      </c>
      <c r="C1085" t="inlineStr">
        <is>
          <t>Föryngringsavverkning</t>
        </is>
      </c>
      <c r="D1085" s="1" t="n">
        <v>45631</v>
      </c>
      <c r="E1085" s="1" t="n">
        <v>46220</v>
      </c>
      <c r="F1085" t="inlineStr">
        <is>
          <t>JÄMTLANDS LÄN</t>
        </is>
      </c>
      <c r="G1085" t="inlineStr">
        <is>
          <t>RAGUNDA</t>
        </is>
      </c>
      <c r="I1085" t="n">
        <v>11.1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60629-2023</t>
        </is>
      </c>
      <c r="B1086" t="inlineStr">
        <is>
          <t>avverkningsanmälan</t>
        </is>
      </c>
      <c r="C1086" t="inlineStr">
        <is>
          <t>Föryngringsavverkning</t>
        </is>
      </c>
      <c r="D1086" s="1" t="n">
        <v>45259</v>
      </c>
      <c r="E1086" s="1" t="n">
        <v>46220</v>
      </c>
      <c r="F1086" t="inlineStr">
        <is>
          <t>JÄMTLANDS LÄN</t>
        </is>
      </c>
      <c r="G1086" t="inlineStr">
        <is>
          <t>RAGUNDA</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22388-2025</t>
        </is>
      </c>
      <c r="B1087" t="inlineStr">
        <is>
          <t>avverkningsanmälan</t>
        </is>
      </c>
      <c r="C1087" t="inlineStr">
        <is>
          <t>Föryngringsavverkning</t>
        </is>
      </c>
      <c r="D1087" s="1" t="n">
        <v>45786</v>
      </c>
      <c r="E1087" s="1" t="n">
        <v>46220</v>
      </c>
      <c r="F1087" t="inlineStr">
        <is>
          <t>JÄMTLANDS LÄN</t>
        </is>
      </c>
      <c r="G1087" t="inlineStr">
        <is>
          <t>RAGUNDA</t>
        </is>
      </c>
      <c r="H1087" t="inlineStr">
        <is>
          <t>SCA</t>
        </is>
      </c>
      <c r="I1087" t="n">
        <v>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22898-2025</t>
        </is>
      </c>
      <c r="B1088" t="inlineStr">
        <is>
          <t>avverkningsanmälan</t>
        </is>
      </c>
      <c r="C1088" t="inlineStr">
        <is>
          <t>Föryngringsavverkning</t>
        </is>
      </c>
      <c r="D1088" s="1" t="n">
        <v>45790</v>
      </c>
      <c r="E1088" s="1" t="n">
        <v>46220</v>
      </c>
      <c r="F1088" t="inlineStr">
        <is>
          <t>JÄMTLANDS LÄN</t>
        </is>
      </c>
      <c r="G1088" t="inlineStr">
        <is>
          <t>RAGUNDA</t>
        </is>
      </c>
      <c r="H1088" t="inlineStr">
        <is>
          <t>SCA</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23253-2025</t>
        </is>
      </c>
      <c r="B1089" t="inlineStr">
        <is>
          <t>avverkningsanmälan</t>
        </is>
      </c>
      <c r="C1089" t="inlineStr">
        <is>
          <t>Föryngringsavverkning</t>
        </is>
      </c>
      <c r="D1089" s="1" t="n">
        <v>45791</v>
      </c>
      <c r="E1089" s="1" t="n">
        <v>46220</v>
      </c>
      <c r="F1089" t="inlineStr">
        <is>
          <t>JÄMTLANDS LÄN</t>
        </is>
      </c>
      <c r="G1089" t="inlineStr">
        <is>
          <t>RAGUNDA</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23413-2025</t>
        </is>
      </c>
      <c r="B1090" t="inlineStr">
        <is>
          <t>avverkningsanmälan</t>
        </is>
      </c>
      <c r="C1090" t="inlineStr">
        <is>
          <t>Föryngringsavverkning</t>
        </is>
      </c>
      <c r="D1090" s="1" t="n">
        <v>45792</v>
      </c>
      <c r="E1090" s="1" t="n">
        <v>46220</v>
      </c>
      <c r="F1090" t="inlineStr">
        <is>
          <t>JÄMTLANDS LÄN</t>
        </is>
      </c>
      <c r="G1090" t="inlineStr">
        <is>
          <t>RAGUNDA</t>
        </is>
      </c>
      <c r="H1090" t="inlineStr">
        <is>
          <t>SCA</t>
        </is>
      </c>
      <c r="I1090" t="n">
        <v>2.4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23586-2025</t>
        </is>
      </c>
      <c r="B1091" t="inlineStr">
        <is>
          <t>avverkningsanmälan</t>
        </is>
      </c>
      <c r="C1091" t="inlineStr">
        <is>
          <t>Föryngringsavverkning</t>
        </is>
      </c>
      <c r="D1091" s="1" t="n">
        <v>45792</v>
      </c>
      <c r="E1091" s="1" t="n">
        <v>46220</v>
      </c>
      <c r="F1091" t="inlineStr">
        <is>
          <t>JÄMTLANDS LÄN</t>
        </is>
      </c>
      <c r="G1091" t="inlineStr">
        <is>
          <t>RAGUNDA</t>
        </is>
      </c>
      <c r="H1091" t="inlineStr">
        <is>
          <t>SCA</t>
        </is>
      </c>
      <c r="I1091" t="n">
        <v>9.699999999999999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23841-2025</t>
        </is>
      </c>
      <c r="B1092" t="inlineStr">
        <is>
          <t>avverkningsanmälan</t>
        </is>
      </c>
      <c r="C1092" t="inlineStr">
        <is>
          <t>Föryngringsavverkning</t>
        </is>
      </c>
      <c r="D1092" s="1" t="n">
        <v>45793</v>
      </c>
      <c r="E1092" s="1" t="n">
        <v>46220</v>
      </c>
      <c r="F1092" t="inlineStr">
        <is>
          <t>JÄMTLANDS LÄN</t>
        </is>
      </c>
      <c r="G1092" t="inlineStr">
        <is>
          <t>RAGUNDA</t>
        </is>
      </c>
      <c r="H1092" t="inlineStr">
        <is>
          <t>SCA</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23654-2025</t>
        </is>
      </c>
      <c r="B1093" t="inlineStr">
        <is>
          <t>avverkningsanmälan</t>
        </is>
      </c>
      <c r="C1093" t="inlineStr">
        <is>
          <t>Föryngringsavverkning</t>
        </is>
      </c>
      <c r="D1093" s="1" t="n">
        <v>45792</v>
      </c>
      <c r="E1093" s="1" t="n">
        <v>46220</v>
      </c>
      <c r="F1093" t="inlineStr">
        <is>
          <t>JÄMTLANDS LÄN</t>
        </is>
      </c>
      <c r="G1093" t="inlineStr">
        <is>
          <t>RAGUNDA</t>
        </is>
      </c>
      <c r="H1093" t="inlineStr">
        <is>
          <t>SCA</t>
        </is>
      </c>
      <c r="I1093" t="n">
        <v>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23405-2025</t>
        </is>
      </c>
      <c r="B1094" t="inlineStr">
        <is>
          <t>avverkningsanmälan</t>
        </is>
      </c>
      <c r="C1094" t="inlineStr">
        <is>
          <t>Föryngringsavverkning</t>
        </is>
      </c>
      <c r="D1094" s="1" t="n">
        <v>45792</v>
      </c>
      <c r="E1094" s="1" t="n">
        <v>46220</v>
      </c>
      <c r="F1094" t="inlineStr">
        <is>
          <t>JÄMTLANDS LÄN</t>
        </is>
      </c>
      <c r="G1094" t="inlineStr">
        <is>
          <t>RAGUNDA</t>
        </is>
      </c>
      <c r="H1094" t="inlineStr">
        <is>
          <t>SCA</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4068-2023</t>
        </is>
      </c>
      <c r="B1095" t="inlineStr">
        <is>
          <t>samrådsanmälan</t>
        </is>
      </c>
      <c r="C1095" t="inlineStr">
        <is>
          <t>Annan skogsbruksåtgärd</t>
        </is>
      </c>
      <c r="D1095" s="1" t="n">
        <v>45246</v>
      </c>
      <c r="E1095" s="1" t="n">
        <v>46220</v>
      </c>
      <c r="F1095" t="inlineStr">
        <is>
          <t>JÄMTLANDS LÄN</t>
        </is>
      </c>
      <c r="G1095" t="inlineStr">
        <is>
          <t>RAGUNDA</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1667-2022</t>
        </is>
      </c>
      <c r="B1096" t="inlineStr">
        <is>
          <t>samrådsanmälan</t>
        </is>
      </c>
      <c r="C1096" t="inlineStr">
        <is>
          <t>Annan skogsbruksåtgärd</t>
        </is>
      </c>
      <c r="D1096" s="1" t="n">
        <v>44649</v>
      </c>
      <c r="E1096" s="1" t="n">
        <v>46220</v>
      </c>
      <c r="F1096" t="inlineStr">
        <is>
          <t>JÄMTLANDS LÄN</t>
        </is>
      </c>
      <c r="G1096" t="inlineStr">
        <is>
          <t>RAGUNDA</t>
        </is>
      </c>
      <c r="I1096" t="n">
        <v>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1183-2023</t>
        </is>
      </c>
      <c r="B1097" t="inlineStr">
        <is>
          <t>samrådsanmälan</t>
        </is>
      </c>
      <c r="C1097" t="inlineStr">
        <is>
          <t>Annan skogsbruksåtgärd</t>
        </is>
      </c>
      <c r="D1097" s="1" t="n">
        <v>45026</v>
      </c>
      <c r="E1097" s="1" t="n">
        <v>46220</v>
      </c>
      <c r="F1097" t="inlineStr">
        <is>
          <t>JÄMTLANDS LÄN</t>
        </is>
      </c>
      <c r="G1097" t="inlineStr">
        <is>
          <t>RAGUNDA</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1103-2025</t>
        </is>
      </c>
      <c r="B1098" t="inlineStr">
        <is>
          <t>samrådsanmälan</t>
        </is>
      </c>
      <c r="C1098" t="inlineStr">
        <is>
          <t>Skogsgödsling</t>
        </is>
      </c>
      <c r="D1098" s="1" t="n">
        <v>45751</v>
      </c>
      <c r="E1098" s="1" t="n">
        <v>46220</v>
      </c>
      <c r="F1098" t="inlineStr">
        <is>
          <t>JÄMTLANDS LÄN</t>
        </is>
      </c>
      <c r="G1098" t="inlineStr">
        <is>
          <t>RAGUNDA</t>
        </is>
      </c>
      <c r="H1098" t="inlineStr">
        <is>
          <t>SCA</t>
        </is>
      </c>
      <c r="I1098" t="n">
        <v>122.3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1628-2025</t>
        </is>
      </c>
      <c r="B1099" t="inlineStr">
        <is>
          <t>samrådsanmälan</t>
        </is>
      </c>
      <c r="C1099" t="inlineStr">
        <is>
          <t>Annan skogsbruksåtgärd</t>
        </is>
      </c>
      <c r="D1099" s="1" t="n">
        <v>45797</v>
      </c>
      <c r="E1099" s="1" t="n">
        <v>46220</v>
      </c>
      <c r="F1099" t="inlineStr">
        <is>
          <t>JÄMTLANDS LÄN</t>
        </is>
      </c>
      <c r="G1099" t="inlineStr">
        <is>
          <t>RAGUNDA</t>
        </is>
      </c>
      <c r="H1099" t="inlineStr">
        <is>
          <t>SCA</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2212-2025</t>
        </is>
      </c>
      <c r="B1100" t="inlineStr">
        <is>
          <t>samrådsanmälan</t>
        </is>
      </c>
      <c r="C1100" t="inlineStr">
        <is>
          <t>Skogsgödsling</t>
        </is>
      </c>
      <c r="D1100" s="1" t="n">
        <v>45862</v>
      </c>
      <c r="E1100" s="1" t="n">
        <v>46220</v>
      </c>
      <c r="F1100" t="inlineStr">
        <is>
          <t>JÄMTLANDS LÄN</t>
        </is>
      </c>
      <c r="G1100" t="inlineStr">
        <is>
          <t>RAGUNDA</t>
        </is>
      </c>
      <c r="H1100" t="inlineStr">
        <is>
          <t>SCA</t>
        </is>
      </c>
      <c r="I1100" t="n">
        <v>151.7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2944-2025</t>
        </is>
      </c>
      <c r="B1101" t="inlineStr">
        <is>
          <t>samrådsanmälan</t>
        </is>
      </c>
      <c r="C1101" t="inlineStr">
        <is>
          <t>Annan skogsbruksåtgärd</t>
        </is>
      </c>
      <c r="D1101" s="1" t="n">
        <v>45952</v>
      </c>
      <c r="E1101" s="1" t="n">
        <v>46220</v>
      </c>
      <c r="F1101" t="inlineStr">
        <is>
          <t>JÄMTLANDS LÄN</t>
        </is>
      </c>
      <c r="G1101" t="inlineStr">
        <is>
          <t>RAGUNDA</t>
        </is>
      </c>
      <c r="H1101" t="inlineStr">
        <is>
          <t>SCA</t>
        </is>
      </c>
      <c r="I1101" t="n">
        <v>27.3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3397-2025</t>
        </is>
      </c>
      <c r="B1102" t="inlineStr">
        <is>
          <t>samrådsanmälan</t>
        </is>
      </c>
      <c r="C1102" t="inlineStr">
        <is>
          <t>Annan skogsbruksåtgärd</t>
        </is>
      </c>
      <c r="D1102" s="1" t="n">
        <v>45995</v>
      </c>
      <c r="E1102" s="1" t="n">
        <v>46220</v>
      </c>
      <c r="F1102" t="inlineStr">
        <is>
          <t>JÄMTLANDS LÄN</t>
        </is>
      </c>
      <c r="G1102" t="inlineStr">
        <is>
          <t>RAGUNDA</t>
        </is>
      </c>
      <c r="H1102" t="inlineStr">
        <is>
          <t>SCA</t>
        </is>
      </c>
      <c r="I1102" t="n">
        <v>8.9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176-2026</t>
        </is>
      </c>
      <c r="B1103" t="inlineStr">
        <is>
          <t>samrådsanmälan</t>
        </is>
      </c>
      <c r="C1103" t="inlineStr">
        <is>
          <t>Annan skogsbruksåtgärd</t>
        </is>
      </c>
      <c r="D1103" s="1" t="n">
        <v>46045</v>
      </c>
      <c r="E1103" s="1" t="n">
        <v>46220</v>
      </c>
      <c r="F1103" t="inlineStr">
        <is>
          <t>JÄMTLANDS LÄN</t>
        </is>
      </c>
      <c r="G1103" t="inlineStr">
        <is>
          <t>RAGUNDA</t>
        </is>
      </c>
      <c r="I1103" t="n">
        <v>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204-2025</t>
        </is>
      </c>
      <c r="B1104" t="inlineStr">
        <is>
          <t>samrådsanmälan</t>
        </is>
      </c>
      <c r="C1104" t="inlineStr">
        <is>
          <t>Skogsgödsling</t>
        </is>
      </c>
      <c r="D1104" s="1" t="n">
        <v>45679</v>
      </c>
      <c r="E1104" s="1" t="n">
        <v>46220</v>
      </c>
      <c r="F1104" t="inlineStr">
        <is>
          <t>JÄMTLANDS LÄN</t>
        </is>
      </c>
      <c r="G1104" t="inlineStr">
        <is>
          <t>RAGUNDA</t>
        </is>
      </c>
      <c r="I1104" t="n">
        <v>10.5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512-2025</t>
        </is>
      </c>
      <c r="B1105" t="inlineStr">
        <is>
          <t>samrådsanmälan</t>
        </is>
      </c>
      <c r="C1105" t="inlineStr">
        <is>
          <t>Skogsgödsling</t>
        </is>
      </c>
      <c r="D1105" s="1" t="n">
        <v>45706</v>
      </c>
      <c r="E1105" s="1" t="n">
        <v>46220</v>
      </c>
      <c r="F1105" t="inlineStr">
        <is>
          <t>JÄMTLANDS LÄN</t>
        </is>
      </c>
      <c r="G1105" t="inlineStr">
        <is>
          <t>RAGUNDA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202-2025</t>
        </is>
      </c>
      <c r="B1106" t="inlineStr">
        <is>
          <t>samrådsanmälan</t>
        </is>
      </c>
      <c r="C1106" t="inlineStr">
        <is>
          <t>Skogsgödsling</t>
        </is>
      </c>
      <c r="D1106" s="1" t="n">
        <v>45679</v>
      </c>
      <c r="E1106" s="1" t="n">
        <v>46220</v>
      </c>
      <c r="F1106" t="inlineStr">
        <is>
          <t>JÄMTLANDS LÄN</t>
        </is>
      </c>
      <c r="G1106" t="inlineStr">
        <is>
          <t>RAGUNDA</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203-2025</t>
        </is>
      </c>
      <c r="B1107" t="inlineStr">
        <is>
          <t>samrådsanmälan</t>
        </is>
      </c>
      <c r="C1107" t="inlineStr">
        <is>
          <t>Skogsgödsling</t>
        </is>
      </c>
      <c r="D1107" s="1" t="n">
        <v>45679</v>
      </c>
      <c r="E1107" s="1" t="n">
        <v>46220</v>
      </c>
      <c r="F1107" t="inlineStr">
        <is>
          <t>JÄMTLANDS LÄN</t>
        </is>
      </c>
      <c r="G1107" t="inlineStr">
        <is>
          <t>RAGUNDA</t>
        </is>
      </c>
      <c r="I1107" t="n">
        <v>7.8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835-2025</t>
        </is>
      </c>
      <c r="B1108" t="inlineStr">
        <is>
          <t>samrådsanmälan</t>
        </is>
      </c>
      <c r="C1108" t="inlineStr">
        <is>
          <t>Skogsgödsling</t>
        </is>
      </c>
      <c r="D1108" s="1" t="n">
        <v>45733</v>
      </c>
      <c r="E1108" s="1" t="n">
        <v>46220</v>
      </c>
      <c r="F1108" t="inlineStr">
        <is>
          <t>JÄMTLANDS LÄN</t>
        </is>
      </c>
      <c r="G1108" t="inlineStr">
        <is>
          <t>RAGUNDA</t>
        </is>
      </c>
      <c r="H1108" t="inlineStr">
        <is>
          <t>SCA</t>
        </is>
      </c>
      <c r="I1108" t="n">
        <v>140.8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205-2025</t>
        </is>
      </c>
      <c r="B1109" t="inlineStr">
        <is>
          <t>samrådsanmälan</t>
        </is>
      </c>
      <c r="C1109" t="inlineStr">
        <is>
          <t>Skogsgödsling</t>
        </is>
      </c>
      <c r="D1109" s="1" t="n">
        <v>45679</v>
      </c>
      <c r="E1109" s="1" t="n">
        <v>46220</v>
      </c>
      <c r="F1109" t="inlineStr">
        <is>
          <t>JÄMTLANDS LÄN</t>
        </is>
      </c>
      <c r="G1109" t="inlineStr">
        <is>
          <t>RAGUNDA</t>
        </is>
      </c>
      <c r="I1109" t="n">
        <v>14.2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1222-2026</t>
        </is>
      </c>
      <c r="B1110" t="inlineStr">
        <is>
          <t>samrådsanmälan</t>
        </is>
      </c>
      <c r="C1110" t="inlineStr">
        <is>
          <t>Annan skogsbruksåtgärd</t>
        </is>
      </c>
      <c r="D1110" s="1" t="n">
        <v>46141</v>
      </c>
      <c r="E1110" s="1" t="n">
        <v>46220</v>
      </c>
      <c r="F1110" t="inlineStr">
        <is>
          <t>JÄMTLANDS LÄN</t>
        </is>
      </c>
      <c r="G1110" t="inlineStr">
        <is>
          <t>RAGUNDA</t>
        </is>
      </c>
      <c r="H1110" t="inlineStr">
        <is>
          <t>SCA</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1832-2026</t>
        </is>
      </c>
      <c r="B1111" t="inlineStr">
        <is>
          <t>samrådsanmälan</t>
        </is>
      </c>
      <c r="C1111" t="inlineStr">
        <is>
          <t>Annan skogsbruksåtgärd</t>
        </is>
      </c>
      <c r="D1111" s="1" t="n">
        <v>46191</v>
      </c>
      <c r="E1111" s="1" t="n">
        <v>46220</v>
      </c>
      <c r="F1111" t="inlineStr">
        <is>
          <t>JÄMTLANDS LÄN</t>
        </is>
      </c>
      <c r="G1111" t="inlineStr">
        <is>
          <t>RAGUNDA</t>
        </is>
      </c>
      <c r="H1111" t="inlineStr">
        <is>
          <t>SCA</t>
        </is>
      </c>
      <c r="I1111" t="n">
        <v>3.6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1831-2026</t>
        </is>
      </c>
      <c r="B1112" t="inlineStr">
        <is>
          <t>samrådsanmälan</t>
        </is>
      </c>
      <c r="C1112" t="inlineStr">
        <is>
          <t>Annan skogsbruksåtgärd</t>
        </is>
      </c>
      <c r="D1112" s="1" t="n">
        <v>46191</v>
      </c>
      <c r="E1112" s="1" t="n">
        <v>46220</v>
      </c>
      <c r="F1112" t="inlineStr">
        <is>
          <t>JÄMTLANDS LÄN</t>
        </is>
      </c>
      <c r="G1112" t="inlineStr">
        <is>
          <t>RAGUNDA</t>
        </is>
      </c>
      <c r="H1112" t="inlineStr">
        <is>
          <t>SCA</t>
        </is>
      </c>
      <c r="I1112" t="n">
        <v>5.8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1829-2026</t>
        </is>
      </c>
      <c r="B1113" t="inlineStr">
        <is>
          <t>samrådsanmälan</t>
        </is>
      </c>
      <c r="C1113" t="inlineStr">
        <is>
          <t>Annan skogsbruksåtgärd</t>
        </is>
      </c>
      <c r="D1113" s="1" t="n">
        <v>46191</v>
      </c>
      <c r="E1113" s="1" t="n">
        <v>46220</v>
      </c>
      <c r="F1113" t="inlineStr">
        <is>
          <t>JÄMTLANDS LÄN</t>
        </is>
      </c>
      <c r="G1113" t="inlineStr">
        <is>
          <t>RAGUNDA</t>
        </is>
      </c>
      <c r="H1113" t="inlineStr">
        <is>
          <t>SCA</t>
        </is>
      </c>
      <c r="I1113" t="n">
        <v>4.4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1488-2026</t>
        </is>
      </c>
      <c r="B1114" t="inlineStr">
        <is>
          <t>samrådsanmälan</t>
        </is>
      </c>
      <c r="C1114" t="inlineStr">
        <is>
          <t>Annan skogsbruksåtgärd</t>
        </is>
      </c>
      <c r="D1114" s="1" t="n">
        <v>46162</v>
      </c>
      <c r="E1114" s="1" t="n">
        <v>46220</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1611-2026</t>
        </is>
      </c>
      <c r="B1115" t="inlineStr">
        <is>
          <t>samrådsanmälan</t>
        </is>
      </c>
      <c r="C1115" t="inlineStr">
        <is>
          <t>Annan skogsbruksåtgärd</t>
        </is>
      </c>
      <c r="D1115" s="1" t="n">
        <v>46173</v>
      </c>
      <c r="E1115" s="1" t="n">
        <v>46220</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1619-2026</t>
        </is>
      </c>
      <c r="B1116" t="inlineStr">
        <is>
          <t>samrådsanmälan</t>
        </is>
      </c>
      <c r="C1116" t="inlineStr">
        <is>
          <t>Annan skogsbruksåtgärd</t>
        </is>
      </c>
      <c r="D1116" s="1" t="n">
        <v>46173</v>
      </c>
      <c r="E1116" s="1" t="n">
        <v>46220</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s="2" t="inlineStr"/>
    </row>
    <row r="1117">
      <c r="A1117" t="inlineStr">
        <is>
          <t>S 1645-2026</t>
        </is>
      </c>
      <c r="B1117" t="inlineStr">
        <is>
          <t>samrådsanmälan</t>
        </is>
      </c>
      <c r="C1117" t="inlineStr">
        <is>
          <t>Annan skogsbruksåtgärd</t>
        </is>
      </c>
      <c r="D1117" s="1" t="n">
        <v>46176</v>
      </c>
      <c r="E1117" s="1" t="n">
        <v>46220</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2026-07-17T01:45:01Z</dcterms:created>
  <dcterms:modified xmlns:dcterms="http://purl.org/dc/terms/" xmlns:xsi="http://www.w3.org/2001/XMLSchema-instance" xsi:type="dcterms:W3CDTF">2026-07-17T01:45:02Z</dcterms:modified>
</cp:coreProperties>
</file>