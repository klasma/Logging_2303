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46021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46021</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46021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46021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46021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46021</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46021</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46021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46021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46021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12040-2025</t>
        </is>
      </c>
      <c r="B12" s="1" t="n">
        <v>45728.65684027778</v>
      </c>
      <c r="C12" s="1" t="n">
        <v>46021</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46021</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46021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46021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46021</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46021</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55404-2024</t>
        </is>
      </c>
      <c r="B18" s="1" t="n">
        <v>45622</v>
      </c>
      <c r="C18" s="1" t="n">
        <v>46021</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59762-2024</t>
        </is>
      </c>
      <c r="B19" s="1" t="n">
        <v>45639.55269675926</v>
      </c>
      <c r="C19" s="1" t="n">
        <v>46021</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46021</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31197-2023</t>
        </is>
      </c>
      <c r="B21" s="1" t="n">
        <v>45113</v>
      </c>
      <c r="C21" s="1" t="n">
        <v>46021</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29209-2024</t>
        </is>
      </c>
      <c r="B22" s="1" t="n">
        <v>45482.63819444444</v>
      </c>
      <c r="C22" s="1" t="n">
        <v>46021</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46021</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46021</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31839-2022</t>
        </is>
      </c>
      <c r="B25" s="1" t="n">
        <v>44776</v>
      </c>
      <c r="C25" s="1" t="n">
        <v>46021</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32741-2025</t>
        </is>
      </c>
      <c r="B26" s="1" t="n">
        <v>45839.42482638889</v>
      </c>
      <c r="C26" s="1" t="n">
        <v>46021</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46021</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25632-2025</t>
        </is>
      </c>
      <c r="B28" s="1" t="n">
        <v>45803.59474537037</v>
      </c>
      <c r="C28" s="1" t="n">
        <v>46021</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46021</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46021</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46021</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46021</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10982-2025</t>
        </is>
      </c>
      <c r="B33" s="1" t="n">
        <v>45723.40688657408</v>
      </c>
      <c r="C33" s="1" t="n">
        <v>46021</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46021</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12372-2024</t>
        </is>
      </c>
      <c r="B35" s="1" t="n">
        <v>45378</v>
      </c>
      <c r="C35" s="1" t="n">
        <v>46021</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33822-2023</t>
        </is>
      </c>
      <c r="B36" s="1" t="n">
        <v>45121</v>
      </c>
      <c r="C36" s="1" t="n">
        <v>46021</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46021</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4146-2025</t>
        </is>
      </c>
      <c r="B38" s="1" t="n">
        <v>45685.36501157407</v>
      </c>
      <c r="C38" s="1" t="n">
        <v>46021</v>
      </c>
      <c r="D38" t="inlineStr">
        <is>
          <t>JÄMTLANDS LÄN</t>
        </is>
      </c>
      <c r="E38" t="inlineStr">
        <is>
          <t>RAGUNDA</t>
        </is>
      </c>
      <c r="G38" t="n">
        <v>10.7</v>
      </c>
      <c r="H38" t="n">
        <v>1</v>
      </c>
      <c r="I38" t="n">
        <v>5</v>
      </c>
      <c r="J38" t="n">
        <v>2</v>
      </c>
      <c r="K38" t="n">
        <v>2</v>
      </c>
      <c r="L38" t="n">
        <v>0</v>
      </c>
      <c r="M38" t="n">
        <v>0</v>
      </c>
      <c r="N38" t="n">
        <v>0</v>
      </c>
      <c r="O38" t="n">
        <v>4</v>
      </c>
      <c r="P38" t="n">
        <v>2</v>
      </c>
      <c r="Q38" t="n">
        <v>9</v>
      </c>
      <c r="R38" s="2" t="inlineStr">
        <is>
          <t>Knärot
Kopparspindling
Kolflarnlav
Lunglav
Dropptaggsvamp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25016-2025</t>
        </is>
      </c>
      <c r="B39" s="1" t="n">
        <v>45799.63574074074</v>
      </c>
      <c r="C39" s="1" t="n">
        <v>46021</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46021</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62948-2021</t>
        </is>
      </c>
      <c r="B41" s="1" t="n">
        <v>44504</v>
      </c>
      <c r="C41" s="1" t="n">
        <v>46021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58876-2025</t>
        </is>
      </c>
      <c r="B42" s="1" t="n">
        <v>45987.46929398148</v>
      </c>
      <c r="C42" s="1" t="n">
        <v>46021</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30876-2025</t>
        </is>
      </c>
      <c r="B43" s="1" t="n">
        <v>45832.34461805555</v>
      </c>
      <c r="C43" s="1" t="n">
        <v>46021</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42393-2025</t>
        </is>
      </c>
      <c r="B44" s="1" t="n">
        <v>45905</v>
      </c>
      <c r="C44" s="1" t="n">
        <v>46021</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32068-2024</t>
        </is>
      </c>
      <c r="B45" s="1" t="n">
        <v>45510</v>
      </c>
      <c r="C45" s="1" t="n">
        <v>46021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46021</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32475-2023</t>
        </is>
      </c>
      <c r="B47" s="1" t="n">
        <v>45120</v>
      </c>
      <c r="C47" s="1" t="n">
        <v>46021</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3634-2024</t>
        </is>
      </c>
      <c r="B48" s="1" t="n">
        <v>45320</v>
      </c>
      <c r="C48" s="1" t="n">
        <v>46021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46021</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59107-2025</t>
        </is>
      </c>
      <c r="B50" s="1" t="n">
        <v>45988.46924768519</v>
      </c>
      <c r="C50" s="1" t="n">
        <v>46021</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30335-2025</t>
        </is>
      </c>
      <c r="B51" s="1" t="n">
        <v>45827.5110300926</v>
      </c>
      <c r="C51" s="1" t="n">
        <v>46021</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51037-2025</t>
        </is>
      </c>
      <c r="B52" s="1" t="n">
        <v>45947.40729166667</v>
      </c>
      <c r="C52" s="1" t="n">
        <v>46021</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46021</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46021</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46021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46021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61386-2022</t>
        </is>
      </c>
      <c r="B57" s="1" t="n">
        <v>44915</v>
      </c>
      <c r="C57" s="1" t="n">
        <v>46021</v>
      </c>
      <c r="D57" t="inlineStr">
        <is>
          <t>JÄMTLANDS LÄN</t>
        </is>
      </c>
      <c r="E57" t="inlineStr">
        <is>
          <t>RAGUNDA</t>
        </is>
      </c>
      <c r="F57" t="inlineStr">
        <is>
          <t>Övriga Aktiebolag</t>
        </is>
      </c>
      <c r="G57" t="n">
        <v>19.7</v>
      </c>
      <c r="H57" t="n">
        <v>1</v>
      </c>
      <c r="I57" t="n">
        <v>2</v>
      </c>
      <c r="J57" t="n">
        <v>3</v>
      </c>
      <c r="K57" t="n">
        <v>2</v>
      </c>
      <c r="L57" t="n">
        <v>0</v>
      </c>
      <c r="M57" t="n">
        <v>0</v>
      </c>
      <c r="N57" t="n">
        <v>0</v>
      </c>
      <c r="O57" t="n">
        <v>5</v>
      </c>
      <c r="P57" t="n">
        <v>2</v>
      </c>
      <c r="Q57" t="n">
        <v>7</v>
      </c>
      <c r="R57" s="2" t="inlineStr">
        <is>
          <t>Knärot
Rynkskinn
Lunglav
Rosenticka
Ullticka
Svart trolldruva
Vanlig flatbagge</t>
        </is>
      </c>
      <c r="S57">
        <f>HYPERLINK("https://klasma.github.io/Logging_2303/artfynd/A 61386-2022 artfynd.xlsx", "A 61386-2022")</f>
        <v/>
      </c>
      <c r="T57">
        <f>HYPERLINK("https://klasma.github.io/Logging_2303/kartor/A 61386-2022 karta.png", "A 61386-2022")</f>
        <v/>
      </c>
      <c r="U57">
        <f>HYPERLINK("https://klasma.github.io/Logging_2303/knärot/A 61386-2022 karta knärot.png", "A 61386-2022")</f>
        <v/>
      </c>
      <c r="V57">
        <f>HYPERLINK("https://klasma.github.io/Logging_2303/klagomål/A 61386-2022 FSC-klagomål.docx", "A 61386-2022")</f>
        <v/>
      </c>
      <c r="W57">
        <f>HYPERLINK("https://klasma.github.io/Logging_2303/klagomålsmail/A 61386-2022 FSC-klagomål mail.docx", "A 61386-2022")</f>
        <v/>
      </c>
      <c r="X57">
        <f>HYPERLINK("https://klasma.github.io/Logging_2303/tillsyn/A 61386-2022 tillsynsbegäran.docx", "A 61386-2022")</f>
        <v/>
      </c>
      <c r="Y57">
        <f>HYPERLINK("https://klasma.github.io/Logging_2303/tillsynsmail/A 61386-2022 tillsynsbegäran mail.docx", "A 61386-2022")</f>
        <v/>
      </c>
    </row>
    <row r="58" ht="15" customHeight="1">
      <c r="A58" t="inlineStr">
        <is>
          <t>A 27913-2024</t>
        </is>
      </c>
      <c r="B58" s="1" t="n">
        <v>45475.94796296296</v>
      </c>
      <c r="C58" s="1" t="n">
        <v>46021</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20397-2024</t>
        </is>
      </c>
      <c r="B59" s="1" t="n">
        <v>45435.54734953704</v>
      </c>
      <c r="C59" s="1" t="n">
        <v>46021</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41929-2023</t>
        </is>
      </c>
      <c r="B60" s="1" t="n">
        <v>45176</v>
      </c>
      <c r="C60" s="1" t="n">
        <v>46021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46021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33806-2023</t>
        </is>
      </c>
      <c r="B62" s="1" t="n">
        <v>45121</v>
      </c>
      <c r="C62" s="1" t="n">
        <v>46021</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26750-2025</t>
        </is>
      </c>
      <c r="B63" s="1" t="n">
        <v>45810.55061342593</v>
      </c>
      <c r="C63" s="1" t="n">
        <v>46021</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24169-2021</t>
        </is>
      </c>
      <c r="B64" s="1" t="n">
        <v>44336</v>
      </c>
      <c r="C64" s="1" t="n">
        <v>46021</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15977-2024</t>
        </is>
      </c>
      <c r="B65" s="1" t="n">
        <v>45405.57392361111</v>
      </c>
      <c r="C65" s="1" t="n">
        <v>46021</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46021</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19399-2025</t>
        </is>
      </c>
      <c r="B67" s="1" t="n">
        <v>45769.67740740741</v>
      </c>
      <c r="C67" s="1" t="n">
        <v>46021</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1762-2021</t>
        </is>
      </c>
      <c r="B68" s="1" t="n">
        <v>44209</v>
      </c>
      <c r="C68" s="1" t="n">
        <v>46021</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39973-2025</t>
        </is>
      </c>
      <c r="B69" s="1" t="n">
        <v>45893.38584490741</v>
      </c>
      <c r="C69" s="1" t="n">
        <v>46021</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933-2023</t>
        </is>
      </c>
      <c r="B70" s="1" t="n">
        <v>44932</v>
      </c>
      <c r="C70" s="1" t="n">
        <v>46021</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27322-2024</t>
        </is>
      </c>
      <c r="B71" s="1" t="n">
        <v>45471.94783564815</v>
      </c>
      <c r="C71" s="1" t="n">
        <v>46021</v>
      </c>
      <c r="D71" t="inlineStr">
        <is>
          <t>JÄMTLANDS LÄN</t>
        </is>
      </c>
      <c r="E71" t="inlineStr">
        <is>
          <t>RAGUNDA</t>
        </is>
      </c>
      <c r="G71" t="n">
        <v>2.3</v>
      </c>
      <c r="H71" t="n">
        <v>1</v>
      </c>
      <c r="I71" t="n">
        <v>0</v>
      </c>
      <c r="J71" t="n">
        <v>5</v>
      </c>
      <c r="K71" t="n">
        <v>1</v>
      </c>
      <c r="L71" t="n">
        <v>0</v>
      </c>
      <c r="M71" t="n">
        <v>0</v>
      </c>
      <c r="N71" t="n">
        <v>0</v>
      </c>
      <c r="O71" t="n">
        <v>6</v>
      </c>
      <c r="P71" t="n">
        <v>1</v>
      </c>
      <c r="Q71" t="n">
        <v>6</v>
      </c>
      <c r="R71" s="2" t="inlineStr">
        <is>
          <t>Knärot
Gammelgransskål
Garnlav
Lunglav
Skrovellav
Vedtrappmossa</t>
        </is>
      </c>
      <c r="S71">
        <f>HYPERLINK("https://klasma.github.io/Logging_2303/artfynd/A 27322-2024 artfynd.xlsx", "A 27322-2024")</f>
        <v/>
      </c>
      <c r="T71">
        <f>HYPERLINK("https://klasma.github.io/Logging_2303/kartor/A 27322-2024 karta.png", "A 27322-2024")</f>
        <v/>
      </c>
      <c r="U71">
        <f>HYPERLINK("https://klasma.github.io/Logging_2303/knärot/A 27322-2024 karta knärot.png", "A 27322-2024")</f>
        <v/>
      </c>
      <c r="V71">
        <f>HYPERLINK("https://klasma.github.io/Logging_2303/klagomål/A 27322-2024 FSC-klagomål.docx", "A 27322-2024")</f>
        <v/>
      </c>
      <c r="W71">
        <f>HYPERLINK("https://klasma.github.io/Logging_2303/klagomålsmail/A 27322-2024 FSC-klagomål mail.docx", "A 27322-2024")</f>
        <v/>
      </c>
      <c r="X71">
        <f>HYPERLINK("https://klasma.github.io/Logging_2303/tillsyn/A 27322-2024 tillsynsbegäran.docx", "A 27322-2024")</f>
        <v/>
      </c>
      <c r="Y71">
        <f>HYPERLINK("https://klasma.github.io/Logging_2303/tillsynsmail/A 27322-2024 tillsynsbegäran mail.docx", "A 27322-2024")</f>
        <v/>
      </c>
    </row>
    <row r="72" ht="15" customHeight="1">
      <c r="A72" t="inlineStr">
        <is>
          <t>A 53021-2022</t>
        </is>
      </c>
      <c r="B72" s="1" t="n">
        <v>44875</v>
      </c>
      <c r="C72" s="1" t="n">
        <v>46021</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34317-2025</t>
        </is>
      </c>
      <c r="B73" s="1" t="n">
        <v>45846.41361111111</v>
      </c>
      <c r="C73" s="1" t="n">
        <v>46021</v>
      </c>
      <c r="D73" t="inlineStr">
        <is>
          <t>JÄMTLANDS LÄN</t>
        </is>
      </c>
      <c r="E73" t="inlineStr">
        <is>
          <t>RAGUNDA</t>
        </is>
      </c>
      <c r="G73" t="n">
        <v>8.300000000000001</v>
      </c>
      <c r="H73" t="n">
        <v>2</v>
      </c>
      <c r="I73" t="n">
        <v>1</v>
      </c>
      <c r="J73" t="n">
        <v>4</v>
      </c>
      <c r="K73" t="n">
        <v>1</v>
      </c>
      <c r="L73" t="n">
        <v>0</v>
      </c>
      <c r="M73" t="n">
        <v>0</v>
      </c>
      <c r="N73" t="n">
        <v>0</v>
      </c>
      <c r="O73" t="n">
        <v>5</v>
      </c>
      <c r="P73" t="n">
        <v>1</v>
      </c>
      <c r="Q73" t="n">
        <v>6</v>
      </c>
      <c r="R73" s="2" t="inlineStr">
        <is>
          <t>Knärot
Garnlav
Lunglav
Nordtagging
Talltita
Skinnlav</t>
        </is>
      </c>
      <c r="S73">
        <f>HYPERLINK("https://klasma.github.io/Logging_2303/artfynd/A 34317-2025 artfynd.xlsx", "A 34317-2025")</f>
        <v/>
      </c>
      <c r="T73">
        <f>HYPERLINK("https://klasma.github.io/Logging_2303/kartor/A 34317-2025 karta.png", "A 34317-2025")</f>
        <v/>
      </c>
      <c r="U73">
        <f>HYPERLINK("https://klasma.github.io/Logging_2303/knärot/A 34317-2025 karta knärot.png", "A 34317-2025")</f>
        <v/>
      </c>
      <c r="V73">
        <f>HYPERLINK("https://klasma.github.io/Logging_2303/klagomål/A 34317-2025 FSC-klagomål.docx", "A 34317-2025")</f>
        <v/>
      </c>
      <c r="W73">
        <f>HYPERLINK("https://klasma.github.io/Logging_2303/klagomålsmail/A 34317-2025 FSC-klagomål mail.docx", "A 34317-2025")</f>
        <v/>
      </c>
      <c r="X73">
        <f>HYPERLINK("https://klasma.github.io/Logging_2303/tillsyn/A 34317-2025 tillsynsbegäran.docx", "A 34317-2025")</f>
        <v/>
      </c>
      <c r="Y73">
        <f>HYPERLINK("https://klasma.github.io/Logging_2303/tillsynsmail/A 34317-2025 tillsynsbegäran mail.docx", "A 34317-2025")</f>
        <v/>
      </c>
      <c r="Z73">
        <f>HYPERLINK("https://klasma.github.io/Logging_2303/fåglar/A 34317-2025 prioriterade fågelarter.docx", "A 34317-2025")</f>
        <v/>
      </c>
    </row>
    <row r="74" ht="15" customHeight="1">
      <c r="A74" t="inlineStr">
        <is>
          <t>A 11828-2023</t>
        </is>
      </c>
      <c r="B74" s="1" t="n">
        <v>44994</v>
      </c>
      <c r="C74" s="1" t="n">
        <v>46021</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26326-2024</t>
        </is>
      </c>
      <c r="B75" s="1" t="n">
        <v>45468.97528935185</v>
      </c>
      <c r="C75" s="1" t="n">
        <v>46021</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24431-2024</t>
        </is>
      </c>
      <c r="B76" s="1" t="n">
        <v>45457</v>
      </c>
      <c r="C76" s="1" t="n">
        <v>46021</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45495.56244212963</v>
      </c>
      <c r="C77" s="1" t="n">
        <v>46021</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49291-2025</t>
        </is>
      </c>
      <c r="B78" s="1" t="n">
        <v>45938.53188657408</v>
      </c>
      <c r="C78" s="1" t="n">
        <v>46021</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55646-2023</t>
        </is>
      </c>
      <c r="B79" s="1" t="n">
        <v>45238</v>
      </c>
      <c r="C79" s="1" t="n">
        <v>46021</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30884-2025</t>
        </is>
      </c>
      <c r="B80" s="1" t="n">
        <v>45832.34564814815</v>
      </c>
      <c r="C80" s="1" t="n">
        <v>46021</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19402-2025</t>
        </is>
      </c>
      <c r="B81" s="1" t="n">
        <v>45769.67778935185</v>
      </c>
      <c r="C81" s="1" t="n">
        <v>46021</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36276-2025</t>
        </is>
      </c>
      <c r="B82" s="1" t="n">
        <v>45867.63619212963</v>
      </c>
      <c r="C82" s="1" t="n">
        <v>46021</v>
      </c>
      <c r="D82" t="inlineStr">
        <is>
          <t>JÄMTLANDS LÄN</t>
        </is>
      </c>
      <c r="E82" t="inlineStr">
        <is>
          <t>RAGUNDA</t>
        </is>
      </c>
      <c r="F82" t="inlineStr">
        <is>
          <t>SCA</t>
        </is>
      </c>
      <c r="G82" t="n">
        <v>3.2</v>
      </c>
      <c r="H82" t="n">
        <v>1</v>
      </c>
      <c r="I82" t="n">
        <v>2</v>
      </c>
      <c r="J82" t="n">
        <v>3</v>
      </c>
      <c r="K82" t="n">
        <v>1</v>
      </c>
      <c r="L82" t="n">
        <v>0</v>
      </c>
      <c r="M82" t="n">
        <v>0</v>
      </c>
      <c r="N82" t="n">
        <v>0</v>
      </c>
      <c r="O82" t="n">
        <v>4</v>
      </c>
      <c r="P82" t="n">
        <v>1</v>
      </c>
      <c r="Q82" t="n">
        <v>6</v>
      </c>
      <c r="R82" s="2" t="inlineStr">
        <is>
          <t>Knärot
Garnlav
Lunglav
Ullticka
Grovticka
Stuplav</t>
        </is>
      </c>
      <c r="S82">
        <f>HYPERLINK("https://klasma.github.io/Logging_2303/artfynd/A 36276-2025 artfynd.xlsx", "A 36276-2025")</f>
        <v/>
      </c>
      <c r="T82">
        <f>HYPERLINK("https://klasma.github.io/Logging_2303/kartor/A 36276-2025 karta.png", "A 36276-2025")</f>
        <v/>
      </c>
      <c r="U82">
        <f>HYPERLINK("https://klasma.github.io/Logging_2303/knärot/A 36276-2025 karta knärot.png", "A 36276-2025")</f>
        <v/>
      </c>
      <c r="V82">
        <f>HYPERLINK("https://klasma.github.io/Logging_2303/klagomål/A 36276-2025 FSC-klagomål.docx", "A 36276-2025")</f>
        <v/>
      </c>
      <c r="W82">
        <f>HYPERLINK("https://klasma.github.io/Logging_2303/klagomålsmail/A 36276-2025 FSC-klagomål mail.docx", "A 36276-2025")</f>
        <v/>
      </c>
      <c r="X82">
        <f>HYPERLINK("https://klasma.github.io/Logging_2303/tillsyn/A 36276-2025 tillsynsbegäran.docx", "A 36276-2025")</f>
        <v/>
      </c>
      <c r="Y82">
        <f>HYPERLINK("https://klasma.github.io/Logging_2303/tillsynsmail/A 36276-2025 tillsynsbegäran mail.docx", "A 36276-2025")</f>
        <v/>
      </c>
    </row>
    <row r="83" ht="15" customHeight="1">
      <c r="A83" t="inlineStr">
        <is>
          <t>A 47115-2025</t>
        </is>
      </c>
      <c r="B83" s="1" t="n">
        <v>45929.67459490741</v>
      </c>
      <c r="C83" s="1" t="n">
        <v>46021</v>
      </c>
      <c r="D83" t="inlineStr">
        <is>
          <t>JÄMTLANDS LÄN</t>
        </is>
      </c>
      <c r="E83" t="inlineStr">
        <is>
          <t>RAGUNDA</t>
        </is>
      </c>
      <c r="G83" t="n">
        <v>6.4</v>
      </c>
      <c r="H83" t="n">
        <v>4</v>
      </c>
      <c r="I83" t="n">
        <v>0</v>
      </c>
      <c r="J83" t="n">
        <v>3</v>
      </c>
      <c r="K83" t="n">
        <v>2</v>
      </c>
      <c r="L83" t="n">
        <v>0</v>
      </c>
      <c r="M83" t="n">
        <v>0</v>
      </c>
      <c r="N83" t="n">
        <v>0</v>
      </c>
      <c r="O83" t="n">
        <v>5</v>
      </c>
      <c r="P83" t="n">
        <v>2</v>
      </c>
      <c r="Q83" t="n">
        <v>6</v>
      </c>
      <c r="R83" s="2" t="inlineStr">
        <is>
          <t>Doftticka
Knärot
Garnlav
Lunglav
Tretåig hackspett
Lavskrika</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21037-2021</t>
        </is>
      </c>
      <c r="B84" s="1" t="n">
        <v>44319</v>
      </c>
      <c r="C84" s="1" t="n">
        <v>46021</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46021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46021</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12024-2022</t>
        </is>
      </c>
      <c r="B87" s="1" t="n">
        <v>44635</v>
      </c>
      <c r="C87" s="1" t="n">
        <v>46021</v>
      </c>
      <c r="D87" t="inlineStr">
        <is>
          <t>JÄMTLANDS LÄN</t>
        </is>
      </c>
      <c r="E87" t="inlineStr">
        <is>
          <t>RAGUNDA</t>
        </is>
      </c>
      <c r="F87" t="inlineStr">
        <is>
          <t>SCA</t>
        </is>
      </c>
      <c r="G87" t="n">
        <v>4.9</v>
      </c>
      <c r="H87" t="n">
        <v>1</v>
      </c>
      <c r="I87" t="n">
        <v>1</v>
      </c>
      <c r="J87" t="n">
        <v>3</v>
      </c>
      <c r="K87" t="n">
        <v>1</v>
      </c>
      <c r="L87" t="n">
        <v>0</v>
      </c>
      <c r="M87" t="n">
        <v>0</v>
      </c>
      <c r="N87" t="n">
        <v>0</v>
      </c>
      <c r="O87" t="n">
        <v>4</v>
      </c>
      <c r="P87" t="n">
        <v>1</v>
      </c>
      <c r="Q87" t="n">
        <v>5</v>
      </c>
      <c r="R87" s="2" t="inlineStr">
        <is>
          <t>Rynkskinn
Garnlav
Tretåig hackspett
Vitgrynig nållav
Dropptaggsvamp</t>
        </is>
      </c>
      <c r="S87">
        <f>HYPERLINK("https://klasma.github.io/Logging_2303/artfynd/A 12024-2022 artfynd.xlsx", "A 12024-2022")</f>
        <v/>
      </c>
      <c r="T87">
        <f>HYPERLINK("https://klasma.github.io/Logging_2303/kartor/A 12024-2022 karta.png", "A 12024-2022")</f>
        <v/>
      </c>
      <c r="V87">
        <f>HYPERLINK("https://klasma.github.io/Logging_2303/klagomål/A 12024-2022 FSC-klagomål.docx", "A 12024-2022")</f>
        <v/>
      </c>
      <c r="W87">
        <f>HYPERLINK("https://klasma.github.io/Logging_2303/klagomålsmail/A 12024-2022 FSC-klagomål mail.docx", "A 12024-2022")</f>
        <v/>
      </c>
      <c r="X87">
        <f>HYPERLINK("https://klasma.github.io/Logging_2303/tillsyn/A 12024-2022 tillsynsbegäran.docx", "A 12024-2022")</f>
        <v/>
      </c>
      <c r="Y87">
        <f>HYPERLINK("https://klasma.github.io/Logging_2303/tillsynsmail/A 12024-2022 tillsynsbegäran mail.docx", "A 12024-2022")</f>
        <v/>
      </c>
      <c r="Z87">
        <f>HYPERLINK("https://klasma.github.io/Logging_2303/fåglar/A 12024-2022 prioriterade fågelarter.docx", "A 12024-2022")</f>
        <v/>
      </c>
    </row>
    <row r="88" ht="15" customHeight="1">
      <c r="A88" t="inlineStr">
        <is>
          <t>A 39365-2024</t>
        </is>
      </c>
      <c r="B88" s="1" t="n">
        <v>45551.46912037037</v>
      </c>
      <c r="C88" s="1" t="n">
        <v>46021</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38169-2024</t>
        </is>
      </c>
      <c r="B89" s="1" t="n">
        <v>45545.45748842593</v>
      </c>
      <c r="C89" s="1" t="n">
        <v>46021</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18629-2024</t>
        </is>
      </c>
      <c r="B90" s="1" t="n">
        <v>45425.96472222222</v>
      </c>
      <c r="C90" s="1" t="n">
        <v>46021</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43106-2023</t>
        </is>
      </c>
      <c r="B91" s="1" t="n">
        <v>45182</v>
      </c>
      <c r="C91" s="1" t="n">
        <v>46021</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15244-2025</t>
        </is>
      </c>
      <c r="B92" s="1" t="n">
        <v>45744.61550925926</v>
      </c>
      <c r="C92" s="1" t="n">
        <v>46021</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27313-2024</t>
        </is>
      </c>
      <c r="B93" s="1" t="n">
        <v>45471.94623842592</v>
      </c>
      <c r="C93" s="1" t="n">
        <v>46021</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46021</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46021</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30886-2025</t>
        </is>
      </c>
      <c r="B96" s="1" t="n">
        <v>45832.34578703704</v>
      </c>
      <c r="C96" s="1" t="n">
        <v>46021</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46021</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46021</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13266-2023</t>
        </is>
      </c>
      <c r="B99" s="1" t="n">
        <v>45002.94356481481</v>
      </c>
      <c r="C99" s="1" t="n">
        <v>46021</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22469-2024</t>
        </is>
      </c>
      <c r="B100" s="1" t="n">
        <v>45446.95087962963</v>
      </c>
      <c r="C100" s="1" t="n">
        <v>46021</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45969-2023</t>
        </is>
      </c>
      <c r="B101" s="1" t="n">
        <v>45195</v>
      </c>
      <c r="C101" s="1" t="n">
        <v>46021</v>
      </c>
      <c r="D101" t="inlineStr">
        <is>
          <t>JÄMTLANDS LÄN</t>
        </is>
      </c>
      <c r="E101" t="inlineStr">
        <is>
          <t>RAGUNDA</t>
        </is>
      </c>
      <c r="F101" t="inlineStr">
        <is>
          <t>SCA</t>
        </is>
      </c>
      <c r="G101" t="n">
        <v>9.300000000000001</v>
      </c>
      <c r="H101" t="n">
        <v>1</v>
      </c>
      <c r="I101" t="n">
        <v>4</v>
      </c>
      <c r="J101" t="n">
        <v>1</v>
      </c>
      <c r="K101" t="n">
        <v>0</v>
      </c>
      <c r="L101" t="n">
        <v>0</v>
      </c>
      <c r="M101" t="n">
        <v>0</v>
      </c>
      <c r="N101" t="n">
        <v>0</v>
      </c>
      <c r="O101" t="n">
        <v>1</v>
      </c>
      <c r="P101" t="n">
        <v>0</v>
      </c>
      <c r="Q101" t="n">
        <v>5</v>
      </c>
      <c r="R101" s="2" t="inlineStr">
        <is>
          <t>Lunglav
Dropptaggsvamp
Grönpyrola
Plattlummer
Skarp dropptaggsvamp</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57073-2023</t>
        </is>
      </c>
      <c r="B102" s="1" t="n">
        <v>45244</v>
      </c>
      <c r="C102" s="1" t="n">
        <v>46021</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8636-2021</t>
        </is>
      </c>
      <c r="B103" s="1" t="n">
        <v>44245</v>
      </c>
      <c r="C103" s="1" t="n">
        <v>46021</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46021</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46021</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17092-2022</t>
        </is>
      </c>
      <c r="B106" s="1" t="n">
        <v>44677</v>
      </c>
      <c r="C106" s="1" t="n">
        <v>46021</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23682-2021</t>
        </is>
      </c>
      <c r="B107" s="1" t="n">
        <v>44334</v>
      </c>
      <c r="C107" s="1" t="n">
        <v>46021</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46021</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30483-2024</t>
        </is>
      </c>
      <c r="B109" s="1" t="n">
        <v>45491</v>
      </c>
      <c r="C109" s="1" t="n">
        <v>46021</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40653-2025</t>
        </is>
      </c>
      <c r="B110" s="1" t="n">
        <v>45896.63618055556</v>
      </c>
      <c r="C110" s="1" t="n">
        <v>46021</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32903-2024</t>
        </is>
      </c>
      <c r="B111" s="1" t="n">
        <v>45516.94723379629</v>
      </c>
      <c r="C111" s="1" t="n">
        <v>46021</v>
      </c>
      <c r="D111" t="inlineStr">
        <is>
          <t>JÄMTLANDS LÄN</t>
        </is>
      </c>
      <c r="E111" t="inlineStr">
        <is>
          <t>RAGUNDA</t>
        </is>
      </c>
      <c r="F111" t="inlineStr">
        <is>
          <t>SCA</t>
        </is>
      </c>
      <c r="G111" t="n">
        <v>4.7</v>
      </c>
      <c r="H111" t="n">
        <v>0</v>
      </c>
      <c r="I111" t="n">
        <v>2</v>
      </c>
      <c r="J111" t="n">
        <v>1</v>
      </c>
      <c r="K111" t="n">
        <v>1</v>
      </c>
      <c r="L111" t="n">
        <v>0</v>
      </c>
      <c r="M111" t="n">
        <v>0</v>
      </c>
      <c r="N111" t="n">
        <v>0</v>
      </c>
      <c r="O111" t="n">
        <v>2</v>
      </c>
      <c r="P111" t="n">
        <v>1</v>
      </c>
      <c r="Q111" t="n">
        <v>4</v>
      </c>
      <c r="R111" s="2" t="inlineStr">
        <is>
          <t>Lappticka
Lunglav
Bollvitmossa
Luddlav</t>
        </is>
      </c>
      <c r="S111">
        <f>HYPERLINK("https://klasma.github.io/Logging_2303/artfynd/A 32903-2024 artfynd.xlsx", "A 32903-2024")</f>
        <v/>
      </c>
      <c r="T111">
        <f>HYPERLINK("https://klasma.github.io/Logging_2303/kartor/A 32903-2024 karta.png", "A 32903-2024")</f>
        <v/>
      </c>
      <c r="V111">
        <f>HYPERLINK("https://klasma.github.io/Logging_2303/klagomål/A 32903-2024 FSC-klagomål.docx", "A 32903-2024")</f>
        <v/>
      </c>
      <c r="W111">
        <f>HYPERLINK("https://klasma.github.io/Logging_2303/klagomålsmail/A 32903-2024 FSC-klagomål mail.docx", "A 32903-2024")</f>
        <v/>
      </c>
      <c r="X111">
        <f>HYPERLINK("https://klasma.github.io/Logging_2303/tillsyn/A 32903-2024 tillsynsbegäran.docx", "A 32903-2024")</f>
        <v/>
      </c>
      <c r="Y111">
        <f>HYPERLINK("https://klasma.github.io/Logging_2303/tillsynsmail/A 32903-2024 tillsynsbegäran mail.docx", "A 32903-2024")</f>
        <v/>
      </c>
    </row>
    <row r="112" ht="15" customHeight="1">
      <c r="A112" t="inlineStr">
        <is>
          <t>A 23931-2024</t>
        </is>
      </c>
      <c r="B112" s="1" t="n">
        <v>45455.96195601852</v>
      </c>
      <c r="C112" s="1" t="n">
        <v>46021</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43960-2023</t>
        </is>
      </c>
      <c r="B113" s="1" t="n">
        <v>45187</v>
      </c>
      <c r="C113" s="1" t="n">
        <v>46021</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32067-2024</t>
        </is>
      </c>
      <c r="B114" s="1" t="n">
        <v>45510</v>
      </c>
      <c r="C114" s="1" t="n">
        <v>46021</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46021</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19401-2025</t>
        </is>
      </c>
      <c r="B116" s="1" t="n">
        <v>45769.67767361111</v>
      </c>
      <c r="C116" s="1" t="n">
        <v>46021</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21372-2025</t>
        </is>
      </c>
      <c r="B117" s="1" t="n">
        <v>45782.44871527778</v>
      </c>
      <c r="C117" s="1" t="n">
        <v>46021</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46021</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46021</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26082-2025</t>
        </is>
      </c>
      <c r="B120" s="1" t="n">
        <v>45805.34415509259</v>
      </c>
      <c r="C120" s="1" t="n">
        <v>46021</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60670-2022</t>
        </is>
      </c>
      <c r="B121" s="1" t="n">
        <v>44911</v>
      </c>
      <c r="C121" s="1" t="n">
        <v>46021</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30465-2024</t>
        </is>
      </c>
      <c r="B122" s="1" t="n">
        <v>45491</v>
      </c>
      <c r="C122" s="1" t="n">
        <v>46021</v>
      </c>
      <c r="D122" t="inlineStr">
        <is>
          <t>JÄMTLANDS LÄN</t>
        </is>
      </c>
      <c r="E122" t="inlineStr">
        <is>
          <t>RAGUNDA</t>
        </is>
      </c>
      <c r="F122" t="inlineStr">
        <is>
          <t>SCA</t>
        </is>
      </c>
      <c r="G122" t="n">
        <v>3.7</v>
      </c>
      <c r="H122" t="n">
        <v>1</v>
      </c>
      <c r="I122" t="n">
        <v>0</v>
      </c>
      <c r="J122" t="n">
        <v>4</v>
      </c>
      <c r="K122" t="n">
        <v>0</v>
      </c>
      <c r="L122" t="n">
        <v>0</v>
      </c>
      <c r="M122" t="n">
        <v>0</v>
      </c>
      <c r="N122" t="n">
        <v>0</v>
      </c>
      <c r="O122" t="n">
        <v>4</v>
      </c>
      <c r="P122" t="n">
        <v>0</v>
      </c>
      <c r="Q122" t="n">
        <v>4</v>
      </c>
      <c r="R122" s="2" t="inlineStr">
        <is>
          <t>Granticka
Tretåig hackspett
Ullticka
Violmussling</t>
        </is>
      </c>
      <c r="S122">
        <f>HYPERLINK("https://klasma.github.io/Logging_2303/artfynd/A 30465-2024 artfynd.xlsx", "A 30465-2024")</f>
        <v/>
      </c>
      <c r="T122">
        <f>HYPERLINK("https://klasma.github.io/Logging_2303/kartor/A 30465-2024 karta.png", "A 30465-2024")</f>
        <v/>
      </c>
      <c r="V122">
        <f>HYPERLINK("https://klasma.github.io/Logging_2303/klagomål/A 30465-2024 FSC-klagomål.docx", "A 30465-2024")</f>
        <v/>
      </c>
      <c r="W122">
        <f>HYPERLINK("https://klasma.github.io/Logging_2303/klagomålsmail/A 30465-2024 FSC-klagomål mail.docx", "A 30465-2024")</f>
        <v/>
      </c>
      <c r="X122">
        <f>HYPERLINK("https://klasma.github.io/Logging_2303/tillsyn/A 30465-2024 tillsynsbegäran.docx", "A 30465-2024")</f>
        <v/>
      </c>
      <c r="Y122">
        <f>HYPERLINK("https://klasma.github.io/Logging_2303/tillsynsmail/A 30465-2024 tillsynsbegäran mail.docx", "A 30465-2024")</f>
        <v/>
      </c>
      <c r="Z122">
        <f>HYPERLINK("https://klasma.github.io/Logging_2303/fåglar/A 30465-2024 prioriterade fågelarter.docx", "A 30465-2024")</f>
        <v/>
      </c>
    </row>
    <row r="123" ht="15" customHeight="1">
      <c r="A123" t="inlineStr">
        <is>
          <t>A 52168-2025</t>
        </is>
      </c>
      <c r="B123" s="1" t="n">
        <v>45953.365625</v>
      </c>
      <c r="C123" s="1" t="n">
        <v>46021</v>
      </c>
      <c r="D123" t="inlineStr">
        <is>
          <t>JÄMTLANDS LÄN</t>
        </is>
      </c>
      <c r="E123" t="inlineStr">
        <is>
          <t>RAGUNDA</t>
        </is>
      </c>
      <c r="F123" t="inlineStr">
        <is>
          <t>SCA</t>
        </is>
      </c>
      <c r="G123" t="n">
        <v>19.5</v>
      </c>
      <c r="H123" t="n">
        <v>0</v>
      </c>
      <c r="I123" t="n">
        <v>1</v>
      </c>
      <c r="J123" t="n">
        <v>3</v>
      </c>
      <c r="K123" t="n">
        <v>0</v>
      </c>
      <c r="L123" t="n">
        <v>0</v>
      </c>
      <c r="M123" t="n">
        <v>0</v>
      </c>
      <c r="N123" t="n">
        <v>0</v>
      </c>
      <c r="O123" t="n">
        <v>3</v>
      </c>
      <c r="P123" t="n">
        <v>0</v>
      </c>
      <c r="Q123" t="n">
        <v>4</v>
      </c>
      <c r="R123" s="2" t="inlineStr">
        <is>
          <t>Garnlav
Granticka
Vitgrynig nållav
Källmossa</t>
        </is>
      </c>
      <c r="S123">
        <f>HYPERLINK("https://klasma.github.io/Logging_2303/artfynd/A 52168-2025 artfynd.xlsx", "A 52168-2025")</f>
        <v/>
      </c>
      <c r="T123">
        <f>HYPERLINK("https://klasma.github.io/Logging_2303/kartor/A 52168-2025 karta.png", "A 52168-2025")</f>
        <v/>
      </c>
      <c r="V123">
        <f>HYPERLINK("https://klasma.github.io/Logging_2303/klagomål/A 52168-2025 FSC-klagomål.docx", "A 52168-2025")</f>
        <v/>
      </c>
      <c r="W123">
        <f>HYPERLINK("https://klasma.github.io/Logging_2303/klagomålsmail/A 52168-2025 FSC-klagomål mail.docx", "A 52168-2025")</f>
        <v/>
      </c>
      <c r="X123">
        <f>HYPERLINK("https://klasma.github.io/Logging_2303/tillsyn/A 52168-2025 tillsynsbegäran.docx", "A 52168-2025")</f>
        <v/>
      </c>
      <c r="Y123">
        <f>HYPERLINK("https://klasma.github.io/Logging_2303/tillsynsmail/A 52168-2025 tillsynsbegäran mail.docx", "A 52168-2025")</f>
        <v/>
      </c>
    </row>
    <row r="124" ht="15" customHeight="1">
      <c r="A124" t="inlineStr">
        <is>
          <t>A 50342-2025</t>
        </is>
      </c>
      <c r="B124" s="1" t="n">
        <v>45944.53186342592</v>
      </c>
      <c r="C124" s="1" t="n">
        <v>46021</v>
      </c>
      <c r="D124" t="inlineStr">
        <is>
          <t>JÄMTLANDS LÄN</t>
        </is>
      </c>
      <c r="E124" t="inlineStr">
        <is>
          <t>RAGUNDA</t>
        </is>
      </c>
      <c r="F124" t="inlineStr">
        <is>
          <t>SCA</t>
        </is>
      </c>
      <c r="G124" t="n">
        <v>20.7</v>
      </c>
      <c r="H124" t="n">
        <v>1</v>
      </c>
      <c r="I124" t="n">
        <v>1</v>
      </c>
      <c r="J124" t="n">
        <v>3</v>
      </c>
      <c r="K124" t="n">
        <v>0</v>
      </c>
      <c r="L124" t="n">
        <v>0</v>
      </c>
      <c r="M124" t="n">
        <v>0</v>
      </c>
      <c r="N124" t="n">
        <v>0</v>
      </c>
      <c r="O124" t="n">
        <v>3</v>
      </c>
      <c r="P124" t="n">
        <v>0</v>
      </c>
      <c r="Q124" t="n">
        <v>4</v>
      </c>
      <c r="R124" s="2" t="inlineStr">
        <is>
          <t>Garnlav
Granticka
Tretåig hackspett
Trådticka</t>
        </is>
      </c>
      <c r="S124">
        <f>HYPERLINK("https://klasma.github.io/Logging_2303/artfynd/A 50342-2025 artfynd.xlsx", "A 50342-2025")</f>
        <v/>
      </c>
      <c r="T124">
        <f>HYPERLINK("https://klasma.github.io/Logging_2303/kartor/A 50342-2025 karta.png", "A 50342-2025")</f>
        <v/>
      </c>
      <c r="V124">
        <f>HYPERLINK("https://klasma.github.io/Logging_2303/klagomål/A 50342-2025 FSC-klagomål.docx", "A 50342-2025")</f>
        <v/>
      </c>
      <c r="W124">
        <f>HYPERLINK("https://klasma.github.io/Logging_2303/klagomålsmail/A 50342-2025 FSC-klagomål mail.docx", "A 50342-2025")</f>
        <v/>
      </c>
      <c r="X124">
        <f>HYPERLINK("https://klasma.github.io/Logging_2303/tillsyn/A 50342-2025 tillsynsbegäran.docx", "A 50342-2025")</f>
        <v/>
      </c>
      <c r="Y124">
        <f>HYPERLINK("https://klasma.github.io/Logging_2303/tillsynsmail/A 50342-2025 tillsynsbegäran mail.docx", "A 50342-2025")</f>
        <v/>
      </c>
      <c r="Z124">
        <f>HYPERLINK("https://klasma.github.io/Logging_2303/fåglar/A 50342-2025 prioriterade fågelarter.docx", "A 50342-2025")</f>
        <v/>
      </c>
    </row>
    <row r="125" ht="15" customHeight="1">
      <c r="A125" t="inlineStr">
        <is>
          <t>A 52644-2024</t>
        </is>
      </c>
      <c r="B125" s="1" t="n">
        <v>45610.34415509259</v>
      </c>
      <c r="C125" s="1" t="n">
        <v>46021</v>
      </c>
      <c r="D125" t="inlineStr">
        <is>
          <t>JÄMTLANDS LÄN</t>
        </is>
      </c>
      <c r="E125" t="inlineStr">
        <is>
          <t>RAGUNDA</t>
        </is>
      </c>
      <c r="F125" t="inlineStr">
        <is>
          <t>SCA</t>
        </is>
      </c>
      <c r="G125" t="n">
        <v>6.6</v>
      </c>
      <c r="H125" t="n">
        <v>2</v>
      </c>
      <c r="I125" t="n">
        <v>1</v>
      </c>
      <c r="J125" t="n">
        <v>2</v>
      </c>
      <c r="K125" t="n">
        <v>1</v>
      </c>
      <c r="L125" t="n">
        <v>0</v>
      </c>
      <c r="M125" t="n">
        <v>0</v>
      </c>
      <c r="N125" t="n">
        <v>0</v>
      </c>
      <c r="O125" t="n">
        <v>3</v>
      </c>
      <c r="P125" t="n">
        <v>1</v>
      </c>
      <c r="Q125" t="n">
        <v>4</v>
      </c>
      <c r="R125" s="2" t="inlineStr">
        <is>
          <t>Doftticka
Gammelgransskål
Lunglav
Guckusko</t>
        </is>
      </c>
      <c r="S125">
        <f>HYPERLINK("https://klasma.github.io/Logging_2303/artfynd/A 52644-2024 artfynd.xlsx", "A 52644-2024")</f>
        <v/>
      </c>
      <c r="T125">
        <f>HYPERLINK("https://klasma.github.io/Logging_2303/kartor/A 52644-2024 karta.png", "A 52644-2024")</f>
        <v/>
      </c>
      <c r="V125">
        <f>HYPERLINK("https://klasma.github.io/Logging_2303/klagomål/A 52644-2024 FSC-klagomål.docx", "A 52644-2024")</f>
        <v/>
      </c>
      <c r="W125">
        <f>HYPERLINK("https://klasma.github.io/Logging_2303/klagomålsmail/A 52644-2024 FSC-klagomål mail.docx", "A 52644-2024")</f>
        <v/>
      </c>
      <c r="X125">
        <f>HYPERLINK("https://klasma.github.io/Logging_2303/tillsyn/A 52644-2024 tillsynsbegäran.docx", "A 52644-2024")</f>
        <v/>
      </c>
      <c r="Y125">
        <f>HYPERLINK("https://klasma.github.io/Logging_2303/tillsynsmail/A 52644-2024 tillsynsbegäran mail.docx", "A 52644-2024")</f>
        <v/>
      </c>
    </row>
    <row r="126" ht="15" customHeight="1">
      <c r="A126" t="inlineStr">
        <is>
          <t>A 48052-2022</t>
        </is>
      </c>
      <c r="B126" s="1" t="n">
        <v>44855</v>
      </c>
      <c r="C126" s="1" t="n">
        <v>46021</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46021</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33278-2022</t>
        </is>
      </c>
      <c r="B128" s="1" t="n">
        <v>44788</v>
      </c>
      <c r="C128" s="1" t="n">
        <v>46021</v>
      </c>
      <c r="D128" t="inlineStr">
        <is>
          <t>JÄMTLANDS LÄN</t>
        </is>
      </c>
      <c r="E128" t="inlineStr">
        <is>
          <t>RAGUNDA</t>
        </is>
      </c>
      <c r="G128" t="n">
        <v>3.2</v>
      </c>
      <c r="H128" t="n">
        <v>2</v>
      </c>
      <c r="I128" t="n">
        <v>0</v>
      </c>
      <c r="J128" t="n">
        <v>2</v>
      </c>
      <c r="K128" t="n">
        <v>1</v>
      </c>
      <c r="L128" t="n">
        <v>0</v>
      </c>
      <c r="M128" t="n">
        <v>0</v>
      </c>
      <c r="N128" t="n">
        <v>0</v>
      </c>
      <c r="O128" t="n">
        <v>3</v>
      </c>
      <c r="P128" t="n">
        <v>1</v>
      </c>
      <c r="Q128" t="n">
        <v>3</v>
      </c>
      <c r="R128" s="2" t="inlineStr">
        <is>
          <t>Knärot
Tretåig hackspett
Ullticka</t>
        </is>
      </c>
      <c r="S128">
        <f>HYPERLINK("https://klasma.github.io/Logging_2303/artfynd/A 33278-2022 artfynd.xlsx", "A 33278-2022")</f>
        <v/>
      </c>
      <c r="T128">
        <f>HYPERLINK("https://klasma.github.io/Logging_2303/kartor/A 33278-2022 karta.png", "A 33278-2022")</f>
        <v/>
      </c>
      <c r="U128">
        <f>HYPERLINK("https://klasma.github.io/Logging_2303/knärot/A 33278-2022 karta knärot.png", "A 33278-2022")</f>
        <v/>
      </c>
      <c r="V128">
        <f>HYPERLINK("https://klasma.github.io/Logging_2303/klagomål/A 33278-2022 FSC-klagomål.docx", "A 33278-2022")</f>
        <v/>
      </c>
      <c r="W128">
        <f>HYPERLINK("https://klasma.github.io/Logging_2303/klagomålsmail/A 33278-2022 FSC-klagomål mail.docx", "A 33278-2022")</f>
        <v/>
      </c>
      <c r="X128">
        <f>HYPERLINK("https://klasma.github.io/Logging_2303/tillsyn/A 33278-2022 tillsynsbegäran.docx", "A 33278-2022")</f>
        <v/>
      </c>
      <c r="Y128">
        <f>HYPERLINK("https://klasma.github.io/Logging_2303/tillsynsmail/A 33278-2022 tillsynsbegäran mail.docx", "A 33278-2022")</f>
        <v/>
      </c>
      <c r="Z128">
        <f>HYPERLINK("https://klasma.github.io/Logging_2303/fåglar/A 33278-2022 prioriterade fågelarter.docx", "A 33278-2022")</f>
        <v/>
      </c>
    </row>
    <row r="129" ht="15" customHeight="1">
      <c r="A129" t="inlineStr">
        <is>
          <t>A 22730-2023</t>
        </is>
      </c>
      <c r="B129" s="1" t="n">
        <v>45071</v>
      </c>
      <c r="C129" s="1" t="n">
        <v>46021</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46021</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53022-2022</t>
        </is>
      </c>
      <c r="B131" s="1" t="n">
        <v>44875</v>
      </c>
      <c r="C131" s="1" t="n">
        <v>46021</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18616-2024</t>
        </is>
      </c>
      <c r="B132" s="1" t="n">
        <v>45425.96285879629</v>
      </c>
      <c r="C132" s="1" t="n">
        <v>46021</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14814-2024</t>
        </is>
      </c>
      <c r="B133" s="1" t="n">
        <v>45397.95748842593</v>
      </c>
      <c r="C133" s="1" t="n">
        <v>46021</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48054-2022</t>
        </is>
      </c>
      <c r="B134" s="1" t="n">
        <v>44855</v>
      </c>
      <c r="C134" s="1" t="n">
        <v>46021</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46021</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58737-2022</t>
        </is>
      </c>
      <c r="B136" s="1" t="n">
        <v>44902</v>
      </c>
      <c r="C136" s="1" t="n">
        <v>46021</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20776-2024</t>
        </is>
      </c>
      <c r="B137" s="1" t="n">
        <v>45436.94686342592</v>
      </c>
      <c r="C137" s="1" t="n">
        <v>46021</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46021</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7519-2023</t>
        </is>
      </c>
      <c r="B139" s="1" t="n">
        <v>44971</v>
      </c>
      <c r="C139" s="1" t="n">
        <v>46021</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58368-2024</t>
        </is>
      </c>
      <c r="B140" s="1" t="n">
        <v>45632.69822916666</v>
      </c>
      <c r="C140" s="1" t="n">
        <v>46021</v>
      </c>
      <c r="D140" t="inlineStr">
        <is>
          <t>JÄMTLANDS LÄN</t>
        </is>
      </c>
      <c r="E140" t="inlineStr">
        <is>
          <t>RAGUNDA</t>
        </is>
      </c>
      <c r="F140" t="inlineStr">
        <is>
          <t>SCA</t>
        </is>
      </c>
      <c r="G140" t="n">
        <v>4.1</v>
      </c>
      <c r="H140" t="n">
        <v>2</v>
      </c>
      <c r="I140" t="n">
        <v>0</v>
      </c>
      <c r="J140" t="n">
        <v>3</v>
      </c>
      <c r="K140" t="n">
        <v>0</v>
      </c>
      <c r="L140" t="n">
        <v>0</v>
      </c>
      <c r="M140" t="n">
        <v>0</v>
      </c>
      <c r="N140" t="n">
        <v>0</v>
      </c>
      <c r="O140" t="n">
        <v>3</v>
      </c>
      <c r="P140" t="n">
        <v>0</v>
      </c>
      <c r="Q140" t="n">
        <v>3</v>
      </c>
      <c r="R140" s="2" t="inlineStr">
        <is>
          <t>Järpe
Lunglav
Tretåig hackspett</t>
        </is>
      </c>
      <c r="S140">
        <f>HYPERLINK("https://klasma.github.io/Logging_2303/artfynd/A 58368-2024 artfynd.xlsx", "A 58368-2024")</f>
        <v/>
      </c>
      <c r="T140">
        <f>HYPERLINK("https://klasma.github.io/Logging_2303/kartor/A 58368-2024 karta.png", "A 58368-2024")</f>
        <v/>
      </c>
      <c r="V140">
        <f>HYPERLINK("https://klasma.github.io/Logging_2303/klagomål/A 58368-2024 FSC-klagomål.docx", "A 58368-2024")</f>
        <v/>
      </c>
      <c r="W140">
        <f>HYPERLINK("https://klasma.github.io/Logging_2303/klagomålsmail/A 58368-2024 FSC-klagomål mail.docx", "A 58368-2024")</f>
        <v/>
      </c>
      <c r="X140">
        <f>HYPERLINK("https://klasma.github.io/Logging_2303/tillsyn/A 58368-2024 tillsynsbegäran.docx", "A 58368-2024")</f>
        <v/>
      </c>
      <c r="Y140">
        <f>HYPERLINK("https://klasma.github.io/Logging_2303/tillsynsmail/A 58368-2024 tillsynsbegäran mail.docx", "A 58368-2024")</f>
        <v/>
      </c>
      <c r="Z140">
        <f>HYPERLINK("https://klasma.github.io/Logging_2303/fåglar/A 58368-2024 prioriterade fågelarter.docx", "A 58368-2024")</f>
        <v/>
      </c>
    </row>
    <row r="141" ht="15" customHeight="1">
      <c r="A141" t="inlineStr">
        <is>
          <t>A 5048-2025</t>
        </is>
      </c>
      <c r="B141" s="1" t="n">
        <v>45691.44769675926</v>
      </c>
      <c r="C141" s="1" t="n">
        <v>46021</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33432-2023</t>
        </is>
      </c>
      <c r="B142" s="1" t="n">
        <v>45128</v>
      </c>
      <c r="C142" s="1" t="n">
        <v>46021</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21248-2025</t>
        </is>
      </c>
      <c r="B143" s="1" t="n">
        <v>45779.57392361111</v>
      </c>
      <c r="C143" s="1" t="n">
        <v>46021</v>
      </c>
      <c r="D143" t="inlineStr">
        <is>
          <t>JÄMTLANDS LÄN</t>
        </is>
      </c>
      <c r="E143" t="inlineStr">
        <is>
          <t>RAGUNDA</t>
        </is>
      </c>
      <c r="F143" t="inlineStr">
        <is>
          <t>SCA</t>
        </is>
      </c>
      <c r="G143" t="n">
        <v>2.9</v>
      </c>
      <c r="H143" t="n">
        <v>1</v>
      </c>
      <c r="I143" t="n">
        <v>1</v>
      </c>
      <c r="J143" t="n">
        <v>2</v>
      </c>
      <c r="K143" t="n">
        <v>0</v>
      </c>
      <c r="L143" t="n">
        <v>0</v>
      </c>
      <c r="M143" t="n">
        <v>0</v>
      </c>
      <c r="N143" t="n">
        <v>0</v>
      </c>
      <c r="O143" t="n">
        <v>2</v>
      </c>
      <c r="P143" t="n">
        <v>0</v>
      </c>
      <c r="Q143" t="n">
        <v>3</v>
      </c>
      <c r="R143" s="2" t="inlineStr">
        <is>
          <t>Garnlav
Tretåig hackspett
Vedticka</t>
        </is>
      </c>
      <c r="S143">
        <f>HYPERLINK("https://klasma.github.io/Logging_2303/artfynd/A 21248-2025 artfynd.xlsx", "A 21248-2025")</f>
        <v/>
      </c>
      <c r="T143">
        <f>HYPERLINK("https://klasma.github.io/Logging_2303/kartor/A 21248-2025 karta.png", "A 21248-2025")</f>
        <v/>
      </c>
      <c r="V143">
        <f>HYPERLINK("https://klasma.github.io/Logging_2303/klagomål/A 21248-2025 FSC-klagomål.docx", "A 21248-2025")</f>
        <v/>
      </c>
      <c r="W143">
        <f>HYPERLINK("https://klasma.github.io/Logging_2303/klagomålsmail/A 21248-2025 FSC-klagomål mail.docx", "A 21248-2025")</f>
        <v/>
      </c>
      <c r="X143">
        <f>HYPERLINK("https://klasma.github.io/Logging_2303/tillsyn/A 21248-2025 tillsynsbegäran.docx", "A 21248-2025")</f>
        <v/>
      </c>
      <c r="Y143">
        <f>HYPERLINK("https://klasma.github.io/Logging_2303/tillsynsmail/A 21248-2025 tillsynsbegäran mail.docx", "A 21248-2025")</f>
        <v/>
      </c>
      <c r="Z143">
        <f>HYPERLINK("https://klasma.github.io/Logging_2303/fåglar/A 21248-2025 prioriterade fågelarter.docx", "A 21248-2025")</f>
        <v/>
      </c>
    </row>
    <row r="144" ht="15" customHeight="1">
      <c r="A144" t="inlineStr">
        <is>
          <t>A 57667-2025</t>
        </is>
      </c>
      <c r="B144" s="1" t="n">
        <v>45981.42767361111</v>
      </c>
      <c r="C144" s="1" t="n">
        <v>46021</v>
      </c>
      <c r="D144" t="inlineStr">
        <is>
          <t>JÄMTLANDS LÄN</t>
        </is>
      </c>
      <c r="E144" t="inlineStr">
        <is>
          <t>RAGUNDA</t>
        </is>
      </c>
      <c r="F144" t="inlineStr">
        <is>
          <t>SCA</t>
        </is>
      </c>
      <c r="G144" t="n">
        <v>1.7</v>
      </c>
      <c r="H144" t="n">
        <v>0</v>
      </c>
      <c r="I144" t="n">
        <v>2</v>
      </c>
      <c r="J144" t="n">
        <v>1</v>
      </c>
      <c r="K144" t="n">
        <v>0</v>
      </c>
      <c r="L144" t="n">
        <v>0</v>
      </c>
      <c r="M144" t="n">
        <v>0</v>
      </c>
      <c r="N144" t="n">
        <v>0</v>
      </c>
      <c r="O144" t="n">
        <v>1</v>
      </c>
      <c r="P144" t="n">
        <v>0</v>
      </c>
      <c r="Q144" t="n">
        <v>3</v>
      </c>
      <c r="R144" s="2" t="inlineStr">
        <is>
          <t>Lunglav
Korallblylav
Luddlav</t>
        </is>
      </c>
      <c r="S144">
        <f>HYPERLINK("https://klasma.github.io/Logging_2303/artfynd/A 57667-2025 artfynd.xlsx", "A 57667-2025")</f>
        <v/>
      </c>
      <c r="T144">
        <f>HYPERLINK("https://klasma.github.io/Logging_2303/kartor/A 57667-2025 karta.png", "A 57667-2025")</f>
        <v/>
      </c>
      <c r="V144">
        <f>HYPERLINK("https://klasma.github.io/Logging_2303/klagomål/A 57667-2025 FSC-klagomål.docx", "A 57667-2025")</f>
        <v/>
      </c>
      <c r="W144">
        <f>HYPERLINK("https://klasma.github.io/Logging_2303/klagomålsmail/A 57667-2025 FSC-klagomål mail.docx", "A 57667-2025")</f>
        <v/>
      </c>
      <c r="X144">
        <f>HYPERLINK("https://klasma.github.io/Logging_2303/tillsyn/A 57667-2025 tillsynsbegäran.docx", "A 57667-2025")</f>
        <v/>
      </c>
      <c r="Y144">
        <f>HYPERLINK("https://klasma.github.io/Logging_2303/tillsynsmail/A 57667-2025 tillsynsbegäran mail.docx", "A 57667-2025")</f>
        <v/>
      </c>
    </row>
    <row r="145" ht="15" customHeight="1">
      <c r="A145" t="inlineStr">
        <is>
          <t>A 25769-2025</t>
        </is>
      </c>
      <c r="B145" s="1" t="n">
        <v>45804.34474537037</v>
      </c>
      <c r="C145" s="1" t="n">
        <v>46021</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59179-2025</t>
        </is>
      </c>
      <c r="B146" s="1" t="n">
        <v>45988.57350694444</v>
      </c>
      <c r="C146" s="1" t="n">
        <v>46021</v>
      </c>
      <c r="D146" t="inlineStr">
        <is>
          <t>JÄMTLANDS LÄN</t>
        </is>
      </c>
      <c r="E146" t="inlineStr">
        <is>
          <t>RAGUNDA</t>
        </is>
      </c>
      <c r="F146" t="inlineStr">
        <is>
          <t>SCA</t>
        </is>
      </c>
      <c r="G146" t="n">
        <v>2.3</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HYPERLINK("https://klasma.github.io/Logging_2303/artfynd/A 59179-2025 artfynd.xlsx", "A 59179-2025")</f>
        <v/>
      </c>
      <c r="T146">
        <f>HYPERLINK("https://klasma.github.io/Logging_2303/kartor/A 59179-2025 karta.png", "A 59179-2025")</f>
        <v/>
      </c>
      <c r="V146">
        <f>HYPERLINK("https://klasma.github.io/Logging_2303/klagomål/A 59179-2025 FSC-klagomål.docx", "A 59179-2025")</f>
        <v/>
      </c>
      <c r="W146">
        <f>HYPERLINK("https://klasma.github.io/Logging_2303/klagomålsmail/A 59179-2025 FSC-klagomål mail.docx", "A 59179-2025")</f>
        <v/>
      </c>
      <c r="X146">
        <f>HYPERLINK("https://klasma.github.io/Logging_2303/tillsyn/A 59179-2025 tillsynsbegäran.docx", "A 59179-2025")</f>
        <v/>
      </c>
      <c r="Y146">
        <f>HYPERLINK("https://klasma.github.io/Logging_2303/tillsynsmail/A 59179-2025 tillsynsbegäran mail.docx", "A 59179-2025")</f>
        <v/>
      </c>
    </row>
    <row r="147" ht="15" customHeight="1">
      <c r="A147" t="inlineStr">
        <is>
          <t>A 22571-2025</t>
        </is>
      </c>
      <c r="B147" s="1" t="n">
        <v>45789.36503472222</v>
      </c>
      <c r="C147" s="1" t="n">
        <v>46021</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16305-2025</t>
        </is>
      </c>
      <c r="B148" s="1" t="n">
        <v>45751.34650462963</v>
      </c>
      <c r="C148" s="1" t="n">
        <v>46021</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34585-2025</t>
        </is>
      </c>
      <c r="B149" s="1" t="n">
        <v>45847.61498842593</v>
      </c>
      <c r="C149" s="1" t="n">
        <v>46021</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28178-2023</t>
        </is>
      </c>
      <c r="B150" s="1" t="n">
        <v>45093</v>
      </c>
      <c r="C150" s="1" t="n">
        <v>46021</v>
      </c>
      <c r="D150" t="inlineStr">
        <is>
          <t>JÄMTLANDS LÄN</t>
        </is>
      </c>
      <c r="E150" t="inlineStr">
        <is>
          <t>RAGUNDA</t>
        </is>
      </c>
      <c r="G150" t="n">
        <v>5.6</v>
      </c>
      <c r="H150" t="n">
        <v>0</v>
      </c>
      <c r="I150" t="n">
        <v>0</v>
      </c>
      <c r="J150" t="n">
        <v>3</v>
      </c>
      <c r="K150" t="n">
        <v>0</v>
      </c>
      <c r="L150" t="n">
        <v>0</v>
      </c>
      <c r="M150" t="n">
        <v>0</v>
      </c>
      <c r="N150" t="n">
        <v>0</v>
      </c>
      <c r="O150" t="n">
        <v>3</v>
      </c>
      <c r="P150" t="n">
        <v>0</v>
      </c>
      <c r="Q150" t="n">
        <v>3</v>
      </c>
      <c r="R150" s="2" t="inlineStr">
        <is>
          <t>Garnlav
Gultoppig fingersvamp
Violettgrå tagellav</t>
        </is>
      </c>
      <c r="S150">
        <f>HYPERLINK("https://klasma.github.io/Logging_2303/artfynd/A 28178-2023 artfynd.xlsx", "A 28178-2023")</f>
        <v/>
      </c>
      <c r="T150">
        <f>HYPERLINK("https://klasma.github.io/Logging_2303/kartor/A 28178-2023 karta.png", "A 28178-2023")</f>
        <v/>
      </c>
      <c r="V150">
        <f>HYPERLINK("https://klasma.github.io/Logging_2303/klagomål/A 28178-2023 FSC-klagomål.docx", "A 28178-2023")</f>
        <v/>
      </c>
      <c r="W150">
        <f>HYPERLINK("https://klasma.github.io/Logging_2303/klagomålsmail/A 28178-2023 FSC-klagomål mail.docx", "A 28178-2023")</f>
        <v/>
      </c>
      <c r="X150">
        <f>HYPERLINK("https://klasma.github.io/Logging_2303/tillsyn/A 28178-2023 tillsynsbegäran.docx", "A 28178-2023")</f>
        <v/>
      </c>
      <c r="Y150">
        <f>HYPERLINK("https://klasma.github.io/Logging_2303/tillsynsmail/A 28178-2023 tillsynsbegäran mail.docx", "A 28178-2023")</f>
        <v/>
      </c>
    </row>
    <row r="151" ht="15" customHeight="1">
      <c r="A151" t="inlineStr">
        <is>
          <t>A 52345-2024</t>
        </is>
      </c>
      <c r="B151" s="1" t="n">
        <v>45609.34412037037</v>
      </c>
      <c r="C151" s="1" t="n">
        <v>46021</v>
      </c>
      <c r="D151" t="inlineStr">
        <is>
          <t>JÄMTLANDS LÄN</t>
        </is>
      </c>
      <c r="E151" t="inlineStr">
        <is>
          <t>RAGUNDA</t>
        </is>
      </c>
      <c r="F151" t="inlineStr">
        <is>
          <t>SCA</t>
        </is>
      </c>
      <c r="G151" t="n">
        <v>10.3</v>
      </c>
      <c r="H151" t="n">
        <v>1</v>
      </c>
      <c r="I151" t="n">
        <v>0</v>
      </c>
      <c r="J151" t="n">
        <v>2</v>
      </c>
      <c r="K151" t="n">
        <v>0</v>
      </c>
      <c r="L151" t="n">
        <v>0</v>
      </c>
      <c r="M151" t="n">
        <v>0</v>
      </c>
      <c r="N151" t="n">
        <v>0</v>
      </c>
      <c r="O151" t="n">
        <v>2</v>
      </c>
      <c r="P151" t="n">
        <v>0</v>
      </c>
      <c r="Q151" t="n">
        <v>3</v>
      </c>
      <c r="R151" s="2" t="inlineStr">
        <is>
          <t>Doftskinn
Koralltaggsvamp
Blåsippa</t>
        </is>
      </c>
      <c r="S151">
        <f>HYPERLINK("https://klasma.github.io/Logging_2303/artfynd/A 52345-2024 artfynd.xlsx", "A 52345-2024")</f>
        <v/>
      </c>
      <c r="T151">
        <f>HYPERLINK("https://klasma.github.io/Logging_2303/kartor/A 52345-2024 karta.png", "A 52345-2024")</f>
        <v/>
      </c>
      <c r="V151">
        <f>HYPERLINK("https://klasma.github.io/Logging_2303/klagomål/A 52345-2024 FSC-klagomål.docx", "A 52345-2024")</f>
        <v/>
      </c>
      <c r="W151">
        <f>HYPERLINK("https://klasma.github.io/Logging_2303/klagomålsmail/A 52345-2024 FSC-klagomål mail.docx", "A 52345-2024")</f>
        <v/>
      </c>
      <c r="X151">
        <f>HYPERLINK("https://klasma.github.io/Logging_2303/tillsyn/A 52345-2024 tillsynsbegäran.docx", "A 52345-2024")</f>
        <v/>
      </c>
      <c r="Y151">
        <f>HYPERLINK("https://klasma.github.io/Logging_2303/tillsynsmail/A 52345-2024 tillsynsbegäran mail.docx", "A 52345-2024")</f>
        <v/>
      </c>
    </row>
    <row r="152" ht="15" customHeight="1">
      <c r="A152" t="inlineStr">
        <is>
          <t>A 32416-2025</t>
        </is>
      </c>
      <c r="B152" s="1" t="n">
        <v>45838</v>
      </c>
      <c r="C152" s="1" t="n">
        <v>46021</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57941-2024</t>
        </is>
      </c>
      <c r="B153" s="1" t="n">
        <v>45631</v>
      </c>
      <c r="C153" s="1" t="n">
        <v>46021</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61954-2025</t>
        </is>
      </c>
      <c r="B154" s="1" t="n">
        <v>46003.57381944444</v>
      </c>
      <c r="C154" s="1" t="n">
        <v>46021</v>
      </c>
      <c r="D154" t="inlineStr">
        <is>
          <t>JÄMTLANDS LÄN</t>
        </is>
      </c>
      <c r="E154" t="inlineStr">
        <is>
          <t>RAGUNDA</t>
        </is>
      </c>
      <c r="F154" t="inlineStr">
        <is>
          <t>SCA</t>
        </is>
      </c>
      <c r="G154" t="n">
        <v>6.5</v>
      </c>
      <c r="H154" t="n">
        <v>0</v>
      </c>
      <c r="I154" t="n">
        <v>1</v>
      </c>
      <c r="J154" t="n">
        <v>2</v>
      </c>
      <c r="K154" t="n">
        <v>0</v>
      </c>
      <c r="L154" t="n">
        <v>0</v>
      </c>
      <c r="M154" t="n">
        <v>0</v>
      </c>
      <c r="N154" t="n">
        <v>0</v>
      </c>
      <c r="O154" t="n">
        <v>2</v>
      </c>
      <c r="P154" t="n">
        <v>0</v>
      </c>
      <c r="Q154" t="n">
        <v>3</v>
      </c>
      <c r="R154" s="2" t="inlineStr">
        <is>
          <t>Garnlav
Lunglav
Trådticka</t>
        </is>
      </c>
      <c r="S154">
        <f>HYPERLINK("https://klasma.github.io/Logging_2303/artfynd/A 61954-2025 artfynd.xlsx", "A 61954-2025")</f>
        <v/>
      </c>
      <c r="T154">
        <f>HYPERLINK("https://klasma.github.io/Logging_2303/kartor/A 61954-2025 karta.png", "A 61954-2025")</f>
        <v/>
      </c>
      <c r="V154">
        <f>HYPERLINK("https://klasma.github.io/Logging_2303/klagomål/A 61954-2025 FSC-klagomål.docx", "A 61954-2025")</f>
        <v/>
      </c>
      <c r="W154">
        <f>HYPERLINK("https://klasma.github.io/Logging_2303/klagomålsmail/A 61954-2025 FSC-klagomål mail.docx", "A 61954-2025")</f>
        <v/>
      </c>
      <c r="X154">
        <f>HYPERLINK("https://klasma.github.io/Logging_2303/tillsyn/A 61954-2025 tillsynsbegäran.docx", "A 61954-2025")</f>
        <v/>
      </c>
      <c r="Y154">
        <f>HYPERLINK("https://klasma.github.io/Logging_2303/tillsynsmail/A 61954-2025 tillsynsbegäran mail.docx", "A 61954-2025")</f>
        <v/>
      </c>
    </row>
    <row r="155" ht="15" customHeight="1">
      <c r="A155" t="inlineStr">
        <is>
          <t>A 49047-2023</t>
        </is>
      </c>
      <c r="B155" s="1" t="n">
        <v>45209</v>
      </c>
      <c r="C155" s="1" t="n">
        <v>46021</v>
      </c>
      <c r="D155" t="inlineStr">
        <is>
          <t>JÄMTLANDS LÄN</t>
        </is>
      </c>
      <c r="E155" t="inlineStr">
        <is>
          <t>RAGUNDA</t>
        </is>
      </c>
      <c r="F155" t="inlineStr">
        <is>
          <t>SCA</t>
        </is>
      </c>
      <c r="G155" t="n">
        <v>6.9</v>
      </c>
      <c r="H155" t="n">
        <v>0</v>
      </c>
      <c r="I155" t="n">
        <v>0</v>
      </c>
      <c r="J155" t="n">
        <v>3</v>
      </c>
      <c r="K155" t="n">
        <v>0</v>
      </c>
      <c r="L155" t="n">
        <v>0</v>
      </c>
      <c r="M155" t="n">
        <v>0</v>
      </c>
      <c r="N155" t="n">
        <v>0</v>
      </c>
      <c r="O155" t="n">
        <v>3</v>
      </c>
      <c r="P155" t="n">
        <v>0</v>
      </c>
      <c r="Q155" t="n">
        <v>3</v>
      </c>
      <c r="R155" s="2" t="inlineStr">
        <is>
          <t>Lunglav
Rosenticka
Skrovellav</t>
        </is>
      </c>
      <c r="S155">
        <f>HYPERLINK("https://klasma.github.io/Logging_2303/artfynd/A 49047-2023 artfynd.xlsx", "A 49047-2023")</f>
        <v/>
      </c>
      <c r="T155">
        <f>HYPERLINK("https://klasma.github.io/Logging_2303/kartor/A 49047-2023 karta.png", "A 49047-2023")</f>
        <v/>
      </c>
      <c r="V155">
        <f>HYPERLINK("https://klasma.github.io/Logging_2303/klagomål/A 49047-2023 FSC-klagomål.docx", "A 49047-2023")</f>
        <v/>
      </c>
      <c r="W155">
        <f>HYPERLINK("https://klasma.github.io/Logging_2303/klagomålsmail/A 49047-2023 FSC-klagomål mail.docx", "A 49047-2023")</f>
        <v/>
      </c>
      <c r="X155">
        <f>HYPERLINK("https://klasma.github.io/Logging_2303/tillsyn/A 49047-2023 tillsynsbegäran.docx", "A 49047-2023")</f>
        <v/>
      </c>
      <c r="Y155">
        <f>HYPERLINK("https://klasma.github.io/Logging_2303/tillsynsmail/A 49047-2023 tillsynsbegäran mail.docx", "A 49047-2023")</f>
        <v/>
      </c>
    </row>
    <row r="156" ht="15" customHeight="1">
      <c r="A156" t="inlineStr">
        <is>
          <t>A 36504-2023</t>
        </is>
      </c>
      <c r="B156" s="1" t="n">
        <v>45152</v>
      </c>
      <c r="C156" s="1" t="n">
        <v>46021</v>
      </c>
      <c r="D156" t="inlineStr">
        <is>
          <t>JÄMTLANDS LÄN</t>
        </is>
      </c>
      <c r="E156" t="inlineStr">
        <is>
          <t>RAGUNDA</t>
        </is>
      </c>
      <c r="F156" t="inlineStr">
        <is>
          <t>SCA</t>
        </is>
      </c>
      <c r="G156" t="n">
        <v>2</v>
      </c>
      <c r="H156" t="n">
        <v>0</v>
      </c>
      <c r="I156" t="n">
        <v>0</v>
      </c>
      <c r="J156" t="n">
        <v>3</v>
      </c>
      <c r="K156" t="n">
        <v>0</v>
      </c>
      <c r="L156" t="n">
        <v>0</v>
      </c>
      <c r="M156" t="n">
        <v>0</v>
      </c>
      <c r="N156" t="n">
        <v>0</v>
      </c>
      <c r="O156" t="n">
        <v>3</v>
      </c>
      <c r="P156" t="n">
        <v>0</v>
      </c>
      <c r="Q156" t="n">
        <v>3</v>
      </c>
      <c r="R156" s="2" t="inlineStr">
        <is>
          <t>Gammelgransskål
Garnlav
Granticka</t>
        </is>
      </c>
      <c r="S156">
        <f>HYPERLINK("https://klasma.github.io/Logging_2303/artfynd/A 36504-2023 artfynd.xlsx", "A 36504-2023")</f>
        <v/>
      </c>
      <c r="T156">
        <f>HYPERLINK("https://klasma.github.io/Logging_2303/kartor/A 36504-2023 karta.png", "A 36504-2023")</f>
        <v/>
      </c>
      <c r="V156">
        <f>HYPERLINK("https://klasma.github.io/Logging_2303/klagomål/A 36504-2023 FSC-klagomål.docx", "A 36504-2023")</f>
        <v/>
      </c>
      <c r="W156">
        <f>HYPERLINK("https://klasma.github.io/Logging_2303/klagomålsmail/A 36504-2023 FSC-klagomål mail.docx", "A 36504-2023")</f>
        <v/>
      </c>
      <c r="X156">
        <f>HYPERLINK("https://klasma.github.io/Logging_2303/tillsyn/A 36504-2023 tillsynsbegäran.docx", "A 36504-2023")</f>
        <v/>
      </c>
      <c r="Y156">
        <f>HYPERLINK("https://klasma.github.io/Logging_2303/tillsynsmail/A 36504-2023 tillsynsbegäran mail.docx", "A 36504-2023")</f>
        <v/>
      </c>
    </row>
    <row r="157" ht="15" customHeight="1">
      <c r="A157" t="inlineStr">
        <is>
          <t>A 17043-2022</t>
        </is>
      </c>
      <c r="B157" s="1" t="n">
        <v>44676</v>
      </c>
      <c r="C157" s="1" t="n">
        <v>46021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46021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34715-2024</t>
        </is>
      </c>
      <c r="B159" s="1" t="n">
        <v>45526.56393518519</v>
      </c>
      <c r="C159" s="1" t="n">
        <v>46021</v>
      </c>
      <c r="D159" t="inlineStr">
        <is>
          <t>JÄMTLANDS LÄN</t>
        </is>
      </c>
      <c r="E159" t="inlineStr">
        <is>
          <t>RAGUNDA</t>
        </is>
      </c>
      <c r="F159" t="inlineStr">
        <is>
          <t>SCA</t>
        </is>
      </c>
      <c r="G159" t="n">
        <v>3</v>
      </c>
      <c r="H159" t="n">
        <v>0</v>
      </c>
      <c r="I159" t="n">
        <v>1</v>
      </c>
      <c r="J159" t="n">
        <v>1</v>
      </c>
      <c r="K159" t="n">
        <v>0</v>
      </c>
      <c r="L159" t="n">
        <v>0</v>
      </c>
      <c r="M159" t="n">
        <v>0</v>
      </c>
      <c r="N159" t="n">
        <v>0</v>
      </c>
      <c r="O159" t="n">
        <v>1</v>
      </c>
      <c r="P159" t="n">
        <v>0</v>
      </c>
      <c r="Q159" t="n">
        <v>2</v>
      </c>
      <c r="R159" s="2" t="inlineStr">
        <is>
          <t>Garnlav
Vedticka</t>
        </is>
      </c>
      <c r="S159">
        <f>HYPERLINK("https://klasma.github.io/Logging_2303/artfynd/A 34715-2024 artfynd.xlsx", "A 34715-2024")</f>
        <v/>
      </c>
      <c r="T159">
        <f>HYPERLINK("https://klasma.github.io/Logging_2303/kartor/A 34715-2024 karta.png", "A 34715-2024")</f>
        <v/>
      </c>
      <c r="V159">
        <f>HYPERLINK("https://klasma.github.io/Logging_2303/klagomål/A 34715-2024 FSC-klagomål.docx", "A 34715-2024")</f>
        <v/>
      </c>
      <c r="W159">
        <f>HYPERLINK("https://klasma.github.io/Logging_2303/klagomålsmail/A 34715-2024 FSC-klagomål mail.docx", "A 34715-2024")</f>
        <v/>
      </c>
      <c r="X159">
        <f>HYPERLINK("https://klasma.github.io/Logging_2303/tillsyn/A 34715-2024 tillsynsbegäran.docx", "A 34715-2024")</f>
        <v/>
      </c>
      <c r="Y159">
        <f>HYPERLINK("https://klasma.github.io/Logging_2303/tillsynsmail/A 34715-2024 tillsynsbegäran mail.docx", "A 34715-2024")</f>
        <v/>
      </c>
    </row>
    <row r="160" ht="15" customHeight="1">
      <c r="A160" t="inlineStr">
        <is>
          <t>A 3838-2024</t>
        </is>
      </c>
      <c r="B160" s="1" t="n">
        <v>45321</v>
      </c>
      <c r="C160" s="1" t="n">
        <v>46021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26324-2024</t>
        </is>
      </c>
      <c r="B161" s="1" t="n">
        <v>45468.97495370371</v>
      </c>
      <c r="C161" s="1" t="n">
        <v>46021</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Knärot
Vedtrappmossa</t>
        </is>
      </c>
      <c r="S161">
        <f>HYPERLINK("https://klasma.github.io/Logging_2303/artfynd/A 26324-2024 artfynd.xlsx", "A 26324-2024")</f>
        <v/>
      </c>
      <c r="T161">
        <f>HYPERLINK("https://klasma.github.io/Logging_2303/kartor/A 26324-2024 karta.png", "A 26324-2024")</f>
        <v/>
      </c>
      <c r="U161">
        <f>HYPERLINK("https://klasma.github.io/Logging_2303/knärot/A 26324-2024 karta knärot.png", "A 26324-2024")</f>
        <v/>
      </c>
      <c r="V161">
        <f>HYPERLINK("https://klasma.github.io/Logging_2303/klagomål/A 26324-2024 FSC-klagomål.docx", "A 26324-2024")</f>
        <v/>
      </c>
      <c r="W161">
        <f>HYPERLINK("https://klasma.github.io/Logging_2303/klagomålsmail/A 26324-2024 FSC-klagomål mail.docx", "A 26324-2024")</f>
        <v/>
      </c>
      <c r="X161">
        <f>HYPERLINK("https://klasma.github.io/Logging_2303/tillsyn/A 26324-2024 tillsynsbegäran.docx", "A 26324-2024")</f>
        <v/>
      </c>
      <c r="Y161">
        <f>HYPERLINK("https://klasma.github.io/Logging_2303/tillsynsmail/A 26324-2024 tillsynsbegäran mail.docx", "A 26324-2024")</f>
        <v/>
      </c>
    </row>
    <row r="162" ht="15" customHeight="1">
      <c r="A162" t="inlineStr">
        <is>
          <t>A 11843-2023</t>
        </is>
      </c>
      <c r="B162" s="1" t="n">
        <v>44993</v>
      </c>
      <c r="C162" s="1" t="n">
        <v>46021</v>
      </c>
      <c r="D162" t="inlineStr">
        <is>
          <t>JÄMTLANDS LÄN</t>
        </is>
      </c>
      <c r="E162" t="inlineStr">
        <is>
          <t>RAGUNDA</t>
        </is>
      </c>
      <c r="G162" t="n">
        <v>6.4</v>
      </c>
      <c r="H162" t="n">
        <v>2</v>
      </c>
      <c r="I162" t="n">
        <v>0</v>
      </c>
      <c r="J162" t="n">
        <v>1</v>
      </c>
      <c r="K162" t="n">
        <v>0</v>
      </c>
      <c r="L162" t="n">
        <v>0</v>
      </c>
      <c r="M162" t="n">
        <v>0</v>
      </c>
      <c r="N162" t="n">
        <v>0</v>
      </c>
      <c r="O162" t="n">
        <v>1</v>
      </c>
      <c r="P162" t="n">
        <v>0</v>
      </c>
      <c r="Q162" t="n">
        <v>2</v>
      </c>
      <c r="R162" s="2" t="inlineStr">
        <is>
          <t>Spillkråka
Revlummer</t>
        </is>
      </c>
      <c r="S162">
        <f>HYPERLINK("https://klasma.github.io/Logging_2303/artfynd/A 11843-2023 artfynd.xlsx", "A 11843-2023")</f>
        <v/>
      </c>
      <c r="T162">
        <f>HYPERLINK("https://klasma.github.io/Logging_2303/kartor/A 11843-2023 karta.png", "A 11843-2023")</f>
        <v/>
      </c>
      <c r="V162">
        <f>HYPERLINK("https://klasma.github.io/Logging_2303/klagomål/A 11843-2023 FSC-klagomål.docx", "A 11843-2023")</f>
        <v/>
      </c>
      <c r="W162">
        <f>HYPERLINK("https://klasma.github.io/Logging_2303/klagomålsmail/A 11843-2023 FSC-klagomål mail.docx", "A 11843-2023")</f>
        <v/>
      </c>
      <c r="X162">
        <f>HYPERLINK("https://klasma.github.io/Logging_2303/tillsyn/A 11843-2023 tillsynsbegäran.docx", "A 11843-2023")</f>
        <v/>
      </c>
      <c r="Y162">
        <f>HYPERLINK("https://klasma.github.io/Logging_2303/tillsynsmail/A 11843-2023 tillsynsbegäran mail.docx", "A 11843-2023")</f>
        <v/>
      </c>
      <c r="Z162">
        <f>HYPERLINK("https://klasma.github.io/Logging_2303/fåglar/A 11843-2023 prioriterade fågelarter.docx", "A 11843-2023")</f>
        <v/>
      </c>
    </row>
    <row r="163" ht="15" customHeight="1">
      <c r="A163" t="inlineStr">
        <is>
          <t>A 12271-2024</t>
        </is>
      </c>
      <c r="B163" s="1" t="n">
        <v>45378</v>
      </c>
      <c r="C163" s="1" t="n">
        <v>46021</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39495-2024</t>
        </is>
      </c>
      <c r="B164" s="1" t="n">
        <v>45551.65726851852</v>
      </c>
      <c r="C164" s="1" t="n">
        <v>46021</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46021</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36756-2023</t>
        </is>
      </c>
      <c r="B166" s="1" t="n">
        <v>45153</v>
      </c>
      <c r="C166" s="1" t="n">
        <v>46021</v>
      </c>
      <c r="D166" t="inlineStr">
        <is>
          <t>JÄMTLANDS LÄN</t>
        </is>
      </c>
      <c r="E166" t="inlineStr">
        <is>
          <t>RAGUNDA</t>
        </is>
      </c>
      <c r="G166" t="n">
        <v>3.5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HYPERLINK("https://klasma.github.io/Logging_2303/artfynd/A 36756-2023 artfynd.xlsx", "A 36756-2023")</f>
        <v/>
      </c>
      <c r="T166">
        <f>HYPERLINK("https://klasma.github.io/Logging_2303/kartor/A 36756-2023 karta.png", "A 36756-2023")</f>
        <v/>
      </c>
      <c r="V166">
        <f>HYPERLINK("https://klasma.github.io/Logging_2303/klagomål/A 36756-2023 FSC-klagomål.docx", "A 36756-2023")</f>
        <v/>
      </c>
      <c r="W166">
        <f>HYPERLINK("https://klasma.github.io/Logging_2303/klagomålsmail/A 36756-2023 FSC-klagomål mail.docx", "A 36756-2023")</f>
        <v/>
      </c>
      <c r="X166">
        <f>HYPERLINK("https://klasma.github.io/Logging_2303/tillsyn/A 36756-2023 tillsynsbegäran.docx", "A 36756-2023")</f>
        <v/>
      </c>
      <c r="Y166">
        <f>HYPERLINK("https://klasma.github.io/Logging_2303/tillsynsmail/A 36756-2023 tillsynsbegäran mail.docx", "A 36756-2023")</f>
        <v/>
      </c>
      <c r="Z166">
        <f>HYPERLINK("https://klasma.github.io/Logging_2303/fåglar/A 36756-2023 prioriterade fågelarter.docx", "A 36756-2023")</f>
        <v/>
      </c>
    </row>
    <row r="167" ht="15" customHeight="1">
      <c r="A167" t="inlineStr">
        <is>
          <t>A 30053-2024</t>
        </is>
      </c>
      <c r="B167" s="1" t="n">
        <v>45488.94747685185</v>
      </c>
      <c r="C167" s="1" t="n">
        <v>46021</v>
      </c>
      <c r="D167" t="inlineStr">
        <is>
          <t>JÄMTLANDS LÄN</t>
        </is>
      </c>
      <c r="E167" t="inlineStr">
        <is>
          <t>RAGUNDA</t>
        </is>
      </c>
      <c r="F167" t="inlineStr">
        <is>
          <t>SCA</t>
        </is>
      </c>
      <c r="G167" t="n">
        <v>9.6</v>
      </c>
      <c r="H167" t="n">
        <v>0</v>
      </c>
      <c r="I167" t="n">
        <v>1</v>
      </c>
      <c r="J167" t="n">
        <v>1</v>
      </c>
      <c r="K167" t="n">
        <v>0</v>
      </c>
      <c r="L167" t="n">
        <v>0</v>
      </c>
      <c r="M167" t="n">
        <v>0</v>
      </c>
      <c r="N167" t="n">
        <v>0</v>
      </c>
      <c r="O167" t="n">
        <v>1</v>
      </c>
      <c r="P167" t="n">
        <v>0</v>
      </c>
      <c r="Q167" t="n">
        <v>2</v>
      </c>
      <c r="R167" s="2" t="inlineStr">
        <is>
          <t>Lunglav
Korallblylav</t>
        </is>
      </c>
      <c r="S167">
        <f>HYPERLINK("https://klasma.github.io/Logging_2303/artfynd/A 30053-2024 artfynd.xlsx", "A 30053-2024")</f>
        <v/>
      </c>
      <c r="T167">
        <f>HYPERLINK("https://klasma.github.io/Logging_2303/kartor/A 30053-2024 karta.png", "A 30053-2024")</f>
        <v/>
      </c>
      <c r="V167">
        <f>HYPERLINK("https://klasma.github.io/Logging_2303/klagomål/A 30053-2024 FSC-klagomål.docx", "A 30053-2024")</f>
        <v/>
      </c>
      <c r="W167">
        <f>HYPERLINK("https://klasma.github.io/Logging_2303/klagomålsmail/A 30053-2024 FSC-klagomål mail.docx", "A 30053-2024")</f>
        <v/>
      </c>
      <c r="X167">
        <f>HYPERLINK("https://klasma.github.io/Logging_2303/tillsyn/A 30053-2024 tillsynsbegäran.docx", "A 30053-2024")</f>
        <v/>
      </c>
      <c r="Y167">
        <f>HYPERLINK("https://klasma.github.io/Logging_2303/tillsynsmail/A 30053-2024 tillsynsbegäran mail.docx", "A 30053-2024")</f>
        <v/>
      </c>
    </row>
    <row r="168" ht="15" customHeight="1">
      <c r="A168" t="inlineStr">
        <is>
          <t>A 11544-2024</t>
        </is>
      </c>
      <c r="B168" s="1" t="n">
        <v>45372.95680555556</v>
      </c>
      <c r="C168" s="1" t="n">
        <v>46021</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11086-2025</t>
        </is>
      </c>
      <c r="B169" s="1" t="n">
        <v>45723.57329861111</v>
      </c>
      <c r="C169" s="1" t="n">
        <v>46021</v>
      </c>
      <c r="D169" t="inlineStr">
        <is>
          <t>JÄMTLANDS LÄN</t>
        </is>
      </c>
      <c r="E169" t="inlineStr">
        <is>
          <t>RAGUNDA</t>
        </is>
      </c>
      <c r="F169" t="inlineStr">
        <is>
          <t>SCA</t>
        </is>
      </c>
      <c r="G169" t="n">
        <v>10.8</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HYPERLINK("https://klasma.github.io/Logging_2303/artfynd/A 11086-2025 artfynd.xlsx", "A 11086-2025")</f>
        <v/>
      </c>
      <c r="T169">
        <f>HYPERLINK("https://klasma.github.io/Logging_2303/kartor/A 11086-2025 karta.png", "A 11086-2025")</f>
        <v/>
      </c>
      <c r="V169">
        <f>HYPERLINK("https://klasma.github.io/Logging_2303/klagomål/A 11086-2025 FSC-klagomål.docx", "A 11086-2025")</f>
        <v/>
      </c>
      <c r="W169">
        <f>HYPERLINK("https://klasma.github.io/Logging_2303/klagomålsmail/A 11086-2025 FSC-klagomål mail.docx", "A 11086-2025")</f>
        <v/>
      </c>
      <c r="X169">
        <f>HYPERLINK("https://klasma.github.io/Logging_2303/tillsyn/A 11086-2025 tillsynsbegäran.docx", "A 11086-2025")</f>
        <v/>
      </c>
      <c r="Y169">
        <f>HYPERLINK("https://klasma.github.io/Logging_2303/tillsynsmail/A 11086-2025 tillsynsbegäran mail.docx", "A 11086-2025")</f>
        <v/>
      </c>
    </row>
    <row r="170" ht="15" customHeight="1">
      <c r="A170" t="inlineStr">
        <is>
          <t>A 41490-2022</t>
        </is>
      </c>
      <c r="B170" s="1" t="n">
        <v>44826.94976851852</v>
      </c>
      <c r="C170" s="1" t="n">
        <v>46021</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14502-2024</t>
        </is>
      </c>
      <c r="B171" s="1" t="n">
        <v>45394</v>
      </c>
      <c r="C171" s="1" t="n">
        <v>46021</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26482-2023</t>
        </is>
      </c>
      <c r="B172" s="1" t="n">
        <v>45089</v>
      </c>
      <c r="C172" s="1" t="n">
        <v>46021</v>
      </c>
      <c r="D172" t="inlineStr">
        <is>
          <t>JÄMTLANDS LÄN</t>
        </is>
      </c>
      <c r="E172" t="inlineStr">
        <is>
          <t>RAGUNDA</t>
        </is>
      </c>
      <c r="G172" t="n">
        <v>2</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26482-2023 artfynd.xlsx", "A 26482-2023")</f>
        <v/>
      </c>
      <c r="T172">
        <f>HYPERLINK("https://klasma.github.io/Logging_2303/kartor/A 26482-2023 karta.png", "A 26482-2023")</f>
        <v/>
      </c>
      <c r="V172">
        <f>HYPERLINK("https://klasma.github.io/Logging_2303/klagomål/A 26482-2023 FSC-klagomål.docx", "A 26482-2023")</f>
        <v/>
      </c>
      <c r="W172">
        <f>HYPERLINK("https://klasma.github.io/Logging_2303/klagomålsmail/A 26482-2023 FSC-klagomål mail.docx", "A 26482-2023")</f>
        <v/>
      </c>
      <c r="X172">
        <f>HYPERLINK("https://klasma.github.io/Logging_2303/tillsyn/A 26482-2023 tillsynsbegäran.docx", "A 26482-2023")</f>
        <v/>
      </c>
      <c r="Y172">
        <f>HYPERLINK("https://klasma.github.io/Logging_2303/tillsynsmail/A 26482-2023 tillsynsbegäran mail.docx", "A 26482-2023")</f>
        <v/>
      </c>
      <c r="Z172">
        <f>HYPERLINK("https://klasma.github.io/Logging_2303/fåglar/A 26482-2023 prioriterade fågelarter.docx", "A 26482-2023")</f>
        <v/>
      </c>
    </row>
    <row r="173" ht="15" customHeight="1">
      <c r="A173" t="inlineStr">
        <is>
          <t>A 46771-2024</t>
        </is>
      </c>
      <c r="B173" s="1" t="n">
        <v>45583.49642361111</v>
      </c>
      <c r="C173" s="1" t="n">
        <v>46021</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21245-2025</t>
        </is>
      </c>
      <c r="B174" s="1" t="n">
        <v>45779.57350694444</v>
      </c>
      <c r="C174" s="1" t="n">
        <v>46021</v>
      </c>
      <c r="D174" t="inlineStr">
        <is>
          <t>JÄMTLANDS LÄN</t>
        </is>
      </c>
      <c r="E174" t="inlineStr">
        <is>
          <t>RAGUNDA</t>
        </is>
      </c>
      <c r="F174" t="inlineStr">
        <is>
          <t>SCA</t>
        </is>
      </c>
      <c r="G174" t="n">
        <v>3.7</v>
      </c>
      <c r="H174" t="n">
        <v>1</v>
      </c>
      <c r="I174" t="n">
        <v>0</v>
      </c>
      <c r="J174" t="n">
        <v>1</v>
      </c>
      <c r="K174" t="n">
        <v>0</v>
      </c>
      <c r="L174" t="n">
        <v>0</v>
      </c>
      <c r="M174" t="n">
        <v>0</v>
      </c>
      <c r="N174" t="n">
        <v>0</v>
      </c>
      <c r="O174" t="n">
        <v>1</v>
      </c>
      <c r="P174" t="n">
        <v>0</v>
      </c>
      <c r="Q174" t="n">
        <v>2</v>
      </c>
      <c r="R174" s="2" t="inlineStr">
        <is>
          <t>Garnlav
Tjäder</t>
        </is>
      </c>
      <c r="S174">
        <f>HYPERLINK("https://klasma.github.io/Logging_2303/artfynd/A 21245-2025 artfynd.xlsx", "A 21245-2025")</f>
        <v/>
      </c>
      <c r="T174">
        <f>HYPERLINK("https://klasma.github.io/Logging_2303/kartor/A 21245-2025 karta.png", "A 21245-2025")</f>
        <v/>
      </c>
      <c r="V174">
        <f>HYPERLINK("https://klasma.github.io/Logging_2303/klagomål/A 21245-2025 FSC-klagomål.docx", "A 21245-2025")</f>
        <v/>
      </c>
      <c r="W174">
        <f>HYPERLINK("https://klasma.github.io/Logging_2303/klagomålsmail/A 21245-2025 FSC-klagomål mail.docx", "A 21245-2025")</f>
        <v/>
      </c>
      <c r="X174">
        <f>HYPERLINK("https://klasma.github.io/Logging_2303/tillsyn/A 21245-2025 tillsynsbegäran.docx", "A 21245-2025")</f>
        <v/>
      </c>
      <c r="Y174">
        <f>HYPERLINK("https://klasma.github.io/Logging_2303/tillsynsmail/A 21245-2025 tillsynsbegäran mail.docx", "A 21245-2025")</f>
        <v/>
      </c>
      <c r="Z174">
        <f>HYPERLINK("https://klasma.github.io/Logging_2303/fåglar/A 21245-2025 prioriterade fågelarter.docx", "A 21245-2025")</f>
        <v/>
      </c>
    </row>
    <row r="175" ht="15" customHeight="1">
      <c r="A175" t="inlineStr">
        <is>
          <t>A 47850-2025</t>
        </is>
      </c>
      <c r="B175" s="1" t="n">
        <v>45932.38626157407</v>
      </c>
      <c r="C175" s="1" t="n">
        <v>46021</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10866-2025</t>
        </is>
      </c>
      <c r="B176" s="1" t="n">
        <v>45722.61543981481</v>
      </c>
      <c r="C176" s="1" t="n">
        <v>46021</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46021</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48084-2022</t>
        </is>
      </c>
      <c r="B178" s="1" t="n">
        <v>44855</v>
      </c>
      <c r="C178" s="1" t="n">
        <v>46021</v>
      </c>
      <c r="D178" t="inlineStr">
        <is>
          <t>JÄMTLANDS LÄN</t>
        </is>
      </c>
      <c r="E178" t="inlineStr">
        <is>
          <t>RAGUNDA</t>
        </is>
      </c>
      <c r="F178" t="inlineStr">
        <is>
          <t>SCA</t>
        </is>
      </c>
      <c r="G178" t="n">
        <v>4.7</v>
      </c>
      <c r="H178" t="n">
        <v>1</v>
      </c>
      <c r="I178" t="n">
        <v>0</v>
      </c>
      <c r="J178" t="n">
        <v>2</v>
      </c>
      <c r="K178" t="n">
        <v>0</v>
      </c>
      <c r="L178" t="n">
        <v>0</v>
      </c>
      <c r="M178" t="n">
        <v>0</v>
      </c>
      <c r="N178" t="n">
        <v>0</v>
      </c>
      <c r="O178" t="n">
        <v>2</v>
      </c>
      <c r="P178" t="n">
        <v>0</v>
      </c>
      <c r="Q178" t="n">
        <v>2</v>
      </c>
      <c r="R178" s="2" t="inlineStr">
        <is>
          <t>Rosenticka
Tretåig hackspett</t>
        </is>
      </c>
      <c r="S178">
        <f>HYPERLINK("https://klasma.github.io/Logging_2303/artfynd/A 48084-2022 artfynd.xlsx", "A 48084-2022")</f>
        <v/>
      </c>
      <c r="T178">
        <f>HYPERLINK("https://klasma.github.io/Logging_2303/kartor/A 48084-2022 karta.png", "A 48084-2022")</f>
        <v/>
      </c>
      <c r="V178">
        <f>HYPERLINK("https://klasma.github.io/Logging_2303/klagomål/A 48084-2022 FSC-klagomål.docx", "A 48084-2022")</f>
        <v/>
      </c>
      <c r="W178">
        <f>HYPERLINK("https://klasma.github.io/Logging_2303/klagomålsmail/A 48084-2022 FSC-klagomål mail.docx", "A 48084-2022")</f>
        <v/>
      </c>
      <c r="X178">
        <f>HYPERLINK("https://klasma.github.io/Logging_2303/tillsyn/A 48084-2022 tillsynsbegäran.docx", "A 48084-2022")</f>
        <v/>
      </c>
      <c r="Y178">
        <f>HYPERLINK("https://klasma.github.io/Logging_2303/tillsynsmail/A 48084-2022 tillsynsbegäran mail.docx", "A 48084-2022")</f>
        <v/>
      </c>
      <c r="Z178">
        <f>HYPERLINK("https://klasma.github.io/Logging_2303/fåglar/A 48084-2022 prioriterade fågelarter.docx", "A 48084-2022")</f>
        <v/>
      </c>
    </row>
    <row r="179" ht="15" customHeight="1">
      <c r="A179" t="inlineStr">
        <is>
          <t>A 25155-2025</t>
        </is>
      </c>
      <c r="B179" s="1" t="n">
        <v>45800.42782407408</v>
      </c>
      <c r="C179" s="1" t="n">
        <v>46021</v>
      </c>
      <c r="D179" t="inlineStr">
        <is>
          <t>JÄMTLANDS LÄN</t>
        </is>
      </c>
      <c r="E179" t="inlineStr">
        <is>
          <t>RAGUNDA</t>
        </is>
      </c>
      <c r="F179" t="inlineStr">
        <is>
          <t>SCA</t>
        </is>
      </c>
      <c r="G179" t="n">
        <v>1.7</v>
      </c>
      <c r="H179" t="n">
        <v>1</v>
      </c>
      <c r="I179" t="n">
        <v>0</v>
      </c>
      <c r="J179" t="n">
        <v>1</v>
      </c>
      <c r="K179" t="n">
        <v>0</v>
      </c>
      <c r="L179" t="n">
        <v>0</v>
      </c>
      <c r="M179" t="n">
        <v>0</v>
      </c>
      <c r="N179" t="n">
        <v>0</v>
      </c>
      <c r="O179" t="n">
        <v>1</v>
      </c>
      <c r="P179" t="n">
        <v>0</v>
      </c>
      <c r="Q179" t="n">
        <v>2</v>
      </c>
      <c r="R179" s="2" t="inlineStr">
        <is>
          <t>Leptoporus mollis
Fläcknycklar</t>
        </is>
      </c>
      <c r="S179">
        <f>HYPERLINK("https://klasma.github.io/Logging_2303/artfynd/A 25155-2025 artfynd.xlsx", "A 25155-2025")</f>
        <v/>
      </c>
      <c r="T179">
        <f>HYPERLINK("https://klasma.github.io/Logging_2303/kartor/A 25155-2025 karta.png", "A 25155-2025")</f>
        <v/>
      </c>
      <c r="V179">
        <f>HYPERLINK("https://klasma.github.io/Logging_2303/klagomål/A 25155-2025 FSC-klagomål.docx", "A 25155-2025")</f>
        <v/>
      </c>
      <c r="W179">
        <f>HYPERLINK("https://klasma.github.io/Logging_2303/klagomålsmail/A 25155-2025 FSC-klagomål mail.docx", "A 25155-2025")</f>
        <v/>
      </c>
      <c r="X179">
        <f>HYPERLINK("https://klasma.github.io/Logging_2303/tillsyn/A 25155-2025 tillsynsbegäran.docx", "A 25155-2025")</f>
        <v/>
      </c>
      <c r="Y179">
        <f>HYPERLINK("https://klasma.github.io/Logging_2303/tillsynsmail/A 25155-2025 tillsynsbegäran mail.docx", "A 25155-2025")</f>
        <v/>
      </c>
    </row>
    <row r="180" ht="15" customHeight="1">
      <c r="A180" t="inlineStr">
        <is>
          <t>A 19384-2025</t>
        </is>
      </c>
      <c r="B180" s="1" t="n">
        <v>45769.65692129629</v>
      </c>
      <c r="C180" s="1" t="n">
        <v>46021</v>
      </c>
      <c r="D180" t="inlineStr">
        <is>
          <t>JÄMTLANDS LÄN</t>
        </is>
      </c>
      <c r="E180" t="inlineStr">
        <is>
          <t>RAGUNDA</t>
        </is>
      </c>
      <c r="F180" t="inlineStr">
        <is>
          <t>SCA</t>
        </is>
      </c>
      <c r="G180" t="n">
        <v>2.8</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19384-2025 artfynd.xlsx", "A 19384-2025")</f>
        <v/>
      </c>
      <c r="T180">
        <f>HYPERLINK("https://klasma.github.io/Logging_2303/kartor/A 19384-2025 karta.png", "A 19384-2025")</f>
        <v/>
      </c>
      <c r="V180">
        <f>HYPERLINK("https://klasma.github.io/Logging_2303/klagomål/A 19384-2025 FSC-klagomål.docx", "A 19384-2025")</f>
        <v/>
      </c>
      <c r="W180">
        <f>HYPERLINK("https://klasma.github.io/Logging_2303/klagomålsmail/A 19384-2025 FSC-klagomål mail.docx", "A 19384-2025")</f>
        <v/>
      </c>
      <c r="X180">
        <f>HYPERLINK("https://klasma.github.io/Logging_2303/tillsyn/A 19384-2025 tillsynsbegäran.docx", "A 19384-2025")</f>
        <v/>
      </c>
      <c r="Y180">
        <f>HYPERLINK("https://klasma.github.io/Logging_2303/tillsynsmail/A 19384-2025 tillsynsbegäran mail.docx", "A 19384-2025")</f>
        <v/>
      </c>
      <c r="Z180">
        <f>HYPERLINK("https://klasma.github.io/Logging_2303/fåglar/A 19384-2025 prioriterade fågelarter.docx", "A 19384-2025")</f>
        <v/>
      </c>
    </row>
    <row r="181" ht="15" customHeight="1">
      <c r="A181" t="inlineStr">
        <is>
          <t>A 55647-2023</t>
        </is>
      </c>
      <c r="B181" s="1" t="n">
        <v>45238</v>
      </c>
      <c r="C181" s="1" t="n">
        <v>46021</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48427-2023</t>
        </is>
      </c>
      <c r="B182" s="1" t="n">
        <v>45205</v>
      </c>
      <c r="C182" s="1" t="n">
        <v>46021</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31960-2025</t>
        </is>
      </c>
      <c r="B183" s="1" t="n">
        <v>45835.344375</v>
      </c>
      <c r="C183" s="1" t="n">
        <v>46021</v>
      </c>
      <c r="D183" t="inlineStr">
        <is>
          <t>JÄMTLANDS LÄN</t>
        </is>
      </c>
      <c r="E183" t="inlineStr">
        <is>
          <t>RAGUNDA</t>
        </is>
      </c>
      <c r="F183" t="inlineStr">
        <is>
          <t>SCA</t>
        </is>
      </c>
      <c r="G183" t="n">
        <v>1.6</v>
      </c>
      <c r="H183" t="n">
        <v>0</v>
      </c>
      <c r="I183" t="n">
        <v>0</v>
      </c>
      <c r="J183" t="n">
        <v>2</v>
      </c>
      <c r="K183" t="n">
        <v>0</v>
      </c>
      <c r="L183" t="n">
        <v>0</v>
      </c>
      <c r="M183" t="n">
        <v>0</v>
      </c>
      <c r="N183" t="n">
        <v>0</v>
      </c>
      <c r="O183" t="n">
        <v>2</v>
      </c>
      <c r="P183" t="n">
        <v>0</v>
      </c>
      <c r="Q183" t="n">
        <v>2</v>
      </c>
      <c r="R183" s="2" t="inlineStr">
        <is>
          <t>Gammelgransskål
Garnlav</t>
        </is>
      </c>
      <c r="S183">
        <f>HYPERLINK("https://klasma.github.io/Logging_2303/artfynd/A 31960-2025 artfynd.xlsx", "A 31960-2025")</f>
        <v/>
      </c>
      <c r="T183">
        <f>HYPERLINK("https://klasma.github.io/Logging_2303/kartor/A 31960-2025 karta.png", "A 31960-2025")</f>
        <v/>
      </c>
      <c r="V183">
        <f>HYPERLINK("https://klasma.github.io/Logging_2303/klagomål/A 31960-2025 FSC-klagomål.docx", "A 31960-2025")</f>
        <v/>
      </c>
      <c r="W183">
        <f>HYPERLINK("https://klasma.github.io/Logging_2303/klagomålsmail/A 31960-2025 FSC-klagomål mail.docx", "A 31960-2025")</f>
        <v/>
      </c>
      <c r="X183">
        <f>HYPERLINK("https://klasma.github.io/Logging_2303/tillsyn/A 31960-2025 tillsynsbegäran.docx", "A 31960-2025")</f>
        <v/>
      </c>
      <c r="Y183">
        <f>HYPERLINK("https://klasma.github.io/Logging_2303/tillsynsmail/A 31960-2025 tillsynsbegäran mail.docx", "A 31960-2025")</f>
        <v/>
      </c>
    </row>
    <row r="184" ht="15" customHeight="1">
      <c r="A184" t="inlineStr">
        <is>
          <t>A 35131-2025</t>
        </is>
      </c>
      <c r="B184" s="1" t="n">
        <v>45852.63597222222</v>
      </c>
      <c r="C184" s="1" t="n">
        <v>46021</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50089-2022</t>
        </is>
      </c>
      <c r="B185" s="1" t="n">
        <v>44865</v>
      </c>
      <c r="C185" s="1" t="n">
        <v>46021</v>
      </c>
      <c r="D185" t="inlineStr">
        <is>
          <t>JÄMTLANDS LÄN</t>
        </is>
      </c>
      <c r="E185" t="inlineStr">
        <is>
          <t>RAGUNDA</t>
        </is>
      </c>
      <c r="G185" t="n">
        <v>5.7</v>
      </c>
      <c r="H185" t="n">
        <v>2</v>
      </c>
      <c r="I185" t="n">
        <v>0</v>
      </c>
      <c r="J185" t="n">
        <v>2</v>
      </c>
      <c r="K185" t="n">
        <v>0</v>
      </c>
      <c r="L185" t="n">
        <v>0</v>
      </c>
      <c r="M185" t="n">
        <v>0</v>
      </c>
      <c r="N185" t="n">
        <v>0</v>
      </c>
      <c r="O185" t="n">
        <v>2</v>
      </c>
      <c r="P185" t="n">
        <v>0</v>
      </c>
      <c r="Q185" t="n">
        <v>2</v>
      </c>
      <c r="R185" s="2" t="inlineStr">
        <is>
          <t>Björktrast
Drillsnäppa</t>
        </is>
      </c>
      <c r="S185">
        <f>HYPERLINK("https://klasma.github.io/Logging_2303/artfynd/A 50089-2022 artfynd.xlsx", "A 50089-2022")</f>
        <v/>
      </c>
      <c r="T185">
        <f>HYPERLINK("https://klasma.github.io/Logging_2303/kartor/A 50089-2022 karta.png", "A 50089-2022")</f>
        <v/>
      </c>
      <c r="V185">
        <f>HYPERLINK("https://klasma.github.io/Logging_2303/klagomål/A 50089-2022 FSC-klagomål.docx", "A 50089-2022")</f>
        <v/>
      </c>
      <c r="W185">
        <f>HYPERLINK("https://klasma.github.io/Logging_2303/klagomålsmail/A 50089-2022 FSC-klagomål mail.docx", "A 50089-2022")</f>
        <v/>
      </c>
      <c r="X185">
        <f>HYPERLINK("https://klasma.github.io/Logging_2303/tillsyn/A 50089-2022 tillsynsbegäran.docx", "A 50089-2022")</f>
        <v/>
      </c>
      <c r="Y185">
        <f>HYPERLINK("https://klasma.github.io/Logging_2303/tillsynsmail/A 50089-2022 tillsynsbegäran mail.docx", "A 50089-2022")</f>
        <v/>
      </c>
      <c r="Z185">
        <f>HYPERLINK("https://klasma.github.io/Logging_2303/fåglar/A 50089-2022 prioriterade fågelarter.docx", "A 50089-2022")</f>
        <v/>
      </c>
    </row>
    <row r="186" ht="15" customHeight="1">
      <c r="A186" t="inlineStr">
        <is>
          <t>A 32736-2023</t>
        </is>
      </c>
      <c r="B186" s="1" t="n">
        <v>45121</v>
      </c>
      <c r="C186" s="1" t="n">
        <v>46021</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57940-2024</t>
        </is>
      </c>
      <c r="B187" s="1" t="n">
        <v>45631</v>
      </c>
      <c r="C187" s="1" t="n">
        <v>46021</v>
      </c>
      <c r="D187" t="inlineStr">
        <is>
          <t>JÄMTLANDS LÄN</t>
        </is>
      </c>
      <c r="E187" t="inlineStr">
        <is>
          <t>RAGUNDA</t>
        </is>
      </c>
      <c r="F187" t="inlineStr">
        <is>
          <t>SCA</t>
        </is>
      </c>
      <c r="G187" t="n">
        <v>1.9</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HYPERLINK("https://klasma.github.io/Logging_2303/artfynd/A 57940-2024 artfynd.xlsx", "A 57940-2024")</f>
        <v/>
      </c>
      <c r="T187">
        <f>HYPERLINK("https://klasma.github.io/Logging_2303/kartor/A 57940-2024 karta.png", "A 57940-2024")</f>
        <v/>
      </c>
      <c r="V187">
        <f>HYPERLINK("https://klasma.github.io/Logging_2303/klagomål/A 57940-2024 FSC-klagomål.docx", "A 57940-2024")</f>
        <v/>
      </c>
      <c r="W187">
        <f>HYPERLINK("https://klasma.github.io/Logging_2303/klagomålsmail/A 57940-2024 FSC-klagomål mail.docx", "A 57940-2024")</f>
        <v/>
      </c>
      <c r="X187">
        <f>HYPERLINK("https://klasma.github.io/Logging_2303/tillsyn/A 57940-2024 tillsynsbegäran.docx", "A 57940-2024")</f>
        <v/>
      </c>
      <c r="Y187">
        <f>HYPERLINK("https://klasma.github.io/Logging_2303/tillsynsmail/A 57940-2024 tillsynsbegäran mail.docx", "A 57940-2024")</f>
        <v/>
      </c>
      <c r="Z187">
        <f>HYPERLINK("https://klasma.github.io/Logging_2303/fåglar/A 57940-2024 prioriterade fågelarter.docx", "A 57940-2024")</f>
        <v/>
      </c>
    </row>
    <row r="188" ht="15" customHeight="1">
      <c r="A188" t="inlineStr">
        <is>
          <t>A 45021-2023</t>
        </is>
      </c>
      <c r="B188" s="1" t="n">
        <v>45190</v>
      </c>
      <c r="C188" s="1" t="n">
        <v>46021</v>
      </c>
      <c r="D188" t="inlineStr">
        <is>
          <t>JÄMTLANDS LÄN</t>
        </is>
      </c>
      <c r="E188" t="inlineStr">
        <is>
          <t>RAGUNDA</t>
        </is>
      </c>
      <c r="F188" t="inlineStr">
        <is>
          <t>SCA</t>
        </is>
      </c>
      <c r="G188" t="n">
        <v>1.6</v>
      </c>
      <c r="H188" t="n">
        <v>1</v>
      </c>
      <c r="I188" t="n">
        <v>0</v>
      </c>
      <c r="J188" t="n">
        <v>1</v>
      </c>
      <c r="K188" t="n">
        <v>0</v>
      </c>
      <c r="L188" t="n">
        <v>0</v>
      </c>
      <c r="M188" t="n">
        <v>0</v>
      </c>
      <c r="N188" t="n">
        <v>0</v>
      </c>
      <c r="O188" t="n">
        <v>1</v>
      </c>
      <c r="P188" t="n">
        <v>0</v>
      </c>
      <c r="Q188" t="n">
        <v>2</v>
      </c>
      <c r="R188" s="2" t="inlineStr">
        <is>
          <t>Lunglav
Fläcknycklar</t>
        </is>
      </c>
      <c r="S188">
        <f>HYPERLINK("https://klasma.github.io/Logging_2303/artfynd/A 45021-2023 artfynd.xlsx", "A 45021-2023")</f>
        <v/>
      </c>
      <c r="T188">
        <f>HYPERLINK("https://klasma.github.io/Logging_2303/kartor/A 45021-2023 karta.png", "A 45021-2023")</f>
        <v/>
      </c>
      <c r="V188">
        <f>HYPERLINK("https://klasma.github.io/Logging_2303/klagomål/A 45021-2023 FSC-klagomål.docx", "A 45021-2023")</f>
        <v/>
      </c>
      <c r="W188">
        <f>HYPERLINK("https://klasma.github.io/Logging_2303/klagomålsmail/A 45021-2023 FSC-klagomål mail.docx", "A 45021-2023")</f>
        <v/>
      </c>
      <c r="X188">
        <f>HYPERLINK("https://klasma.github.io/Logging_2303/tillsyn/A 45021-2023 tillsynsbegäran.docx", "A 45021-2023")</f>
        <v/>
      </c>
      <c r="Y188">
        <f>HYPERLINK("https://klasma.github.io/Logging_2303/tillsynsmail/A 45021-2023 tillsynsbegäran mail.docx", "A 45021-2023")</f>
        <v/>
      </c>
    </row>
    <row r="189" ht="15" customHeight="1">
      <c r="A189" t="inlineStr">
        <is>
          <t>A 44409-2023</t>
        </is>
      </c>
      <c r="B189" s="1" t="n">
        <v>45188</v>
      </c>
      <c r="C189" s="1" t="n">
        <v>46021</v>
      </c>
      <c r="D189" t="inlineStr">
        <is>
          <t>JÄMTLANDS LÄN</t>
        </is>
      </c>
      <c r="E189" t="inlineStr">
        <is>
          <t>RAGUNDA</t>
        </is>
      </c>
      <c r="F189" t="inlineStr">
        <is>
          <t>SCA</t>
        </is>
      </c>
      <c r="G189" t="n">
        <v>2.5</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17733-2022</t>
        </is>
      </c>
      <c r="B190" s="1" t="n">
        <v>44680</v>
      </c>
      <c r="C190" s="1" t="n">
        <v>46021</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62636-2025</t>
        </is>
      </c>
      <c r="B191" s="1" t="n">
        <v>46008.3653587963</v>
      </c>
      <c r="C191" s="1" t="n">
        <v>46021</v>
      </c>
      <c r="D191" t="inlineStr">
        <is>
          <t>JÄMTLANDS LÄN</t>
        </is>
      </c>
      <c r="E191" t="inlineStr">
        <is>
          <t>RAGUNDA</t>
        </is>
      </c>
      <c r="G191" t="n">
        <v>3.1</v>
      </c>
      <c r="H191" t="n">
        <v>1</v>
      </c>
      <c r="I191" t="n">
        <v>0</v>
      </c>
      <c r="J191" t="n">
        <v>2</v>
      </c>
      <c r="K191" t="n">
        <v>0</v>
      </c>
      <c r="L191" t="n">
        <v>0</v>
      </c>
      <c r="M191" t="n">
        <v>0</v>
      </c>
      <c r="N191" t="n">
        <v>0</v>
      </c>
      <c r="O191" t="n">
        <v>2</v>
      </c>
      <c r="P191" t="n">
        <v>0</v>
      </c>
      <c r="Q191" t="n">
        <v>2</v>
      </c>
      <c r="R191" s="2" t="inlineStr">
        <is>
          <t>Garnlav
Talltita</t>
        </is>
      </c>
      <c r="S191">
        <f>HYPERLINK("https://klasma.github.io/Logging_2303/artfynd/A 62636-2025 artfynd.xlsx", "A 62636-2025")</f>
        <v/>
      </c>
      <c r="T191">
        <f>HYPERLINK("https://klasma.github.io/Logging_2303/kartor/A 62636-2025 karta.png", "A 62636-2025")</f>
        <v/>
      </c>
      <c r="V191">
        <f>HYPERLINK("https://klasma.github.io/Logging_2303/klagomål/A 62636-2025 FSC-klagomål.docx", "A 62636-2025")</f>
        <v/>
      </c>
      <c r="W191">
        <f>HYPERLINK("https://klasma.github.io/Logging_2303/klagomålsmail/A 62636-2025 FSC-klagomål mail.docx", "A 62636-2025")</f>
        <v/>
      </c>
      <c r="X191">
        <f>HYPERLINK("https://klasma.github.io/Logging_2303/tillsyn/A 62636-2025 tillsynsbegäran.docx", "A 62636-2025")</f>
        <v/>
      </c>
      <c r="Y191">
        <f>HYPERLINK("https://klasma.github.io/Logging_2303/tillsynsmail/A 62636-2025 tillsynsbegäran mail.docx", "A 62636-2025")</f>
        <v/>
      </c>
      <c r="Z191">
        <f>HYPERLINK("https://klasma.github.io/Logging_2303/fåglar/A 62636-2025 prioriterade fågelarter.docx", "A 62636-2025")</f>
        <v/>
      </c>
    </row>
    <row r="192" ht="15" customHeight="1">
      <c r="A192" t="inlineStr">
        <is>
          <t>A 40826-2023</t>
        </is>
      </c>
      <c r="B192" s="1" t="n">
        <v>45171</v>
      </c>
      <c r="C192" s="1" t="n">
        <v>46021</v>
      </c>
      <c r="D192" t="inlineStr">
        <is>
          <t>JÄMTLANDS LÄN</t>
        </is>
      </c>
      <c r="E192" t="inlineStr">
        <is>
          <t>RAGUNDA</t>
        </is>
      </c>
      <c r="F192" t="inlineStr">
        <is>
          <t>SCA</t>
        </is>
      </c>
      <c r="G192" t="n">
        <v>4.5</v>
      </c>
      <c r="H192" t="n">
        <v>0</v>
      </c>
      <c r="I192" t="n">
        <v>1</v>
      </c>
      <c r="J192" t="n">
        <v>1</v>
      </c>
      <c r="K192" t="n">
        <v>0</v>
      </c>
      <c r="L192" t="n">
        <v>0</v>
      </c>
      <c r="M192" t="n">
        <v>0</v>
      </c>
      <c r="N192" t="n">
        <v>0</v>
      </c>
      <c r="O192" t="n">
        <v>1</v>
      </c>
      <c r="P192" t="n">
        <v>0</v>
      </c>
      <c r="Q192" t="n">
        <v>2</v>
      </c>
      <c r="R192" s="2" t="inlineStr">
        <is>
          <t>Lunglav
Stuplav</t>
        </is>
      </c>
      <c r="S192">
        <f>HYPERLINK("https://klasma.github.io/Logging_2303/artfynd/A 40826-2023 artfynd.xlsx", "A 40826-2023")</f>
        <v/>
      </c>
      <c r="T192">
        <f>HYPERLINK("https://klasma.github.io/Logging_2303/kartor/A 40826-2023 karta.png", "A 40826-2023")</f>
        <v/>
      </c>
      <c r="V192">
        <f>HYPERLINK("https://klasma.github.io/Logging_2303/klagomål/A 40826-2023 FSC-klagomål.docx", "A 40826-2023")</f>
        <v/>
      </c>
      <c r="W192">
        <f>HYPERLINK("https://klasma.github.io/Logging_2303/klagomålsmail/A 40826-2023 FSC-klagomål mail.docx", "A 40826-2023")</f>
        <v/>
      </c>
      <c r="X192">
        <f>HYPERLINK("https://klasma.github.io/Logging_2303/tillsyn/A 40826-2023 tillsynsbegäran.docx", "A 40826-2023")</f>
        <v/>
      </c>
      <c r="Y192">
        <f>HYPERLINK("https://klasma.github.io/Logging_2303/tillsynsmail/A 40826-2023 tillsynsbegäran mail.docx", "A 40826-2023")</f>
        <v/>
      </c>
    </row>
    <row r="193" ht="15" customHeight="1">
      <c r="A193" t="inlineStr">
        <is>
          <t>A 56634-2025</t>
        </is>
      </c>
      <c r="B193" s="1" t="n">
        <v>45975.61619212963</v>
      </c>
      <c r="C193" s="1" t="n">
        <v>46021</v>
      </c>
      <c r="D193" t="inlineStr">
        <is>
          <t>JÄMTLANDS LÄN</t>
        </is>
      </c>
      <c r="E193" t="inlineStr">
        <is>
          <t>RAGUNDA</t>
        </is>
      </c>
      <c r="F193" t="inlineStr">
        <is>
          <t>SCA</t>
        </is>
      </c>
      <c r="G193" t="n">
        <v>86.59999999999999</v>
      </c>
      <c r="H193" t="n">
        <v>0</v>
      </c>
      <c r="I193" t="n">
        <v>1</v>
      </c>
      <c r="J193" t="n">
        <v>1</v>
      </c>
      <c r="K193" t="n">
        <v>0</v>
      </c>
      <c r="L193" t="n">
        <v>0</v>
      </c>
      <c r="M193" t="n">
        <v>0</v>
      </c>
      <c r="N193" t="n">
        <v>0</v>
      </c>
      <c r="O193" t="n">
        <v>1</v>
      </c>
      <c r="P193" t="n">
        <v>0</v>
      </c>
      <c r="Q193" t="n">
        <v>2</v>
      </c>
      <c r="R193" s="2" t="inlineStr">
        <is>
          <t>Garnlav
Skuggblåslav</t>
        </is>
      </c>
      <c r="S193">
        <f>HYPERLINK("https://klasma.github.io/Logging_2303/artfynd/A 56634-2025 artfynd.xlsx", "A 56634-2025")</f>
        <v/>
      </c>
      <c r="T193">
        <f>HYPERLINK("https://klasma.github.io/Logging_2303/kartor/A 56634-2025 karta.png", "A 56634-2025")</f>
        <v/>
      </c>
      <c r="V193">
        <f>HYPERLINK("https://klasma.github.io/Logging_2303/klagomål/A 56634-2025 FSC-klagomål.docx", "A 56634-2025")</f>
        <v/>
      </c>
      <c r="W193">
        <f>HYPERLINK("https://klasma.github.io/Logging_2303/klagomålsmail/A 56634-2025 FSC-klagomål mail.docx", "A 56634-2025")</f>
        <v/>
      </c>
      <c r="X193">
        <f>HYPERLINK("https://klasma.github.io/Logging_2303/tillsyn/A 56634-2025 tillsynsbegäran.docx", "A 56634-2025")</f>
        <v/>
      </c>
      <c r="Y193">
        <f>HYPERLINK("https://klasma.github.io/Logging_2303/tillsynsmail/A 56634-2025 tillsynsbegäran mail.docx", "A 56634-2025")</f>
        <v/>
      </c>
    </row>
    <row r="194" ht="15" customHeight="1">
      <c r="A194" t="inlineStr">
        <is>
          <t>A 45035-2023</t>
        </is>
      </c>
      <c r="B194" s="1" t="n">
        <v>45191</v>
      </c>
      <c r="C194" s="1" t="n">
        <v>46021</v>
      </c>
      <c r="D194" t="inlineStr">
        <is>
          <t>JÄMTLANDS LÄN</t>
        </is>
      </c>
      <c r="E194" t="inlineStr">
        <is>
          <t>RAGUNDA</t>
        </is>
      </c>
      <c r="G194" t="n">
        <v>2.9</v>
      </c>
      <c r="H194" t="n">
        <v>0</v>
      </c>
      <c r="I194" t="n">
        <v>1</v>
      </c>
      <c r="J194" t="n">
        <v>1</v>
      </c>
      <c r="K194" t="n">
        <v>0</v>
      </c>
      <c r="L194" t="n">
        <v>0</v>
      </c>
      <c r="M194" t="n">
        <v>0</v>
      </c>
      <c r="N194" t="n">
        <v>0</v>
      </c>
      <c r="O194" t="n">
        <v>1</v>
      </c>
      <c r="P194" t="n">
        <v>0</v>
      </c>
      <c r="Q194" t="n">
        <v>2</v>
      </c>
      <c r="R194" s="2" t="inlineStr">
        <is>
          <t>Lunglav
Korallblylav</t>
        </is>
      </c>
      <c r="S194">
        <f>HYPERLINK("https://klasma.github.io/Logging_2303/artfynd/A 45035-2023 artfynd.xlsx", "A 45035-2023")</f>
        <v/>
      </c>
      <c r="T194">
        <f>HYPERLINK("https://klasma.github.io/Logging_2303/kartor/A 45035-2023 karta.png", "A 45035-2023")</f>
        <v/>
      </c>
      <c r="V194">
        <f>HYPERLINK("https://klasma.github.io/Logging_2303/klagomål/A 45035-2023 FSC-klagomål.docx", "A 45035-2023")</f>
        <v/>
      </c>
      <c r="W194">
        <f>HYPERLINK("https://klasma.github.io/Logging_2303/klagomålsmail/A 45035-2023 FSC-klagomål mail.docx", "A 45035-2023")</f>
        <v/>
      </c>
      <c r="X194">
        <f>HYPERLINK("https://klasma.github.io/Logging_2303/tillsyn/A 45035-2023 tillsynsbegäran.docx", "A 45035-2023")</f>
        <v/>
      </c>
      <c r="Y194">
        <f>HYPERLINK("https://klasma.github.io/Logging_2303/tillsynsmail/A 45035-2023 tillsynsbegäran mail.docx", "A 45035-2023")</f>
        <v/>
      </c>
    </row>
    <row r="195" ht="15" customHeight="1">
      <c r="A195" t="inlineStr">
        <is>
          <t>A 56285-2023</t>
        </is>
      </c>
      <c r="B195" s="1" t="n">
        <v>45241</v>
      </c>
      <c r="C195" s="1" t="n">
        <v>46021</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19728-2025</t>
        </is>
      </c>
      <c r="B196" s="1" t="n">
        <v>45771.36548611111</v>
      </c>
      <c r="C196" s="1" t="n">
        <v>46021</v>
      </c>
      <c r="D196" t="inlineStr">
        <is>
          <t>JÄMTLANDS LÄN</t>
        </is>
      </c>
      <c r="E196" t="inlineStr">
        <is>
          <t>RAGUNDA</t>
        </is>
      </c>
      <c r="F196" t="inlineStr">
        <is>
          <t>SCA</t>
        </is>
      </c>
      <c r="G196" t="n">
        <v>6.2</v>
      </c>
      <c r="H196" t="n">
        <v>1</v>
      </c>
      <c r="I196" t="n">
        <v>0</v>
      </c>
      <c r="J196" t="n">
        <v>2</v>
      </c>
      <c r="K196" t="n">
        <v>0</v>
      </c>
      <c r="L196" t="n">
        <v>0</v>
      </c>
      <c r="M196" t="n">
        <v>0</v>
      </c>
      <c r="N196" t="n">
        <v>0</v>
      </c>
      <c r="O196" t="n">
        <v>2</v>
      </c>
      <c r="P196" t="n">
        <v>0</v>
      </c>
      <c r="Q196" t="n">
        <v>2</v>
      </c>
      <c r="R196" s="2" t="inlineStr">
        <is>
          <t>Stjärntagging
Tretåig hackspett</t>
        </is>
      </c>
      <c r="S196">
        <f>HYPERLINK("https://klasma.github.io/Logging_2303/artfynd/A 19728-2025 artfynd.xlsx", "A 19728-2025")</f>
        <v/>
      </c>
      <c r="T196">
        <f>HYPERLINK("https://klasma.github.io/Logging_2303/kartor/A 19728-2025 karta.png", "A 19728-2025")</f>
        <v/>
      </c>
      <c r="V196">
        <f>HYPERLINK("https://klasma.github.io/Logging_2303/klagomål/A 19728-2025 FSC-klagomål.docx", "A 19728-2025")</f>
        <v/>
      </c>
      <c r="W196">
        <f>HYPERLINK("https://klasma.github.io/Logging_2303/klagomålsmail/A 19728-2025 FSC-klagomål mail.docx", "A 19728-2025")</f>
        <v/>
      </c>
      <c r="X196">
        <f>HYPERLINK("https://klasma.github.io/Logging_2303/tillsyn/A 19728-2025 tillsynsbegäran.docx", "A 19728-2025")</f>
        <v/>
      </c>
      <c r="Y196">
        <f>HYPERLINK("https://klasma.github.io/Logging_2303/tillsynsmail/A 19728-2025 tillsynsbegäran mail.docx", "A 19728-2025")</f>
        <v/>
      </c>
      <c r="Z196">
        <f>HYPERLINK("https://klasma.github.io/Logging_2303/fåglar/A 19728-2025 prioriterade fågelarter.docx", "A 19728-2025")</f>
        <v/>
      </c>
    </row>
    <row r="197" ht="15" customHeight="1">
      <c r="A197" t="inlineStr">
        <is>
          <t>A 51916-2021</t>
        </is>
      </c>
      <c r="B197" s="1" t="n">
        <v>44462</v>
      </c>
      <c r="C197" s="1" t="n">
        <v>46021</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46021</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46021</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46021</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46021</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46021</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20774-2024</t>
        </is>
      </c>
      <c r="B203" s="1" t="n">
        <v>45436.94644675926</v>
      </c>
      <c r="C203" s="1" t="n">
        <v>46021</v>
      </c>
      <c r="D203" t="inlineStr">
        <is>
          <t>JÄMTLANDS LÄN</t>
        </is>
      </c>
      <c r="E203" t="inlineStr">
        <is>
          <t>RAGUNDA</t>
        </is>
      </c>
      <c r="F203" t="inlineStr">
        <is>
          <t>SCA</t>
        </is>
      </c>
      <c r="G203" t="n">
        <v>2.3</v>
      </c>
      <c r="H203" t="n">
        <v>0</v>
      </c>
      <c r="I203" t="n">
        <v>1</v>
      </c>
      <c r="J203" t="n">
        <v>0</v>
      </c>
      <c r="K203" t="n">
        <v>0</v>
      </c>
      <c r="L203" t="n">
        <v>0</v>
      </c>
      <c r="M203" t="n">
        <v>0</v>
      </c>
      <c r="N203" t="n">
        <v>0</v>
      </c>
      <c r="O203" t="n">
        <v>0</v>
      </c>
      <c r="P203" t="n">
        <v>0</v>
      </c>
      <c r="Q203" t="n">
        <v>1</v>
      </c>
      <c r="R203" s="2" t="inlineStr">
        <is>
          <t>Fjällig taggsvamp s.str.</t>
        </is>
      </c>
      <c r="S203">
        <f>HYPERLINK("https://klasma.github.io/Logging_2303/artfynd/A 20774-2024 artfynd.xlsx", "A 20774-2024")</f>
        <v/>
      </c>
      <c r="T203">
        <f>HYPERLINK("https://klasma.github.io/Logging_2303/kartor/A 20774-2024 karta.png", "A 20774-2024")</f>
        <v/>
      </c>
      <c r="V203">
        <f>HYPERLINK("https://klasma.github.io/Logging_2303/klagomål/A 20774-2024 FSC-klagomål.docx", "A 20774-2024")</f>
        <v/>
      </c>
      <c r="W203">
        <f>HYPERLINK("https://klasma.github.io/Logging_2303/klagomålsmail/A 20774-2024 FSC-klagomål mail.docx", "A 20774-2024")</f>
        <v/>
      </c>
      <c r="X203">
        <f>HYPERLINK("https://klasma.github.io/Logging_2303/tillsyn/A 20774-2024 tillsynsbegäran.docx", "A 20774-2024")</f>
        <v/>
      </c>
      <c r="Y203">
        <f>HYPERLINK("https://klasma.github.io/Logging_2303/tillsynsmail/A 20774-2024 tillsynsbegäran mail.docx", "A 20774-2024")</f>
        <v/>
      </c>
    </row>
    <row r="204" ht="15" customHeight="1">
      <c r="A204" t="inlineStr">
        <is>
          <t>A 26317-2024</t>
        </is>
      </c>
      <c r="B204" s="1" t="n">
        <v>45468</v>
      </c>
      <c r="C204" s="1" t="n">
        <v>46021</v>
      </c>
      <c r="D204" t="inlineStr">
        <is>
          <t>JÄMTLANDS LÄN</t>
        </is>
      </c>
      <c r="E204" t="inlineStr">
        <is>
          <t>RAGUNDA</t>
        </is>
      </c>
      <c r="F204" t="inlineStr">
        <is>
          <t>SCA</t>
        </is>
      </c>
      <c r="G204" t="n">
        <v>3.8</v>
      </c>
      <c r="H204" t="n">
        <v>0</v>
      </c>
      <c r="I204" t="n">
        <v>0</v>
      </c>
      <c r="J204" t="n">
        <v>1</v>
      </c>
      <c r="K204" t="n">
        <v>0</v>
      </c>
      <c r="L204" t="n">
        <v>0</v>
      </c>
      <c r="M204" t="n">
        <v>0</v>
      </c>
      <c r="N204" t="n">
        <v>0</v>
      </c>
      <c r="O204" t="n">
        <v>1</v>
      </c>
      <c r="P204" t="n">
        <v>0</v>
      </c>
      <c r="Q204" t="n">
        <v>1</v>
      </c>
      <c r="R204" s="2" t="inlineStr">
        <is>
          <t>Kortskaftad ärgspik</t>
        </is>
      </c>
      <c r="S204">
        <f>HYPERLINK("https://klasma.github.io/Logging_2303/artfynd/A 26317-2024 artfynd.xlsx", "A 26317-2024")</f>
        <v/>
      </c>
      <c r="T204">
        <f>HYPERLINK("https://klasma.github.io/Logging_2303/kartor/A 26317-2024 karta.png", "A 26317-2024")</f>
        <v/>
      </c>
      <c r="V204">
        <f>HYPERLINK("https://klasma.github.io/Logging_2303/klagomål/A 26317-2024 FSC-klagomål.docx", "A 26317-2024")</f>
        <v/>
      </c>
      <c r="W204">
        <f>HYPERLINK("https://klasma.github.io/Logging_2303/klagomålsmail/A 26317-2024 FSC-klagomål mail.docx", "A 26317-2024")</f>
        <v/>
      </c>
      <c r="X204">
        <f>HYPERLINK("https://klasma.github.io/Logging_2303/tillsyn/A 26317-2024 tillsynsbegäran.docx", "A 26317-2024")</f>
        <v/>
      </c>
      <c r="Y204">
        <f>HYPERLINK("https://klasma.github.io/Logging_2303/tillsynsmail/A 26317-2024 tillsynsbegäran mail.docx", "A 26317-2024")</f>
        <v/>
      </c>
    </row>
    <row r="205" ht="15" customHeight="1">
      <c r="A205" t="inlineStr">
        <is>
          <t>A 29921-2024</t>
        </is>
      </c>
      <c r="B205" s="1" t="n">
        <v>45487.92863425926</v>
      </c>
      <c r="C205" s="1" t="n">
        <v>46021</v>
      </c>
      <c r="D205" t="inlineStr">
        <is>
          <t>JÄMTLANDS LÄN</t>
        </is>
      </c>
      <c r="E205" t="inlineStr">
        <is>
          <t>RAGUNDA</t>
        </is>
      </c>
      <c r="G205" t="n">
        <v>1.6</v>
      </c>
      <c r="H205" t="n">
        <v>1</v>
      </c>
      <c r="I205" t="n">
        <v>0</v>
      </c>
      <c r="J205" t="n">
        <v>0</v>
      </c>
      <c r="K205" t="n">
        <v>1</v>
      </c>
      <c r="L205" t="n">
        <v>0</v>
      </c>
      <c r="M205" t="n">
        <v>0</v>
      </c>
      <c r="N205" t="n">
        <v>0</v>
      </c>
      <c r="O205" t="n">
        <v>1</v>
      </c>
      <c r="P205" t="n">
        <v>1</v>
      </c>
      <c r="Q205" t="n">
        <v>1</v>
      </c>
      <c r="R205" s="2" t="inlineStr">
        <is>
          <t>Knärot</t>
        </is>
      </c>
      <c r="S205">
        <f>HYPERLINK("https://klasma.github.io/Logging_2303/artfynd/A 29921-2024 artfynd.xlsx", "A 29921-2024")</f>
        <v/>
      </c>
      <c r="T205">
        <f>HYPERLINK("https://klasma.github.io/Logging_2303/kartor/A 29921-2024 karta.png", "A 29921-2024")</f>
        <v/>
      </c>
      <c r="U205">
        <f>HYPERLINK("https://klasma.github.io/Logging_2303/knärot/A 29921-2024 karta knärot.png", "A 29921-2024")</f>
        <v/>
      </c>
      <c r="V205">
        <f>HYPERLINK("https://klasma.github.io/Logging_2303/klagomål/A 29921-2024 FSC-klagomål.docx", "A 29921-2024")</f>
        <v/>
      </c>
      <c r="W205">
        <f>HYPERLINK("https://klasma.github.io/Logging_2303/klagomålsmail/A 29921-2024 FSC-klagomål mail.docx", "A 29921-2024")</f>
        <v/>
      </c>
      <c r="X205">
        <f>HYPERLINK("https://klasma.github.io/Logging_2303/tillsyn/A 29921-2024 tillsynsbegäran.docx", "A 29921-2024")</f>
        <v/>
      </c>
      <c r="Y205">
        <f>HYPERLINK("https://klasma.github.io/Logging_2303/tillsynsmail/A 29921-2024 tillsynsbegäran mail.docx", "A 29921-2024")</f>
        <v/>
      </c>
    </row>
    <row r="206" ht="15" customHeight="1">
      <c r="A206" t="inlineStr">
        <is>
          <t>A 30485-2024</t>
        </is>
      </c>
      <c r="B206" s="1" t="n">
        <v>45491.95008101852</v>
      </c>
      <c r="C206" s="1" t="n">
        <v>46021</v>
      </c>
      <c r="D206" t="inlineStr">
        <is>
          <t>JÄMTLANDS LÄN</t>
        </is>
      </c>
      <c r="E206" t="inlineStr">
        <is>
          <t>RAGUNDA</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HYPERLINK("https://klasma.github.io/Logging_2303/artfynd/A 30485-2024 artfynd.xlsx", "A 30485-2024")</f>
        <v/>
      </c>
      <c r="T206">
        <f>HYPERLINK("https://klasma.github.io/Logging_2303/kartor/A 30485-2024 karta.png", "A 30485-2024")</f>
        <v/>
      </c>
      <c r="V206">
        <f>HYPERLINK("https://klasma.github.io/Logging_2303/klagomål/A 30485-2024 FSC-klagomål.docx", "A 30485-2024")</f>
        <v/>
      </c>
      <c r="W206">
        <f>HYPERLINK("https://klasma.github.io/Logging_2303/klagomålsmail/A 30485-2024 FSC-klagomål mail.docx", "A 30485-2024")</f>
        <v/>
      </c>
      <c r="X206">
        <f>HYPERLINK("https://klasma.github.io/Logging_2303/tillsyn/A 30485-2024 tillsynsbegäran.docx", "A 30485-2024")</f>
        <v/>
      </c>
      <c r="Y206">
        <f>HYPERLINK("https://klasma.github.io/Logging_2303/tillsynsmail/A 30485-2024 tillsynsbegäran mail.docx", "A 30485-2024")</f>
        <v/>
      </c>
    </row>
    <row r="207" ht="15" customHeight="1">
      <c r="A207" t="inlineStr">
        <is>
          <t>A 16316-2025</t>
        </is>
      </c>
      <c r="B207" s="1" t="n">
        <v>45751.34795138889</v>
      </c>
      <c r="C207" s="1" t="n">
        <v>46021</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31773-2021</t>
        </is>
      </c>
      <c r="B208" s="1" t="n">
        <v>44369</v>
      </c>
      <c r="C208" s="1" t="n">
        <v>46021</v>
      </c>
      <c r="D208" t="inlineStr">
        <is>
          <t>JÄMTLANDS LÄN</t>
        </is>
      </c>
      <c r="E208" t="inlineStr">
        <is>
          <t>RAGUNDA</t>
        </is>
      </c>
      <c r="G208" t="n">
        <v>0.8</v>
      </c>
      <c r="H208" t="n">
        <v>0</v>
      </c>
      <c r="I208" t="n">
        <v>0</v>
      </c>
      <c r="J208" t="n">
        <v>0</v>
      </c>
      <c r="K208" t="n">
        <v>1</v>
      </c>
      <c r="L208" t="n">
        <v>0</v>
      </c>
      <c r="M208" t="n">
        <v>0</v>
      </c>
      <c r="N208" t="n">
        <v>0</v>
      </c>
      <c r="O208" t="n">
        <v>1</v>
      </c>
      <c r="P208" t="n">
        <v>1</v>
      </c>
      <c r="Q208" t="n">
        <v>1</v>
      </c>
      <c r="R208" s="2" t="inlineStr">
        <is>
          <t>Strandsandjägare</t>
        </is>
      </c>
      <c r="S208">
        <f>HYPERLINK("https://klasma.github.io/Logging_2303/artfynd/A 31773-2021 artfynd.xlsx", "A 31773-2021")</f>
        <v/>
      </c>
      <c r="T208">
        <f>HYPERLINK("https://klasma.github.io/Logging_2303/kartor/A 31773-2021 karta.png", "A 31773-2021")</f>
        <v/>
      </c>
      <c r="V208">
        <f>HYPERLINK("https://klasma.github.io/Logging_2303/klagomål/A 31773-2021 FSC-klagomål.docx", "A 31773-2021")</f>
        <v/>
      </c>
      <c r="W208">
        <f>HYPERLINK("https://klasma.github.io/Logging_2303/klagomålsmail/A 31773-2021 FSC-klagomål mail.docx", "A 31773-2021")</f>
        <v/>
      </c>
      <c r="X208">
        <f>HYPERLINK("https://klasma.github.io/Logging_2303/tillsyn/A 31773-2021 tillsynsbegäran.docx", "A 31773-2021")</f>
        <v/>
      </c>
      <c r="Y208">
        <f>HYPERLINK("https://klasma.github.io/Logging_2303/tillsynsmail/A 31773-2021 tillsynsbegäran mail.docx", "A 31773-2021")</f>
        <v/>
      </c>
    </row>
    <row r="209" ht="15" customHeight="1">
      <c r="A209" t="inlineStr">
        <is>
          <t>A 1057-2024</t>
        </is>
      </c>
      <c r="B209" s="1" t="n">
        <v>45301</v>
      </c>
      <c r="C209" s="1" t="n">
        <v>46021</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978-2024</t>
        </is>
      </c>
      <c r="B210" s="1" t="n">
        <v>45301</v>
      </c>
      <c r="C210" s="1" t="n">
        <v>46021</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59104-2023</t>
        </is>
      </c>
      <c r="B211" s="1" t="n">
        <v>45252</v>
      </c>
      <c r="C211" s="1" t="n">
        <v>46021</v>
      </c>
      <c r="D211" t="inlineStr">
        <is>
          <t>JÄMTLANDS LÄN</t>
        </is>
      </c>
      <c r="E211" t="inlineStr">
        <is>
          <t>RAGUNDA</t>
        </is>
      </c>
      <c r="F211" t="inlineStr">
        <is>
          <t>SCA</t>
        </is>
      </c>
      <c r="G211" t="n">
        <v>4.2</v>
      </c>
      <c r="H211" t="n">
        <v>0</v>
      </c>
      <c r="I211" t="n">
        <v>0</v>
      </c>
      <c r="J211" t="n">
        <v>1</v>
      </c>
      <c r="K211" t="n">
        <v>0</v>
      </c>
      <c r="L211" t="n">
        <v>0</v>
      </c>
      <c r="M211" t="n">
        <v>0</v>
      </c>
      <c r="N211" t="n">
        <v>0</v>
      </c>
      <c r="O211" t="n">
        <v>1</v>
      </c>
      <c r="P211" t="n">
        <v>0</v>
      </c>
      <c r="Q211" t="n">
        <v>1</v>
      </c>
      <c r="R211" s="2" t="inlineStr">
        <is>
          <t>Ullticka</t>
        </is>
      </c>
      <c r="S211">
        <f>HYPERLINK("https://klasma.github.io/Logging_2303/artfynd/A 59104-2023 artfynd.xlsx", "A 59104-2023")</f>
        <v/>
      </c>
      <c r="T211">
        <f>HYPERLINK("https://klasma.github.io/Logging_2303/kartor/A 59104-2023 karta.png", "A 59104-2023")</f>
        <v/>
      </c>
      <c r="V211">
        <f>HYPERLINK("https://klasma.github.io/Logging_2303/klagomål/A 59104-2023 FSC-klagomål.docx", "A 59104-2023")</f>
        <v/>
      </c>
      <c r="W211">
        <f>HYPERLINK("https://klasma.github.io/Logging_2303/klagomålsmail/A 59104-2023 FSC-klagomål mail.docx", "A 59104-2023")</f>
        <v/>
      </c>
      <c r="X211">
        <f>HYPERLINK("https://klasma.github.io/Logging_2303/tillsyn/A 59104-2023 tillsynsbegäran.docx", "A 59104-2023")</f>
        <v/>
      </c>
      <c r="Y211">
        <f>HYPERLINK("https://klasma.github.io/Logging_2303/tillsynsmail/A 59104-2023 tillsynsbegäran mail.docx", "A 59104-2023")</f>
        <v/>
      </c>
    </row>
    <row r="212" ht="15" customHeight="1">
      <c r="A212" t="inlineStr">
        <is>
          <t>A 48477-2023</t>
        </is>
      </c>
      <c r="B212" s="1" t="n">
        <v>45206</v>
      </c>
      <c r="C212" s="1" t="n">
        <v>46021</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48477-2023 artfynd.xlsx", "A 48477-2023")</f>
        <v/>
      </c>
      <c r="T212">
        <f>HYPERLINK("https://klasma.github.io/Logging_2303/kartor/A 48477-2023 karta.png", "A 48477-2023")</f>
        <v/>
      </c>
      <c r="V212">
        <f>HYPERLINK("https://klasma.github.io/Logging_2303/klagomål/A 48477-2023 FSC-klagomål.docx", "A 48477-2023")</f>
        <v/>
      </c>
      <c r="W212">
        <f>HYPERLINK("https://klasma.github.io/Logging_2303/klagomålsmail/A 48477-2023 FSC-klagomål mail.docx", "A 48477-2023")</f>
        <v/>
      </c>
      <c r="X212">
        <f>HYPERLINK("https://klasma.github.io/Logging_2303/tillsyn/A 48477-2023 tillsynsbegäran.docx", "A 48477-2023")</f>
        <v/>
      </c>
      <c r="Y212">
        <f>HYPERLINK("https://klasma.github.io/Logging_2303/tillsynsmail/A 48477-2023 tillsynsbegäran mail.docx", "A 48477-2023")</f>
        <v/>
      </c>
    </row>
    <row r="213" ht="15" customHeight="1">
      <c r="A213" t="inlineStr">
        <is>
          <t>A 40841-2025</t>
        </is>
      </c>
      <c r="B213" s="1" t="n">
        <v>45897.531875</v>
      </c>
      <c r="C213" s="1" t="n">
        <v>46021</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23930-2024</t>
        </is>
      </c>
      <c r="B214" s="1" t="n">
        <v>45455.96184027778</v>
      </c>
      <c r="C214" s="1" t="n">
        <v>46021</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18985-2023</t>
        </is>
      </c>
      <c r="B215" s="1" t="n">
        <v>45044</v>
      </c>
      <c r="C215" s="1" t="n">
        <v>46021</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Doftskinn</t>
        </is>
      </c>
      <c r="S215">
        <f>HYPERLINK("https://klasma.github.io/Logging_2303/artfynd/A 18985-2023 artfynd.xlsx", "A 18985-2023")</f>
        <v/>
      </c>
      <c r="T215">
        <f>HYPERLINK("https://klasma.github.io/Logging_2303/kartor/A 18985-2023 karta.png", "A 18985-2023")</f>
        <v/>
      </c>
      <c r="V215">
        <f>HYPERLINK("https://klasma.github.io/Logging_2303/klagomål/A 18985-2023 FSC-klagomål.docx", "A 18985-2023")</f>
        <v/>
      </c>
      <c r="W215">
        <f>HYPERLINK("https://klasma.github.io/Logging_2303/klagomålsmail/A 18985-2023 FSC-klagomål mail.docx", "A 18985-2023")</f>
        <v/>
      </c>
      <c r="X215">
        <f>HYPERLINK("https://klasma.github.io/Logging_2303/tillsyn/A 18985-2023 tillsynsbegäran.docx", "A 18985-2023")</f>
        <v/>
      </c>
      <c r="Y215">
        <f>HYPERLINK("https://klasma.github.io/Logging_2303/tillsynsmail/A 18985-2023 tillsynsbegäran mail.docx", "A 18985-2023")</f>
        <v/>
      </c>
    </row>
    <row r="216" ht="15" customHeight="1">
      <c r="A216" t="inlineStr">
        <is>
          <t>A 6703-2024</t>
        </is>
      </c>
      <c r="B216" s="1" t="n">
        <v>45341</v>
      </c>
      <c r="C216" s="1" t="n">
        <v>46021</v>
      </c>
      <c r="D216" t="inlineStr">
        <is>
          <t>JÄMTLANDS LÄN</t>
        </is>
      </c>
      <c r="E216" t="inlineStr">
        <is>
          <t>RAGUNDA</t>
        </is>
      </c>
      <c r="F216" t="inlineStr">
        <is>
          <t>SCA</t>
        </is>
      </c>
      <c r="G216" t="n">
        <v>2.4</v>
      </c>
      <c r="H216" t="n">
        <v>0</v>
      </c>
      <c r="I216" t="n">
        <v>0</v>
      </c>
      <c r="J216" t="n">
        <v>1</v>
      </c>
      <c r="K216" t="n">
        <v>0</v>
      </c>
      <c r="L216" t="n">
        <v>0</v>
      </c>
      <c r="M216" t="n">
        <v>0</v>
      </c>
      <c r="N216" t="n">
        <v>0</v>
      </c>
      <c r="O216" t="n">
        <v>1</v>
      </c>
      <c r="P216" t="n">
        <v>0</v>
      </c>
      <c r="Q216" t="n">
        <v>1</v>
      </c>
      <c r="R216" s="2" t="inlineStr">
        <is>
          <t>Vitgrynig nållav</t>
        </is>
      </c>
      <c r="S216">
        <f>HYPERLINK("https://klasma.github.io/Logging_2303/artfynd/A 6703-2024 artfynd.xlsx", "A 6703-2024")</f>
        <v/>
      </c>
      <c r="T216">
        <f>HYPERLINK("https://klasma.github.io/Logging_2303/kartor/A 6703-2024 karta.png", "A 6703-2024")</f>
        <v/>
      </c>
      <c r="V216">
        <f>HYPERLINK("https://klasma.github.io/Logging_2303/klagomål/A 6703-2024 FSC-klagomål.docx", "A 6703-2024")</f>
        <v/>
      </c>
      <c r="W216">
        <f>HYPERLINK("https://klasma.github.io/Logging_2303/klagomålsmail/A 6703-2024 FSC-klagomål mail.docx", "A 6703-2024")</f>
        <v/>
      </c>
      <c r="X216">
        <f>HYPERLINK("https://klasma.github.io/Logging_2303/tillsyn/A 6703-2024 tillsynsbegäran.docx", "A 6703-2024")</f>
        <v/>
      </c>
      <c r="Y216">
        <f>HYPERLINK("https://klasma.github.io/Logging_2303/tillsynsmail/A 6703-2024 tillsynsbegäran mail.docx", "A 6703-2024")</f>
        <v/>
      </c>
    </row>
    <row r="217" ht="15" customHeight="1">
      <c r="A217" t="inlineStr">
        <is>
          <t>A 24443-2024</t>
        </is>
      </c>
      <c r="B217" s="1" t="n">
        <v>45457.9640625</v>
      </c>
      <c r="C217" s="1" t="n">
        <v>46021</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48429-2023</t>
        </is>
      </c>
      <c r="B218" s="1" t="n">
        <v>45205</v>
      </c>
      <c r="C218" s="1" t="n">
        <v>46021</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11040-2023</t>
        </is>
      </c>
      <c r="B219" s="1" t="n">
        <v>44991</v>
      </c>
      <c r="C219" s="1" t="n">
        <v>46021</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43526-2025</t>
        </is>
      </c>
      <c r="B220" s="1" t="n">
        <v>45911</v>
      </c>
      <c r="C220" s="1" t="n">
        <v>46021</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49091-2022</t>
        </is>
      </c>
      <c r="B221" s="1" t="n">
        <v>44860</v>
      </c>
      <c r="C221" s="1" t="n">
        <v>46021</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58846-2024</t>
        </is>
      </c>
      <c r="B222" s="1" t="n">
        <v>45636.3863425926</v>
      </c>
      <c r="C222" s="1" t="n">
        <v>46021</v>
      </c>
      <c r="D222" t="inlineStr">
        <is>
          <t>JÄMTLANDS LÄN</t>
        </is>
      </c>
      <c r="E222" t="inlineStr">
        <is>
          <t>RAGUNDA</t>
        </is>
      </c>
      <c r="F222" t="inlineStr">
        <is>
          <t>SCA</t>
        </is>
      </c>
      <c r="G222" t="n">
        <v>1.5</v>
      </c>
      <c r="H222" t="n">
        <v>0</v>
      </c>
      <c r="I222" t="n">
        <v>0</v>
      </c>
      <c r="J222" t="n">
        <v>0</v>
      </c>
      <c r="K222" t="n">
        <v>1</v>
      </c>
      <c r="L222" t="n">
        <v>0</v>
      </c>
      <c r="M222" t="n">
        <v>0</v>
      </c>
      <c r="N222" t="n">
        <v>0</v>
      </c>
      <c r="O222" t="n">
        <v>1</v>
      </c>
      <c r="P222" t="n">
        <v>1</v>
      </c>
      <c r="Q222" t="n">
        <v>1</v>
      </c>
      <c r="R222" s="2" t="inlineStr">
        <is>
          <t>Rynkskinn</t>
        </is>
      </c>
      <c r="S222">
        <f>HYPERLINK("https://klasma.github.io/Logging_2303/artfynd/A 58846-2024 artfynd.xlsx", "A 58846-2024")</f>
        <v/>
      </c>
      <c r="T222">
        <f>HYPERLINK("https://klasma.github.io/Logging_2303/kartor/A 58846-2024 karta.png", "A 58846-2024")</f>
        <v/>
      </c>
      <c r="V222">
        <f>HYPERLINK("https://klasma.github.io/Logging_2303/klagomål/A 58846-2024 FSC-klagomål.docx", "A 58846-2024")</f>
        <v/>
      </c>
      <c r="W222">
        <f>HYPERLINK("https://klasma.github.io/Logging_2303/klagomålsmail/A 58846-2024 FSC-klagomål mail.docx", "A 58846-2024")</f>
        <v/>
      </c>
      <c r="X222">
        <f>HYPERLINK("https://klasma.github.io/Logging_2303/tillsyn/A 58846-2024 tillsynsbegäran.docx", "A 58846-2024")</f>
        <v/>
      </c>
      <c r="Y222">
        <f>HYPERLINK("https://klasma.github.io/Logging_2303/tillsynsmail/A 58846-2024 tillsynsbegäran mail.docx", "A 58846-2024")</f>
        <v/>
      </c>
    </row>
    <row r="223" ht="15" customHeight="1">
      <c r="A223" t="inlineStr">
        <is>
          <t>A 26322-2024</t>
        </is>
      </c>
      <c r="B223" s="1" t="n">
        <v>45468.97461805555</v>
      </c>
      <c r="C223" s="1" t="n">
        <v>46021</v>
      </c>
      <c r="D223" t="inlineStr">
        <is>
          <t>JÄMTLANDS LÄN</t>
        </is>
      </c>
      <c r="E223" t="inlineStr">
        <is>
          <t>RAGUNDA</t>
        </is>
      </c>
      <c r="F223" t="inlineStr">
        <is>
          <t>SCA</t>
        </is>
      </c>
      <c r="G223" t="n">
        <v>9.6</v>
      </c>
      <c r="H223" t="n">
        <v>0</v>
      </c>
      <c r="I223" t="n">
        <v>0</v>
      </c>
      <c r="J223" t="n">
        <v>1</v>
      </c>
      <c r="K223" t="n">
        <v>0</v>
      </c>
      <c r="L223" t="n">
        <v>0</v>
      </c>
      <c r="M223" t="n">
        <v>0</v>
      </c>
      <c r="N223" t="n">
        <v>0</v>
      </c>
      <c r="O223" t="n">
        <v>1</v>
      </c>
      <c r="P223" t="n">
        <v>0</v>
      </c>
      <c r="Q223" t="n">
        <v>1</v>
      </c>
      <c r="R223" s="2" t="inlineStr">
        <is>
          <t>Rosenticka</t>
        </is>
      </c>
      <c r="S223">
        <f>HYPERLINK("https://klasma.github.io/Logging_2303/artfynd/A 26322-2024 artfynd.xlsx", "A 26322-2024")</f>
        <v/>
      </c>
      <c r="T223">
        <f>HYPERLINK("https://klasma.github.io/Logging_2303/kartor/A 26322-2024 karta.png", "A 26322-2024")</f>
        <v/>
      </c>
      <c r="U223">
        <f>HYPERLINK("https://klasma.github.io/Logging_2303/knärot/A 26322-2024 karta knärot.png", "A 26322-2024")</f>
        <v/>
      </c>
      <c r="V223">
        <f>HYPERLINK("https://klasma.github.io/Logging_2303/klagomål/A 26322-2024 FSC-klagomål.docx", "A 26322-2024")</f>
        <v/>
      </c>
      <c r="W223">
        <f>HYPERLINK("https://klasma.github.io/Logging_2303/klagomålsmail/A 26322-2024 FSC-klagomål mail.docx", "A 26322-2024")</f>
        <v/>
      </c>
      <c r="X223">
        <f>HYPERLINK("https://klasma.github.io/Logging_2303/tillsyn/A 26322-2024 tillsynsbegäran.docx", "A 26322-2024")</f>
        <v/>
      </c>
      <c r="Y223">
        <f>HYPERLINK("https://klasma.github.io/Logging_2303/tillsynsmail/A 26322-2024 tillsynsbegäran mail.docx", "A 26322-2024")</f>
        <v/>
      </c>
    </row>
    <row r="224" ht="15" customHeight="1">
      <c r="A224" t="inlineStr">
        <is>
          <t>A 21212-2025</t>
        </is>
      </c>
      <c r="B224" s="1" t="n">
        <v>45779.48993055556</v>
      </c>
      <c r="C224" s="1" t="n">
        <v>46021</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Garnlav</t>
        </is>
      </c>
      <c r="S224">
        <f>HYPERLINK("https://klasma.github.io/Logging_2303/artfynd/A 21212-2025 artfynd.xlsx", "A 21212-2025")</f>
        <v/>
      </c>
      <c r="T224">
        <f>HYPERLINK("https://klasma.github.io/Logging_2303/kartor/A 21212-2025 karta.png", "A 21212-2025")</f>
        <v/>
      </c>
      <c r="V224">
        <f>HYPERLINK("https://klasma.github.io/Logging_2303/klagomål/A 21212-2025 FSC-klagomål.docx", "A 21212-2025")</f>
        <v/>
      </c>
      <c r="W224">
        <f>HYPERLINK("https://klasma.github.io/Logging_2303/klagomålsmail/A 21212-2025 FSC-klagomål mail.docx", "A 21212-2025")</f>
        <v/>
      </c>
      <c r="X224">
        <f>HYPERLINK("https://klasma.github.io/Logging_2303/tillsyn/A 21212-2025 tillsynsbegäran.docx", "A 21212-2025")</f>
        <v/>
      </c>
      <c r="Y224">
        <f>HYPERLINK("https://klasma.github.io/Logging_2303/tillsynsmail/A 21212-2025 tillsynsbegäran mail.docx", "A 21212-2025")</f>
        <v/>
      </c>
    </row>
    <row r="225" ht="15" customHeight="1">
      <c r="A225" t="inlineStr">
        <is>
          <t>A 44066-2024</t>
        </is>
      </c>
      <c r="B225" s="1" t="n">
        <v>45572.60363425926</v>
      </c>
      <c r="C225" s="1" t="n">
        <v>46021</v>
      </c>
      <c r="D225" t="inlineStr">
        <is>
          <t>JÄMTLANDS LÄN</t>
        </is>
      </c>
      <c r="E225" t="inlineStr">
        <is>
          <t>RAGUNDA</t>
        </is>
      </c>
      <c r="G225" t="n">
        <v>6.4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44066-2024 artfynd.xlsx", "A 44066-2024")</f>
        <v/>
      </c>
      <c r="T225">
        <f>HYPERLINK("https://klasma.github.io/Logging_2303/kartor/A 44066-2024 karta.png", "A 44066-2024")</f>
        <v/>
      </c>
      <c r="V225">
        <f>HYPERLINK("https://klasma.github.io/Logging_2303/klagomål/A 44066-2024 FSC-klagomål.docx", "A 44066-2024")</f>
        <v/>
      </c>
      <c r="W225">
        <f>HYPERLINK("https://klasma.github.io/Logging_2303/klagomålsmail/A 44066-2024 FSC-klagomål mail.docx", "A 44066-2024")</f>
        <v/>
      </c>
      <c r="X225">
        <f>HYPERLINK("https://klasma.github.io/Logging_2303/tillsyn/A 44066-2024 tillsynsbegäran.docx", "A 44066-2024")</f>
        <v/>
      </c>
      <c r="Y225">
        <f>HYPERLINK("https://klasma.github.io/Logging_2303/tillsynsmail/A 44066-2024 tillsynsbegäran mail.docx", "A 44066-2024")</f>
        <v/>
      </c>
      <c r="Z225">
        <f>HYPERLINK("https://klasma.github.io/Logging_2303/fåglar/A 44066-2024 prioriterade fågelarter.docx", "A 44066-2024")</f>
        <v/>
      </c>
    </row>
    <row r="226" ht="15" customHeight="1">
      <c r="A226" t="inlineStr">
        <is>
          <t>A 36854-2023</t>
        </is>
      </c>
      <c r="B226" s="1" t="n">
        <v>45153</v>
      </c>
      <c r="C226" s="1" t="n">
        <v>46021</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46021</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46021</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57479-2025</t>
        </is>
      </c>
      <c r="B229" s="1" t="n">
        <v>45980.5737037037</v>
      </c>
      <c r="C229" s="1" t="n">
        <v>46021</v>
      </c>
      <c r="D229" t="inlineStr">
        <is>
          <t>JÄMTLANDS LÄN</t>
        </is>
      </c>
      <c r="E229" t="inlineStr">
        <is>
          <t>RAGUNDA</t>
        </is>
      </c>
      <c r="F229" t="inlineStr">
        <is>
          <t>SCA</t>
        </is>
      </c>
      <c r="G229" t="n">
        <v>12</v>
      </c>
      <c r="H229" t="n">
        <v>0</v>
      </c>
      <c r="I229" t="n">
        <v>0</v>
      </c>
      <c r="J229" t="n">
        <v>1</v>
      </c>
      <c r="K229" t="n">
        <v>0</v>
      </c>
      <c r="L229" t="n">
        <v>0</v>
      </c>
      <c r="M229" t="n">
        <v>0</v>
      </c>
      <c r="N229" t="n">
        <v>0</v>
      </c>
      <c r="O229" t="n">
        <v>1</v>
      </c>
      <c r="P229" t="n">
        <v>0</v>
      </c>
      <c r="Q229" t="n">
        <v>1</v>
      </c>
      <c r="R229" s="2" t="inlineStr">
        <is>
          <t>Kolflarnlav</t>
        </is>
      </c>
      <c r="S229">
        <f>HYPERLINK("https://klasma.github.io/Logging_2303/artfynd/A 57479-2025 artfynd.xlsx", "A 57479-2025")</f>
        <v/>
      </c>
      <c r="T229">
        <f>HYPERLINK("https://klasma.github.io/Logging_2303/kartor/A 57479-2025 karta.png", "A 57479-2025")</f>
        <v/>
      </c>
      <c r="V229">
        <f>HYPERLINK("https://klasma.github.io/Logging_2303/klagomål/A 57479-2025 FSC-klagomål.docx", "A 57479-2025")</f>
        <v/>
      </c>
      <c r="W229">
        <f>HYPERLINK("https://klasma.github.io/Logging_2303/klagomålsmail/A 57479-2025 FSC-klagomål mail.docx", "A 57479-2025")</f>
        <v/>
      </c>
      <c r="X229">
        <f>HYPERLINK("https://klasma.github.io/Logging_2303/tillsyn/A 57479-2025 tillsynsbegäran.docx", "A 57479-2025")</f>
        <v/>
      </c>
      <c r="Y229">
        <f>HYPERLINK("https://klasma.github.io/Logging_2303/tillsynsmail/A 57479-2025 tillsynsbegäran mail.docx", "A 57479-2025")</f>
        <v/>
      </c>
    </row>
    <row r="230" ht="15" customHeight="1">
      <c r="A230" t="inlineStr">
        <is>
          <t>A 57478-2025</t>
        </is>
      </c>
      <c r="B230" s="1" t="n">
        <v>45980.57349537037</v>
      </c>
      <c r="C230" s="1" t="n">
        <v>46021</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32069-2024</t>
        </is>
      </c>
      <c r="B231" s="1" t="n">
        <v>45510</v>
      </c>
      <c r="C231" s="1" t="n">
        <v>46021</v>
      </c>
      <c r="D231" t="inlineStr">
        <is>
          <t>JÄMTLANDS LÄN</t>
        </is>
      </c>
      <c r="E231" t="inlineStr">
        <is>
          <t>RAGUNDA</t>
        </is>
      </c>
      <c r="F231" t="inlineStr">
        <is>
          <t>SCA</t>
        </is>
      </c>
      <c r="G231" t="n">
        <v>1.8</v>
      </c>
      <c r="H231" t="n">
        <v>0</v>
      </c>
      <c r="I231" t="n">
        <v>0</v>
      </c>
      <c r="J231" t="n">
        <v>1</v>
      </c>
      <c r="K231" t="n">
        <v>0</v>
      </c>
      <c r="L231" t="n">
        <v>0</v>
      </c>
      <c r="M231" t="n">
        <v>0</v>
      </c>
      <c r="N231" t="n">
        <v>0</v>
      </c>
      <c r="O231" t="n">
        <v>1</v>
      </c>
      <c r="P231" t="n">
        <v>0</v>
      </c>
      <c r="Q231" t="n">
        <v>1</v>
      </c>
      <c r="R231" s="2" t="inlineStr">
        <is>
          <t>Lunglav</t>
        </is>
      </c>
      <c r="S231">
        <f>HYPERLINK("https://klasma.github.io/Logging_2303/artfynd/A 32069-2024 artfynd.xlsx", "A 32069-2024")</f>
        <v/>
      </c>
      <c r="T231">
        <f>HYPERLINK("https://klasma.github.io/Logging_2303/kartor/A 32069-2024 karta.png", "A 32069-2024")</f>
        <v/>
      </c>
      <c r="V231">
        <f>HYPERLINK("https://klasma.github.io/Logging_2303/klagomål/A 32069-2024 FSC-klagomål.docx", "A 32069-2024")</f>
        <v/>
      </c>
      <c r="W231">
        <f>HYPERLINK("https://klasma.github.io/Logging_2303/klagomålsmail/A 32069-2024 FSC-klagomål mail.docx", "A 32069-2024")</f>
        <v/>
      </c>
      <c r="X231">
        <f>HYPERLINK("https://klasma.github.io/Logging_2303/tillsyn/A 32069-2024 tillsynsbegäran.docx", "A 32069-2024")</f>
        <v/>
      </c>
      <c r="Y231">
        <f>HYPERLINK("https://klasma.github.io/Logging_2303/tillsynsmail/A 32069-2024 tillsynsbegäran mail.docx", "A 32069-2024")</f>
        <v/>
      </c>
    </row>
    <row r="232" ht="15" customHeight="1">
      <c r="A232" t="inlineStr">
        <is>
          <t>A 57253-2025</t>
        </is>
      </c>
      <c r="B232" s="1" t="n">
        <v>45979.64381944444</v>
      </c>
      <c r="C232" s="1" t="n">
        <v>46021</v>
      </c>
      <c r="D232" t="inlineStr">
        <is>
          <t>JÄMTLANDS LÄN</t>
        </is>
      </c>
      <c r="E232" t="inlineStr">
        <is>
          <t>RAGUNDA</t>
        </is>
      </c>
      <c r="G232" t="n">
        <v>1.2</v>
      </c>
      <c r="H232" t="n">
        <v>0</v>
      </c>
      <c r="I232" t="n">
        <v>1</v>
      </c>
      <c r="J232" t="n">
        <v>0</v>
      </c>
      <c r="K232" t="n">
        <v>0</v>
      </c>
      <c r="L232" t="n">
        <v>0</v>
      </c>
      <c r="M232" t="n">
        <v>0</v>
      </c>
      <c r="N232" t="n">
        <v>0</v>
      </c>
      <c r="O232" t="n">
        <v>0</v>
      </c>
      <c r="P232" t="n">
        <v>0</v>
      </c>
      <c r="Q232" t="n">
        <v>1</v>
      </c>
      <c r="R232" s="2" t="inlineStr">
        <is>
          <t>Skinnlav</t>
        </is>
      </c>
      <c r="S232">
        <f>HYPERLINK("https://klasma.github.io/Logging_2303/artfynd/A 57253-2025 artfynd.xlsx", "A 57253-2025")</f>
        <v/>
      </c>
      <c r="T232">
        <f>HYPERLINK("https://klasma.github.io/Logging_2303/kartor/A 57253-2025 karta.png", "A 57253-2025")</f>
        <v/>
      </c>
      <c r="V232">
        <f>HYPERLINK("https://klasma.github.io/Logging_2303/klagomål/A 57253-2025 FSC-klagomål.docx", "A 57253-2025")</f>
        <v/>
      </c>
      <c r="W232">
        <f>HYPERLINK("https://klasma.github.io/Logging_2303/klagomålsmail/A 57253-2025 FSC-klagomål mail.docx", "A 57253-2025")</f>
        <v/>
      </c>
      <c r="X232">
        <f>HYPERLINK("https://klasma.github.io/Logging_2303/tillsyn/A 57253-2025 tillsynsbegäran.docx", "A 57253-2025")</f>
        <v/>
      </c>
      <c r="Y232">
        <f>HYPERLINK("https://klasma.github.io/Logging_2303/tillsynsmail/A 57253-2025 tillsynsbegäran mail.docx", "A 57253-2025")</f>
        <v/>
      </c>
    </row>
    <row r="233" ht="15" customHeight="1">
      <c r="A233" t="inlineStr">
        <is>
          <t>A 49053-2025</t>
        </is>
      </c>
      <c r="B233" s="1" t="n">
        <v>45937.64009259259</v>
      </c>
      <c r="C233" s="1" t="n">
        <v>46021</v>
      </c>
      <c r="D233" t="inlineStr">
        <is>
          <t>JÄMTLANDS LÄN</t>
        </is>
      </c>
      <c r="E233" t="inlineStr">
        <is>
          <t>RAGUNDA</t>
        </is>
      </c>
      <c r="F233" t="inlineStr">
        <is>
          <t>SCA</t>
        </is>
      </c>
      <c r="G233" t="n">
        <v>7</v>
      </c>
      <c r="H233" t="n">
        <v>1</v>
      </c>
      <c r="I233" t="n">
        <v>1</v>
      </c>
      <c r="J233" t="n">
        <v>0</v>
      </c>
      <c r="K233" t="n">
        <v>0</v>
      </c>
      <c r="L233" t="n">
        <v>0</v>
      </c>
      <c r="M233" t="n">
        <v>0</v>
      </c>
      <c r="N233" t="n">
        <v>0</v>
      </c>
      <c r="O233" t="n">
        <v>0</v>
      </c>
      <c r="P233" t="n">
        <v>0</v>
      </c>
      <c r="Q233" t="n">
        <v>1</v>
      </c>
      <c r="R233" s="2" t="inlineStr">
        <is>
          <t>Guckusko</t>
        </is>
      </c>
      <c r="S233">
        <f>HYPERLINK("https://klasma.github.io/Logging_2303/artfynd/A 49053-2025 artfynd.xlsx", "A 49053-2025")</f>
        <v/>
      </c>
      <c r="T233">
        <f>HYPERLINK("https://klasma.github.io/Logging_2303/kartor/A 49053-2025 karta.png", "A 49053-2025")</f>
        <v/>
      </c>
      <c r="V233">
        <f>HYPERLINK("https://klasma.github.io/Logging_2303/klagomål/A 49053-2025 FSC-klagomål.docx", "A 49053-2025")</f>
        <v/>
      </c>
      <c r="W233">
        <f>HYPERLINK("https://klasma.github.io/Logging_2303/klagomålsmail/A 49053-2025 FSC-klagomål mail.docx", "A 49053-2025")</f>
        <v/>
      </c>
      <c r="X233">
        <f>HYPERLINK("https://klasma.github.io/Logging_2303/tillsyn/A 49053-2025 tillsynsbegäran.docx", "A 49053-2025")</f>
        <v/>
      </c>
      <c r="Y233">
        <f>HYPERLINK("https://klasma.github.io/Logging_2303/tillsynsmail/A 49053-2025 tillsynsbegäran mail.docx", "A 49053-2025")</f>
        <v/>
      </c>
    </row>
    <row r="234" ht="15" customHeight="1">
      <c r="A234" t="inlineStr">
        <is>
          <t>A 27573-2025</t>
        </is>
      </c>
      <c r="B234" s="1" t="n">
        <v>45813.49061342593</v>
      </c>
      <c r="C234" s="1" t="n">
        <v>46021</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2929-2024</t>
        </is>
      </c>
      <c r="B235" s="1" t="n">
        <v>45315</v>
      </c>
      <c r="C235" s="1" t="n">
        <v>46021</v>
      </c>
      <c r="D235" t="inlineStr">
        <is>
          <t>JÄMTLANDS LÄN</t>
        </is>
      </c>
      <c r="E235" t="inlineStr">
        <is>
          <t>RAGUNDA</t>
        </is>
      </c>
      <c r="G235" t="n">
        <v>1</v>
      </c>
      <c r="H235" t="n">
        <v>0</v>
      </c>
      <c r="I235" t="n">
        <v>0</v>
      </c>
      <c r="J235" t="n">
        <v>1</v>
      </c>
      <c r="K235" t="n">
        <v>0</v>
      </c>
      <c r="L235" t="n">
        <v>0</v>
      </c>
      <c r="M235" t="n">
        <v>0</v>
      </c>
      <c r="N235" t="n">
        <v>0</v>
      </c>
      <c r="O235" t="n">
        <v>1</v>
      </c>
      <c r="P235" t="n">
        <v>0</v>
      </c>
      <c r="Q235" t="n">
        <v>1</v>
      </c>
      <c r="R235" s="2" t="inlineStr">
        <is>
          <t>Klådris</t>
        </is>
      </c>
      <c r="S235">
        <f>HYPERLINK("https://klasma.github.io/Logging_2303/artfynd/A 2929-2024 artfynd.xlsx", "A 2929-2024")</f>
        <v/>
      </c>
      <c r="T235">
        <f>HYPERLINK("https://klasma.github.io/Logging_2303/kartor/A 2929-2024 karta.png", "A 2929-2024")</f>
        <v/>
      </c>
      <c r="V235">
        <f>HYPERLINK("https://klasma.github.io/Logging_2303/klagomål/A 2929-2024 FSC-klagomål.docx", "A 2929-2024")</f>
        <v/>
      </c>
      <c r="W235">
        <f>HYPERLINK("https://klasma.github.io/Logging_2303/klagomålsmail/A 2929-2024 FSC-klagomål mail.docx", "A 2929-2024")</f>
        <v/>
      </c>
      <c r="X235">
        <f>HYPERLINK("https://klasma.github.io/Logging_2303/tillsyn/A 2929-2024 tillsynsbegäran.docx", "A 2929-2024")</f>
        <v/>
      </c>
      <c r="Y235">
        <f>HYPERLINK("https://klasma.github.io/Logging_2303/tillsynsmail/A 2929-2024 tillsynsbegäran mail.docx", "A 2929-2024")</f>
        <v/>
      </c>
    </row>
    <row r="236" ht="15" customHeight="1">
      <c r="A236" t="inlineStr">
        <is>
          <t>A 50233-2024</t>
        </is>
      </c>
      <c r="B236" s="1" t="n">
        <v>45600.55265046296</v>
      </c>
      <c r="C236" s="1" t="n">
        <v>46021</v>
      </c>
      <c r="D236" t="inlineStr">
        <is>
          <t>JÄMTLANDS LÄN</t>
        </is>
      </c>
      <c r="E236" t="inlineStr">
        <is>
          <t>RAGUNDA</t>
        </is>
      </c>
      <c r="F236" t="inlineStr">
        <is>
          <t>SCA</t>
        </is>
      </c>
      <c r="G236" t="n">
        <v>5.6</v>
      </c>
      <c r="H236" t="n">
        <v>0</v>
      </c>
      <c r="I236" t="n">
        <v>0</v>
      </c>
      <c r="J236" t="n">
        <v>1</v>
      </c>
      <c r="K236" t="n">
        <v>0</v>
      </c>
      <c r="L236" t="n">
        <v>0</v>
      </c>
      <c r="M236" t="n">
        <v>0</v>
      </c>
      <c r="N236" t="n">
        <v>0</v>
      </c>
      <c r="O236" t="n">
        <v>1</v>
      </c>
      <c r="P236" t="n">
        <v>0</v>
      </c>
      <c r="Q236" t="n">
        <v>1</v>
      </c>
      <c r="R236" s="2" t="inlineStr">
        <is>
          <t>Granticka</t>
        </is>
      </c>
      <c r="S236">
        <f>HYPERLINK("https://klasma.github.io/Logging_2303/artfynd/A 50233-2024 artfynd.xlsx", "A 50233-2024")</f>
        <v/>
      </c>
      <c r="T236">
        <f>HYPERLINK("https://klasma.github.io/Logging_2303/kartor/A 50233-2024 karta.png", "A 50233-2024")</f>
        <v/>
      </c>
      <c r="V236">
        <f>HYPERLINK("https://klasma.github.io/Logging_2303/klagomål/A 50233-2024 FSC-klagomål.docx", "A 50233-2024")</f>
        <v/>
      </c>
      <c r="W236">
        <f>HYPERLINK("https://klasma.github.io/Logging_2303/klagomålsmail/A 50233-2024 FSC-klagomål mail.docx", "A 50233-2024")</f>
        <v/>
      </c>
      <c r="X236">
        <f>HYPERLINK("https://klasma.github.io/Logging_2303/tillsyn/A 50233-2024 tillsynsbegäran.docx", "A 50233-2024")</f>
        <v/>
      </c>
      <c r="Y236">
        <f>HYPERLINK("https://klasma.github.io/Logging_2303/tillsynsmail/A 50233-2024 tillsynsbegäran mail.docx", "A 50233-2024")</f>
        <v/>
      </c>
    </row>
    <row r="237" ht="15" customHeight="1">
      <c r="A237" t="inlineStr">
        <is>
          <t>A 30390-2025</t>
        </is>
      </c>
      <c r="B237" s="1" t="n">
        <v>45827.57371527778</v>
      </c>
      <c r="C237" s="1" t="n">
        <v>46021</v>
      </c>
      <c r="D237" t="inlineStr">
        <is>
          <t>JÄMTLANDS LÄN</t>
        </is>
      </c>
      <c r="E237" t="inlineStr">
        <is>
          <t>RAGUNDA</t>
        </is>
      </c>
      <c r="F237" t="inlineStr">
        <is>
          <t>SCA</t>
        </is>
      </c>
      <c r="G237" t="n">
        <v>11.2</v>
      </c>
      <c r="H237" t="n">
        <v>0</v>
      </c>
      <c r="I237" t="n">
        <v>0</v>
      </c>
      <c r="J237" t="n">
        <v>1</v>
      </c>
      <c r="K237" t="n">
        <v>0</v>
      </c>
      <c r="L237" t="n">
        <v>0</v>
      </c>
      <c r="M237" t="n">
        <v>0</v>
      </c>
      <c r="N237" t="n">
        <v>0</v>
      </c>
      <c r="O237" t="n">
        <v>1</v>
      </c>
      <c r="P237" t="n">
        <v>0</v>
      </c>
      <c r="Q237" t="n">
        <v>1</v>
      </c>
      <c r="R237" s="2" t="inlineStr">
        <is>
          <t>Lunglav</t>
        </is>
      </c>
      <c r="S237">
        <f>HYPERLINK("https://klasma.github.io/Logging_2303/artfynd/A 30390-2025 artfynd.xlsx", "A 30390-2025")</f>
        <v/>
      </c>
      <c r="T237">
        <f>HYPERLINK("https://klasma.github.io/Logging_2303/kartor/A 30390-2025 karta.png", "A 30390-2025")</f>
        <v/>
      </c>
      <c r="U237">
        <f>HYPERLINK("https://klasma.github.io/Logging_2303/knärot/A 30390-2025 karta knärot.png", "A 30390-2025")</f>
        <v/>
      </c>
      <c r="V237">
        <f>HYPERLINK("https://klasma.github.io/Logging_2303/klagomål/A 30390-2025 FSC-klagomål.docx", "A 30390-2025")</f>
        <v/>
      </c>
      <c r="W237">
        <f>HYPERLINK("https://klasma.github.io/Logging_2303/klagomålsmail/A 30390-2025 FSC-klagomål mail.docx", "A 30390-2025")</f>
        <v/>
      </c>
      <c r="X237">
        <f>HYPERLINK("https://klasma.github.io/Logging_2303/tillsyn/A 30390-2025 tillsynsbegäran.docx", "A 30390-2025")</f>
        <v/>
      </c>
      <c r="Y237">
        <f>HYPERLINK("https://klasma.github.io/Logging_2303/tillsynsmail/A 30390-2025 tillsynsbegäran mail.docx", "A 30390-2025")</f>
        <v/>
      </c>
    </row>
    <row r="238" ht="15" customHeight="1">
      <c r="A238" t="inlineStr">
        <is>
          <t>A 58990-2025</t>
        </is>
      </c>
      <c r="B238" s="1" t="n">
        <v>45987</v>
      </c>
      <c r="C238" s="1" t="n">
        <v>46021</v>
      </c>
      <c r="D238" t="inlineStr">
        <is>
          <t>JÄMTLANDS LÄN</t>
        </is>
      </c>
      <c r="E238" t="inlineStr">
        <is>
          <t>RAGUNDA</t>
        </is>
      </c>
      <c r="F238" t="inlineStr">
        <is>
          <t>SCA</t>
        </is>
      </c>
      <c r="G238" t="n">
        <v>4.6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58990-2025 artfynd.xlsx", "A 58990-2025")</f>
        <v/>
      </c>
      <c r="T238">
        <f>HYPERLINK("https://klasma.github.io/Logging_2303/kartor/A 58990-2025 karta.png", "A 58990-2025")</f>
        <v/>
      </c>
      <c r="V238">
        <f>HYPERLINK("https://klasma.github.io/Logging_2303/klagomål/A 58990-2025 FSC-klagomål.docx", "A 58990-2025")</f>
        <v/>
      </c>
      <c r="W238">
        <f>HYPERLINK("https://klasma.github.io/Logging_2303/klagomålsmail/A 58990-2025 FSC-klagomål mail.docx", "A 58990-2025")</f>
        <v/>
      </c>
      <c r="X238">
        <f>HYPERLINK("https://klasma.github.io/Logging_2303/tillsyn/A 58990-2025 tillsynsbegäran.docx", "A 58990-2025")</f>
        <v/>
      </c>
      <c r="Y238">
        <f>HYPERLINK("https://klasma.github.io/Logging_2303/tillsynsmail/A 58990-2025 tillsynsbegäran mail.docx", "A 58990-2025")</f>
        <v/>
      </c>
      <c r="Z238">
        <f>HYPERLINK("https://klasma.github.io/Logging_2303/fåglar/A 58990-2025 prioriterade fågelarter.docx", "A 58990-2025")</f>
        <v/>
      </c>
    </row>
    <row r="239" ht="15" customHeight="1">
      <c r="A239" t="inlineStr">
        <is>
          <t>A 22054-2025</t>
        </is>
      </c>
      <c r="B239" s="1" t="n">
        <v>45785.36525462963</v>
      </c>
      <c r="C239" s="1" t="n">
        <v>46021</v>
      </c>
      <c r="D239" t="inlineStr">
        <is>
          <t>JÄMTLANDS LÄN</t>
        </is>
      </c>
      <c r="E239" t="inlineStr">
        <is>
          <t>RAGUNDA</t>
        </is>
      </c>
      <c r="F239" t="inlineStr">
        <is>
          <t>SCA</t>
        </is>
      </c>
      <c r="G239" t="n">
        <v>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22054-2025 artfynd.xlsx", "A 22054-2025")</f>
        <v/>
      </c>
      <c r="T239">
        <f>HYPERLINK("https://klasma.github.io/Logging_2303/kartor/A 22054-2025 karta.png", "A 22054-2025")</f>
        <v/>
      </c>
      <c r="V239">
        <f>HYPERLINK("https://klasma.github.io/Logging_2303/klagomål/A 22054-2025 FSC-klagomål.docx", "A 22054-2025")</f>
        <v/>
      </c>
      <c r="W239">
        <f>HYPERLINK("https://klasma.github.io/Logging_2303/klagomålsmail/A 22054-2025 FSC-klagomål mail.docx", "A 22054-2025")</f>
        <v/>
      </c>
      <c r="X239">
        <f>HYPERLINK("https://klasma.github.io/Logging_2303/tillsyn/A 22054-2025 tillsynsbegäran.docx", "A 22054-2025")</f>
        <v/>
      </c>
      <c r="Y239">
        <f>HYPERLINK("https://klasma.github.io/Logging_2303/tillsynsmail/A 22054-2025 tillsynsbegäran mail.docx", "A 22054-2025")</f>
        <v/>
      </c>
      <c r="Z239">
        <f>HYPERLINK("https://klasma.github.io/Logging_2303/fåglar/A 22054-2025 prioriterade fågelarter.docx", "A 22054-2025")</f>
        <v/>
      </c>
    </row>
    <row r="240" ht="15" customHeight="1">
      <c r="A240" t="inlineStr">
        <is>
          <t>A 32445-2025</t>
        </is>
      </c>
      <c r="B240" s="1" t="n">
        <v>45838.38627314815</v>
      </c>
      <c r="C240" s="1" t="n">
        <v>46021</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32445-2025 artfynd.xlsx", "A 32445-2025")</f>
        <v/>
      </c>
      <c r="T240">
        <f>HYPERLINK("https://klasma.github.io/Logging_2303/kartor/A 32445-2025 karta.png", "A 32445-2025")</f>
        <v/>
      </c>
      <c r="V240">
        <f>HYPERLINK("https://klasma.github.io/Logging_2303/klagomål/A 32445-2025 FSC-klagomål.docx", "A 32445-2025")</f>
        <v/>
      </c>
      <c r="W240">
        <f>HYPERLINK("https://klasma.github.io/Logging_2303/klagomålsmail/A 32445-2025 FSC-klagomål mail.docx", "A 32445-2025")</f>
        <v/>
      </c>
      <c r="X240">
        <f>HYPERLINK("https://klasma.github.io/Logging_2303/tillsyn/A 32445-2025 tillsynsbegäran.docx", "A 32445-2025")</f>
        <v/>
      </c>
      <c r="Y240">
        <f>HYPERLINK("https://klasma.github.io/Logging_2303/tillsynsmail/A 32445-2025 tillsynsbegäran mail.docx", "A 32445-2025")</f>
        <v/>
      </c>
      <c r="Z240">
        <f>HYPERLINK("https://klasma.github.io/Logging_2303/fåglar/A 32445-2025 prioriterade fågelarter.docx", "A 32445-2025")</f>
        <v/>
      </c>
    </row>
    <row r="241" ht="15" customHeight="1">
      <c r="A241" t="inlineStr">
        <is>
          <t>A 51912-2025</t>
        </is>
      </c>
      <c r="B241" s="1" t="n">
        <v>45952.46939814815</v>
      </c>
      <c r="C241" s="1" t="n">
        <v>46021</v>
      </c>
      <c r="D241" t="inlineStr">
        <is>
          <t>JÄMTLANDS LÄN</t>
        </is>
      </c>
      <c r="E241" t="inlineStr">
        <is>
          <t>RAGUNDA</t>
        </is>
      </c>
      <c r="F241" t="inlineStr">
        <is>
          <t>SCA</t>
        </is>
      </c>
      <c r="G241" t="n">
        <v>24.2</v>
      </c>
      <c r="H241" t="n">
        <v>1</v>
      </c>
      <c r="I241" t="n">
        <v>0</v>
      </c>
      <c r="J241" t="n">
        <v>0</v>
      </c>
      <c r="K241" t="n">
        <v>1</v>
      </c>
      <c r="L241" t="n">
        <v>0</v>
      </c>
      <c r="M241" t="n">
        <v>0</v>
      </c>
      <c r="N241" t="n">
        <v>0</v>
      </c>
      <c r="O241" t="n">
        <v>1</v>
      </c>
      <c r="P241" t="n">
        <v>1</v>
      </c>
      <c r="Q241" t="n">
        <v>1</v>
      </c>
      <c r="R241" s="2" t="inlineStr">
        <is>
          <t>Norna</t>
        </is>
      </c>
      <c r="S241">
        <f>HYPERLINK("https://klasma.github.io/Logging_2303/artfynd/A 51912-2025 artfynd.xlsx", "A 51912-2025")</f>
        <v/>
      </c>
      <c r="T241">
        <f>HYPERLINK("https://klasma.github.io/Logging_2303/kartor/A 51912-2025 karta.png", "A 51912-2025")</f>
        <v/>
      </c>
      <c r="V241">
        <f>HYPERLINK("https://klasma.github.io/Logging_2303/klagomål/A 51912-2025 FSC-klagomål.docx", "A 51912-2025")</f>
        <v/>
      </c>
      <c r="W241">
        <f>HYPERLINK("https://klasma.github.io/Logging_2303/klagomålsmail/A 51912-2025 FSC-klagomål mail.docx", "A 51912-2025")</f>
        <v/>
      </c>
      <c r="X241">
        <f>HYPERLINK("https://klasma.github.io/Logging_2303/tillsyn/A 51912-2025 tillsynsbegäran.docx", "A 51912-2025")</f>
        <v/>
      </c>
      <c r="Y241">
        <f>HYPERLINK("https://klasma.github.io/Logging_2303/tillsynsmail/A 51912-2025 tillsynsbegäran mail.docx", "A 51912-2025")</f>
        <v/>
      </c>
    </row>
    <row r="242" ht="15" customHeight="1">
      <c r="A242" t="inlineStr">
        <is>
          <t>A 19751-2025</t>
        </is>
      </c>
      <c r="B242" s="1" t="n">
        <v>45771.3859837963</v>
      </c>
      <c r="C242" s="1" t="n">
        <v>46021</v>
      </c>
      <c r="D242" t="inlineStr">
        <is>
          <t>JÄMTLANDS LÄN</t>
        </is>
      </c>
      <c r="E242" t="inlineStr">
        <is>
          <t>RAGUNDA</t>
        </is>
      </c>
      <c r="F242" t="inlineStr">
        <is>
          <t>SCA</t>
        </is>
      </c>
      <c r="G242" t="n">
        <v>1.1</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19751-2025 artfynd.xlsx", "A 19751-2025")</f>
        <v/>
      </c>
      <c r="T242">
        <f>HYPERLINK("https://klasma.github.io/Logging_2303/kartor/A 19751-2025 karta.png", "A 19751-2025")</f>
        <v/>
      </c>
      <c r="V242">
        <f>HYPERLINK("https://klasma.github.io/Logging_2303/klagomål/A 19751-2025 FSC-klagomål.docx", "A 19751-2025")</f>
        <v/>
      </c>
      <c r="W242">
        <f>HYPERLINK("https://klasma.github.io/Logging_2303/klagomålsmail/A 19751-2025 FSC-klagomål mail.docx", "A 19751-2025")</f>
        <v/>
      </c>
      <c r="X242">
        <f>HYPERLINK("https://klasma.github.io/Logging_2303/tillsyn/A 19751-2025 tillsynsbegäran.docx", "A 19751-2025")</f>
        <v/>
      </c>
      <c r="Y242">
        <f>HYPERLINK("https://klasma.github.io/Logging_2303/tillsynsmail/A 19751-2025 tillsynsbegäran mail.docx", "A 19751-2025")</f>
        <v/>
      </c>
      <c r="Z242">
        <f>HYPERLINK("https://klasma.github.io/Logging_2303/fåglar/A 19751-2025 prioriterade fågelarter.docx", "A 19751-2025")</f>
        <v/>
      </c>
    </row>
    <row r="243" ht="15" customHeight="1">
      <c r="A243" t="inlineStr">
        <is>
          <t>A 34474-2025</t>
        </is>
      </c>
      <c r="B243" s="1" t="n">
        <v>45847.36528935185</v>
      </c>
      <c r="C243" s="1" t="n">
        <v>46021</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36224-2023</t>
        </is>
      </c>
      <c r="B244" s="1" t="n">
        <v>45149</v>
      </c>
      <c r="C244" s="1" t="n">
        <v>46021</v>
      </c>
      <c r="D244" t="inlineStr">
        <is>
          <t>JÄMTLANDS LÄN</t>
        </is>
      </c>
      <c r="E244" t="inlineStr">
        <is>
          <t>RAGUNDA</t>
        </is>
      </c>
      <c r="F244" t="inlineStr">
        <is>
          <t>SCA</t>
        </is>
      </c>
      <c r="G244" t="n">
        <v>8.1</v>
      </c>
      <c r="H244" t="n">
        <v>0</v>
      </c>
      <c r="I244" t="n">
        <v>0</v>
      </c>
      <c r="J244" t="n">
        <v>1</v>
      </c>
      <c r="K244" t="n">
        <v>0</v>
      </c>
      <c r="L244" t="n">
        <v>0</v>
      </c>
      <c r="M244" t="n">
        <v>0</v>
      </c>
      <c r="N244" t="n">
        <v>0</v>
      </c>
      <c r="O244" t="n">
        <v>1</v>
      </c>
      <c r="P244" t="n">
        <v>0</v>
      </c>
      <c r="Q244" t="n">
        <v>1</v>
      </c>
      <c r="R244" s="2" t="inlineStr">
        <is>
          <t>Garnlav</t>
        </is>
      </c>
      <c r="S244">
        <f>HYPERLINK("https://klasma.github.io/Logging_2303/artfynd/A 36224-2023 artfynd.xlsx", "A 36224-2023")</f>
        <v/>
      </c>
      <c r="T244">
        <f>HYPERLINK("https://klasma.github.io/Logging_2303/kartor/A 36224-2023 karta.png", "A 36224-2023")</f>
        <v/>
      </c>
      <c r="V244">
        <f>HYPERLINK("https://klasma.github.io/Logging_2303/klagomål/A 36224-2023 FSC-klagomål.docx", "A 36224-2023")</f>
        <v/>
      </c>
      <c r="W244">
        <f>HYPERLINK("https://klasma.github.io/Logging_2303/klagomålsmail/A 36224-2023 FSC-klagomål mail.docx", "A 36224-2023")</f>
        <v/>
      </c>
      <c r="X244">
        <f>HYPERLINK("https://klasma.github.io/Logging_2303/tillsyn/A 36224-2023 tillsynsbegäran.docx", "A 36224-2023")</f>
        <v/>
      </c>
      <c r="Y244">
        <f>HYPERLINK("https://klasma.github.io/Logging_2303/tillsynsmail/A 36224-2023 tillsynsbegäran mail.docx", "A 36224-2023")</f>
        <v/>
      </c>
    </row>
    <row r="245" ht="15" customHeight="1">
      <c r="A245" t="inlineStr">
        <is>
          <t>A 17340-2023</t>
        </is>
      </c>
      <c r="B245" s="1" t="n">
        <v>45033</v>
      </c>
      <c r="C245" s="1" t="n">
        <v>46021</v>
      </c>
      <c r="D245" t="inlineStr">
        <is>
          <t>JÄMTLANDS LÄN</t>
        </is>
      </c>
      <c r="E245" t="inlineStr">
        <is>
          <t>RAGUNDA</t>
        </is>
      </c>
      <c r="G245" t="n">
        <v>1.6</v>
      </c>
      <c r="H245" t="n">
        <v>0</v>
      </c>
      <c r="I245" t="n">
        <v>0</v>
      </c>
      <c r="J245" t="n">
        <v>1</v>
      </c>
      <c r="K245" t="n">
        <v>0</v>
      </c>
      <c r="L245" t="n">
        <v>0</v>
      </c>
      <c r="M245" t="n">
        <v>0</v>
      </c>
      <c r="N245" t="n">
        <v>0</v>
      </c>
      <c r="O245" t="n">
        <v>1</v>
      </c>
      <c r="P245" t="n">
        <v>0</v>
      </c>
      <c r="Q245" t="n">
        <v>1</v>
      </c>
      <c r="R245" s="2" t="inlineStr">
        <is>
          <t>Vedtrappmossa</t>
        </is>
      </c>
      <c r="S245">
        <f>HYPERLINK("https://klasma.github.io/Logging_2303/artfynd/A 17340-2023 artfynd.xlsx", "A 17340-2023")</f>
        <v/>
      </c>
      <c r="T245">
        <f>HYPERLINK("https://klasma.github.io/Logging_2303/kartor/A 17340-2023 karta.png", "A 17340-2023")</f>
        <v/>
      </c>
      <c r="U245">
        <f>HYPERLINK("https://klasma.github.io/Logging_2303/knärot/A 17340-2023 karta knärot.png", "A 17340-2023")</f>
        <v/>
      </c>
      <c r="V245">
        <f>HYPERLINK("https://klasma.github.io/Logging_2303/klagomål/A 17340-2023 FSC-klagomål.docx", "A 17340-2023")</f>
        <v/>
      </c>
      <c r="W245">
        <f>HYPERLINK("https://klasma.github.io/Logging_2303/klagomålsmail/A 17340-2023 FSC-klagomål mail.docx", "A 17340-2023")</f>
        <v/>
      </c>
      <c r="X245">
        <f>HYPERLINK("https://klasma.github.io/Logging_2303/tillsyn/A 17340-2023 tillsynsbegäran.docx", "A 17340-2023")</f>
        <v/>
      </c>
      <c r="Y245">
        <f>HYPERLINK("https://klasma.github.io/Logging_2303/tillsynsmail/A 17340-2023 tillsynsbegäran mail.docx", "A 17340-2023")</f>
        <v/>
      </c>
    </row>
    <row r="246" ht="15" customHeight="1">
      <c r="A246" t="inlineStr">
        <is>
          <t>A 16724-2025</t>
        </is>
      </c>
      <c r="B246" s="1" t="n">
        <v>45754.51064814815</v>
      </c>
      <c r="C246" s="1" t="n">
        <v>46021</v>
      </c>
      <c r="D246" t="inlineStr">
        <is>
          <t>JÄMTLANDS LÄN</t>
        </is>
      </c>
      <c r="E246" t="inlineStr">
        <is>
          <t>RAGUNDA</t>
        </is>
      </c>
      <c r="G246" t="n">
        <v>3.5</v>
      </c>
      <c r="H246" t="n">
        <v>0</v>
      </c>
      <c r="I246" t="n">
        <v>0</v>
      </c>
      <c r="J246" t="n">
        <v>1</v>
      </c>
      <c r="K246" t="n">
        <v>0</v>
      </c>
      <c r="L246" t="n">
        <v>0</v>
      </c>
      <c r="M246" t="n">
        <v>0</v>
      </c>
      <c r="N246" t="n">
        <v>0</v>
      </c>
      <c r="O246" t="n">
        <v>1</v>
      </c>
      <c r="P246" t="n">
        <v>0</v>
      </c>
      <c r="Q246" t="n">
        <v>1</v>
      </c>
      <c r="R246" s="2" t="inlineStr">
        <is>
          <t>Kolflarnlav</t>
        </is>
      </c>
      <c r="S246">
        <f>HYPERLINK("https://klasma.github.io/Logging_2303/artfynd/A 16724-2025 artfynd.xlsx", "A 16724-2025")</f>
        <v/>
      </c>
      <c r="T246">
        <f>HYPERLINK("https://klasma.github.io/Logging_2303/kartor/A 16724-2025 karta.png", "A 16724-2025")</f>
        <v/>
      </c>
      <c r="V246">
        <f>HYPERLINK("https://klasma.github.io/Logging_2303/klagomål/A 16724-2025 FSC-klagomål.docx", "A 16724-2025")</f>
        <v/>
      </c>
      <c r="W246">
        <f>HYPERLINK("https://klasma.github.io/Logging_2303/klagomålsmail/A 16724-2025 FSC-klagomål mail.docx", "A 16724-2025")</f>
        <v/>
      </c>
      <c r="X246">
        <f>HYPERLINK("https://klasma.github.io/Logging_2303/tillsyn/A 16724-2025 tillsynsbegäran.docx", "A 16724-2025")</f>
        <v/>
      </c>
      <c r="Y246">
        <f>HYPERLINK("https://klasma.github.io/Logging_2303/tillsynsmail/A 16724-2025 tillsynsbegäran mail.docx", "A 16724-2025")</f>
        <v/>
      </c>
    </row>
    <row r="247" ht="15" customHeight="1">
      <c r="A247" t="inlineStr">
        <is>
          <t>A 62072-2023</t>
        </is>
      </c>
      <c r="B247" s="1" t="n">
        <v>45266</v>
      </c>
      <c r="C247" s="1" t="n">
        <v>46021</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25694-2023</t>
        </is>
      </c>
      <c r="B248" s="1" t="n">
        <v>45089</v>
      </c>
      <c r="C248" s="1" t="n">
        <v>46021</v>
      </c>
      <c r="D248" t="inlineStr">
        <is>
          <t>JÄMTLANDS LÄN</t>
        </is>
      </c>
      <c r="E248" t="inlineStr">
        <is>
          <t>RAGUNDA</t>
        </is>
      </c>
      <c r="F248" t="inlineStr">
        <is>
          <t>SCA</t>
        </is>
      </c>
      <c r="G248" t="n">
        <v>1.5</v>
      </c>
      <c r="H248" t="n">
        <v>0</v>
      </c>
      <c r="I248" t="n">
        <v>0</v>
      </c>
      <c r="J248" t="n">
        <v>1</v>
      </c>
      <c r="K248" t="n">
        <v>0</v>
      </c>
      <c r="L248" t="n">
        <v>0</v>
      </c>
      <c r="M248" t="n">
        <v>0</v>
      </c>
      <c r="N248" t="n">
        <v>0</v>
      </c>
      <c r="O248" t="n">
        <v>1</v>
      </c>
      <c r="P248" t="n">
        <v>0</v>
      </c>
      <c r="Q248" t="n">
        <v>1</v>
      </c>
      <c r="R248" s="2" t="inlineStr">
        <is>
          <t>Ullticka</t>
        </is>
      </c>
      <c r="S248">
        <f>HYPERLINK("https://klasma.github.io/Logging_2303/artfynd/A 25694-2023 artfynd.xlsx", "A 25694-2023")</f>
        <v/>
      </c>
      <c r="T248">
        <f>HYPERLINK("https://klasma.github.io/Logging_2303/kartor/A 25694-2023 karta.png", "A 25694-2023")</f>
        <v/>
      </c>
      <c r="V248">
        <f>HYPERLINK("https://klasma.github.io/Logging_2303/klagomål/A 25694-2023 FSC-klagomål.docx", "A 25694-2023")</f>
        <v/>
      </c>
      <c r="W248">
        <f>HYPERLINK("https://klasma.github.io/Logging_2303/klagomålsmail/A 25694-2023 FSC-klagomål mail.docx", "A 25694-2023")</f>
        <v/>
      </c>
      <c r="X248">
        <f>HYPERLINK("https://klasma.github.io/Logging_2303/tillsyn/A 25694-2023 tillsynsbegäran.docx", "A 25694-2023")</f>
        <v/>
      </c>
      <c r="Y248">
        <f>HYPERLINK("https://klasma.github.io/Logging_2303/tillsynsmail/A 25694-2023 tillsynsbegäran mail.docx", "A 25694-2023")</f>
        <v/>
      </c>
    </row>
    <row r="249" ht="15" customHeight="1">
      <c r="A249" t="inlineStr">
        <is>
          <t>A 49770-2024</t>
        </is>
      </c>
      <c r="B249" s="1" t="n">
        <v>45597.34461805555</v>
      </c>
      <c r="C249" s="1" t="n">
        <v>46021</v>
      </c>
      <c r="D249" t="inlineStr">
        <is>
          <t>JÄMTLANDS LÄN</t>
        </is>
      </c>
      <c r="E249" t="inlineStr">
        <is>
          <t>RAGUNDA</t>
        </is>
      </c>
      <c r="F249" t="inlineStr">
        <is>
          <t>Naturvårdsverket</t>
        </is>
      </c>
      <c r="G249" t="n">
        <v>8.9</v>
      </c>
      <c r="H249" t="n">
        <v>1</v>
      </c>
      <c r="I249" t="n">
        <v>0</v>
      </c>
      <c r="J249" t="n">
        <v>0</v>
      </c>
      <c r="K249" t="n">
        <v>1</v>
      </c>
      <c r="L249" t="n">
        <v>0</v>
      </c>
      <c r="M249" t="n">
        <v>0</v>
      </c>
      <c r="N249" t="n">
        <v>0</v>
      </c>
      <c r="O249" t="n">
        <v>1</v>
      </c>
      <c r="P249" t="n">
        <v>1</v>
      </c>
      <c r="Q249" t="n">
        <v>1</v>
      </c>
      <c r="R249" s="2" t="inlineStr">
        <is>
          <t>Doftticka</t>
        </is>
      </c>
      <c r="S249">
        <f>HYPERLINK("https://klasma.github.io/Logging_2303/artfynd/A 49770-2024 artfynd.xlsx", "A 49770-2024")</f>
        <v/>
      </c>
      <c r="T249">
        <f>HYPERLINK("https://klasma.github.io/Logging_2303/kartor/A 49770-2024 karta.png", "A 49770-2024")</f>
        <v/>
      </c>
      <c r="V249">
        <f>HYPERLINK("https://klasma.github.io/Logging_2303/klagomål/A 49770-2024 FSC-klagomål.docx", "A 49770-2024")</f>
        <v/>
      </c>
      <c r="W249">
        <f>HYPERLINK("https://klasma.github.io/Logging_2303/klagomålsmail/A 49770-2024 FSC-klagomål mail.docx", "A 49770-2024")</f>
        <v/>
      </c>
      <c r="X249">
        <f>HYPERLINK("https://klasma.github.io/Logging_2303/tillsyn/A 49770-2024 tillsynsbegäran.docx", "A 49770-2024")</f>
        <v/>
      </c>
      <c r="Y249">
        <f>HYPERLINK("https://klasma.github.io/Logging_2303/tillsynsmail/A 49770-2024 tillsynsbegäran mail.docx", "A 49770-2024")</f>
        <v/>
      </c>
    </row>
    <row r="250" ht="15" customHeight="1">
      <c r="A250" t="inlineStr">
        <is>
          <t>A 50164-2023</t>
        </is>
      </c>
      <c r="B250" s="1" t="n">
        <v>45208</v>
      </c>
      <c r="C250" s="1" t="n">
        <v>46021</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36757-2023</t>
        </is>
      </c>
      <c r="B251" s="1" t="n">
        <v>45153</v>
      </c>
      <c r="C251" s="1" t="n">
        <v>46021</v>
      </c>
      <c r="D251" t="inlineStr">
        <is>
          <t>JÄMTLANDS LÄN</t>
        </is>
      </c>
      <c r="E251" t="inlineStr">
        <is>
          <t>RAGUNDA</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36757-2023 artfynd.xlsx", "A 36757-2023")</f>
        <v/>
      </c>
      <c r="T251">
        <f>HYPERLINK("https://klasma.github.io/Logging_2303/kartor/A 36757-2023 karta.png", "A 36757-2023")</f>
        <v/>
      </c>
      <c r="V251">
        <f>HYPERLINK("https://klasma.github.io/Logging_2303/klagomål/A 36757-2023 FSC-klagomål.docx", "A 36757-2023")</f>
        <v/>
      </c>
      <c r="W251">
        <f>HYPERLINK("https://klasma.github.io/Logging_2303/klagomålsmail/A 36757-2023 FSC-klagomål mail.docx", "A 36757-2023")</f>
        <v/>
      </c>
      <c r="X251">
        <f>HYPERLINK("https://klasma.github.io/Logging_2303/tillsyn/A 36757-2023 tillsynsbegäran.docx", "A 36757-2023")</f>
        <v/>
      </c>
      <c r="Y251">
        <f>HYPERLINK("https://klasma.github.io/Logging_2303/tillsynsmail/A 36757-2023 tillsynsbegäran mail.docx", "A 36757-2023")</f>
        <v/>
      </c>
      <c r="Z251">
        <f>HYPERLINK("https://klasma.github.io/Logging_2303/fåglar/A 36757-2023 prioriterade fågelarter.docx", "A 36757-2023")</f>
        <v/>
      </c>
    </row>
    <row r="252" ht="15" customHeight="1">
      <c r="A252" t="inlineStr">
        <is>
          <t>A 43404-2023</t>
        </is>
      </c>
      <c r="B252" s="1" t="n">
        <v>45183</v>
      </c>
      <c r="C252" s="1" t="n">
        <v>46021</v>
      </c>
      <c r="D252" t="inlineStr">
        <is>
          <t>JÄMTLANDS LÄN</t>
        </is>
      </c>
      <c r="E252" t="inlineStr">
        <is>
          <t>RAGUNDA</t>
        </is>
      </c>
      <c r="F252" t="inlineStr">
        <is>
          <t>SCA</t>
        </is>
      </c>
      <c r="G252" t="n">
        <v>0.9</v>
      </c>
      <c r="H252" t="n">
        <v>0</v>
      </c>
      <c r="I252" t="n">
        <v>1</v>
      </c>
      <c r="J252" t="n">
        <v>0</v>
      </c>
      <c r="K252" t="n">
        <v>0</v>
      </c>
      <c r="L252" t="n">
        <v>0</v>
      </c>
      <c r="M252" t="n">
        <v>0</v>
      </c>
      <c r="N252" t="n">
        <v>0</v>
      </c>
      <c r="O252" t="n">
        <v>0</v>
      </c>
      <c r="P252" t="n">
        <v>0</v>
      </c>
      <c r="Q252" t="n">
        <v>1</v>
      </c>
      <c r="R252" s="2" t="inlineStr">
        <is>
          <t>Kryddspindling</t>
        </is>
      </c>
      <c r="S252">
        <f>HYPERLINK("https://klasma.github.io/Logging_2303/artfynd/A 43404-2023 artfynd.xlsx", "A 43404-2023")</f>
        <v/>
      </c>
      <c r="T252">
        <f>HYPERLINK("https://klasma.github.io/Logging_2303/kartor/A 43404-2023 karta.png", "A 43404-2023")</f>
        <v/>
      </c>
      <c r="V252">
        <f>HYPERLINK("https://klasma.github.io/Logging_2303/klagomål/A 43404-2023 FSC-klagomål.docx", "A 43404-2023")</f>
        <v/>
      </c>
      <c r="W252">
        <f>HYPERLINK("https://klasma.github.io/Logging_2303/klagomålsmail/A 43404-2023 FSC-klagomål mail.docx", "A 43404-2023")</f>
        <v/>
      </c>
      <c r="X252">
        <f>HYPERLINK("https://klasma.github.io/Logging_2303/tillsyn/A 43404-2023 tillsynsbegäran.docx", "A 43404-2023")</f>
        <v/>
      </c>
      <c r="Y252">
        <f>HYPERLINK("https://klasma.github.io/Logging_2303/tillsynsmail/A 43404-2023 tillsynsbegäran mail.docx", "A 43404-2023")</f>
        <v/>
      </c>
    </row>
    <row r="253" ht="15" customHeight="1">
      <c r="A253" t="inlineStr">
        <is>
          <t>A 61324-2024</t>
        </is>
      </c>
      <c r="B253" s="1" t="n">
        <v>45646.34438657408</v>
      </c>
      <c r="C253" s="1" t="n">
        <v>46021</v>
      </c>
      <c r="D253" t="inlineStr">
        <is>
          <t>JÄMTLANDS LÄN</t>
        </is>
      </c>
      <c r="E253" t="inlineStr">
        <is>
          <t>RAGUNDA</t>
        </is>
      </c>
      <c r="F253" t="inlineStr">
        <is>
          <t>SCA</t>
        </is>
      </c>
      <c r="G253" t="n">
        <v>11.2</v>
      </c>
      <c r="H253" t="n">
        <v>1</v>
      </c>
      <c r="I253" t="n">
        <v>0</v>
      </c>
      <c r="J253" t="n">
        <v>0</v>
      </c>
      <c r="K253" t="n">
        <v>0</v>
      </c>
      <c r="L253" t="n">
        <v>0</v>
      </c>
      <c r="M253" t="n">
        <v>0</v>
      </c>
      <c r="N253" t="n">
        <v>0</v>
      </c>
      <c r="O253" t="n">
        <v>0</v>
      </c>
      <c r="P253" t="n">
        <v>0</v>
      </c>
      <c r="Q253" t="n">
        <v>1</v>
      </c>
      <c r="R253" s="2" t="inlineStr">
        <is>
          <t>Trana</t>
        </is>
      </c>
      <c r="S253">
        <f>HYPERLINK("https://klasma.github.io/Logging_2303/artfynd/A 61324-2024 artfynd.xlsx", "A 61324-2024")</f>
        <v/>
      </c>
      <c r="T253">
        <f>HYPERLINK("https://klasma.github.io/Logging_2303/kartor/A 61324-2024 karta.png", "A 61324-2024")</f>
        <v/>
      </c>
      <c r="V253">
        <f>HYPERLINK("https://klasma.github.io/Logging_2303/klagomål/A 61324-2024 FSC-klagomål.docx", "A 61324-2024")</f>
        <v/>
      </c>
      <c r="W253">
        <f>HYPERLINK("https://klasma.github.io/Logging_2303/klagomålsmail/A 61324-2024 FSC-klagomål mail.docx", "A 61324-2024")</f>
        <v/>
      </c>
      <c r="X253">
        <f>HYPERLINK("https://klasma.github.io/Logging_2303/tillsyn/A 61324-2024 tillsynsbegäran.docx", "A 61324-2024")</f>
        <v/>
      </c>
      <c r="Y253">
        <f>HYPERLINK("https://klasma.github.io/Logging_2303/tillsynsmail/A 61324-2024 tillsynsbegäran mail.docx", "A 61324-2024")</f>
        <v/>
      </c>
      <c r="Z253">
        <f>HYPERLINK("https://klasma.github.io/Logging_2303/fåglar/A 61324-2024 prioriterade fågelarter.docx", "A 61324-2024")</f>
        <v/>
      </c>
    </row>
    <row r="254" ht="15" customHeight="1">
      <c r="A254" t="inlineStr">
        <is>
          <t>A 55756-2025</t>
        </is>
      </c>
      <c r="B254" s="1" t="n">
        <v>45972.59438657408</v>
      </c>
      <c r="C254" s="1" t="n">
        <v>46021</v>
      </c>
      <c r="D254" t="inlineStr">
        <is>
          <t>JÄMTLANDS LÄN</t>
        </is>
      </c>
      <c r="E254" t="inlineStr">
        <is>
          <t>RAGUNDA</t>
        </is>
      </c>
      <c r="G254" t="n">
        <v>1.6</v>
      </c>
      <c r="H254" t="n">
        <v>0</v>
      </c>
      <c r="I254" t="n">
        <v>0</v>
      </c>
      <c r="J254" t="n">
        <v>1</v>
      </c>
      <c r="K254" t="n">
        <v>0</v>
      </c>
      <c r="L254" t="n">
        <v>0</v>
      </c>
      <c r="M254" t="n">
        <v>0</v>
      </c>
      <c r="N254" t="n">
        <v>0</v>
      </c>
      <c r="O254" t="n">
        <v>1</v>
      </c>
      <c r="P254" t="n">
        <v>0</v>
      </c>
      <c r="Q254" t="n">
        <v>1</v>
      </c>
      <c r="R254" s="2" t="inlineStr">
        <is>
          <t>Garnlav</t>
        </is>
      </c>
      <c r="S254">
        <f>HYPERLINK("https://klasma.github.io/Logging_2303/artfynd/A 55756-2025 artfynd.xlsx", "A 55756-2025")</f>
        <v/>
      </c>
      <c r="T254">
        <f>HYPERLINK("https://klasma.github.io/Logging_2303/kartor/A 55756-2025 karta.png", "A 55756-2025")</f>
        <v/>
      </c>
      <c r="V254">
        <f>HYPERLINK("https://klasma.github.io/Logging_2303/klagomål/A 55756-2025 FSC-klagomål.docx", "A 55756-2025")</f>
        <v/>
      </c>
      <c r="W254">
        <f>HYPERLINK("https://klasma.github.io/Logging_2303/klagomålsmail/A 55756-2025 FSC-klagomål mail.docx", "A 55756-2025")</f>
        <v/>
      </c>
      <c r="X254">
        <f>HYPERLINK("https://klasma.github.io/Logging_2303/tillsyn/A 55756-2025 tillsynsbegäran.docx", "A 55756-2025")</f>
        <v/>
      </c>
      <c r="Y254">
        <f>HYPERLINK("https://klasma.github.io/Logging_2303/tillsynsmail/A 55756-2025 tillsynsbegäran mail.docx", "A 55756-2025")</f>
        <v/>
      </c>
    </row>
    <row r="255" ht="15" customHeight="1">
      <c r="A255" t="inlineStr">
        <is>
          <t>A 56599-2025</t>
        </is>
      </c>
      <c r="B255" s="1" t="n">
        <v>45975.5734837963</v>
      </c>
      <c r="C255" s="1" t="n">
        <v>46021</v>
      </c>
      <c r="D255" t="inlineStr">
        <is>
          <t>JÄMTLANDS LÄN</t>
        </is>
      </c>
      <c r="E255" t="inlineStr">
        <is>
          <t>RAGUNDA</t>
        </is>
      </c>
      <c r="F255" t="inlineStr">
        <is>
          <t>SCA</t>
        </is>
      </c>
      <c r="G255" t="n">
        <v>2.4</v>
      </c>
      <c r="H255" t="n">
        <v>0</v>
      </c>
      <c r="I255" t="n">
        <v>0</v>
      </c>
      <c r="J255" t="n">
        <v>1</v>
      </c>
      <c r="K255" t="n">
        <v>0</v>
      </c>
      <c r="L255" t="n">
        <v>0</v>
      </c>
      <c r="M255" t="n">
        <v>0</v>
      </c>
      <c r="N255" t="n">
        <v>0</v>
      </c>
      <c r="O255" t="n">
        <v>1</v>
      </c>
      <c r="P255" t="n">
        <v>0</v>
      </c>
      <c r="Q255" t="n">
        <v>1</v>
      </c>
      <c r="R255" s="2" t="inlineStr">
        <is>
          <t>Lunglav</t>
        </is>
      </c>
      <c r="S255">
        <f>HYPERLINK("https://klasma.github.io/Logging_2303/artfynd/A 56599-2025 artfynd.xlsx", "A 56599-2025")</f>
        <v/>
      </c>
      <c r="T255">
        <f>HYPERLINK("https://klasma.github.io/Logging_2303/kartor/A 56599-2025 karta.png", "A 56599-2025")</f>
        <v/>
      </c>
      <c r="V255">
        <f>HYPERLINK("https://klasma.github.io/Logging_2303/klagomål/A 56599-2025 FSC-klagomål.docx", "A 56599-2025")</f>
        <v/>
      </c>
      <c r="W255">
        <f>HYPERLINK("https://klasma.github.io/Logging_2303/klagomålsmail/A 56599-2025 FSC-klagomål mail.docx", "A 56599-2025")</f>
        <v/>
      </c>
      <c r="X255">
        <f>HYPERLINK("https://klasma.github.io/Logging_2303/tillsyn/A 56599-2025 tillsynsbegäran.docx", "A 56599-2025")</f>
        <v/>
      </c>
      <c r="Y255">
        <f>HYPERLINK("https://klasma.github.io/Logging_2303/tillsynsmail/A 56599-2025 tillsynsbegäran mail.docx", "A 56599-2025")</f>
        <v/>
      </c>
    </row>
    <row r="256" ht="15" customHeight="1">
      <c r="A256" t="inlineStr">
        <is>
          <t>A 19387-2025</t>
        </is>
      </c>
      <c r="B256" s="1" t="n">
        <v>45769.65736111111</v>
      </c>
      <c r="C256" s="1" t="n">
        <v>46021</v>
      </c>
      <c r="D256" t="inlineStr">
        <is>
          <t>JÄMTLANDS LÄN</t>
        </is>
      </c>
      <c r="E256" t="inlineStr">
        <is>
          <t>RAGUNDA</t>
        </is>
      </c>
      <c r="F256" t="inlineStr">
        <is>
          <t>SCA</t>
        </is>
      </c>
      <c r="G256" t="n">
        <v>16.4</v>
      </c>
      <c r="H256" t="n">
        <v>1</v>
      </c>
      <c r="I256" t="n">
        <v>0</v>
      </c>
      <c r="J256" t="n">
        <v>0</v>
      </c>
      <c r="K256" t="n">
        <v>1</v>
      </c>
      <c r="L256" t="n">
        <v>0</v>
      </c>
      <c r="M256" t="n">
        <v>0</v>
      </c>
      <c r="N256" t="n">
        <v>0</v>
      </c>
      <c r="O256" t="n">
        <v>1</v>
      </c>
      <c r="P256" t="n">
        <v>1</v>
      </c>
      <c r="Q256" t="n">
        <v>1</v>
      </c>
      <c r="R256" s="2" t="inlineStr">
        <is>
          <t>Norna</t>
        </is>
      </c>
      <c r="S256">
        <f>HYPERLINK("https://klasma.github.io/Logging_2303/artfynd/A 19387-2025 artfynd.xlsx", "A 19387-2025")</f>
        <v/>
      </c>
      <c r="T256">
        <f>HYPERLINK("https://klasma.github.io/Logging_2303/kartor/A 19387-2025 karta.png", "A 19387-2025")</f>
        <v/>
      </c>
      <c r="V256">
        <f>HYPERLINK("https://klasma.github.io/Logging_2303/klagomål/A 19387-2025 FSC-klagomål.docx", "A 19387-2025")</f>
        <v/>
      </c>
      <c r="W256">
        <f>HYPERLINK("https://klasma.github.io/Logging_2303/klagomålsmail/A 19387-2025 FSC-klagomål mail.docx", "A 19387-2025")</f>
        <v/>
      </c>
      <c r="X256">
        <f>HYPERLINK("https://klasma.github.io/Logging_2303/tillsyn/A 19387-2025 tillsynsbegäran.docx", "A 19387-2025")</f>
        <v/>
      </c>
      <c r="Y256">
        <f>HYPERLINK("https://klasma.github.io/Logging_2303/tillsynsmail/A 19387-2025 tillsynsbegäran mail.docx", "A 19387-2025")</f>
        <v/>
      </c>
    </row>
    <row r="257" ht="15" customHeight="1">
      <c r="A257" t="inlineStr">
        <is>
          <t>A 20575-2025</t>
        </is>
      </c>
      <c r="B257" s="1" t="n">
        <v>45775.67769675926</v>
      </c>
      <c r="C257" s="1" t="n">
        <v>46021</v>
      </c>
      <c r="D257" t="inlineStr">
        <is>
          <t>JÄMTLANDS LÄN</t>
        </is>
      </c>
      <c r="E257" t="inlineStr">
        <is>
          <t>RAGUNDA</t>
        </is>
      </c>
      <c r="F257" t="inlineStr">
        <is>
          <t>SCA</t>
        </is>
      </c>
      <c r="G257" t="n">
        <v>8.1</v>
      </c>
      <c r="H257" t="n">
        <v>1</v>
      </c>
      <c r="I257" t="n">
        <v>0</v>
      </c>
      <c r="J257" t="n">
        <v>1</v>
      </c>
      <c r="K257" t="n">
        <v>0</v>
      </c>
      <c r="L257" t="n">
        <v>0</v>
      </c>
      <c r="M257" t="n">
        <v>0</v>
      </c>
      <c r="N257" t="n">
        <v>0</v>
      </c>
      <c r="O257" t="n">
        <v>1</v>
      </c>
      <c r="P257" t="n">
        <v>0</v>
      </c>
      <c r="Q257" t="n">
        <v>1</v>
      </c>
      <c r="R257" s="2" t="inlineStr">
        <is>
          <t>Skogsfru</t>
        </is>
      </c>
      <c r="S257">
        <f>HYPERLINK("https://klasma.github.io/Logging_2303/artfynd/A 20575-2025 artfynd.xlsx", "A 20575-2025")</f>
        <v/>
      </c>
      <c r="T257">
        <f>HYPERLINK("https://klasma.github.io/Logging_2303/kartor/A 20575-2025 karta.png", "A 20575-2025")</f>
        <v/>
      </c>
      <c r="V257">
        <f>HYPERLINK("https://klasma.github.io/Logging_2303/klagomål/A 20575-2025 FSC-klagomål.docx", "A 20575-2025")</f>
        <v/>
      </c>
      <c r="W257">
        <f>HYPERLINK("https://klasma.github.io/Logging_2303/klagomålsmail/A 20575-2025 FSC-klagomål mail.docx", "A 20575-2025")</f>
        <v/>
      </c>
      <c r="X257">
        <f>HYPERLINK("https://klasma.github.io/Logging_2303/tillsyn/A 20575-2025 tillsynsbegäran.docx", "A 20575-2025")</f>
        <v/>
      </c>
      <c r="Y257">
        <f>HYPERLINK("https://klasma.github.io/Logging_2303/tillsynsmail/A 20575-2025 tillsynsbegäran mail.docx", "A 20575-2025")</f>
        <v/>
      </c>
    </row>
    <row r="258" ht="15" customHeight="1">
      <c r="A258" t="inlineStr">
        <is>
          <t>A 2469-2021</t>
        </is>
      </c>
      <c r="B258" s="1" t="n">
        <v>44214</v>
      </c>
      <c r="C258" s="1" t="n">
        <v>46021</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46021</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46021</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46021</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46021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46021</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46021</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46021</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46021</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46021</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46021</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46021</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46021</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46021</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46021</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46021</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46021</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46021</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46021</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46021</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46021</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46021</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46021</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46021</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46021</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46021</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46021</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46021</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46021</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46021</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46021</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46021</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46021</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46021</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46021</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46021</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46021</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46021</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46021</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46021</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46021</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46021</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46021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46021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46021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46021</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46021</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46021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46021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46021</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46021</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46021</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46021</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46021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46021</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46021</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46021</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46021</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46021</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46021</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46021</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46021</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46021</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46021</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46021</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46021</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46021</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46021</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46021</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46021</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46021</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46021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46021</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46021</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46021</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46021</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46021</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46021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46021</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46021</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46021</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46021</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46021</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46021</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46021</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46021</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46021</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1858-2022</t>
        </is>
      </c>
      <c r="B345" s="1" t="n">
        <v>44574</v>
      </c>
      <c r="C345" s="1" t="n">
        <v>46021</v>
      </c>
      <c r="D345" t="inlineStr">
        <is>
          <t>JÄMTLANDS LÄN</t>
        </is>
      </c>
      <c r="E345" t="inlineStr">
        <is>
          <t>RAGUNDA</t>
        </is>
      </c>
      <c r="G345" t="n">
        <v>5.7</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46021</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46021</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46021</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46021</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46021</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46021</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46021</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46021</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46021</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46021</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46021</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46021</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46021</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46021</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46021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46021</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46021</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46021</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46021</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46021</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46021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46021</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46021</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46021</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46021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46021</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46021</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46021</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46021</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46021</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46021</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46021</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46021</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46021</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46021</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46021</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46021</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26945-2021</t>
        </is>
      </c>
      <c r="B383" s="1" t="n">
        <v>44349.91995370371</v>
      </c>
      <c r="C383" s="1" t="n">
        <v>46021</v>
      </c>
      <c r="D383" t="inlineStr">
        <is>
          <t>JÄMTLANDS LÄN</t>
        </is>
      </c>
      <c r="E383" t="inlineStr">
        <is>
          <t>RAGUNDA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46021</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46021</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46021</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46021</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46021</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46021</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46021</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46021</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46021</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46021</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46021</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46021</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46021</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62106-2023</t>
        </is>
      </c>
      <c r="B397" s="1" t="n">
        <v>45266.95082175926</v>
      </c>
      <c r="C397" s="1" t="n">
        <v>46021</v>
      </c>
      <c r="D397" t="inlineStr">
        <is>
          <t>JÄMTLANDS LÄN</t>
        </is>
      </c>
      <c r="E397" t="inlineStr">
        <is>
          <t>RAGUNDA</t>
        </is>
      </c>
      <c r="F397" t="inlineStr">
        <is>
          <t>SCA</t>
        </is>
      </c>
      <c r="G397" t="n">
        <v>6.6</v>
      </c>
      <c r="H397" t="n">
        <v>0</v>
      </c>
      <c r="I397" t="n">
        <v>0</v>
      </c>
      <c r="J397" t="n">
        <v>0</v>
      </c>
      <c r="K397" t="n">
        <v>0</v>
      </c>
      <c r="L397" t="n">
        <v>0</v>
      </c>
      <c r="M397" t="n">
        <v>0</v>
      </c>
      <c r="N397" t="n">
        <v>0</v>
      </c>
      <c r="O397" t="n">
        <v>0</v>
      </c>
      <c r="P397" t="n">
        <v>0</v>
      </c>
      <c r="Q397" t="n">
        <v>0</v>
      </c>
      <c r="R397" s="2" t="inlineStr"/>
    </row>
    <row r="398" ht="15" customHeight="1">
      <c r="A398" t="inlineStr">
        <is>
          <t>A 4592-2024</t>
        </is>
      </c>
      <c r="B398" s="1" t="n">
        <v>45327.94443287037</v>
      </c>
      <c r="C398" s="1" t="n">
        <v>46021</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18984-2023</t>
        </is>
      </c>
      <c r="B399" s="1" t="n">
        <v>45044</v>
      </c>
      <c r="C399" s="1" t="n">
        <v>46021</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8241-2024</t>
        </is>
      </c>
      <c r="B400" s="1" t="n">
        <v>45351.98496527778</v>
      </c>
      <c r="C400" s="1" t="n">
        <v>46021</v>
      </c>
      <c r="D400" t="inlineStr">
        <is>
          <t>JÄMTLANDS LÄN</t>
        </is>
      </c>
      <c r="E400" t="inlineStr">
        <is>
          <t>RAGUNDA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14512-2025</t>
        </is>
      </c>
      <c r="B401" s="1" t="n">
        <v>45741.63659722222</v>
      </c>
      <c r="C401" s="1" t="n">
        <v>46021</v>
      </c>
      <c r="D401" t="inlineStr">
        <is>
          <t>JÄMTLANDS LÄN</t>
        </is>
      </c>
      <c r="E401" t="inlineStr">
        <is>
          <t>RAGUNDA</t>
        </is>
      </c>
      <c r="F401" t="inlineStr">
        <is>
          <t>SCA</t>
        </is>
      </c>
      <c r="G401" t="n">
        <v>8.9</v>
      </c>
      <c r="H401" t="n">
        <v>0</v>
      </c>
      <c r="I401" t="n">
        <v>0</v>
      </c>
      <c r="J401" t="n">
        <v>0</v>
      </c>
      <c r="K401" t="n">
        <v>0</v>
      </c>
      <c r="L401" t="n">
        <v>0</v>
      </c>
      <c r="M401" t="n">
        <v>0</v>
      </c>
      <c r="N401" t="n">
        <v>0</v>
      </c>
      <c r="O401" t="n">
        <v>0</v>
      </c>
      <c r="P401" t="n">
        <v>0</v>
      </c>
      <c r="Q401" t="n">
        <v>0</v>
      </c>
      <c r="R401" s="2" t="inlineStr"/>
    </row>
    <row r="402" ht="15" customHeight="1">
      <c r="A402" t="inlineStr">
        <is>
          <t>A 22655-2021</t>
        </is>
      </c>
      <c r="B402" s="1" t="n">
        <v>44322</v>
      </c>
      <c r="C402" s="1" t="n">
        <v>46021</v>
      </c>
      <c r="D402" t="inlineStr">
        <is>
          <t>JÄMTLANDS LÄN</t>
        </is>
      </c>
      <c r="E402" t="inlineStr">
        <is>
          <t>RAGUNDA</t>
        </is>
      </c>
      <c r="G402" t="n">
        <v>5.8</v>
      </c>
      <c r="H402" t="n">
        <v>0</v>
      </c>
      <c r="I402" t="n">
        <v>0</v>
      </c>
      <c r="J402" t="n">
        <v>0</v>
      </c>
      <c r="K402" t="n">
        <v>0</v>
      </c>
      <c r="L402" t="n">
        <v>0</v>
      </c>
      <c r="M402" t="n">
        <v>0</v>
      </c>
      <c r="N402" t="n">
        <v>0</v>
      </c>
      <c r="O402" t="n">
        <v>0</v>
      </c>
      <c r="P402" t="n">
        <v>0</v>
      </c>
      <c r="Q402" t="n">
        <v>0</v>
      </c>
      <c r="R402" s="2" t="inlineStr"/>
    </row>
    <row r="403" ht="15" customHeight="1">
      <c r="A403" t="inlineStr">
        <is>
          <t>A 39192-2025</t>
        </is>
      </c>
      <c r="B403" s="1" t="n">
        <v>45888.6775</v>
      </c>
      <c r="C403" s="1" t="n">
        <v>46021</v>
      </c>
      <c r="D403" t="inlineStr">
        <is>
          <t>JÄMTLANDS LÄN</t>
        </is>
      </c>
      <c r="E403" t="inlineStr">
        <is>
          <t>RAGUNDA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53019-2023</t>
        </is>
      </c>
      <c r="B404" s="1" t="n">
        <v>45222</v>
      </c>
      <c r="C404" s="1" t="n">
        <v>46021</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59996-2023</t>
        </is>
      </c>
      <c r="B405" s="1" t="n">
        <v>45257.92826388889</v>
      </c>
      <c r="C405" s="1" t="n">
        <v>46021</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21194-2022</t>
        </is>
      </c>
      <c r="B406" s="1" t="n">
        <v>44704.9422337963</v>
      </c>
      <c r="C406" s="1" t="n">
        <v>46021</v>
      </c>
      <c r="D406" t="inlineStr">
        <is>
          <t>JÄMTLANDS LÄN</t>
        </is>
      </c>
      <c r="E406" t="inlineStr">
        <is>
          <t>RAGUNDA</t>
        </is>
      </c>
      <c r="F406" t="inlineStr">
        <is>
          <t>SCA</t>
        </is>
      </c>
      <c r="G406" t="n">
        <v>10.6</v>
      </c>
      <c r="H406" t="n">
        <v>0</v>
      </c>
      <c r="I406" t="n">
        <v>0</v>
      </c>
      <c r="J406" t="n">
        <v>0</v>
      </c>
      <c r="K406" t="n">
        <v>0</v>
      </c>
      <c r="L406" t="n">
        <v>0</v>
      </c>
      <c r="M406" t="n">
        <v>0</v>
      </c>
      <c r="N406" t="n">
        <v>0</v>
      </c>
      <c r="O406" t="n">
        <v>0</v>
      </c>
      <c r="P406" t="n">
        <v>0</v>
      </c>
      <c r="Q406" t="n">
        <v>0</v>
      </c>
      <c r="R406" s="2" t="inlineStr"/>
    </row>
    <row r="407" ht="15" customHeight="1">
      <c r="A407" t="inlineStr">
        <is>
          <t>A 1537-2024</t>
        </is>
      </c>
      <c r="B407" s="1" t="n">
        <v>45306</v>
      </c>
      <c r="C407" s="1" t="n">
        <v>46021</v>
      </c>
      <c r="D407" t="inlineStr">
        <is>
          <t>JÄMTLANDS LÄN</t>
        </is>
      </c>
      <c r="E407" t="inlineStr">
        <is>
          <t>RAGUNDA</t>
        </is>
      </c>
      <c r="G407" t="n">
        <v>0.2</v>
      </c>
      <c r="H407" t="n">
        <v>0</v>
      </c>
      <c r="I407" t="n">
        <v>0</v>
      </c>
      <c r="J407" t="n">
        <v>0</v>
      </c>
      <c r="K407" t="n">
        <v>0</v>
      </c>
      <c r="L407" t="n">
        <v>0</v>
      </c>
      <c r="M407" t="n">
        <v>0</v>
      </c>
      <c r="N407" t="n">
        <v>0</v>
      </c>
      <c r="O407" t="n">
        <v>0</v>
      </c>
      <c r="P407" t="n">
        <v>0</v>
      </c>
      <c r="Q407" t="n">
        <v>0</v>
      </c>
      <c r="R407" s="2" t="inlineStr"/>
    </row>
    <row r="408" ht="15" customHeight="1">
      <c r="A408" t="inlineStr">
        <is>
          <t>A 60313-2021</t>
        </is>
      </c>
      <c r="B408" s="1" t="n">
        <v>44495</v>
      </c>
      <c r="C408" s="1" t="n">
        <v>46021</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56193-2022</t>
        </is>
      </c>
      <c r="B409" s="1" t="n">
        <v>44889</v>
      </c>
      <c r="C409" s="1" t="n">
        <v>46021</v>
      </c>
      <c r="D409" t="inlineStr">
        <is>
          <t>JÄMTLANDS LÄN</t>
        </is>
      </c>
      <c r="E409" t="inlineStr">
        <is>
          <t>RAGUNDA</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5515-2022</t>
        </is>
      </c>
      <c r="B410" s="1" t="n">
        <v>44595</v>
      </c>
      <c r="C410" s="1" t="n">
        <v>46021</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29257-2024</t>
        </is>
      </c>
      <c r="B411" s="1" t="n">
        <v>45482.94815972223</v>
      </c>
      <c r="C411" s="1" t="n">
        <v>46021</v>
      </c>
      <c r="D411" t="inlineStr">
        <is>
          <t>JÄMTLANDS LÄN</t>
        </is>
      </c>
      <c r="E411" t="inlineStr">
        <is>
          <t>RAGUNDA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60957-2021</t>
        </is>
      </c>
      <c r="B412" s="1" t="n">
        <v>44496</v>
      </c>
      <c r="C412" s="1" t="n">
        <v>46021</v>
      </c>
      <c r="D412" t="inlineStr">
        <is>
          <t>JÄMTLANDS LÄN</t>
        </is>
      </c>
      <c r="E412" t="inlineStr">
        <is>
          <t>RAGUNDA</t>
        </is>
      </c>
      <c r="G412" t="n">
        <v>1.6</v>
      </c>
      <c r="H412" t="n">
        <v>0</v>
      </c>
      <c r="I412" t="n">
        <v>0</v>
      </c>
      <c r="J412" t="n">
        <v>0</v>
      </c>
      <c r="K412" t="n">
        <v>0</v>
      </c>
      <c r="L412" t="n">
        <v>0</v>
      </c>
      <c r="M412" t="n">
        <v>0</v>
      </c>
      <c r="N412" t="n">
        <v>0</v>
      </c>
      <c r="O412" t="n">
        <v>0</v>
      </c>
      <c r="P412" t="n">
        <v>0</v>
      </c>
      <c r="Q412" t="n">
        <v>0</v>
      </c>
      <c r="R412" s="2" t="inlineStr"/>
    </row>
    <row r="413" ht="15" customHeight="1">
      <c r="A413" t="inlineStr">
        <is>
          <t>A 55487-2023</t>
        </is>
      </c>
      <c r="B413" s="1" t="n">
        <v>45238</v>
      </c>
      <c r="C413" s="1" t="n">
        <v>46021</v>
      </c>
      <c r="D413" t="inlineStr">
        <is>
          <t>JÄMTLANDS LÄN</t>
        </is>
      </c>
      <c r="E413" t="inlineStr">
        <is>
          <t>RAGUNDA</t>
        </is>
      </c>
      <c r="G413" t="n">
        <v>3</v>
      </c>
      <c r="H413" t="n">
        <v>0</v>
      </c>
      <c r="I413" t="n">
        <v>0</v>
      </c>
      <c r="J413" t="n">
        <v>0</v>
      </c>
      <c r="K413" t="n">
        <v>0</v>
      </c>
      <c r="L413" t="n">
        <v>0</v>
      </c>
      <c r="M413" t="n">
        <v>0</v>
      </c>
      <c r="N413" t="n">
        <v>0</v>
      </c>
      <c r="O413" t="n">
        <v>0</v>
      </c>
      <c r="P413" t="n">
        <v>0</v>
      </c>
      <c r="Q413" t="n">
        <v>0</v>
      </c>
      <c r="R413" s="2" t="inlineStr"/>
    </row>
    <row r="414" ht="15" customHeight="1">
      <c r="A414" t="inlineStr">
        <is>
          <t>A 26122-2022</t>
        </is>
      </c>
      <c r="B414" s="1" t="n">
        <v>44734.94193287037</v>
      </c>
      <c r="C414" s="1" t="n">
        <v>46021</v>
      </c>
      <c r="D414" t="inlineStr">
        <is>
          <t>JÄMTLANDS LÄN</t>
        </is>
      </c>
      <c r="E414" t="inlineStr">
        <is>
          <t>RAGUNDA</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28216-2025</t>
        </is>
      </c>
      <c r="B415" s="1" t="n">
        <v>45818.46898148148</v>
      </c>
      <c r="C415" s="1" t="n">
        <v>46021</v>
      </c>
      <c r="D415" t="inlineStr">
        <is>
          <t>JÄMTLANDS LÄN</t>
        </is>
      </c>
      <c r="E415" t="inlineStr">
        <is>
          <t>RAGUNDA</t>
        </is>
      </c>
      <c r="G415" t="n">
        <v>6.6</v>
      </c>
      <c r="H415" t="n">
        <v>0</v>
      </c>
      <c r="I415" t="n">
        <v>0</v>
      </c>
      <c r="J415" t="n">
        <v>0</v>
      </c>
      <c r="K415" t="n">
        <v>0</v>
      </c>
      <c r="L415" t="n">
        <v>0</v>
      </c>
      <c r="M415" t="n">
        <v>0</v>
      </c>
      <c r="N415" t="n">
        <v>0</v>
      </c>
      <c r="O415" t="n">
        <v>0</v>
      </c>
      <c r="P415" t="n">
        <v>0</v>
      </c>
      <c r="Q415" t="n">
        <v>0</v>
      </c>
      <c r="R415" s="2" t="inlineStr"/>
    </row>
    <row r="416" ht="15" customHeight="1">
      <c r="A416" t="inlineStr">
        <is>
          <t>A 21193-2022</t>
        </is>
      </c>
      <c r="B416" s="1" t="n">
        <v>44704.94217592593</v>
      </c>
      <c r="C416" s="1" t="n">
        <v>46021</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20770-2024</t>
        </is>
      </c>
      <c r="B417" s="1" t="n">
        <v>45436.94613425926</v>
      </c>
      <c r="C417" s="1" t="n">
        <v>46021</v>
      </c>
      <c r="D417" t="inlineStr">
        <is>
          <t>JÄMTLANDS LÄN</t>
        </is>
      </c>
      <c r="E417" t="inlineStr">
        <is>
          <t>RAGUNDA</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19383-2025</t>
        </is>
      </c>
      <c r="B418" s="1" t="n">
        <v>45769.65688657408</v>
      </c>
      <c r="C418" s="1" t="n">
        <v>46021</v>
      </c>
      <c r="D418" t="inlineStr">
        <is>
          <t>JÄMTLANDS LÄN</t>
        </is>
      </c>
      <c r="E418" t="inlineStr">
        <is>
          <t>RAGUNDA</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13917-2023</t>
        </is>
      </c>
      <c r="B419" s="1" t="n">
        <v>45007</v>
      </c>
      <c r="C419" s="1" t="n">
        <v>46021</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18820-2023</t>
        </is>
      </c>
      <c r="B420" s="1" t="n">
        <v>45042</v>
      </c>
      <c r="C420" s="1" t="n">
        <v>46021</v>
      </c>
      <c r="D420" t="inlineStr">
        <is>
          <t>JÄMTLANDS LÄN</t>
        </is>
      </c>
      <c r="E420" t="inlineStr">
        <is>
          <t>RAGUNDA</t>
        </is>
      </c>
      <c r="G420" t="n">
        <v>18.8</v>
      </c>
      <c r="H420" t="n">
        <v>0</v>
      </c>
      <c r="I420" t="n">
        <v>0</v>
      </c>
      <c r="J420" t="n">
        <v>0</v>
      </c>
      <c r="K420" t="n">
        <v>0</v>
      </c>
      <c r="L420" t="n">
        <v>0</v>
      </c>
      <c r="M420" t="n">
        <v>0</v>
      </c>
      <c r="N420" t="n">
        <v>0</v>
      </c>
      <c r="O420" t="n">
        <v>0</v>
      </c>
      <c r="P420" t="n">
        <v>0</v>
      </c>
      <c r="Q420" t="n">
        <v>0</v>
      </c>
      <c r="R420" s="2" t="inlineStr"/>
    </row>
    <row r="421" ht="15" customHeight="1">
      <c r="A421" t="inlineStr">
        <is>
          <t>A 12783-2023</t>
        </is>
      </c>
      <c r="B421" s="1" t="n">
        <v>45000</v>
      </c>
      <c r="C421" s="1" t="n">
        <v>46021</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35153-2024</t>
        </is>
      </c>
      <c r="B422" s="1" t="n">
        <v>45530</v>
      </c>
      <c r="C422" s="1" t="n">
        <v>46021</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11147-2025</t>
        </is>
      </c>
      <c r="B423" s="1" t="n">
        <v>45723.67777777778</v>
      </c>
      <c r="C423" s="1" t="n">
        <v>46021</v>
      </c>
      <c r="D423" t="inlineStr">
        <is>
          <t>JÄMTLANDS LÄN</t>
        </is>
      </c>
      <c r="E423" t="inlineStr">
        <is>
          <t>RAGUNDA</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61197-2023</t>
        </is>
      </c>
      <c r="B424" s="1" t="n">
        <v>45260</v>
      </c>
      <c r="C424" s="1" t="n">
        <v>46021</v>
      </c>
      <c r="D424" t="inlineStr">
        <is>
          <t>JÄMTLANDS LÄN</t>
        </is>
      </c>
      <c r="E424" t="inlineStr">
        <is>
          <t>RAGUNDA</t>
        </is>
      </c>
      <c r="G424" t="n">
        <v>2.5</v>
      </c>
      <c r="H424" t="n">
        <v>0</v>
      </c>
      <c r="I424" t="n">
        <v>0</v>
      </c>
      <c r="J424" t="n">
        <v>0</v>
      </c>
      <c r="K424" t="n">
        <v>0</v>
      </c>
      <c r="L424" t="n">
        <v>0</v>
      </c>
      <c r="M424" t="n">
        <v>0</v>
      </c>
      <c r="N424" t="n">
        <v>0</v>
      </c>
      <c r="O424" t="n">
        <v>0</v>
      </c>
      <c r="P424" t="n">
        <v>0</v>
      </c>
      <c r="Q424" t="n">
        <v>0</v>
      </c>
      <c r="R424" s="2" t="inlineStr"/>
    </row>
    <row r="425" ht="15" customHeight="1">
      <c r="A425" t="inlineStr">
        <is>
          <t>A 24280-2021</t>
        </is>
      </c>
      <c r="B425" s="1" t="n">
        <v>44336</v>
      </c>
      <c r="C425" s="1" t="n">
        <v>46021</v>
      </c>
      <c r="D425" t="inlineStr">
        <is>
          <t>JÄMTLANDS LÄN</t>
        </is>
      </c>
      <c r="E425" t="inlineStr">
        <is>
          <t>RAGUNDA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14821-2025</t>
        </is>
      </c>
      <c r="B426" s="1" t="n">
        <v>45743.36</v>
      </c>
      <c r="C426" s="1" t="n">
        <v>46021</v>
      </c>
      <c r="D426" t="inlineStr">
        <is>
          <t>JÄMTLANDS LÄN</t>
        </is>
      </c>
      <c r="E426" t="inlineStr">
        <is>
          <t>RAGUNDA</t>
        </is>
      </c>
      <c r="F426" t="inlineStr">
        <is>
          <t>Kyrkan</t>
        </is>
      </c>
      <c r="G426" t="n">
        <v>6.4</v>
      </c>
      <c r="H426" t="n">
        <v>0</v>
      </c>
      <c r="I426" t="n">
        <v>0</v>
      </c>
      <c r="J426" t="n">
        <v>0</v>
      </c>
      <c r="K426" t="n">
        <v>0</v>
      </c>
      <c r="L426" t="n">
        <v>0</v>
      </c>
      <c r="M426" t="n">
        <v>0</v>
      </c>
      <c r="N426" t="n">
        <v>0</v>
      </c>
      <c r="O426" t="n">
        <v>0</v>
      </c>
      <c r="P426" t="n">
        <v>0</v>
      </c>
      <c r="Q426" t="n">
        <v>0</v>
      </c>
      <c r="R426" s="2" t="inlineStr"/>
    </row>
    <row r="427" ht="15" customHeight="1">
      <c r="A427" t="inlineStr">
        <is>
          <t>A 31135-2023</t>
        </is>
      </c>
      <c r="B427" s="1" t="n">
        <v>45103</v>
      </c>
      <c r="C427" s="1" t="n">
        <v>46021</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62358-2023</t>
        </is>
      </c>
      <c r="B428" s="1" t="n">
        <v>45267</v>
      </c>
      <c r="C428" s="1" t="n">
        <v>46021</v>
      </c>
      <c r="D428" t="inlineStr">
        <is>
          <t>JÄMTLANDS LÄN</t>
        </is>
      </c>
      <c r="E428" t="inlineStr">
        <is>
          <t>RAGUNDA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13767-2022</t>
        </is>
      </c>
      <c r="B429" s="1" t="n">
        <v>44649.47048611111</v>
      </c>
      <c r="C429" s="1" t="n">
        <v>46021</v>
      </c>
      <c r="D429" t="inlineStr">
        <is>
          <t>JÄMTLANDS LÄN</t>
        </is>
      </c>
      <c r="E429" t="inlineStr">
        <is>
          <t>RAGUNDA</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19264-2025</t>
        </is>
      </c>
      <c r="B430" s="1" t="n">
        <v>45769.51087962963</v>
      </c>
      <c r="C430" s="1" t="n">
        <v>46021</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22569-2023</t>
        </is>
      </c>
      <c r="B431" s="1" t="n">
        <v>45069</v>
      </c>
      <c r="C431" s="1" t="n">
        <v>46021</v>
      </c>
      <c r="D431" t="inlineStr">
        <is>
          <t>JÄMTLANDS LÄN</t>
        </is>
      </c>
      <c r="E431" t="inlineStr">
        <is>
          <t>RAGUNDA</t>
        </is>
      </c>
      <c r="G431" t="n">
        <v>6.6</v>
      </c>
      <c r="H431" t="n">
        <v>0</v>
      </c>
      <c r="I431" t="n">
        <v>0</v>
      </c>
      <c r="J431" t="n">
        <v>0</v>
      </c>
      <c r="K431" t="n">
        <v>0</v>
      </c>
      <c r="L431" t="n">
        <v>0</v>
      </c>
      <c r="M431" t="n">
        <v>0</v>
      </c>
      <c r="N431" t="n">
        <v>0</v>
      </c>
      <c r="O431" t="n">
        <v>0</v>
      </c>
      <c r="P431" t="n">
        <v>0</v>
      </c>
      <c r="Q431" t="n">
        <v>0</v>
      </c>
      <c r="R431" s="2" t="inlineStr"/>
    </row>
    <row r="432" ht="15" customHeight="1">
      <c r="A432" t="inlineStr">
        <is>
          <t>A 23304-2023</t>
        </is>
      </c>
      <c r="B432" s="1" t="n">
        <v>45075.945</v>
      </c>
      <c r="C432" s="1" t="n">
        <v>46021</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64492-2023</t>
        </is>
      </c>
      <c r="B433" s="1" t="n">
        <v>45280.92645833334</v>
      </c>
      <c r="C433" s="1" t="n">
        <v>46021</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4212-2024</t>
        </is>
      </c>
      <c r="B434" s="1" t="n">
        <v>45324</v>
      </c>
      <c r="C434" s="1" t="n">
        <v>46021</v>
      </c>
      <c r="D434" t="inlineStr">
        <is>
          <t>JÄMTLANDS LÄN</t>
        </is>
      </c>
      <c r="E434" t="inlineStr">
        <is>
          <t>RAGUNDA</t>
        </is>
      </c>
      <c r="G434" t="n">
        <v>2</v>
      </c>
      <c r="H434" t="n">
        <v>0</v>
      </c>
      <c r="I434" t="n">
        <v>0</v>
      </c>
      <c r="J434" t="n">
        <v>0</v>
      </c>
      <c r="K434" t="n">
        <v>0</v>
      </c>
      <c r="L434" t="n">
        <v>0</v>
      </c>
      <c r="M434" t="n">
        <v>0</v>
      </c>
      <c r="N434" t="n">
        <v>0</v>
      </c>
      <c r="O434" t="n">
        <v>0</v>
      </c>
      <c r="P434" t="n">
        <v>0</v>
      </c>
      <c r="Q434" t="n">
        <v>0</v>
      </c>
      <c r="R434" s="2" t="inlineStr"/>
    </row>
    <row r="435" ht="15" customHeight="1">
      <c r="A435" t="inlineStr">
        <is>
          <t>A 43405-2023</t>
        </is>
      </c>
      <c r="B435" s="1" t="n">
        <v>45183.95563657407</v>
      </c>
      <c r="C435" s="1" t="n">
        <v>46021</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28596-2021</t>
        </is>
      </c>
      <c r="B436" s="1" t="n">
        <v>44356</v>
      </c>
      <c r="C436" s="1" t="n">
        <v>46021</v>
      </c>
      <c r="D436" t="inlineStr">
        <is>
          <t>JÄMTLANDS LÄN</t>
        </is>
      </c>
      <c r="E436" t="inlineStr">
        <is>
          <t>RAGUNDA</t>
        </is>
      </c>
      <c r="G436" t="n">
        <v>5.4</v>
      </c>
      <c r="H436" t="n">
        <v>0</v>
      </c>
      <c r="I436" t="n">
        <v>0</v>
      </c>
      <c r="J436" t="n">
        <v>0</v>
      </c>
      <c r="K436" t="n">
        <v>0</v>
      </c>
      <c r="L436" t="n">
        <v>0</v>
      </c>
      <c r="M436" t="n">
        <v>0</v>
      </c>
      <c r="N436" t="n">
        <v>0</v>
      </c>
      <c r="O436" t="n">
        <v>0</v>
      </c>
      <c r="P436" t="n">
        <v>0</v>
      </c>
      <c r="Q436" t="n">
        <v>0</v>
      </c>
      <c r="R436" s="2" t="inlineStr"/>
    </row>
    <row r="437" ht="15" customHeight="1">
      <c r="A437" t="inlineStr">
        <is>
          <t>A 39384-2025</t>
        </is>
      </c>
      <c r="B437" s="1" t="n">
        <v>45889.61517361111</v>
      </c>
      <c r="C437" s="1" t="n">
        <v>46021</v>
      </c>
      <c r="D437" t="inlineStr">
        <is>
          <t>JÄMTLANDS LÄN</t>
        </is>
      </c>
      <c r="E437" t="inlineStr">
        <is>
          <t>RAGUNDA</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56984-2022</t>
        </is>
      </c>
      <c r="B438" s="1" t="n">
        <v>44894.79018518519</v>
      </c>
      <c r="C438" s="1" t="n">
        <v>46021</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36106-2022</t>
        </is>
      </c>
      <c r="B439" s="1" t="n">
        <v>44802.94811342593</v>
      </c>
      <c r="C439" s="1" t="n">
        <v>46021</v>
      </c>
      <c r="D439" t="inlineStr">
        <is>
          <t>JÄMTLANDS LÄN</t>
        </is>
      </c>
      <c r="E439" t="inlineStr">
        <is>
          <t>RAGUNDA</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5958-2023</t>
        </is>
      </c>
      <c r="B440" s="1" t="n">
        <v>44963</v>
      </c>
      <c r="C440" s="1" t="n">
        <v>46021</v>
      </c>
      <c r="D440" t="inlineStr">
        <is>
          <t>JÄMTLANDS LÄN</t>
        </is>
      </c>
      <c r="E440" t="inlineStr">
        <is>
          <t>RAGUNDA</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50521-2024</t>
        </is>
      </c>
      <c r="B441" s="1" t="n">
        <v>45601.55331018518</v>
      </c>
      <c r="C441" s="1" t="n">
        <v>46021</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29920-2024</t>
        </is>
      </c>
      <c r="B442" s="1" t="n">
        <v>45487.92856481481</v>
      </c>
      <c r="C442" s="1" t="n">
        <v>46021</v>
      </c>
      <c r="D442" t="inlineStr">
        <is>
          <t>JÄMTLANDS LÄN</t>
        </is>
      </c>
      <c r="E442" t="inlineStr">
        <is>
          <t>RAGUNDA</t>
        </is>
      </c>
      <c r="G442" t="n">
        <v>3.4</v>
      </c>
      <c r="H442" t="n">
        <v>0</v>
      </c>
      <c r="I442" t="n">
        <v>0</v>
      </c>
      <c r="J442" t="n">
        <v>0</v>
      </c>
      <c r="K442" t="n">
        <v>0</v>
      </c>
      <c r="L442" t="n">
        <v>0</v>
      </c>
      <c r="M442" t="n">
        <v>0</v>
      </c>
      <c r="N442" t="n">
        <v>0</v>
      </c>
      <c r="O442" t="n">
        <v>0</v>
      </c>
      <c r="P442" t="n">
        <v>0</v>
      </c>
      <c r="Q442" t="n">
        <v>0</v>
      </c>
      <c r="R442" s="2" t="inlineStr"/>
    </row>
    <row r="443" ht="15" customHeight="1">
      <c r="A443" t="inlineStr">
        <is>
          <t>A 62011-2022</t>
        </is>
      </c>
      <c r="B443" s="1" t="n">
        <v>44914</v>
      </c>
      <c r="C443" s="1" t="n">
        <v>46021</v>
      </c>
      <c r="D443" t="inlineStr">
        <is>
          <t>JÄMTLANDS LÄN</t>
        </is>
      </c>
      <c r="E443" t="inlineStr">
        <is>
          <t>RAGUNDA</t>
        </is>
      </c>
      <c r="G443" t="n">
        <v>0.3</v>
      </c>
      <c r="H443" t="n">
        <v>0</v>
      </c>
      <c r="I443" t="n">
        <v>0</v>
      </c>
      <c r="J443" t="n">
        <v>0</v>
      </c>
      <c r="K443" t="n">
        <v>0</v>
      </c>
      <c r="L443" t="n">
        <v>0</v>
      </c>
      <c r="M443" t="n">
        <v>0</v>
      </c>
      <c r="N443" t="n">
        <v>0</v>
      </c>
      <c r="O443" t="n">
        <v>0</v>
      </c>
      <c r="P443" t="n">
        <v>0</v>
      </c>
      <c r="Q443" t="n">
        <v>0</v>
      </c>
      <c r="R443" s="2" t="inlineStr"/>
    </row>
    <row r="444" ht="15" customHeight="1">
      <c r="A444" t="inlineStr">
        <is>
          <t>A 12585-2024</t>
        </is>
      </c>
      <c r="B444" s="1" t="n">
        <v>45379.93637731481</v>
      </c>
      <c r="C444" s="1" t="n">
        <v>46021</v>
      </c>
      <c r="D444" t="inlineStr">
        <is>
          <t>JÄMTLANDS LÄN</t>
        </is>
      </c>
      <c r="E444" t="inlineStr">
        <is>
          <t>RAGUNDA</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15581-2024</t>
        </is>
      </c>
      <c r="B445" s="1" t="n">
        <v>45401</v>
      </c>
      <c r="C445" s="1" t="n">
        <v>46021</v>
      </c>
      <c r="D445" t="inlineStr">
        <is>
          <t>JÄMTLANDS LÄN</t>
        </is>
      </c>
      <c r="E445" t="inlineStr">
        <is>
          <t>RAGUNDA</t>
        </is>
      </c>
      <c r="F445" t="inlineStr">
        <is>
          <t>Kommuner</t>
        </is>
      </c>
      <c r="G445" t="n">
        <v>2.2</v>
      </c>
      <c r="H445" t="n">
        <v>0</v>
      </c>
      <c r="I445" t="n">
        <v>0</v>
      </c>
      <c r="J445" t="n">
        <v>0</v>
      </c>
      <c r="K445" t="n">
        <v>0</v>
      </c>
      <c r="L445" t="n">
        <v>0</v>
      </c>
      <c r="M445" t="n">
        <v>0</v>
      </c>
      <c r="N445" t="n">
        <v>0</v>
      </c>
      <c r="O445" t="n">
        <v>0</v>
      </c>
      <c r="P445" t="n">
        <v>0</v>
      </c>
      <c r="Q445" t="n">
        <v>0</v>
      </c>
      <c r="R445" s="2" t="inlineStr"/>
    </row>
    <row r="446" ht="15" customHeight="1">
      <c r="A446" t="inlineStr">
        <is>
          <t>A 15611-2024</t>
        </is>
      </c>
      <c r="B446" s="1" t="n">
        <v>45401</v>
      </c>
      <c r="C446" s="1" t="n">
        <v>46021</v>
      </c>
      <c r="D446" t="inlineStr">
        <is>
          <t>JÄMTLANDS LÄN</t>
        </is>
      </c>
      <c r="E446" t="inlineStr">
        <is>
          <t>RAGUNDA</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22311-2024</t>
        </is>
      </c>
      <c r="B447" s="1" t="n">
        <v>45446.57052083333</v>
      </c>
      <c r="C447" s="1" t="n">
        <v>46021</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19866-2023</t>
        </is>
      </c>
      <c r="B448" s="1" t="n">
        <v>45053.94313657407</v>
      </c>
      <c r="C448" s="1" t="n">
        <v>46021</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11780-2024</t>
        </is>
      </c>
      <c r="B449" s="1" t="n">
        <v>45374</v>
      </c>
      <c r="C449" s="1" t="n">
        <v>46021</v>
      </c>
      <c r="D449" t="inlineStr">
        <is>
          <t>JÄMTLANDS LÄN</t>
        </is>
      </c>
      <c r="E449" t="inlineStr">
        <is>
          <t>RAGUNDA</t>
        </is>
      </c>
      <c r="G449" t="n">
        <v>14.6</v>
      </c>
      <c r="H449" t="n">
        <v>0</v>
      </c>
      <c r="I449" t="n">
        <v>0</v>
      </c>
      <c r="J449" t="n">
        <v>0</v>
      </c>
      <c r="K449" t="n">
        <v>0</v>
      </c>
      <c r="L449" t="n">
        <v>0</v>
      </c>
      <c r="M449" t="n">
        <v>0</v>
      </c>
      <c r="N449" t="n">
        <v>0</v>
      </c>
      <c r="O449" t="n">
        <v>0</v>
      </c>
      <c r="P449" t="n">
        <v>0</v>
      </c>
      <c r="Q449" t="n">
        <v>0</v>
      </c>
      <c r="R449" s="2" t="inlineStr"/>
    </row>
    <row r="450" ht="15" customHeight="1">
      <c r="A450" t="inlineStr">
        <is>
          <t>A 53935-2022</t>
        </is>
      </c>
      <c r="B450" s="1" t="n">
        <v>44880</v>
      </c>
      <c r="C450" s="1" t="n">
        <v>46021</v>
      </c>
      <c r="D450" t="inlineStr">
        <is>
          <t>JÄMTLANDS LÄN</t>
        </is>
      </c>
      <c r="E450" t="inlineStr">
        <is>
          <t>RAGUNDA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18631-2024</t>
        </is>
      </c>
      <c r="B451" s="1" t="n">
        <v>45425.96494212963</v>
      </c>
      <c r="C451" s="1" t="n">
        <v>46021</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22131-2021</t>
        </is>
      </c>
      <c r="B452" s="1" t="n">
        <v>44323</v>
      </c>
      <c r="C452" s="1" t="n">
        <v>46021</v>
      </c>
      <c r="D452" t="inlineStr">
        <is>
          <t>JÄMTLANDS LÄN</t>
        </is>
      </c>
      <c r="E452" t="inlineStr">
        <is>
          <t>RAGUNDA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59557-2023</t>
        </is>
      </c>
      <c r="B453" s="1" t="n">
        <v>45253</v>
      </c>
      <c r="C453" s="1" t="n">
        <v>46021</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38664-2022</t>
        </is>
      </c>
      <c r="B454" s="1" t="n">
        <v>44813</v>
      </c>
      <c r="C454" s="1" t="n">
        <v>46021</v>
      </c>
      <c r="D454" t="inlineStr">
        <is>
          <t>JÄMTLANDS LÄN</t>
        </is>
      </c>
      <c r="E454" t="inlineStr">
        <is>
          <t>RAGUNDA</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42893-2022</t>
        </is>
      </c>
      <c r="B455" s="1" t="n">
        <v>44832</v>
      </c>
      <c r="C455" s="1" t="n">
        <v>46021</v>
      </c>
      <c r="D455" t="inlineStr">
        <is>
          <t>JÄMTLANDS LÄN</t>
        </is>
      </c>
      <c r="E455" t="inlineStr">
        <is>
          <t>RAGUNDA</t>
        </is>
      </c>
      <c r="F455" t="inlineStr">
        <is>
          <t>SCA</t>
        </is>
      </c>
      <c r="G455" t="n">
        <v>28.4</v>
      </c>
      <c r="H455" t="n">
        <v>0</v>
      </c>
      <c r="I455" t="n">
        <v>0</v>
      </c>
      <c r="J455" t="n">
        <v>0</v>
      </c>
      <c r="K455" t="n">
        <v>0</v>
      </c>
      <c r="L455" t="n">
        <v>0</v>
      </c>
      <c r="M455" t="n">
        <v>0</v>
      </c>
      <c r="N455" t="n">
        <v>0</v>
      </c>
      <c r="O455" t="n">
        <v>0</v>
      </c>
      <c r="P455" t="n">
        <v>0</v>
      </c>
      <c r="Q455" t="n">
        <v>0</v>
      </c>
      <c r="R455" s="2" t="inlineStr"/>
    </row>
    <row r="456" ht="15" customHeight="1">
      <c r="A456" t="inlineStr">
        <is>
          <t>A 38425-2022</t>
        </is>
      </c>
      <c r="B456" s="1" t="n">
        <v>44812.94709490741</v>
      </c>
      <c r="C456" s="1" t="n">
        <v>46021</v>
      </c>
      <c r="D456" t="inlineStr">
        <is>
          <t>JÄMTLANDS LÄN</t>
        </is>
      </c>
      <c r="E456" t="inlineStr">
        <is>
          <t>RAGUNDA</t>
        </is>
      </c>
      <c r="F456" t="inlineStr">
        <is>
          <t>SCA</t>
        </is>
      </c>
      <c r="G456" t="n">
        <v>6.1</v>
      </c>
      <c r="H456" t="n">
        <v>0</v>
      </c>
      <c r="I456" t="n">
        <v>0</v>
      </c>
      <c r="J456" t="n">
        <v>0</v>
      </c>
      <c r="K456" t="n">
        <v>0</v>
      </c>
      <c r="L456" t="n">
        <v>0</v>
      </c>
      <c r="M456" t="n">
        <v>0</v>
      </c>
      <c r="N456" t="n">
        <v>0</v>
      </c>
      <c r="O456" t="n">
        <v>0</v>
      </c>
      <c r="P456" t="n">
        <v>0</v>
      </c>
      <c r="Q456" t="n">
        <v>0</v>
      </c>
      <c r="R456" s="2" t="inlineStr"/>
    </row>
    <row r="457" ht="15" customHeight="1">
      <c r="A457" t="inlineStr">
        <is>
          <t>A 36922-2022</t>
        </is>
      </c>
      <c r="B457" s="1" t="n">
        <v>44805.94592592592</v>
      </c>
      <c r="C457" s="1" t="n">
        <v>46021</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12805-2025</t>
        </is>
      </c>
      <c r="B458" s="1" t="n">
        <v>45733.61497685185</v>
      </c>
      <c r="C458" s="1" t="n">
        <v>46021</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39949-2025</t>
        </is>
      </c>
      <c r="B459" s="1" t="n">
        <v>45892.38619212963</v>
      </c>
      <c r="C459" s="1" t="n">
        <v>46021</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14513-2025</t>
        </is>
      </c>
      <c r="B460" s="1" t="n">
        <v>45741.63675925926</v>
      </c>
      <c r="C460" s="1" t="n">
        <v>46021</v>
      </c>
      <c r="D460" t="inlineStr">
        <is>
          <t>JÄMTLANDS LÄN</t>
        </is>
      </c>
      <c r="E460" t="inlineStr">
        <is>
          <t>RAGUNDA</t>
        </is>
      </c>
      <c r="F460" t="inlineStr">
        <is>
          <t>SCA</t>
        </is>
      </c>
      <c r="G460" t="n">
        <v>6.8</v>
      </c>
      <c r="H460" t="n">
        <v>0</v>
      </c>
      <c r="I460" t="n">
        <v>0</v>
      </c>
      <c r="J460" t="n">
        <v>0</v>
      </c>
      <c r="K460" t="n">
        <v>0</v>
      </c>
      <c r="L460" t="n">
        <v>0</v>
      </c>
      <c r="M460" t="n">
        <v>0</v>
      </c>
      <c r="N460" t="n">
        <v>0</v>
      </c>
      <c r="O460" t="n">
        <v>0</v>
      </c>
      <c r="P460" t="n">
        <v>0</v>
      </c>
      <c r="Q460" t="n">
        <v>0</v>
      </c>
      <c r="R460" s="2" t="inlineStr"/>
    </row>
    <row r="461" ht="15" customHeight="1">
      <c r="A461" t="inlineStr">
        <is>
          <t>A 11062-2023</t>
        </is>
      </c>
      <c r="B461" s="1" t="n">
        <v>44991</v>
      </c>
      <c r="C461" s="1" t="n">
        <v>46021</v>
      </c>
      <c r="D461" t="inlineStr">
        <is>
          <t>JÄMTLANDS LÄN</t>
        </is>
      </c>
      <c r="E461" t="inlineStr">
        <is>
          <t>RAGUNDA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39948-2025</t>
        </is>
      </c>
      <c r="B462" s="1" t="n">
        <v>45892.38591435185</v>
      </c>
      <c r="C462" s="1" t="n">
        <v>46021</v>
      </c>
      <c r="D462" t="inlineStr">
        <is>
          <t>JÄMTLANDS LÄN</t>
        </is>
      </c>
      <c r="E462" t="inlineStr">
        <is>
          <t>RAGUNDA</t>
        </is>
      </c>
      <c r="G462" t="n">
        <v>5</v>
      </c>
      <c r="H462" t="n">
        <v>0</v>
      </c>
      <c r="I462" t="n">
        <v>0</v>
      </c>
      <c r="J462" t="n">
        <v>0</v>
      </c>
      <c r="K462" t="n">
        <v>0</v>
      </c>
      <c r="L462" t="n">
        <v>0</v>
      </c>
      <c r="M462" t="n">
        <v>0</v>
      </c>
      <c r="N462" t="n">
        <v>0</v>
      </c>
      <c r="O462" t="n">
        <v>0</v>
      </c>
      <c r="P462" t="n">
        <v>0</v>
      </c>
      <c r="Q462" t="n">
        <v>0</v>
      </c>
      <c r="R462" s="2" t="inlineStr"/>
    </row>
    <row r="463" ht="15" customHeight="1">
      <c r="A463" t="inlineStr">
        <is>
          <t>A 9326-2024</t>
        </is>
      </c>
      <c r="B463" s="1" t="n">
        <v>45358.95818287037</v>
      </c>
      <c r="C463" s="1" t="n">
        <v>46021</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69153-2021</t>
        </is>
      </c>
      <c r="B464" s="1" t="n">
        <v>44530.94694444445</v>
      </c>
      <c r="C464" s="1" t="n">
        <v>46021</v>
      </c>
      <c r="D464" t="inlineStr">
        <is>
          <t>JÄMTLANDS LÄN</t>
        </is>
      </c>
      <c r="E464" t="inlineStr">
        <is>
          <t>RAGUNDA</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7281-2025</t>
        </is>
      </c>
      <c r="B465" s="1" t="n">
        <v>45702.63572916666</v>
      </c>
      <c r="C465" s="1" t="n">
        <v>46021</v>
      </c>
      <c r="D465" t="inlineStr">
        <is>
          <t>JÄMTLANDS LÄN</t>
        </is>
      </c>
      <c r="E465" t="inlineStr">
        <is>
          <t>RAGUNDA</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4882-2023</t>
        </is>
      </c>
      <c r="B466" s="1" t="n">
        <v>44957.94075231482</v>
      </c>
      <c r="C466" s="1" t="n">
        <v>46021</v>
      </c>
      <c r="D466" t="inlineStr">
        <is>
          <t>JÄMTLANDS LÄN</t>
        </is>
      </c>
      <c r="E466" t="inlineStr">
        <is>
          <t>RAGUNDA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39608-2024</t>
        </is>
      </c>
      <c r="B467" s="1" t="n">
        <v>45552.39113425926</v>
      </c>
      <c r="C467" s="1" t="n">
        <v>46021</v>
      </c>
      <c r="D467" t="inlineStr">
        <is>
          <t>JÄMTLANDS LÄN</t>
        </is>
      </c>
      <c r="E467" t="inlineStr">
        <is>
          <t>RAGUNDA</t>
        </is>
      </c>
      <c r="G467" t="n">
        <v>3.2</v>
      </c>
      <c r="H467" t="n">
        <v>0</v>
      </c>
      <c r="I467" t="n">
        <v>0</v>
      </c>
      <c r="J467" t="n">
        <v>0</v>
      </c>
      <c r="K467" t="n">
        <v>0</v>
      </c>
      <c r="L467" t="n">
        <v>0</v>
      </c>
      <c r="M467" t="n">
        <v>0</v>
      </c>
      <c r="N467" t="n">
        <v>0</v>
      </c>
      <c r="O467" t="n">
        <v>0</v>
      </c>
      <c r="P467" t="n">
        <v>0</v>
      </c>
      <c r="Q467" t="n">
        <v>0</v>
      </c>
      <c r="R467" s="2" t="inlineStr"/>
    </row>
    <row r="468" ht="15" customHeight="1">
      <c r="A468" t="inlineStr">
        <is>
          <t>A 18454-2021</t>
        </is>
      </c>
      <c r="B468" s="1" t="n">
        <v>44305.92047453704</v>
      </c>
      <c r="C468" s="1" t="n">
        <v>46021</v>
      </c>
      <c r="D468" t="inlineStr">
        <is>
          <t>JÄMTLANDS LÄN</t>
        </is>
      </c>
      <c r="E468" t="inlineStr">
        <is>
          <t>RAGUNDA</t>
        </is>
      </c>
      <c r="G468" t="n">
        <v>1.3</v>
      </c>
      <c r="H468" t="n">
        <v>0</v>
      </c>
      <c r="I468" t="n">
        <v>0</v>
      </c>
      <c r="J468" t="n">
        <v>0</v>
      </c>
      <c r="K468" t="n">
        <v>0</v>
      </c>
      <c r="L468" t="n">
        <v>0</v>
      </c>
      <c r="M468" t="n">
        <v>0</v>
      </c>
      <c r="N468" t="n">
        <v>0</v>
      </c>
      <c r="O468" t="n">
        <v>0</v>
      </c>
      <c r="P468" t="n">
        <v>0</v>
      </c>
      <c r="Q468" t="n">
        <v>0</v>
      </c>
      <c r="R468" s="2" t="inlineStr"/>
    </row>
    <row r="469" ht="15" customHeight="1">
      <c r="A469" t="inlineStr">
        <is>
          <t>A 13935-2024</t>
        </is>
      </c>
      <c r="B469" s="1" t="n">
        <v>45391.95329861111</v>
      </c>
      <c r="C469" s="1" t="n">
        <v>46021</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39947-2025</t>
        </is>
      </c>
      <c r="B470" s="1" t="n">
        <v>45892.34438657408</v>
      </c>
      <c r="C470" s="1" t="n">
        <v>46021</v>
      </c>
      <c r="D470" t="inlineStr">
        <is>
          <t>JÄMTLANDS LÄN</t>
        </is>
      </c>
      <c r="E470" t="inlineStr">
        <is>
          <t>RAGUNDA</t>
        </is>
      </c>
      <c r="G470" t="n">
        <v>6.6</v>
      </c>
      <c r="H470" t="n">
        <v>0</v>
      </c>
      <c r="I470" t="n">
        <v>0</v>
      </c>
      <c r="J470" t="n">
        <v>0</v>
      </c>
      <c r="K470" t="n">
        <v>0</v>
      </c>
      <c r="L470" t="n">
        <v>0</v>
      </c>
      <c r="M470" t="n">
        <v>0</v>
      </c>
      <c r="N470" t="n">
        <v>0</v>
      </c>
      <c r="O470" t="n">
        <v>0</v>
      </c>
      <c r="P470" t="n">
        <v>0</v>
      </c>
      <c r="Q470" t="n">
        <v>0</v>
      </c>
      <c r="R470" s="2" t="inlineStr"/>
    </row>
    <row r="471" ht="15" customHeight="1">
      <c r="A471" t="inlineStr">
        <is>
          <t>A 39951-2025</t>
        </is>
      </c>
      <c r="B471" s="1" t="n">
        <v>45892.38657407407</v>
      </c>
      <c r="C471" s="1" t="n">
        <v>46021</v>
      </c>
      <c r="D471" t="inlineStr">
        <is>
          <t>JÄMTLANDS LÄN</t>
        </is>
      </c>
      <c r="E471" t="inlineStr">
        <is>
          <t>RAGUNDA</t>
        </is>
      </c>
      <c r="G471" t="n">
        <v>2.3</v>
      </c>
      <c r="H471" t="n">
        <v>0</v>
      </c>
      <c r="I471" t="n">
        <v>0</v>
      </c>
      <c r="J471" t="n">
        <v>0</v>
      </c>
      <c r="K471" t="n">
        <v>0</v>
      </c>
      <c r="L471" t="n">
        <v>0</v>
      </c>
      <c r="M471" t="n">
        <v>0</v>
      </c>
      <c r="N471" t="n">
        <v>0</v>
      </c>
      <c r="O471" t="n">
        <v>0</v>
      </c>
      <c r="P471" t="n">
        <v>0</v>
      </c>
      <c r="Q471" t="n">
        <v>0</v>
      </c>
      <c r="R471" s="2" t="inlineStr"/>
    </row>
    <row r="472" ht="15" customHeight="1">
      <c r="A472" t="inlineStr">
        <is>
          <t>A 26455-2023</t>
        </is>
      </c>
      <c r="B472" s="1" t="n">
        <v>45092</v>
      </c>
      <c r="C472" s="1" t="n">
        <v>46021</v>
      </c>
      <c r="D472" t="inlineStr">
        <is>
          <t>JÄMTLANDS LÄN</t>
        </is>
      </c>
      <c r="E472" t="inlineStr">
        <is>
          <t>RAGUNDA</t>
        </is>
      </c>
      <c r="G472" t="n">
        <v>3.8</v>
      </c>
      <c r="H472" t="n">
        <v>0</v>
      </c>
      <c r="I472" t="n">
        <v>0</v>
      </c>
      <c r="J472" t="n">
        <v>0</v>
      </c>
      <c r="K472" t="n">
        <v>0</v>
      </c>
      <c r="L472" t="n">
        <v>0</v>
      </c>
      <c r="M472" t="n">
        <v>0</v>
      </c>
      <c r="N472" t="n">
        <v>0</v>
      </c>
      <c r="O472" t="n">
        <v>0</v>
      </c>
      <c r="P472" t="n">
        <v>0</v>
      </c>
      <c r="Q472" t="n">
        <v>0</v>
      </c>
      <c r="R472" s="2" t="inlineStr"/>
    </row>
    <row r="473" ht="15" customHeight="1">
      <c r="A473" t="inlineStr">
        <is>
          <t>A 18777-2024</t>
        </is>
      </c>
      <c r="B473" s="1" t="n">
        <v>45426</v>
      </c>
      <c r="C473" s="1" t="n">
        <v>46021</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39946-2025</t>
        </is>
      </c>
      <c r="B474" s="1" t="n">
        <v>45892.34423611111</v>
      </c>
      <c r="C474" s="1" t="n">
        <v>46021</v>
      </c>
      <c r="D474" t="inlineStr">
        <is>
          <t>JÄMTLANDS LÄN</t>
        </is>
      </c>
      <c r="E474" t="inlineStr">
        <is>
          <t>RAGUNDA</t>
        </is>
      </c>
      <c r="G474" t="n">
        <v>4.7</v>
      </c>
      <c r="H474" t="n">
        <v>0</v>
      </c>
      <c r="I474" t="n">
        <v>0</v>
      </c>
      <c r="J474" t="n">
        <v>0</v>
      </c>
      <c r="K474" t="n">
        <v>0</v>
      </c>
      <c r="L474" t="n">
        <v>0</v>
      </c>
      <c r="M474" t="n">
        <v>0</v>
      </c>
      <c r="N474" t="n">
        <v>0</v>
      </c>
      <c r="O474" t="n">
        <v>0</v>
      </c>
      <c r="P474" t="n">
        <v>0</v>
      </c>
      <c r="Q474" t="n">
        <v>0</v>
      </c>
      <c r="R474" s="2" t="inlineStr"/>
    </row>
    <row r="475" ht="15" customHeight="1">
      <c r="A475" t="inlineStr">
        <is>
          <t>A 39950-2025</t>
        </is>
      </c>
      <c r="B475" s="1" t="n">
        <v>45892.38641203703</v>
      </c>
      <c r="C475" s="1" t="n">
        <v>46021</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39955-2025</t>
        </is>
      </c>
      <c r="B476" s="1" t="n">
        <v>45892.44824074074</v>
      </c>
      <c r="C476" s="1" t="n">
        <v>46021</v>
      </c>
      <c r="D476" t="inlineStr">
        <is>
          <t>JÄMTLANDS LÄN</t>
        </is>
      </c>
      <c r="E476" t="inlineStr">
        <is>
          <t>RAGUNDA</t>
        </is>
      </c>
      <c r="G476" t="n">
        <v>1.4</v>
      </c>
      <c r="H476" t="n">
        <v>0</v>
      </c>
      <c r="I476" t="n">
        <v>0</v>
      </c>
      <c r="J476" t="n">
        <v>0</v>
      </c>
      <c r="K476" t="n">
        <v>0</v>
      </c>
      <c r="L476" t="n">
        <v>0</v>
      </c>
      <c r="M476" t="n">
        <v>0</v>
      </c>
      <c r="N476" t="n">
        <v>0</v>
      </c>
      <c r="O476" t="n">
        <v>0</v>
      </c>
      <c r="P476" t="n">
        <v>0</v>
      </c>
      <c r="Q476" t="n">
        <v>0</v>
      </c>
      <c r="R476" s="2" t="inlineStr"/>
    </row>
    <row r="477" ht="15" customHeight="1">
      <c r="A477" t="inlineStr">
        <is>
          <t>A 39956-2025</t>
        </is>
      </c>
      <c r="B477" s="1" t="n">
        <v>45892.44840277778</v>
      </c>
      <c r="C477" s="1" t="n">
        <v>46021</v>
      </c>
      <c r="D477" t="inlineStr">
        <is>
          <t>JÄMTLANDS LÄN</t>
        </is>
      </c>
      <c r="E477" t="inlineStr">
        <is>
          <t>RAGUNDA</t>
        </is>
      </c>
      <c r="G477" t="n">
        <v>3.6</v>
      </c>
      <c r="H477" t="n">
        <v>0</v>
      </c>
      <c r="I477" t="n">
        <v>0</v>
      </c>
      <c r="J477" t="n">
        <v>0</v>
      </c>
      <c r="K477" t="n">
        <v>0</v>
      </c>
      <c r="L477" t="n">
        <v>0</v>
      </c>
      <c r="M477" t="n">
        <v>0</v>
      </c>
      <c r="N477" t="n">
        <v>0</v>
      </c>
      <c r="O477" t="n">
        <v>0</v>
      </c>
      <c r="P477" t="n">
        <v>0</v>
      </c>
      <c r="Q477" t="n">
        <v>0</v>
      </c>
      <c r="R477" s="2" t="inlineStr"/>
    </row>
    <row r="478" ht="15" customHeight="1">
      <c r="A478" t="inlineStr">
        <is>
          <t>A 6801-2023</t>
        </is>
      </c>
      <c r="B478" s="1" t="n">
        <v>44966.95328703704</v>
      </c>
      <c r="C478" s="1" t="n">
        <v>46021</v>
      </c>
      <c r="D478" t="inlineStr">
        <is>
          <t>JÄMTLANDS LÄN</t>
        </is>
      </c>
      <c r="E478" t="inlineStr">
        <is>
          <t>RAGUNDA</t>
        </is>
      </c>
      <c r="F478" t="inlineStr">
        <is>
          <t>SCA</t>
        </is>
      </c>
      <c r="G478" t="n">
        <v>10.6</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46021</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59670-2023</t>
        </is>
      </c>
      <c r="B480" s="1" t="n">
        <v>45254.96516203704</v>
      </c>
      <c r="C480" s="1" t="n">
        <v>46021</v>
      </c>
      <c r="D480" t="inlineStr">
        <is>
          <t>JÄMTLANDS LÄN</t>
        </is>
      </c>
      <c r="E480" t="inlineStr">
        <is>
          <t>RAGUNDA</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40586-2025</t>
        </is>
      </c>
      <c r="B481" s="1" t="n">
        <v>45896.52478009259</v>
      </c>
      <c r="C481" s="1" t="n">
        <v>46021</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58193-2022</t>
        </is>
      </c>
      <c r="B482" s="1" t="n">
        <v>44900.95700231481</v>
      </c>
      <c r="C482" s="1" t="n">
        <v>46021</v>
      </c>
      <c r="D482" t="inlineStr">
        <is>
          <t>JÄMTLANDS LÄN</t>
        </is>
      </c>
      <c r="E482" t="inlineStr">
        <is>
          <t>RAGUNDA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18194-2025</t>
        </is>
      </c>
      <c r="B483" s="1" t="n">
        <v>45761.67744212963</v>
      </c>
      <c r="C483" s="1" t="n">
        <v>46021</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26991-2023</t>
        </is>
      </c>
      <c r="B484" s="1" t="n">
        <v>45093.92207175926</v>
      </c>
      <c r="C484" s="1" t="n">
        <v>46021</v>
      </c>
      <c r="D484" t="inlineStr">
        <is>
          <t>JÄMTLANDS LÄN</t>
        </is>
      </c>
      <c r="E484" t="inlineStr">
        <is>
          <t>RAGUNDA</t>
        </is>
      </c>
      <c r="G484" t="n">
        <v>1.4</v>
      </c>
      <c r="H484" t="n">
        <v>0</v>
      </c>
      <c r="I484" t="n">
        <v>0</v>
      </c>
      <c r="J484" t="n">
        <v>0</v>
      </c>
      <c r="K484" t="n">
        <v>0</v>
      </c>
      <c r="L484" t="n">
        <v>0</v>
      </c>
      <c r="M484" t="n">
        <v>0</v>
      </c>
      <c r="N484" t="n">
        <v>0</v>
      </c>
      <c r="O484" t="n">
        <v>0</v>
      </c>
      <c r="P484" t="n">
        <v>0</v>
      </c>
      <c r="Q484" t="n">
        <v>0</v>
      </c>
      <c r="R484" s="2" t="inlineStr"/>
    </row>
    <row r="485" ht="15" customHeight="1">
      <c r="A485" t="inlineStr">
        <is>
          <t>A 13299-2024</t>
        </is>
      </c>
      <c r="B485" s="1" t="n">
        <v>45386.68003472222</v>
      </c>
      <c r="C485" s="1" t="n">
        <v>46021</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58537-2022</t>
        </is>
      </c>
      <c r="B486" s="1" t="n">
        <v>44894</v>
      </c>
      <c r="C486" s="1" t="n">
        <v>46021</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53347-2023</t>
        </is>
      </c>
      <c r="B487" s="1" t="n">
        <v>45223</v>
      </c>
      <c r="C487" s="1" t="n">
        <v>46021</v>
      </c>
      <c r="D487" t="inlineStr">
        <is>
          <t>JÄMTLANDS LÄN</t>
        </is>
      </c>
      <c r="E487" t="inlineStr">
        <is>
          <t>RAGUNDA</t>
        </is>
      </c>
      <c r="G487" t="n">
        <v>1.6</v>
      </c>
      <c r="H487" t="n">
        <v>0</v>
      </c>
      <c r="I487" t="n">
        <v>0</v>
      </c>
      <c r="J487" t="n">
        <v>0</v>
      </c>
      <c r="K487" t="n">
        <v>0</v>
      </c>
      <c r="L487" t="n">
        <v>0</v>
      </c>
      <c r="M487" t="n">
        <v>0</v>
      </c>
      <c r="N487" t="n">
        <v>0</v>
      </c>
      <c r="O487" t="n">
        <v>0</v>
      </c>
      <c r="P487" t="n">
        <v>0</v>
      </c>
      <c r="Q487" t="n">
        <v>0</v>
      </c>
      <c r="R487" s="2" t="inlineStr"/>
    </row>
    <row r="488" ht="15" customHeight="1">
      <c r="A488" t="inlineStr">
        <is>
          <t>A 10641-2024</t>
        </is>
      </c>
      <c r="B488" s="1" t="n">
        <v>45367.69850694444</v>
      </c>
      <c r="C488" s="1" t="n">
        <v>46021</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10644-2024</t>
        </is>
      </c>
      <c r="B489" s="1" t="n">
        <v>45367.71348379629</v>
      </c>
      <c r="C489" s="1" t="n">
        <v>46021</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17559-2023</t>
        </is>
      </c>
      <c r="B490" s="1" t="n">
        <v>45034</v>
      </c>
      <c r="C490" s="1" t="n">
        <v>46021</v>
      </c>
      <c r="D490" t="inlineStr">
        <is>
          <t>JÄMTLANDS LÄN</t>
        </is>
      </c>
      <c r="E490" t="inlineStr">
        <is>
          <t>RAGUNDA</t>
        </is>
      </c>
      <c r="G490" t="n">
        <v>7.5</v>
      </c>
      <c r="H490" t="n">
        <v>0</v>
      </c>
      <c r="I490" t="n">
        <v>0</v>
      </c>
      <c r="J490" t="n">
        <v>0</v>
      </c>
      <c r="K490" t="n">
        <v>0</v>
      </c>
      <c r="L490" t="n">
        <v>0</v>
      </c>
      <c r="M490" t="n">
        <v>0</v>
      </c>
      <c r="N490" t="n">
        <v>0</v>
      </c>
      <c r="O490" t="n">
        <v>0</v>
      </c>
      <c r="P490" t="n">
        <v>0</v>
      </c>
      <c r="Q490" t="n">
        <v>0</v>
      </c>
      <c r="R490" s="2" t="inlineStr"/>
    </row>
    <row r="491" ht="15" customHeight="1">
      <c r="A491" t="inlineStr">
        <is>
          <t>A 22948-2024</t>
        </is>
      </c>
      <c r="B491" s="1" t="n">
        <v>45448.94600694445</v>
      </c>
      <c r="C491" s="1" t="n">
        <v>46021</v>
      </c>
      <c r="D491" t="inlineStr">
        <is>
          <t>JÄMTLANDS LÄN</t>
        </is>
      </c>
      <c r="E491" t="inlineStr">
        <is>
          <t>RAGUNDA</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30826-2023</t>
        </is>
      </c>
      <c r="B492" s="1" t="n">
        <v>45112</v>
      </c>
      <c r="C492" s="1" t="n">
        <v>46021</v>
      </c>
      <c r="D492" t="inlineStr">
        <is>
          <t>JÄMTLANDS LÄN</t>
        </is>
      </c>
      <c r="E492" t="inlineStr">
        <is>
          <t>RAGUNDA</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56191-2022</t>
        </is>
      </c>
      <c r="B493" s="1" t="n">
        <v>44889.95015046297</v>
      </c>
      <c r="C493" s="1" t="n">
        <v>46021</v>
      </c>
      <c r="D493" t="inlineStr">
        <is>
          <t>JÄMTLANDS LÄN</t>
        </is>
      </c>
      <c r="E493" t="inlineStr">
        <is>
          <t>RAGUNDA</t>
        </is>
      </c>
      <c r="F493" t="inlineStr">
        <is>
          <t>Sveaskog</t>
        </is>
      </c>
      <c r="G493" t="n">
        <v>3</v>
      </c>
      <c r="H493" t="n">
        <v>0</v>
      </c>
      <c r="I493" t="n">
        <v>0</v>
      </c>
      <c r="J493" t="n">
        <v>0</v>
      </c>
      <c r="K493" t="n">
        <v>0</v>
      </c>
      <c r="L493" t="n">
        <v>0</v>
      </c>
      <c r="M493" t="n">
        <v>0</v>
      </c>
      <c r="N493" t="n">
        <v>0</v>
      </c>
      <c r="O493" t="n">
        <v>0</v>
      </c>
      <c r="P493" t="n">
        <v>0</v>
      </c>
      <c r="Q493" t="n">
        <v>0</v>
      </c>
      <c r="R493" s="2" t="inlineStr"/>
    </row>
    <row r="494" ht="15" customHeight="1">
      <c r="A494" t="inlineStr">
        <is>
          <t>A 53678-2022</t>
        </is>
      </c>
      <c r="B494" s="1" t="n">
        <v>44879.95768518518</v>
      </c>
      <c r="C494" s="1" t="n">
        <v>46021</v>
      </c>
      <c r="D494" t="inlineStr">
        <is>
          <t>JÄMTLANDS LÄN</t>
        </is>
      </c>
      <c r="E494" t="inlineStr">
        <is>
          <t>RAGUNDA</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14369-2024</t>
        </is>
      </c>
      <c r="B495" s="1" t="n">
        <v>45393.94459490741</v>
      </c>
      <c r="C495" s="1" t="n">
        <v>46021</v>
      </c>
      <c r="D495" t="inlineStr">
        <is>
          <t>JÄMTLANDS LÄN</t>
        </is>
      </c>
      <c r="E495" t="inlineStr">
        <is>
          <t>RAGUNDA</t>
        </is>
      </c>
      <c r="F495" t="inlineStr">
        <is>
          <t>Naturvårdsverket</t>
        </is>
      </c>
      <c r="G495" t="n">
        <v>1.8</v>
      </c>
      <c r="H495" t="n">
        <v>0</v>
      </c>
      <c r="I495" t="n">
        <v>0</v>
      </c>
      <c r="J495" t="n">
        <v>0</v>
      </c>
      <c r="K495" t="n">
        <v>0</v>
      </c>
      <c r="L495" t="n">
        <v>0</v>
      </c>
      <c r="M495" t="n">
        <v>0</v>
      </c>
      <c r="N495" t="n">
        <v>0</v>
      </c>
      <c r="O495" t="n">
        <v>0</v>
      </c>
      <c r="P495" t="n">
        <v>0</v>
      </c>
      <c r="Q495" t="n">
        <v>0</v>
      </c>
      <c r="R495" s="2" t="inlineStr"/>
    </row>
    <row r="496" ht="15" customHeight="1">
      <c r="A496" t="inlineStr">
        <is>
          <t>A 10639-2024</t>
        </is>
      </c>
      <c r="B496" s="1" t="n">
        <v>45367.67256944445</v>
      </c>
      <c r="C496" s="1" t="n">
        <v>46021</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33621-2023</t>
        </is>
      </c>
      <c r="B497" s="1" t="n">
        <v>45119</v>
      </c>
      <c r="C497" s="1" t="n">
        <v>46021</v>
      </c>
      <c r="D497" t="inlineStr">
        <is>
          <t>JÄMTLANDS LÄN</t>
        </is>
      </c>
      <c r="E497" t="inlineStr">
        <is>
          <t>RAGUNDA</t>
        </is>
      </c>
      <c r="G497" t="n">
        <v>0.5</v>
      </c>
      <c r="H497" t="n">
        <v>0</v>
      </c>
      <c r="I497" t="n">
        <v>0</v>
      </c>
      <c r="J497" t="n">
        <v>0</v>
      </c>
      <c r="K497" t="n">
        <v>0</v>
      </c>
      <c r="L497" t="n">
        <v>0</v>
      </c>
      <c r="M497" t="n">
        <v>0</v>
      </c>
      <c r="N497" t="n">
        <v>0</v>
      </c>
      <c r="O497" t="n">
        <v>0</v>
      </c>
      <c r="P497" t="n">
        <v>0</v>
      </c>
      <c r="Q497" t="n">
        <v>0</v>
      </c>
      <c r="R497" s="2" t="inlineStr"/>
    </row>
    <row r="498" ht="15" customHeight="1">
      <c r="A498" t="inlineStr">
        <is>
          <t>A 65216-2023</t>
        </is>
      </c>
      <c r="B498" s="1" t="n">
        <v>45289</v>
      </c>
      <c r="C498" s="1" t="n">
        <v>46021</v>
      </c>
      <c r="D498" t="inlineStr">
        <is>
          <t>JÄMTLANDS LÄN</t>
        </is>
      </c>
      <c r="E498" t="inlineStr">
        <is>
          <t>RAGUNDA</t>
        </is>
      </c>
      <c r="G498" t="n">
        <v>2.9</v>
      </c>
      <c r="H498" t="n">
        <v>0</v>
      </c>
      <c r="I498" t="n">
        <v>0</v>
      </c>
      <c r="J498" t="n">
        <v>0</v>
      </c>
      <c r="K498" t="n">
        <v>0</v>
      </c>
      <c r="L498" t="n">
        <v>0</v>
      </c>
      <c r="M498" t="n">
        <v>0</v>
      </c>
      <c r="N498" t="n">
        <v>0</v>
      </c>
      <c r="O498" t="n">
        <v>0</v>
      </c>
      <c r="P498" t="n">
        <v>0</v>
      </c>
      <c r="Q498" t="n">
        <v>0</v>
      </c>
      <c r="R498" s="2" t="inlineStr"/>
    </row>
    <row r="499" ht="15" customHeight="1">
      <c r="A499" t="inlineStr">
        <is>
          <t>A 60838-2023</t>
        </is>
      </c>
      <c r="B499" s="1" t="n">
        <v>45260.92561342593</v>
      </c>
      <c r="C499" s="1" t="n">
        <v>46021</v>
      </c>
      <c r="D499" t="inlineStr">
        <is>
          <t>JÄMTLANDS LÄN</t>
        </is>
      </c>
      <c r="E499" t="inlineStr">
        <is>
          <t>RAGUNDA</t>
        </is>
      </c>
      <c r="G499" t="n">
        <v>2.7</v>
      </c>
      <c r="H499" t="n">
        <v>0</v>
      </c>
      <c r="I499" t="n">
        <v>0</v>
      </c>
      <c r="J499" t="n">
        <v>0</v>
      </c>
      <c r="K499" t="n">
        <v>0</v>
      </c>
      <c r="L499" t="n">
        <v>0</v>
      </c>
      <c r="M499" t="n">
        <v>0</v>
      </c>
      <c r="N499" t="n">
        <v>0</v>
      </c>
      <c r="O499" t="n">
        <v>0</v>
      </c>
      <c r="P499" t="n">
        <v>0</v>
      </c>
      <c r="Q499" t="n">
        <v>0</v>
      </c>
      <c r="R499" s="2" t="inlineStr"/>
    </row>
    <row r="500" ht="15" customHeight="1">
      <c r="A500" t="inlineStr">
        <is>
          <t>A 2133-2023</t>
        </is>
      </c>
      <c r="B500" s="1" t="n">
        <v>44939</v>
      </c>
      <c r="C500" s="1" t="n">
        <v>46021</v>
      </c>
      <c r="D500" t="inlineStr">
        <is>
          <t>JÄMTLANDS LÄN</t>
        </is>
      </c>
      <c r="E500" t="inlineStr">
        <is>
          <t>RAGUNDA</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50649-2022</t>
        </is>
      </c>
      <c r="B501" s="1" t="n">
        <v>44866</v>
      </c>
      <c r="C501" s="1" t="n">
        <v>46021</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49647-2024</t>
        </is>
      </c>
      <c r="B502" s="1" t="n">
        <v>45596.61533564814</v>
      </c>
      <c r="C502" s="1" t="n">
        <v>46021</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41161-2025</t>
        </is>
      </c>
      <c r="B503" s="1" t="n">
        <v>45898.53193287037</v>
      </c>
      <c r="C503" s="1" t="n">
        <v>46021</v>
      </c>
      <c r="D503" t="inlineStr">
        <is>
          <t>JÄMTLANDS LÄN</t>
        </is>
      </c>
      <c r="E503" t="inlineStr">
        <is>
          <t>RAGUNDA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46021</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60195-2023</t>
        </is>
      </c>
      <c r="B505" s="1" t="n">
        <v>45257</v>
      </c>
      <c r="C505" s="1" t="n">
        <v>46021</v>
      </c>
      <c r="D505" t="inlineStr">
        <is>
          <t>JÄMTLANDS LÄN</t>
        </is>
      </c>
      <c r="E505" t="inlineStr">
        <is>
          <t>RAGUNDA</t>
        </is>
      </c>
      <c r="G505" t="n">
        <v>1.7</v>
      </c>
      <c r="H505" t="n">
        <v>0</v>
      </c>
      <c r="I505" t="n">
        <v>0</v>
      </c>
      <c r="J505" t="n">
        <v>0</v>
      </c>
      <c r="K505" t="n">
        <v>0</v>
      </c>
      <c r="L505" t="n">
        <v>0</v>
      </c>
      <c r="M505" t="n">
        <v>0</v>
      </c>
      <c r="N505" t="n">
        <v>0</v>
      </c>
      <c r="O505" t="n">
        <v>0</v>
      </c>
      <c r="P505" t="n">
        <v>0</v>
      </c>
      <c r="Q505" t="n">
        <v>0</v>
      </c>
      <c r="R505" s="2" t="inlineStr"/>
    </row>
    <row r="506" ht="15" customHeight="1">
      <c r="A506" t="inlineStr">
        <is>
          <t>A 64415-2023</t>
        </is>
      </c>
      <c r="B506" s="1" t="n">
        <v>45280</v>
      </c>
      <c r="C506" s="1" t="n">
        <v>46021</v>
      </c>
      <c r="D506" t="inlineStr">
        <is>
          <t>JÄMTLANDS LÄN</t>
        </is>
      </c>
      <c r="E506" t="inlineStr">
        <is>
          <t>RAGUNDA</t>
        </is>
      </c>
      <c r="G506" t="n">
        <v>5.1</v>
      </c>
      <c r="H506" t="n">
        <v>0</v>
      </c>
      <c r="I506" t="n">
        <v>0</v>
      </c>
      <c r="J506" t="n">
        <v>0</v>
      </c>
      <c r="K506" t="n">
        <v>0</v>
      </c>
      <c r="L506" t="n">
        <v>0</v>
      </c>
      <c r="M506" t="n">
        <v>0</v>
      </c>
      <c r="N506" t="n">
        <v>0</v>
      </c>
      <c r="O506" t="n">
        <v>0</v>
      </c>
      <c r="P506" t="n">
        <v>0</v>
      </c>
      <c r="Q506" t="n">
        <v>0</v>
      </c>
      <c r="R506" s="2" t="inlineStr"/>
    </row>
    <row r="507" ht="15" customHeight="1">
      <c r="A507" t="inlineStr">
        <is>
          <t>A 41140-2025</t>
        </is>
      </c>
      <c r="B507" s="1" t="n">
        <v>45898.49012731481</v>
      </c>
      <c r="C507" s="1" t="n">
        <v>46021</v>
      </c>
      <c r="D507" t="inlineStr">
        <is>
          <t>JÄMTLANDS LÄN</t>
        </is>
      </c>
      <c r="E507" t="inlineStr">
        <is>
          <t>RAGUNDA</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2819-2023</t>
        </is>
      </c>
      <c r="B508" s="1" t="n">
        <v>44944</v>
      </c>
      <c r="C508" s="1" t="n">
        <v>46021</v>
      </c>
      <c r="D508" t="inlineStr">
        <is>
          <t>JÄMTLANDS LÄN</t>
        </is>
      </c>
      <c r="E508" t="inlineStr">
        <is>
          <t>RAGUNDA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182-2023</t>
        </is>
      </c>
      <c r="B509" s="1" t="n">
        <v>44922</v>
      </c>
      <c r="C509" s="1" t="n">
        <v>46021</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66011-2021</t>
        </is>
      </c>
      <c r="B510" s="1" t="n">
        <v>44517.58137731482</v>
      </c>
      <c r="C510" s="1" t="n">
        <v>46021</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38782-2021</t>
        </is>
      </c>
      <c r="B511" s="1" t="n">
        <v>44410</v>
      </c>
      <c r="C511" s="1" t="n">
        <v>46021</v>
      </c>
      <c r="D511" t="inlineStr">
        <is>
          <t>JÄMTLANDS LÄN</t>
        </is>
      </c>
      <c r="E511" t="inlineStr">
        <is>
          <t>RAGUNDA</t>
        </is>
      </c>
      <c r="G511" t="n">
        <v>3.2</v>
      </c>
      <c r="H511" t="n">
        <v>0</v>
      </c>
      <c r="I511" t="n">
        <v>0</v>
      </c>
      <c r="J511" t="n">
        <v>0</v>
      </c>
      <c r="K511" t="n">
        <v>0</v>
      </c>
      <c r="L511" t="n">
        <v>0</v>
      </c>
      <c r="M511" t="n">
        <v>0</v>
      </c>
      <c r="N511" t="n">
        <v>0</v>
      </c>
      <c r="O511" t="n">
        <v>0</v>
      </c>
      <c r="P511" t="n">
        <v>0</v>
      </c>
      <c r="Q511" t="n">
        <v>0</v>
      </c>
      <c r="R511" s="2" t="inlineStr"/>
    </row>
    <row r="512" ht="15" customHeight="1">
      <c r="A512" t="inlineStr">
        <is>
          <t>A 16250-2022</t>
        </is>
      </c>
      <c r="B512" s="1" t="n">
        <v>44670</v>
      </c>
      <c r="C512" s="1" t="n">
        <v>46021</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32904-2024</t>
        </is>
      </c>
      <c r="B513" s="1" t="n">
        <v>45516.94732638889</v>
      </c>
      <c r="C513" s="1" t="n">
        <v>46021</v>
      </c>
      <c r="D513" t="inlineStr">
        <is>
          <t>JÄMTLANDS LÄN</t>
        </is>
      </c>
      <c r="E513" t="inlineStr">
        <is>
          <t>RAGUNDA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13334-2024</t>
        </is>
      </c>
      <c r="B514" s="1" t="n">
        <v>45386</v>
      </c>
      <c r="C514" s="1" t="n">
        <v>46021</v>
      </c>
      <c r="D514" t="inlineStr">
        <is>
          <t>JÄMTLANDS LÄN</t>
        </is>
      </c>
      <c r="E514" t="inlineStr">
        <is>
          <t>RAGUNDA</t>
        </is>
      </c>
      <c r="G514" t="n">
        <v>8.6</v>
      </c>
      <c r="H514" t="n">
        <v>0</v>
      </c>
      <c r="I514" t="n">
        <v>0</v>
      </c>
      <c r="J514" t="n">
        <v>0</v>
      </c>
      <c r="K514" t="n">
        <v>0</v>
      </c>
      <c r="L514" t="n">
        <v>0</v>
      </c>
      <c r="M514" t="n">
        <v>0</v>
      </c>
      <c r="N514" t="n">
        <v>0</v>
      </c>
      <c r="O514" t="n">
        <v>0</v>
      </c>
      <c r="P514" t="n">
        <v>0</v>
      </c>
      <c r="Q514" t="n">
        <v>0</v>
      </c>
      <c r="R514" s="2" t="inlineStr"/>
    </row>
    <row r="515" ht="15" customHeight="1">
      <c r="A515" t="inlineStr">
        <is>
          <t>A 55669-2023</t>
        </is>
      </c>
      <c r="B515" s="1" t="n">
        <v>45238.96797453704</v>
      </c>
      <c r="C515" s="1" t="n">
        <v>46021</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51389-2024</t>
        </is>
      </c>
      <c r="B516" s="1" t="n">
        <v>45604.40540509259</v>
      </c>
      <c r="C516" s="1" t="n">
        <v>46021</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51393-2024</t>
        </is>
      </c>
      <c r="B517" s="1" t="n">
        <v>45604.41625</v>
      </c>
      <c r="C517" s="1" t="n">
        <v>46021</v>
      </c>
      <c r="D517" t="inlineStr">
        <is>
          <t>JÄMTLANDS LÄN</t>
        </is>
      </c>
      <c r="E517" t="inlineStr">
        <is>
          <t>RAGUNDA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43339-2024</t>
        </is>
      </c>
      <c r="B518" s="1" t="n">
        <v>45568.51075231482</v>
      </c>
      <c r="C518" s="1" t="n">
        <v>46021</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23528-2024</t>
        </is>
      </c>
      <c r="B519" s="1" t="n">
        <v>45453.95016203704</v>
      </c>
      <c r="C519" s="1" t="n">
        <v>46021</v>
      </c>
      <c r="D519" t="inlineStr">
        <is>
          <t>JÄMTLANDS LÄN</t>
        </is>
      </c>
      <c r="E519" t="inlineStr">
        <is>
          <t>RAGUNDA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38548-2024</t>
        </is>
      </c>
      <c r="B520" s="1" t="n">
        <v>45546</v>
      </c>
      <c r="C520" s="1" t="n">
        <v>46021</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41233-2025</t>
        </is>
      </c>
      <c r="B521" s="1" t="n">
        <v>45898.59295138889</v>
      </c>
      <c r="C521" s="1" t="n">
        <v>46021</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41262-2025</t>
        </is>
      </c>
      <c r="B522" s="1" t="n">
        <v>45898.61502314815</v>
      </c>
      <c r="C522" s="1" t="n">
        <v>46021</v>
      </c>
      <c r="D522" t="inlineStr">
        <is>
          <t>JÄMTLANDS LÄN</t>
        </is>
      </c>
      <c r="E522" t="inlineStr">
        <is>
          <t>RAGUNDA</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26026-2024</t>
        </is>
      </c>
      <c r="B523" s="1" t="n">
        <v>45467.96207175926</v>
      </c>
      <c r="C523" s="1" t="n">
        <v>46021</v>
      </c>
      <c r="D523" t="inlineStr">
        <is>
          <t>JÄMTLANDS LÄN</t>
        </is>
      </c>
      <c r="E523" t="inlineStr">
        <is>
          <t>RAGUNDA</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22412-2024</t>
        </is>
      </c>
      <c r="B524" s="1" t="n">
        <v>45446.68947916666</v>
      </c>
      <c r="C524" s="1" t="n">
        <v>46021</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24196-2024</t>
        </is>
      </c>
      <c r="B525" s="1" t="n">
        <v>45456.96569444444</v>
      </c>
      <c r="C525" s="1" t="n">
        <v>46021</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5971-2025</t>
        </is>
      </c>
      <c r="B526" s="1" t="n">
        <v>45695.51070601852</v>
      </c>
      <c r="C526" s="1" t="n">
        <v>46021</v>
      </c>
      <c r="D526" t="inlineStr">
        <is>
          <t>JÄMTLANDS LÄN</t>
        </is>
      </c>
      <c r="E526" t="inlineStr">
        <is>
          <t>RAGUNDA</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55701-2021</t>
        </is>
      </c>
      <c r="B527" s="1" t="n">
        <v>44475</v>
      </c>
      <c r="C527" s="1" t="n">
        <v>46021</v>
      </c>
      <c r="D527" t="inlineStr">
        <is>
          <t>JÄMTLANDS LÄN</t>
        </is>
      </c>
      <c r="E527" t="inlineStr">
        <is>
          <t>RAGUNDA</t>
        </is>
      </c>
      <c r="G527" t="n">
        <v>5.6</v>
      </c>
      <c r="H527" t="n">
        <v>0</v>
      </c>
      <c r="I527" t="n">
        <v>0</v>
      </c>
      <c r="J527" t="n">
        <v>0</v>
      </c>
      <c r="K527" t="n">
        <v>0</v>
      </c>
      <c r="L527" t="n">
        <v>0</v>
      </c>
      <c r="M527" t="n">
        <v>0</v>
      </c>
      <c r="N527" t="n">
        <v>0</v>
      </c>
      <c r="O527" t="n">
        <v>0</v>
      </c>
      <c r="P527" t="n">
        <v>0</v>
      </c>
      <c r="Q527" t="n">
        <v>0</v>
      </c>
      <c r="R527" s="2" t="inlineStr"/>
    </row>
    <row r="528" ht="15" customHeight="1">
      <c r="A528" t="inlineStr">
        <is>
          <t>A 51537-2022</t>
        </is>
      </c>
      <c r="B528" s="1" t="n">
        <v>44869</v>
      </c>
      <c r="C528" s="1" t="n">
        <v>46021</v>
      </c>
      <c r="D528" t="inlineStr">
        <is>
          <t>JÄMTLANDS LÄN</t>
        </is>
      </c>
      <c r="E528" t="inlineStr">
        <is>
          <t>RAGUNDA</t>
        </is>
      </c>
      <c r="G528" t="n">
        <v>1.8</v>
      </c>
      <c r="H528" t="n">
        <v>0</v>
      </c>
      <c r="I528" t="n">
        <v>0</v>
      </c>
      <c r="J528" t="n">
        <v>0</v>
      </c>
      <c r="K528" t="n">
        <v>0</v>
      </c>
      <c r="L528" t="n">
        <v>0</v>
      </c>
      <c r="M528" t="n">
        <v>0</v>
      </c>
      <c r="N528" t="n">
        <v>0</v>
      </c>
      <c r="O528" t="n">
        <v>0</v>
      </c>
      <c r="P528" t="n">
        <v>0</v>
      </c>
      <c r="Q528" t="n">
        <v>0</v>
      </c>
      <c r="R528" s="2" t="inlineStr"/>
    </row>
    <row r="529" ht="15" customHeight="1">
      <c r="A529" t="inlineStr">
        <is>
          <t>A 24171-2021</t>
        </is>
      </c>
      <c r="B529" s="1" t="n">
        <v>44336</v>
      </c>
      <c r="C529" s="1" t="n">
        <v>46021</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12995-2023</t>
        </is>
      </c>
      <c r="B530" s="1" t="n">
        <v>45002.0328125</v>
      </c>
      <c r="C530" s="1" t="n">
        <v>46021</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41422-2025</t>
        </is>
      </c>
      <c r="B531" s="1" t="n">
        <v>45901.38572916666</v>
      </c>
      <c r="C531" s="1" t="n">
        <v>46021</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2224-2024</t>
        </is>
      </c>
      <c r="B532" s="1" t="n">
        <v>45309.92524305556</v>
      </c>
      <c r="C532" s="1" t="n">
        <v>46021</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46021</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41423-2025</t>
        </is>
      </c>
      <c r="B534" s="1" t="n">
        <v>45901.38578703703</v>
      </c>
      <c r="C534" s="1" t="n">
        <v>46021</v>
      </c>
      <c r="D534" t="inlineStr">
        <is>
          <t>JÄMTLANDS LÄN</t>
        </is>
      </c>
      <c r="E534" t="inlineStr">
        <is>
          <t>RAGUNDA</t>
        </is>
      </c>
      <c r="G534" t="n">
        <v>0.7</v>
      </c>
      <c r="H534" t="n">
        <v>0</v>
      </c>
      <c r="I534" t="n">
        <v>0</v>
      </c>
      <c r="J534" t="n">
        <v>0</v>
      </c>
      <c r="K534" t="n">
        <v>0</v>
      </c>
      <c r="L534" t="n">
        <v>0</v>
      </c>
      <c r="M534" t="n">
        <v>0</v>
      </c>
      <c r="N534" t="n">
        <v>0</v>
      </c>
      <c r="O534" t="n">
        <v>0</v>
      </c>
      <c r="P534" t="n">
        <v>0</v>
      </c>
      <c r="Q534" t="n">
        <v>0</v>
      </c>
      <c r="R534" s="2" t="inlineStr"/>
    </row>
    <row r="535" ht="15" customHeight="1">
      <c r="A535" t="inlineStr">
        <is>
          <t>A 41656-2025</t>
        </is>
      </c>
      <c r="B535" s="1" t="n">
        <v>45902.34423611111</v>
      </c>
      <c r="C535" s="1" t="n">
        <v>46021</v>
      </c>
      <c r="D535" t="inlineStr">
        <is>
          <t>JÄMTLANDS LÄN</t>
        </is>
      </c>
      <c r="E535" t="inlineStr">
        <is>
          <t>RAGUNDA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41424-2025</t>
        </is>
      </c>
      <c r="B536" s="1" t="n">
        <v>45901.38584490741</v>
      </c>
      <c r="C536" s="1" t="n">
        <v>46021</v>
      </c>
      <c r="D536" t="inlineStr">
        <is>
          <t>JÄMTLANDS LÄN</t>
        </is>
      </c>
      <c r="E536" t="inlineStr">
        <is>
          <t>RAGUNDA</t>
        </is>
      </c>
      <c r="G536" t="n">
        <v>3</v>
      </c>
      <c r="H536" t="n">
        <v>0</v>
      </c>
      <c r="I536" t="n">
        <v>0</v>
      </c>
      <c r="J536" t="n">
        <v>0</v>
      </c>
      <c r="K536" t="n">
        <v>0</v>
      </c>
      <c r="L536" t="n">
        <v>0</v>
      </c>
      <c r="M536" t="n">
        <v>0</v>
      </c>
      <c r="N536" t="n">
        <v>0</v>
      </c>
      <c r="O536" t="n">
        <v>0</v>
      </c>
      <c r="P536" t="n">
        <v>0</v>
      </c>
      <c r="Q536" t="n">
        <v>0</v>
      </c>
      <c r="R536" s="2" t="inlineStr"/>
    </row>
    <row r="537" ht="15" customHeight="1">
      <c r="A537" t="inlineStr">
        <is>
          <t>A 56284-2023</t>
        </is>
      </c>
      <c r="B537" s="1" t="n">
        <v>45241.95724537037</v>
      </c>
      <c r="C537" s="1" t="n">
        <v>46021</v>
      </c>
      <c r="D537" t="inlineStr">
        <is>
          <t>JÄMTLANDS LÄN</t>
        </is>
      </c>
      <c r="E537" t="inlineStr">
        <is>
          <t>RAGUNDA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56702-2023</t>
        </is>
      </c>
      <c r="B538" s="1" t="n">
        <v>45243</v>
      </c>
      <c r="C538" s="1" t="n">
        <v>46021</v>
      </c>
      <c r="D538" t="inlineStr">
        <is>
          <t>JÄMTLANDS LÄN</t>
        </is>
      </c>
      <c r="E538" t="inlineStr">
        <is>
          <t>RAGUNDA</t>
        </is>
      </c>
      <c r="F538" t="inlineStr">
        <is>
          <t>SCA</t>
        </is>
      </c>
      <c r="G538" t="n">
        <v>10.3</v>
      </c>
      <c r="H538" t="n">
        <v>0</v>
      </c>
      <c r="I538" t="n">
        <v>0</v>
      </c>
      <c r="J538" t="n">
        <v>0</v>
      </c>
      <c r="K538" t="n">
        <v>0</v>
      </c>
      <c r="L538" t="n">
        <v>0</v>
      </c>
      <c r="M538" t="n">
        <v>0</v>
      </c>
      <c r="N538" t="n">
        <v>0</v>
      </c>
      <c r="O538" t="n">
        <v>0</v>
      </c>
      <c r="P538" t="n">
        <v>0</v>
      </c>
      <c r="Q538" t="n">
        <v>0</v>
      </c>
      <c r="R538" s="2" t="inlineStr"/>
    </row>
    <row r="539" ht="15" customHeight="1">
      <c r="A539" t="inlineStr">
        <is>
          <t>A 63708-2023</t>
        </is>
      </c>
      <c r="B539" s="1" t="n">
        <v>45275.95060185185</v>
      </c>
      <c r="C539" s="1" t="n">
        <v>46021</v>
      </c>
      <c r="D539" t="inlineStr">
        <is>
          <t>JÄMTLANDS LÄN</t>
        </is>
      </c>
      <c r="E539" t="inlineStr">
        <is>
          <t>RAGUNDA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18610-2024</t>
        </is>
      </c>
      <c r="B540" s="1" t="n">
        <v>45425.96230324074</v>
      </c>
      <c r="C540" s="1" t="n">
        <v>46021</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26651-2024</t>
        </is>
      </c>
      <c r="B541" s="1" t="n">
        <v>45469.94876157407</v>
      </c>
      <c r="C541" s="1" t="n">
        <v>46021</v>
      </c>
      <c r="D541" t="inlineStr">
        <is>
          <t>JÄMTLANDS LÄN</t>
        </is>
      </c>
      <c r="E541" t="inlineStr">
        <is>
          <t>RAGUNDA</t>
        </is>
      </c>
      <c r="F541" t="inlineStr">
        <is>
          <t>SCA</t>
        </is>
      </c>
      <c r="G541" t="n">
        <v>10.4</v>
      </c>
      <c r="H541" t="n">
        <v>0</v>
      </c>
      <c r="I541" t="n">
        <v>0</v>
      </c>
      <c r="J541" t="n">
        <v>0</v>
      </c>
      <c r="K541" t="n">
        <v>0</v>
      </c>
      <c r="L541" t="n">
        <v>0</v>
      </c>
      <c r="M541" t="n">
        <v>0</v>
      </c>
      <c r="N541" t="n">
        <v>0</v>
      </c>
      <c r="O541" t="n">
        <v>0</v>
      </c>
      <c r="P541" t="n">
        <v>0</v>
      </c>
      <c r="Q541" t="n">
        <v>0</v>
      </c>
      <c r="R541" s="2" t="inlineStr"/>
    </row>
    <row r="542" ht="15" customHeight="1">
      <c r="A542" t="inlineStr">
        <is>
          <t>A 30563-2023</t>
        </is>
      </c>
      <c r="B542" s="1" t="n">
        <v>45111.92793981481</v>
      </c>
      <c r="C542" s="1" t="n">
        <v>46021</v>
      </c>
      <c r="D542" t="inlineStr">
        <is>
          <t>JÄMTLANDS LÄN</t>
        </is>
      </c>
      <c r="E542" t="inlineStr">
        <is>
          <t>RAGUNDA</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8886-2024</t>
        </is>
      </c>
      <c r="B543" s="1" t="n">
        <v>45357.05300925926</v>
      </c>
      <c r="C543" s="1" t="n">
        <v>46021</v>
      </c>
      <c r="D543" t="inlineStr">
        <is>
          <t>JÄMTLANDS LÄN</t>
        </is>
      </c>
      <c r="E543" t="inlineStr">
        <is>
          <t>RAGUNDA</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18615-2024</t>
        </is>
      </c>
      <c r="B544" s="1" t="n">
        <v>45425.96275462963</v>
      </c>
      <c r="C544" s="1" t="n">
        <v>46021</v>
      </c>
      <c r="D544" t="inlineStr">
        <is>
          <t>JÄMTLANDS LÄN</t>
        </is>
      </c>
      <c r="E544" t="inlineStr">
        <is>
          <t>RAGUNDA</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41876-2025</t>
        </is>
      </c>
      <c r="B545" s="1" t="n">
        <v>45903.34555555556</v>
      </c>
      <c r="C545" s="1" t="n">
        <v>46021</v>
      </c>
      <c r="D545" t="inlineStr">
        <is>
          <t>JÄMTLANDS LÄN</t>
        </is>
      </c>
      <c r="E545" t="inlineStr">
        <is>
          <t>RAGUNDA</t>
        </is>
      </c>
      <c r="G545" t="n">
        <v>2</v>
      </c>
      <c r="H545" t="n">
        <v>0</v>
      </c>
      <c r="I545" t="n">
        <v>0</v>
      </c>
      <c r="J545" t="n">
        <v>0</v>
      </c>
      <c r="K545" t="n">
        <v>0</v>
      </c>
      <c r="L545" t="n">
        <v>0</v>
      </c>
      <c r="M545" t="n">
        <v>0</v>
      </c>
      <c r="N545" t="n">
        <v>0</v>
      </c>
      <c r="O545" t="n">
        <v>0</v>
      </c>
      <c r="P545" t="n">
        <v>0</v>
      </c>
      <c r="Q545" t="n">
        <v>0</v>
      </c>
      <c r="R545" s="2" t="inlineStr"/>
    </row>
    <row r="546" ht="15" customHeight="1">
      <c r="A546" t="inlineStr">
        <is>
          <t>A 50486-2023</t>
        </is>
      </c>
      <c r="B546" s="1" t="n">
        <v>45216.92424768519</v>
      </c>
      <c r="C546" s="1" t="n">
        <v>46021</v>
      </c>
      <c r="D546" t="inlineStr">
        <is>
          <t>JÄMTLANDS LÄN</t>
        </is>
      </c>
      <c r="E546" t="inlineStr">
        <is>
          <t>RAGUNDA</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9084-2023</t>
        </is>
      </c>
      <c r="B547" s="1" t="n">
        <v>44979</v>
      </c>
      <c r="C547" s="1" t="n">
        <v>46021</v>
      </c>
      <c r="D547" t="inlineStr">
        <is>
          <t>JÄMTLANDS LÄN</t>
        </is>
      </c>
      <c r="E547" t="inlineStr">
        <is>
          <t>RAGUNDA</t>
        </is>
      </c>
      <c r="G547" t="n">
        <v>1.9</v>
      </c>
      <c r="H547" t="n">
        <v>0</v>
      </c>
      <c r="I547" t="n">
        <v>0</v>
      </c>
      <c r="J547" t="n">
        <v>0</v>
      </c>
      <c r="K547" t="n">
        <v>0</v>
      </c>
      <c r="L547" t="n">
        <v>0</v>
      </c>
      <c r="M547" t="n">
        <v>0</v>
      </c>
      <c r="N547" t="n">
        <v>0</v>
      </c>
      <c r="O547" t="n">
        <v>0</v>
      </c>
      <c r="P547" t="n">
        <v>0</v>
      </c>
      <c r="Q547" t="n">
        <v>0</v>
      </c>
      <c r="R547" s="2" t="inlineStr"/>
    </row>
    <row r="548" ht="15" customHeight="1">
      <c r="A548" t="inlineStr">
        <is>
          <t>A 23303-2024</t>
        </is>
      </c>
      <c r="B548" s="1" t="n">
        <v>45453.4444212963</v>
      </c>
      <c r="C548" s="1" t="n">
        <v>46021</v>
      </c>
      <c r="D548" t="inlineStr">
        <is>
          <t>JÄMTLANDS LÄN</t>
        </is>
      </c>
      <c r="E548" t="inlineStr">
        <is>
          <t>RAGUNDA</t>
        </is>
      </c>
      <c r="G548" t="n">
        <v>0.7</v>
      </c>
      <c r="H548" t="n">
        <v>0</v>
      </c>
      <c r="I548" t="n">
        <v>0</v>
      </c>
      <c r="J548" t="n">
        <v>0</v>
      </c>
      <c r="K548" t="n">
        <v>0</v>
      </c>
      <c r="L548" t="n">
        <v>0</v>
      </c>
      <c r="M548" t="n">
        <v>0</v>
      </c>
      <c r="N548" t="n">
        <v>0</v>
      </c>
      <c r="O548" t="n">
        <v>0</v>
      </c>
      <c r="P548" t="n">
        <v>0</v>
      </c>
      <c r="Q548" t="n">
        <v>0</v>
      </c>
      <c r="R548" s="2" t="inlineStr"/>
    </row>
    <row r="549" ht="15" customHeight="1">
      <c r="A549" t="inlineStr">
        <is>
          <t>A 9360-2023</t>
        </is>
      </c>
      <c r="B549" s="1" t="n">
        <v>44980.93865740741</v>
      </c>
      <c r="C549" s="1" t="n">
        <v>46021</v>
      </c>
      <c r="D549" t="inlineStr">
        <is>
          <t>JÄMTLANDS LÄN</t>
        </is>
      </c>
      <c r="E549" t="inlineStr">
        <is>
          <t>RAGUNDA</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66706-2021</t>
        </is>
      </c>
      <c r="B550" s="1" t="n">
        <v>44519.94440972222</v>
      </c>
      <c r="C550" s="1" t="n">
        <v>46021</v>
      </c>
      <c r="D550" t="inlineStr">
        <is>
          <t>JÄMTLANDS LÄN</t>
        </is>
      </c>
      <c r="E550" t="inlineStr">
        <is>
          <t>RAGUNDA</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465-2023</t>
        </is>
      </c>
      <c r="B551" s="1" t="n">
        <v>44929</v>
      </c>
      <c r="C551" s="1" t="n">
        <v>46021</v>
      </c>
      <c r="D551" t="inlineStr">
        <is>
          <t>JÄMTLANDS LÄN</t>
        </is>
      </c>
      <c r="E551" t="inlineStr">
        <is>
          <t>RAGUNDA</t>
        </is>
      </c>
      <c r="G551" t="n">
        <v>0.8</v>
      </c>
      <c r="H551" t="n">
        <v>0</v>
      </c>
      <c r="I551" t="n">
        <v>0</v>
      </c>
      <c r="J551" t="n">
        <v>0</v>
      </c>
      <c r="K551" t="n">
        <v>0</v>
      </c>
      <c r="L551" t="n">
        <v>0</v>
      </c>
      <c r="M551" t="n">
        <v>0</v>
      </c>
      <c r="N551" t="n">
        <v>0</v>
      </c>
      <c r="O551" t="n">
        <v>0</v>
      </c>
      <c r="P551" t="n">
        <v>0</v>
      </c>
      <c r="Q551" t="n">
        <v>0</v>
      </c>
      <c r="R551" s="2" t="inlineStr"/>
    </row>
    <row r="552" ht="15" customHeight="1">
      <c r="A552" t="inlineStr">
        <is>
          <t>A 32832-2021</t>
        </is>
      </c>
      <c r="B552" s="1" t="n">
        <v>44375</v>
      </c>
      <c r="C552" s="1" t="n">
        <v>46021</v>
      </c>
      <c r="D552" t="inlineStr">
        <is>
          <t>JÄMTLANDS LÄN</t>
        </is>
      </c>
      <c r="E552" t="inlineStr">
        <is>
          <t>RAGUNDA</t>
        </is>
      </c>
      <c r="G552" t="n">
        <v>3</v>
      </c>
      <c r="H552" t="n">
        <v>0</v>
      </c>
      <c r="I552" t="n">
        <v>0</v>
      </c>
      <c r="J552" t="n">
        <v>0</v>
      </c>
      <c r="K552" t="n">
        <v>0</v>
      </c>
      <c r="L552" t="n">
        <v>0</v>
      </c>
      <c r="M552" t="n">
        <v>0</v>
      </c>
      <c r="N552" t="n">
        <v>0</v>
      </c>
      <c r="O552" t="n">
        <v>0</v>
      </c>
      <c r="P552" t="n">
        <v>0</v>
      </c>
      <c r="Q552" t="n">
        <v>0</v>
      </c>
      <c r="R552" s="2" t="inlineStr"/>
    </row>
    <row r="553" ht="15" customHeight="1">
      <c r="A553" t="inlineStr">
        <is>
          <t>A 3938-2024</t>
        </is>
      </c>
      <c r="B553" s="1" t="n">
        <v>45322</v>
      </c>
      <c r="C553" s="1" t="n">
        <v>46021</v>
      </c>
      <c r="D553" t="inlineStr">
        <is>
          <t>JÄMTLANDS LÄN</t>
        </is>
      </c>
      <c r="E553" t="inlineStr">
        <is>
          <t>RAGUNDA</t>
        </is>
      </c>
      <c r="G553" t="n">
        <v>3.2</v>
      </c>
      <c r="H553" t="n">
        <v>0</v>
      </c>
      <c r="I553" t="n">
        <v>0</v>
      </c>
      <c r="J553" t="n">
        <v>0</v>
      </c>
      <c r="K553" t="n">
        <v>0</v>
      </c>
      <c r="L553" t="n">
        <v>0</v>
      </c>
      <c r="M553" t="n">
        <v>0</v>
      </c>
      <c r="N553" t="n">
        <v>0</v>
      </c>
      <c r="O553" t="n">
        <v>0</v>
      </c>
      <c r="P553" t="n">
        <v>0</v>
      </c>
      <c r="Q553" t="n">
        <v>0</v>
      </c>
      <c r="R553" s="2" t="inlineStr"/>
    </row>
    <row r="554" ht="15" customHeight="1">
      <c r="A554" t="inlineStr">
        <is>
          <t>A 32259-2024</t>
        </is>
      </c>
      <c r="B554" s="1" t="n">
        <v>45511</v>
      </c>
      <c r="C554" s="1" t="n">
        <v>46021</v>
      </c>
      <c r="D554" t="inlineStr">
        <is>
          <t>JÄMTLANDS LÄN</t>
        </is>
      </c>
      <c r="E554" t="inlineStr">
        <is>
          <t>RAGUNDA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62081-2022</t>
        </is>
      </c>
      <c r="B555" s="1" t="n">
        <v>44918</v>
      </c>
      <c r="C555" s="1" t="n">
        <v>46021</v>
      </c>
      <c r="D555" t="inlineStr">
        <is>
          <t>JÄMTLANDS LÄN</t>
        </is>
      </c>
      <c r="E555" t="inlineStr">
        <is>
          <t>RAGUNDA</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42269-2025</t>
        </is>
      </c>
      <c r="B556" s="1" t="n">
        <v>45904.60431712963</v>
      </c>
      <c r="C556" s="1" t="n">
        <v>46021</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18778-2024</t>
        </is>
      </c>
      <c r="B557" s="1" t="n">
        <v>45426</v>
      </c>
      <c r="C557" s="1" t="n">
        <v>46021</v>
      </c>
      <c r="D557" t="inlineStr">
        <is>
          <t>JÄMTLANDS LÄN</t>
        </is>
      </c>
      <c r="E557" t="inlineStr">
        <is>
          <t>RAGUNDA</t>
        </is>
      </c>
      <c r="G557" t="n">
        <v>0.9</v>
      </c>
      <c r="H557" t="n">
        <v>0</v>
      </c>
      <c r="I557" t="n">
        <v>0</v>
      </c>
      <c r="J557" t="n">
        <v>0</v>
      </c>
      <c r="K557" t="n">
        <v>0</v>
      </c>
      <c r="L557" t="n">
        <v>0</v>
      </c>
      <c r="M557" t="n">
        <v>0</v>
      </c>
      <c r="N557" t="n">
        <v>0</v>
      </c>
      <c r="O557" t="n">
        <v>0</v>
      </c>
      <c r="P557" t="n">
        <v>0</v>
      </c>
      <c r="Q557" t="n">
        <v>0</v>
      </c>
      <c r="R557" s="2" t="inlineStr"/>
    </row>
    <row r="558" ht="15" customHeight="1">
      <c r="A558" t="inlineStr">
        <is>
          <t>A 18781-2024</t>
        </is>
      </c>
      <c r="B558" s="1" t="n">
        <v>45426</v>
      </c>
      <c r="C558" s="1" t="n">
        <v>46021</v>
      </c>
      <c r="D558" t="inlineStr">
        <is>
          <t>JÄMTLANDS LÄN</t>
        </is>
      </c>
      <c r="E558" t="inlineStr">
        <is>
          <t>RAGUNDA</t>
        </is>
      </c>
      <c r="G558" t="n">
        <v>0.9</v>
      </c>
      <c r="H558" t="n">
        <v>0</v>
      </c>
      <c r="I558" t="n">
        <v>0</v>
      </c>
      <c r="J558" t="n">
        <v>0</v>
      </c>
      <c r="K558" t="n">
        <v>0</v>
      </c>
      <c r="L558" t="n">
        <v>0</v>
      </c>
      <c r="M558" t="n">
        <v>0</v>
      </c>
      <c r="N558" t="n">
        <v>0</v>
      </c>
      <c r="O558" t="n">
        <v>0</v>
      </c>
      <c r="P558" t="n">
        <v>0</v>
      </c>
      <c r="Q558" t="n">
        <v>0</v>
      </c>
      <c r="R558" s="2" t="inlineStr"/>
    </row>
    <row r="559" ht="15" customHeight="1">
      <c r="A559" t="inlineStr">
        <is>
          <t>A 17248-2023</t>
        </is>
      </c>
      <c r="B559" s="1" t="n">
        <v>45033</v>
      </c>
      <c r="C559" s="1" t="n">
        <v>46021</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53263-2024</t>
        </is>
      </c>
      <c r="B560" s="1" t="n">
        <v>45614.34541666666</v>
      </c>
      <c r="C560" s="1" t="n">
        <v>46021</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55508-2024</t>
        </is>
      </c>
      <c r="B561" s="1" t="n">
        <v>45622.46200231482</v>
      </c>
      <c r="C561" s="1" t="n">
        <v>46021</v>
      </c>
      <c r="D561" t="inlineStr">
        <is>
          <t>JÄMTLANDS LÄN</t>
        </is>
      </c>
      <c r="E561" t="inlineStr">
        <is>
          <t>RAGUNDA</t>
        </is>
      </c>
      <c r="G561" t="n">
        <v>1.8</v>
      </c>
      <c r="H561" t="n">
        <v>0</v>
      </c>
      <c r="I561" t="n">
        <v>0</v>
      </c>
      <c r="J561" t="n">
        <v>0</v>
      </c>
      <c r="K561" t="n">
        <v>0</v>
      </c>
      <c r="L561" t="n">
        <v>0</v>
      </c>
      <c r="M561" t="n">
        <v>0</v>
      </c>
      <c r="N561" t="n">
        <v>0</v>
      </c>
      <c r="O561" t="n">
        <v>0</v>
      </c>
      <c r="P561" t="n">
        <v>0</v>
      </c>
      <c r="Q561" t="n">
        <v>0</v>
      </c>
      <c r="R561" s="2" t="inlineStr"/>
    </row>
    <row r="562" ht="15" customHeight="1">
      <c r="A562" t="inlineStr">
        <is>
          <t>A 58630-2024</t>
        </is>
      </c>
      <c r="B562" s="1" t="n">
        <v>45635.57331018519</v>
      </c>
      <c r="C562" s="1" t="n">
        <v>46021</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14896-2022</t>
        </is>
      </c>
      <c r="B563" s="1" t="n">
        <v>44656</v>
      </c>
      <c r="C563" s="1" t="n">
        <v>46021</v>
      </c>
      <c r="D563" t="inlineStr">
        <is>
          <t>JÄMTLANDS LÄN</t>
        </is>
      </c>
      <c r="E563" t="inlineStr">
        <is>
          <t>RAGUNDA</t>
        </is>
      </c>
      <c r="F563" t="inlineStr">
        <is>
          <t>SCA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11551-2024</t>
        </is>
      </c>
      <c r="B564" s="1" t="n">
        <v>45372.95762731481</v>
      </c>
      <c r="C564" s="1" t="n">
        <v>46021</v>
      </c>
      <c r="D564" t="inlineStr">
        <is>
          <t>JÄMTLANDS LÄN</t>
        </is>
      </c>
      <c r="E564" t="inlineStr">
        <is>
          <t>RAGUNDA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12521-2023</t>
        </is>
      </c>
      <c r="B565" s="1" t="n">
        <v>45000</v>
      </c>
      <c r="C565" s="1" t="n">
        <v>46021</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33763-2025</t>
        </is>
      </c>
      <c r="B566" s="1" t="n">
        <v>45842.38579861111</v>
      </c>
      <c r="C566" s="1" t="n">
        <v>46021</v>
      </c>
      <c r="D566" t="inlineStr">
        <is>
          <t>JÄMTLANDS LÄN</t>
        </is>
      </c>
      <c r="E566" t="inlineStr">
        <is>
          <t>RAGUNDA</t>
        </is>
      </c>
      <c r="F566" t="inlineStr">
        <is>
          <t>SCA</t>
        </is>
      </c>
      <c r="G566" t="n">
        <v>13.4</v>
      </c>
      <c r="H566" t="n">
        <v>0</v>
      </c>
      <c r="I566" t="n">
        <v>0</v>
      </c>
      <c r="J566" t="n">
        <v>0</v>
      </c>
      <c r="K566" t="n">
        <v>0</v>
      </c>
      <c r="L566" t="n">
        <v>0</v>
      </c>
      <c r="M566" t="n">
        <v>0</v>
      </c>
      <c r="N566" t="n">
        <v>0</v>
      </c>
      <c r="O566" t="n">
        <v>0</v>
      </c>
      <c r="P566" t="n">
        <v>0</v>
      </c>
      <c r="Q566" t="n">
        <v>0</v>
      </c>
      <c r="R566" s="2" t="inlineStr"/>
    </row>
    <row r="567" ht="15" customHeight="1">
      <c r="A567" t="inlineStr">
        <is>
          <t>A 3720-2025</t>
        </is>
      </c>
      <c r="B567" s="1" t="n">
        <v>45681.5315625</v>
      </c>
      <c r="C567" s="1" t="n">
        <v>46021</v>
      </c>
      <c r="D567" t="inlineStr">
        <is>
          <t>JÄMTLANDS LÄN</t>
        </is>
      </c>
      <c r="E567" t="inlineStr">
        <is>
          <t>RAGUNDA</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57839-2022</t>
        </is>
      </c>
      <c r="B568" s="1" t="n">
        <v>44897</v>
      </c>
      <c r="C568" s="1" t="n">
        <v>46021</v>
      </c>
      <c r="D568" t="inlineStr">
        <is>
          <t>JÄMTLANDS LÄN</t>
        </is>
      </c>
      <c r="E568" t="inlineStr">
        <is>
          <t>RAGUNDA</t>
        </is>
      </c>
      <c r="F568" t="inlineStr">
        <is>
          <t>SCA</t>
        </is>
      </c>
      <c r="G568" t="n">
        <v>8.5</v>
      </c>
      <c r="H568" t="n">
        <v>0</v>
      </c>
      <c r="I568" t="n">
        <v>0</v>
      </c>
      <c r="J568" t="n">
        <v>0</v>
      </c>
      <c r="K568" t="n">
        <v>0</v>
      </c>
      <c r="L568" t="n">
        <v>0</v>
      </c>
      <c r="M568" t="n">
        <v>0</v>
      </c>
      <c r="N568" t="n">
        <v>0</v>
      </c>
      <c r="O568" t="n">
        <v>0</v>
      </c>
      <c r="P568" t="n">
        <v>0</v>
      </c>
      <c r="Q568" t="n">
        <v>0</v>
      </c>
      <c r="R568" s="2" t="inlineStr"/>
    </row>
    <row r="569" ht="15" customHeight="1">
      <c r="A569" t="inlineStr">
        <is>
          <t>A 2339-2025</t>
        </is>
      </c>
      <c r="B569" s="1" t="n">
        <v>45673.66358796296</v>
      </c>
      <c r="C569" s="1" t="n">
        <v>46021</v>
      </c>
      <c r="D569" t="inlineStr">
        <is>
          <t>JÄMTLANDS LÄN</t>
        </is>
      </c>
      <c r="E569" t="inlineStr">
        <is>
          <t>RAGUNDA</t>
        </is>
      </c>
      <c r="G569" t="n">
        <v>5</v>
      </c>
      <c r="H569" t="n">
        <v>0</v>
      </c>
      <c r="I569" t="n">
        <v>0</v>
      </c>
      <c r="J569" t="n">
        <v>0</v>
      </c>
      <c r="K569" t="n">
        <v>0</v>
      </c>
      <c r="L569" t="n">
        <v>0</v>
      </c>
      <c r="M569" t="n">
        <v>0</v>
      </c>
      <c r="N569" t="n">
        <v>0</v>
      </c>
      <c r="O569" t="n">
        <v>0</v>
      </c>
      <c r="P569" t="n">
        <v>0</v>
      </c>
      <c r="Q569" t="n">
        <v>0</v>
      </c>
      <c r="R569" s="2" t="inlineStr"/>
    </row>
    <row r="570" ht="15" customHeight="1">
      <c r="A570" t="inlineStr">
        <is>
          <t>A 60663-2022</t>
        </is>
      </c>
      <c r="B570" s="1" t="n">
        <v>44911.93846064815</v>
      </c>
      <c r="C570" s="1" t="n">
        <v>46021</v>
      </c>
      <c r="D570" t="inlineStr">
        <is>
          <t>JÄMTLANDS LÄN</t>
        </is>
      </c>
      <c r="E570" t="inlineStr">
        <is>
          <t>RAGUNDA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17742-2022</t>
        </is>
      </c>
      <c r="B571" s="1" t="n">
        <v>44680.95246527778</v>
      </c>
      <c r="C571" s="1" t="n">
        <v>46021</v>
      </c>
      <c r="D571" t="inlineStr">
        <is>
          <t>JÄMTLANDS LÄN</t>
        </is>
      </c>
      <c r="E571" t="inlineStr">
        <is>
          <t>RAGUNDA</t>
        </is>
      </c>
      <c r="F571" t="inlineStr">
        <is>
          <t>SCA</t>
        </is>
      </c>
      <c r="G571" t="n">
        <v>7.2</v>
      </c>
      <c r="H571" t="n">
        <v>0</v>
      </c>
      <c r="I571" t="n">
        <v>0</v>
      </c>
      <c r="J571" t="n">
        <v>0</v>
      </c>
      <c r="K571" t="n">
        <v>0</v>
      </c>
      <c r="L571" t="n">
        <v>0</v>
      </c>
      <c r="M571" t="n">
        <v>0</v>
      </c>
      <c r="N571" t="n">
        <v>0</v>
      </c>
      <c r="O571" t="n">
        <v>0</v>
      </c>
      <c r="P571" t="n">
        <v>0</v>
      </c>
      <c r="Q571" t="n">
        <v>0</v>
      </c>
      <c r="R571" s="2" t="inlineStr"/>
    </row>
    <row r="572" ht="15" customHeight="1">
      <c r="A572" t="inlineStr">
        <is>
          <t>A 50555-2024</t>
        </is>
      </c>
      <c r="B572" s="1" t="n">
        <v>45601.59518518519</v>
      </c>
      <c r="C572" s="1" t="n">
        <v>46021</v>
      </c>
      <c r="D572" t="inlineStr">
        <is>
          <t>JÄMTLANDS LÄN</t>
        </is>
      </c>
      <c r="E572" t="inlineStr">
        <is>
          <t>RAGUNDA</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59496-2024</t>
        </is>
      </c>
      <c r="B573" s="1" t="n">
        <v>45638</v>
      </c>
      <c r="C573" s="1" t="n">
        <v>46021</v>
      </c>
      <c r="D573" t="inlineStr">
        <is>
          <t>JÄMTLANDS LÄN</t>
        </is>
      </c>
      <c r="E573" t="inlineStr">
        <is>
          <t>RAGUNDA</t>
        </is>
      </c>
      <c r="G573" t="n">
        <v>13.1</v>
      </c>
      <c r="H573" t="n">
        <v>0</v>
      </c>
      <c r="I573" t="n">
        <v>0</v>
      </c>
      <c r="J573" t="n">
        <v>0</v>
      </c>
      <c r="K573" t="n">
        <v>0</v>
      </c>
      <c r="L573" t="n">
        <v>0</v>
      </c>
      <c r="M573" t="n">
        <v>0</v>
      </c>
      <c r="N573" t="n">
        <v>0</v>
      </c>
      <c r="O573" t="n">
        <v>0</v>
      </c>
      <c r="P573" t="n">
        <v>0</v>
      </c>
      <c r="Q573" t="n">
        <v>0</v>
      </c>
      <c r="R573" s="2" t="inlineStr"/>
    </row>
    <row r="574" ht="15" customHeight="1">
      <c r="A574" t="inlineStr">
        <is>
          <t>A 37265-2024</t>
        </is>
      </c>
      <c r="B574" s="1" t="n">
        <v>45540.38564814815</v>
      </c>
      <c r="C574" s="1" t="n">
        <v>46021</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18612-2024</t>
        </is>
      </c>
      <c r="B575" s="1" t="n">
        <v>45425.96239583333</v>
      </c>
      <c r="C575" s="1" t="n">
        <v>46021</v>
      </c>
      <c r="D575" t="inlineStr">
        <is>
          <t>JÄMTLANDS LÄN</t>
        </is>
      </c>
      <c r="E575" t="inlineStr">
        <is>
          <t>RAGUNDA</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48249-2024</t>
        </is>
      </c>
      <c r="B576" s="1" t="n">
        <v>45590.40675925926</v>
      </c>
      <c r="C576" s="1" t="n">
        <v>46021</v>
      </c>
      <c r="D576" t="inlineStr">
        <is>
          <t>JÄMTLANDS LÄN</t>
        </is>
      </c>
      <c r="E576" t="inlineStr">
        <is>
          <t>RAGUNDA</t>
        </is>
      </c>
      <c r="F576" t="inlineStr">
        <is>
          <t>SCA</t>
        </is>
      </c>
      <c r="G576" t="n">
        <v>14.4</v>
      </c>
      <c r="H576" t="n">
        <v>0</v>
      </c>
      <c r="I576" t="n">
        <v>0</v>
      </c>
      <c r="J576" t="n">
        <v>0</v>
      </c>
      <c r="K576" t="n">
        <v>0</v>
      </c>
      <c r="L576" t="n">
        <v>0</v>
      </c>
      <c r="M576" t="n">
        <v>0</v>
      </c>
      <c r="N576" t="n">
        <v>0</v>
      </c>
      <c r="O576" t="n">
        <v>0</v>
      </c>
      <c r="P576" t="n">
        <v>0</v>
      </c>
      <c r="Q576" t="n">
        <v>0</v>
      </c>
      <c r="R576" s="2" t="inlineStr"/>
    </row>
    <row r="577" ht="15" customHeight="1">
      <c r="A577" t="inlineStr">
        <is>
          <t>A 53676-2022</t>
        </is>
      </c>
      <c r="B577" s="1" t="n">
        <v>44879</v>
      </c>
      <c r="C577" s="1" t="n">
        <v>46021</v>
      </c>
      <c r="D577" t="inlineStr">
        <is>
          <t>JÄMTLANDS LÄN</t>
        </is>
      </c>
      <c r="E577" t="inlineStr">
        <is>
          <t>RAGUNDA</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61934-2022</t>
        </is>
      </c>
      <c r="B578" s="1" t="n">
        <v>44917</v>
      </c>
      <c r="C578" s="1" t="n">
        <v>46021</v>
      </c>
      <c r="D578" t="inlineStr">
        <is>
          <t>JÄMTLANDS LÄN</t>
        </is>
      </c>
      <c r="E578" t="inlineStr">
        <is>
          <t>RAGUNDA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11558-2023</t>
        </is>
      </c>
      <c r="B579" s="1" t="n">
        <v>44993.94958333333</v>
      </c>
      <c r="C579" s="1" t="n">
        <v>46021</v>
      </c>
      <c r="D579" t="inlineStr">
        <is>
          <t>JÄMTLANDS LÄN</t>
        </is>
      </c>
      <c r="E579" t="inlineStr">
        <is>
          <t>RAGUNDA</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14212-2023</t>
        </is>
      </c>
      <c r="B580" s="1" t="n">
        <v>45009</v>
      </c>
      <c r="C580" s="1" t="n">
        <v>46021</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20772-2024</t>
        </is>
      </c>
      <c r="B581" s="1" t="n">
        <v>45436.94628472222</v>
      </c>
      <c r="C581" s="1" t="n">
        <v>46021</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18614-2024</t>
        </is>
      </c>
      <c r="B582" s="1" t="n">
        <v>45425.96263888889</v>
      </c>
      <c r="C582" s="1" t="n">
        <v>46021</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53757-2024</t>
        </is>
      </c>
      <c r="B583" s="1" t="n">
        <v>45615.50034722222</v>
      </c>
      <c r="C583" s="1" t="n">
        <v>46021</v>
      </c>
      <c r="D583" t="inlineStr">
        <is>
          <t>JÄMTLANDS LÄN</t>
        </is>
      </c>
      <c r="E583" t="inlineStr">
        <is>
          <t>RAGUNDA</t>
        </is>
      </c>
      <c r="G583" t="n">
        <v>2</v>
      </c>
      <c r="H583" t="n">
        <v>0</v>
      </c>
      <c r="I583" t="n">
        <v>0</v>
      </c>
      <c r="J583" t="n">
        <v>0</v>
      </c>
      <c r="K583" t="n">
        <v>0</v>
      </c>
      <c r="L583" t="n">
        <v>0</v>
      </c>
      <c r="M583" t="n">
        <v>0</v>
      </c>
      <c r="N583" t="n">
        <v>0</v>
      </c>
      <c r="O583" t="n">
        <v>0</v>
      </c>
      <c r="P583" t="n">
        <v>0</v>
      </c>
      <c r="Q583" t="n">
        <v>0</v>
      </c>
      <c r="R583" s="2" t="inlineStr"/>
    </row>
    <row r="584" ht="15" customHeight="1">
      <c r="A584" t="inlineStr">
        <is>
          <t>A 19246-2023</t>
        </is>
      </c>
      <c r="B584" s="1" t="n">
        <v>45048.94340277778</v>
      </c>
      <c r="C584" s="1" t="n">
        <v>46021</v>
      </c>
      <c r="D584" t="inlineStr">
        <is>
          <t>JÄMTLANDS LÄN</t>
        </is>
      </c>
      <c r="E584" t="inlineStr">
        <is>
          <t>RAGUNDA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464-2023</t>
        </is>
      </c>
      <c r="B585" s="1" t="n">
        <v>44929.92489583333</v>
      </c>
      <c r="C585" s="1" t="n">
        <v>46021</v>
      </c>
      <c r="D585" t="inlineStr">
        <is>
          <t>JÄMTLANDS LÄN</t>
        </is>
      </c>
      <c r="E585" t="inlineStr">
        <is>
          <t>RAGUNDA</t>
        </is>
      </c>
      <c r="G585" t="n">
        <v>1.4</v>
      </c>
      <c r="H585" t="n">
        <v>0</v>
      </c>
      <c r="I585" t="n">
        <v>0</v>
      </c>
      <c r="J585" t="n">
        <v>0</v>
      </c>
      <c r="K585" t="n">
        <v>0</v>
      </c>
      <c r="L585" t="n">
        <v>0</v>
      </c>
      <c r="M585" t="n">
        <v>0</v>
      </c>
      <c r="N585" t="n">
        <v>0</v>
      </c>
      <c r="O585" t="n">
        <v>0</v>
      </c>
      <c r="P585" t="n">
        <v>0</v>
      </c>
      <c r="Q585" t="n">
        <v>0</v>
      </c>
      <c r="R585" s="2" t="inlineStr"/>
    </row>
    <row r="586" ht="15" customHeight="1">
      <c r="A586" t="inlineStr">
        <is>
          <t>A 49649-2024</t>
        </is>
      </c>
      <c r="B586" s="1" t="n">
        <v>45596.61553240741</v>
      </c>
      <c r="C586" s="1" t="n">
        <v>46021</v>
      </c>
      <c r="D586" t="inlineStr">
        <is>
          <t>JÄMTLANDS LÄN</t>
        </is>
      </c>
      <c r="E586" t="inlineStr">
        <is>
          <t>RAGUNDA</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49648-2023</t>
        </is>
      </c>
      <c r="B587" s="1" t="n">
        <v>45211.95061342593</v>
      </c>
      <c r="C587" s="1" t="n">
        <v>46021</v>
      </c>
      <c r="D587" t="inlineStr">
        <is>
          <t>JÄMTLANDS LÄN</t>
        </is>
      </c>
      <c r="E587" t="inlineStr">
        <is>
          <t>RAGUNDA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20426-2024</t>
        </is>
      </c>
      <c r="B588" s="1" t="n">
        <v>45435</v>
      </c>
      <c r="C588" s="1" t="n">
        <v>46021</v>
      </c>
      <c r="D588" t="inlineStr">
        <is>
          <t>JÄMTLANDS LÄN</t>
        </is>
      </c>
      <c r="E588" t="inlineStr">
        <is>
          <t>RAGUNDA</t>
        </is>
      </c>
      <c r="G588" t="n">
        <v>2.1</v>
      </c>
      <c r="H588" t="n">
        <v>0</v>
      </c>
      <c r="I588" t="n">
        <v>0</v>
      </c>
      <c r="J588" t="n">
        <v>0</v>
      </c>
      <c r="K588" t="n">
        <v>0</v>
      </c>
      <c r="L588" t="n">
        <v>0</v>
      </c>
      <c r="M588" t="n">
        <v>0</v>
      </c>
      <c r="N588" t="n">
        <v>0</v>
      </c>
      <c r="O588" t="n">
        <v>0</v>
      </c>
      <c r="P588" t="n">
        <v>0</v>
      </c>
      <c r="Q588" t="n">
        <v>0</v>
      </c>
      <c r="R588" s="2" t="inlineStr"/>
    </row>
    <row r="589" ht="15" customHeight="1">
      <c r="A589" t="inlineStr">
        <is>
          <t>A 43330-2025</t>
        </is>
      </c>
      <c r="B589" s="1" t="n">
        <v>45910.67766203704</v>
      </c>
      <c r="C589" s="1" t="n">
        <v>46021</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41344-2024</t>
        </is>
      </c>
      <c r="B590" s="1" t="n">
        <v>45559.67759259259</v>
      </c>
      <c r="C590" s="1" t="n">
        <v>46021</v>
      </c>
      <c r="D590" t="inlineStr">
        <is>
          <t>JÄMTLANDS LÄN</t>
        </is>
      </c>
      <c r="E590" t="inlineStr">
        <is>
          <t>RAGUNDA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58955-2024</t>
        </is>
      </c>
      <c r="B591" s="1" t="n">
        <v>45636.57329861111</v>
      </c>
      <c r="C591" s="1" t="n">
        <v>46021</v>
      </c>
      <c r="D591" t="inlineStr">
        <is>
          <t>JÄMTLANDS LÄN</t>
        </is>
      </c>
      <c r="E591" t="inlineStr">
        <is>
          <t>RAGUNDA</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46021</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58194-2022</t>
        </is>
      </c>
      <c r="B593" s="1" t="n">
        <v>44900</v>
      </c>
      <c r="C593" s="1" t="n">
        <v>46021</v>
      </c>
      <c r="D593" t="inlineStr">
        <is>
          <t>JÄMTLANDS LÄN</t>
        </is>
      </c>
      <c r="E593" t="inlineStr">
        <is>
          <t>RAGUNDA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42875-2024</t>
        </is>
      </c>
      <c r="B594" s="1" t="n">
        <v>45566.68125</v>
      </c>
      <c r="C594" s="1" t="n">
        <v>46021</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15864-2024</t>
        </is>
      </c>
      <c r="B595" s="1" t="n">
        <v>45404.99792824074</v>
      </c>
      <c r="C595" s="1" t="n">
        <v>46021</v>
      </c>
      <c r="D595" t="inlineStr">
        <is>
          <t>JÄMTLANDS LÄN</t>
        </is>
      </c>
      <c r="E595" t="inlineStr">
        <is>
          <t>RAGUNDA</t>
        </is>
      </c>
      <c r="F595" t="inlineStr">
        <is>
          <t>SCA</t>
        </is>
      </c>
      <c r="G595" t="n">
        <v>1.1</v>
      </c>
      <c r="H595" t="n">
        <v>0</v>
      </c>
      <c r="I595" t="n">
        <v>0</v>
      </c>
      <c r="J595" t="n">
        <v>0</v>
      </c>
      <c r="K595" t="n">
        <v>0</v>
      </c>
      <c r="L595" t="n">
        <v>0</v>
      </c>
      <c r="M595" t="n">
        <v>0</v>
      </c>
      <c r="N595" t="n">
        <v>0</v>
      </c>
      <c r="O595" t="n">
        <v>0</v>
      </c>
      <c r="P595" t="n">
        <v>0</v>
      </c>
      <c r="Q595" t="n">
        <v>0</v>
      </c>
      <c r="R595" s="2" t="inlineStr"/>
      <c r="U595">
        <f>HYPERLINK("https://klasma.github.io/Logging_2303/knärot/A 15864-2024 karta knärot.png", "A 15864-2024")</f>
        <v/>
      </c>
      <c r="V595">
        <f>HYPERLINK("https://klasma.github.io/Logging_2303/klagomål/A 15864-2024 FSC-klagomål.docx", "A 15864-2024")</f>
        <v/>
      </c>
      <c r="W595">
        <f>HYPERLINK("https://klasma.github.io/Logging_2303/klagomålsmail/A 15864-2024 FSC-klagomål mail.docx", "A 15864-2024")</f>
        <v/>
      </c>
      <c r="X595">
        <f>HYPERLINK("https://klasma.github.io/Logging_2303/tillsyn/A 15864-2024 tillsynsbegäran.docx", "A 15864-2024")</f>
        <v/>
      </c>
      <c r="Y595">
        <f>HYPERLINK("https://klasma.github.io/Logging_2303/tillsynsmail/A 15864-2024 tillsynsbegäran mail.docx", "A 15864-2024")</f>
        <v/>
      </c>
    </row>
    <row r="596" ht="15" customHeight="1">
      <c r="A596" t="inlineStr">
        <is>
          <t>A 4015-2022</t>
        </is>
      </c>
      <c r="B596" s="1" t="n">
        <v>44587.92149305555</v>
      </c>
      <c r="C596" s="1" t="n">
        <v>46021</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43181-2025</t>
        </is>
      </c>
      <c r="B597" s="1" t="n">
        <v>45910.40721064815</v>
      </c>
      <c r="C597" s="1" t="n">
        <v>46021</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2599-2023</t>
        </is>
      </c>
      <c r="B598" s="1" t="n">
        <v>44943.94802083333</v>
      </c>
      <c r="C598" s="1" t="n">
        <v>46021</v>
      </c>
      <c r="D598" t="inlineStr">
        <is>
          <t>JÄMTLANDS LÄN</t>
        </is>
      </c>
      <c r="E598" t="inlineStr">
        <is>
          <t>RAGUNDA</t>
        </is>
      </c>
      <c r="F598" t="inlineStr">
        <is>
          <t>SCA</t>
        </is>
      </c>
      <c r="G598" t="n">
        <v>5.9</v>
      </c>
      <c r="H598" t="n">
        <v>0</v>
      </c>
      <c r="I598" t="n">
        <v>0</v>
      </c>
      <c r="J598" t="n">
        <v>0</v>
      </c>
      <c r="K598" t="n">
        <v>0</v>
      </c>
      <c r="L598" t="n">
        <v>0</v>
      </c>
      <c r="M598" t="n">
        <v>0</v>
      </c>
      <c r="N598" t="n">
        <v>0</v>
      </c>
      <c r="O598" t="n">
        <v>0</v>
      </c>
      <c r="P598" t="n">
        <v>0</v>
      </c>
      <c r="Q598" t="n">
        <v>0</v>
      </c>
      <c r="R598" s="2" t="inlineStr"/>
    </row>
    <row r="599" ht="15" customHeight="1">
      <c r="A599" t="inlineStr">
        <is>
          <t>A 59044-2022</t>
        </is>
      </c>
      <c r="B599" s="1" t="n">
        <v>44903</v>
      </c>
      <c r="C599" s="1" t="n">
        <v>46021</v>
      </c>
      <c r="D599" t="inlineStr">
        <is>
          <t>JÄMTLANDS LÄN</t>
        </is>
      </c>
      <c r="E599" t="inlineStr">
        <is>
          <t>RAGUNDA</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43177-2025</t>
        </is>
      </c>
      <c r="B600" s="1" t="n">
        <v>45910.40667824074</v>
      </c>
      <c r="C600" s="1" t="n">
        <v>46021</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39489-2023</t>
        </is>
      </c>
      <c r="B601" s="1" t="n">
        <v>45166</v>
      </c>
      <c r="C601" s="1" t="n">
        <v>46021</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4014-2022</t>
        </is>
      </c>
      <c r="B602" s="1" t="n">
        <v>44587.92144675926</v>
      </c>
      <c r="C602" s="1" t="n">
        <v>46021</v>
      </c>
      <c r="D602" t="inlineStr">
        <is>
          <t>JÄMTLANDS LÄN</t>
        </is>
      </c>
      <c r="E602" t="inlineStr">
        <is>
          <t>RAGUNDA</t>
        </is>
      </c>
      <c r="G602" t="n">
        <v>3.6</v>
      </c>
      <c r="H602" t="n">
        <v>0</v>
      </c>
      <c r="I602" t="n">
        <v>0</v>
      </c>
      <c r="J602" t="n">
        <v>0</v>
      </c>
      <c r="K602" t="n">
        <v>0</v>
      </c>
      <c r="L602" t="n">
        <v>0</v>
      </c>
      <c r="M602" t="n">
        <v>0</v>
      </c>
      <c r="N602" t="n">
        <v>0</v>
      </c>
      <c r="O602" t="n">
        <v>0</v>
      </c>
      <c r="P602" t="n">
        <v>0</v>
      </c>
      <c r="Q602" t="n">
        <v>0</v>
      </c>
      <c r="R602" s="2" t="inlineStr"/>
    </row>
    <row r="603" ht="15" customHeight="1">
      <c r="A603" t="inlineStr">
        <is>
          <t>A 8243-2024</t>
        </is>
      </c>
      <c r="B603" s="1" t="n">
        <v>45351.98532407408</v>
      </c>
      <c r="C603" s="1" t="n">
        <v>46021</v>
      </c>
      <c r="D603" t="inlineStr">
        <is>
          <t>JÄMTLANDS LÄN</t>
        </is>
      </c>
      <c r="E603" t="inlineStr">
        <is>
          <t>RAGUNDA</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6902-2024</t>
        </is>
      </c>
      <c r="B604" s="1" t="n">
        <v>45342</v>
      </c>
      <c r="C604" s="1" t="n">
        <v>46021</v>
      </c>
      <c r="D604" t="inlineStr">
        <is>
          <t>JÄMTLANDS LÄN</t>
        </is>
      </c>
      <c r="E604" t="inlineStr">
        <is>
          <t>RAGUNDA</t>
        </is>
      </c>
      <c r="F604" t="inlineStr">
        <is>
          <t>SCA</t>
        </is>
      </c>
      <c r="G604" t="n">
        <v>18.7</v>
      </c>
      <c r="H604" t="n">
        <v>0</v>
      </c>
      <c r="I604" t="n">
        <v>0</v>
      </c>
      <c r="J604" t="n">
        <v>0</v>
      </c>
      <c r="K604" t="n">
        <v>0</v>
      </c>
      <c r="L604" t="n">
        <v>0</v>
      </c>
      <c r="M604" t="n">
        <v>0</v>
      </c>
      <c r="N604" t="n">
        <v>0</v>
      </c>
      <c r="O604" t="n">
        <v>0</v>
      </c>
      <c r="P604" t="n">
        <v>0</v>
      </c>
      <c r="Q604" t="n">
        <v>0</v>
      </c>
      <c r="R604" s="2" t="inlineStr"/>
    </row>
    <row r="605" ht="15" customHeight="1">
      <c r="A605" t="inlineStr">
        <is>
          <t>A 6905-2024</t>
        </is>
      </c>
      <c r="B605" s="1" t="n">
        <v>45342.9462037037</v>
      </c>
      <c r="C605" s="1" t="n">
        <v>46021</v>
      </c>
      <c r="D605" t="inlineStr">
        <is>
          <t>JÄMTLANDS LÄN</t>
        </is>
      </c>
      <c r="E605" t="inlineStr">
        <is>
          <t>RAGUNDA</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53989-2024</t>
        </is>
      </c>
      <c r="B606" s="1" t="n">
        <v>45616.34479166667</v>
      </c>
      <c r="C606" s="1" t="n">
        <v>46021</v>
      </c>
      <c r="D606" t="inlineStr">
        <is>
          <t>JÄMTLANDS LÄN</t>
        </is>
      </c>
      <c r="E606" t="inlineStr">
        <is>
          <t>RAGUNDA</t>
        </is>
      </c>
      <c r="F606" t="inlineStr">
        <is>
          <t>SCA</t>
        </is>
      </c>
      <c r="G606" t="n">
        <v>7.2</v>
      </c>
      <c r="H606" t="n">
        <v>0</v>
      </c>
      <c r="I606" t="n">
        <v>0</v>
      </c>
      <c r="J606" t="n">
        <v>0</v>
      </c>
      <c r="K606" t="n">
        <v>0</v>
      </c>
      <c r="L606" t="n">
        <v>0</v>
      </c>
      <c r="M606" t="n">
        <v>0</v>
      </c>
      <c r="N606" t="n">
        <v>0</v>
      </c>
      <c r="O606" t="n">
        <v>0</v>
      </c>
      <c r="P606" t="n">
        <v>0</v>
      </c>
      <c r="Q606" t="n">
        <v>0</v>
      </c>
      <c r="R606" s="2" t="inlineStr"/>
    </row>
    <row r="607" ht="15" customHeight="1">
      <c r="A607" t="inlineStr">
        <is>
          <t>A 11058-2025</t>
        </is>
      </c>
      <c r="B607" s="1" t="n">
        <v>45723.51079861111</v>
      </c>
      <c r="C607" s="1" t="n">
        <v>46021</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42509-2023</t>
        </is>
      </c>
      <c r="B608" s="1" t="n">
        <v>45180</v>
      </c>
      <c r="C608" s="1" t="n">
        <v>46021</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42510-2023</t>
        </is>
      </c>
      <c r="B609" s="1" t="n">
        <v>45180.95927083334</v>
      </c>
      <c r="C609" s="1" t="n">
        <v>46021</v>
      </c>
      <c r="D609" t="inlineStr">
        <is>
          <t>JÄMTLANDS LÄN</t>
        </is>
      </c>
      <c r="E609" t="inlineStr">
        <is>
          <t>RAGUNDA</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11048-2023</t>
        </is>
      </c>
      <c r="B610" s="1" t="n">
        <v>44991</v>
      </c>
      <c r="C610" s="1" t="n">
        <v>46021</v>
      </c>
      <c r="D610" t="inlineStr">
        <is>
          <t>JÄMTLANDS LÄN</t>
        </is>
      </c>
      <c r="E610" t="inlineStr">
        <is>
          <t>RAGUNDA</t>
        </is>
      </c>
      <c r="F610" t="inlineStr">
        <is>
          <t>SCA</t>
        </is>
      </c>
      <c r="G610" t="n">
        <v>13.5</v>
      </c>
      <c r="H610" t="n">
        <v>0</v>
      </c>
      <c r="I610" t="n">
        <v>0</v>
      </c>
      <c r="J610" t="n">
        <v>0</v>
      </c>
      <c r="K610" t="n">
        <v>0</v>
      </c>
      <c r="L610" t="n">
        <v>0</v>
      </c>
      <c r="M610" t="n">
        <v>0</v>
      </c>
      <c r="N610" t="n">
        <v>0</v>
      </c>
      <c r="O610" t="n">
        <v>0</v>
      </c>
      <c r="P610" t="n">
        <v>0</v>
      </c>
      <c r="Q610" t="n">
        <v>0</v>
      </c>
      <c r="R610" s="2" t="inlineStr"/>
    </row>
    <row r="611" ht="15" customHeight="1">
      <c r="A611" t="inlineStr">
        <is>
          <t>A 16364-2023</t>
        </is>
      </c>
      <c r="B611" s="1" t="n">
        <v>45028</v>
      </c>
      <c r="C611" s="1" t="n">
        <v>46021</v>
      </c>
      <c r="D611" t="inlineStr">
        <is>
          <t>JÄMTLANDS LÄN</t>
        </is>
      </c>
      <c r="E611" t="inlineStr">
        <is>
          <t>RAGUNDA</t>
        </is>
      </c>
      <c r="G611" t="n">
        <v>0.5</v>
      </c>
      <c r="H611" t="n">
        <v>0</v>
      </c>
      <c r="I611" t="n">
        <v>0</v>
      </c>
      <c r="J611" t="n">
        <v>0</v>
      </c>
      <c r="K611" t="n">
        <v>0</v>
      </c>
      <c r="L611" t="n">
        <v>0</v>
      </c>
      <c r="M611" t="n">
        <v>0</v>
      </c>
      <c r="N611" t="n">
        <v>0</v>
      </c>
      <c r="O611" t="n">
        <v>0</v>
      </c>
      <c r="P611" t="n">
        <v>0</v>
      </c>
      <c r="Q611" t="n">
        <v>0</v>
      </c>
      <c r="R611" s="2" t="inlineStr"/>
    </row>
    <row r="612" ht="15" customHeight="1">
      <c r="A612" t="inlineStr">
        <is>
          <t>A 15554-2025</t>
        </is>
      </c>
      <c r="B612" s="1" t="n">
        <v>45747.67739583334</v>
      </c>
      <c r="C612" s="1" t="n">
        <v>46021</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43776-2025</t>
        </is>
      </c>
      <c r="B613" s="1" t="n">
        <v>45912.51086805556</v>
      </c>
      <c r="C613" s="1" t="n">
        <v>46021</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43804-2025</t>
        </is>
      </c>
      <c r="B614" s="1" t="n">
        <v>45912.57373842593</v>
      </c>
      <c r="C614" s="1" t="n">
        <v>46021</v>
      </c>
      <c r="D614" t="inlineStr">
        <is>
          <t>JÄMTLANDS LÄN</t>
        </is>
      </c>
      <c r="E614" t="inlineStr">
        <is>
          <t>RAGUNDA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46549-2023</t>
        </is>
      </c>
      <c r="B615" s="1" t="n">
        <v>45197.94171296297</v>
      </c>
      <c r="C615" s="1" t="n">
        <v>46021</v>
      </c>
      <c r="D615" t="inlineStr">
        <is>
          <t>JÄMTLANDS LÄN</t>
        </is>
      </c>
      <c r="E615" t="inlineStr">
        <is>
          <t>RAGUNDA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57170-2024</t>
        </is>
      </c>
      <c r="B616" s="1" t="n">
        <v>45629.42759259259</v>
      </c>
      <c r="C616" s="1" t="n">
        <v>46021</v>
      </c>
      <c r="D616" t="inlineStr">
        <is>
          <t>JÄMTLANDS LÄN</t>
        </is>
      </c>
      <c r="E616" t="inlineStr">
        <is>
          <t>RAGUNDA</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29940-2023</t>
        </is>
      </c>
      <c r="B617" s="1" t="n">
        <v>45107</v>
      </c>
      <c r="C617" s="1" t="n">
        <v>46021</v>
      </c>
      <c r="D617" t="inlineStr">
        <is>
          <t>JÄMTLANDS LÄN</t>
        </is>
      </c>
      <c r="E617" t="inlineStr">
        <is>
          <t>RAGUNDA</t>
        </is>
      </c>
      <c r="G617" t="n">
        <v>13.5</v>
      </c>
      <c r="H617" t="n">
        <v>0</v>
      </c>
      <c r="I617" t="n">
        <v>0</v>
      </c>
      <c r="J617" t="n">
        <v>0</v>
      </c>
      <c r="K617" t="n">
        <v>0</v>
      </c>
      <c r="L617" t="n">
        <v>0</v>
      </c>
      <c r="M617" t="n">
        <v>0</v>
      </c>
      <c r="N617" t="n">
        <v>0</v>
      </c>
      <c r="O617" t="n">
        <v>0</v>
      </c>
      <c r="P617" t="n">
        <v>0</v>
      </c>
      <c r="Q617" t="n">
        <v>0</v>
      </c>
      <c r="R617" s="2" t="inlineStr"/>
    </row>
    <row r="618" ht="15" customHeight="1">
      <c r="A618" t="inlineStr">
        <is>
          <t>A 43971-2025</t>
        </is>
      </c>
      <c r="B618" s="1" t="n">
        <v>45915.40694444445</v>
      </c>
      <c r="C618" s="1" t="n">
        <v>46021</v>
      </c>
      <c r="D618" t="inlineStr">
        <is>
          <t>JÄMTLANDS LÄN</t>
        </is>
      </c>
      <c r="E618" t="inlineStr">
        <is>
          <t>RAGUNDA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66471-2021</t>
        </is>
      </c>
      <c r="B619" s="1" t="n">
        <v>44518</v>
      </c>
      <c r="C619" s="1" t="n">
        <v>46021</v>
      </c>
      <c r="D619" t="inlineStr">
        <is>
          <t>JÄMTLANDS LÄN</t>
        </is>
      </c>
      <c r="E619" t="inlineStr">
        <is>
          <t>RAGUNDA</t>
        </is>
      </c>
      <c r="G619" t="n">
        <v>13.4</v>
      </c>
      <c r="H619" t="n">
        <v>0</v>
      </c>
      <c r="I619" t="n">
        <v>0</v>
      </c>
      <c r="J619" t="n">
        <v>0</v>
      </c>
      <c r="K619" t="n">
        <v>0</v>
      </c>
      <c r="L619" t="n">
        <v>0</v>
      </c>
      <c r="M619" t="n">
        <v>0</v>
      </c>
      <c r="N619" t="n">
        <v>0</v>
      </c>
      <c r="O619" t="n">
        <v>0</v>
      </c>
      <c r="P619" t="n">
        <v>0</v>
      </c>
      <c r="Q619" t="n">
        <v>0</v>
      </c>
      <c r="R619" s="2" t="inlineStr"/>
    </row>
    <row r="620" ht="15" customHeight="1">
      <c r="A620" t="inlineStr">
        <is>
          <t>A 55214-2022</t>
        </is>
      </c>
      <c r="B620" s="1" t="n">
        <v>44886</v>
      </c>
      <c r="C620" s="1" t="n">
        <v>46021</v>
      </c>
      <c r="D620" t="inlineStr">
        <is>
          <t>JÄMTLANDS LÄN</t>
        </is>
      </c>
      <c r="E620" t="inlineStr">
        <is>
          <t>RAGUNDA</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22731-2023</t>
        </is>
      </c>
      <c r="B621" s="1" t="n">
        <v>45071</v>
      </c>
      <c r="C621" s="1" t="n">
        <v>46021</v>
      </c>
      <c r="D621" t="inlineStr">
        <is>
          <t>JÄMTLANDS LÄN</t>
        </is>
      </c>
      <c r="E621" t="inlineStr">
        <is>
          <t>RAGUNDA</t>
        </is>
      </c>
      <c r="G621" t="n">
        <v>1.5</v>
      </c>
      <c r="H621" t="n">
        <v>0</v>
      </c>
      <c r="I621" t="n">
        <v>0</v>
      </c>
      <c r="J621" t="n">
        <v>0</v>
      </c>
      <c r="K621" t="n">
        <v>0</v>
      </c>
      <c r="L621" t="n">
        <v>0</v>
      </c>
      <c r="M621" t="n">
        <v>0</v>
      </c>
      <c r="N621" t="n">
        <v>0</v>
      </c>
      <c r="O621" t="n">
        <v>0</v>
      </c>
      <c r="P621" t="n">
        <v>0</v>
      </c>
      <c r="Q621" t="n">
        <v>0</v>
      </c>
      <c r="R621" s="2" t="inlineStr"/>
    </row>
    <row r="622" ht="15" customHeight="1">
      <c r="A622" t="inlineStr">
        <is>
          <t>A 33877-2023</t>
        </is>
      </c>
      <c r="B622" s="1" t="n">
        <v>45133</v>
      </c>
      <c r="C622" s="1" t="n">
        <v>46021</v>
      </c>
      <c r="D622" t="inlineStr">
        <is>
          <t>JÄMTLANDS LÄN</t>
        </is>
      </c>
      <c r="E622" t="inlineStr">
        <is>
          <t>RAGUNDA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40246-2024</t>
        </is>
      </c>
      <c r="B623" s="1" t="n">
        <v>45554.61583333334</v>
      </c>
      <c r="C623" s="1" t="n">
        <v>46021</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8775-2025</t>
        </is>
      </c>
      <c r="B624" s="1" t="n">
        <v>45712.61502314815</v>
      </c>
      <c r="C624" s="1" t="n">
        <v>46021</v>
      </c>
      <c r="D624" t="inlineStr">
        <is>
          <t>JÄMTLANDS LÄN</t>
        </is>
      </c>
      <c r="E624" t="inlineStr">
        <is>
          <t>RAGUNDA</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8776-2025</t>
        </is>
      </c>
      <c r="B625" s="1" t="n">
        <v>45712.61510416667</v>
      </c>
      <c r="C625" s="1" t="n">
        <v>46021</v>
      </c>
      <c r="D625" t="inlineStr">
        <is>
          <t>JÄMTLANDS LÄN</t>
        </is>
      </c>
      <c r="E625" t="inlineStr">
        <is>
          <t>RAGUNDA</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57749-2024</t>
        </is>
      </c>
      <c r="B626" s="1" t="n">
        <v>45630.7862037037</v>
      </c>
      <c r="C626" s="1" t="n">
        <v>46021</v>
      </c>
      <c r="D626" t="inlineStr">
        <is>
          <t>JÄMTLANDS LÄN</t>
        </is>
      </c>
      <c r="E626" t="inlineStr">
        <is>
          <t>RAGUNDA</t>
        </is>
      </c>
      <c r="G626" t="n">
        <v>1.3</v>
      </c>
      <c r="H626" t="n">
        <v>0</v>
      </c>
      <c r="I626" t="n">
        <v>0</v>
      </c>
      <c r="J626" t="n">
        <v>0</v>
      </c>
      <c r="K626" t="n">
        <v>0</v>
      </c>
      <c r="L626" t="n">
        <v>0</v>
      </c>
      <c r="M626" t="n">
        <v>0</v>
      </c>
      <c r="N626" t="n">
        <v>0</v>
      </c>
      <c r="O626" t="n">
        <v>0</v>
      </c>
      <c r="P626" t="n">
        <v>0</v>
      </c>
      <c r="Q626" t="n">
        <v>0</v>
      </c>
      <c r="R626" s="2" t="inlineStr"/>
    </row>
    <row r="627" ht="15" customHeight="1">
      <c r="A627" t="inlineStr">
        <is>
          <t>A 5067-2024</t>
        </is>
      </c>
      <c r="B627" s="1" t="n">
        <v>45329.95806712963</v>
      </c>
      <c r="C627" s="1" t="n">
        <v>46021</v>
      </c>
      <c r="D627" t="inlineStr">
        <is>
          <t>JÄMTLANDS LÄN</t>
        </is>
      </c>
      <c r="E627" t="inlineStr">
        <is>
          <t>RAGUNDA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5429-2024</t>
        </is>
      </c>
      <c r="B628" s="1" t="n">
        <v>45331.92746527777</v>
      </c>
      <c r="C628" s="1" t="n">
        <v>46021</v>
      </c>
      <c r="D628" t="inlineStr">
        <is>
          <t>JÄMTLANDS LÄN</t>
        </is>
      </c>
      <c r="E628" t="inlineStr">
        <is>
          <t>RAGUNDA</t>
        </is>
      </c>
      <c r="G628" t="n">
        <v>1.1</v>
      </c>
      <c r="H628" t="n">
        <v>0</v>
      </c>
      <c r="I628" t="n">
        <v>0</v>
      </c>
      <c r="J628" t="n">
        <v>0</v>
      </c>
      <c r="K628" t="n">
        <v>0</v>
      </c>
      <c r="L628" t="n">
        <v>0</v>
      </c>
      <c r="M628" t="n">
        <v>0</v>
      </c>
      <c r="N628" t="n">
        <v>0</v>
      </c>
      <c r="O628" t="n">
        <v>0</v>
      </c>
      <c r="P628" t="n">
        <v>0</v>
      </c>
      <c r="Q628" t="n">
        <v>0</v>
      </c>
      <c r="R628" s="2" t="inlineStr"/>
    </row>
    <row r="629" ht="15" customHeight="1">
      <c r="A629" t="inlineStr">
        <is>
          <t>A 21853-2024</t>
        </is>
      </c>
      <c r="B629" s="1" t="n">
        <v>45442.96296296296</v>
      </c>
      <c r="C629" s="1" t="n">
        <v>46021</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29775-2023</t>
        </is>
      </c>
      <c r="B630" s="1" t="n">
        <v>45098</v>
      </c>
      <c r="C630" s="1" t="n">
        <v>46021</v>
      </c>
      <c r="D630" t="inlineStr">
        <is>
          <t>JÄMTLANDS LÄN</t>
        </is>
      </c>
      <c r="E630" t="inlineStr">
        <is>
          <t>RAGUNDA</t>
        </is>
      </c>
      <c r="G630" t="n">
        <v>3.6</v>
      </c>
      <c r="H630" t="n">
        <v>0</v>
      </c>
      <c r="I630" t="n">
        <v>0</v>
      </c>
      <c r="J630" t="n">
        <v>0</v>
      </c>
      <c r="K630" t="n">
        <v>0</v>
      </c>
      <c r="L630" t="n">
        <v>0</v>
      </c>
      <c r="M630" t="n">
        <v>0</v>
      </c>
      <c r="N630" t="n">
        <v>0</v>
      </c>
      <c r="O630" t="n">
        <v>0</v>
      </c>
      <c r="P630" t="n">
        <v>0</v>
      </c>
      <c r="Q630" t="n">
        <v>0</v>
      </c>
      <c r="R630" s="2" t="inlineStr"/>
    </row>
    <row r="631" ht="15" customHeight="1">
      <c r="A631" t="inlineStr">
        <is>
          <t>A 40365-2024</t>
        </is>
      </c>
      <c r="B631" s="1" t="n">
        <v>45555.38509259259</v>
      </c>
      <c r="C631" s="1" t="n">
        <v>46021</v>
      </c>
      <c r="D631" t="inlineStr">
        <is>
          <t>JÄMTLANDS LÄN</t>
        </is>
      </c>
      <c r="E631" t="inlineStr">
        <is>
          <t>RAGUNDA</t>
        </is>
      </c>
      <c r="G631" t="n">
        <v>7.8</v>
      </c>
      <c r="H631" t="n">
        <v>0</v>
      </c>
      <c r="I631" t="n">
        <v>0</v>
      </c>
      <c r="J631" t="n">
        <v>0</v>
      </c>
      <c r="K631" t="n">
        <v>0</v>
      </c>
      <c r="L631" t="n">
        <v>0</v>
      </c>
      <c r="M631" t="n">
        <v>0</v>
      </c>
      <c r="N631" t="n">
        <v>0</v>
      </c>
      <c r="O631" t="n">
        <v>0</v>
      </c>
      <c r="P631" t="n">
        <v>0</v>
      </c>
      <c r="Q631" t="n">
        <v>0</v>
      </c>
      <c r="R631" s="2" t="inlineStr"/>
    </row>
    <row r="632" ht="15" customHeight="1">
      <c r="A632" t="inlineStr">
        <is>
          <t>A 28742-2023</t>
        </is>
      </c>
      <c r="B632" s="1" t="n">
        <v>45103</v>
      </c>
      <c r="C632" s="1" t="n">
        <v>46021</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60456-2023</t>
        </is>
      </c>
      <c r="B633" s="1" t="n">
        <v>45258</v>
      </c>
      <c r="C633" s="1" t="n">
        <v>46021</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58438-2022</t>
        </is>
      </c>
      <c r="B634" s="1" t="n">
        <v>44901</v>
      </c>
      <c r="C634" s="1" t="n">
        <v>46021</v>
      </c>
      <c r="D634" t="inlineStr">
        <is>
          <t>JÄMTLANDS LÄN</t>
        </is>
      </c>
      <c r="E634" t="inlineStr">
        <is>
          <t>RAGUNDA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58442-2022</t>
        </is>
      </c>
      <c r="B635" s="1" t="n">
        <v>44901</v>
      </c>
      <c r="C635" s="1" t="n">
        <v>46021</v>
      </c>
      <c r="D635" t="inlineStr">
        <is>
          <t>JÄMTLANDS LÄN</t>
        </is>
      </c>
      <c r="E635" t="inlineStr">
        <is>
          <t>RAGUNDA</t>
        </is>
      </c>
      <c r="F635" t="inlineStr">
        <is>
          <t>SCA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22981-2023</t>
        </is>
      </c>
      <c r="B636" s="1" t="n">
        <v>45072.92737268518</v>
      </c>
      <c r="C636" s="1" t="n">
        <v>46021</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44954-2025</t>
        </is>
      </c>
      <c r="B637" s="1" t="n">
        <v>45918.61203703703</v>
      </c>
      <c r="C637" s="1" t="n">
        <v>46021</v>
      </c>
      <c r="D637" t="inlineStr">
        <is>
          <t>JÄMTLANDS LÄN</t>
        </is>
      </c>
      <c r="E637" t="inlineStr">
        <is>
          <t>RAGUNDA</t>
        </is>
      </c>
      <c r="G637" t="n">
        <v>3</v>
      </c>
      <c r="H637" t="n">
        <v>0</v>
      </c>
      <c r="I637" t="n">
        <v>0</v>
      </c>
      <c r="J637" t="n">
        <v>0</v>
      </c>
      <c r="K637" t="n">
        <v>0</v>
      </c>
      <c r="L637" t="n">
        <v>0</v>
      </c>
      <c r="M637" t="n">
        <v>0</v>
      </c>
      <c r="N637" t="n">
        <v>0</v>
      </c>
      <c r="O637" t="n">
        <v>0</v>
      </c>
      <c r="P637" t="n">
        <v>0</v>
      </c>
      <c r="Q637" t="n">
        <v>0</v>
      </c>
      <c r="R637" s="2" t="inlineStr"/>
    </row>
    <row r="638" ht="15" customHeight="1">
      <c r="A638" t="inlineStr">
        <is>
          <t>A 21726-2023</t>
        </is>
      </c>
      <c r="B638" s="1" t="n">
        <v>45065.42894675926</v>
      </c>
      <c r="C638" s="1" t="n">
        <v>46021</v>
      </c>
      <c r="D638" t="inlineStr">
        <is>
          <t>JÄMTLANDS LÄN</t>
        </is>
      </c>
      <c r="E638" t="inlineStr">
        <is>
          <t>RAGUNDA</t>
        </is>
      </c>
      <c r="G638" t="n">
        <v>0.4</v>
      </c>
      <c r="H638" t="n">
        <v>0</v>
      </c>
      <c r="I638" t="n">
        <v>0</v>
      </c>
      <c r="J638" t="n">
        <v>0</v>
      </c>
      <c r="K638" t="n">
        <v>0</v>
      </c>
      <c r="L638" t="n">
        <v>0</v>
      </c>
      <c r="M638" t="n">
        <v>0</v>
      </c>
      <c r="N638" t="n">
        <v>0</v>
      </c>
      <c r="O638" t="n">
        <v>0</v>
      </c>
      <c r="P638" t="n">
        <v>0</v>
      </c>
      <c r="Q638" t="n">
        <v>0</v>
      </c>
      <c r="R638" s="2" t="inlineStr"/>
    </row>
    <row r="639" ht="15" customHeight="1">
      <c r="A639" t="inlineStr">
        <is>
          <t>A 55514-2024</t>
        </is>
      </c>
      <c r="B639" s="1" t="n">
        <v>45622.46910879629</v>
      </c>
      <c r="C639" s="1" t="n">
        <v>46021</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24441-2024</t>
        </is>
      </c>
      <c r="B640" s="1" t="n">
        <v>45457.96372685185</v>
      </c>
      <c r="C640" s="1" t="n">
        <v>46021</v>
      </c>
      <c r="D640" t="inlineStr">
        <is>
          <t>JÄMTLANDS LÄN</t>
        </is>
      </c>
      <c r="E640" t="inlineStr">
        <is>
          <t>RAGUNDA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49229-2024</t>
        </is>
      </c>
      <c r="B641" s="1" t="n">
        <v>45595.42738425926</v>
      </c>
      <c r="C641" s="1" t="n">
        <v>46021</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934-2023</t>
        </is>
      </c>
      <c r="B642" s="1" t="n">
        <v>44932.93927083333</v>
      </c>
      <c r="C642" s="1" t="n">
        <v>46021</v>
      </c>
      <c r="D642" t="inlineStr">
        <is>
          <t>JÄMTLANDS LÄN</t>
        </is>
      </c>
      <c r="E642" t="inlineStr">
        <is>
          <t>RAGUNDA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37242-2024</t>
        </is>
      </c>
      <c r="B643" s="1" t="n">
        <v>45540.34428240741</v>
      </c>
      <c r="C643" s="1" t="n">
        <v>46021</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55524-2024</t>
        </is>
      </c>
      <c r="B644" s="1" t="n">
        <v>45622.47435185185</v>
      </c>
      <c r="C644" s="1" t="n">
        <v>46021</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19419-2024</t>
        </is>
      </c>
      <c r="B645" s="1" t="n">
        <v>45429</v>
      </c>
      <c r="C645" s="1" t="n">
        <v>46021</v>
      </c>
      <c r="D645" t="inlineStr">
        <is>
          <t>JÄMTLANDS LÄN</t>
        </is>
      </c>
      <c r="E645" t="inlineStr">
        <is>
          <t>RAGUNDA</t>
        </is>
      </c>
      <c r="G645" t="n">
        <v>3.5</v>
      </c>
      <c r="H645" t="n">
        <v>0</v>
      </c>
      <c r="I645" t="n">
        <v>0</v>
      </c>
      <c r="J645" t="n">
        <v>0</v>
      </c>
      <c r="K645" t="n">
        <v>0</v>
      </c>
      <c r="L645" t="n">
        <v>0</v>
      </c>
      <c r="M645" t="n">
        <v>0</v>
      </c>
      <c r="N645" t="n">
        <v>0</v>
      </c>
      <c r="O645" t="n">
        <v>0</v>
      </c>
      <c r="P645" t="n">
        <v>0</v>
      </c>
      <c r="Q645" t="n">
        <v>0</v>
      </c>
      <c r="R645" s="2" t="inlineStr"/>
    </row>
    <row r="646" ht="15" customHeight="1">
      <c r="A646" t="inlineStr">
        <is>
          <t>A 9232-2025</t>
        </is>
      </c>
      <c r="B646" s="1" t="n">
        <v>45714.55064814815</v>
      </c>
      <c r="C646" s="1" t="n">
        <v>46021</v>
      </c>
      <c r="D646" t="inlineStr">
        <is>
          <t>JÄMTLANDS LÄN</t>
        </is>
      </c>
      <c r="E646" t="inlineStr">
        <is>
          <t>RAGUNDA</t>
        </is>
      </c>
      <c r="G646" t="n">
        <v>1.9</v>
      </c>
      <c r="H646" t="n">
        <v>0</v>
      </c>
      <c r="I646" t="n">
        <v>0</v>
      </c>
      <c r="J646" t="n">
        <v>0</v>
      </c>
      <c r="K646" t="n">
        <v>0</v>
      </c>
      <c r="L646" t="n">
        <v>0</v>
      </c>
      <c r="M646" t="n">
        <v>0</v>
      </c>
      <c r="N646" t="n">
        <v>0</v>
      </c>
      <c r="O646" t="n">
        <v>0</v>
      </c>
      <c r="P646" t="n">
        <v>0</v>
      </c>
      <c r="Q646" t="n">
        <v>0</v>
      </c>
      <c r="R646" s="2" t="inlineStr"/>
    </row>
    <row r="647" ht="15" customHeight="1">
      <c r="A647" t="inlineStr">
        <is>
          <t>A 41656-2023</t>
        </is>
      </c>
      <c r="B647" s="1" t="n">
        <v>45175</v>
      </c>
      <c r="C647" s="1" t="n">
        <v>46021</v>
      </c>
      <c r="D647" t="inlineStr">
        <is>
          <t>JÄMTLANDS LÄN</t>
        </is>
      </c>
      <c r="E647" t="inlineStr">
        <is>
          <t>RAGUNDA</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36317-2024</t>
        </is>
      </c>
      <c r="B648" s="1" t="n">
        <v>45534.63537037037</v>
      </c>
      <c r="C648" s="1" t="n">
        <v>46021</v>
      </c>
      <c r="D648" t="inlineStr">
        <is>
          <t>JÄMTLANDS LÄN</t>
        </is>
      </c>
      <c r="E648" t="inlineStr">
        <is>
          <t>RAGUNDA</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45279-2025</t>
        </is>
      </c>
      <c r="B649" s="1" t="n">
        <v>45919.71912037037</v>
      </c>
      <c r="C649" s="1" t="n">
        <v>46021</v>
      </c>
      <c r="D649" t="inlineStr">
        <is>
          <t>JÄMTLANDS LÄN</t>
        </is>
      </c>
      <c r="E649" t="inlineStr">
        <is>
          <t>RAGUNDA</t>
        </is>
      </c>
      <c r="F649" t="inlineStr">
        <is>
          <t>SCA</t>
        </is>
      </c>
      <c r="G649" t="n">
        <v>11.5</v>
      </c>
      <c r="H649" t="n">
        <v>0</v>
      </c>
      <c r="I649" t="n">
        <v>0</v>
      </c>
      <c r="J649" t="n">
        <v>0</v>
      </c>
      <c r="K649" t="n">
        <v>0</v>
      </c>
      <c r="L649" t="n">
        <v>0</v>
      </c>
      <c r="M649" t="n">
        <v>0</v>
      </c>
      <c r="N649" t="n">
        <v>0</v>
      </c>
      <c r="O649" t="n">
        <v>0</v>
      </c>
      <c r="P649" t="n">
        <v>0</v>
      </c>
      <c r="Q649" t="n">
        <v>0</v>
      </c>
      <c r="R649" s="2" t="inlineStr"/>
    </row>
    <row r="650" ht="15" customHeight="1">
      <c r="A650" t="inlineStr">
        <is>
          <t>A 36226-2023</t>
        </is>
      </c>
      <c r="B650" s="1" t="n">
        <v>45149.95372685185</v>
      </c>
      <c r="C650" s="1" t="n">
        <v>46021</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59368-2022</t>
        </is>
      </c>
      <c r="B651" s="1" t="n">
        <v>44904.94824074074</v>
      </c>
      <c r="C651" s="1" t="n">
        <v>46021</v>
      </c>
      <c r="D651" t="inlineStr">
        <is>
          <t>JÄMTLANDS LÄN</t>
        </is>
      </c>
      <c r="E651" t="inlineStr">
        <is>
          <t>RAGUNDA</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893-2025</t>
        </is>
      </c>
      <c r="B652" s="1" t="n">
        <v>45665.65684027778</v>
      </c>
      <c r="C652" s="1" t="n">
        <v>46021</v>
      </c>
      <c r="D652" t="inlineStr">
        <is>
          <t>JÄMTLANDS LÄN</t>
        </is>
      </c>
      <c r="E652" t="inlineStr">
        <is>
          <t>RAGUNDA</t>
        </is>
      </c>
      <c r="F652" t="inlineStr">
        <is>
          <t>SCA</t>
        </is>
      </c>
      <c r="G652" t="n">
        <v>45.1</v>
      </c>
      <c r="H652" t="n">
        <v>0</v>
      </c>
      <c r="I652" t="n">
        <v>0</v>
      </c>
      <c r="J652" t="n">
        <v>0</v>
      </c>
      <c r="K652" t="n">
        <v>0</v>
      </c>
      <c r="L652" t="n">
        <v>0</v>
      </c>
      <c r="M652" t="n">
        <v>0</v>
      </c>
      <c r="N652" t="n">
        <v>0</v>
      </c>
      <c r="O652" t="n">
        <v>0</v>
      </c>
      <c r="P652" t="n">
        <v>0</v>
      </c>
      <c r="Q652" t="n">
        <v>0</v>
      </c>
      <c r="R652" s="2" t="inlineStr"/>
    </row>
    <row r="653" ht="15" customHeight="1">
      <c r="A653" t="inlineStr">
        <is>
          <t>A 46211-2024</t>
        </is>
      </c>
      <c r="B653" s="1" t="n">
        <v>45581.55260416667</v>
      </c>
      <c r="C653" s="1" t="n">
        <v>46021</v>
      </c>
      <c r="D653" t="inlineStr">
        <is>
          <t>JÄMTLANDS LÄN</t>
        </is>
      </c>
      <c r="E653" t="inlineStr">
        <is>
          <t>RAGUNDA</t>
        </is>
      </c>
      <c r="G653" t="n">
        <v>7.3</v>
      </c>
      <c r="H653" t="n">
        <v>0</v>
      </c>
      <c r="I653" t="n">
        <v>0</v>
      </c>
      <c r="J653" t="n">
        <v>0</v>
      </c>
      <c r="K653" t="n">
        <v>0</v>
      </c>
      <c r="L653" t="n">
        <v>0</v>
      </c>
      <c r="M653" t="n">
        <v>0</v>
      </c>
      <c r="N653" t="n">
        <v>0</v>
      </c>
      <c r="O653" t="n">
        <v>0</v>
      </c>
      <c r="P653" t="n">
        <v>0</v>
      </c>
      <c r="Q653" t="n">
        <v>0</v>
      </c>
      <c r="R653" s="2" t="inlineStr"/>
    </row>
    <row r="654" ht="15" customHeight="1">
      <c r="A654" t="inlineStr">
        <is>
          <t>A 7520-2023</t>
        </is>
      </c>
      <c r="B654" s="1" t="n">
        <v>44971</v>
      </c>
      <c r="C654" s="1" t="n">
        <v>46021</v>
      </c>
      <c r="D654" t="inlineStr">
        <is>
          <t>JÄMTLANDS LÄN</t>
        </is>
      </c>
      <c r="E654" t="inlineStr">
        <is>
          <t>RAGUNDA</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53549-2024</t>
        </is>
      </c>
      <c r="B655" s="1" t="n">
        <v>45614.63869212963</v>
      </c>
      <c r="C655" s="1" t="n">
        <v>46021</v>
      </c>
      <c r="D655" t="inlineStr">
        <is>
          <t>JÄMTLANDS LÄN</t>
        </is>
      </c>
      <c r="E655" t="inlineStr">
        <is>
          <t>RAGUNDA</t>
        </is>
      </c>
      <c r="F655" t="inlineStr">
        <is>
          <t>Kyrkan</t>
        </is>
      </c>
      <c r="G655" t="n">
        <v>1.7</v>
      </c>
      <c r="H655" t="n">
        <v>0</v>
      </c>
      <c r="I655" t="n">
        <v>0</v>
      </c>
      <c r="J655" t="n">
        <v>0</v>
      </c>
      <c r="K655" t="n">
        <v>0</v>
      </c>
      <c r="L655" t="n">
        <v>0</v>
      </c>
      <c r="M655" t="n">
        <v>0</v>
      </c>
      <c r="N655" t="n">
        <v>0</v>
      </c>
      <c r="O655" t="n">
        <v>0</v>
      </c>
      <c r="P655" t="n">
        <v>0</v>
      </c>
      <c r="Q655" t="n">
        <v>0</v>
      </c>
      <c r="R655" s="2" t="inlineStr"/>
    </row>
    <row r="656" ht="15" customHeight="1">
      <c r="A656" t="inlineStr">
        <is>
          <t>A 8679-2023</t>
        </is>
      </c>
      <c r="B656" s="1" t="n">
        <v>44977.98670138889</v>
      </c>
      <c r="C656" s="1" t="n">
        <v>46021</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53955-2022</t>
        </is>
      </c>
      <c r="B657" s="1" t="n">
        <v>44880.95741898148</v>
      </c>
      <c r="C657" s="1" t="n">
        <v>46021</v>
      </c>
      <c r="D657" t="inlineStr">
        <is>
          <t>JÄMTLANDS LÄN</t>
        </is>
      </c>
      <c r="E657" t="inlineStr">
        <is>
          <t>RAGUNDA</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14158-2024</t>
        </is>
      </c>
      <c r="B658" s="1" t="n">
        <v>45392</v>
      </c>
      <c r="C658" s="1" t="n">
        <v>46021</v>
      </c>
      <c r="D658" t="inlineStr">
        <is>
          <t>JÄMTLANDS LÄN</t>
        </is>
      </c>
      <c r="E658" t="inlineStr">
        <is>
          <t>RAGUNDA</t>
        </is>
      </c>
      <c r="G658" t="n">
        <v>0.7</v>
      </c>
      <c r="H658" t="n">
        <v>0</v>
      </c>
      <c r="I658" t="n">
        <v>0</v>
      </c>
      <c r="J658" t="n">
        <v>0</v>
      </c>
      <c r="K658" t="n">
        <v>0</v>
      </c>
      <c r="L658" t="n">
        <v>0</v>
      </c>
      <c r="M658" t="n">
        <v>0</v>
      </c>
      <c r="N658" t="n">
        <v>0</v>
      </c>
      <c r="O658" t="n">
        <v>0</v>
      </c>
      <c r="P658" t="n">
        <v>0</v>
      </c>
      <c r="Q658" t="n">
        <v>0</v>
      </c>
      <c r="R658" s="2" t="inlineStr"/>
    </row>
    <row r="659" ht="15" customHeight="1">
      <c r="A659" t="inlineStr">
        <is>
          <t>A 9567-2025</t>
        </is>
      </c>
      <c r="B659" s="1" t="n">
        <v>45715.61523148148</v>
      </c>
      <c r="C659" s="1" t="n">
        <v>46021</v>
      </c>
      <c r="D659" t="inlineStr">
        <is>
          <t>JÄMTLANDS LÄN</t>
        </is>
      </c>
      <c r="E659" t="inlineStr">
        <is>
          <t>RAGUNDA</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55649-2023</t>
        </is>
      </c>
      <c r="B660" s="1" t="n">
        <v>45238</v>
      </c>
      <c r="C660" s="1" t="n">
        <v>46021</v>
      </c>
      <c r="D660" t="inlineStr">
        <is>
          <t>JÄMTLANDS LÄN</t>
        </is>
      </c>
      <c r="E660" t="inlineStr">
        <is>
          <t>RAGUNDA</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53287-2022</t>
        </is>
      </c>
      <c r="B661" s="1" t="n">
        <v>44876</v>
      </c>
      <c r="C661" s="1" t="n">
        <v>46021</v>
      </c>
      <c r="D661" t="inlineStr">
        <is>
          <t>JÄMTLANDS LÄN</t>
        </is>
      </c>
      <c r="E661" t="inlineStr">
        <is>
          <t>RAGUNDA</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53769-2023</t>
        </is>
      </c>
      <c r="B662" s="1" t="n">
        <v>45230</v>
      </c>
      <c r="C662" s="1" t="n">
        <v>46021</v>
      </c>
      <c r="D662" t="inlineStr">
        <is>
          <t>JÄMTLANDS LÄN</t>
        </is>
      </c>
      <c r="E662" t="inlineStr">
        <is>
          <t>RAGUNDA</t>
        </is>
      </c>
      <c r="F662" t="inlineStr">
        <is>
          <t>SCA</t>
        </is>
      </c>
      <c r="G662" t="n">
        <v>11.6</v>
      </c>
      <c r="H662" t="n">
        <v>0</v>
      </c>
      <c r="I662" t="n">
        <v>0</v>
      </c>
      <c r="J662" t="n">
        <v>0</v>
      </c>
      <c r="K662" t="n">
        <v>0</v>
      </c>
      <c r="L662" t="n">
        <v>0</v>
      </c>
      <c r="M662" t="n">
        <v>0</v>
      </c>
      <c r="N662" t="n">
        <v>0</v>
      </c>
      <c r="O662" t="n">
        <v>0</v>
      </c>
      <c r="P662" t="n">
        <v>0</v>
      </c>
      <c r="Q662" t="n">
        <v>0</v>
      </c>
      <c r="R662" s="2" t="inlineStr"/>
    </row>
    <row r="663" ht="15" customHeight="1">
      <c r="A663" t="inlineStr">
        <is>
          <t>A 51646-2023</t>
        </is>
      </c>
      <c r="B663" s="1" t="n">
        <v>45215</v>
      </c>
      <c r="C663" s="1" t="n">
        <v>46021</v>
      </c>
      <c r="D663" t="inlineStr">
        <is>
          <t>JÄMTLANDS LÄN</t>
        </is>
      </c>
      <c r="E663" t="inlineStr">
        <is>
          <t>RAGUNDA</t>
        </is>
      </c>
      <c r="G663" t="n">
        <v>0.7</v>
      </c>
      <c r="H663" t="n">
        <v>0</v>
      </c>
      <c r="I663" t="n">
        <v>0</v>
      </c>
      <c r="J663" t="n">
        <v>0</v>
      </c>
      <c r="K663" t="n">
        <v>0</v>
      </c>
      <c r="L663" t="n">
        <v>0</v>
      </c>
      <c r="M663" t="n">
        <v>0</v>
      </c>
      <c r="N663" t="n">
        <v>0</v>
      </c>
      <c r="O663" t="n">
        <v>0</v>
      </c>
      <c r="P663" t="n">
        <v>0</v>
      </c>
      <c r="Q663" t="n">
        <v>0</v>
      </c>
      <c r="R663" s="2" t="inlineStr"/>
    </row>
    <row r="664" ht="15" customHeight="1">
      <c r="A664" t="inlineStr">
        <is>
          <t>A 29319-2023</t>
        </is>
      </c>
      <c r="B664" s="1" t="n">
        <v>45105</v>
      </c>
      <c r="C664" s="1" t="n">
        <v>46021</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17323-2025</t>
        </is>
      </c>
      <c r="B665" s="1" t="n">
        <v>45756.63601851852</v>
      </c>
      <c r="C665" s="1" t="n">
        <v>46021</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40919-2024</t>
        </is>
      </c>
      <c r="B666" s="1" t="n">
        <v>45558.63575231482</v>
      </c>
      <c r="C666" s="1" t="n">
        <v>46021</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45894-2025</t>
        </is>
      </c>
      <c r="B667" s="1" t="n">
        <v>45923.67765046296</v>
      </c>
      <c r="C667" s="1" t="n">
        <v>46021</v>
      </c>
      <c r="D667" t="inlineStr">
        <is>
          <t>JÄMTLANDS LÄN</t>
        </is>
      </c>
      <c r="E667" t="inlineStr">
        <is>
          <t>RAGUNDA</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19486-2024</t>
        </is>
      </c>
      <c r="B668" s="1" t="n">
        <v>45429</v>
      </c>
      <c r="C668" s="1" t="n">
        <v>46021</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15024-2022</t>
        </is>
      </c>
      <c r="B669" s="1" t="n">
        <v>44657</v>
      </c>
      <c r="C669" s="1" t="n">
        <v>46021</v>
      </c>
      <c r="D669" t="inlineStr">
        <is>
          <t>JÄMTLANDS LÄN</t>
        </is>
      </c>
      <c r="E669" t="inlineStr">
        <is>
          <t>RAGUNDA</t>
        </is>
      </c>
      <c r="G669" t="n">
        <v>1.8</v>
      </c>
      <c r="H669" t="n">
        <v>0</v>
      </c>
      <c r="I669" t="n">
        <v>0</v>
      </c>
      <c r="J669" t="n">
        <v>0</v>
      </c>
      <c r="K669" t="n">
        <v>0</v>
      </c>
      <c r="L669" t="n">
        <v>0</v>
      </c>
      <c r="M669" t="n">
        <v>0</v>
      </c>
      <c r="N669" t="n">
        <v>0</v>
      </c>
      <c r="O669" t="n">
        <v>0</v>
      </c>
      <c r="P669" t="n">
        <v>0</v>
      </c>
      <c r="Q669" t="n">
        <v>0</v>
      </c>
      <c r="R669" s="2" t="inlineStr"/>
    </row>
    <row r="670" ht="15" customHeight="1">
      <c r="A670" t="inlineStr">
        <is>
          <t>A 13941-2025</t>
        </is>
      </c>
      <c r="B670" s="1" t="n">
        <v>45737.69822916666</v>
      </c>
      <c r="C670" s="1" t="n">
        <v>46021</v>
      </c>
      <c r="D670" t="inlineStr">
        <is>
          <t>JÄMTLANDS LÄN</t>
        </is>
      </c>
      <c r="E670" t="inlineStr">
        <is>
          <t>RAGUNDA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46192-2025</t>
        </is>
      </c>
      <c r="B671" s="1" t="n">
        <v>45924.67789351852</v>
      </c>
      <c r="C671" s="1" t="n">
        <v>46021</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48192-2024</t>
        </is>
      </c>
      <c r="B672" s="1" t="n">
        <v>45590</v>
      </c>
      <c r="C672" s="1" t="n">
        <v>46021</v>
      </c>
      <c r="D672" t="inlineStr">
        <is>
          <t>JÄMTLANDS LÄN</t>
        </is>
      </c>
      <c r="E672" t="inlineStr">
        <is>
          <t>RAGUNDA</t>
        </is>
      </c>
      <c r="G672" t="n">
        <v>2.3</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46021</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12773-2022</t>
        </is>
      </c>
      <c r="B674" s="1" t="n">
        <v>44641</v>
      </c>
      <c r="C674" s="1" t="n">
        <v>46021</v>
      </c>
      <c r="D674" t="inlineStr">
        <is>
          <t>JÄMTLANDS LÄN</t>
        </is>
      </c>
      <c r="E674" t="inlineStr">
        <is>
          <t>RAGUNDA</t>
        </is>
      </c>
      <c r="F674" t="inlineStr">
        <is>
          <t>SCA</t>
        </is>
      </c>
      <c r="G674" t="n">
        <v>14.7</v>
      </c>
      <c r="H674" t="n">
        <v>0</v>
      </c>
      <c r="I674" t="n">
        <v>0</v>
      </c>
      <c r="J674" t="n">
        <v>0</v>
      </c>
      <c r="K674" t="n">
        <v>0</v>
      </c>
      <c r="L674" t="n">
        <v>0</v>
      </c>
      <c r="M674" t="n">
        <v>0</v>
      </c>
      <c r="N674" t="n">
        <v>0</v>
      </c>
      <c r="O674" t="n">
        <v>0</v>
      </c>
      <c r="P674" t="n">
        <v>0</v>
      </c>
      <c r="Q674" t="n">
        <v>0</v>
      </c>
      <c r="R674" s="2" t="inlineStr"/>
    </row>
    <row r="675" ht="15" customHeight="1">
      <c r="A675" t="inlineStr">
        <is>
          <t>A 26646-2023</t>
        </is>
      </c>
      <c r="B675" s="1" t="n">
        <v>45092</v>
      </c>
      <c r="C675" s="1" t="n">
        <v>46021</v>
      </c>
      <c r="D675" t="inlineStr">
        <is>
          <t>JÄMTLANDS LÄN</t>
        </is>
      </c>
      <c r="E675" t="inlineStr">
        <is>
          <t>RAGUNDA</t>
        </is>
      </c>
      <c r="G675" t="n">
        <v>1.4</v>
      </c>
      <c r="H675" t="n">
        <v>0</v>
      </c>
      <c r="I675" t="n">
        <v>0</v>
      </c>
      <c r="J675" t="n">
        <v>0</v>
      </c>
      <c r="K675" t="n">
        <v>0</v>
      </c>
      <c r="L675" t="n">
        <v>0</v>
      </c>
      <c r="M675" t="n">
        <v>0</v>
      </c>
      <c r="N675" t="n">
        <v>0</v>
      </c>
      <c r="O675" t="n">
        <v>0</v>
      </c>
      <c r="P675" t="n">
        <v>0</v>
      </c>
      <c r="Q675" t="n">
        <v>0</v>
      </c>
      <c r="R675" s="2" t="inlineStr"/>
    </row>
    <row r="676" ht="15" customHeight="1">
      <c r="A676" t="inlineStr">
        <is>
          <t>A 27291-2022</t>
        </is>
      </c>
      <c r="B676" s="1" t="n">
        <v>44741.94070601852</v>
      </c>
      <c r="C676" s="1" t="n">
        <v>46021</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49650-2024</t>
        </is>
      </c>
      <c r="B677" s="1" t="n">
        <v>45596.61569444444</v>
      </c>
      <c r="C677" s="1" t="n">
        <v>46021</v>
      </c>
      <c r="D677" t="inlineStr">
        <is>
          <t>JÄMTLANDS LÄN</t>
        </is>
      </c>
      <c r="E677" t="inlineStr">
        <is>
          <t>RAGUNDA</t>
        </is>
      </c>
      <c r="F677" t="inlineStr">
        <is>
          <t>Naturvårdsverket</t>
        </is>
      </c>
      <c r="G677" t="n">
        <v>3</v>
      </c>
      <c r="H677" t="n">
        <v>0</v>
      </c>
      <c r="I677" t="n">
        <v>0</v>
      </c>
      <c r="J677" t="n">
        <v>0</v>
      </c>
      <c r="K677" t="n">
        <v>0</v>
      </c>
      <c r="L677" t="n">
        <v>0</v>
      </c>
      <c r="M677" t="n">
        <v>0</v>
      </c>
      <c r="N677" t="n">
        <v>0</v>
      </c>
      <c r="O677" t="n">
        <v>0</v>
      </c>
      <c r="P677" t="n">
        <v>0</v>
      </c>
      <c r="Q677" t="n">
        <v>0</v>
      </c>
      <c r="R677" s="2" t="inlineStr"/>
    </row>
    <row r="678" ht="15" customHeight="1">
      <c r="A678" t="inlineStr">
        <is>
          <t>A 49651-2024</t>
        </is>
      </c>
      <c r="B678" s="1" t="n">
        <v>45596.61582175926</v>
      </c>
      <c r="C678" s="1" t="n">
        <v>46021</v>
      </c>
      <c r="D678" t="inlineStr">
        <is>
          <t>JÄMTLANDS LÄN</t>
        </is>
      </c>
      <c r="E678" t="inlineStr">
        <is>
          <t>RAGUNDA</t>
        </is>
      </c>
      <c r="F678" t="inlineStr">
        <is>
          <t>SCA</t>
        </is>
      </c>
      <c r="G678" t="n">
        <v>5.3</v>
      </c>
      <c r="H678" t="n">
        <v>0</v>
      </c>
      <c r="I678" t="n">
        <v>0</v>
      </c>
      <c r="J678" t="n">
        <v>0</v>
      </c>
      <c r="K678" t="n">
        <v>0</v>
      </c>
      <c r="L678" t="n">
        <v>0</v>
      </c>
      <c r="M678" t="n">
        <v>0</v>
      </c>
      <c r="N678" t="n">
        <v>0</v>
      </c>
      <c r="O678" t="n">
        <v>0</v>
      </c>
      <c r="P678" t="n">
        <v>0</v>
      </c>
      <c r="Q678" t="n">
        <v>0</v>
      </c>
      <c r="R678" s="2" t="inlineStr"/>
    </row>
    <row r="679" ht="15" customHeight="1">
      <c r="A679" t="inlineStr">
        <is>
          <t>A 6477-2024</t>
        </is>
      </c>
      <c r="B679" s="1" t="n">
        <v>45338.95405092592</v>
      </c>
      <c r="C679" s="1" t="n">
        <v>46021</v>
      </c>
      <c r="D679" t="inlineStr">
        <is>
          <t>JÄMTLANDS LÄN</t>
        </is>
      </c>
      <c r="E679" t="inlineStr">
        <is>
          <t>RAGUNDA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60443-2023</t>
        </is>
      </c>
      <c r="B680" s="1" t="n">
        <v>45258</v>
      </c>
      <c r="C680" s="1" t="n">
        <v>46021</v>
      </c>
      <c r="D680" t="inlineStr">
        <is>
          <t>JÄMTLANDS LÄN</t>
        </is>
      </c>
      <c r="E680" t="inlineStr">
        <is>
          <t>RAGUNDA</t>
        </is>
      </c>
      <c r="G680" t="n">
        <v>2.9</v>
      </c>
      <c r="H680" t="n">
        <v>0</v>
      </c>
      <c r="I680" t="n">
        <v>0</v>
      </c>
      <c r="J680" t="n">
        <v>0</v>
      </c>
      <c r="K680" t="n">
        <v>0</v>
      </c>
      <c r="L680" t="n">
        <v>0</v>
      </c>
      <c r="M680" t="n">
        <v>0</v>
      </c>
      <c r="N680" t="n">
        <v>0</v>
      </c>
      <c r="O680" t="n">
        <v>0</v>
      </c>
      <c r="P680" t="n">
        <v>0</v>
      </c>
      <c r="Q680" t="n">
        <v>0</v>
      </c>
      <c r="R680" s="2" t="inlineStr"/>
    </row>
    <row r="681" ht="15" customHeight="1">
      <c r="A681" t="inlineStr">
        <is>
          <t>A 18375-2022</t>
        </is>
      </c>
      <c r="B681" s="1" t="n">
        <v>44685</v>
      </c>
      <c r="C681" s="1" t="n">
        <v>46021</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55536-2024</t>
        </is>
      </c>
      <c r="B682" s="1" t="n">
        <v>45622</v>
      </c>
      <c r="C682" s="1" t="n">
        <v>46021</v>
      </c>
      <c r="D682" t="inlineStr">
        <is>
          <t>JÄMTLANDS LÄN</t>
        </is>
      </c>
      <c r="E682" t="inlineStr">
        <is>
          <t>RAGUNDA</t>
        </is>
      </c>
      <c r="G682" t="n">
        <v>0.8</v>
      </c>
      <c r="H682" t="n">
        <v>0</v>
      </c>
      <c r="I682" t="n">
        <v>0</v>
      </c>
      <c r="J682" t="n">
        <v>0</v>
      </c>
      <c r="K682" t="n">
        <v>0</v>
      </c>
      <c r="L682" t="n">
        <v>0</v>
      </c>
      <c r="M682" t="n">
        <v>0</v>
      </c>
      <c r="N682" t="n">
        <v>0</v>
      </c>
      <c r="O682" t="n">
        <v>0</v>
      </c>
      <c r="P682" t="n">
        <v>0</v>
      </c>
      <c r="Q682" t="n">
        <v>0</v>
      </c>
      <c r="R682" s="2" t="inlineStr"/>
    </row>
    <row r="683" ht="15" customHeight="1">
      <c r="A683" t="inlineStr">
        <is>
          <t>A 2411-2023</t>
        </is>
      </c>
      <c r="B683" s="1" t="n">
        <v>44942</v>
      </c>
      <c r="C683" s="1" t="n">
        <v>46021</v>
      </c>
      <c r="D683" t="inlineStr">
        <is>
          <t>JÄMTLANDS LÄN</t>
        </is>
      </c>
      <c r="E683" t="inlineStr">
        <is>
          <t>RAGUNDA</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44759-2024</t>
        </is>
      </c>
      <c r="B684" s="1" t="n">
        <v>45574.61634259259</v>
      </c>
      <c r="C684" s="1" t="n">
        <v>46021</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11834-2023</t>
        </is>
      </c>
      <c r="B685" s="1" t="n">
        <v>44994.94296296296</v>
      </c>
      <c r="C685" s="1" t="n">
        <v>46021</v>
      </c>
      <c r="D685" t="inlineStr">
        <is>
          <t>JÄMTLANDS LÄN</t>
        </is>
      </c>
      <c r="E685" t="inlineStr">
        <is>
          <t>RAGUNDA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46689-2025</t>
        </is>
      </c>
      <c r="B686" s="1" t="n">
        <v>45926.55307870371</v>
      </c>
      <c r="C686" s="1" t="n">
        <v>46021</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993-2025</t>
        </is>
      </c>
      <c r="B687" s="1" t="n">
        <v>45666.44943287037</v>
      </c>
      <c r="C687" s="1" t="n">
        <v>46021</v>
      </c>
      <c r="D687" t="inlineStr">
        <is>
          <t>JÄMTLANDS LÄN</t>
        </is>
      </c>
      <c r="E687" t="inlineStr">
        <is>
          <t>RAGUNDA</t>
        </is>
      </c>
      <c r="G687" t="n">
        <v>11.3</v>
      </c>
      <c r="H687" t="n">
        <v>0</v>
      </c>
      <c r="I687" t="n">
        <v>0</v>
      </c>
      <c r="J687" t="n">
        <v>0</v>
      </c>
      <c r="K687" t="n">
        <v>0</v>
      </c>
      <c r="L687" t="n">
        <v>0</v>
      </c>
      <c r="M687" t="n">
        <v>0</v>
      </c>
      <c r="N687" t="n">
        <v>0</v>
      </c>
      <c r="O687" t="n">
        <v>0</v>
      </c>
      <c r="P687" t="n">
        <v>0</v>
      </c>
      <c r="Q687" t="n">
        <v>0</v>
      </c>
      <c r="R687" s="2" t="inlineStr"/>
    </row>
    <row r="688" ht="15" customHeight="1">
      <c r="A688" t="inlineStr">
        <is>
          <t>A 57064-2024</t>
        </is>
      </c>
      <c r="B688" s="1" t="n">
        <v>45629.35326388889</v>
      </c>
      <c r="C688" s="1" t="n">
        <v>46021</v>
      </c>
      <c r="D688" t="inlineStr">
        <is>
          <t>JÄMTLANDS LÄN</t>
        </is>
      </c>
      <c r="E688" t="inlineStr">
        <is>
          <t>RAGUNDA</t>
        </is>
      </c>
      <c r="F688" t="inlineStr">
        <is>
          <t>Naturvårdsverket</t>
        </is>
      </c>
      <c r="G688" t="n">
        <v>0.5</v>
      </c>
      <c r="H688" t="n">
        <v>0</v>
      </c>
      <c r="I688" t="n">
        <v>0</v>
      </c>
      <c r="J688" t="n">
        <v>0</v>
      </c>
      <c r="K688" t="n">
        <v>0</v>
      </c>
      <c r="L688" t="n">
        <v>0</v>
      </c>
      <c r="M688" t="n">
        <v>0</v>
      </c>
      <c r="N688" t="n">
        <v>0</v>
      </c>
      <c r="O688" t="n">
        <v>0</v>
      </c>
      <c r="P688" t="n">
        <v>0</v>
      </c>
      <c r="Q688" t="n">
        <v>0</v>
      </c>
      <c r="R688" s="2" t="inlineStr"/>
    </row>
    <row r="689" ht="15" customHeight="1">
      <c r="A689" t="inlineStr">
        <is>
          <t>A 53264-2024</t>
        </is>
      </c>
      <c r="B689" s="1" t="n">
        <v>45614.34545138889</v>
      </c>
      <c r="C689" s="1" t="n">
        <v>46021</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50431-2024</t>
        </is>
      </c>
      <c r="B690" s="1" t="n">
        <v>45601.40686342592</v>
      </c>
      <c r="C690" s="1" t="n">
        <v>46021</v>
      </c>
      <c r="D690" t="inlineStr">
        <is>
          <t>JÄMTLANDS LÄN</t>
        </is>
      </c>
      <c r="E690" t="inlineStr">
        <is>
          <t>RAGUNDA</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16334-2025</t>
        </is>
      </c>
      <c r="B691" s="1" t="n">
        <v>45751.36490740741</v>
      </c>
      <c r="C691" s="1" t="n">
        <v>46021</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60936-2024</t>
        </is>
      </c>
      <c r="B692" s="1" t="n">
        <v>45645.36743055555</v>
      </c>
      <c r="C692" s="1" t="n">
        <v>46021</v>
      </c>
      <c r="D692" t="inlineStr">
        <is>
          <t>JÄMTLANDS LÄN</t>
        </is>
      </c>
      <c r="E692" t="inlineStr">
        <is>
          <t>RAGUNDA</t>
        </is>
      </c>
      <c r="G692" t="n">
        <v>1.2</v>
      </c>
      <c r="H692" t="n">
        <v>0</v>
      </c>
      <c r="I692" t="n">
        <v>0</v>
      </c>
      <c r="J692" t="n">
        <v>0</v>
      </c>
      <c r="K692" t="n">
        <v>0</v>
      </c>
      <c r="L692" t="n">
        <v>0</v>
      </c>
      <c r="M692" t="n">
        <v>0</v>
      </c>
      <c r="N692" t="n">
        <v>0</v>
      </c>
      <c r="O692" t="n">
        <v>0</v>
      </c>
      <c r="P692" t="n">
        <v>0</v>
      </c>
      <c r="Q692" t="n">
        <v>0</v>
      </c>
      <c r="R692" s="2" t="inlineStr"/>
    </row>
    <row r="693" ht="15" customHeight="1">
      <c r="A693" t="inlineStr">
        <is>
          <t>A 7284-2024</t>
        </is>
      </c>
      <c r="B693" s="1" t="n">
        <v>45344.92865740741</v>
      </c>
      <c r="C693" s="1" t="n">
        <v>46021</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7285-2024</t>
        </is>
      </c>
      <c r="B694" s="1" t="n">
        <v>45344.92873842592</v>
      </c>
      <c r="C694" s="1" t="n">
        <v>46021</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2242-2024</t>
        </is>
      </c>
      <c r="B695" s="1" t="n">
        <v>45309</v>
      </c>
      <c r="C695" s="1" t="n">
        <v>46021</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2248-2024</t>
        </is>
      </c>
      <c r="B696" s="1" t="n">
        <v>45309</v>
      </c>
      <c r="C696" s="1" t="n">
        <v>46021</v>
      </c>
      <c r="D696" t="inlineStr">
        <is>
          <t>JÄMTLANDS LÄN</t>
        </is>
      </c>
      <c r="E696" t="inlineStr">
        <is>
          <t>RAGUNDA</t>
        </is>
      </c>
      <c r="G696" t="n">
        <v>4.2</v>
      </c>
      <c r="H696" t="n">
        <v>0</v>
      </c>
      <c r="I696" t="n">
        <v>0</v>
      </c>
      <c r="J696" t="n">
        <v>0</v>
      </c>
      <c r="K696" t="n">
        <v>0</v>
      </c>
      <c r="L696" t="n">
        <v>0</v>
      </c>
      <c r="M696" t="n">
        <v>0</v>
      </c>
      <c r="N696" t="n">
        <v>0</v>
      </c>
      <c r="O696" t="n">
        <v>0</v>
      </c>
      <c r="P696" t="n">
        <v>0</v>
      </c>
      <c r="Q696" t="n">
        <v>0</v>
      </c>
      <c r="R696" s="2" t="inlineStr"/>
    </row>
    <row r="697" ht="15" customHeight="1">
      <c r="A697" t="inlineStr">
        <is>
          <t>A 5958-2021</t>
        </is>
      </c>
      <c r="B697" s="1" t="n">
        <v>44231</v>
      </c>
      <c r="C697" s="1" t="n">
        <v>46021</v>
      </c>
      <c r="D697" t="inlineStr">
        <is>
          <t>JÄMTLANDS LÄN</t>
        </is>
      </c>
      <c r="E697" t="inlineStr">
        <is>
          <t>RAGUNDA</t>
        </is>
      </c>
      <c r="G697" t="n">
        <v>3.1</v>
      </c>
      <c r="H697" t="n">
        <v>0</v>
      </c>
      <c r="I697" t="n">
        <v>0</v>
      </c>
      <c r="J697" t="n">
        <v>0</v>
      </c>
      <c r="K697" t="n">
        <v>0</v>
      </c>
      <c r="L697" t="n">
        <v>0</v>
      </c>
      <c r="M697" t="n">
        <v>0</v>
      </c>
      <c r="N697" t="n">
        <v>0</v>
      </c>
      <c r="O697" t="n">
        <v>0</v>
      </c>
      <c r="P697" t="n">
        <v>0</v>
      </c>
      <c r="Q697" t="n">
        <v>0</v>
      </c>
      <c r="R697" s="2" t="inlineStr"/>
    </row>
    <row r="698" ht="15" customHeight="1">
      <c r="A698" t="inlineStr">
        <is>
          <t>A 24197-2024</t>
        </is>
      </c>
      <c r="B698" s="1" t="n">
        <v>45456.96601851852</v>
      </c>
      <c r="C698" s="1" t="n">
        <v>46021</v>
      </c>
      <c r="D698" t="inlineStr">
        <is>
          <t>JÄMTLANDS LÄN</t>
        </is>
      </c>
      <c r="E698" t="inlineStr">
        <is>
          <t>RAGUNDA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4916-2025</t>
        </is>
      </c>
      <c r="B699" s="1" t="n">
        <v>45688.68196759259</v>
      </c>
      <c r="C699" s="1" t="n">
        <v>46021</v>
      </c>
      <c r="D699" t="inlineStr">
        <is>
          <t>JÄMTLANDS LÄN</t>
        </is>
      </c>
      <c r="E699" t="inlineStr">
        <is>
          <t>RAGUNDA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46275-2025</t>
        </is>
      </c>
      <c r="B700" s="1" t="n">
        <v>45925.3711574074</v>
      </c>
      <c r="C700" s="1" t="n">
        <v>46021</v>
      </c>
      <c r="D700" t="inlineStr">
        <is>
          <t>JÄMTLANDS LÄN</t>
        </is>
      </c>
      <c r="E700" t="inlineStr">
        <is>
          <t>RAGUNDA</t>
        </is>
      </c>
      <c r="G700" t="n">
        <v>2.7</v>
      </c>
      <c r="H700" t="n">
        <v>0</v>
      </c>
      <c r="I700" t="n">
        <v>0</v>
      </c>
      <c r="J700" t="n">
        <v>0</v>
      </c>
      <c r="K700" t="n">
        <v>0</v>
      </c>
      <c r="L700" t="n">
        <v>0</v>
      </c>
      <c r="M700" t="n">
        <v>0</v>
      </c>
      <c r="N700" t="n">
        <v>0</v>
      </c>
      <c r="O700" t="n">
        <v>0</v>
      </c>
      <c r="P700" t="n">
        <v>0</v>
      </c>
      <c r="Q700" t="n">
        <v>0</v>
      </c>
      <c r="R700" s="2" t="inlineStr"/>
    </row>
    <row r="701" ht="15" customHeight="1">
      <c r="A701" t="inlineStr">
        <is>
          <t>A 5930-2025</t>
        </is>
      </c>
      <c r="B701" s="1" t="n">
        <v>45695.44724537037</v>
      </c>
      <c r="C701" s="1" t="n">
        <v>46021</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46710-2025</t>
        </is>
      </c>
      <c r="B702" s="1" t="n">
        <v>45926.57337962963</v>
      </c>
      <c r="C702" s="1" t="n">
        <v>46021</v>
      </c>
      <c r="D702" t="inlineStr">
        <is>
          <t>JÄMTLANDS LÄN</t>
        </is>
      </c>
      <c r="E702" t="inlineStr">
        <is>
          <t>RAGUNDA</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46751-2025</t>
        </is>
      </c>
      <c r="B703" s="1" t="n">
        <v>45926.6153125</v>
      </c>
      <c r="C703" s="1" t="n">
        <v>46021</v>
      </c>
      <c r="D703" t="inlineStr">
        <is>
          <t>JÄMTLANDS LÄN</t>
        </is>
      </c>
      <c r="E703" t="inlineStr">
        <is>
          <t>RAGUNDA</t>
        </is>
      </c>
      <c r="F703" t="inlineStr">
        <is>
          <t>SCA</t>
        </is>
      </c>
      <c r="G703" t="n">
        <v>7.8</v>
      </c>
      <c r="H703" t="n">
        <v>0</v>
      </c>
      <c r="I703" t="n">
        <v>0</v>
      </c>
      <c r="J703" t="n">
        <v>0</v>
      </c>
      <c r="K703" t="n">
        <v>0</v>
      </c>
      <c r="L703" t="n">
        <v>0</v>
      </c>
      <c r="M703" t="n">
        <v>0</v>
      </c>
      <c r="N703" t="n">
        <v>0</v>
      </c>
      <c r="O703" t="n">
        <v>0</v>
      </c>
      <c r="P703" t="n">
        <v>0</v>
      </c>
      <c r="Q703" t="n">
        <v>0</v>
      </c>
      <c r="R703" s="2" t="inlineStr"/>
    </row>
    <row r="704" ht="15" customHeight="1">
      <c r="A704" t="inlineStr">
        <is>
          <t>A 46753-2025</t>
        </is>
      </c>
      <c r="B704" s="1" t="n">
        <v>45926.61552083334</v>
      </c>
      <c r="C704" s="1" t="n">
        <v>46021</v>
      </c>
      <c r="D704" t="inlineStr">
        <is>
          <t>JÄMTLANDS LÄN</t>
        </is>
      </c>
      <c r="E704" t="inlineStr">
        <is>
          <t>RAGUNDA</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23305-2023</t>
        </is>
      </c>
      <c r="B705" s="1" t="n">
        <v>45075.94506944445</v>
      </c>
      <c r="C705" s="1" t="n">
        <v>46021</v>
      </c>
      <c r="D705" t="inlineStr">
        <is>
          <t>JÄMTLANDS LÄN</t>
        </is>
      </c>
      <c r="E705" t="inlineStr">
        <is>
          <t>RAGUNDA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58847-2024</t>
        </is>
      </c>
      <c r="B706" s="1" t="n">
        <v>45636.3864699074</v>
      </c>
      <c r="C706" s="1" t="n">
        <v>46021</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4615-2023</t>
        </is>
      </c>
      <c r="B707" s="1" t="n">
        <v>44956.93924768519</v>
      </c>
      <c r="C707" s="1" t="n">
        <v>46021</v>
      </c>
      <c r="D707" t="inlineStr">
        <is>
          <t>JÄMTLANDS LÄN</t>
        </is>
      </c>
      <c r="E707" t="inlineStr">
        <is>
          <t>RAGUNDA</t>
        </is>
      </c>
      <c r="F707" t="inlineStr">
        <is>
          <t>SCA</t>
        </is>
      </c>
      <c r="G707" t="n">
        <v>3.7</v>
      </c>
      <c r="H707" t="n">
        <v>0</v>
      </c>
      <c r="I707" t="n">
        <v>0</v>
      </c>
      <c r="J707" t="n">
        <v>0</v>
      </c>
      <c r="K707" t="n">
        <v>0</v>
      </c>
      <c r="L707" t="n">
        <v>0</v>
      </c>
      <c r="M707" t="n">
        <v>0</v>
      </c>
      <c r="N707" t="n">
        <v>0</v>
      </c>
      <c r="O707" t="n">
        <v>0</v>
      </c>
      <c r="P707" t="n">
        <v>0</v>
      </c>
      <c r="Q707" t="n">
        <v>0</v>
      </c>
      <c r="R707" s="2" t="inlineStr"/>
    </row>
    <row r="708" ht="15" customHeight="1">
      <c r="A708" t="inlineStr">
        <is>
          <t>A 2673-2024</t>
        </is>
      </c>
      <c r="B708" s="1" t="n">
        <v>45314</v>
      </c>
      <c r="C708" s="1" t="n">
        <v>46021</v>
      </c>
      <c r="D708" t="inlineStr">
        <is>
          <t>JÄMTLANDS LÄN</t>
        </is>
      </c>
      <c r="E708" t="inlineStr">
        <is>
          <t>RAGUNDA</t>
        </is>
      </c>
      <c r="G708" t="n">
        <v>0.9</v>
      </c>
      <c r="H708" t="n">
        <v>0</v>
      </c>
      <c r="I708" t="n">
        <v>0</v>
      </c>
      <c r="J708" t="n">
        <v>0</v>
      </c>
      <c r="K708" t="n">
        <v>0</v>
      </c>
      <c r="L708" t="n">
        <v>0</v>
      </c>
      <c r="M708" t="n">
        <v>0</v>
      </c>
      <c r="N708" t="n">
        <v>0</v>
      </c>
      <c r="O708" t="n">
        <v>0</v>
      </c>
      <c r="P708" t="n">
        <v>0</v>
      </c>
      <c r="Q708" t="n">
        <v>0</v>
      </c>
      <c r="R708" s="2" t="inlineStr"/>
    </row>
    <row r="709" ht="15" customHeight="1">
      <c r="A709" t="inlineStr">
        <is>
          <t>A 57112-2024</t>
        </is>
      </c>
      <c r="B709" s="1" t="n">
        <v>45629.36486111111</v>
      </c>
      <c r="C709" s="1" t="n">
        <v>46021</v>
      </c>
      <c r="D709" t="inlineStr">
        <is>
          <t>JÄMTLANDS LÄN</t>
        </is>
      </c>
      <c r="E709" t="inlineStr">
        <is>
          <t>RAGUNDA</t>
        </is>
      </c>
      <c r="G709" t="n">
        <v>0.7</v>
      </c>
      <c r="H709" t="n">
        <v>0</v>
      </c>
      <c r="I709" t="n">
        <v>0</v>
      </c>
      <c r="J709" t="n">
        <v>0</v>
      </c>
      <c r="K709" t="n">
        <v>0</v>
      </c>
      <c r="L709" t="n">
        <v>0</v>
      </c>
      <c r="M709" t="n">
        <v>0</v>
      </c>
      <c r="N709" t="n">
        <v>0</v>
      </c>
      <c r="O709" t="n">
        <v>0</v>
      </c>
      <c r="P709" t="n">
        <v>0</v>
      </c>
      <c r="Q709" t="n">
        <v>0</v>
      </c>
      <c r="R709" s="2" t="inlineStr"/>
    </row>
    <row r="710" ht="15" customHeight="1">
      <c r="A710" t="inlineStr">
        <is>
          <t>A 36375-2022</t>
        </is>
      </c>
      <c r="B710" s="1" t="n">
        <v>44803.94351851852</v>
      </c>
      <c r="C710" s="1" t="n">
        <v>46021</v>
      </c>
      <c r="D710" t="inlineStr">
        <is>
          <t>JÄMTLANDS LÄN</t>
        </is>
      </c>
      <c r="E710" t="inlineStr">
        <is>
          <t>RAGUNDA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17667-2025</t>
        </is>
      </c>
      <c r="B711" s="1" t="n">
        <v>45758.36487268518</v>
      </c>
      <c r="C711" s="1" t="n">
        <v>46021</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5148-2023</t>
        </is>
      </c>
      <c r="B712" s="1" t="n">
        <v>44958</v>
      </c>
      <c r="C712" s="1" t="n">
        <v>46021</v>
      </c>
      <c r="D712" t="inlineStr">
        <is>
          <t>JÄMTLANDS LÄN</t>
        </is>
      </c>
      <c r="E712" t="inlineStr">
        <is>
          <t>RAGUNDA</t>
        </is>
      </c>
      <c r="G712" t="n">
        <v>2.9</v>
      </c>
      <c r="H712" t="n">
        <v>0</v>
      </c>
      <c r="I712" t="n">
        <v>0</v>
      </c>
      <c r="J712" t="n">
        <v>0</v>
      </c>
      <c r="K712" t="n">
        <v>0</v>
      </c>
      <c r="L712" t="n">
        <v>0</v>
      </c>
      <c r="M712" t="n">
        <v>0</v>
      </c>
      <c r="N712" t="n">
        <v>0</v>
      </c>
      <c r="O712" t="n">
        <v>0</v>
      </c>
      <c r="P712" t="n">
        <v>0</v>
      </c>
      <c r="Q712" t="n">
        <v>0</v>
      </c>
      <c r="R712" s="2" t="inlineStr"/>
    </row>
    <row r="713" ht="15" customHeight="1">
      <c r="A713" t="inlineStr">
        <is>
          <t>A 51049-2024</t>
        </is>
      </c>
      <c r="B713" s="1" t="n">
        <v>45603.44644675926</v>
      </c>
      <c r="C713" s="1" t="n">
        <v>46021</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7722-2023</t>
        </is>
      </c>
      <c r="B714" s="1" t="n">
        <v>44972.94140046297</v>
      </c>
      <c r="C714" s="1" t="n">
        <v>46021</v>
      </c>
      <c r="D714" t="inlineStr">
        <is>
          <t>JÄMTLANDS LÄN</t>
        </is>
      </c>
      <c r="E714" t="inlineStr">
        <is>
          <t>RAGUNDA</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55489-2024</t>
        </is>
      </c>
      <c r="B715" s="1" t="n">
        <v>45622.44774305556</v>
      </c>
      <c r="C715" s="1" t="n">
        <v>46021</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20653-2025</t>
        </is>
      </c>
      <c r="B716" s="1" t="n">
        <v>45776.40311342593</v>
      </c>
      <c r="C716" s="1" t="n">
        <v>46021</v>
      </c>
      <c r="D716" t="inlineStr">
        <is>
          <t>JÄMTLANDS LÄN</t>
        </is>
      </c>
      <c r="E716" t="inlineStr">
        <is>
          <t>RAGUNDA</t>
        </is>
      </c>
      <c r="G716" t="n">
        <v>10.8</v>
      </c>
      <c r="H716" t="n">
        <v>0</v>
      </c>
      <c r="I716" t="n">
        <v>0</v>
      </c>
      <c r="J716" t="n">
        <v>0</v>
      </c>
      <c r="K716" t="n">
        <v>0</v>
      </c>
      <c r="L716" t="n">
        <v>0</v>
      </c>
      <c r="M716" t="n">
        <v>0</v>
      </c>
      <c r="N716" t="n">
        <v>0</v>
      </c>
      <c r="O716" t="n">
        <v>0</v>
      </c>
      <c r="P716" t="n">
        <v>0</v>
      </c>
      <c r="Q716" t="n">
        <v>0</v>
      </c>
      <c r="R716" s="2" t="inlineStr"/>
    </row>
    <row r="717" ht="15" customHeight="1">
      <c r="A717" t="inlineStr">
        <is>
          <t>A 14074-2023</t>
        </is>
      </c>
      <c r="B717" s="1" t="n">
        <v>45009.089375</v>
      </c>
      <c r="C717" s="1" t="n">
        <v>46021</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20777-2025</t>
        </is>
      </c>
      <c r="B718" s="1" t="n">
        <v>45776.59422453704</v>
      </c>
      <c r="C718" s="1" t="n">
        <v>46021</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47228-2025</t>
        </is>
      </c>
      <c r="B719" s="1" t="n">
        <v>45930.3990162037</v>
      </c>
      <c r="C719" s="1" t="n">
        <v>46021</v>
      </c>
      <c r="D719" t="inlineStr">
        <is>
          <t>JÄMTLANDS LÄN</t>
        </is>
      </c>
      <c r="E719" t="inlineStr">
        <is>
          <t>RAGUNDA</t>
        </is>
      </c>
      <c r="G719" t="n">
        <v>2.6</v>
      </c>
      <c r="H719" t="n">
        <v>0</v>
      </c>
      <c r="I719" t="n">
        <v>0</v>
      </c>
      <c r="J719" t="n">
        <v>0</v>
      </c>
      <c r="K719" t="n">
        <v>0</v>
      </c>
      <c r="L719" t="n">
        <v>0</v>
      </c>
      <c r="M719" t="n">
        <v>0</v>
      </c>
      <c r="N719" t="n">
        <v>0</v>
      </c>
      <c r="O719" t="n">
        <v>0</v>
      </c>
      <c r="P719" t="n">
        <v>0</v>
      </c>
      <c r="Q719" t="n">
        <v>0</v>
      </c>
      <c r="R719" s="2" t="inlineStr"/>
    </row>
    <row r="720" ht="15" customHeight="1">
      <c r="A720" t="inlineStr">
        <is>
          <t>A 46974-2025</t>
        </is>
      </c>
      <c r="B720" s="1" t="n">
        <v>45929.51104166666</v>
      </c>
      <c r="C720" s="1" t="n">
        <v>46021</v>
      </c>
      <c r="D720" t="inlineStr">
        <is>
          <t>JÄMTLANDS LÄN</t>
        </is>
      </c>
      <c r="E720" t="inlineStr">
        <is>
          <t>RAGUNDA</t>
        </is>
      </c>
      <c r="F720" t="inlineStr">
        <is>
          <t>SCA</t>
        </is>
      </c>
      <c r="G720" t="n">
        <v>12.1</v>
      </c>
      <c r="H720" t="n">
        <v>0</v>
      </c>
      <c r="I720" t="n">
        <v>0</v>
      </c>
      <c r="J720" t="n">
        <v>0</v>
      </c>
      <c r="K720" t="n">
        <v>0</v>
      </c>
      <c r="L720" t="n">
        <v>0</v>
      </c>
      <c r="M720" t="n">
        <v>0</v>
      </c>
      <c r="N720" t="n">
        <v>0</v>
      </c>
      <c r="O720" t="n">
        <v>0</v>
      </c>
      <c r="P720" t="n">
        <v>0</v>
      </c>
      <c r="Q720" t="n">
        <v>0</v>
      </c>
      <c r="R720" s="2" t="inlineStr"/>
    </row>
    <row r="721" ht="15" customHeight="1">
      <c r="A721" t="inlineStr">
        <is>
          <t>A 47037-2025</t>
        </is>
      </c>
      <c r="B721" s="1" t="n">
        <v>45929.59456018519</v>
      </c>
      <c r="C721" s="1" t="n">
        <v>46021</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47119-2025</t>
        </is>
      </c>
      <c r="B722" s="1" t="n">
        <v>45929.67795138889</v>
      </c>
      <c r="C722" s="1" t="n">
        <v>46021</v>
      </c>
      <c r="D722" t="inlineStr">
        <is>
          <t>JÄMTLANDS LÄN</t>
        </is>
      </c>
      <c r="E722" t="inlineStr">
        <is>
          <t>RAGUNDA</t>
        </is>
      </c>
      <c r="F722" t="inlineStr">
        <is>
          <t>SCA</t>
        </is>
      </c>
      <c r="G722" t="n">
        <v>22.7</v>
      </c>
      <c r="H722" t="n">
        <v>0</v>
      </c>
      <c r="I722" t="n">
        <v>0</v>
      </c>
      <c r="J722" t="n">
        <v>0</v>
      </c>
      <c r="K722" t="n">
        <v>0</v>
      </c>
      <c r="L722" t="n">
        <v>0</v>
      </c>
      <c r="M722" t="n">
        <v>0</v>
      </c>
      <c r="N722" t="n">
        <v>0</v>
      </c>
      <c r="O722" t="n">
        <v>0</v>
      </c>
      <c r="P722" t="n">
        <v>0</v>
      </c>
      <c r="Q722" t="n">
        <v>0</v>
      </c>
      <c r="R722" s="2" t="inlineStr"/>
    </row>
    <row r="723" ht="15" customHeight="1">
      <c r="A723" t="inlineStr">
        <is>
          <t>A 47122-2025</t>
        </is>
      </c>
      <c r="B723" s="1" t="n">
        <v>45929.67878472222</v>
      </c>
      <c r="C723" s="1" t="n">
        <v>46021</v>
      </c>
      <c r="D723" t="inlineStr">
        <is>
          <t>JÄMTLANDS LÄN</t>
        </is>
      </c>
      <c r="E723" t="inlineStr">
        <is>
          <t>RAGUNDA</t>
        </is>
      </c>
      <c r="F723" t="inlineStr">
        <is>
          <t>SCA</t>
        </is>
      </c>
      <c r="G723" t="n">
        <v>31.1</v>
      </c>
      <c r="H723" t="n">
        <v>0</v>
      </c>
      <c r="I723" t="n">
        <v>0</v>
      </c>
      <c r="J723" t="n">
        <v>0</v>
      </c>
      <c r="K723" t="n">
        <v>0</v>
      </c>
      <c r="L723" t="n">
        <v>0</v>
      </c>
      <c r="M723" t="n">
        <v>0</v>
      </c>
      <c r="N723" t="n">
        <v>0</v>
      </c>
      <c r="O723" t="n">
        <v>0</v>
      </c>
      <c r="P723" t="n">
        <v>0</v>
      </c>
      <c r="Q723" t="n">
        <v>0</v>
      </c>
      <c r="R723" s="2" t="inlineStr"/>
    </row>
    <row r="724" ht="15" customHeight="1">
      <c r="A724" t="inlineStr">
        <is>
          <t>A 54764-2024</t>
        </is>
      </c>
      <c r="B724" s="1" t="n">
        <v>45618.46921296296</v>
      </c>
      <c r="C724" s="1" t="n">
        <v>46021</v>
      </c>
      <c r="D724" t="inlineStr">
        <is>
          <t>JÄMTLANDS LÄN</t>
        </is>
      </c>
      <c r="E724" t="inlineStr">
        <is>
          <t>RAGUNDA</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20722-2025</t>
        </is>
      </c>
      <c r="B725" s="1" t="n">
        <v>45776.50651620371</v>
      </c>
      <c r="C725" s="1" t="n">
        <v>46021</v>
      </c>
      <c r="D725" t="inlineStr">
        <is>
          <t>JÄMTLANDS LÄN</t>
        </is>
      </c>
      <c r="E725" t="inlineStr">
        <is>
          <t>RAGUNDA</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20728-2025</t>
        </is>
      </c>
      <c r="B726" s="1" t="n">
        <v>45776.51130787037</v>
      </c>
      <c r="C726" s="1" t="n">
        <v>46021</v>
      </c>
      <c r="D726" t="inlineStr">
        <is>
          <t>JÄMTLANDS LÄN</t>
        </is>
      </c>
      <c r="E726" t="inlineStr">
        <is>
          <t>RAGUNDA</t>
        </is>
      </c>
      <c r="F726" t="inlineStr">
        <is>
          <t>Kommuner</t>
        </is>
      </c>
      <c r="G726" t="n">
        <v>1.1</v>
      </c>
      <c r="H726" t="n">
        <v>0</v>
      </c>
      <c r="I726" t="n">
        <v>0</v>
      </c>
      <c r="J726" t="n">
        <v>0</v>
      </c>
      <c r="K726" t="n">
        <v>0</v>
      </c>
      <c r="L726" t="n">
        <v>0</v>
      </c>
      <c r="M726" t="n">
        <v>0</v>
      </c>
      <c r="N726" t="n">
        <v>0</v>
      </c>
      <c r="O726" t="n">
        <v>0</v>
      </c>
      <c r="P726" t="n">
        <v>0</v>
      </c>
      <c r="Q726" t="n">
        <v>0</v>
      </c>
      <c r="R726" s="2" t="inlineStr"/>
    </row>
    <row r="727" ht="15" customHeight="1">
      <c r="A727" t="inlineStr">
        <is>
          <t>A 46909-2025</t>
        </is>
      </c>
      <c r="B727" s="1" t="n">
        <v>45929.40673611111</v>
      </c>
      <c r="C727" s="1" t="n">
        <v>46021</v>
      </c>
      <c r="D727" t="inlineStr">
        <is>
          <t>JÄMTLANDS LÄN</t>
        </is>
      </c>
      <c r="E727" t="inlineStr">
        <is>
          <t>RAGUNDA</t>
        </is>
      </c>
      <c r="G727" t="n">
        <v>5.7</v>
      </c>
      <c r="H727" t="n">
        <v>0</v>
      </c>
      <c r="I727" t="n">
        <v>0</v>
      </c>
      <c r="J727" t="n">
        <v>0</v>
      </c>
      <c r="K727" t="n">
        <v>0</v>
      </c>
      <c r="L727" t="n">
        <v>0</v>
      </c>
      <c r="M727" t="n">
        <v>0</v>
      </c>
      <c r="N727" t="n">
        <v>0</v>
      </c>
      <c r="O727" t="n">
        <v>0</v>
      </c>
      <c r="P727" t="n">
        <v>0</v>
      </c>
      <c r="Q727" t="n">
        <v>0</v>
      </c>
      <c r="R727" s="2" t="inlineStr"/>
    </row>
    <row r="728" ht="15" customHeight="1">
      <c r="A728" t="inlineStr">
        <is>
          <t>A 7279-2024</t>
        </is>
      </c>
      <c r="B728" s="1" t="n">
        <v>45344.92822916667</v>
      </c>
      <c r="C728" s="1" t="n">
        <v>46021</v>
      </c>
      <c r="D728" t="inlineStr">
        <is>
          <t>JÄMTLANDS LÄN</t>
        </is>
      </c>
      <c r="E728" t="inlineStr">
        <is>
          <t>RAGUNDA</t>
        </is>
      </c>
      <c r="G728" t="n">
        <v>2.1</v>
      </c>
      <c r="H728" t="n">
        <v>0</v>
      </c>
      <c r="I728" t="n">
        <v>0</v>
      </c>
      <c r="J728" t="n">
        <v>0</v>
      </c>
      <c r="K728" t="n">
        <v>0</v>
      </c>
      <c r="L728" t="n">
        <v>0</v>
      </c>
      <c r="M728" t="n">
        <v>0</v>
      </c>
      <c r="N728" t="n">
        <v>0</v>
      </c>
      <c r="O728" t="n">
        <v>0</v>
      </c>
      <c r="P728" t="n">
        <v>0</v>
      </c>
      <c r="Q728" t="n">
        <v>0</v>
      </c>
      <c r="R728" s="2" t="inlineStr"/>
    </row>
    <row r="729" ht="15" customHeight="1">
      <c r="A729" t="inlineStr">
        <is>
          <t>A 21430-2025</t>
        </is>
      </c>
      <c r="B729" s="1" t="n">
        <v>45782.51099537037</v>
      </c>
      <c r="C729" s="1" t="n">
        <v>46021</v>
      </c>
      <c r="D729" t="inlineStr">
        <is>
          <t>JÄMTLANDS LÄN</t>
        </is>
      </c>
      <c r="E729" t="inlineStr">
        <is>
          <t>RAGUNDA</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21432-2025</t>
        </is>
      </c>
      <c r="B730" s="1" t="n">
        <v>45782.51109953703</v>
      </c>
      <c r="C730" s="1" t="n">
        <v>46021</v>
      </c>
      <c r="D730" t="inlineStr">
        <is>
          <t>JÄMTLANDS LÄN</t>
        </is>
      </c>
      <c r="E730" t="inlineStr">
        <is>
          <t>RAGUNDA</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10706-2023</t>
        </is>
      </c>
      <c r="B731" s="1" t="n">
        <v>44984</v>
      </c>
      <c r="C731" s="1" t="n">
        <v>46021</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47229-2025</t>
        </is>
      </c>
      <c r="B732" s="1" t="n">
        <v>45930.40166666666</v>
      </c>
      <c r="C732" s="1" t="n">
        <v>46021</v>
      </c>
      <c r="D732" t="inlineStr">
        <is>
          <t>JÄMTLANDS LÄN</t>
        </is>
      </c>
      <c r="E732" t="inlineStr">
        <is>
          <t>RAGUNDA</t>
        </is>
      </c>
      <c r="G732" t="n">
        <v>1.8</v>
      </c>
      <c r="H732" t="n">
        <v>0</v>
      </c>
      <c r="I732" t="n">
        <v>0</v>
      </c>
      <c r="J732" t="n">
        <v>0</v>
      </c>
      <c r="K732" t="n">
        <v>0</v>
      </c>
      <c r="L732" t="n">
        <v>0</v>
      </c>
      <c r="M732" t="n">
        <v>0</v>
      </c>
      <c r="N732" t="n">
        <v>0</v>
      </c>
      <c r="O732" t="n">
        <v>0</v>
      </c>
      <c r="P732" t="n">
        <v>0</v>
      </c>
      <c r="Q732" t="n">
        <v>0</v>
      </c>
      <c r="R732" s="2" t="inlineStr"/>
    </row>
    <row r="733" ht="15" customHeight="1">
      <c r="A733" t="inlineStr">
        <is>
          <t>A 21550-2025</t>
        </is>
      </c>
      <c r="B733" s="1" t="n">
        <v>45782.67758101852</v>
      </c>
      <c r="C733" s="1" t="n">
        <v>46021</v>
      </c>
      <c r="D733" t="inlineStr">
        <is>
          <t>JÄMTLANDS LÄN</t>
        </is>
      </c>
      <c r="E733" t="inlineStr">
        <is>
          <t>RAGUNDA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21451-2025</t>
        </is>
      </c>
      <c r="B734" s="1" t="n">
        <v>45782.55287037037</v>
      </c>
      <c r="C734" s="1" t="n">
        <v>46021</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21150-2025</t>
        </is>
      </c>
      <c r="B735" s="1" t="n">
        <v>45779.34417824074</v>
      </c>
      <c r="C735" s="1" t="n">
        <v>46021</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891-2022</t>
        </is>
      </c>
      <c r="B736" s="1" t="n">
        <v>44571</v>
      </c>
      <c r="C736" s="1" t="n">
        <v>46021</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47075-2025</t>
        </is>
      </c>
      <c r="B737" s="1" t="n">
        <v>45929.63728009259</v>
      </c>
      <c r="C737" s="1" t="n">
        <v>46021</v>
      </c>
      <c r="D737" t="inlineStr">
        <is>
          <t>JÄMTLANDS LÄN</t>
        </is>
      </c>
      <c r="E737" t="inlineStr">
        <is>
          <t>RAGUNDA</t>
        </is>
      </c>
      <c r="F737" t="inlineStr">
        <is>
          <t>SCA</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21331-2025</t>
        </is>
      </c>
      <c r="B738" s="1" t="n">
        <v>45782.36494212963</v>
      </c>
      <c r="C738" s="1" t="n">
        <v>46021</v>
      </c>
      <c r="D738" t="inlineStr">
        <is>
          <t>JÄMTLANDS LÄN</t>
        </is>
      </c>
      <c r="E738" t="inlineStr">
        <is>
          <t>RAGUNDA</t>
        </is>
      </c>
      <c r="F738" t="inlineStr">
        <is>
          <t>SCA</t>
        </is>
      </c>
      <c r="G738" t="n">
        <v>23.1</v>
      </c>
      <c r="H738" t="n">
        <v>0</v>
      </c>
      <c r="I738" t="n">
        <v>0</v>
      </c>
      <c r="J738" t="n">
        <v>0</v>
      </c>
      <c r="K738" t="n">
        <v>0</v>
      </c>
      <c r="L738" t="n">
        <v>0</v>
      </c>
      <c r="M738" t="n">
        <v>0</v>
      </c>
      <c r="N738" t="n">
        <v>0</v>
      </c>
      <c r="O738" t="n">
        <v>0</v>
      </c>
      <c r="P738" t="n">
        <v>0</v>
      </c>
      <c r="Q738" t="n">
        <v>0</v>
      </c>
      <c r="R738" s="2" t="inlineStr"/>
      <c r="U738">
        <f>HYPERLINK("https://klasma.github.io/Logging_2303/knärot/A 21331-2025 karta knärot.png", "A 21331-2025")</f>
        <v/>
      </c>
      <c r="V738">
        <f>HYPERLINK("https://klasma.github.io/Logging_2303/klagomål/A 21331-2025 FSC-klagomål.docx", "A 21331-2025")</f>
        <v/>
      </c>
      <c r="W738">
        <f>HYPERLINK("https://klasma.github.io/Logging_2303/klagomålsmail/A 21331-2025 FSC-klagomål mail.docx", "A 21331-2025")</f>
        <v/>
      </c>
      <c r="X738">
        <f>HYPERLINK("https://klasma.github.io/Logging_2303/tillsyn/A 21331-2025 tillsynsbegäran.docx", "A 21331-2025")</f>
        <v/>
      </c>
      <c r="Y738">
        <f>HYPERLINK("https://klasma.github.io/Logging_2303/tillsynsmail/A 21331-2025 tillsynsbegäran mail.docx", "A 21331-2025")</f>
        <v/>
      </c>
    </row>
    <row r="739" ht="15" customHeight="1">
      <c r="A739" t="inlineStr">
        <is>
          <t>A 21214-2025</t>
        </is>
      </c>
      <c r="B739" s="1" t="n">
        <v>45779.49025462963</v>
      </c>
      <c r="C739" s="1" t="n">
        <v>46021</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22941-2024</t>
        </is>
      </c>
      <c r="B740" s="1" t="n">
        <v>45448.94520833333</v>
      </c>
      <c r="C740" s="1" t="n">
        <v>46021</v>
      </c>
      <c r="D740" t="inlineStr">
        <is>
          <t>JÄMTLANDS LÄN</t>
        </is>
      </c>
      <c r="E740" t="inlineStr">
        <is>
          <t>RAGUNDA</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46825-2025</t>
        </is>
      </c>
      <c r="B741" s="1" t="n">
        <v>45926.92506944444</v>
      </c>
      <c r="C741" s="1" t="n">
        <v>46021</v>
      </c>
      <c r="D741" t="inlineStr">
        <is>
          <t>JÄMTLANDS LÄN</t>
        </is>
      </c>
      <c r="E741" t="inlineStr">
        <is>
          <t>RAGUNDA</t>
        </is>
      </c>
      <c r="G741" t="n">
        <v>1.4</v>
      </c>
      <c r="H741" t="n">
        <v>0</v>
      </c>
      <c r="I741" t="n">
        <v>0</v>
      </c>
      <c r="J741" t="n">
        <v>0</v>
      </c>
      <c r="K741" t="n">
        <v>0</v>
      </c>
      <c r="L741" t="n">
        <v>0</v>
      </c>
      <c r="M741" t="n">
        <v>0</v>
      </c>
      <c r="N741" t="n">
        <v>0</v>
      </c>
      <c r="O741" t="n">
        <v>0</v>
      </c>
      <c r="P741" t="n">
        <v>0</v>
      </c>
      <c r="Q741" t="n">
        <v>0</v>
      </c>
      <c r="R741" s="2" t="inlineStr"/>
    </row>
    <row r="742" ht="15" customHeight="1">
      <c r="A742" t="inlineStr">
        <is>
          <t>A 8416-2023</t>
        </is>
      </c>
      <c r="B742" s="1" t="n">
        <v>44977.44373842593</v>
      </c>
      <c r="C742" s="1" t="n">
        <v>46021</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40801-2023</t>
        </is>
      </c>
      <c r="B743" s="1" t="n">
        <v>45170</v>
      </c>
      <c r="C743" s="1" t="n">
        <v>46021</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44881-2023</t>
        </is>
      </c>
      <c r="B744" s="1" t="n">
        <v>45187</v>
      </c>
      <c r="C744" s="1" t="n">
        <v>46021</v>
      </c>
      <c r="D744" t="inlineStr">
        <is>
          <t>JÄMTLANDS LÄN</t>
        </is>
      </c>
      <c r="E744" t="inlineStr">
        <is>
          <t>RAGUNDA</t>
        </is>
      </c>
      <c r="G744" t="n">
        <v>2.4</v>
      </c>
      <c r="H744" t="n">
        <v>0</v>
      </c>
      <c r="I744" t="n">
        <v>0</v>
      </c>
      <c r="J744" t="n">
        <v>0</v>
      </c>
      <c r="K744" t="n">
        <v>0</v>
      </c>
      <c r="L744" t="n">
        <v>0</v>
      </c>
      <c r="M744" t="n">
        <v>0</v>
      </c>
      <c r="N744" t="n">
        <v>0</v>
      </c>
      <c r="O744" t="n">
        <v>0</v>
      </c>
      <c r="P744" t="n">
        <v>0</v>
      </c>
      <c r="Q744" t="n">
        <v>0</v>
      </c>
      <c r="R744" s="2" t="inlineStr"/>
    </row>
    <row r="745" ht="15" customHeight="1">
      <c r="A745" t="inlineStr">
        <is>
          <t>A 27499-2024</t>
        </is>
      </c>
      <c r="B745" s="1" t="n">
        <v>45474.50608796296</v>
      </c>
      <c r="C745" s="1" t="n">
        <v>46021</v>
      </c>
      <c r="D745" t="inlineStr">
        <is>
          <t>JÄMTLANDS LÄN</t>
        </is>
      </c>
      <c r="E745" t="inlineStr">
        <is>
          <t>RAGUNDA</t>
        </is>
      </c>
      <c r="G745" t="n">
        <v>1.3</v>
      </c>
      <c r="H745" t="n">
        <v>0</v>
      </c>
      <c r="I745" t="n">
        <v>0</v>
      </c>
      <c r="J745" t="n">
        <v>0</v>
      </c>
      <c r="K745" t="n">
        <v>0</v>
      </c>
      <c r="L745" t="n">
        <v>0</v>
      </c>
      <c r="M745" t="n">
        <v>0</v>
      </c>
      <c r="N745" t="n">
        <v>0</v>
      </c>
      <c r="O745" t="n">
        <v>0</v>
      </c>
      <c r="P745" t="n">
        <v>0</v>
      </c>
      <c r="Q745" t="n">
        <v>0</v>
      </c>
      <c r="R745" s="2" t="inlineStr"/>
    </row>
    <row r="746" ht="15" customHeight="1">
      <c r="A746" t="inlineStr">
        <is>
          <t>A 47749-2025</t>
        </is>
      </c>
      <c r="B746" s="1" t="n">
        <v>45931.65711805555</v>
      </c>
      <c r="C746" s="1" t="n">
        <v>46021</v>
      </c>
      <c r="D746" t="inlineStr">
        <is>
          <t>JÄMTLANDS LÄN</t>
        </is>
      </c>
      <c r="E746" t="inlineStr">
        <is>
          <t>RAGUNDA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52148-2024</t>
        </is>
      </c>
      <c r="B747" s="1" t="n">
        <v>45608.52354166667</v>
      </c>
      <c r="C747" s="1" t="n">
        <v>46021</v>
      </c>
      <c r="D747" t="inlineStr">
        <is>
          <t>JÄMTLANDS LÄN</t>
        </is>
      </c>
      <c r="E747" t="inlineStr">
        <is>
          <t>RAGUNDA</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462-2023</t>
        </is>
      </c>
      <c r="B748" s="1" t="n">
        <v>44929</v>
      </c>
      <c r="C748" s="1" t="n">
        <v>46021</v>
      </c>
      <c r="D748" t="inlineStr">
        <is>
          <t>JÄMTLANDS LÄN</t>
        </is>
      </c>
      <c r="E748" t="inlineStr">
        <is>
          <t>RAGUNDA</t>
        </is>
      </c>
      <c r="G748" t="n">
        <v>4.5</v>
      </c>
      <c r="H748" t="n">
        <v>0</v>
      </c>
      <c r="I748" t="n">
        <v>0</v>
      </c>
      <c r="J748" t="n">
        <v>0</v>
      </c>
      <c r="K748" t="n">
        <v>0</v>
      </c>
      <c r="L748" t="n">
        <v>0</v>
      </c>
      <c r="M748" t="n">
        <v>0</v>
      </c>
      <c r="N748" t="n">
        <v>0</v>
      </c>
      <c r="O748" t="n">
        <v>0</v>
      </c>
      <c r="P748" t="n">
        <v>0</v>
      </c>
      <c r="Q748" t="n">
        <v>0</v>
      </c>
      <c r="R748" s="2" t="inlineStr"/>
    </row>
    <row r="749" ht="15" customHeight="1">
      <c r="A749" t="inlineStr">
        <is>
          <t>A 26645-2024</t>
        </is>
      </c>
      <c r="B749" s="1" t="n">
        <v>45469.94667824074</v>
      </c>
      <c r="C749" s="1" t="n">
        <v>46021</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19438-2023</t>
        </is>
      </c>
      <c r="B750" s="1" t="n">
        <v>45049</v>
      </c>
      <c r="C750" s="1" t="n">
        <v>46021</v>
      </c>
      <c r="D750" t="inlineStr">
        <is>
          <t>JÄMTLANDS LÄN</t>
        </is>
      </c>
      <c r="E750" t="inlineStr">
        <is>
          <t>RAGUNDA</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32258-2024</t>
        </is>
      </c>
      <c r="B751" s="1" t="n">
        <v>45511</v>
      </c>
      <c r="C751" s="1" t="n">
        <v>46021</v>
      </c>
      <c r="D751" t="inlineStr">
        <is>
          <t>JÄMTLANDS LÄN</t>
        </is>
      </c>
      <c r="E751" t="inlineStr">
        <is>
          <t>RAGUNDA</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60629-2023</t>
        </is>
      </c>
      <c r="B752" s="1" t="n">
        <v>45259</v>
      </c>
      <c r="C752" s="1" t="n">
        <v>46021</v>
      </c>
      <c r="D752" t="inlineStr">
        <is>
          <t>JÄMTLANDS LÄN</t>
        </is>
      </c>
      <c r="E752" t="inlineStr">
        <is>
          <t>RAGUNDA</t>
        </is>
      </c>
      <c r="G752" t="n">
        <v>3.4</v>
      </c>
      <c r="H752" t="n">
        <v>0</v>
      </c>
      <c r="I752" t="n">
        <v>0</v>
      </c>
      <c r="J752" t="n">
        <v>0</v>
      </c>
      <c r="K752" t="n">
        <v>0</v>
      </c>
      <c r="L752" t="n">
        <v>0</v>
      </c>
      <c r="M752" t="n">
        <v>0</v>
      </c>
      <c r="N752" t="n">
        <v>0</v>
      </c>
      <c r="O752" t="n">
        <v>0</v>
      </c>
      <c r="P752" t="n">
        <v>0</v>
      </c>
      <c r="Q752" t="n">
        <v>0</v>
      </c>
      <c r="R752" s="2" t="inlineStr"/>
    </row>
    <row r="753" ht="15" customHeight="1">
      <c r="A753" t="inlineStr">
        <is>
          <t>A 21332-2025</t>
        </is>
      </c>
      <c r="B753" s="1" t="n">
        <v>45782.36506944444</v>
      </c>
      <c r="C753" s="1" t="n">
        <v>46021</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47748-2025</t>
        </is>
      </c>
      <c r="B754" s="1" t="n">
        <v>45931.65693287037</v>
      </c>
      <c r="C754" s="1" t="n">
        <v>46021</v>
      </c>
      <c r="D754" t="inlineStr">
        <is>
          <t>JÄMTLANDS LÄN</t>
        </is>
      </c>
      <c r="E754" t="inlineStr">
        <is>
          <t>RAGUNDA</t>
        </is>
      </c>
      <c r="F754" t="inlineStr">
        <is>
          <t>SCA</t>
        </is>
      </c>
      <c r="G754" t="n">
        <v>8.6</v>
      </c>
      <c r="H754" t="n">
        <v>0</v>
      </c>
      <c r="I754" t="n">
        <v>0</v>
      </c>
      <c r="J754" t="n">
        <v>0</v>
      </c>
      <c r="K754" t="n">
        <v>0</v>
      </c>
      <c r="L754" t="n">
        <v>0</v>
      </c>
      <c r="M754" t="n">
        <v>0</v>
      </c>
      <c r="N754" t="n">
        <v>0</v>
      </c>
      <c r="O754" t="n">
        <v>0</v>
      </c>
      <c r="P754" t="n">
        <v>0</v>
      </c>
      <c r="Q754" t="n">
        <v>0</v>
      </c>
      <c r="R754" s="2" t="inlineStr"/>
    </row>
    <row r="755" ht="15" customHeight="1">
      <c r="A755" t="inlineStr">
        <is>
          <t>A 57889-2024</t>
        </is>
      </c>
      <c r="B755" s="1" t="n">
        <v>45631.46665509259</v>
      </c>
      <c r="C755" s="1" t="n">
        <v>46021</v>
      </c>
      <c r="D755" t="inlineStr">
        <is>
          <t>JÄMTLANDS LÄN</t>
        </is>
      </c>
      <c r="E755" t="inlineStr">
        <is>
          <t>RAGUNDA</t>
        </is>
      </c>
      <c r="G755" t="n">
        <v>11.1</v>
      </c>
      <c r="H755" t="n">
        <v>0</v>
      </c>
      <c r="I755" t="n">
        <v>0</v>
      </c>
      <c r="J755" t="n">
        <v>0</v>
      </c>
      <c r="K755" t="n">
        <v>0</v>
      </c>
      <c r="L755" t="n">
        <v>0</v>
      </c>
      <c r="M755" t="n">
        <v>0</v>
      </c>
      <c r="N755" t="n">
        <v>0</v>
      </c>
      <c r="O755" t="n">
        <v>0</v>
      </c>
      <c r="P755" t="n">
        <v>0</v>
      </c>
      <c r="Q755" t="n">
        <v>0</v>
      </c>
      <c r="R755" s="2" t="inlineStr"/>
    </row>
    <row r="756" ht="15" customHeight="1">
      <c r="A756" t="inlineStr">
        <is>
          <t>A 22388-2025</t>
        </is>
      </c>
      <c r="B756" s="1" t="n">
        <v>45786.51077546296</v>
      </c>
      <c r="C756" s="1" t="n">
        <v>46021</v>
      </c>
      <c r="D756" t="inlineStr">
        <is>
          <t>JÄMTLANDS LÄN</t>
        </is>
      </c>
      <c r="E756" t="inlineStr">
        <is>
          <t>RAGUNDA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15672-2021</t>
        </is>
      </c>
      <c r="B757" s="1" t="n">
        <v>44286</v>
      </c>
      <c r="C757" s="1" t="n">
        <v>46021</v>
      </c>
      <c r="D757" t="inlineStr">
        <is>
          <t>JÄMTLANDS LÄN</t>
        </is>
      </c>
      <c r="E757" t="inlineStr">
        <is>
          <t>RAGUNDA</t>
        </is>
      </c>
      <c r="G757" t="n">
        <v>1.7</v>
      </c>
      <c r="H757" t="n">
        <v>0</v>
      </c>
      <c r="I757" t="n">
        <v>0</v>
      </c>
      <c r="J757" t="n">
        <v>0</v>
      </c>
      <c r="K757" t="n">
        <v>0</v>
      </c>
      <c r="L757" t="n">
        <v>0</v>
      </c>
      <c r="M757" t="n">
        <v>0</v>
      </c>
      <c r="N757" t="n">
        <v>0</v>
      </c>
      <c r="O757" t="n">
        <v>0</v>
      </c>
      <c r="P757" t="n">
        <v>0</v>
      </c>
      <c r="Q757" t="n">
        <v>0</v>
      </c>
      <c r="R757" s="2" t="inlineStr"/>
    </row>
    <row r="758" ht="15" customHeight="1">
      <c r="A758" t="inlineStr">
        <is>
          <t>A 50650-2023</t>
        </is>
      </c>
      <c r="B758" s="1" t="n">
        <v>45210</v>
      </c>
      <c r="C758" s="1" t="n">
        <v>46021</v>
      </c>
      <c r="D758" t="inlineStr">
        <is>
          <t>JÄMTLANDS LÄN</t>
        </is>
      </c>
      <c r="E758" t="inlineStr">
        <is>
          <t>RAGUNDA</t>
        </is>
      </c>
      <c r="G758" t="n">
        <v>1.3</v>
      </c>
      <c r="H758" t="n">
        <v>0</v>
      </c>
      <c r="I758" t="n">
        <v>0</v>
      </c>
      <c r="J758" t="n">
        <v>0</v>
      </c>
      <c r="K758" t="n">
        <v>0</v>
      </c>
      <c r="L758" t="n">
        <v>0</v>
      </c>
      <c r="M758" t="n">
        <v>0</v>
      </c>
      <c r="N758" t="n">
        <v>0</v>
      </c>
      <c r="O758" t="n">
        <v>0</v>
      </c>
      <c r="P758" t="n">
        <v>0</v>
      </c>
      <c r="Q758" t="n">
        <v>0</v>
      </c>
      <c r="R758" s="2" t="inlineStr"/>
    </row>
    <row r="759" ht="15" customHeight="1">
      <c r="A759" t="inlineStr">
        <is>
          <t>A 564-2025</t>
        </is>
      </c>
      <c r="B759" s="1" t="n">
        <v>45664.55241898148</v>
      </c>
      <c r="C759" s="1" t="n">
        <v>46021</v>
      </c>
      <c r="D759" t="inlineStr">
        <is>
          <t>JÄMTLANDS LÄN</t>
        </is>
      </c>
      <c r="E759" t="inlineStr">
        <is>
          <t>RAGUNDA</t>
        </is>
      </c>
      <c r="F759" t="inlineStr">
        <is>
          <t>SCA</t>
        </is>
      </c>
      <c r="G759" t="n">
        <v>7</v>
      </c>
      <c r="H759" t="n">
        <v>0</v>
      </c>
      <c r="I759" t="n">
        <v>0</v>
      </c>
      <c r="J759" t="n">
        <v>0</v>
      </c>
      <c r="K759" t="n">
        <v>0</v>
      </c>
      <c r="L759" t="n">
        <v>0</v>
      </c>
      <c r="M759" t="n">
        <v>0</v>
      </c>
      <c r="N759" t="n">
        <v>0</v>
      </c>
      <c r="O759" t="n">
        <v>0</v>
      </c>
      <c r="P759" t="n">
        <v>0</v>
      </c>
      <c r="Q759" t="n">
        <v>0</v>
      </c>
      <c r="R759" s="2" t="inlineStr"/>
    </row>
    <row r="760" ht="15" customHeight="1">
      <c r="A760" t="inlineStr">
        <is>
          <t>A 48528-2025</t>
        </is>
      </c>
      <c r="B760" s="1" t="n">
        <v>45936.40758101852</v>
      </c>
      <c r="C760" s="1" t="n">
        <v>46021</v>
      </c>
      <c r="D760" t="inlineStr">
        <is>
          <t>JÄMTLANDS LÄN</t>
        </is>
      </c>
      <c r="E760" t="inlineStr">
        <is>
          <t>RAGUNDA</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22898-2025</t>
        </is>
      </c>
      <c r="B761" s="1" t="n">
        <v>45790.40670138889</v>
      </c>
      <c r="C761" s="1" t="n">
        <v>46021</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3767-2025</t>
        </is>
      </c>
      <c r="B762" s="1" t="n">
        <v>45681.60203703704</v>
      </c>
      <c r="C762" s="1" t="n">
        <v>46021</v>
      </c>
      <c r="D762" t="inlineStr">
        <is>
          <t>JÄMTLANDS LÄN</t>
        </is>
      </c>
      <c r="E762" t="inlineStr">
        <is>
          <t>RAGUNDA</t>
        </is>
      </c>
      <c r="G762" t="n">
        <v>4.9</v>
      </c>
      <c r="H762" t="n">
        <v>0</v>
      </c>
      <c r="I762" t="n">
        <v>0</v>
      </c>
      <c r="J762" t="n">
        <v>0</v>
      </c>
      <c r="K762" t="n">
        <v>0</v>
      </c>
      <c r="L762" t="n">
        <v>0</v>
      </c>
      <c r="M762" t="n">
        <v>0</v>
      </c>
      <c r="N762" t="n">
        <v>0</v>
      </c>
      <c r="O762" t="n">
        <v>0</v>
      </c>
      <c r="P762" t="n">
        <v>0</v>
      </c>
      <c r="Q762" t="n">
        <v>0</v>
      </c>
      <c r="R762" s="2" t="inlineStr"/>
    </row>
    <row r="763" ht="15" customHeight="1">
      <c r="A763" t="inlineStr">
        <is>
          <t>A 3186-2025</t>
        </is>
      </c>
      <c r="B763" s="1" t="n">
        <v>45679.40362268518</v>
      </c>
      <c r="C763" s="1" t="n">
        <v>46021</v>
      </c>
      <c r="D763" t="inlineStr">
        <is>
          <t>JÄMTLANDS LÄN</t>
        </is>
      </c>
      <c r="E763" t="inlineStr">
        <is>
          <t>RAGUNDA</t>
        </is>
      </c>
      <c r="G763" t="n">
        <v>5.2</v>
      </c>
      <c r="H763" t="n">
        <v>0</v>
      </c>
      <c r="I763" t="n">
        <v>0</v>
      </c>
      <c r="J763" t="n">
        <v>0</v>
      </c>
      <c r="K763" t="n">
        <v>0</v>
      </c>
      <c r="L763" t="n">
        <v>0</v>
      </c>
      <c r="M763" t="n">
        <v>0</v>
      </c>
      <c r="N763" t="n">
        <v>0</v>
      </c>
      <c r="O763" t="n">
        <v>0</v>
      </c>
      <c r="P763" t="n">
        <v>0</v>
      </c>
      <c r="Q763" t="n">
        <v>0</v>
      </c>
      <c r="R763" s="2" t="inlineStr"/>
    </row>
    <row r="764" ht="15" customHeight="1">
      <c r="A764" t="inlineStr">
        <is>
          <t>A 1308-2025</t>
        </is>
      </c>
      <c r="B764" s="1" t="n">
        <v>45667.55239583334</v>
      </c>
      <c r="C764" s="1" t="n">
        <v>46021</v>
      </c>
      <c r="D764" t="inlineStr">
        <is>
          <t>JÄMTLANDS LÄN</t>
        </is>
      </c>
      <c r="E764" t="inlineStr">
        <is>
          <t>RAGUNDA</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48742-2025</t>
        </is>
      </c>
      <c r="B765" s="1" t="n">
        <v>45936.67810185185</v>
      </c>
      <c r="C765" s="1" t="n">
        <v>46021</v>
      </c>
      <c r="D765" t="inlineStr">
        <is>
          <t>JÄMTLANDS LÄN</t>
        </is>
      </c>
      <c r="E765" t="inlineStr">
        <is>
          <t>RAGUNDA</t>
        </is>
      </c>
      <c r="F765" t="inlineStr">
        <is>
          <t>SCA</t>
        </is>
      </c>
      <c r="G765" t="n">
        <v>8.9</v>
      </c>
      <c r="H765" t="n">
        <v>0</v>
      </c>
      <c r="I765" t="n">
        <v>0</v>
      </c>
      <c r="J765" t="n">
        <v>0</v>
      </c>
      <c r="K765" t="n">
        <v>0</v>
      </c>
      <c r="L765" t="n">
        <v>0</v>
      </c>
      <c r="M765" t="n">
        <v>0</v>
      </c>
      <c r="N765" t="n">
        <v>0</v>
      </c>
      <c r="O765" t="n">
        <v>0</v>
      </c>
      <c r="P765" t="n">
        <v>0</v>
      </c>
      <c r="Q765" t="n">
        <v>0</v>
      </c>
      <c r="R765" s="2" t="inlineStr"/>
    </row>
    <row r="766" ht="15" customHeight="1">
      <c r="A766" t="inlineStr">
        <is>
          <t>A 41262-2021</t>
        </is>
      </c>
      <c r="B766" s="1" t="n">
        <v>44424</v>
      </c>
      <c r="C766" s="1" t="n">
        <v>46021</v>
      </c>
      <c r="D766" t="inlineStr">
        <is>
          <t>JÄMTLANDS LÄN</t>
        </is>
      </c>
      <c r="E766" t="inlineStr">
        <is>
          <t>RAGUNDA</t>
        </is>
      </c>
      <c r="G766" t="n">
        <v>2.6</v>
      </c>
      <c r="H766" t="n">
        <v>0</v>
      </c>
      <c r="I766" t="n">
        <v>0</v>
      </c>
      <c r="J766" t="n">
        <v>0</v>
      </c>
      <c r="K766" t="n">
        <v>0</v>
      </c>
      <c r="L766" t="n">
        <v>0</v>
      </c>
      <c r="M766" t="n">
        <v>0</v>
      </c>
      <c r="N766" t="n">
        <v>0</v>
      </c>
      <c r="O766" t="n">
        <v>0</v>
      </c>
      <c r="P766" t="n">
        <v>0</v>
      </c>
      <c r="Q766" t="n">
        <v>0</v>
      </c>
      <c r="R766" s="2" t="inlineStr"/>
    </row>
    <row r="767" ht="15" customHeight="1">
      <c r="A767" t="inlineStr">
        <is>
          <t>A 36371-2023</t>
        </is>
      </c>
      <c r="B767" s="1" t="n">
        <v>45149</v>
      </c>
      <c r="C767" s="1" t="n">
        <v>46021</v>
      </c>
      <c r="D767" t="inlineStr">
        <is>
          <t>JÄMTLANDS LÄN</t>
        </is>
      </c>
      <c r="E767" t="inlineStr">
        <is>
          <t>RAGUNDA</t>
        </is>
      </c>
      <c r="G767" t="n">
        <v>25.7</v>
      </c>
      <c r="H767" t="n">
        <v>0</v>
      </c>
      <c r="I767" t="n">
        <v>0</v>
      </c>
      <c r="J767" t="n">
        <v>0</v>
      </c>
      <c r="K767" t="n">
        <v>0</v>
      </c>
      <c r="L767" t="n">
        <v>0</v>
      </c>
      <c r="M767" t="n">
        <v>0</v>
      </c>
      <c r="N767" t="n">
        <v>0</v>
      </c>
      <c r="O767" t="n">
        <v>0</v>
      </c>
      <c r="P767" t="n">
        <v>0</v>
      </c>
      <c r="Q767" t="n">
        <v>0</v>
      </c>
      <c r="R767" s="2" t="inlineStr"/>
    </row>
    <row r="768" ht="15" customHeight="1">
      <c r="A768" t="inlineStr">
        <is>
          <t>A 51579-2024</t>
        </is>
      </c>
      <c r="B768" s="1" t="n">
        <v>45604.63575231482</v>
      </c>
      <c r="C768" s="1" t="n">
        <v>46021</v>
      </c>
      <c r="D768" t="inlineStr">
        <is>
          <t>JÄMTLANDS LÄN</t>
        </is>
      </c>
      <c r="E768" t="inlineStr">
        <is>
          <t>RAGUNDA</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23405-2025</t>
        </is>
      </c>
      <c r="B769" s="1" t="n">
        <v>45792.34527777778</v>
      </c>
      <c r="C769" s="1" t="n">
        <v>46021</v>
      </c>
      <c r="D769" t="inlineStr">
        <is>
          <t>JÄMTLANDS LÄN</t>
        </is>
      </c>
      <c r="E769" t="inlineStr">
        <is>
          <t>RAGUNDA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48748-2025</t>
        </is>
      </c>
      <c r="B770" s="1" t="n">
        <v>45936.67912037037</v>
      </c>
      <c r="C770" s="1" t="n">
        <v>46021</v>
      </c>
      <c r="D770" t="inlineStr">
        <is>
          <t>JÄMTLANDS LÄN</t>
        </is>
      </c>
      <c r="E770" t="inlineStr">
        <is>
          <t>RAGUNDA</t>
        </is>
      </c>
      <c r="F770" t="inlineStr">
        <is>
          <t>SCA</t>
        </is>
      </c>
      <c r="G770" t="n">
        <v>11.1</v>
      </c>
      <c r="H770" t="n">
        <v>0</v>
      </c>
      <c r="I770" t="n">
        <v>0</v>
      </c>
      <c r="J770" t="n">
        <v>0</v>
      </c>
      <c r="K770" t="n">
        <v>0</v>
      </c>
      <c r="L770" t="n">
        <v>0</v>
      </c>
      <c r="M770" t="n">
        <v>0</v>
      </c>
      <c r="N770" t="n">
        <v>0</v>
      </c>
      <c r="O770" t="n">
        <v>0</v>
      </c>
      <c r="P770" t="n">
        <v>0</v>
      </c>
      <c r="Q770" t="n">
        <v>0</v>
      </c>
      <c r="R770" s="2" t="inlineStr"/>
    </row>
    <row r="771" ht="15" customHeight="1">
      <c r="A771" t="inlineStr">
        <is>
          <t>A 23654-2025</t>
        </is>
      </c>
      <c r="B771" s="1" t="n">
        <v>45792.71905092592</v>
      </c>
      <c r="C771" s="1" t="n">
        <v>46021</v>
      </c>
      <c r="D771" t="inlineStr">
        <is>
          <t>JÄMTLANDS LÄN</t>
        </is>
      </c>
      <c r="E771" t="inlineStr">
        <is>
          <t>RAGUNDA</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23507-2025</t>
        </is>
      </c>
      <c r="B772" s="1" t="n">
        <v>45792.49023148148</v>
      </c>
      <c r="C772" s="1" t="n">
        <v>46021</v>
      </c>
      <c r="D772" t="inlineStr">
        <is>
          <t>JÄMTLANDS LÄN</t>
        </is>
      </c>
      <c r="E772" t="inlineStr">
        <is>
          <t>RAGUNDA</t>
        </is>
      </c>
      <c r="F772" t="inlineStr">
        <is>
          <t>SCA</t>
        </is>
      </c>
      <c r="G772" t="n">
        <v>16.4</v>
      </c>
      <c r="H772" t="n">
        <v>0</v>
      </c>
      <c r="I772" t="n">
        <v>0</v>
      </c>
      <c r="J772" t="n">
        <v>0</v>
      </c>
      <c r="K772" t="n">
        <v>0</v>
      </c>
      <c r="L772" t="n">
        <v>0</v>
      </c>
      <c r="M772" t="n">
        <v>0</v>
      </c>
      <c r="N772" t="n">
        <v>0</v>
      </c>
      <c r="O772" t="n">
        <v>0</v>
      </c>
      <c r="P772" t="n">
        <v>0</v>
      </c>
      <c r="Q772" t="n">
        <v>0</v>
      </c>
      <c r="R772" s="2" t="inlineStr"/>
    </row>
    <row r="773" ht="15" customHeight="1">
      <c r="A773" t="inlineStr">
        <is>
          <t>A 23586-2025</t>
        </is>
      </c>
      <c r="B773" s="1" t="n">
        <v>45792.63584490741</v>
      </c>
      <c r="C773" s="1" t="n">
        <v>46021</v>
      </c>
      <c r="D773" t="inlineStr">
        <is>
          <t>JÄMTLANDS LÄN</t>
        </is>
      </c>
      <c r="E773" t="inlineStr">
        <is>
          <t>RAGUNDA</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23413-2025</t>
        </is>
      </c>
      <c r="B774" s="1" t="n">
        <v>45792.34606481482</v>
      </c>
      <c r="C774" s="1" t="n">
        <v>46021</v>
      </c>
      <c r="D774" t="inlineStr">
        <is>
          <t>JÄMTLANDS LÄN</t>
        </is>
      </c>
      <c r="E774" t="inlineStr">
        <is>
          <t>RAGUNDA</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48746-2025</t>
        </is>
      </c>
      <c r="B775" s="1" t="n">
        <v>45936.67878472222</v>
      </c>
      <c r="C775" s="1" t="n">
        <v>46021</v>
      </c>
      <c r="D775" t="inlineStr">
        <is>
          <t>JÄMTLANDS LÄN</t>
        </is>
      </c>
      <c r="E775" t="inlineStr">
        <is>
          <t>RAGUNDA</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44630-2023</t>
        </is>
      </c>
      <c r="B776" s="1" t="n">
        <v>45184</v>
      </c>
      <c r="C776" s="1" t="n">
        <v>46021</v>
      </c>
      <c r="D776" t="inlineStr">
        <is>
          <t>JÄMTLANDS LÄN</t>
        </is>
      </c>
      <c r="E776" t="inlineStr">
        <is>
          <t>RAGUNDA</t>
        </is>
      </c>
      <c r="G776" t="n">
        <v>3.4</v>
      </c>
      <c r="H776" t="n">
        <v>0</v>
      </c>
      <c r="I776" t="n">
        <v>0</v>
      </c>
      <c r="J776" t="n">
        <v>0</v>
      </c>
      <c r="K776" t="n">
        <v>0</v>
      </c>
      <c r="L776" t="n">
        <v>0</v>
      </c>
      <c r="M776" t="n">
        <v>0</v>
      </c>
      <c r="N776" t="n">
        <v>0</v>
      </c>
      <c r="O776" t="n">
        <v>0</v>
      </c>
      <c r="P776" t="n">
        <v>0</v>
      </c>
      <c r="Q776" t="n">
        <v>0</v>
      </c>
      <c r="R776" s="2" t="inlineStr"/>
    </row>
    <row r="777" ht="15" customHeight="1">
      <c r="A777" t="inlineStr">
        <is>
          <t>A 23253-2025</t>
        </is>
      </c>
      <c r="B777" s="1" t="n">
        <v>45791.53238425926</v>
      </c>
      <c r="C777" s="1" t="n">
        <v>46021</v>
      </c>
      <c r="D777" t="inlineStr">
        <is>
          <t>JÄMTLANDS LÄN</t>
        </is>
      </c>
      <c r="E777" t="inlineStr">
        <is>
          <t>RAGUNDA</t>
        </is>
      </c>
      <c r="G777" t="n">
        <v>0.7</v>
      </c>
      <c r="H777" t="n">
        <v>0</v>
      </c>
      <c r="I777" t="n">
        <v>0</v>
      </c>
      <c r="J777" t="n">
        <v>0</v>
      </c>
      <c r="K777" t="n">
        <v>0</v>
      </c>
      <c r="L777" t="n">
        <v>0</v>
      </c>
      <c r="M777" t="n">
        <v>0</v>
      </c>
      <c r="N777" t="n">
        <v>0</v>
      </c>
      <c r="O777" t="n">
        <v>0</v>
      </c>
      <c r="P777" t="n">
        <v>0</v>
      </c>
      <c r="Q777" t="n">
        <v>0</v>
      </c>
      <c r="R777" s="2" t="inlineStr"/>
    </row>
    <row r="778" ht="15" customHeight="1">
      <c r="A778" t="inlineStr">
        <is>
          <t>A 12522-2023</t>
        </is>
      </c>
      <c r="B778" s="1" t="n">
        <v>45000</v>
      </c>
      <c r="C778" s="1" t="n">
        <v>46021</v>
      </c>
      <c r="D778" t="inlineStr">
        <is>
          <t>JÄMTLANDS LÄN</t>
        </is>
      </c>
      <c r="E778" t="inlineStr">
        <is>
          <t>RAGUNDA</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12523-2023</t>
        </is>
      </c>
      <c r="B779" s="1" t="n">
        <v>45000</v>
      </c>
      <c r="C779" s="1" t="n">
        <v>46021</v>
      </c>
      <c r="D779" t="inlineStr">
        <is>
          <t>JÄMTLANDS LÄN</t>
        </is>
      </c>
      <c r="E779" t="inlineStr">
        <is>
          <t>RAGUNDA</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57184-2025</t>
        </is>
      </c>
      <c r="B780" s="1" t="n">
        <v>45979.57361111111</v>
      </c>
      <c r="C780" s="1" t="n">
        <v>46021</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18284-2025</t>
        </is>
      </c>
      <c r="B781" s="1" t="n">
        <v>45762.39876157408</v>
      </c>
      <c r="C781" s="1" t="n">
        <v>46021</v>
      </c>
      <c r="D781" t="inlineStr">
        <is>
          <t>JÄMTLANDS LÄN</t>
        </is>
      </c>
      <c r="E781" t="inlineStr">
        <is>
          <t>RAGUNDA</t>
        </is>
      </c>
      <c r="G781" t="n">
        <v>0.2</v>
      </c>
      <c r="H781" t="n">
        <v>0</v>
      </c>
      <c r="I781" t="n">
        <v>0</v>
      </c>
      <c r="J781" t="n">
        <v>0</v>
      </c>
      <c r="K781" t="n">
        <v>0</v>
      </c>
      <c r="L781" t="n">
        <v>0</v>
      </c>
      <c r="M781" t="n">
        <v>0</v>
      </c>
      <c r="N781" t="n">
        <v>0</v>
      </c>
      <c r="O781" t="n">
        <v>0</v>
      </c>
      <c r="P781" t="n">
        <v>0</v>
      </c>
      <c r="Q781" t="n">
        <v>0</v>
      </c>
      <c r="R781" s="2" t="inlineStr"/>
      <c r="U781">
        <f>HYPERLINK("https://klasma.github.io/Logging_2303/knärot/A 18284-2025 karta knärot.png", "A 18284-2025")</f>
        <v/>
      </c>
      <c r="V781">
        <f>HYPERLINK("https://klasma.github.io/Logging_2303/klagomål/A 18284-2025 FSC-klagomål.docx", "A 18284-2025")</f>
        <v/>
      </c>
      <c r="W781">
        <f>HYPERLINK("https://klasma.github.io/Logging_2303/klagomålsmail/A 18284-2025 FSC-klagomål mail.docx", "A 18284-2025")</f>
        <v/>
      </c>
      <c r="X781">
        <f>HYPERLINK("https://klasma.github.io/Logging_2303/tillsyn/A 18284-2025 tillsynsbegäran.docx", "A 18284-2025")</f>
        <v/>
      </c>
      <c r="Y781">
        <f>HYPERLINK("https://klasma.github.io/Logging_2303/tillsynsmail/A 18284-2025 tillsynsbegäran mail.docx", "A 18284-2025")</f>
        <v/>
      </c>
    </row>
    <row r="782" ht="15" customHeight="1">
      <c r="A782" t="inlineStr">
        <is>
          <t>A 36246-2024</t>
        </is>
      </c>
      <c r="B782" s="1" t="n">
        <v>45534</v>
      </c>
      <c r="C782" s="1" t="n">
        <v>46021</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32063-2024</t>
        </is>
      </c>
      <c r="B783" s="1" t="n">
        <v>45510</v>
      </c>
      <c r="C783" s="1" t="n">
        <v>46021</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49059-2025</t>
        </is>
      </c>
      <c r="B784" s="1" t="n">
        <v>45937.64123842592</v>
      </c>
      <c r="C784" s="1" t="n">
        <v>46021</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57560-2025</t>
        </is>
      </c>
      <c r="B785" s="1" t="n">
        <v>45980.6987962963</v>
      </c>
      <c r="C785" s="1" t="n">
        <v>46021</v>
      </c>
      <c r="D785" t="inlineStr">
        <is>
          <t>JÄMTLANDS LÄN</t>
        </is>
      </c>
      <c r="E785" t="inlineStr">
        <is>
          <t>RAGUNDA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49092-2025</t>
        </is>
      </c>
      <c r="B786" s="1" t="n">
        <v>45937.67792824074</v>
      </c>
      <c r="C786" s="1" t="n">
        <v>46021</v>
      </c>
      <c r="D786" t="inlineStr">
        <is>
          <t>JÄMTLANDS LÄN</t>
        </is>
      </c>
      <c r="E786" t="inlineStr">
        <is>
          <t>RAGUNDA</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19263-2025</t>
        </is>
      </c>
      <c r="B787" s="1" t="n">
        <v>45769.51075231482</v>
      </c>
      <c r="C787" s="1" t="n">
        <v>46021</v>
      </c>
      <c r="D787" t="inlineStr">
        <is>
          <t>JÄMTLANDS LÄN</t>
        </is>
      </c>
      <c r="E787" t="inlineStr">
        <is>
          <t>RAGUNDA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23840-2025</t>
        </is>
      </c>
      <c r="B788" s="1" t="n">
        <v>45793</v>
      </c>
      <c r="C788" s="1" t="n">
        <v>46021</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5307-2025</t>
        </is>
      </c>
      <c r="B789" s="1" t="n">
        <v>45692.48993055556</v>
      </c>
      <c r="C789" s="1" t="n">
        <v>46021</v>
      </c>
      <c r="D789" t="inlineStr">
        <is>
          <t>JÄMTLANDS LÄN</t>
        </is>
      </c>
      <c r="E789" t="inlineStr">
        <is>
          <t>RAGUNDA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24158-2025</t>
        </is>
      </c>
      <c r="B790" s="1" t="n">
        <v>45796</v>
      </c>
      <c r="C790" s="1" t="n">
        <v>46021</v>
      </c>
      <c r="D790" t="inlineStr">
        <is>
          <t>JÄMTLANDS LÄN</t>
        </is>
      </c>
      <c r="E790" t="inlineStr">
        <is>
          <t>RAGUNDA</t>
        </is>
      </c>
      <c r="G790" t="n">
        <v>2.9</v>
      </c>
      <c r="H790" t="n">
        <v>0</v>
      </c>
      <c r="I790" t="n">
        <v>0</v>
      </c>
      <c r="J790" t="n">
        <v>0</v>
      </c>
      <c r="K790" t="n">
        <v>0</v>
      </c>
      <c r="L790" t="n">
        <v>0</v>
      </c>
      <c r="M790" t="n">
        <v>0</v>
      </c>
      <c r="N790" t="n">
        <v>0</v>
      </c>
      <c r="O790" t="n">
        <v>0</v>
      </c>
      <c r="P790" t="n">
        <v>0</v>
      </c>
      <c r="Q790" t="n">
        <v>0</v>
      </c>
      <c r="R790" s="2" t="inlineStr"/>
      <c r="U790">
        <f>HYPERLINK("https://klasma.github.io/Logging_2303/knärot/A 24158-2025 karta knärot.png", "A 24158-2025")</f>
        <v/>
      </c>
      <c r="V790">
        <f>HYPERLINK("https://klasma.github.io/Logging_2303/klagomål/A 24158-2025 FSC-klagomål.docx", "A 24158-2025")</f>
        <v/>
      </c>
      <c r="W790">
        <f>HYPERLINK("https://klasma.github.io/Logging_2303/klagomålsmail/A 24158-2025 FSC-klagomål mail.docx", "A 24158-2025")</f>
        <v/>
      </c>
      <c r="X790">
        <f>HYPERLINK("https://klasma.github.io/Logging_2303/tillsyn/A 24158-2025 tillsynsbegäran.docx", "A 24158-2025")</f>
        <v/>
      </c>
      <c r="Y790">
        <f>HYPERLINK("https://klasma.github.io/Logging_2303/tillsynsmail/A 24158-2025 tillsynsbegäran mail.docx", "A 24158-2025")</f>
        <v/>
      </c>
    </row>
    <row r="791" ht="15" customHeight="1">
      <c r="A791" t="inlineStr">
        <is>
          <t>A 24161-2025</t>
        </is>
      </c>
      <c r="B791" s="1" t="n">
        <v>45796</v>
      </c>
      <c r="C791" s="1" t="n">
        <v>46021</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57561-2025</t>
        </is>
      </c>
      <c r="B792" s="1" t="n">
        <v>45980.69885416667</v>
      </c>
      <c r="C792" s="1" t="n">
        <v>46021</v>
      </c>
      <c r="D792" t="inlineStr">
        <is>
          <t>JÄMTLANDS LÄN</t>
        </is>
      </c>
      <c r="E792" t="inlineStr">
        <is>
          <t>RAGUNDA</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49193-2025</t>
        </is>
      </c>
      <c r="B793" s="1" t="n">
        <v>45938.40831018519</v>
      </c>
      <c r="C793" s="1" t="n">
        <v>46021</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48066-2022</t>
        </is>
      </c>
      <c r="B794" s="1" t="n">
        <v>44855</v>
      </c>
      <c r="C794" s="1" t="n">
        <v>46021</v>
      </c>
      <c r="D794" t="inlineStr">
        <is>
          <t>JÄMTLANDS LÄN</t>
        </is>
      </c>
      <c r="E794" t="inlineStr">
        <is>
          <t>RAGUNDA</t>
        </is>
      </c>
      <c r="F794" t="inlineStr">
        <is>
          <t>SCA</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26942-2021</t>
        </is>
      </c>
      <c r="B795" s="1" t="n">
        <v>44349.91978009259</v>
      </c>
      <c r="C795" s="1" t="n">
        <v>46021</v>
      </c>
      <c r="D795" t="inlineStr">
        <is>
          <t>JÄMTLANDS LÄN</t>
        </is>
      </c>
      <c r="E795" t="inlineStr">
        <is>
          <t>RAGUNDA</t>
        </is>
      </c>
      <c r="G795" t="n">
        <v>6.2</v>
      </c>
      <c r="H795" t="n">
        <v>0</v>
      </c>
      <c r="I795" t="n">
        <v>0</v>
      </c>
      <c r="J795" t="n">
        <v>0</v>
      </c>
      <c r="K795" t="n">
        <v>0</v>
      </c>
      <c r="L795" t="n">
        <v>0</v>
      </c>
      <c r="M795" t="n">
        <v>0</v>
      </c>
      <c r="N795" t="n">
        <v>0</v>
      </c>
      <c r="O795" t="n">
        <v>0</v>
      </c>
      <c r="P795" t="n">
        <v>0</v>
      </c>
      <c r="Q795" t="n">
        <v>0</v>
      </c>
      <c r="R795" s="2" t="inlineStr"/>
    </row>
    <row r="796" ht="15" customHeight="1">
      <c r="A796" t="inlineStr">
        <is>
          <t>A 23841-2025</t>
        </is>
      </c>
      <c r="B796" s="1" t="n">
        <v>45793.61523148148</v>
      </c>
      <c r="C796" s="1" t="n">
        <v>46021</v>
      </c>
      <c r="D796" t="inlineStr">
        <is>
          <t>JÄMTLANDS LÄN</t>
        </is>
      </c>
      <c r="E796" t="inlineStr">
        <is>
          <t>RAGUNDA</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24159-2025</t>
        </is>
      </c>
      <c r="B797" s="1" t="n">
        <v>45796</v>
      </c>
      <c r="C797" s="1" t="n">
        <v>46021</v>
      </c>
      <c r="D797" t="inlineStr">
        <is>
          <t>JÄMTLANDS LÄN</t>
        </is>
      </c>
      <c r="E797" t="inlineStr">
        <is>
          <t>RAGUNDA</t>
        </is>
      </c>
      <c r="G797" t="n">
        <v>0.8</v>
      </c>
      <c r="H797" t="n">
        <v>0</v>
      </c>
      <c r="I797" t="n">
        <v>0</v>
      </c>
      <c r="J797" t="n">
        <v>0</v>
      </c>
      <c r="K797" t="n">
        <v>0</v>
      </c>
      <c r="L797" t="n">
        <v>0</v>
      </c>
      <c r="M797" t="n">
        <v>0</v>
      </c>
      <c r="N797" t="n">
        <v>0</v>
      </c>
      <c r="O797" t="n">
        <v>0</v>
      </c>
      <c r="P797" t="n">
        <v>0</v>
      </c>
      <c r="Q797" t="n">
        <v>0</v>
      </c>
      <c r="R797" s="2" t="inlineStr"/>
    </row>
    <row r="798" ht="15" customHeight="1">
      <c r="A798" t="inlineStr">
        <is>
          <t>A 21524-2024</t>
        </is>
      </c>
      <c r="B798" s="1" t="n">
        <v>45441</v>
      </c>
      <c r="C798" s="1" t="n">
        <v>46021</v>
      </c>
      <c r="D798" t="inlineStr">
        <is>
          <t>JÄMTLANDS LÄN</t>
        </is>
      </c>
      <c r="E798" t="inlineStr">
        <is>
          <t>RAGUNDA</t>
        </is>
      </c>
      <c r="G798" t="n">
        <v>1.6</v>
      </c>
      <c r="H798" t="n">
        <v>0</v>
      </c>
      <c r="I798" t="n">
        <v>0</v>
      </c>
      <c r="J798" t="n">
        <v>0</v>
      </c>
      <c r="K798" t="n">
        <v>0</v>
      </c>
      <c r="L798" t="n">
        <v>0</v>
      </c>
      <c r="M798" t="n">
        <v>0</v>
      </c>
      <c r="N798" t="n">
        <v>0</v>
      </c>
      <c r="O798" t="n">
        <v>0</v>
      </c>
      <c r="P798" t="n">
        <v>0</v>
      </c>
      <c r="Q798" t="n">
        <v>0</v>
      </c>
      <c r="R798" s="2" t="inlineStr"/>
    </row>
    <row r="799" ht="15" customHeight="1">
      <c r="A799" t="inlineStr">
        <is>
          <t>A 56504-2024</t>
        </is>
      </c>
      <c r="B799" s="1" t="n">
        <v>45625.51068287037</v>
      </c>
      <c r="C799" s="1" t="n">
        <v>46021</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5938-2025</t>
        </is>
      </c>
      <c r="B800" s="1" t="n">
        <v>45695.45868055556</v>
      </c>
      <c r="C800" s="1" t="n">
        <v>46021</v>
      </c>
      <c r="D800" t="inlineStr">
        <is>
          <t>JÄMTLANDS LÄN</t>
        </is>
      </c>
      <c r="E800" t="inlineStr">
        <is>
          <t>RAGUNDA</t>
        </is>
      </c>
      <c r="G800" t="n">
        <v>1</v>
      </c>
      <c r="H800" t="n">
        <v>0</v>
      </c>
      <c r="I800" t="n">
        <v>0</v>
      </c>
      <c r="J800" t="n">
        <v>0</v>
      </c>
      <c r="K800" t="n">
        <v>0</v>
      </c>
      <c r="L800" t="n">
        <v>0</v>
      </c>
      <c r="M800" t="n">
        <v>0</v>
      </c>
      <c r="N800" t="n">
        <v>0</v>
      </c>
      <c r="O800" t="n">
        <v>0</v>
      </c>
      <c r="P800" t="n">
        <v>0</v>
      </c>
      <c r="Q800" t="n">
        <v>0</v>
      </c>
      <c r="R800" s="2" t="inlineStr"/>
    </row>
    <row r="801" ht="15" customHeight="1">
      <c r="A801" t="inlineStr">
        <is>
          <t>A 62407-2023</t>
        </is>
      </c>
      <c r="B801" s="1" t="n">
        <v>45266</v>
      </c>
      <c r="C801" s="1" t="n">
        <v>46021</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38191-2024</t>
        </is>
      </c>
      <c r="B802" s="1" t="n">
        <v>45545.49078703704</v>
      </c>
      <c r="C802" s="1" t="n">
        <v>46021</v>
      </c>
      <c r="D802" t="inlineStr">
        <is>
          <t>JÄMTLANDS LÄN</t>
        </is>
      </c>
      <c r="E802" t="inlineStr">
        <is>
          <t>RAGUNDA</t>
        </is>
      </c>
      <c r="G802" t="n">
        <v>1.6</v>
      </c>
      <c r="H802" t="n">
        <v>0</v>
      </c>
      <c r="I802" t="n">
        <v>0</v>
      </c>
      <c r="J802" t="n">
        <v>0</v>
      </c>
      <c r="K802" t="n">
        <v>0</v>
      </c>
      <c r="L802" t="n">
        <v>0</v>
      </c>
      <c r="M802" t="n">
        <v>0</v>
      </c>
      <c r="N802" t="n">
        <v>0</v>
      </c>
      <c r="O802" t="n">
        <v>0</v>
      </c>
      <c r="P802" t="n">
        <v>0</v>
      </c>
      <c r="Q802" t="n">
        <v>0</v>
      </c>
      <c r="R802" s="2" t="inlineStr"/>
    </row>
    <row r="803" ht="15" customHeight="1">
      <c r="A803" t="inlineStr">
        <is>
          <t>A 28173-2024</t>
        </is>
      </c>
      <c r="B803" s="1" t="n">
        <v>45476.94533564815</v>
      </c>
      <c r="C803" s="1" t="n">
        <v>46021</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49290-2025</t>
        </is>
      </c>
      <c r="B804" s="1" t="n">
        <v>45938.53168981482</v>
      </c>
      <c r="C804" s="1" t="n">
        <v>46021</v>
      </c>
      <c r="D804" t="inlineStr">
        <is>
          <t>JÄMTLANDS LÄN</t>
        </is>
      </c>
      <c r="E804" t="inlineStr">
        <is>
          <t>RAGUNDA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35537-2021</t>
        </is>
      </c>
      <c r="B805" s="1" t="n">
        <v>44384</v>
      </c>
      <c r="C805" s="1" t="n">
        <v>46021</v>
      </c>
      <c r="D805" t="inlineStr">
        <is>
          <t>JÄMTLANDS LÄN</t>
        </is>
      </c>
      <c r="E805" t="inlineStr">
        <is>
          <t>RAGUNDA</t>
        </is>
      </c>
      <c r="G805" t="n">
        <v>3.1</v>
      </c>
      <c r="H805" t="n">
        <v>0</v>
      </c>
      <c r="I805" t="n">
        <v>0</v>
      </c>
      <c r="J805" t="n">
        <v>0</v>
      </c>
      <c r="K805" t="n">
        <v>0</v>
      </c>
      <c r="L805" t="n">
        <v>0</v>
      </c>
      <c r="M805" t="n">
        <v>0</v>
      </c>
      <c r="N805" t="n">
        <v>0</v>
      </c>
      <c r="O805" t="n">
        <v>0</v>
      </c>
      <c r="P805" t="n">
        <v>0</v>
      </c>
      <c r="Q805" t="n">
        <v>0</v>
      </c>
      <c r="R805" s="2" t="inlineStr"/>
    </row>
    <row r="806" ht="15" customHeight="1">
      <c r="A806" t="inlineStr">
        <is>
          <t>A 24391-2025</t>
        </is>
      </c>
      <c r="B806" s="1" t="n">
        <v>45797.63627314815</v>
      </c>
      <c r="C806" s="1" t="n">
        <v>46021</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25376-2025</t>
        </is>
      </c>
      <c r="B807" s="1" t="n">
        <v>45800.63619212963</v>
      </c>
      <c r="C807" s="1" t="n">
        <v>46021</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49238-2025</t>
        </is>
      </c>
      <c r="B808" s="1" t="n">
        <v>45938.48231481481</v>
      </c>
      <c r="C808" s="1" t="n">
        <v>46021</v>
      </c>
      <c r="D808" t="inlineStr">
        <is>
          <t>JÄMTLANDS LÄN</t>
        </is>
      </c>
      <c r="E808" t="inlineStr">
        <is>
          <t>RAGUNDA</t>
        </is>
      </c>
      <c r="G808" t="n">
        <v>4.7</v>
      </c>
      <c r="H808" t="n">
        <v>0</v>
      </c>
      <c r="I808" t="n">
        <v>0</v>
      </c>
      <c r="J808" t="n">
        <v>0</v>
      </c>
      <c r="K808" t="n">
        <v>0</v>
      </c>
      <c r="L808" t="n">
        <v>0</v>
      </c>
      <c r="M808" t="n">
        <v>0</v>
      </c>
      <c r="N808" t="n">
        <v>0</v>
      </c>
      <c r="O808" t="n">
        <v>0</v>
      </c>
      <c r="P808" t="n">
        <v>0</v>
      </c>
      <c r="Q808" t="n">
        <v>0</v>
      </c>
      <c r="R808" s="2" t="inlineStr"/>
    </row>
    <row r="809" ht="15" customHeight="1">
      <c r="A809" t="inlineStr">
        <is>
          <t>A 57332-2025</t>
        </is>
      </c>
      <c r="B809" s="1" t="n">
        <v>45980.34467592592</v>
      </c>
      <c r="C809" s="1" t="n">
        <v>46021</v>
      </c>
      <c r="D809" t="inlineStr">
        <is>
          <t>JÄMTLANDS LÄN</t>
        </is>
      </c>
      <c r="E809" t="inlineStr">
        <is>
          <t>RAGUNDA</t>
        </is>
      </c>
      <c r="F809" t="inlineStr">
        <is>
          <t>SCA</t>
        </is>
      </c>
      <c r="G809" t="n">
        <v>22.6</v>
      </c>
      <c r="H809" t="n">
        <v>0</v>
      </c>
      <c r="I809" t="n">
        <v>0</v>
      </c>
      <c r="J809" t="n">
        <v>0</v>
      </c>
      <c r="K809" t="n">
        <v>0</v>
      </c>
      <c r="L809" t="n">
        <v>0</v>
      </c>
      <c r="M809" t="n">
        <v>0</v>
      </c>
      <c r="N809" t="n">
        <v>0</v>
      </c>
      <c r="O809" t="n">
        <v>0</v>
      </c>
      <c r="P809" t="n">
        <v>0</v>
      </c>
      <c r="Q809" t="n">
        <v>0</v>
      </c>
      <c r="R809" s="2" t="inlineStr"/>
    </row>
    <row r="810" ht="15" customHeight="1">
      <c r="A810" t="inlineStr">
        <is>
          <t>A 18248-2023</t>
        </is>
      </c>
      <c r="B810" s="1" t="n">
        <v>45040</v>
      </c>
      <c r="C810" s="1" t="n">
        <v>46021</v>
      </c>
      <c r="D810" t="inlineStr">
        <is>
          <t>JÄMTLANDS LÄN</t>
        </is>
      </c>
      <c r="E810" t="inlineStr">
        <is>
          <t>RAGUNDA</t>
        </is>
      </c>
      <c r="G810" t="n">
        <v>4.3</v>
      </c>
      <c r="H810" t="n">
        <v>0</v>
      </c>
      <c r="I810" t="n">
        <v>0</v>
      </c>
      <c r="J810" t="n">
        <v>0</v>
      </c>
      <c r="K810" t="n">
        <v>0</v>
      </c>
      <c r="L810" t="n">
        <v>0</v>
      </c>
      <c r="M810" t="n">
        <v>0</v>
      </c>
      <c r="N810" t="n">
        <v>0</v>
      </c>
      <c r="O810" t="n">
        <v>0</v>
      </c>
      <c r="P810" t="n">
        <v>0</v>
      </c>
      <c r="Q810" t="n">
        <v>0</v>
      </c>
      <c r="R810" s="2" t="inlineStr"/>
    </row>
    <row r="811" ht="15" customHeight="1">
      <c r="A811" t="inlineStr">
        <is>
          <t>A 49639-2025</t>
        </is>
      </c>
      <c r="B811" s="1" t="n">
        <v>45939.61253472222</v>
      </c>
      <c r="C811" s="1" t="n">
        <v>46021</v>
      </c>
      <c r="D811" t="inlineStr">
        <is>
          <t>JÄMTLANDS LÄN</t>
        </is>
      </c>
      <c r="E811" t="inlineStr">
        <is>
          <t>RAGUNDA</t>
        </is>
      </c>
      <c r="F811" t="inlineStr">
        <is>
          <t>Kommuner</t>
        </is>
      </c>
      <c r="G811" t="n">
        <v>13.6</v>
      </c>
      <c r="H811" t="n">
        <v>0</v>
      </c>
      <c r="I811" t="n">
        <v>0</v>
      </c>
      <c r="J811" t="n">
        <v>0</v>
      </c>
      <c r="K811" t="n">
        <v>0</v>
      </c>
      <c r="L811" t="n">
        <v>0</v>
      </c>
      <c r="M811" t="n">
        <v>0</v>
      </c>
      <c r="N811" t="n">
        <v>0</v>
      </c>
      <c r="O811" t="n">
        <v>0</v>
      </c>
      <c r="P811" t="n">
        <v>0</v>
      </c>
      <c r="Q811" t="n">
        <v>0</v>
      </c>
      <c r="R811" s="2" t="inlineStr"/>
    </row>
    <row r="812" ht="15" customHeight="1">
      <c r="A812" t="inlineStr">
        <is>
          <t>A 45438-2022</t>
        </is>
      </c>
      <c r="B812" s="1" t="n">
        <v>44844.95368055555</v>
      </c>
      <c r="C812" s="1" t="n">
        <v>46021</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57785-2025</t>
        </is>
      </c>
      <c r="B813" s="1" t="n">
        <v>45981.57393518519</v>
      </c>
      <c r="C813" s="1" t="n">
        <v>46021</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30459-2021</t>
        </is>
      </c>
      <c r="B814" s="1" t="n">
        <v>44362</v>
      </c>
      <c r="C814" s="1" t="n">
        <v>46021</v>
      </c>
      <c r="D814" t="inlineStr">
        <is>
          <t>JÄMTLANDS LÄN</t>
        </is>
      </c>
      <c r="E814" t="inlineStr">
        <is>
          <t>RAGUNDA</t>
        </is>
      </c>
      <c r="G814" t="n">
        <v>1</v>
      </c>
      <c r="H814" t="n">
        <v>0</v>
      </c>
      <c r="I814" t="n">
        <v>0</v>
      </c>
      <c r="J814" t="n">
        <v>0</v>
      </c>
      <c r="K814" t="n">
        <v>0</v>
      </c>
      <c r="L814" t="n">
        <v>0</v>
      </c>
      <c r="M814" t="n">
        <v>0</v>
      </c>
      <c r="N814" t="n">
        <v>0</v>
      </c>
      <c r="O814" t="n">
        <v>0</v>
      </c>
      <c r="P814" t="n">
        <v>0</v>
      </c>
      <c r="Q814" t="n">
        <v>0</v>
      </c>
      <c r="R814" s="2" t="inlineStr"/>
    </row>
    <row r="815" ht="15" customHeight="1">
      <c r="A815" t="inlineStr">
        <is>
          <t>A 29263-2024</t>
        </is>
      </c>
      <c r="B815" s="1" t="n">
        <v>45482.94891203703</v>
      </c>
      <c r="C815" s="1" t="n">
        <v>46021</v>
      </c>
      <c r="D815" t="inlineStr">
        <is>
          <t>JÄMTLANDS LÄN</t>
        </is>
      </c>
      <c r="E815" t="inlineStr">
        <is>
          <t>RAGUNDA</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29265-2024</t>
        </is>
      </c>
      <c r="B816" s="1" t="n">
        <v>45482.9491087963</v>
      </c>
      <c r="C816" s="1" t="n">
        <v>46021</v>
      </c>
      <c r="D816" t="inlineStr">
        <is>
          <t>JÄMTLANDS LÄN</t>
        </is>
      </c>
      <c r="E816" t="inlineStr">
        <is>
          <t>RAGUNDA</t>
        </is>
      </c>
      <c r="F816" t="inlineStr">
        <is>
          <t>SCA</t>
        </is>
      </c>
      <c r="G816" t="n">
        <v>11.6</v>
      </c>
      <c r="H816" t="n">
        <v>0</v>
      </c>
      <c r="I816" t="n">
        <v>0</v>
      </c>
      <c r="J816" t="n">
        <v>0</v>
      </c>
      <c r="K816" t="n">
        <v>0</v>
      </c>
      <c r="L816" t="n">
        <v>0</v>
      </c>
      <c r="M816" t="n">
        <v>0</v>
      </c>
      <c r="N816" t="n">
        <v>0</v>
      </c>
      <c r="O816" t="n">
        <v>0</v>
      </c>
      <c r="P816" t="n">
        <v>0</v>
      </c>
      <c r="Q816" t="n">
        <v>0</v>
      </c>
      <c r="R816" s="2" t="inlineStr"/>
    </row>
    <row r="817" ht="15" customHeight="1">
      <c r="A817" t="inlineStr">
        <is>
          <t>A 25350-2025</t>
        </is>
      </c>
      <c r="B817" s="1" t="n">
        <v>45800</v>
      </c>
      <c r="C817" s="1" t="n">
        <v>46021</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13898-2023</t>
        </is>
      </c>
      <c r="B818" s="1" t="n">
        <v>45008.01408564814</v>
      </c>
      <c r="C818" s="1" t="n">
        <v>46021</v>
      </c>
      <c r="D818" t="inlineStr">
        <is>
          <t>JÄMTLANDS LÄN</t>
        </is>
      </c>
      <c r="E818" t="inlineStr">
        <is>
          <t>RAGUNDA</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41693-2023</t>
        </is>
      </c>
      <c r="B819" s="1" t="n">
        <v>45176</v>
      </c>
      <c r="C819" s="1" t="n">
        <v>46021</v>
      </c>
      <c r="D819" t="inlineStr">
        <is>
          <t>JÄMTLANDS LÄN</t>
        </is>
      </c>
      <c r="E819" t="inlineStr">
        <is>
          <t>RAGUNDA</t>
        </is>
      </c>
      <c r="G819" t="n">
        <v>5.5</v>
      </c>
      <c r="H819" t="n">
        <v>0</v>
      </c>
      <c r="I819" t="n">
        <v>0</v>
      </c>
      <c r="J819" t="n">
        <v>0</v>
      </c>
      <c r="K819" t="n">
        <v>0</v>
      </c>
      <c r="L819" t="n">
        <v>0</v>
      </c>
      <c r="M819" t="n">
        <v>0</v>
      </c>
      <c r="N819" t="n">
        <v>0</v>
      </c>
      <c r="O819" t="n">
        <v>0</v>
      </c>
      <c r="P819" t="n">
        <v>0</v>
      </c>
      <c r="Q819" t="n">
        <v>0</v>
      </c>
      <c r="R819" s="2" t="inlineStr"/>
    </row>
    <row r="820" ht="15" customHeight="1">
      <c r="A820" t="inlineStr">
        <is>
          <t>A 25152-2025</t>
        </is>
      </c>
      <c r="B820" s="1" t="n">
        <v>45800.42743055556</v>
      </c>
      <c r="C820" s="1" t="n">
        <v>46021</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25175-2025</t>
        </is>
      </c>
      <c r="B821" s="1" t="n">
        <v>45800.44822916666</v>
      </c>
      <c r="C821" s="1" t="n">
        <v>46021</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25177-2025</t>
        </is>
      </c>
      <c r="B822" s="1" t="n">
        <v>45800.44862268519</v>
      </c>
      <c r="C822" s="1" t="n">
        <v>46021</v>
      </c>
      <c r="D822" t="inlineStr">
        <is>
          <t>JÄMTLANDS LÄN</t>
        </is>
      </c>
      <c r="E822" t="inlineStr">
        <is>
          <t>RAGUNDA</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58093-2025</t>
        </is>
      </c>
      <c r="B823" s="1" t="n">
        <v>45982.5741087963</v>
      </c>
      <c r="C823" s="1" t="n">
        <v>46021</v>
      </c>
      <c r="D823" t="inlineStr">
        <is>
          <t>JÄMTLANDS LÄN</t>
        </is>
      </c>
      <c r="E823" t="inlineStr">
        <is>
          <t>RAGUNDA</t>
        </is>
      </c>
      <c r="G823" t="n">
        <v>22.2</v>
      </c>
      <c r="H823" t="n">
        <v>0</v>
      </c>
      <c r="I823" t="n">
        <v>0</v>
      </c>
      <c r="J823" t="n">
        <v>0</v>
      </c>
      <c r="K823" t="n">
        <v>0</v>
      </c>
      <c r="L823" t="n">
        <v>0</v>
      </c>
      <c r="M823" t="n">
        <v>0</v>
      </c>
      <c r="N823" t="n">
        <v>0</v>
      </c>
      <c r="O823" t="n">
        <v>0</v>
      </c>
      <c r="P823" t="n">
        <v>0</v>
      </c>
      <c r="Q823" t="n">
        <v>0</v>
      </c>
      <c r="R823" s="2" t="inlineStr"/>
    </row>
    <row r="824" ht="15" customHeight="1">
      <c r="A824" t="inlineStr">
        <is>
          <t>A 57833-2025</t>
        </is>
      </c>
      <c r="B824" s="1" t="n">
        <v>45981.61541666667</v>
      </c>
      <c r="C824" s="1" t="n">
        <v>46021</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3770-2025</t>
        </is>
      </c>
      <c r="B825" s="1" t="n">
        <v>45681.6050925926</v>
      </c>
      <c r="C825" s="1" t="n">
        <v>46021</v>
      </c>
      <c r="D825" t="inlineStr">
        <is>
          <t>JÄMTLANDS LÄN</t>
        </is>
      </c>
      <c r="E825" t="inlineStr">
        <is>
          <t>RAGUNDA</t>
        </is>
      </c>
      <c r="G825" t="n">
        <v>2.7</v>
      </c>
      <c r="H825" t="n">
        <v>0</v>
      </c>
      <c r="I825" t="n">
        <v>0</v>
      </c>
      <c r="J825" t="n">
        <v>0</v>
      </c>
      <c r="K825" t="n">
        <v>0</v>
      </c>
      <c r="L825" t="n">
        <v>0</v>
      </c>
      <c r="M825" t="n">
        <v>0</v>
      </c>
      <c r="N825" t="n">
        <v>0</v>
      </c>
      <c r="O825" t="n">
        <v>0</v>
      </c>
      <c r="P825" t="n">
        <v>0</v>
      </c>
      <c r="Q825" t="n">
        <v>0</v>
      </c>
      <c r="R825" s="2" t="inlineStr"/>
    </row>
    <row r="826" ht="15" customHeight="1">
      <c r="A826" t="inlineStr">
        <is>
          <t>A 57963-2025</t>
        </is>
      </c>
      <c r="B826" s="1" t="n">
        <v>45982.37800925926</v>
      </c>
      <c r="C826" s="1" t="n">
        <v>46021</v>
      </c>
      <c r="D826" t="inlineStr">
        <is>
          <t>JÄMTLANDS LÄN</t>
        </is>
      </c>
      <c r="E826" t="inlineStr">
        <is>
          <t>RAGUNDA</t>
        </is>
      </c>
      <c r="G826" t="n">
        <v>1.7</v>
      </c>
      <c r="H826" t="n">
        <v>0</v>
      </c>
      <c r="I826" t="n">
        <v>0</v>
      </c>
      <c r="J826" t="n">
        <v>0</v>
      </c>
      <c r="K826" t="n">
        <v>0</v>
      </c>
      <c r="L826" t="n">
        <v>0</v>
      </c>
      <c r="M826" t="n">
        <v>0</v>
      </c>
      <c r="N826" t="n">
        <v>0</v>
      </c>
      <c r="O826" t="n">
        <v>0</v>
      </c>
      <c r="P826" t="n">
        <v>0</v>
      </c>
      <c r="Q826" t="n">
        <v>0</v>
      </c>
      <c r="R826" s="2" t="inlineStr"/>
    </row>
    <row r="827" ht="15" customHeight="1">
      <c r="A827" t="inlineStr">
        <is>
          <t>A 25631-2025</t>
        </is>
      </c>
      <c r="B827" s="1" t="n">
        <v>45803.5946875</v>
      </c>
      <c r="C827" s="1" t="n">
        <v>46021</v>
      </c>
      <c r="D827" t="inlineStr">
        <is>
          <t>JÄMTLANDS LÄN</t>
        </is>
      </c>
      <c r="E827" t="inlineStr">
        <is>
          <t>RAGUNDA</t>
        </is>
      </c>
      <c r="G827" t="n">
        <v>1.1</v>
      </c>
      <c r="H827" t="n">
        <v>0</v>
      </c>
      <c r="I827" t="n">
        <v>0</v>
      </c>
      <c r="J827" t="n">
        <v>0</v>
      </c>
      <c r="K827" t="n">
        <v>0</v>
      </c>
      <c r="L827" t="n">
        <v>0</v>
      </c>
      <c r="M827" t="n">
        <v>0</v>
      </c>
      <c r="N827" t="n">
        <v>0</v>
      </c>
      <c r="O827" t="n">
        <v>0</v>
      </c>
      <c r="P827" t="n">
        <v>0</v>
      </c>
      <c r="Q827" t="n">
        <v>0</v>
      </c>
      <c r="R827" s="2" t="inlineStr"/>
    </row>
    <row r="828" ht="15" customHeight="1">
      <c r="A828" t="inlineStr">
        <is>
          <t>A 25659-2025</t>
        </is>
      </c>
      <c r="B828" s="1" t="n">
        <v>45803.61552083334</v>
      </c>
      <c r="C828" s="1" t="n">
        <v>46021</v>
      </c>
      <c r="D828" t="inlineStr">
        <is>
          <t>JÄMTLANDS LÄN</t>
        </is>
      </c>
      <c r="E828" t="inlineStr">
        <is>
          <t>RAGUNDA</t>
        </is>
      </c>
      <c r="G828" t="n">
        <v>1.5</v>
      </c>
      <c r="H828" t="n">
        <v>0</v>
      </c>
      <c r="I828" t="n">
        <v>0</v>
      </c>
      <c r="J828" t="n">
        <v>0</v>
      </c>
      <c r="K828" t="n">
        <v>0</v>
      </c>
      <c r="L828" t="n">
        <v>0</v>
      </c>
      <c r="M828" t="n">
        <v>0</v>
      </c>
      <c r="N828" t="n">
        <v>0</v>
      </c>
      <c r="O828" t="n">
        <v>0</v>
      </c>
      <c r="P828" t="n">
        <v>0</v>
      </c>
      <c r="Q828" t="n">
        <v>0</v>
      </c>
      <c r="R828" s="2" t="inlineStr"/>
    </row>
    <row r="829" ht="15" customHeight="1">
      <c r="A829" t="inlineStr">
        <is>
          <t>A 25661-2025</t>
        </is>
      </c>
      <c r="B829" s="1" t="n">
        <v>45803.61557870371</v>
      </c>
      <c r="C829" s="1" t="n">
        <v>46021</v>
      </c>
      <c r="D829" t="inlineStr">
        <is>
          <t>JÄMTLANDS LÄN</t>
        </is>
      </c>
      <c r="E829" t="inlineStr">
        <is>
          <t>RAGUNDA</t>
        </is>
      </c>
      <c r="G829" t="n">
        <v>1.4</v>
      </c>
      <c r="H829" t="n">
        <v>0</v>
      </c>
      <c r="I829" t="n">
        <v>0</v>
      </c>
      <c r="J829" t="n">
        <v>0</v>
      </c>
      <c r="K829" t="n">
        <v>0</v>
      </c>
      <c r="L829" t="n">
        <v>0</v>
      </c>
      <c r="M829" t="n">
        <v>0</v>
      </c>
      <c r="N829" t="n">
        <v>0</v>
      </c>
      <c r="O829" t="n">
        <v>0</v>
      </c>
      <c r="P829" t="n">
        <v>0</v>
      </c>
      <c r="Q829" t="n">
        <v>0</v>
      </c>
      <c r="R829" s="2" t="inlineStr"/>
    </row>
    <row r="830" ht="15" customHeight="1">
      <c r="A830" t="inlineStr">
        <is>
          <t>A 11252-2025</t>
        </is>
      </c>
      <c r="B830" s="1" t="n">
        <v>45726.38615740741</v>
      </c>
      <c r="C830" s="1" t="n">
        <v>46021</v>
      </c>
      <c r="D830" t="inlineStr">
        <is>
          <t>JÄMTLANDS LÄN</t>
        </is>
      </c>
      <c r="E830" t="inlineStr">
        <is>
          <t>RAGUNDA</t>
        </is>
      </c>
      <c r="G830" t="n">
        <v>1.9</v>
      </c>
      <c r="H830" t="n">
        <v>0</v>
      </c>
      <c r="I830" t="n">
        <v>0</v>
      </c>
      <c r="J830" t="n">
        <v>0</v>
      </c>
      <c r="K830" t="n">
        <v>0</v>
      </c>
      <c r="L830" t="n">
        <v>0</v>
      </c>
      <c r="M830" t="n">
        <v>0</v>
      </c>
      <c r="N830" t="n">
        <v>0</v>
      </c>
      <c r="O830" t="n">
        <v>0</v>
      </c>
      <c r="P830" t="n">
        <v>0</v>
      </c>
      <c r="Q830" t="n">
        <v>0</v>
      </c>
      <c r="R830" s="2" t="inlineStr"/>
    </row>
    <row r="831" ht="15" customHeight="1">
      <c r="A831" t="inlineStr">
        <is>
          <t>A 25944-2025</t>
        </is>
      </c>
      <c r="B831" s="1" t="n">
        <v>45804.59487268519</v>
      </c>
      <c r="C831" s="1" t="n">
        <v>46021</v>
      </c>
      <c r="D831" t="inlineStr">
        <is>
          <t>JÄMTLANDS LÄN</t>
        </is>
      </c>
      <c r="E831" t="inlineStr">
        <is>
          <t>RAGUNDA</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25814-2025</t>
        </is>
      </c>
      <c r="B832" s="1" t="n">
        <v>45804.42642361111</v>
      </c>
      <c r="C832" s="1" t="n">
        <v>46021</v>
      </c>
      <c r="D832" t="inlineStr">
        <is>
          <t>JÄMTLANDS LÄN</t>
        </is>
      </c>
      <c r="E832" t="inlineStr">
        <is>
          <t>RAGUNDA</t>
        </is>
      </c>
      <c r="G832" t="n">
        <v>0.8</v>
      </c>
      <c r="H832" t="n">
        <v>0</v>
      </c>
      <c r="I832" t="n">
        <v>0</v>
      </c>
      <c r="J832" t="n">
        <v>0</v>
      </c>
      <c r="K832" t="n">
        <v>0</v>
      </c>
      <c r="L832" t="n">
        <v>0</v>
      </c>
      <c r="M832" t="n">
        <v>0</v>
      </c>
      <c r="N832" t="n">
        <v>0</v>
      </c>
      <c r="O832" t="n">
        <v>0</v>
      </c>
      <c r="P832" t="n">
        <v>0</v>
      </c>
      <c r="Q832" t="n">
        <v>0</v>
      </c>
      <c r="R832" s="2" t="inlineStr"/>
    </row>
    <row r="833" ht="15" customHeight="1">
      <c r="A833" t="inlineStr">
        <is>
          <t>A 7668-2025</t>
        </is>
      </c>
      <c r="B833" s="1" t="n">
        <v>45706.34450231482</v>
      </c>
      <c r="C833" s="1" t="n">
        <v>46021</v>
      </c>
      <c r="D833" t="inlineStr">
        <is>
          <t>JÄMTLANDS LÄN</t>
        </is>
      </c>
      <c r="E833" t="inlineStr">
        <is>
          <t>RAGUNDA</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57916-2025</t>
        </is>
      </c>
      <c r="B834" s="1" t="n">
        <v>45981</v>
      </c>
      <c r="C834" s="1" t="n">
        <v>46021</v>
      </c>
      <c r="D834" t="inlineStr">
        <is>
          <t>JÄMTLANDS LÄN</t>
        </is>
      </c>
      <c r="E834" t="inlineStr">
        <is>
          <t>RAGUNDA</t>
        </is>
      </c>
      <c r="G834" t="n">
        <v>5.3</v>
      </c>
      <c r="H834" t="n">
        <v>0</v>
      </c>
      <c r="I834" t="n">
        <v>0</v>
      </c>
      <c r="J834" t="n">
        <v>0</v>
      </c>
      <c r="K834" t="n">
        <v>0</v>
      </c>
      <c r="L834" t="n">
        <v>0</v>
      </c>
      <c r="M834" t="n">
        <v>0</v>
      </c>
      <c r="N834" t="n">
        <v>0</v>
      </c>
      <c r="O834" t="n">
        <v>0</v>
      </c>
      <c r="P834" t="n">
        <v>0</v>
      </c>
      <c r="Q834" t="n">
        <v>0</v>
      </c>
      <c r="R834" s="2" t="inlineStr"/>
    </row>
    <row r="835" ht="15" customHeight="1">
      <c r="A835" t="inlineStr">
        <is>
          <t>A 9548-2025</t>
        </is>
      </c>
      <c r="B835" s="1" t="n">
        <v>45715.59405092592</v>
      </c>
      <c r="C835" s="1" t="n">
        <v>46021</v>
      </c>
      <c r="D835" t="inlineStr">
        <is>
          <t>JÄMTLANDS LÄN</t>
        </is>
      </c>
      <c r="E835" t="inlineStr">
        <is>
          <t>RAGUNDA</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19613-2023</t>
        </is>
      </c>
      <c r="B836" s="1" t="n">
        <v>45050.94020833333</v>
      </c>
      <c r="C836" s="1" t="n">
        <v>46021</v>
      </c>
      <c r="D836" t="inlineStr">
        <is>
          <t>JÄMTLANDS LÄN</t>
        </is>
      </c>
      <c r="E836" t="inlineStr">
        <is>
          <t>RAGUNDA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25994-2025</t>
        </is>
      </c>
      <c r="B837" s="1" t="n">
        <v>45804.65672453704</v>
      </c>
      <c r="C837" s="1" t="n">
        <v>46021</v>
      </c>
      <c r="D837" t="inlineStr">
        <is>
          <t>JÄMTLANDS LÄN</t>
        </is>
      </c>
      <c r="E837" t="inlineStr">
        <is>
          <t>RAGUNDA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57970-2025</t>
        </is>
      </c>
      <c r="B838" s="1" t="n">
        <v>45982.38582175926</v>
      </c>
      <c r="C838" s="1" t="n">
        <v>46021</v>
      </c>
      <c r="D838" t="inlineStr">
        <is>
          <t>JÄMTLANDS LÄN</t>
        </is>
      </c>
      <c r="E838" t="inlineStr">
        <is>
          <t>RAGUNDA</t>
        </is>
      </c>
      <c r="G838" t="n">
        <v>4.9</v>
      </c>
      <c r="H838" t="n">
        <v>0</v>
      </c>
      <c r="I838" t="n">
        <v>0</v>
      </c>
      <c r="J838" t="n">
        <v>0</v>
      </c>
      <c r="K838" t="n">
        <v>0</v>
      </c>
      <c r="L838" t="n">
        <v>0</v>
      </c>
      <c r="M838" t="n">
        <v>0</v>
      </c>
      <c r="N838" t="n">
        <v>0</v>
      </c>
      <c r="O838" t="n">
        <v>0</v>
      </c>
      <c r="P838" t="n">
        <v>0</v>
      </c>
      <c r="Q838" t="n">
        <v>0</v>
      </c>
      <c r="R838" s="2" t="inlineStr"/>
    </row>
    <row r="839" ht="15" customHeight="1">
      <c r="A839" t="inlineStr">
        <is>
          <t>A 26283-2025</t>
        </is>
      </c>
      <c r="B839" s="1" t="n">
        <v>45805.61495370371</v>
      </c>
      <c r="C839" s="1" t="n">
        <v>46021</v>
      </c>
      <c r="D839" t="inlineStr">
        <is>
          <t>JÄMTLANDS LÄN</t>
        </is>
      </c>
      <c r="E839" t="inlineStr">
        <is>
          <t>RAGUNDA</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24258-2025</t>
        </is>
      </c>
      <c r="B840" s="1" t="n">
        <v>45797.40800925926</v>
      </c>
      <c r="C840" s="1" t="n">
        <v>46021</v>
      </c>
      <c r="D840" t="inlineStr">
        <is>
          <t>JÄMTLANDS LÄN</t>
        </is>
      </c>
      <c r="E840" t="inlineStr">
        <is>
          <t>RAGUNDA</t>
        </is>
      </c>
      <c r="G840" t="n">
        <v>1.2</v>
      </c>
      <c r="H840" t="n">
        <v>0</v>
      </c>
      <c r="I840" t="n">
        <v>0</v>
      </c>
      <c r="J840" t="n">
        <v>0</v>
      </c>
      <c r="K840" t="n">
        <v>0</v>
      </c>
      <c r="L840" t="n">
        <v>0</v>
      </c>
      <c r="M840" t="n">
        <v>0</v>
      </c>
      <c r="N840" t="n">
        <v>0</v>
      </c>
      <c r="O840" t="n">
        <v>0</v>
      </c>
      <c r="P840" t="n">
        <v>0</v>
      </c>
      <c r="Q840" t="n">
        <v>0</v>
      </c>
      <c r="R840" s="2" t="inlineStr"/>
    </row>
    <row r="841" ht="15" customHeight="1">
      <c r="A841" t="inlineStr">
        <is>
          <t>A 26172-2025</t>
        </is>
      </c>
      <c r="B841" s="1" t="n">
        <v>45805.46613425926</v>
      </c>
      <c r="C841" s="1" t="n">
        <v>46021</v>
      </c>
      <c r="D841" t="inlineStr">
        <is>
          <t>JÄMTLANDS LÄN</t>
        </is>
      </c>
      <c r="E841" t="inlineStr">
        <is>
          <t>RAGUNDA</t>
        </is>
      </c>
      <c r="G841" t="n">
        <v>2.1</v>
      </c>
      <c r="H841" t="n">
        <v>0</v>
      </c>
      <c r="I841" t="n">
        <v>0</v>
      </c>
      <c r="J841" t="n">
        <v>0</v>
      </c>
      <c r="K841" t="n">
        <v>0</v>
      </c>
      <c r="L841" t="n">
        <v>0</v>
      </c>
      <c r="M841" t="n">
        <v>0</v>
      </c>
      <c r="N841" t="n">
        <v>0</v>
      </c>
      <c r="O841" t="n">
        <v>0</v>
      </c>
      <c r="P841" t="n">
        <v>0</v>
      </c>
      <c r="Q841" t="n">
        <v>0</v>
      </c>
      <c r="R841" s="2" t="inlineStr"/>
    </row>
    <row r="842" ht="15" customHeight="1">
      <c r="A842" t="inlineStr">
        <is>
          <t>A 10788-2025</t>
        </is>
      </c>
      <c r="B842" s="1" t="n">
        <v>45722.48982638889</v>
      </c>
      <c r="C842" s="1" t="n">
        <v>46021</v>
      </c>
      <c r="D842" t="inlineStr">
        <is>
          <t>JÄMTLANDS LÄN</t>
        </is>
      </c>
      <c r="E842" t="inlineStr">
        <is>
          <t>RAGUNDA</t>
        </is>
      </c>
      <c r="G842" t="n">
        <v>3.5</v>
      </c>
      <c r="H842" t="n">
        <v>0</v>
      </c>
      <c r="I842" t="n">
        <v>0</v>
      </c>
      <c r="J842" t="n">
        <v>0</v>
      </c>
      <c r="K842" t="n">
        <v>0</v>
      </c>
      <c r="L842" t="n">
        <v>0</v>
      </c>
      <c r="M842" t="n">
        <v>0</v>
      </c>
      <c r="N842" t="n">
        <v>0</v>
      </c>
      <c r="O842" t="n">
        <v>0</v>
      </c>
      <c r="P842" t="n">
        <v>0</v>
      </c>
      <c r="Q842" t="n">
        <v>0</v>
      </c>
      <c r="R842" s="2" t="inlineStr"/>
    </row>
    <row r="843" ht="15" customHeight="1">
      <c r="A843" t="inlineStr">
        <is>
          <t>A 57237-2022</t>
        </is>
      </c>
      <c r="B843" s="1" t="n">
        <v>44889</v>
      </c>
      <c r="C843" s="1" t="n">
        <v>46021</v>
      </c>
      <c r="D843" t="inlineStr">
        <is>
          <t>JÄMTLANDS LÄN</t>
        </is>
      </c>
      <c r="E843" t="inlineStr">
        <is>
          <t>RAGUNDA</t>
        </is>
      </c>
      <c r="G843" t="n">
        <v>2.2</v>
      </c>
      <c r="H843" t="n">
        <v>0</v>
      </c>
      <c r="I843" t="n">
        <v>0</v>
      </c>
      <c r="J843" t="n">
        <v>0</v>
      </c>
      <c r="K843" t="n">
        <v>0</v>
      </c>
      <c r="L843" t="n">
        <v>0</v>
      </c>
      <c r="M843" t="n">
        <v>0</v>
      </c>
      <c r="N843" t="n">
        <v>0</v>
      </c>
      <c r="O843" t="n">
        <v>0</v>
      </c>
      <c r="P843" t="n">
        <v>0</v>
      </c>
      <c r="Q843" t="n">
        <v>0</v>
      </c>
      <c r="R843" s="2" t="inlineStr"/>
    </row>
    <row r="844" ht="15" customHeight="1">
      <c r="A844" t="inlineStr">
        <is>
          <t>A 26246-2025</t>
        </is>
      </c>
      <c r="B844" s="1" t="n">
        <v>45805.57390046296</v>
      </c>
      <c r="C844" s="1" t="n">
        <v>46021</v>
      </c>
      <c r="D844" t="inlineStr">
        <is>
          <t>JÄMTLANDS LÄN</t>
        </is>
      </c>
      <c r="E844" t="inlineStr">
        <is>
          <t>RAGUNDA</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2001-2025</t>
        </is>
      </c>
      <c r="B845" s="1" t="n">
        <v>45672.44898148148</v>
      </c>
      <c r="C845" s="1" t="n">
        <v>46021</v>
      </c>
      <c r="D845" t="inlineStr">
        <is>
          <t>JÄMTLANDS LÄN</t>
        </is>
      </c>
      <c r="E845" t="inlineStr">
        <is>
          <t>RAGUNDA</t>
        </is>
      </c>
      <c r="F845" t="inlineStr">
        <is>
          <t>SCA</t>
        </is>
      </c>
      <c r="G845" t="n">
        <v>16.2</v>
      </c>
      <c r="H845" t="n">
        <v>0</v>
      </c>
      <c r="I845" t="n">
        <v>0</v>
      </c>
      <c r="J845" t="n">
        <v>0</v>
      </c>
      <c r="K845" t="n">
        <v>0</v>
      </c>
      <c r="L845" t="n">
        <v>0</v>
      </c>
      <c r="M845" t="n">
        <v>0</v>
      </c>
      <c r="N845" t="n">
        <v>0</v>
      </c>
      <c r="O845" t="n">
        <v>0</v>
      </c>
      <c r="P845" t="n">
        <v>0</v>
      </c>
      <c r="Q845" t="n">
        <v>0</v>
      </c>
      <c r="R845" s="2" t="inlineStr"/>
    </row>
    <row r="846" ht="15" customHeight="1">
      <c r="A846" t="inlineStr">
        <is>
          <t>A 13263-2025</t>
        </is>
      </c>
      <c r="B846" s="1" t="n">
        <v>45735.53177083333</v>
      </c>
      <c r="C846" s="1" t="n">
        <v>46021</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13276-2025</t>
        </is>
      </c>
      <c r="B847" s="1" t="n">
        <v>45735.5517824074</v>
      </c>
      <c r="C847" s="1" t="n">
        <v>46021</v>
      </c>
      <c r="D847" t="inlineStr">
        <is>
          <t>JÄMTLANDS LÄN</t>
        </is>
      </c>
      <c r="E847" t="inlineStr">
        <is>
          <t>RAGUNDA</t>
        </is>
      </c>
      <c r="G847" t="n">
        <v>16.6</v>
      </c>
      <c r="H847" t="n">
        <v>0</v>
      </c>
      <c r="I847" t="n">
        <v>0</v>
      </c>
      <c r="J847" t="n">
        <v>0</v>
      </c>
      <c r="K847" t="n">
        <v>0</v>
      </c>
      <c r="L847" t="n">
        <v>0</v>
      </c>
      <c r="M847" t="n">
        <v>0</v>
      </c>
      <c r="N847" t="n">
        <v>0</v>
      </c>
      <c r="O847" t="n">
        <v>0</v>
      </c>
      <c r="P847" t="n">
        <v>0</v>
      </c>
      <c r="Q847" t="n">
        <v>0</v>
      </c>
      <c r="R847" s="2" t="inlineStr"/>
    </row>
    <row r="848" ht="15" customHeight="1">
      <c r="A848" t="inlineStr">
        <is>
          <t>A 58076-2025</t>
        </is>
      </c>
      <c r="B848" s="1" t="n">
        <v>45982.55273148148</v>
      </c>
      <c r="C848" s="1" t="n">
        <v>46021</v>
      </c>
      <c r="D848" t="inlineStr">
        <is>
          <t>JÄMTLANDS LÄN</t>
        </is>
      </c>
      <c r="E848" t="inlineStr">
        <is>
          <t>RAGUNDA</t>
        </is>
      </c>
      <c r="G848" t="n">
        <v>0.1</v>
      </c>
      <c r="H848" t="n">
        <v>0</v>
      </c>
      <c r="I848" t="n">
        <v>0</v>
      </c>
      <c r="J848" t="n">
        <v>0</v>
      </c>
      <c r="K848" t="n">
        <v>0</v>
      </c>
      <c r="L848" t="n">
        <v>0</v>
      </c>
      <c r="M848" t="n">
        <v>0</v>
      </c>
      <c r="N848" t="n">
        <v>0</v>
      </c>
      <c r="O848" t="n">
        <v>0</v>
      </c>
      <c r="P848" t="n">
        <v>0</v>
      </c>
      <c r="Q848" t="n">
        <v>0</v>
      </c>
      <c r="R848" s="2" t="inlineStr"/>
    </row>
    <row r="849" ht="15" customHeight="1">
      <c r="A849" t="inlineStr">
        <is>
          <t>A 34088-2025</t>
        </is>
      </c>
      <c r="B849" s="1" t="n">
        <v>45845</v>
      </c>
      <c r="C849" s="1" t="n">
        <v>46021</v>
      </c>
      <c r="D849" t="inlineStr">
        <is>
          <t>JÄMTLANDS LÄN</t>
        </is>
      </c>
      <c r="E849" t="inlineStr">
        <is>
          <t>RAGUNDA</t>
        </is>
      </c>
      <c r="G849" t="n">
        <v>1.4</v>
      </c>
      <c r="H849" t="n">
        <v>0</v>
      </c>
      <c r="I849" t="n">
        <v>0</v>
      </c>
      <c r="J849" t="n">
        <v>0</v>
      </c>
      <c r="K849" t="n">
        <v>0</v>
      </c>
      <c r="L849" t="n">
        <v>0</v>
      </c>
      <c r="M849" t="n">
        <v>0</v>
      </c>
      <c r="N849" t="n">
        <v>0</v>
      </c>
      <c r="O849" t="n">
        <v>0</v>
      </c>
      <c r="P849" t="n">
        <v>0</v>
      </c>
      <c r="Q849" t="n">
        <v>0</v>
      </c>
      <c r="R849" s="2" t="inlineStr"/>
    </row>
    <row r="850" ht="15" customHeight="1">
      <c r="A850" t="inlineStr">
        <is>
          <t>A 12405-2025</t>
        </is>
      </c>
      <c r="B850" s="1" t="n">
        <v>45730.42738425926</v>
      </c>
      <c r="C850" s="1" t="n">
        <v>46021</v>
      </c>
      <c r="D850" t="inlineStr">
        <is>
          <t>JÄMTLANDS LÄN</t>
        </is>
      </c>
      <c r="E850" t="inlineStr">
        <is>
          <t>RAGUNDA</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12808-2025</t>
        </is>
      </c>
      <c r="B851" s="1" t="n">
        <v>45733.61554398148</v>
      </c>
      <c r="C851" s="1" t="n">
        <v>46021</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73278-2021</t>
        </is>
      </c>
      <c r="B852" s="1" t="n">
        <v>44550.92168981482</v>
      </c>
      <c r="C852" s="1" t="n">
        <v>46021</v>
      </c>
      <c r="D852" t="inlineStr">
        <is>
          <t>JÄMTLANDS LÄN</t>
        </is>
      </c>
      <c r="E852" t="inlineStr">
        <is>
          <t>RAGUNDA</t>
        </is>
      </c>
      <c r="G852" t="n">
        <v>4.4</v>
      </c>
      <c r="H852" t="n">
        <v>0</v>
      </c>
      <c r="I852" t="n">
        <v>0</v>
      </c>
      <c r="J852" t="n">
        <v>0</v>
      </c>
      <c r="K852" t="n">
        <v>0</v>
      </c>
      <c r="L852" t="n">
        <v>0</v>
      </c>
      <c r="M852" t="n">
        <v>0</v>
      </c>
      <c r="N852" t="n">
        <v>0</v>
      </c>
      <c r="O852" t="n">
        <v>0</v>
      </c>
      <c r="P852" t="n">
        <v>0</v>
      </c>
      <c r="Q852" t="n">
        <v>0</v>
      </c>
      <c r="R852" s="2" t="inlineStr"/>
    </row>
    <row r="853" ht="15" customHeight="1">
      <c r="A853" t="inlineStr">
        <is>
          <t>A 46546-2023</t>
        </is>
      </c>
      <c r="B853" s="1" t="n">
        <v>45197.94152777778</v>
      </c>
      <c r="C853" s="1" t="n">
        <v>46021</v>
      </c>
      <c r="D853" t="inlineStr">
        <is>
          <t>JÄMTLANDS LÄN</t>
        </is>
      </c>
      <c r="E853" t="inlineStr">
        <is>
          <t>RAGUNDA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58559-2025</t>
        </is>
      </c>
      <c r="B854" s="1" t="n">
        <v>45986.34475694445</v>
      </c>
      <c r="C854" s="1" t="n">
        <v>46021</v>
      </c>
      <c r="D854" t="inlineStr">
        <is>
          <t>JÄMTLANDS LÄN</t>
        </is>
      </c>
      <c r="E854" t="inlineStr">
        <is>
          <t>RAGUNDA</t>
        </is>
      </c>
      <c r="F854" t="inlineStr">
        <is>
          <t>SCA</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6716-2025</t>
        </is>
      </c>
      <c r="B855" s="1" t="n">
        <v>45700.57324074074</v>
      </c>
      <c r="C855" s="1" t="n">
        <v>46021</v>
      </c>
      <c r="D855" t="inlineStr">
        <is>
          <t>JÄMTLANDS LÄN</t>
        </is>
      </c>
      <c r="E855" t="inlineStr">
        <is>
          <t>RAGUNDA</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30823-2023</t>
        </is>
      </c>
      <c r="B856" s="1" t="n">
        <v>45112</v>
      </c>
      <c r="C856" s="1" t="n">
        <v>46021</v>
      </c>
      <c r="D856" t="inlineStr">
        <is>
          <t>JÄMTLANDS LÄN</t>
        </is>
      </c>
      <c r="E856" t="inlineStr">
        <is>
          <t>RAGUNDA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30484-2024</t>
        </is>
      </c>
      <c r="B857" s="1" t="n">
        <v>45491</v>
      </c>
      <c r="C857" s="1" t="n">
        <v>46021</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51396-2024</t>
        </is>
      </c>
      <c r="B858" s="1" t="n">
        <v>45604.4190625</v>
      </c>
      <c r="C858" s="1" t="n">
        <v>46021</v>
      </c>
      <c r="D858" t="inlineStr">
        <is>
          <t>JÄMTLANDS LÄN</t>
        </is>
      </c>
      <c r="E858" t="inlineStr">
        <is>
          <t>RAGUNDA</t>
        </is>
      </c>
      <c r="G858" t="n">
        <v>0.8</v>
      </c>
      <c r="H858" t="n">
        <v>0</v>
      </c>
      <c r="I858" t="n">
        <v>0</v>
      </c>
      <c r="J858" t="n">
        <v>0</v>
      </c>
      <c r="K858" t="n">
        <v>0</v>
      </c>
      <c r="L858" t="n">
        <v>0</v>
      </c>
      <c r="M858" t="n">
        <v>0</v>
      </c>
      <c r="N858" t="n">
        <v>0</v>
      </c>
      <c r="O858" t="n">
        <v>0</v>
      </c>
      <c r="P858" t="n">
        <v>0</v>
      </c>
      <c r="Q858" t="n">
        <v>0</v>
      </c>
      <c r="R858" s="2" t="inlineStr"/>
    </row>
    <row r="859" ht="15" customHeight="1">
      <c r="A859" t="inlineStr">
        <is>
          <t>A 26640-2025</t>
        </is>
      </c>
      <c r="B859" s="1" t="n">
        <v>45810.36495370371</v>
      </c>
      <c r="C859" s="1" t="n">
        <v>46021</v>
      </c>
      <c r="D859" t="inlineStr">
        <is>
          <t>JÄMTLANDS LÄN</t>
        </is>
      </c>
      <c r="E859" t="inlineStr">
        <is>
          <t>RAGUNDA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53762-2023</t>
        </is>
      </c>
      <c r="B860" s="1" t="n">
        <v>45230.96376157407</v>
      </c>
      <c r="C860" s="1" t="n">
        <v>46021</v>
      </c>
      <c r="D860" t="inlineStr">
        <is>
          <t>JÄMTLANDS LÄN</t>
        </is>
      </c>
      <c r="E860" t="inlineStr">
        <is>
          <t>RAGUNDA</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49994-2025</t>
        </is>
      </c>
      <c r="B861" s="1" t="n">
        <v>45942.96922453704</v>
      </c>
      <c r="C861" s="1" t="n">
        <v>46021</v>
      </c>
      <c r="D861" t="inlineStr">
        <is>
          <t>JÄMTLANDS LÄN</t>
        </is>
      </c>
      <c r="E861" t="inlineStr">
        <is>
          <t>RAGUNDA</t>
        </is>
      </c>
      <c r="G861" t="n">
        <v>4.5</v>
      </c>
      <c r="H861" t="n">
        <v>0</v>
      </c>
      <c r="I861" t="n">
        <v>0</v>
      </c>
      <c r="J861" t="n">
        <v>0</v>
      </c>
      <c r="K861" t="n">
        <v>0</v>
      </c>
      <c r="L861" t="n">
        <v>0</v>
      </c>
      <c r="M861" t="n">
        <v>0</v>
      </c>
      <c r="N861" t="n">
        <v>0</v>
      </c>
      <c r="O861" t="n">
        <v>0</v>
      </c>
      <c r="P861" t="n">
        <v>0</v>
      </c>
      <c r="Q861" t="n">
        <v>0</v>
      </c>
      <c r="R861" s="2" t="inlineStr"/>
    </row>
    <row r="862" ht="15" customHeight="1">
      <c r="A862" t="inlineStr">
        <is>
          <t>A 49995-2025</t>
        </is>
      </c>
      <c r="B862" s="1" t="n">
        <v>45943.00986111111</v>
      </c>
      <c r="C862" s="1" t="n">
        <v>46021</v>
      </c>
      <c r="D862" t="inlineStr">
        <is>
          <t>JÄMTLANDS LÄN</t>
        </is>
      </c>
      <c r="E862" t="inlineStr">
        <is>
          <t>RAGUNDA</t>
        </is>
      </c>
      <c r="G862" t="n">
        <v>2.5</v>
      </c>
      <c r="H862" t="n">
        <v>0</v>
      </c>
      <c r="I862" t="n">
        <v>0</v>
      </c>
      <c r="J862" t="n">
        <v>0</v>
      </c>
      <c r="K862" t="n">
        <v>0</v>
      </c>
      <c r="L862" t="n">
        <v>0</v>
      </c>
      <c r="M862" t="n">
        <v>0</v>
      </c>
      <c r="N862" t="n">
        <v>0</v>
      </c>
      <c r="O862" t="n">
        <v>0</v>
      </c>
      <c r="P862" t="n">
        <v>0</v>
      </c>
      <c r="Q862" t="n">
        <v>0</v>
      </c>
      <c r="R862" s="2" t="inlineStr"/>
    </row>
    <row r="863" ht="15" customHeight="1">
      <c r="A863" t="inlineStr">
        <is>
          <t>A 19089-2024</t>
        </is>
      </c>
      <c r="B863" s="1" t="n">
        <v>45428.00471064815</v>
      </c>
      <c r="C863" s="1" t="n">
        <v>46021</v>
      </c>
      <c r="D863" t="inlineStr">
        <is>
          <t>JÄMTLANDS LÄN</t>
        </is>
      </c>
      <c r="E863" t="inlineStr">
        <is>
          <t>RAGUNDA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11288-2022</t>
        </is>
      </c>
      <c r="B864" s="1" t="n">
        <v>44629</v>
      </c>
      <c r="C864" s="1" t="n">
        <v>46021</v>
      </c>
      <c r="D864" t="inlineStr">
        <is>
          <t>JÄMTLANDS LÄN</t>
        </is>
      </c>
      <c r="E864" t="inlineStr">
        <is>
          <t>RAGUNDA</t>
        </is>
      </c>
      <c r="G864" t="n">
        <v>4.9</v>
      </c>
      <c r="H864" t="n">
        <v>0</v>
      </c>
      <c r="I864" t="n">
        <v>0</v>
      </c>
      <c r="J864" t="n">
        <v>0</v>
      </c>
      <c r="K864" t="n">
        <v>0</v>
      </c>
      <c r="L864" t="n">
        <v>0</v>
      </c>
      <c r="M864" t="n">
        <v>0</v>
      </c>
      <c r="N864" t="n">
        <v>0</v>
      </c>
      <c r="O864" t="n">
        <v>0</v>
      </c>
      <c r="P864" t="n">
        <v>0</v>
      </c>
      <c r="Q864" t="n">
        <v>0</v>
      </c>
      <c r="R864" s="2" t="inlineStr"/>
    </row>
    <row r="865" ht="15" customHeight="1">
      <c r="A865" t="inlineStr">
        <is>
          <t>A 19865-2023</t>
        </is>
      </c>
      <c r="B865" s="1" t="n">
        <v>45053.94305555556</v>
      </c>
      <c r="C865" s="1" t="n">
        <v>46021</v>
      </c>
      <c r="D865" t="inlineStr">
        <is>
          <t>JÄMTLANDS LÄN</t>
        </is>
      </c>
      <c r="E865" t="inlineStr">
        <is>
          <t>RAGUNDA</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1554-2024</t>
        </is>
      </c>
      <c r="B866" s="1" t="n">
        <v>45306</v>
      </c>
      <c r="C866" s="1" t="n">
        <v>46021</v>
      </c>
      <c r="D866" t="inlineStr">
        <is>
          <t>JÄMTLANDS LÄN</t>
        </is>
      </c>
      <c r="E866" t="inlineStr">
        <is>
          <t>RAGUNDA</t>
        </is>
      </c>
      <c r="G866" t="n">
        <v>4.3</v>
      </c>
      <c r="H866" t="n">
        <v>0</v>
      </c>
      <c r="I866" t="n">
        <v>0</v>
      </c>
      <c r="J866" t="n">
        <v>0</v>
      </c>
      <c r="K866" t="n">
        <v>0</v>
      </c>
      <c r="L866" t="n">
        <v>0</v>
      </c>
      <c r="M866" t="n">
        <v>0</v>
      </c>
      <c r="N866" t="n">
        <v>0</v>
      </c>
      <c r="O866" t="n">
        <v>0</v>
      </c>
      <c r="P866" t="n">
        <v>0</v>
      </c>
      <c r="Q866" t="n">
        <v>0</v>
      </c>
      <c r="R866" s="2" t="inlineStr"/>
    </row>
    <row r="867" ht="15" customHeight="1">
      <c r="A867" t="inlineStr">
        <is>
          <t>A 50098-2025</t>
        </is>
      </c>
      <c r="B867" s="1" t="n">
        <v>45943.51086805556</v>
      </c>
      <c r="C867" s="1" t="n">
        <v>46021</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50126-2025</t>
        </is>
      </c>
      <c r="B868" s="1" t="n">
        <v>45943.55271990741</v>
      </c>
      <c r="C868" s="1" t="n">
        <v>46021</v>
      </c>
      <c r="D868" t="inlineStr">
        <is>
          <t>JÄMTLANDS LÄN</t>
        </is>
      </c>
      <c r="E868" t="inlineStr">
        <is>
          <t>RAGUNDA</t>
        </is>
      </c>
      <c r="G868" t="n">
        <v>1</v>
      </c>
      <c r="H868" t="n">
        <v>0</v>
      </c>
      <c r="I868" t="n">
        <v>0</v>
      </c>
      <c r="J868" t="n">
        <v>0</v>
      </c>
      <c r="K868" t="n">
        <v>0</v>
      </c>
      <c r="L868" t="n">
        <v>0</v>
      </c>
      <c r="M868" t="n">
        <v>0</v>
      </c>
      <c r="N868" t="n">
        <v>0</v>
      </c>
      <c r="O868" t="n">
        <v>0</v>
      </c>
      <c r="P868" t="n">
        <v>0</v>
      </c>
      <c r="Q868" t="n">
        <v>0</v>
      </c>
      <c r="R868" s="2" t="inlineStr"/>
    </row>
    <row r="869" ht="15" customHeight="1">
      <c r="A869" t="inlineStr">
        <is>
          <t>A 22011-2023</t>
        </is>
      </c>
      <c r="B869" s="1" t="n">
        <v>45068</v>
      </c>
      <c r="C869" s="1" t="n">
        <v>46021</v>
      </c>
      <c r="D869" t="inlineStr">
        <is>
          <t>JÄMTLANDS LÄN</t>
        </is>
      </c>
      <c r="E869" t="inlineStr">
        <is>
          <t>RAGUNDA</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13389-2025</t>
        </is>
      </c>
      <c r="B870" s="1" t="n">
        <v>45735.69842592593</v>
      </c>
      <c r="C870" s="1" t="n">
        <v>46021</v>
      </c>
      <c r="D870" t="inlineStr">
        <is>
          <t>JÄMTLANDS LÄN</t>
        </is>
      </c>
      <c r="E870" t="inlineStr">
        <is>
          <t>RAGUNDA</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2831-2024</t>
        </is>
      </c>
      <c r="B871" s="1" t="n">
        <v>45314.92758101852</v>
      </c>
      <c r="C871" s="1" t="n">
        <v>46021</v>
      </c>
      <c r="D871" t="inlineStr">
        <is>
          <t>JÄMTLANDS LÄN</t>
        </is>
      </c>
      <c r="E871" t="inlineStr">
        <is>
          <t>RAGUNDA</t>
        </is>
      </c>
      <c r="G871" t="n">
        <v>0.6</v>
      </c>
      <c r="H871" t="n">
        <v>0</v>
      </c>
      <c r="I871" t="n">
        <v>0</v>
      </c>
      <c r="J871" t="n">
        <v>0</v>
      </c>
      <c r="K871" t="n">
        <v>0</v>
      </c>
      <c r="L871" t="n">
        <v>0</v>
      </c>
      <c r="M871" t="n">
        <v>0</v>
      </c>
      <c r="N871" t="n">
        <v>0</v>
      </c>
      <c r="O871" t="n">
        <v>0</v>
      </c>
      <c r="P871" t="n">
        <v>0</v>
      </c>
      <c r="Q871" t="n">
        <v>0</v>
      </c>
      <c r="R871" s="2" t="inlineStr"/>
    </row>
    <row r="872" ht="15" customHeight="1">
      <c r="A872" t="inlineStr">
        <is>
          <t>A 13264-2025</t>
        </is>
      </c>
      <c r="B872" s="1" t="n">
        <v>45735</v>
      </c>
      <c r="C872" s="1" t="n">
        <v>46021</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19404-2025</t>
        </is>
      </c>
      <c r="B873" s="1" t="n">
        <v>45769.67802083334</v>
      </c>
      <c r="C873" s="1" t="n">
        <v>46021</v>
      </c>
      <c r="D873" t="inlineStr">
        <is>
          <t>JÄMTLANDS LÄN</t>
        </is>
      </c>
      <c r="E873" t="inlineStr">
        <is>
          <t>RAGUNDA</t>
        </is>
      </c>
      <c r="F873" t="inlineStr">
        <is>
          <t>SCA</t>
        </is>
      </c>
      <c r="G873" t="n">
        <v>3</v>
      </c>
      <c r="H873" t="n">
        <v>0</v>
      </c>
      <c r="I873" t="n">
        <v>0</v>
      </c>
      <c r="J873" t="n">
        <v>0</v>
      </c>
      <c r="K873" t="n">
        <v>0</v>
      </c>
      <c r="L873" t="n">
        <v>0</v>
      </c>
      <c r="M873" t="n">
        <v>0</v>
      </c>
      <c r="N873" t="n">
        <v>0</v>
      </c>
      <c r="O873" t="n">
        <v>0</v>
      </c>
      <c r="P873" t="n">
        <v>0</v>
      </c>
      <c r="Q873" t="n">
        <v>0</v>
      </c>
      <c r="R873" s="2" t="inlineStr"/>
      <c r="U873">
        <f>HYPERLINK("https://klasma.github.io/Logging_2303/knärot/A 19404-2025 karta knärot.png", "A 19404-2025")</f>
        <v/>
      </c>
      <c r="V873">
        <f>HYPERLINK("https://klasma.github.io/Logging_2303/klagomål/A 19404-2025 FSC-klagomål.docx", "A 19404-2025")</f>
        <v/>
      </c>
      <c r="W873">
        <f>HYPERLINK("https://klasma.github.io/Logging_2303/klagomålsmail/A 19404-2025 FSC-klagomål mail.docx", "A 19404-2025")</f>
        <v/>
      </c>
      <c r="X873">
        <f>HYPERLINK("https://klasma.github.io/Logging_2303/tillsyn/A 19404-2025 tillsynsbegäran.docx", "A 19404-2025")</f>
        <v/>
      </c>
      <c r="Y873">
        <f>HYPERLINK("https://klasma.github.io/Logging_2303/tillsynsmail/A 19404-2025 tillsynsbegäran mail.docx", "A 19404-2025")</f>
        <v/>
      </c>
    </row>
    <row r="874" ht="15" customHeight="1">
      <c r="A874" t="inlineStr">
        <is>
          <t>A 50081-2025</t>
        </is>
      </c>
      <c r="B874" s="1" t="n">
        <v>45943.46954861111</v>
      </c>
      <c r="C874" s="1" t="n">
        <v>46021</v>
      </c>
      <c r="D874" t="inlineStr">
        <is>
          <t>JÄMTLANDS LÄN</t>
        </is>
      </c>
      <c r="E874" t="inlineStr">
        <is>
          <t>RAGUNDA</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37268-2024</t>
        </is>
      </c>
      <c r="B875" s="1" t="n">
        <v>45540.38586805556</v>
      </c>
      <c r="C875" s="1" t="n">
        <v>46021</v>
      </c>
      <c r="D875" t="inlineStr">
        <is>
          <t>JÄMTLANDS LÄN</t>
        </is>
      </c>
      <c r="E875" t="inlineStr">
        <is>
          <t>RAGUNDA</t>
        </is>
      </c>
      <c r="F875" t="inlineStr">
        <is>
          <t>SCA</t>
        </is>
      </c>
      <c r="G875" t="n">
        <v>6.3</v>
      </c>
      <c r="H875" t="n">
        <v>0</v>
      </c>
      <c r="I875" t="n">
        <v>0</v>
      </c>
      <c r="J875" t="n">
        <v>0</v>
      </c>
      <c r="K875" t="n">
        <v>0</v>
      </c>
      <c r="L875" t="n">
        <v>0</v>
      </c>
      <c r="M875" t="n">
        <v>0</v>
      </c>
      <c r="N875" t="n">
        <v>0</v>
      </c>
      <c r="O875" t="n">
        <v>0</v>
      </c>
      <c r="P875" t="n">
        <v>0</v>
      </c>
      <c r="Q875" t="n">
        <v>0</v>
      </c>
      <c r="R875" s="2" t="inlineStr"/>
    </row>
    <row r="876" ht="15" customHeight="1">
      <c r="A876" t="inlineStr">
        <is>
          <t>A 27510-2025</t>
        </is>
      </c>
      <c r="B876" s="1" t="n">
        <v>45813.42790509259</v>
      </c>
      <c r="C876" s="1" t="n">
        <v>46021</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50260-2025</t>
        </is>
      </c>
      <c r="B877" s="1" t="n">
        <v>45944.34515046296</v>
      </c>
      <c r="C877" s="1" t="n">
        <v>46021</v>
      </c>
      <c r="D877" t="inlineStr">
        <is>
          <t>JÄMTLANDS LÄN</t>
        </is>
      </c>
      <c r="E877" t="inlineStr">
        <is>
          <t>RAGUNDA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50215-2025</t>
        </is>
      </c>
      <c r="B878" s="1" t="n">
        <v>45943.67842592593</v>
      </c>
      <c r="C878" s="1" t="n">
        <v>46021</v>
      </c>
      <c r="D878" t="inlineStr">
        <is>
          <t>JÄMTLANDS LÄN</t>
        </is>
      </c>
      <c r="E878" t="inlineStr">
        <is>
          <t>RAGUNDA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49991-2025</t>
        </is>
      </c>
      <c r="B879" s="1" t="n">
        <v>45942.91568287037</v>
      </c>
      <c r="C879" s="1" t="n">
        <v>46021</v>
      </c>
      <c r="D879" t="inlineStr">
        <is>
          <t>JÄMTLANDS LÄN</t>
        </is>
      </c>
      <c r="E879" t="inlineStr">
        <is>
          <t>RAGUNDA</t>
        </is>
      </c>
      <c r="G879" t="n">
        <v>9</v>
      </c>
      <c r="H879" t="n">
        <v>0</v>
      </c>
      <c r="I879" t="n">
        <v>0</v>
      </c>
      <c r="J879" t="n">
        <v>0</v>
      </c>
      <c r="K879" t="n">
        <v>0</v>
      </c>
      <c r="L879" t="n">
        <v>0</v>
      </c>
      <c r="M879" t="n">
        <v>0</v>
      </c>
      <c r="N879" t="n">
        <v>0</v>
      </c>
      <c r="O879" t="n">
        <v>0</v>
      </c>
      <c r="P879" t="n">
        <v>0</v>
      </c>
      <c r="Q879" t="n">
        <v>0</v>
      </c>
      <c r="R879" s="2" t="inlineStr"/>
    </row>
    <row r="880" ht="15" customHeight="1">
      <c r="A880" t="inlineStr">
        <is>
          <t>A 49993-2025</t>
        </is>
      </c>
      <c r="B880" s="1" t="n">
        <v>45942.94371527778</v>
      </c>
      <c r="C880" s="1" t="n">
        <v>46021</v>
      </c>
      <c r="D880" t="inlineStr">
        <is>
          <t>JÄMTLANDS LÄN</t>
        </is>
      </c>
      <c r="E880" t="inlineStr">
        <is>
          <t>RAGUNDA</t>
        </is>
      </c>
      <c r="G880" t="n">
        <v>1.5</v>
      </c>
      <c r="H880" t="n">
        <v>0</v>
      </c>
      <c r="I880" t="n">
        <v>0</v>
      </c>
      <c r="J880" t="n">
        <v>0</v>
      </c>
      <c r="K880" t="n">
        <v>0</v>
      </c>
      <c r="L880" t="n">
        <v>0</v>
      </c>
      <c r="M880" t="n">
        <v>0</v>
      </c>
      <c r="N880" t="n">
        <v>0</v>
      </c>
      <c r="O880" t="n">
        <v>0</v>
      </c>
      <c r="P880" t="n">
        <v>0</v>
      </c>
      <c r="Q880" t="n">
        <v>0</v>
      </c>
      <c r="R880" s="2" t="inlineStr"/>
    </row>
    <row r="881" ht="15" customHeight="1">
      <c r="A881" t="inlineStr">
        <is>
          <t>A 41179-2022</t>
        </is>
      </c>
      <c r="B881" s="1" t="n">
        <v>44825</v>
      </c>
      <c r="C881" s="1" t="n">
        <v>46021</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17598-2021</t>
        </is>
      </c>
      <c r="B882" s="1" t="n">
        <v>44299</v>
      </c>
      <c r="C882" s="1" t="n">
        <v>46021</v>
      </c>
      <c r="D882" t="inlineStr">
        <is>
          <t>JÄMTLANDS LÄN</t>
        </is>
      </c>
      <c r="E882" t="inlineStr">
        <is>
          <t>RAGUNDA</t>
        </is>
      </c>
      <c r="G882" t="n">
        <v>4.6</v>
      </c>
      <c r="H882" t="n">
        <v>0</v>
      </c>
      <c r="I882" t="n">
        <v>0</v>
      </c>
      <c r="J882" t="n">
        <v>0</v>
      </c>
      <c r="K882" t="n">
        <v>0</v>
      </c>
      <c r="L882" t="n">
        <v>0</v>
      </c>
      <c r="M882" t="n">
        <v>0</v>
      </c>
      <c r="N882" t="n">
        <v>0</v>
      </c>
      <c r="O882" t="n">
        <v>0</v>
      </c>
      <c r="P882" t="n">
        <v>0</v>
      </c>
      <c r="Q882" t="n">
        <v>0</v>
      </c>
      <c r="R882" s="2" t="inlineStr"/>
    </row>
    <row r="883" ht="15" customHeight="1">
      <c r="A883" t="inlineStr">
        <is>
          <t>A 58638-2025</t>
        </is>
      </c>
      <c r="B883" s="1" t="n">
        <v>45986.49016203704</v>
      </c>
      <c r="C883" s="1" t="n">
        <v>46021</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18989-2025</t>
        </is>
      </c>
      <c r="B884" s="1" t="n">
        <v>45764</v>
      </c>
      <c r="C884" s="1" t="n">
        <v>46021</v>
      </c>
      <c r="D884" t="inlineStr">
        <is>
          <t>JÄMTLANDS LÄN</t>
        </is>
      </c>
      <c r="E884" t="inlineStr">
        <is>
          <t>RAGUNDA</t>
        </is>
      </c>
      <c r="G884" t="n">
        <v>0.9</v>
      </c>
      <c r="H884" t="n">
        <v>0</v>
      </c>
      <c r="I884" t="n">
        <v>0</v>
      </c>
      <c r="J884" t="n">
        <v>0</v>
      </c>
      <c r="K884" t="n">
        <v>0</v>
      </c>
      <c r="L884" t="n">
        <v>0</v>
      </c>
      <c r="M884" t="n">
        <v>0</v>
      </c>
      <c r="N884" t="n">
        <v>0</v>
      </c>
      <c r="O884" t="n">
        <v>0</v>
      </c>
      <c r="P884" t="n">
        <v>0</v>
      </c>
      <c r="Q884" t="n">
        <v>0</v>
      </c>
      <c r="R884" s="2" t="inlineStr"/>
    </row>
    <row r="885" ht="15" customHeight="1">
      <c r="A885" t="inlineStr">
        <is>
          <t>A 62541-2022</t>
        </is>
      </c>
      <c r="B885" s="1" t="n">
        <v>44917</v>
      </c>
      <c r="C885" s="1" t="n">
        <v>46021</v>
      </c>
      <c r="D885" t="inlineStr">
        <is>
          <t>JÄMTLANDS LÄN</t>
        </is>
      </c>
      <c r="E885" t="inlineStr">
        <is>
          <t>RAGUNDA</t>
        </is>
      </c>
      <c r="G885" t="n">
        <v>2.6</v>
      </c>
      <c r="H885" t="n">
        <v>0</v>
      </c>
      <c r="I885" t="n">
        <v>0</v>
      </c>
      <c r="J885" t="n">
        <v>0</v>
      </c>
      <c r="K885" t="n">
        <v>0</v>
      </c>
      <c r="L885" t="n">
        <v>0</v>
      </c>
      <c r="M885" t="n">
        <v>0</v>
      </c>
      <c r="N885" t="n">
        <v>0</v>
      </c>
      <c r="O885" t="n">
        <v>0</v>
      </c>
      <c r="P885" t="n">
        <v>0</v>
      </c>
      <c r="Q885" t="n">
        <v>0</v>
      </c>
      <c r="R885" s="2" t="inlineStr"/>
    </row>
    <row r="886" ht="15" customHeight="1">
      <c r="A886" t="inlineStr">
        <is>
          <t>A 50125-2025</t>
        </is>
      </c>
      <c r="B886" s="1" t="n">
        <v>45943.55262731481</v>
      </c>
      <c r="C886" s="1" t="n">
        <v>46021</v>
      </c>
      <c r="D886" t="inlineStr">
        <is>
          <t>JÄMTLANDS LÄN</t>
        </is>
      </c>
      <c r="E886" t="inlineStr">
        <is>
          <t>RAGUNDA</t>
        </is>
      </c>
      <c r="F886" t="inlineStr">
        <is>
          <t>Sveaskog</t>
        </is>
      </c>
      <c r="G886" t="n">
        <v>23.2</v>
      </c>
      <c r="H886" t="n">
        <v>0</v>
      </c>
      <c r="I886" t="n">
        <v>0</v>
      </c>
      <c r="J886" t="n">
        <v>0</v>
      </c>
      <c r="K886" t="n">
        <v>0</v>
      </c>
      <c r="L886" t="n">
        <v>0</v>
      </c>
      <c r="M886" t="n">
        <v>0</v>
      </c>
      <c r="N886" t="n">
        <v>0</v>
      </c>
      <c r="O886" t="n">
        <v>0</v>
      </c>
      <c r="P886" t="n">
        <v>0</v>
      </c>
      <c r="Q886" t="n">
        <v>0</v>
      </c>
      <c r="R886" s="2" t="inlineStr"/>
    </row>
    <row r="887" ht="15" customHeight="1">
      <c r="A887" t="inlineStr">
        <is>
          <t>A 50080-2025</t>
        </is>
      </c>
      <c r="B887" s="1" t="n">
        <v>45943.469375</v>
      </c>
      <c r="C887" s="1" t="n">
        <v>46021</v>
      </c>
      <c r="D887" t="inlineStr">
        <is>
          <t>JÄMTLANDS LÄN</t>
        </is>
      </c>
      <c r="E887" t="inlineStr">
        <is>
          <t>RAGUNDA</t>
        </is>
      </c>
      <c r="F887" t="inlineStr">
        <is>
          <t>Naturvårdsverket</t>
        </is>
      </c>
      <c r="G887" t="n">
        <v>6.1</v>
      </c>
      <c r="H887" t="n">
        <v>0</v>
      </c>
      <c r="I887" t="n">
        <v>0</v>
      </c>
      <c r="J887" t="n">
        <v>0</v>
      </c>
      <c r="K887" t="n">
        <v>0</v>
      </c>
      <c r="L887" t="n">
        <v>0</v>
      </c>
      <c r="M887" t="n">
        <v>0</v>
      </c>
      <c r="N887" t="n">
        <v>0</v>
      </c>
      <c r="O887" t="n">
        <v>0</v>
      </c>
      <c r="P887" t="n">
        <v>0</v>
      </c>
      <c r="Q887" t="n">
        <v>0</v>
      </c>
      <c r="R887" s="2" t="inlineStr"/>
    </row>
    <row r="888" ht="15" customHeight="1">
      <c r="A888" t="inlineStr">
        <is>
          <t>A 50055-2025</t>
        </is>
      </c>
      <c r="B888" s="1" t="n">
        <v>45943.43287037037</v>
      </c>
      <c r="C888" s="1" t="n">
        <v>46021</v>
      </c>
      <c r="D888" t="inlineStr">
        <is>
          <t>JÄMTLANDS LÄN</t>
        </is>
      </c>
      <c r="E888" t="inlineStr">
        <is>
          <t>RAGUNDA</t>
        </is>
      </c>
      <c r="G888" t="n">
        <v>17.6</v>
      </c>
      <c r="H888" t="n">
        <v>0</v>
      </c>
      <c r="I888" t="n">
        <v>0</v>
      </c>
      <c r="J888" t="n">
        <v>0</v>
      </c>
      <c r="K888" t="n">
        <v>0</v>
      </c>
      <c r="L888" t="n">
        <v>0</v>
      </c>
      <c r="M888" t="n">
        <v>0</v>
      </c>
      <c r="N888" t="n">
        <v>0</v>
      </c>
      <c r="O888" t="n">
        <v>0</v>
      </c>
      <c r="P888" t="n">
        <v>0</v>
      </c>
      <c r="Q888" t="n">
        <v>0</v>
      </c>
      <c r="R888" s="2" t="inlineStr"/>
    </row>
    <row r="889" ht="15" customHeight="1">
      <c r="A889" t="inlineStr">
        <is>
          <t>A 33650-2025</t>
        </is>
      </c>
      <c r="B889" s="1" t="n">
        <v>45841</v>
      </c>
      <c r="C889" s="1" t="n">
        <v>46021</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61400-2022</t>
        </is>
      </c>
      <c r="B890" s="1" t="n">
        <v>44915</v>
      </c>
      <c r="C890" s="1" t="n">
        <v>46021</v>
      </c>
      <c r="D890" t="inlineStr">
        <is>
          <t>JÄMTLANDS LÄN</t>
        </is>
      </c>
      <c r="E890" t="inlineStr">
        <is>
          <t>RAGUNDA</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24861-2023</t>
        </is>
      </c>
      <c r="B891" s="1" t="n">
        <v>45078</v>
      </c>
      <c r="C891" s="1" t="n">
        <v>46021</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58918-2025</t>
        </is>
      </c>
      <c r="B892" s="1" t="n">
        <v>45987.52952546296</v>
      </c>
      <c r="C892" s="1" t="n">
        <v>46021</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38270-2021</t>
        </is>
      </c>
      <c r="B893" s="1" t="n">
        <v>44405.92065972222</v>
      </c>
      <c r="C893" s="1" t="n">
        <v>46021</v>
      </c>
      <c r="D893" t="inlineStr">
        <is>
          <t>JÄMTLANDS LÄN</t>
        </is>
      </c>
      <c r="E893" t="inlineStr">
        <is>
          <t>RAGUNDA</t>
        </is>
      </c>
      <c r="G893" t="n">
        <v>1.3</v>
      </c>
      <c r="H893" t="n">
        <v>0</v>
      </c>
      <c r="I893" t="n">
        <v>0</v>
      </c>
      <c r="J893" t="n">
        <v>0</v>
      </c>
      <c r="K893" t="n">
        <v>0</v>
      </c>
      <c r="L893" t="n">
        <v>0</v>
      </c>
      <c r="M893" t="n">
        <v>0</v>
      </c>
      <c r="N893" t="n">
        <v>0</v>
      </c>
      <c r="O893" t="n">
        <v>0</v>
      </c>
      <c r="P893" t="n">
        <v>0</v>
      </c>
      <c r="Q893" t="n">
        <v>0</v>
      </c>
      <c r="R893" s="2" t="inlineStr"/>
    </row>
    <row r="894" ht="15" customHeight="1">
      <c r="A894" t="inlineStr">
        <is>
          <t>A 4866-2025</t>
        </is>
      </c>
      <c r="B894" s="1" t="n">
        <v>45688.67542824074</v>
      </c>
      <c r="C894" s="1" t="n">
        <v>46021</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59214-2025</t>
        </is>
      </c>
      <c r="B895" s="1" t="n">
        <v>45988.61623842592</v>
      </c>
      <c r="C895" s="1" t="n">
        <v>46021</v>
      </c>
      <c r="D895" t="inlineStr">
        <is>
          <t>JÄMTLANDS LÄN</t>
        </is>
      </c>
      <c r="E895" t="inlineStr">
        <is>
          <t>RAGUNDA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179-2025</t>
        </is>
      </c>
      <c r="B896" s="1" t="n">
        <v>45659.69822916666</v>
      </c>
      <c r="C896" s="1" t="n">
        <v>46021</v>
      </c>
      <c r="D896" t="inlineStr">
        <is>
          <t>JÄMTLANDS LÄN</t>
        </is>
      </c>
      <c r="E896" t="inlineStr">
        <is>
          <t>RAGUNDA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20088-2023</t>
        </is>
      </c>
      <c r="B897" s="1" t="n">
        <v>45054</v>
      </c>
      <c r="C897" s="1" t="n">
        <v>46021</v>
      </c>
      <c r="D897" t="inlineStr">
        <is>
          <t>JÄMTLANDS LÄN</t>
        </is>
      </c>
      <c r="E897" t="inlineStr">
        <is>
          <t>RAGUNDA</t>
        </is>
      </c>
      <c r="F897" t="inlineStr">
        <is>
          <t>SCA</t>
        </is>
      </c>
      <c r="G897" t="n">
        <v>23.4</v>
      </c>
      <c r="H897" t="n">
        <v>0</v>
      </c>
      <c r="I897" t="n">
        <v>0</v>
      </c>
      <c r="J897" t="n">
        <v>0</v>
      </c>
      <c r="K897" t="n">
        <v>0</v>
      </c>
      <c r="L897" t="n">
        <v>0</v>
      </c>
      <c r="M897" t="n">
        <v>0</v>
      </c>
      <c r="N897" t="n">
        <v>0</v>
      </c>
      <c r="O897" t="n">
        <v>0</v>
      </c>
      <c r="P897" t="n">
        <v>0</v>
      </c>
      <c r="Q897" t="n">
        <v>0</v>
      </c>
      <c r="R897" s="2" t="inlineStr"/>
    </row>
    <row r="898" ht="15" customHeight="1">
      <c r="A898" t="inlineStr">
        <is>
          <t>A 50504-2025</t>
        </is>
      </c>
      <c r="B898" s="1" t="n">
        <v>45945.4284837963</v>
      </c>
      <c r="C898" s="1" t="n">
        <v>46021</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28637-2025</t>
        </is>
      </c>
      <c r="B899" s="1" t="n">
        <v>45819.6359375</v>
      </c>
      <c r="C899" s="1" t="n">
        <v>46021</v>
      </c>
      <c r="D899" t="inlineStr">
        <is>
          <t>JÄMTLANDS LÄN</t>
        </is>
      </c>
      <c r="E899" t="inlineStr">
        <is>
          <t>RAGUNDA</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50473-2025</t>
        </is>
      </c>
      <c r="B900" s="1" t="n">
        <v>45945.36520833334</v>
      </c>
      <c r="C900" s="1" t="n">
        <v>46021</v>
      </c>
      <c r="D900" t="inlineStr">
        <is>
          <t>JÄMTLANDS LÄN</t>
        </is>
      </c>
      <c r="E900" t="inlineStr">
        <is>
          <t>RAGUNDA</t>
        </is>
      </c>
      <c r="F900" t="inlineStr">
        <is>
          <t>SCA</t>
        </is>
      </c>
      <c r="G900" t="n">
        <v>11.2</v>
      </c>
      <c r="H900" t="n">
        <v>0</v>
      </c>
      <c r="I900" t="n">
        <v>0</v>
      </c>
      <c r="J900" t="n">
        <v>0</v>
      </c>
      <c r="K900" t="n">
        <v>0</v>
      </c>
      <c r="L900" t="n">
        <v>0</v>
      </c>
      <c r="M900" t="n">
        <v>0</v>
      </c>
      <c r="N900" t="n">
        <v>0</v>
      </c>
      <c r="O900" t="n">
        <v>0</v>
      </c>
      <c r="P900" t="n">
        <v>0</v>
      </c>
      <c r="Q900" t="n">
        <v>0</v>
      </c>
      <c r="R900" s="2" t="inlineStr"/>
    </row>
    <row r="901" ht="15" customHeight="1">
      <c r="A901" t="inlineStr">
        <is>
          <t>A 59136-2023</t>
        </is>
      </c>
      <c r="B901" s="1" t="n">
        <v>45251</v>
      </c>
      <c r="C901" s="1" t="n">
        <v>46021</v>
      </c>
      <c r="D901" t="inlineStr">
        <is>
          <t>JÄMTLANDS LÄN</t>
        </is>
      </c>
      <c r="E901" t="inlineStr">
        <is>
          <t>RAGUNDA</t>
        </is>
      </c>
      <c r="G901" t="n">
        <v>1.7</v>
      </c>
      <c r="H901" t="n">
        <v>0</v>
      </c>
      <c r="I901" t="n">
        <v>0</v>
      </c>
      <c r="J901" t="n">
        <v>0</v>
      </c>
      <c r="K901" t="n">
        <v>0</v>
      </c>
      <c r="L901" t="n">
        <v>0</v>
      </c>
      <c r="M901" t="n">
        <v>0</v>
      </c>
      <c r="N901" t="n">
        <v>0</v>
      </c>
      <c r="O901" t="n">
        <v>0</v>
      </c>
      <c r="P901" t="n">
        <v>0</v>
      </c>
      <c r="Q901" t="n">
        <v>0</v>
      </c>
      <c r="R901" s="2" t="inlineStr"/>
    </row>
    <row r="902" ht="15" customHeight="1">
      <c r="A902" t="inlineStr">
        <is>
          <t>A 35274-2023</t>
        </is>
      </c>
      <c r="B902" s="1" t="n">
        <v>45145</v>
      </c>
      <c r="C902" s="1" t="n">
        <v>46021</v>
      </c>
      <c r="D902" t="inlineStr">
        <is>
          <t>JÄMTLANDS LÄN</t>
        </is>
      </c>
      <c r="E902" t="inlineStr">
        <is>
          <t>RAGUNDA</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64264-2023</t>
        </is>
      </c>
      <c r="B903" s="1" t="n">
        <v>45279.94564814815</v>
      </c>
      <c r="C903" s="1" t="n">
        <v>46021</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50503-2025</t>
        </is>
      </c>
      <c r="B904" s="1" t="n">
        <v>45945.42746527777</v>
      </c>
      <c r="C904" s="1" t="n">
        <v>46021</v>
      </c>
      <c r="D904" t="inlineStr">
        <is>
          <t>JÄMTLANDS LÄN</t>
        </is>
      </c>
      <c r="E904" t="inlineStr">
        <is>
          <t>RAGUNDA</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26347-2023</t>
        </is>
      </c>
      <c r="B905" s="1" t="n">
        <v>45091</v>
      </c>
      <c r="C905" s="1" t="n">
        <v>46021</v>
      </c>
      <c r="D905" t="inlineStr">
        <is>
          <t>JÄMTLANDS LÄN</t>
        </is>
      </c>
      <c r="E905" t="inlineStr">
        <is>
          <t>RAGUNDA</t>
        </is>
      </c>
      <c r="F905" t="inlineStr">
        <is>
          <t>SCA</t>
        </is>
      </c>
      <c r="G905" t="n">
        <v>6.6</v>
      </c>
      <c r="H905" t="n">
        <v>0</v>
      </c>
      <c r="I905" t="n">
        <v>0</v>
      </c>
      <c r="J905" t="n">
        <v>0</v>
      </c>
      <c r="K905" t="n">
        <v>0</v>
      </c>
      <c r="L905" t="n">
        <v>0</v>
      </c>
      <c r="M905" t="n">
        <v>0</v>
      </c>
      <c r="N905" t="n">
        <v>0</v>
      </c>
      <c r="O905" t="n">
        <v>0</v>
      </c>
      <c r="P905" t="n">
        <v>0</v>
      </c>
      <c r="Q905" t="n">
        <v>0</v>
      </c>
      <c r="R905" s="2" t="inlineStr"/>
    </row>
    <row r="906" ht="15" customHeight="1">
      <c r="A906" t="inlineStr">
        <is>
          <t>A 28973-2025</t>
        </is>
      </c>
      <c r="B906" s="1" t="n">
        <v>45821.34513888889</v>
      </c>
      <c r="C906" s="1" t="n">
        <v>46021</v>
      </c>
      <c r="D906" t="inlineStr">
        <is>
          <t>JÄMTLANDS LÄN</t>
        </is>
      </c>
      <c r="E906" t="inlineStr">
        <is>
          <t>RAGUNDA</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46021</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29723-2025</t>
        </is>
      </c>
      <c r="B908" s="1" t="n">
        <v>45825.57675925926</v>
      </c>
      <c r="C908" s="1" t="n">
        <v>46021</v>
      </c>
      <c r="D908" t="inlineStr">
        <is>
          <t>JÄMTLANDS LÄN</t>
        </is>
      </c>
      <c r="E908" t="inlineStr">
        <is>
          <t>RAGUNDA</t>
        </is>
      </c>
      <c r="G908" t="n">
        <v>3.1</v>
      </c>
      <c r="H908" t="n">
        <v>0</v>
      </c>
      <c r="I908" t="n">
        <v>0</v>
      </c>
      <c r="J908" t="n">
        <v>0</v>
      </c>
      <c r="K908" t="n">
        <v>0</v>
      </c>
      <c r="L908" t="n">
        <v>0</v>
      </c>
      <c r="M908" t="n">
        <v>0</v>
      </c>
      <c r="N908" t="n">
        <v>0</v>
      </c>
      <c r="O908" t="n">
        <v>0</v>
      </c>
      <c r="P908" t="n">
        <v>0</v>
      </c>
      <c r="Q908" t="n">
        <v>0</v>
      </c>
      <c r="R908" s="2" t="inlineStr"/>
    </row>
    <row r="909" ht="15" customHeight="1">
      <c r="A909" t="inlineStr">
        <is>
          <t>A 29731-2025</t>
        </is>
      </c>
      <c r="B909" s="1" t="n">
        <v>45825.58252314815</v>
      </c>
      <c r="C909" s="1" t="n">
        <v>46021</v>
      </c>
      <c r="D909" t="inlineStr">
        <is>
          <t>JÄMTLANDS LÄN</t>
        </is>
      </c>
      <c r="E909" t="inlineStr">
        <is>
          <t>RAGUNDA</t>
        </is>
      </c>
      <c r="G909" t="n">
        <v>2.3</v>
      </c>
      <c r="H909" t="n">
        <v>0</v>
      </c>
      <c r="I909" t="n">
        <v>0</v>
      </c>
      <c r="J909" t="n">
        <v>0</v>
      </c>
      <c r="K909" t="n">
        <v>0</v>
      </c>
      <c r="L909" t="n">
        <v>0</v>
      </c>
      <c r="M909" t="n">
        <v>0</v>
      </c>
      <c r="N909" t="n">
        <v>0</v>
      </c>
      <c r="O909" t="n">
        <v>0</v>
      </c>
      <c r="P909" t="n">
        <v>0</v>
      </c>
      <c r="Q909" t="n">
        <v>0</v>
      </c>
      <c r="R909" s="2" t="inlineStr"/>
    </row>
    <row r="910" ht="15" customHeight="1">
      <c r="A910" t="inlineStr">
        <is>
          <t>A 59492-2024</t>
        </is>
      </c>
      <c r="B910" s="1" t="n">
        <v>45638</v>
      </c>
      <c r="C910" s="1" t="n">
        <v>46021</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61109-2024</t>
        </is>
      </c>
      <c r="B911" s="1" t="n">
        <v>45645.55672453704</v>
      </c>
      <c r="C911" s="1" t="n">
        <v>46021</v>
      </c>
      <c r="D911" t="inlineStr">
        <is>
          <t>JÄMTLANDS LÄN</t>
        </is>
      </c>
      <c r="E911" t="inlineStr">
        <is>
          <t>RAGUNDA</t>
        </is>
      </c>
      <c r="G911" t="n">
        <v>4</v>
      </c>
      <c r="H911" t="n">
        <v>0</v>
      </c>
      <c r="I911" t="n">
        <v>0</v>
      </c>
      <c r="J911" t="n">
        <v>0</v>
      </c>
      <c r="K911" t="n">
        <v>0</v>
      </c>
      <c r="L911" t="n">
        <v>0</v>
      </c>
      <c r="M911" t="n">
        <v>0</v>
      </c>
      <c r="N911" t="n">
        <v>0</v>
      </c>
      <c r="O911" t="n">
        <v>0</v>
      </c>
      <c r="P911" t="n">
        <v>0</v>
      </c>
      <c r="Q911" t="n">
        <v>0</v>
      </c>
      <c r="R911" s="2" t="inlineStr"/>
    </row>
    <row r="912" ht="15" customHeight="1">
      <c r="A912" t="inlineStr">
        <is>
          <t>A 50719-2025</t>
        </is>
      </c>
      <c r="B912" s="1" t="n">
        <v>45946.34642361111</v>
      </c>
      <c r="C912" s="1" t="n">
        <v>46021</v>
      </c>
      <c r="D912" t="inlineStr">
        <is>
          <t>JÄMTLANDS LÄN</t>
        </is>
      </c>
      <c r="E912" t="inlineStr">
        <is>
          <t>RAGUNDA</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50711-2025</t>
        </is>
      </c>
      <c r="B913" s="1" t="n">
        <v>45946.34431712963</v>
      </c>
      <c r="C913" s="1" t="n">
        <v>46021</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27373-2023</t>
        </is>
      </c>
      <c r="B914" s="1" t="n">
        <v>45096.93866898148</v>
      </c>
      <c r="C914" s="1" t="n">
        <v>46021</v>
      </c>
      <c r="D914" t="inlineStr">
        <is>
          <t>JÄMTLANDS LÄN</t>
        </is>
      </c>
      <c r="E914" t="inlineStr">
        <is>
          <t>RAGUNDA</t>
        </is>
      </c>
      <c r="F914" t="inlineStr">
        <is>
          <t>SCA</t>
        </is>
      </c>
      <c r="G914" t="n">
        <v>6.9</v>
      </c>
      <c r="H914" t="n">
        <v>0</v>
      </c>
      <c r="I914" t="n">
        <v>0</v>
      </c>
      <c r="J914" t="n">
        <v>0</v>
      </c>
      <c r="K914" t="n">
        <v>0</v>
      </c>
      <c r="L914" t="n">
        <v>0</v>
      </c>
      <c r="M914" t="n">
        <v>0</v>
      </c>
      <c r="N914" t="n">
        <v>0</v>
      </c>
      <c r="O914" t="n">
        <v>0</v>
      </c>
      <c r="P914" t="n">
        <v>0</v>
      </c>
      <c r="Q914" t="n">
        <v>0</v>
      </c>
      <c r="R914" s="2" t="inlineStr"/>
    </row>
    <row r="915" ht="15" customHeight="1">
      <c r="A915" t="inlineStr">
        <is>
          <t>A 50716-2025</t>
        </is>
      </c>
      <c r="B915" s="1" t="n">
        <v>45946.34572916666</v>
      </c>
      <c r="C915" s="1" t="n">
        <v>46021</v>
      </c>
      <c r="D915" t="inlineStr">
        <is>
          <t>JÄMTLANDS LÄN</t>
        </is>
      </c>
      <c r="E915" t="inlineStr">
        <is>
          <t>RAGUNDA</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16321-2025</t>
        </is>
      </c>
      <c r="B916" s="1" t="n">
        <v>45751.34873842593</v>
      </c>
      <c r="C916" s="1" t="n">
        <v>46021</v>
      </c>
      <c r="D916" t="inlineStr">
        <is>
          <t>JÄMTLANDS LÄN</t>
        </is>
      </c>
      <c r="E916" t="inlineStr">
        <is>
          <t>RAGUNDA</t>
        </is>
      </c>
      <c r="F916" t="inlineStr">
        <is>
          <t>SCA</t>
        </is>
      </c>
      <c r="G916" t="n">
        <v>63.3</v>
      </c>
      <c r="H916" t="n">
        <v>0</v>
      </c>
      <c r="I916" t="n">
        <v>0</v>
      </c>
      <c r="J916" t="n">
        <v>0</v>
      </c>
      <c r="K916" t="n">
        <v>0</v>
      </c>
      <c r="L916" t="n">
        <v>0</v>
      </c>
      <c r="M916" t="n">
        <v>0</v>
      </c>
      <c r="N916" t="n">
        <v>0</v>
      </c>
      <c r="O916" t="n">
        <v>0</v>
      </c>
      <c r="P916" t="n">
        <v>0</v>
      </c>
      <c r="Q916" t="n">
        <v>0</v>
      </c>
      <c r="R916" s="2" t="inlineStr"/>
    </row>
    <row r="917" ht="15" customHeight="1">
      <c r="A917" t="inlineStr">
        <is>
          <t>A 51395-2025</t>
        </is>
      </c>
      <c r="B917" s="1" t="n">
        <v>45950.46989583333</v>
      </c>
      <c r="C917" s="1" t="n">
        <v>46021</v>
      </c>
      <c r="D917" t="inlineStr">
        <is>
          <t>JÄMTLANDS LÄN</t>
        </is>
      </c>
      <c r="E917" t="inlineStr">
        <is>
          <t>RAGUNDA</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30088-2025</t>
        </is>
      </c>
      <c r="B918" s="1" t="n">
        <v>45826.65759259259</v>
      </c>
      <c r="C918" s="1" t="n">
        <v>46021</v>
      </c>
      <c r="D918" t="inlineStr">
        <is>
          <t>JÄMTLANDS LÄN</t>
        </is>
      </c>
      <c r="E918" t="inlineStr">
        <is>
          <t>RAGUNDA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55904-2022</t>
        </is>
      </c>
      <c r="B919" s="1" t="n">
        <v>44888</v>
      </c>
      <c r="C919" s="1" t="n">
        <v>46021</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50985-2025</t>
        </is>
      </c>
      <c r="B920" s="1" t="n">
        <v>45947.34506944445</v>
      </c>
      <c r="C920" s="1" t="n">
        <v>46021</v>
      </c>
      <c r="D920" t="inlineStr">
        <is>
          <t>JÄMTLANDS LÄN</t>
        </is>
      </c>
      <c r="E920" t="inlineStr">
        <is>
          <t>RAGUNDA</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31463-2024</t>
        </is>
      </c>
      <c r="B921" s="1" t="n">
        <v>45505</v>
      </c>
      <c r="C921" s="1" t="n">
        <v>46021</v>
      </c>
      <c r="D921" t="inlineStr">
        <is>
          <t>JÄMTLANDS LÄN</t>
        </is>
      </c>
      <c r="E921" t="inlineStr">
        <is>
          <t>RAGUNDA</t>
        </is>
      </c>
      <c r="F921" t="inlineStr">
        <is>
          <t>SCA</t>
        </is>
      </c>
      <c r="G921" t="n">
        <v>20.3</v>
      </c>
      <c r="H921" t="n">
        <v>0</v>
      </c>
      <c r="I921" t="n">
        <v>0</v>
      </c>
      <c r="J921" t="n">
        <v>0</v>
      </c>
      <c r="K921" t="n">
        <v>0</v>
      </c>
      <c r="L921" t="n">
        <v>0</v>
      </c>
      <c r="M921" t="n">
        <v>0</v>
      </c>
      <c r="N921" t="n">
        <v>0</v>
      </c>
      <c r="O921" t="n">
        <v>0</v>
      </c>
      <c r="P921" t="n">
        <v>0</v>
      </c>
      <c r="Q921" t="n">
        <v>0</v>
      </c>
      <c r="R921" s="2" t="inlineStr"/>
    </row>
    <row r="922" ht="15" customHeight="1">
      <c r="A922" t="inlineStr">
        <is>
          <t>A 19854-2025</t>
        </is>
      </c>
      <c r="B922" s="1" t="n">
        <v>45771.51074074074</v>
      </c>
      <c r="C922" s="1" t="n">
        <v>46021</v>
      </c>
      <c r="D922" t="inlineStr">
        <is>
          <t>JÄMTLANDS LÄN</t>
        </is>
      </c>
      <c r="E922" t="inlineStr">
        <is>
          <t>RAGUNDA</t>
        </is>
      </c>
      <c r="F922" t="inlineStr">
        <is>
          <t>SCA</t>
        </is>
      </c>
      <c r="G922" t="n">
        <v>8.4</v>
      </c>
      <c r="H922" t="n">
        <v>0</v>
      </c>
      <c r="I922" t="n">
        <v>0</v>
      </c>
      <c r="J922" t="n">
        <v>0</v>
      </c>
      <c r="K922" t="n">
        <v>0</v>
      </c>
      <c r="L922" t="n">
        <v>0</v>
      </c>
      <c r="M922" t="n">
        <v>0</v>
      </c>
      <c r="N922" t="n">
        <v>0</v>
      </c>
      <c r="O922" t="n">
        <v>0</v>
      </c>
      <c r="P922" t="n">
        <v>0</v>
      </c>
      <c r="Q922" t="n">
        <v>0</v>
      </c>
      <c r="R922" s="2" t="inlineStr"/>
    </row>
    <row r="923" ht="15" customHeight="1">
      <c r="A923" t="inlineStr">
        <is>
          <t>A 6688-2024</t>
        </is>
      </c>
      <c r="B923" s="1" t="n">
        <v>45341</v>
      </c>
      <c r="C923" s="1" t="n">
        <v>46021</v>
      </c>
      <c r="D923" t="inlineStr">
        <is>
          <t>JÄMTLANDS LÄN</t>
        </is>
      </c>
      <c r="E923" t="inlineStr">
        <is>
          <t>RAGUNDA</t>
        </is>
      </c>
      <c r="G923" t="n">
        <v>2</v>
      </c>
      <c r="H923" t="n">
        <v>0</v>
      </c>
      <c r="I923" t="n">
        <v>0</v>
      </c>
      <c r="J923" t="n">
        <v>0</v>
      </c>
      <c r="K923" t="n">
        <v>0</v>
      </c>
      <c r="L923" t="n">
        <v>0</v>
      </c>
      <c r="M923" t="n">
        <v>0</v>
      </c>
      <c r="N923" t="n">
        <v>0</v>
      </c>
      <c r="O923" t="n">
        <v>0</v>
      </c>
      <c r="P923" t="n">
        <v>0</v>
      </c>
      <c r="Q923" t="n">
        <v>0</v>
      </c>
      <c r="R923" s="2" t="inlineStr"/>
    </row>
    <row r="924" ht="15" customHeight="1">
      <c r="A924" t="inlineStr">
        <is>
          <t>A 30642-2024</t>
        </is>
      </c>
      <c r="B924" s="1" t="n">
        <v>45495.57677083334</v>
      </c>
      <c r="C924" s="1" t="n">
        <v>46021</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30348-2025</t>
        </is>
      </c>
      <c r="B925" s="1" t="n">
        <v>45827.53178240741</v>
      </c>
      <c r="C925" s="1" t="n">
        <v>46021</v>
      </c>
      <c r="D925" t="inlineStr">
        <is>
          <t>JÄMTLANDS LÄN</t>
        </is>
      </c>
      <c r="E925" t="inlineStr">
        <is>
          <t>RAGUNDA</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30434-2025</t>
        </is>
      </c>
      <c r="B926" s="1" t="n">
        <v>45827.63582175926</v>
      </c>
      <c r="C926" s="1" t="n">
        <v>46021</v>
      </c>
      <c r="D926" t="inlineStr">
        <is>
          <t>JÄMTLANDS LÄN</t>
        </is>
      </c>
      <c r="E926" t="inlineStr">
        <is>
          <t>RAGUNDA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51034-2025</t>
        </is>
      </c>
      <c r="B927" s="1" t="n">
        <v>45947.40670138889</v>
      </c>
      <c r="C927" s="1" t="n">
        <v>46021</v>
      </c>
      <c r="D927" t="inlineStr">
        <is>
          <t>JÄMTLANDS LÄN</t>
        </is>
      </c>
      <c r="E927" t="inlineStr">
        <is>
          <t>RAGUNDA</t>
        </is>
      </c>
      <c r="F927" t="inlineStr">
        <is>
          <t>SCA</t>
        </is>
      </c>
      <c r="G927" t="n">
        <v>44.1</v>
      </c>
      <c r="H927" t="n">
        <v>0</v>
      </c>
      <c r="I927" t="n">
        <v>0</v>
      </c>
      <c r="J927" t="n">
        <v>0</v>
      </c>
      <c r="K927" t="n">
        <v>0</v>
      </c>
      <c r="L927" t="n">
        <v>0</v>
      </c>
      <c r="M927" t="n">
        <v>0</v>
      </c>
      <c r="N927" t="n">
        <v>0</v>
      </c>
      <c r="O927" t="n">
        <v>0</v>
      </c>
      <c r="P927" t="n">
        <v>0</v>
      </c>
      <c r="Q927" t="n">
        <v>0</v>
      </c>
      <c r="R927" s="2" t="inlineStr"/>
    </row>
    <row r="928" ht="15" customHeight="1">
      <c r="A928" t="inlineStr">
        <is>
          <t>A 59503-2025</t>
        </is>
      </c>
      <c r="B928" s="1" t="n">
        <v>45989.62703703704</v>
      </c>
      <c r="C928" s="1" t="n">
        <v>46021</v>
      </c>
      <c r="D928" t="inlineStr">
        <is>
          <t>JÄMTLANDS LÄN</t>
        </is>
      </c>
      <c r="E928" t="inlineStr">
        <is>
          <t>RAGUNDA</t>
        </is>
      </c>
      <c r="G928" t="n">
        <v>0.6</v>
      </c>
      <c r="H928" t="n">
        <v>0</v>
      </c>
      <c r="I928" t="n">
        <v>0</v>
      </c>
      <c r="J928" t="n">
        <v>0</v>
      </c>
      <c r="K928" t="n">
        <v>0</v>
      </c>
      <c r="L928" t="n">
        <v>0</v>
      </c>
      <c r="M928" t="n">
        <v>0</v>
      </c>
      <c r="N928" t="n">
        <v>0</v>
      </c>
      <c r="O928" t="n">
        <v>0</v>
      </c>
      <c r="P928" t="n">
        <v>0</v>
      </c>
      <c r="Q928" t="n">
        <v>0</v>
      </c>
      <c r="R928" s="2" t="inlineStr"/>
    </row>
    <row r="929" ht="15" customHeight="1">
      <c r="A929" t="inlineStr">
        <is>
          <t>A 30883-2025</t>
        </is>
      </c>
      <c r="B929" s="1" t="n">
        <v>45832.34552083333</v>
      </c>
      <c r="C929" s="1" t="n">
        <v>46021</v>
      </c>
      <c r="D929" t="inlineStr">
        <is>
          <t>JÄMTLANDS LÄN</t>
        </is>
      </c>
      <c r="E929" t="inlineStr">
        <is>
          <t>RAGUNDA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16635-2025</t>
        </is>
      </c>
      <c r="B930" s="1" t="n">
        <v>45754</v>
      </c>
      <c r="C930" s="1" t="n">
        <v>46021</v>
      </c>
      <c r="D930" t="inlineStr">
        <is>
          <t>JÄMTLANDS LÄN</t>
        </is>
      </c>
      <c r="E930" t="inlineStr">
        <is>
          <t>RAGUNDA</t>
        </is>
      </c>
      <c r="F930" t="inlineStr">
        <is>
          <t>SCA</t>
        </is>
      </c>
      <c r="G930" t="n">
        <v>55.4</v>
      </c>
      <c r="H930" t="n">
        <v>0</v>
      </c>
      <c r="I930" t="n">
        <v>0</v>
      </c>
      <c r="J930" t="n">
        <v>0</v>
      </c>
      <c r="K930" t="n">
        <v>0</v>
      </c>
      <c r="L930" t="n">
        <v>0</v>
      </c>
      <c r="M930" t="n">
        <v>0</v>
      </c>
      <c r="N930" t="n">
        <v>0</v>
      </c>
      <c r="O930" t="n">
        <v>0</v>
      </c>
      <c r="P930" t="n">
        <v>0</v>
      </c>
      <c r="Q930" t="n">
        <v>0</v>
      </c>
      <c r="R930" s="2" t="inlineStr"/>
    </row>
    <row r="931" ht="15" customHeight="1">
      <c r="A931" t="inlineStr">
        <is>
          <t>A 51019-2025</t>
        </is>
      </c>
      <c r="B931" s="1" t="n">
        <v>45947.38623842593</v>
      </c>
      <c r="C931" s="1" t="n">
        <v>46021</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51394-2025</t>
        </is>
      </c>
      <c r="B932" s="1" t="n">
        <v>45950.46972222222</v>
      </c>
      <c r="C932" s="1" t="n">
        <v>46021</v>
      </c>
      <c r="D932" t="inlineStr">
        <is>
          <t>JÄMTLANDS LÄN</t>
        </is>
      </c>
      <c r="E932" t="inlineStr">
        <is>
          <t>RAGUNDA</t>
        </is>
      </c>
      <c r="F932" t="inlineStr">
        <is>
          <t>SCA</t>
        </is>
      </c>
      <c r="G932" t="n">
        <v>36.5</v>
      </c>
      <c r="H932" t="n">
        <v>0</v>
      </c>
      <c r="I932" t="n">
        <v>0</v>
      </c>
      <c r="J932" t="n">
        <v>0</v>
      </c>
      <c r="K932" t="n">
        <v>0</v>
      </c>
      <c r="L932" t="n">
        <v>0</v>
      </c>
      <c r="M932" t="n">
        <v>0</v>
      </c>
      <c r="N932" t="n">
        <v>0</v>
      </c>
      <c r="O932" t="n">
        <v>0</v>
      </c>
      <c r="P932" t="n">
        <v>0</v>
      </c>
      <c r="Q932" t="n">
        <v>0</v>
      </c>
      <c r="R932" s="2" t="inlineStr"/>
    </row>
    <row r="933" ht="15" customHeight="1">
      <c r="A933" t="inlineStr">
        <is>
          <t>A 30880-2025</t>
        </is>
      </c>
      <c r="B933" s="1" t="n">
        <v>45832.34524305556</v>
      </c>
      <c r="C933" s="1" t="n">
        <v>46021</v>
      </c>
      <c r="D933" t="inlineStr">
        <is>
          <t>JÄMTLANDS LÄN</t>
        </is>
      </c>
      <c r="E933" t="inlineStr">
        <is>
          <t>RAGUNDA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30887-2025</t>
        </is>
      </c>
      <c r="B934" s="1" t="n">
        <v>45832.3459375</v>
      </c>
      <c r="C934" s="1" t="n">
        <v>46021</v>
      </c>
      <c r="D934" t="inlineStr">
        <is>
          <t>JÄMTLANDS LÄN</t>
        </is>
      </c>
      <c r="E934" t="inlineStr">
        <is>
          <t>RAGUNDA</t>
        </is>
      </c>
      <c r="F934" t="inlineStr">
        <is>
          <t>SCA</t>
        </is>
      </c>
      <c r="G934" t="n">
        <v>10.1</v>
      </c>
      <c r="H934" t="n">
        <v>0</v>
      </c>
      <c r="I934" t="n">
        <v>0</v>
      </c>
      <c r="J934" t="n">
        <v>0</v>
      </c>
      <c r="K934" t="n">
        <v>0</v>
      </c>
      <c r="L934" t="n">
        <v>0</v>
      </c>
      <c r="M934" t="n">
        <v>0</v>
      </c>
      <c r="N934" t="n">
        <v>0</v>
      </c>
      <c r="O934" t="n">
        <v>0</v>
      </c>
      <c r="P934" t="n">
        <v>0</v>
      </c>
      <c r="Q934" t="n">
        <v>0</v>
      </c>
      <c r="R934" s="2" t="inlineStr"/>
    </row>
    <row r="935" ht="15" customHeight="1">
      <c r="A935" t="inlineStr">
        <is>
          <t>A 37479-2023</t>
        </is>
      </c>
      <c r="B935" s="1" t="n">
        <v>45156</v>
      </c>
      <c r="C935" s="1" t="n">
        <v>46021</v>
      </c>
      <c r="D935" t="inlineStr">
        <is>
          <t>JÄMTLANDS LÄN</t>
        </is>
      </c>
      <c r="E935" t="inlineStr">
        <is>
          <t>RAGUNDA</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59740-2025</t>
        </is>
      </c>
      <c r="B936" s="1" t="n">
        <v>45992.5743287037</v>
      </c>
      <c r="C936" s="1" t="n">
        <v>46021</v>
      </c>
      <c r="D936" t="inlineStr">
        <is>
          <t>JÄMTLANDS LÄN</t>
        </is>
      </c>
      <c r="E936" t="inlineStr">
        <is>
          <t>RAGUNDA</t>
        </is>
      </c>
      <c r="F936" t="inlineStr">
        <is>
          <t>SCA</t>
        </is>
      </c>
      <c r="G936" t="n">
        <v>14.1</v>
      </c>
      <c r="H936" t="n">
        <v>0</v>
      </c>
      <c r="I936" t="n">
        <v>0</v>
      </c>
      <c r="J936" t="n">
        <v>0</v>
      </c>
      <c r="K936" t="n">
        <v>0</v>
      </c>
      <c r="L936" t="n">
        <v>0</v>
      </c>
      <c r="M936" t="n">
        <v>0</v>
      </c>
      <c r="N936" t="n">
        <v>0</v>
      </c>
      <c r="O936" t="n">
        <v>0</v>
      </c>
      <c r="P936" t="n">
        <v>0</v>
      </c>
      <c r="Q936" t="n">
        <v>0</v>
      </c>
      <c r="R936" s="2" t="inlineStr"/>
    </row>
    <row r="937" ht="15" customHeight="1">
      <c r="A937" t="inlineStr">
        <is>
          <t>A 51484-2025</t>
        </is>
      </c>
      <c r="B937" s="1" t="n">
        <v>45950.62196759259</v>
      </c>
      <c r="C937" s="1" t="n">
        <v>46021</v>
      </c>
      <c r="D937" t="inlineStr">
        <is>
          <t>JÄMTLANDS LÄN</t>
        </is>
      </c>
      <c r="E937" t="inlineStr">
        <is>
          <t>RAGUNDA</t>
        </is>
      </c>
      <c r="F937" t="inlineStr">
        <is>
          <t>SCA</t>
        </is>
      </c>
      <c r="G937" t="n">
        <v>23.1</v>
      </c>
      <c r="H937" t="n">
        <v>0</v>
      </c>
      <c r="I937" t="n">
        <v>0</v>
      </c>
      <c r="J937" t="n">
        <v>0</v>
      </c>
      <c r="K937" t="n">
        <v>0</v>
      </c>
      <c r="L937" t="n">
        <v>0</v>
      </c>
      <c r="M937" t="n">
        <v>0</v>
      </c>
      <c r="N937" t="n">
        <v>0</v>
      </c>
      <c r="O937" t="n">
        <v>0</v>
      </c>
      <c r="P937" t="n">
        <v>0</v>
      </c>
      <c r="Q937" t="n">
        <v>0</v>
      </c>
      <c r="R937" s="2" t="inlineStr"/>
    </row>
    <row r="938" ht="15" customHeight="1">
      <c r="A938" t="inlineStr">
        <is>
          <t>A 51491-2025</t>
        </is>
      </c>
      <c r="B938" s="1" t="n">
        <v>45950.63362268519</v>
      </c>
      <c r="C938" s="1" t="n">
        <v>46021</v>
      </c>
      <c r="D938" t="inlineStr">
        <is>
          <t>JÄMTLANDS LÄN</t>
        </is>
      </c>
      <c r="E938" t="inlineStr">
        <is>
          <t>RAGUNDA</t>
        </is>
      </c>
      <c r="G938" t="n">
        <v>1.1</v>
      </c>
      <c r="H938" t="n">
        <v>0</v>
      </c>
      <c r="I938" t="n">
        <v>0</v>
      </c>
      <c r="J938" t="n">
        <v>0</v>
      </c>
      <c r="K938" t="n">
        <v>0</v>
      </c>
      <c r="L938" t="n">
        <v>0</v>
      </c>
      <c r="M938" t="n">
        <v>0</v>
      </c>
      <c r="N938" t="n">
        <v>0</v>
      </c>
      <c r="O938" t="n">
        <v>0</v>
      </c>
      <c r="P938" t="n">
        <v>0</v>
      </c>
      <c r="Q938" t="n">
        <v>0</v>
      </c>
      <c r="R938" s="2" t="inlineStr"/>
    </row>
    <row r="939" ht="15" customHeight="1">
      <c r="A939" t="inlineStr">
        <is>
          <t>A 41772-2024</t>
        </is>
      </c>
      <c r="B939" s="1" t="n">
        <v>45561.34663194444</v>
      </c>
      <c r="C939" s="1" t="n">
        <v>46021</v>
      </c>
      <c r="D939" t="inlineStr">
        <is>
          <t>JÄMTLANDS LÄN</t>
        </is>
      </c>
      <c r="E939" t="inlineStr">
        <is>
          <t>RAGUNDA</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59491-2025</t>
        </is>
      </c>
      <c r="B940" s="1" t="n">
        <v>45989.60376157407</v>
      </c>
      <c r="C940" s="1" t="n">
        <v>46021</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12660-2024</t>
        </is>
      </c>
      <c r="B941" s="1" t="n">
        <v>45384</v>
      </c>
      <c r="C941" s="1" t="n">
        <v>46021</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31882-2025</t>
        </is>
      </c>
      <c r="B942" s="1" t="n">
        <v>45834.65662037037</v>
      </c>
      <c r="C942" s="1" t="n">
        <v>46021</v>
      </c>
      <c r="D942" t="inlineStr">
        <is>
          <t>JÄMTLANDS LÄN</t>
        </is>
      </c>
      <c r="E942" t="inlineStr">
        <is>
          <t>RAGUNDA</t>
        </is>
      </c>
      <c r="F942" t="inlineStr">
        <is>
          <t>SCA</t>
        </is>
      </c>
      <c r="G942" t="n">
        <v>5.5</v>
      </c>
      <c r="H942" t="n">
        <v>0</v>
      </c>
      <c r="I942" t="n">
        <v>0</v>
      </c>
      <c r="J942" t="n">
        <v>0</v>
      </c>
      <c r="K942" t="n">
        <v>0</v>
      </c>
      <c r="L942" t="n">
        <v>0</v>
      </c>
      <c r="M942" t="n">
        <v>0</v>
      </c>
      <c r="N942" t="n">
        <v>0</v>
      </c>
      <c r="O942" t="n">
        <v>0</v>
      </c>
      <c r="P942" t="n">
        <v>0</v>
      </c>
      <c r="Q942" t="n">
        <v>0</v>
      </c>
      <c r="R942" s="2" t="inlineStr"/>
    </row>
    <row r="943" ht="15" customHeight="1">
      <c r="A943" t="inlineStr">
        <is>
          <t>A 25332-2023</t>
        </is>
      </c>
      <c r="B943" s="1" t="n">
        <v>45086.94010416666</v>
      </c>
      <c r="C943" s="1" t="n">
        <v>46021</v>
      </c>
      <c r="D943" t="inlineStr">
        <is>
          <t>JÄMTLANDS LÄN</t>
        </is>
      </c>
      <c r="E943" t="inlineStr">
        <is>
          <t>RAGUNDA</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59499-2025</t>
        </is>
      </c>
      <c r="B944" s="1" t="n">
        <v>45989.61846064815</v>
      </c>
      <c r="C944" s="1" t="n">
        <v>46021</v>
      </c>
      <c r="D944" t="inlineStr">
        <is>
          <t>JÄMTLANDS LÄN</t>
        </is>
      </c>
      <c r="E944" t="inlineStr">
        <is>
          <t>RAGUNDA</t>
        </is>
      </c>
      <c r="G944" t="n">
        <v>2</v>
      </c>
      <c r="H944" t="n">
        <v>0</v>
      </c>
      <c r="I944" t="n">
        <v>0</v>
      </c>
      <c r="J944" t="n">
        <v>0</v>
      </c>
      <c r="K944" t="n">
        <v>0</v>
      </c>
      <c r="L944" t="n">
        <v>0</v>
      </c>
      <c r="M944" t="n">
        <v>0</v>
      </c>
      <c r="N944" t="n">
        <v>0</v>
      </c>
      <c r="O944" t="n">
        <v>0</v>
      </c>
      <c r="P944" t="n">
        <v>0</v>
      </c>
      <c r="Q944" t="n">
        <v>0</v>
      </c>
      <c r="R944" s="2" t="inlineStr"/>
    </row>
    <row r="945" ht="15" customHeight="1">
      <c r="A945" t="inlineStr">
        <is>
          <t>A 33615-2023</t>
        </is>
      </c>
      <c r="B945" s="1" t="n">
        <v>45119</v>
      </c>
      <c r="C945" s="1" t="n">
        <v>46021</v>
      </c>
      <c r="D945" t="inlineStr">
        <is>
          <t>JÄMTLANDS LÄN</t>
        </is>
      </c>
      <c r="E945" t="inlineStr">
        <is>
          <t>RAGUNDA</t>
        </is>
      </c>
      <c r="G945" t="n">
        <v>0.9</v>
      </c>
      <c r="H945" t="n">
        <v>0</v>
      </c>
      <c r="I945" t="n">
        <v>0</v>
      </c>
      <c r="J945" t="n">
        <v>0</v>
      </c>
      <c r="K945" t="n">
        <v>0</v>
      </c>
      <c r="L945" t="n">
        <v>0</v>
      </c>
      <c r="M945" t="n">
        <v>0</v>
      </c>
      <c r="N945" t="n">
        <v>0</v>
      </c>
      <c r="O945" t="n">
        <v>0</v>
      </c>
      <c r="P945" t="n">
        <v>0</v>
      </c>
      <c r="Q945" t="n">
        <v>0</v>
      </c>
      <c r="R945" s="2" t="inlineStr"/>
    </row>
    <row r="946" ht="15" customHeight="1">
      <c r="A946" t="inlineStr">
        <is>
          <t>A 43132-2023</t>
        </is>
      </c>
      <c r="B946" s="1" t="n">
        <v>45182</v>
      </c>
      <c r="C946" s="1" t="n">
        <v>46021</v>
      </c>
      <c r="D946" t="inlineStr">
        <is>
          <t>JÄMTLANDS LÄN</t>
        </is>
      </c>
      <c r="E946" t="inlineStr">
        <is>
          <t>RAGUNDA</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59738-2025</t>
        </is>
      </c>
      <c r="B947" s="1" t="n">
        <v>45992.57408564815</v>
      </c>
      <c r="C947" s="1" t="n">
        <v>46021</v>
      </c>
      <c r="D947" t="inlineStr">
        <is>
          <t>JÄMTLANDS LÄN</t>
        </is>
      </c>
      <c r="E947" t="inlineStr">
        <is>
          <t>RAGUNDA</t>
        </is>
      </c>
      <c r="F947" t="inlineStr">
        <is>
          <t>SCA</t>
        </is>
      </c>
      <c r="G947" t="n">
        <v>12.5</v>
      </c>
      <c r="H947" t="n">
        <v>0</v>
      </c>
      <c r="I947" t="n">
        <v>0</v>
      </c>
      <c r="J947" t="n">
        <v>0</v>
      </c>
      <c r="K947" t="n">
        <v>0</v>
      </c>
      <c r="L947" t="n">
        <v>0</v>
      </c>
      <c r="M947" t="n">
        <v>0</v>
      </c>
      <c r="N947" t="n">
        <v>0</v>
      </c>
      <c r="O947" t="n">
        <v>0</v>
      </c>
      <c r="P947" t="n">
        <v>0</v>
      </c>
      <c r="Q947" t="n">
        <v>0</v>
      </c>
      <c r="R947" s="2" t="inlineStr"/>
    </row>
    <row r="948" ht="15" customHeight="1">
      <c r="A948" t="inlineStr">
        <is>
          <t>A 32762-2025</t>
        </is>
      </c>
      <c r="B948" s="1" t="n">
        <v>45838</v>
      </c>
      <c r="C948" s="1" t="n">
        <v>46021</v>
      </c>
      <c r="D948" t="inlineStr">
        <is>
          <t>JÄMTLANDS LÄN</t>
        </is>
      </c>
      <c r="E948" t="inlineStr">
        <is>
          <t>RAGUNDA</t>
        </is>
      </c>
      <c r="G948" t="n">
        <v>0.6</v>
      </c>
      <c r="H948" t="n">
        <v>0</v>
      </c>
      <c r="I948" t="n">
        <v>0</v>
      </c>
      <c r="J948" t="n">
        <v>0</v>
      </c>
      <c r="K948" t="n">
        <v>0</v>
      </c>
      <c r="L948" t="n">
        <v>0</v>
      </c>
      <c r="M948" t="n">
        <v>0</v>
      </c>
      <c r="N948" t="n">
        <v>0</v>
      </c>
      <c r="O948" t="n">
        <v>0</v>
      </c>
      <c r="P948" t="n">
        <v>0</v>
      </c>
      <c r="Q948" t="n">
        <v>0</v>
      </c>
      <c r="R948" s="2" t="inlineStr"/>
    </row>
    <row r="949" ht="15" customHeight="1">
      <c r="A949" t="inlineStr">
        <is>
          <t>A 59739-2025</t>
        </is>
      </c>
      <c r="B949" s="1" t="n">
        <v>45992.57417824074</v>
      </c>
      <c r="C949" s="1" t="n">
        <v>46021</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32306-2025</t>
        </is>
      </c>
      <c r="B950" s="1" t="n">
        <v>45835.72046296296</v>
      </c>
      <c r="C950" s="1" t="n">
        <v>46021</v>
      </c>
      <c r="D950" t="inlineStr">
        <is>
          <t>JÄMTLANDS LÄN</t>
        </is>
      </c>
      <c r="E950" t="inlineStr">
        <is>
          <t>RAGUNDA</t>
        </is>
      </c>
      <c r="G950" t="n">
        <v>10.2</v>
      </c>
      <c r="H950" t="n">
        <v>0</v>
      </c>
      <c r="I950" t="n">
        <v>0</v>
      </c>
      <c r="J950" t="n">
        <v>0</v>
      </c>
      <c r="K950" t="n">
        <v>0</v>
      </c>
      <c r="L950" t="n">
        <v>0</v>
      </c>
      <c r="M950" t="n">
        <v>0</v>
      </c>
      <c r="N950" t="n">
        <v>0</v>
      </c>
      <c r="O950" t="n">
        <v>0</v>
      </c>
      <c r="P950" t="n">
        <v>0</v>
      </c>
      <c r="Q950" t="n">
        <v>0</v>
      </c>
      <c r="R950" s="2" t="inlineStr"/>
    </row>
    <row r="951" ht="15" customHeight="1">
      <c r="A951" t="inlineStr">
        <is>
          <t>A 59692-2025</t>
        </is>
      </c>
      <c r="B951" s="1" t="n">
        <v>45992.49001157407</v>
      </c>
      <c r="C951" s="1" t="n">
        <v>46021</v>
      </c>
      <c r="D951" t="inlineStr">
        <is>
          <t>JÄMTLANDS LÄN</t>
        </is>
      </c>
      <c r="E951" t="inlineStr">
        <is>
          <t>RAGUNDA</t>
        </is>
      </c>
      <c r="G951" t="n">
        <v>2.7</v>
      </c>
      <c r="H951" t="n">
        <v>0</v>
      </c>
      <c r="I951" t="n">
        <v>0</v>
      </c>
      <c r="J951" t="n">
        <v>0</v>
      </c>
      <c r="K951" t="n">
        <v>0</v>
      </c>
      <c r="L951" t="n">
        <v>0</v>
      </c>
      <c r="M951" t="n">
        <v>0</v>
      </c>
      <c r="N951" t="n">
        <v>0</v>
      </c>
      <c r="O951" t="n">
        <v>0</v>
      </c>
      <c r="P951" t="n">
        <v>0</v>
      </c>
      <c r="Q951" t="n">
        <v>0</v>
      </c>
      <c r="R951" s="2" t="inlineStr"/>
    </row>
    <row r="952" ht="15" customHeight="1">
      <c r="A952" t="inlineStr">
        <is>
          <t>A 59693-2025</t>
        </is>
      </c>
      <c r="B952" s="1" t="n">
        <v>45992.49009259259</v>
      </c>
      <c r="C952" s="1" t="n">
        <v>46021</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8654-2024</t>
        </is>
      </c>
      <c r="B953" s="1" t="n">
        <v>45356.03784722222</v>
      </c>
      <c r="C953" s="1" t="n">
        <v>46021</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9325-2024</t>
        </is>
      </c>
      <c r="B954" s="1" t="n">
        <v>45358.95813657407</v>
      </c>
      <c r="C954" s="1" t="n">
        <v>46021</v>
      </c>
      <c r="D954" t="inlineStr">
        <is>
          <t>JÄMTLANDS LÄN</t>
        </is>
      </c>
      <c r="E954" t="inlineStr">
        <is>
          <t>RAGUNDA</t>
        </is>
      </c>
      <c r="G954" t="n">
        <v>3.1</v>
      </c>
      <c r="H954" t="n">
        <v>0</v>
      </c>
      <c r="I954" t="n">
        <v>0</v>
      </c>
      <c r="J954" t="n">
        <v>0</v>
      </c>
      <c r="K954" t="n">
        <v>0</v>
      </c>
      <c r="L954" t="n">
        <v>0</v>
      </c>
      <c r="M954" t="n">
        <v>0</v>
      </c>
      <c r="N954" t="n">
        <v>0</v>
      </c>
      <c r="O954" t="n">
        <v>0</v>
      </c>
      <c r="P954" t="n">
        <v>0</v>
      </c>
      <c r="Q954" t="n">
        <v>0</v>
      </c>
      <c r="R954" s="2" t="inlineStr"/>
    </row>
    <row r="955" ht="15" customHeight="1">
      <c r="A955" t="inlineStr">
        <is>
          <t>A 32757-2025</t>
        </is>
      </c>
      <c r="B955" s="1" t="n">
        <v>45838</v>
      </c>
      <c r="C955" s="1" t="n">
        <v>46021</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32660-2025</t>
        </is>
      </c>
      <c r="B956" s="1" t="n">
        <v>45838.67887731481</v>
      </c>
      <c r="C956" s="1" t="n">
        <v>46021</v>
      </c>
      <c r="D956" t="inlineStr">
        <is>
          <t>JÄMTLANDS LÄN</t>
        </is>
      </c>
      <c r="E956" t="inlineStr">
        <is>
          <t>RAGUNDA</t>
        </is>
      </c>
      <c r="F956" t="inlineStr">
        <is>
          <t>SCA</t>
        </is>
      </c>
      <c r="G956" t="n">
        <v>10.3</v>
      </c>
      <c r="H956" t="n">
        <v>0</v>
      </c>
      <c r="I956" t="n">
        <v>0</v>
      </c>
      <c r="J956" t="n">
        <v>0</v>
      </c>
      <c r="K956" t="n">
        <v>0</v>
      </c>
      <c r="L956" t="n">
        <v>0</v>
      </c>
      <c r="M956" t="n">
        <v>0</v>
      </c>
      <c r="N956" t="n">
        <v>0</v>
      </c>
      <c r="O956" t="n">
        <v>0</v>
      </c>
      <c r="P956" t="n">
        <v>0</v>
      </c>
      <c r="Q956" t="n">
        <v>0</v>
      </c>
      <c r="R956" s="2" t="inlineStr"/>
    </row>
    <row r="957" ht="15" customHeight="1">
      <c r="A957" t="inlineStr">
        <is>
          <t>A 32527-2025</t>
        </is>
      </c>
      <c r="B957" s="1" t="n">
        <v>45838.48996527777</v>
      </c>
      <c r="C957" s="1" t="n">
        <v>46021</v>
      </c>
      <c r="D957" t="inlineStr">
        <is>
          <t>JÄMTLANDS LÄN</t>
        </is>
      </c>
      <c r="E957" t="inlineStr">
        <is>
          <t>RAGUNDA</t>
        </is>
      </c>
      <c r="G957" t="n">
        <v>5</v>
      </c>
      <c r="H957" t="n">
        <v>0</v>
      </c>
      <c r="I957" t="n">
        <v>0</v>
      </c>
      <c r="J957" t="n">
        <v>0</v>
      </c>
      <c r="K957" t="n">
        <v>0</v>
      </c>
      <c r="L957" t="n">
        <v>0</v>
      </c>
      <c r="M957" t="n">
        <v>0</v>
      </c>
      <c r="N957" t="n">
        <v>0</v>
      </c>
      <c r="O957" t="n">
        <v>0</v>
      </c>
      <c r="P957" t="n">
        <v>0</v>
      </c>
      <c r="Q957" t="n">
        <v>0</v>
      </c>
      <c r="R957" s="2" t="inlineStr"/>
    </row>
    <row r="958" ht="15" customHeight="1">
      <c r="A958" t="inlineStr">
        <is>
          <t>A 4348-2023</t>
        </is>
      </c>
      <c r="B958" s="1" t="n">
        <v>44953</v>
      </c>
      <c r="C958" s="1" t="n">
        <v>46021</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44977.98660879629</v>
      </c>
      <c r="C959" s="1" t="n">
        <v>46021</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32021-2025</t>
        </is>
      </c>
      <c r="B960" s="1" t="n">
        <v>45835.40668981482</v>
      </c>
      <c r="C960" s="1" t="n">
        <v>46021</v>
      </c>
      <c r="D960" t="inlineStr">
        <is>
          <t>JÄMTLANDS LÄN</t>
        </is>
      </c>
      <c r="E960" t="inlineStr">
        <is>
          <t>RAGUNDA</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29766-2023</t>
        </is>
      </c>
      <c r="B961" s="1" t="n">
        <v>45098</v>
      </c>
      <c r="C961" s="1" t="n">
        <v>46021</v>
      </c>
      <c r="D961" t="inlineStr">
        <is>
          <t>JÄMTLANDS LÄN</t>
        </is>
      </c>
      <c r="E961" t="inlineStr">
        <is>
          <t>RAGUNDA</t>
        </is>
      </c>
      <c r="G961" t="n">
        <v>2.7</v>
      </c>
      <c r="H961" t="n">
        <v>0</v>
      </c>
      <c r="I961" t="n">
        <v>0</v>
      </c>
      <c r="J961" t="n">
        <v>0</v>
      </c>
      <c r="K961" t="n">
        <v>0</v>
      </c>
      <c r="L961" t="n">
        <v>0</v>
      </c>
      <c r="M961" t="n">
        <v>0</v>
      </c>
      <c r="N961" t="n">
        <v>0</v>
      </c>
      <c r="O961" t="n">
        <v>0</v>
      </c>
      <c r="P961" t="n">
        <v>0</v>
      </c>
      <c r="Q961" t="n">
        <v>0</v>
      </c>
      <c r="R961" s="2" t="inlineStr"/>
    </row>
    <row r="962" ht="15" customHeight="1">
      <c r="A962" t="inlineStr">
        <is>
          <t>A 32655-2025</t>
        </is>
      </c>
      <c r="B962" s="1" t="n">
        <v>45838.67800925926</v>
      </c>
      <c r="C962" s="1" t="n">
        <v>46021</v>
      </c>
      <c r="D962" t="inlineStr">
        <is>
          <t>JÄMTLANDS LÄN</t>
        </is>
      </c>
      <c r="E962" t="inlineStr">
        <is>
          <t>RAGUNDA</t>
        </is>
      </c>
      <c r="G962" t="n">
        <v>2.8</v>
      </c>
      <c r="H962" t="n">
        <v>0</v>
      </c>
      <c r="I962" t="n">
        <v>0</v>
      </c>
      <c r="J962" t="n">
        <v>0</v>
      </c>
      <c r="K962" t="n">
        <v>0</v>
      </c>
      <c r="L962" t="n">
        <v>0</v>
      </c>
      <c r="M962" t="n">
        <v>0</v>
      </c>
      <c r="N962" t="n">
        <v>0</v>
      </c>
      <c r="O962" t="n">
        <v>0</v>
      </c>
      <c r="P962" t="n">
        <v>0</v>
      </c>
      <c r="Q962" t="n">
        <v>0</v>
      </c>
      <c r="R962" s="2" t="inlineStr"/>
    </row>
    <row r="963" ht="15" customHeight="1">
      <c r="A963" t="inlineStr">
        <is>
          <t>A 32151-2025</t>
        </is>
      </c>
      <c r="B963" s="1" t="n">
        <v>45835.53166666667</v>
      </c>
      <c r="C963" s="1" t="n">
        <v>46021</v>
      </c>
      <c r="D963" t="inlineStr">
        <is>
          <t>JÄMTLANDS LÄN</t>
        </is>
      </c>
      <c r="E963" t="inlineStr">
        <is>
          <t>RAGUNDA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32096-2025</t>
        </is>
      </c>
      <c r="B964" s="1" t="n">
        <v>45835.46334490741</v>
      </c>
      <c r="C964" s="1" t="n">
        <v>46021</v>
      </c>
      <c r="D964" t="inlineStr">
        <is>
          <t>JÄMTLANDS LÄN</t>
        </is>
      </c>
      <c r="E964" t="inlineStr">
        <is>
          <t>RAGUNDA</t>
        </is>
      </c>
      <c r="G964" t="n">
        <v>0.9</v>
      </c>
      <c r="H964" t="n">
        <v>0</v>
      </c>
      <c r="I964" t="n">
        <v>0</v>
      </c>
      <c r="J964" t="n">
        <v>0</v>
      </c>
      <c r="K964" t="n">
        <v>0</v>
      </c>
      <c r="L964" t="n">
        <v>0</v>
      </c>
      <c r="M964" t="n">
        <v>0</v>
      </c>
      <c r="N964" t="n">
        <v>0</v>
      </c>
      <c r="O964" t="n">
        <v>0</v>
      </c>
      <c r="P964" t="n">
        <v>0</v>
      </c>
      <c r="Q964" t="n">
        <v>0</v>
      </c>
      <c r="R964" s="2" t="inlineStr"/>
    </row>
    <row r="965" ht="15" customHeight="1">
      <c r="A965" t="inlineStr">
        <is>
          <t>A 32748-2025</t>
        </is>
      </c>
      <c r="B965" s="1" t="n">
        <v>45839.42822916667</v>
      </c>
      <c r="C965" s="1" t="n">
        <v>46021</v>
      </c>
      <c r="D965" t="inlineStr">
        <is>
          <t>JÄMTLANDS LÄN</t>
        </is>
      </c>
      <c r="E965" t="inlineStr">
        <is>
          <t>RAGUNDA</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32777-2025</t>
        </is>
      </c>
      <c r="B966" s="1" t="n">
        <v>45839.46915509259</v>
      </c>
      <c r="C966" s="1" t="n">
        <v>46021</v>
      </c>
      <c r="D966" t="inlineStr">
        <is>
          <t>JÄMTLANDS LÄN</t>
        </is>
      </c>
      <c r="E966" t="inlineStr">
        <is>
          <t>RAGUNDA</t>
        </is>
      </c>
      <c r="F966" t="inlineStr">
        <is>
          <t>SCA</t>
        </is>
      </c>
      <c r="G966" t="n">
        <v>21.7</v>
      </c>
      <c r="H966" t="n">
        <v>0</v>
      </c>
      <c r="I966" t="n">
        <v>0</v>
      </c>
      <c r="J966" t="n">
        <v>0</v>
      </c>
      <c r="K966" t="n">
        <v>0</v>
      </c>
      <c r="L966" t="n">
        <v>0</v>
      </c>
      <c r="M966" t="n">
        <v>0</v>
      </c>
      <c r="N966" t="n">
        <v>0</v>
      </c>
      <c r="O966" t="n">
        <v>0</v>
      </c>
      <c r="P966" t="n">
        <v>0</v>
      </c>
      <c r="Q966" t="n">
        <v>0</v>
      </c>
      <c r="R966" s="2" t="inlineStr"/>
    </row>
    <row r="967" ht="15" customHeight="1">
      <c r="A967" t="inlineStr">
        <is>
          <t>A 60935-2024</t>
        </is>
      </c>
      <c r="B967" s="1" t="n">
        <v>45645.36740740741</v>
      </c>
      <c r="C967" s="1" t="n">
        <v>46021</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32430-2025</t>
        </is>
      </c>
      <c r="B968" s="1" t="n">
        <v>45838.36532407408</v>
      </c>
      <c r="C968" s="1" t="n">
        <v>46021</v>
      </c>
      <c r="D968" t="inlineStr">
        <is>
          <t>JÄMTLANDS LÄN</t>
        </is>
      </c>
      <c r="E968" t="inlineStr">
        <is>
          <t>RAGUNDA</t>
        </is>
      </c>
      <c r="F968" t="inlineStr">
        <is>
          <t>SCA</t>
        </is>
      </c>
      <c r="G968" t="n">
        <v>4.3</v>
      </c>
      <c r="H968" t="n">
        <v>0</v>
      </c>
      <c r="I968" t="n">
        <v>0</v>
      </c>
      <c r="J968" t="n">
        <v>0</v>
      </c>
      <c r="K968" t="n">
        <v>0</v>
      </c>
      <c r="L968" t="n">
        <v>0</v>
      </c>
      <c r="M968" t="n">
        <v>0</v>
      </c>
      <c r="N968" t="n">
        <v>0</v>
      </c>
      <c r="O968" t="n">
        <v>0</v>
      </c>
      <c r="P968" t="n">
        <v>0</v>
      </c>
      <c r="Q968" t="n">
        <v>0</v>
      </c>
      <c r="R968" s="2" t="inlineStr"/>
    </row>
    <row r="969" ht="15" customHeight="1">
      <c r="A969" t="inlineStr">
        <is>
          <t>A 32796-2025</t>
        </is>
      </c>
      <c r="B969" s="1" t="n">
        <v>45839.49082175926</v>
      </c>
      <c r="C969" s="1" t="n">
        <v>46021</v>
      </c>
      <c r="D969" t="inlineStr">
        <is>
          <t>JÄMTLANDS LÄN</t>
        </is>
      </c>
      <c r="E969" t="inlineStr">
        <is>
          <t>RAGUNDA</t>
        </is>
      </c>
      <c r="G969" t="n">
        <v>1.7</v>
      </c>
      <c r="H969" t="n">
        <v>0</v>
      </c>
      <c r="I969" t="n">
        <v>0</v>
      </c>
      <c r="J969" t="n">
        <v>0</v>
      </c>
      <c r="K969" t="n">
        <v>0</v>
      </c>
      <c r="L969" t="n">
        <v>0</v>
      </c>
      <c r="M969" t="n">
        <v>0</v>
      </c>
      <c r="N969" t="n">
        <v>0</v>
      </c>
      <c r="O969" t="n">
        <v>0</v>
      </c>
      <c r="P969" t="n">
        <v>0</v>
      </c>
      <c r="Q969" t="n">
        <v>0</v>
      </c>
      <c r="R969" s="2" t="inlineStr"/>
    </row>
    <row r="970" ht="15" customHeight="1">
      <c r="A970" t="inlineStr">
        <is>
          <t>A 51702-2025</t>
        </is>
      </c>
      <c r="B970" s="1" t="n">
        <v>45951.55305555555</v>
      </c>
      <c r="C970" s="1" t="n">
        <v>46021</v>
      </c>
      <c r="D970" t="inlineStr">
        <is>
          <t>JÄMTLANDS LÄN</t>
        </is>
      </c>
      <c r="E970" t="inlineStr">
        <is>
          <t>RAGUNDA</t>
        </is>
      </c>
      <c r="G970" t="n">
        <v>11.4</v>
      </c>
      <c r="H970" t="n">
        <v>0</v>
      </c>
      <c r="I970" t="n">
        <v>0</v>
      </c>
      <c r="J970" t="n">
        <v>0</v>
      </c>
      <c r="K970" t="n">
        <v>0</v>
      </c>
      <c r="L970" t="n">
        <v>0</v>
      </c>
      <c r="M970" t="n">
        <v>0</v>
      </c>
      <c r="N970" t="n">
        <v>0</v>
      </c>
      <c r="O970" t="n">
        <v>0</v>
      </c>
      <c r="P970" t="n">
        <v>0</v>
      </c>
      <c r="Q970" t="n">
        <v>0</v>
      </c>
      <c r="R970" s="2" t="inlineStr"/>
    </row>
    <row r="971" ht="15" customHeight="1">
      <c r="A971" t="inlineStr">
        <is>
          <t>A 32747-2025</t>
        </is>
      </c>
      <c r="B971" s="1" t="n">
        <v>45839.42810185185</v>
      </c>
      <c r="C971" s="1" t="n">
        <v>46021</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60307-2025</t>
        </is>
      </c>
      <c r="B972" s="1" t="n">
        <v>45994.6842824074</v>
      </c>
      <c r="C972" s="1" t="n">
        <v>46021</v>
      </c>
      <c r="D972" t="inlineStr">
        <is>
          <t>JÄMTLANDS LÄN</t>
        </is>
      </c>
      <c r="E972" t="inlineStr">
        <is>
          <t>RAGUNDA</t>
        </is>
      </c>
      <c r="G972" t="n">
        <v>4</v>
      </c>
      <c r="H972" t="n">
        <v>0</v>
      </c>
      <c r="I972" t="n">
        <v>0</v>
      </c>
      <c r="J972" t="n">
        <v>0</v>
      </c>
      <c r="K972" t="n">
        <v>0</v>
      </c>
      <c r="L972" t="n">
        <v>0</v>
      </c>
      <c r="M972" t="n">
        <v>0</v>
      </c>
      <c r="N972" t="n">
        <v>0</v>
      </c>
      <c r="O972" t="n">
        <v>0</v>
      </c>
      <c r="P972" t="n">
        <v>0</v>
      </c>
      <c r="Q972" t="n">
        <v>0</v>
      </c>
      <c r="R972" s="2" t="inlineStr"/>
    </row>
    <row r="973" ht="15" customHeight="1">
      <c r="A973" t="inlineStr">
        <is>
          <t>A 32751-2025</t>
        </is>
      </c>
      <c r="B973" s="1" t="n">
        <v>45839.42864583333</v>
      </c>
      <c r="C973" s="1" t="n">
        <v>46021</v>
      </c>
      <c r="D973" t="inlineStr">
        <is>
          <t>JÄMTLANDS LÄN</t>
        </is>
      </c>
      <c r="E973" t="inlineStr">
        <is>
          <t>RAGUNDA</t>
        </is>
      </c>
      <c r="F973" t="inlineStr">
        <is>
          <t>SCA</t>
        </is>
      </c>
      <c r="G973" t="n">
        <v>10</v>
      </c>
      <c r="H973" t="n">
        <v>0</v>
      </c>
      <c r="I973" t="n">
        <v>0</v>
      </c>
      <c r="J973" t="n">
        <v>0</v>
      </c>
      <c r="K973" t="n">
        <v>0</v>
      </c>
      <c r="L973" t="n">
        <v>0</v>
      </c>
      <c r="M973" t="n">
        <v>0</v>
      </c>
      <c r="N973" t="n">
        <v>0</v>
      </c>
      <c r="O973" t="n">
        <v>0</v>
      </c>
      <c r="P973" t="n">
        <v>0</v>
      </c>
      <c r="Q973" t="n">
        <v>0</v>
      </c>
      <c r="R973" s="2" t="inlineStr"/>
    </row>
    <row r="974" ht="15" customHeight="1">
      <c r="A974" t="inlineStr">
        <is>
          <t>A 32846-2025</t>
        </is>
      </c>
      <c r="B974" s="1" t="n">
        <v>45839.57331018519</v>
      </c>
      <c r="C974" s="1" t="n">
        <v>46021</v>
      </c>
      <c r="D974" t="inlineStr">
        <is>
          <t>JÄMTLANDS LÄN</t>
        </is>
      </c>
      <c r="E974" t="inlineStr">
        <is>
          <t>RAGUNDA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14156-2024</t>
        </is>
      </c>
      <c r="B975" s="1" t="n">
        <v>45392</v>
      </c>
      <c r="C975" s="1" t="n">
        <v>46021</v>
      </c>
      <c r="D975" t="inlineStr">
        <is>
          <t>JÄMTLANDS LÄN</t>
        </is>
      </c>
      <c r="E975" t="inlineStr">
        <is>
          <t>RAGUNDA</t>
        </is>
      </c>
      <c r="G975" t="n">
        <v>0.6</v>
      </c>
      <c r="H975" t="n">
        <v>0</v>
      </c>
      <c r="I975" t="n">
        <v>0</v>
      </c>
      <c r="J975" t="n">
        <v>0</v>
      </c>
      <c r="K975" t="n">
        <v>0</v>
      </c>
      <c r="L975" t="n">
        <v>0</v>
      </c>
      <c r="M975" t="n">
        <v>0</v>
      </c>
      <c r="N975" t="n">
        <v>0</v>
      </c>
      <c r="O975" t="n">
        <v>0</v>
      </c>
      <c r="P975" t="n">
        <v>0</v>
      </c>
      <c r="Q975" t="n">
        <v>0</v>
      </c>
      <c r="R975" s="2" t="inlineStr"/>
    </row>
    <row r="976" ht="15" customHeight="1">
      <c r="A976" t="inlineStr">
        <is>
          <t>A 14157-2024</t>
        </is>
      </c>
      <c r="B976" s="1" t="n">
        <v>45392.92903935185</v>
      </c>
      <c r="C976" s="1" t="n">
        <v>46021</v>
      </c>
      <c r="D976" t="inlineStr">
        <is>
          <t>JÄMTLANDS LÄN</t>
        </is>
      </c>
      <c r="E976" t="inlineStr">
        <is>
          <t>RAGUNDA</t>
        </is>
      </c>
      <c r="G976" t="n">
        <v>1.7</v>
      </c>
      <c r="H976" t="n">
        <v>0</v>
      </c>
      <c r="I976" t="n">
        <v>0</v>
      </c>
      <c r="J976" t="n">
        <v>0</v>
      </c>
      <c r="K976" t="n">
        <v>0</v>
      </c>
      <c r="L976" t="n">
        <v>0</v>
      </c>
      <c r="M976" t="n">
        <v>0</v>
      </c>
      <c r="N976" t="n">
        <v>0</v>
      </c>
      <c r="O976" t="n">
        <v>0</v>
      </c>
      <c r="P976" t="n">
        <v>0</v>
      </c>
      <c r="Q976" t="n">
        <v>0</v>
      </c>
      <c r="R976" s="2" t="inlineStr"/>
    </row>
    <row r="977" ht="15" customHeight="1">
      <c r="A977" t="inlineStr">
        <is>
          <t>A 33140-2025</t>
        </is>
      </c>
      <c r="B977" s="1" t="n">
        <v>45840.52225694444</v>
      </c>
      <c r="C977" s="1" t="n">
        <v>46021</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60130-2025</t>
        </is>
      </c>
      <c r="B978" s="1" t="n">
        <v>45994.34467592592</v>
      </c>
      <c r="C978" s="1" t="n">
        <v>46021</v>
      </c>
      <c r="D978" t="inlineStr">
        <is>
          <t>JÄMTLANDS LÄN</t>
        </is>
      </c>
      <c r="E978" t="inlineStr">
        <is>
          <t>RAGUNDA</t>
        </is>
      </c>
      <c r="G978" t="n">
        <v>4.9</v>
      </c>
      <c r="H978" t="n">
        <v>0</v>
      </c>
      <c r="I978" t="n">
        <v>0</v>
      </c>
      <c r="J978" t="n">
        <v>0</v>
      </c>
      <c r="K978" t="n">
        <v>0</v>
      </c>
      <c r="L978" t="n">
        <v>0</v>
      </c>
      <c r="M978" t="n">
        <v>0</v>
      </c>
      <c r="N978" t="n">
        <v>0</v>
      </c>
      <c r="O978" t="n">
        <v>0</v>
      </c>
      <c r="P978" t="n">
        <v>0</v>
      </c>
      <c r="Q978" t="n">
        <v>0</v>
      </c>
      <c r="R978" s="2" t="inlineStr"/>
    </row>
    <row r="979" ht="15" customHeight="1">
      <c r="A979" t="inlineStr">
        <is>
          <t>A 51678-2025</t>
        </is>
      </c>
      <c r="B979" s="1" t="n">
        <v>45951.51106481482</v>
      </c>
      <c r="C979" s="1" t="n">
        <v>46021</v>
      </c>
      <c r="D979" t="inlineStr">
        <is>
          <t>JÄMTLANDS LÄN</t>
        </is>
      </c>
      <c r="E979" t="inlineStr">
        <is>
          <t>RAGUNDA</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44727-2024</t>
        </is>
      </c>
      <c r="B980" s="1" t="n">
        <v>45574.57967592592</v>
      </c>
      <c r="C980" s="1" t="n">
        <v>46021</v>
      </c>
      <c r="D980" t="inlineStr">
        <is>
          <t>JÄMTLANDS LÄN</t>
        </is>
      </c>
      <c r="E980" t="inlineStr">
        <is>
          <t>RAGUNDA</t>
        </is>
      </c>
      <c r="G980" t="n">
        <v>4.7</v>
      </c>
      <c r="H980" t="n">
        <v>0</v>
      </c>
      <c r="I980" t="n">
        <v>0</v>
      </c>
      <c r="J980" t="n">
        <v>0</v>
      </c>
      <c r="K980" t="n">
        <v>0</v>
      </c>
      <c r="L980" t="n">
        <v>0</v>
      </c>
      <c r="M980" t="n">
        <v>0</v>
      </c>
      <c r="N980" t="n">
        <v>0</v>
      </c>
      <c r="O980" t="n">
        <v>0</v>
      </c>
      <c r="P980" t="n">
        <v>0</v>
      </c>
      <c r="Q980" t="n">
        <v>0</v>
      </c>
      <c r="R980" s="2" t="inlineStr"/>
    </row>
    <row r="981" ht="15" customHeight="1">
      <c r="A981" t="inlineStr">
        <is>
          <t>A 51906-2025</t>
        </is>
      </c>
      <c r="B981" s="1" t="n">
        <v>45952.4615162037</v>
      </c>
      <c r="C981" s="1" t="n">
        <v>46021</v>
      </c>
      <c r="D981" t="inlineStr">
        <is>
          <t>JÄMTLANDS LÄN</t>
        </is>
      </c>
      <c r="E981" t="inlineStr">
        <is>
          <t>RAGUNDA</t>
        </is>
      </c>
      <c r="G981" t="n">
        <v>4.5</v>
      </c>
      <c r="H981" t="n">
        <v>0</v>
      </c>
      <c r="I981" t="n">
        <v>0</v>
      </c>
      <c r="J981" t="n">
        <v>0</v>
      </c>
      <c r="K981" t="n">
        <v>0</v>
      </c>
      <c r="L981" t="n">
        <v>0</v>
      </c>
      <c r="M981" t="n">
        <v>0</v>
      </c>
      <c r="N981" t="n">
        <v>0</v>
      </c>
      <c r="O981" t="n">
        <v>0</v>
      </c>
      <c r="P981" t="n">
        <v>0</v>
      </c>
      <c r="Q981" t="n">
        <v>0</v>
      </c>
      <c r="R981" s="2" t="inlineStr"/>
    </row>
    <row r="982" ht="15" customHeight="1">
      <c r="A982" t="inlineStr">
        <is>
          <t>A 51791-2025</t>
        </is>
      </c>
      <c r="B982" s="1" t="n">
        <v>45951.69833333333</v>
      </c>
      <c r="C982" s="1" t="n">
        <v>46021</v>
      </c>
      <c r="D982" t="inlineStr">
        <is>
          <t>JÄMTLANDS LÄN</t>
        </is>
      </c>
      <c r="E982" t="inlineStr">
        <is>
          <t>RAGUNDA</t>
        </is>
      </c>
      <c r="F982" t="inlineStr">
        <is>
          <t>SCA</t>
        </is>
      </c>
      <c r="G982" t="n">
        <v>43.3</v>
      </c>
      <c r="H982" t="n">
        <v>0</v>
      </c>
      <c r="I982" t="n">
        <v>0</v>
      </c>
      <c r="J982" t="n">
        <v>0</v>
      </c>
      <c r="K982" t="n">
        <v>0</v>
      </c>
      <c r="L982" t="n">
        <v>0</v>
      </c>
      <c r="M982" t="n">
        <v>0</v>
      </c>
      <c r="N982" t="n">
        <v>0</v>
      </c>
      <c r="O982" t="n">
        <v>0</v>
      </c>
      <c r="P982" t="n">
        <v>0</v>
      </c>
      <c r="Q982" t="n">
        <v>0</v>
      </c>
      <c r="R982" s="2" t="inlineStr"/>
    </row>
    <row r="983" ht="15" customHeight="1">
      <c r="A983" t="inlineStr">
        <is>
          <t>A 57914-2025</t>
        </is>
      </c>
      <c r="B983" s="1" t="n">
        <v>45981</v>
      </c>
      <c r="C983" s="1" t="n">
        <v>46021</v>
      </c>
      <c r="D983" t="inlineStr">
        <is>
          <t>JÄMTLANDS LÄN</t>
        </is>
      </c>
      <c r="E983" t="inlineStr">
        <is>
          <t>RAGUNDA</t>
        </is>
      </c>
      <c r="G983" t="n">
        <v>3.2</v>
      </c>
      <c r="H983" t="n">
        <v>0</v>
      </c>
      <c r="I983" t="n">
        <v>0</v>
      </c>
      <c r="J983" t="n">
        <v>0</v>
      </c>
      <c r="K983" t="n">
        <v>0</v>
      </c>
      <c r="L983" t="n">
        <v>0</v>
      </c>
      <c r="M983" t="n">
        <v>0</v>
      </c>
      <c r="N983" t="n">
        <v>0</v>
      </c>
      <c r="O983" t="n">
        <v>0</v>
      </c>
      <c r="P983" t="n">
        <v>0</v>
      </c>
      <c r="Q983" t="n">
        <v>0</v>
      </c>
      <c r="R983" s="2" t="inlineStr"/>
    </row>
    <row r="984" ht="15" customHeight="1">
      <c r="A984" t="inlineStr">
        <is>
          <t>A 33556-2025</t>
        </is>
      </c>
      <c r="B984" s="1" t="n">
        <v>45841.57427083333</v>
      </c>
      <c r="C984" s="1" t="n">
        <v>46021</v>
      </c>
      <c r="D984" t="inlineStr">
        <is>
          <t>JÄMTLANDS LÄN</t>
        </is>
      </c>
      <c r="E984" t="inlineStr">
        <is>
          <t>RAGUNDA</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51592-2025</t>
        </is>
      </c>
      <c r="B985" s="1" t="n">
        <v>45951.36541666667</v>
      </c>
      <c r="C985" s="1" t="n">
        <v>46021</v>
      </c>
      <c r="D985" t="inlineStr">
        <is>
          <t>JÄMTLANDS LÄN</t>
        </is>
      </c>
      <c r="E985" t="inlineStr">
        <is>
          <t>RAGUNDA</t>
        </is>
      </c>
      <c r="G985" t="n">
        <v>1.3</v>
      </c>
      <c r="H985" t="n">
        <v>0</v>
      </c>
      <c r="I985" t="n">
        <v>0</v>
      </c>
      <c r="J985" t="n">
        <v>0</v>
      </c>
      <c r="K985" t="n">
        <v>0</v>
      </c>
      <c r="L985" t="n">
        <v>0</v>
      </c>
      <c r="M985" t="n">
        <v>0</v>
      </c>
      <c r="N985" t="n">
        <v>0</v>
      </c>
      <c r="O985" t="n">
        <v>0</v>
      </c>
      <c r="P985" t="n">
        <v>0</v>
      </c>
      <c r="Q985" t="n">
        <v>0</v>
      </c>
      <c r="R985" s="2" t="inlineStr"/>
    </row>
    <row r="986" ht="15" customHeight="1">
      <c r="A986" t="inlineStr">
        <is>
          <t>A 21661-2023</t>
        </is>
      </c>
      <c r="B986" s="1" t="n">
        <v>45063</v>
      </c>
      <c r="C986" s="1" t="n">
        <v>46021</v>
      </c>
      <c r="D986" t="inlineStr">
        <is>
          <t>JÄMTLANDS LÄN</t>
        </is>
      </c>
      <c r="E986" t="inlineStr">
        <is>
          <t>RAGUNDA</t>
        </is>
      </c>
      <c r="G986" t="n">
        <v>1.5</v>
      </c>
      <c r="H986" t="n">
        <v>0</v>
      </c>
      <c r="I986" t="n">
        <v>0</v>
      </c>
      <c r="J986" t="n">
        <v>0</v>
      </c>
      <c r="K986" t="n">
        <v>0</v>
      </c>
      <c r="L986" t="n">
        <v>0</v>
      </c>
      <c r="M986" t="n">
        <v>0</v>
      </c>
      <c r="N986" t="n">
        <v>0</v>
      </c>
      <c r="O986" t="n">
        <v>0</v>
      </c>
      <c r="P986" t="n">
        <v>0</v>
      </c>
      <c r="Q986" t="n">
        <v>0</v>
      </c>
      <c r="R986" s="2" t="inlineStr"/>
    </row>
    <row r="987" ht="15" customHeight="1">
      <c r="A987" t="inlineStr">
        <is>
          <t>A 33790-2025</t>
        </is>
      </c>
      <c r="B987" s="1" t="n">
        <v>45842.42608796297</v>
      </c>
      <c r="C987" s="1" t="n">
        <v>46021</v>
      </c>
      <c r="D987" t="inlineStr">
        <is>
          <t>JÄMTLANDS LÄN</t>
        </is>
      </c>
      <c r="E987" t="inlineStr">
        <is>
          <t>RAGUNDA</t>
        </is>
      </c>
      <c r="G987" t="n">
        <v>0.3</v>
      </c>
      <c r="H987" t="n">
        <v>0</v>
      </c>
      <c r="I987" t="n">
        <v>0</v>
      </c>
      <c r="J987" t="n">
        <v>0</v>
      </c>
      <c r="K987" t="n">
        <v>0</v>
      </c>
      <c r="L987" t="n">
        <v>0</v>
      </c>
      <c r="M987" t="n">
        <v>0</v>
      </c>
      <c r="N987" t="n">
        <v>0</v>
      </c>
      <c r="O987" t="n">
        <v>0</v>
      </c>
      <c r="P987" t="n">
        <v>0</v>
      </c>
      <c r="Q987" t="n">
        <v>0</v>
      </c>
      <c r="R987" s="2" t="inlineStr"/>
    </row>
    <row r="988" ht="15" customHeight="1">
      <c r="A988" t="inlineStr">
        <is>
          <t>A 60062-2025</t>
        </is>
      </c>
      <c r="B988" s="1" t="n">
        <v>45993.65694444445</v>
      </c>
      <c r="C988" s="1" t="n">
        <v>46021</v>
      </c>
      <c r="D988" t="inlineStr">
        <is>
          <t>JÄMTLANDS LÄN</t>
        </is>
      </c>
      <c r="E988" t="inlineStr">
        <is>
          <t>RAGUNDA</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7281-2024</t>
        </is>
      </c>
      <c r="B989" s="1" t="n">
        <v>45344</v>
      </c>
      <c r="C989" s="1" t="n">
        <v>46021</v>
      </c>
      <c r="D989" t="inlineStr">
        <is>
          <t>JÄMTLANDS LÄN</t>
        </is>
      </c>
      <c r="E989" t="inlineStr">
        <is>
          <t>RAGUNDA</t>
        </is>
      </c>
      <c r="G989" t="n">
        <v>1.2</v>
      </c>
      <c r="H989" t="n">
        <v>0</v>
      </c>
      <c r="I989" t="n">
        <v>0</v>
      </c>
      <c r="J989" t="n">
        <v>0</v>
      </c>
      <c r="K989" t="n">
        <v>0</v>
      </c>
      <c r="L989" t="n">
        <v>0</v>
      </c>
      <c r="M989" t="n">
        <v>0</v>
      </c>
      <c r="N989" t="n">
        <v>0</v>
      </c>
      <c r="O989" t="n">
        <v>0</v>
      </c>
      <c r="P989" t="n">
        <v>0</v>
      </c>
      <c r="Q989" t="n">
        <v>0</v>
      </c>
      <c r="R989" s="2" t="inlineStr"/>
    </row>
    <row r="990" ht="15" customHeight="1">
      <c r="A990" t="inlineStr">
        <is>
          <t>A 19382-2025</t>
        </is>
      </c>
      <c r="B990" s="1" t="n">
        <v>45769.65659722222</v>
      </c>
      <c r="C990" s="1" t="n">
        <v>46021</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19403-2025</t>
        </is>
      </c>
      <c r="B991" s="1" t="n">
        <v>45769.67790509259</v>
      </c>
      <c r="C991" s="1" t="n">
        <v>46021</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51593-2025</t>
        </is>
      </c>
      <c r="B992" s="1" t="n">
        <v>45951.36548611111</v>
      </c>
      <c r="C992" s="1" t="n">
        <v>46021</v>
      </c>
      <c r="D992" t="inlineStr">
        <is>
          <t>JÄMTLANDS LÄN</t>
        </is>
      </c>
      <c r="E992" t="inlineStr">
        <is>
          <t>RAGUNDA</t>
        </is>
      </c>
      <c r="G992" t="n">
        <v>1.5</v>
      </c>
      <c r="H992" t="n">
        <v>0</v>
      </c>
      <c r="I992" t="n">
        <v>0</v>
      </c>
      <c r="J992" t="n">
        <v>0</v>
      </c>
      <c r="K992" t="n">
        <v>0</v>
      </c>
      <c r="L992" t="n">
        <v>0</v>
      </c>
      <c r="M992" t="n">
        <v>0</v>
      </c>
      <c r="N992" t="n">
        <v>0</v>
      </c>
      <c r="O992" t="n">
        <v>0</v>
      </c>
      <c r="P992" t="n">
        <v>0</v>
      </c>
      <c r="Q992" t="n">
        <v>0</v>
      </c>
      <c r="R992" s="2" t="inlineStr"/>
    </row>
    <row r="993" ht="15" customHeight="1">
      <c r="A993" t="inlineStr">
        <is>
          <t>A 60225-2022</t>
        </is>
      </c>
      <c r="B993" s="1" t="n">
        <v>44903</v>
      </c>
      <c r="C993" s="1" t="n">
        <v>46021</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61045-2022</t>
        </is>
      </c>
      <c r="B994" s="1" t="n">
        <v>44914</v>
      </c>
      <c r="C994" s="1" t="n">
        <v>46021</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34296-2025</t>
        </is>
      </c>
      <c r="B995" s="1" t="n">
        <v>45846.34454861111</v>
      </c>
      <c r="C995" s="1" t="n">
        <v>46021</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52093-2025</t>
        </is>
      </c>
      <c r="B996" s="1" t="n">
        <v>45952.67865740741</v>
      </c>
      <c r="C996" s="1" t="n">
        <v>46021</v>
      </c>
      <c r="D996" t="inlineStr">
        <is>
          <t>JÄMTLANDS LÄN</t>
        </is>
      </c>
      <c r="E996" t="inlineStr">
        <is>
          <t>RAGUNDA</t>
        </is>
      </c>
      <c r="F996" t="inlineStr">
        <is>
          <t>SCA</t>
        </is>
      </c>
      <c r="G996" t="n">
        <v>22.7</v>
      </c>
      <c r="H996" t="n">
        <v>0</v>
      </c>
      <c r="I996" t="n">
        <v>0</v>
      </c>
      <c r="J996" t="n">
        <v>0</v>
      </c>
      <c r="K996" t="n">
        <v>0</v>
      </c>
      <c r="L996" t="n">
        <v>0</v>
      </c>
      <c r="M996" t="n">
        <v>0</v>
      </c>
      <c r="N996" t="n">
        <v>0</v>
      </c>
      <c r="O996" t="n">
        <v>0</v>
      </c>
      <c r="P996" t="n">
        <v>0</v>
      </c>
      <c r="Q996" t="n">
        <v>0</v>
      </c>
      <c r="R996" s="2" t="inlineStr"/>
    </row>
    <row r="997" ht="15" customHeight="1">
      <c r="A997" t="inlineStr">
        <is>
          <t>A 34461-2025</t>
        </is>
      </c>
      <c r="B997" s="1" t="n">
        <v>45847.34474537037</v>
      </c>
      <c r="C997" s="1" t="n">
        <v>46021</v>
      </c>
      <c r="D997" t="inlineStr">
        <is>
          <t>JÄMTLANDS LÄN</t>
        </is>
      </c>
      <c r="E997" t="inlineStr">
        <is>
          <t>RAGUNDA</t>
        </is>
      </c>
      <c r="F997" t="inlineStr">
        <is>
          <t>SCA</t>
        </is>
      </c>
      <c r="G997" t="n">
        <v>44.8</v>
      </c>
      <c r="H997" t="n">
        <v>0</v>
      </c>
      <c r="I997" t="n">
        <v>0</v>
      </c>
      <c r="J997" t="n">
        <v>0</v>
      </c>
      <c r="K997" t="n">
        <v>0</v>
      </c>
      <c r="L997" t="n">
        <v>0</v>
      </c>
      <c r="M997" t="n">
        <v>0</v>
      </c>
      <c r="N997" t="n">
        <v>0</v>
      </c>
      <c r="O997" t="n">
        <v>0</v>
      </c>
      <c r="P997" t="n">
        <v>0</v>
      </c>
      <c r="Q997" t="n">
        <v>0</v>
      </c>
      <c r="R997" s="2" t="inlineStr"/>
    </row>
    <row r="998" ht="15" customHeight="1">
      <c r="A998" t="inlineStr">
        <is>
          <t>A 34464-2025</t>
        </is>
      </c>
      <c r="B998" s="1" t="n">
        <v>45847.34528935186</v>
      </c>
      <c r="C998" s="1" t="n">
        <v>46021</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16320-2025</t>
        </is>
      </c>
      <c r="B999" s="1" t="n">
        <v>45751.34859953704</v>
      </c>
      <c r="C999" s="1" t="n">
        <v>46021</v>
      </c>
      <c r="D999" t="inlineStr">
        <is>
          <t>JÄMTLANDS LÄN</t>
        </is>
      </c>
      <c r="E999" t="inlineStr">
        <is>
          <t>RAGUNDA</t>
        </is>
      </c>
      <c r="F999" t="inlineStr">
        <is>
          <t>SCA</t>
        </is>
      </c>
      <c r="G999" t="n">
        <v>16.2</v>
      </c>
      <c r="H999" t="n">
        <v>0</v>
      </c>
      <c r="I999" t="n">
        <v>0</v>
      </c>
      <c r="J999" t="n">
        <v>0</v>
      </c>
      <c r="K999" t="n">
        <v>0</v>
      </c>
      <c r="L999" t="n">
        <v>0</v>
      </c>
      <c r="M999" t="n">
        <v>0</v>
      </c>
      <c r="N999" t="n">
        <v>0</v>
      </c>
      <c r="O999" t="n">
        <v>0</v>
      </c>
      <c r="P999" t="n">
        <v>0</v>
      </c>
      <c r="Q999" t="n">
        <v>0</v>
      </c>
      <c r="R999" s="2" t="inlineStr"/>
    </row>
    <row r="1000" ht="15" customHeight="1">
      <c r="A1000" t="inlineStr">
        <is>
          <t>A 34468-2025</t>
        </is>
      </c>
      <c r="B1000" s="1" t="n">
        <v>45847.34597222223</v>
      </c>
      <c r="C1000" s="1" t="n">
        <v>46021</v>
      </c>
      <c r="D1000" t="inlineStr">
        <is>
          <t>JÄMTLANDS LÄN</t>
        </is>
      </c>
      <c r="E1000" t="inlineStr">
        <is>
          <t>RAGUNDA</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34586-2025</t>
        </is>
      </c>
      <c r="B1001" s="1" t="n">
        <v>45847.61513888889</v>
      </c>
      <c r="C1001" s="1" t="n">
        <v>46021</v>
      </c>
      <c r="D1001" t="inlineStr">
        <is>
          <t>JÄMTLANDS LÄN</t>
        </is>
      </c>
      <c r="E1001" t="inlineStr">
        <is>
          <t>RAGUNDA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34607-2025</t>
        </is>
      </c>
      <c r="B1002" s="1" t="n">
        <v>45847.65703703704</v>
      </c>
      <c r="C1002" s="1" t="n">
        <v>46021</v>
      </c>
      <c r="D1002" t="inlineStr">
        <is>
          <t>JÄMTLANDS LÄN</t>
        </is>
      </c>
      <c r="E1002" t="inlineStr">
        <is>
          <t>RAGUNDA</t>
        </is>
      </c>
      <c r="F1002" t="inlineStr">
        <is>
          <t>SCA</t>
        </is>
      </c>
      <c r="G1002" t="n">
        <v>31.4</v>
      </c>
      <c r="H1002" t="n">
        <v>0</v>
      </c>
      <c r="I1002" t="n">
        <v>0</v>
      </c>
      <c r="J1002" t="n">
        <v>0</v>
      </c>
      <c r="K1002" t="n">
        <v>0</v>
      </c>
      <c r="L1002" t="n">
        <v>0</v>
      </c>
      <c r="M1002" t="n">
        <v>0</v>
      </c>
      <c r="N1002" t="n">
        <v>0</v>
      </c>
      <c r="O1002" t="n">
        <v>0</v>
      </c>
      <c r="P1002" t="n">
        <v>0</v>
      </c>
      <c r="Q1002" t="n">
        <v>0</v>
      </c>
      <c r="R1002" s="2" t="inlineStr"/>
    </row>
    <row r="1003" ht="15" customHeight="1">
      <c r="A1003" t="inlineStr">
        <is>
          <t>A 34772-2025</t>
        </is>
      </c>
      <c r="B1003" s="1" t="n">
        <v>45848.65658564815</v>
      </c>
      <c r="C1003" s="1" t="n">
        <v>46021</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34466-2025</t>
        </is>
      </c>
      <c r="B1004" s="1" t="n">
        <v>45847.34565972222</v>
      </c>
      <c r="C1004" s="1" t="n">
        <v>46021</v>
      </c>
      <c r="D1004" t="inlineStr">
        <is>
          <t>JÄMTLANDS LÄN</t>
        </is>
      </c>
      <c r="E1004" t="inlineStr">
        <is>
          <t>RAGUNDA</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52122-2025</t>
        </is>
      </c>
      <c r="B1005" s="1" t="n">
        <v>45952.71946759259</v>
      </c>
      <c r="C1005" s="1" t="n">
        <v>46021</v>
      </c>
      <c r="D1005" t="inlineStr">
        <is>
          <t>JÄMTLANDS LÄN</t>
        </is>
      </c>
      <c r="E1005" t="inlineStr">
        <is>
          <t>RAGUNDA</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51882-2025</t>
        </is>
      </c>
      <c r="B1006" s="1" t="n">
        <v>45952.40685185185</v>
      </c>
      <c r="C1006" s="1" t="n">
        <v>46021</v>
      </c>
      <c r="D1006" t="inlineStr">
        <is>
          <t>JÄMTLANDS LÄN</t>
        </is>
      </c>
      <c r="E1006" t="inlineStr">
        <is>
          <t>RAGUNDA</t>
        </is>
      </c>
      <c r="F1006" t="inlineStr">
        <is>
          <t>SCA</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51903-2025</t>
        </is>
      </c>
      <c r="B1007" s="1" t="n">
        <v>45952.44857638889</v>
      </c>
      <c r="C1007" s="1" t="n">
        <v>46021</v>
      </c>
      <c r="D1007" t="inlineStr">
        <is>
          <t>JÄMTLANDS LÄN</t>
        </is>
      </c>
      <c r="E1007" t="inlineStr">
        <is>
          <t>RAGUNDA</t>
        </is>
      </c>
      <c r="F1007" t="inlineStr">
        <is>
          <t>SCA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11557-2023</t>
        </is>
      </c>
      <c r="B1008" s="1" t="n">
        <v>44993.94950231481</v>
      </c>
      <c r="C1008" s="1" t="n">
        <v>46021</v>
      </c>
      <c r="D1008" t="inlineStr">
        <is>
          <t>JÄMTLANDS LÄN</t>
        </is>
      </c>
      <c r="E1008" t="inlineStr">
        <is>
          <t>RAGUNDA</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11562-2023</t>
        </is>
      </c>
      <c r="B1009" s="1" t="n">
        <v>44993</v>
      </c>
      <c r="C1009" s="1" t="n">
        <v>46021</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34588-2025</t>
        </is>
      </c>
      <c r="B1010" s="1" t="n">
        <v>45847.61548611111</v>
      </c>
      <c r="C1010" s="1" t="n">
        <v>46021</v>
      </c>
      <c r="D1010" t="inlineStr">
        <is>
          <t>JÄMTLANDS LÄN</t>
        </is>
      </c>
      <c r="E1010" t="inlineStr">
        <is>
          <t>RAGUNDA</t>
        </is>
      </c>
      <c r="G1010" t="n">
        <v>32.3</v>
      </c>
      <c r="H1010" t="n">
        <v>0</v>
      </c>
      <c r="I1010" t="n">
        <v>0</v>
      </c>
      <c r="J1010" t="n">
        <v>0</v>
      </c>
      <c r="K1010" t="n">
        <v>0</v>
      </c>
      <c r="L1010" t="n">
        <v>0</v>
      </c>
      <c r="M1010" t="n">
        <v>0</v>
      </c>
      <c r="N1010" t="n">
        <v>0</v>
      </c>
      <c r="O1010" t="n">
        <v>0</v>
      </c>
      <c r="P1010" t="n">
        <v>0</v>
      </c>
      <c r="Q1010" t="n">
        <v>0</v>
      </c>
      <c r="R1010" s="2" t="inlineStr"/>
    </row>
    <row r="1011" ht="15" customHeight="1">
      <c r="A1011" t="inlineStr">
        <is>
          <t>A 59931-2025</t>
        </is>
      </c>
      <c r="B1011" s="1" t="n">
        <v>45993.40177083333</v>
      </c>
      <c r="C1011" s="1" t="n">
        <v>46021</v>
      </c>
      <c r="D1011" t="inlineStr">
        <is>
          <t>JÄMTLANDS LÄN</t>
        </is>
      </c>
      <c r="E1011" t="inlineStr">
        <is>
          <t>RAGUNDA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34463-2025</t>
        </is>
      </c>
      <c r="B1012" s="1" t="n">
        <v>45847.34515046296</v>
      </c>
      <c r="C1012" s="1" t="n">
        <v>46021</v>
      </c>
      <c r="D1012" t="inlineStr">
        <is>
          <t>JÄMTLANDS LÄN</t>
        </is>
      </c>
      <c r="E1012" t="inlineStr">
        <is>
          <t>RAGUNDA</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34710-2025</t>
        </is>
      </c>
      <c r="B1013" s="1" t="n">
        <v>45848.49774305556</v>
      </c>
      <c r="C1013" s="1" t="n">
        <v>46021</v>
      </c>
      <c r="D1013" t="inlineStr">
        <is>
          <t>JÄMTLANDS LÄN</t>
        </is>
      </c>
      <c r="E1013" t="inlineStr">
        <is>
          <t>RAGUNDA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51932-2025</t>
        </is>
      </c>
      <c r="B1014" s="1" t="n">
        <v>45952.51094907407</v>
      </c>
      <c r="C1014" s="1" t="n">
        <v>46021</v>
      </c>
      <c r="D1014" t="inlineStr">
        <is>
          <t>JÄMTLANDS LÄN</t>
        </is>
      </c>
      <c r="E1014" t="inlineStr">
        <is>
          <t>RAGUNDA</t>
        </is>
      </c>
      <c r="F1014" t="inlineStr">
        <is>
          <t>SCA</t>
        </is>
      </c>
      <c r="G1014" t="n">
        <v>39.2</v>
      </c>
      <c r="H1014" t="n">
        <v>0</v>
      </c>
      <c r="I1014" t="n">
        <v>0</v>
      </c>
      <c r="J1014" t="n">
        <v>0</v>
      </c>
      <c r="K1014" t="n">
        <v>0</v>
      </c>
      <c r="L1014" t="n">
        <v>0</v>
      </c>
      <c r="M1014" t="n">
        <v>0</v>
      </c>
      <c r="N1014" t="n">
        <v>0</v>
      </c>
      <c r="O1014" t="n">
        <v>0</v>
      </c>
      <c r="P1014" t="n">
        <v>0</v>
      </c>
      <c r="Q1014" t="n">
        <v>0</v>
      </c>
      <c r="R1014" s="2" t="inlineStr"/>
    </row>
    <row r="1015" ht="15" customHeight="1">
      <c r="A1015" t="inlineStr">
        <is>
          <t>A 60128-2025</t>
        </is>
      </c>
      <c r="B1015" s="1" t="n">
        <v>45994.34456018519</v>
      </c>
      <c r="C1015" s="1" t="n">
        <v>46021</v>
      </c>
      <c r="D1015" t="inlineStr">
        <is>
          <t>JÄMTLANDS LÄN</t>
        </is>
      </c>
      <c r="E1015" t="inlineStr">
        <is>
          <t>RAGUNDA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34709-2025</t>
        </is>
      </c>
      <c r="B1016" s="1" t="n">
        <v>45848.49761574074</v>
      </c>
      <c r="C1016" s="1" t="n">
        <v>46021</v>
      </c>
      <c r="D1016" t="inlineStr">
        <is>
          <t>JÄMTLANDS LÄN</t>
        </is>
      </c>
      <c r="E1016" t="inlineStr">
        <is>
          <t>RAGUNDA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57915-2025</t>
        </is>
      </c>
      <c r="B1017" s="1" t="n">
        <v>45981</v>
      </c>
      <c r="C1017" s="1" t="n">
        <v>46021</v>
      </c>
      <c r="D1017" t="inlineStr">
        <is>
          <t>JÄMTLANDS LÄN</t>
        </is>
      </c>
      <c r="E1017" t="inlineStr">
        <is>
          <t>RAGUNDA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5175-2023</t>
        </is>
      </c>
      <c r="B1018" s="1" t="n">
        <v>44958.94298611111</v>
      </c>
      <c r="C1018" s="1" t="n">
        <v>46021</v>
      </c>
      <c r="D1018" t="inlineStr">
        <is>
          <t>JÄMTLANDS LÄN</t>
        </is>
      </c>
      <c r="E1018" t="inlineStr">
        <is>
          <t>RAGUNDA</t>
        </is>
      </c>
      <c r="F1018" t="inlineStr">
        <is>
          <t>SCA</t>
        </is>
      </c>
      <c r="G1018" t="n">
        <v>17.9</v>
      </c>
      <c r="H1018" t="n">
        <v>0</v>
      </c>
      <c r="I1018" t="n">
        <v>0</v>
      </c>
      <c r="J1018" t="n">
        <v>0</v>
      </c>
      <c r="K1018" t="n">
        <v>0</v>
      </c>
      <c r="L1018" t="n">
        <v>0</v>
      </c>
      <c r="M1018" t="n">
        <v>0</v>
      </c>
      <c r="N1018" t="n">
        <v>0</v>
      </c>
      <c r="O1018" t="n">
        <v>0</v>
      </c>
      <c r="P1018" t="n">
        <v>0</v>
      </c>
      <c r="Q1018" t="n">
        <v>0</v>
      </c>
      <c r="R1018" s="2" t="inlineStr"/>
    </row>
    <row r="1019" ht="15" customHeight="1">
      <c r="A1019" t="inlineStr">
        <is>
          <t>A 35092-2025</t>
        </is>
      </c>
      <c r="B1019" s="1" t="n">
        <v>45852.53185185185</v>
      </c>
      <c r="C1019" s="1" t="n">
        <v>46021</v>
      </c>
      <c r="D1019" t="inlineStr">
        <is>
          <t>JÄMTLANDS LÄN</t>
        </is>
      </c>
      <c r="E1019" t="inlineStr">
        <is>
          <t>RAGUNDA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34998-2025</t>
        </is>
      </c>
      <c r="B1020" s="1" t="n">
        <v>45850.34434027778</v>
      </c>
      <c r="C1020" s="1" t="n">
        <v>46021</v>
      </c>
      <c r="D1020" t="inlineStr">
        <is>
          <t>JÄMTLANDS LÄN</t>
        </is>
      </c>
      <c r="E1020" t="inlineStr">
        <is>
          <t>RAGUNDA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34968-2025</t>
        </is>
      </c>
      <c r="B1021" s="1" t="n">
        <v>45849.65663194445</v>
      </c>
      <c r="C1021" s="1" t="n">
        <v>46021</v>
      </c>
      <c r="D1021" t="inlineStr">
        <is>
          <t>JÄMTLANDS LÄN</t>
        </is>
      </c>
      <c r="E1021" t="inlineStr">
        <is>
          <t>RAGUNDA</t>
        </is>
      </c>
      <c r="F1021" t="inlineStr">
        <is>
          <t>SCA</t>
        </is>
      </c>
      <c r="G1021" t="n">
        <v>20.2</v>
      </c>
      <c r="H1021" t="n">
        <v>0</v>
      </c>
      <c r="I1021" t="n">
        <v>0</v>
      </c>
      <c r="J1021" t="n">
        <v>0</v>
      </c>
      <c r="K1021" t="n">
        <v>0</v>
      </c>
      <c r="L1021" t="n">
        <v>0</v>
      </c>
      <c r="M1021" t="n">
        <v>0</v>
      </c>
      <c r="N1021" t="n">
        <v>0</v>
      </c>
      <c r="O1021" t="n">
        <v>0</v>
      </c>
      <c r="P1021" t="n">
        <v>0</v>
      </c>
      <c r="Q1021" t="n">
        <v>0</v>
      </c>
      <c r="R1021" s="2" t="inlineStr"/>
    </row>
    <row r="1022" ht="15" customHeight="1">
      <c r="A1022" t="inlineStr">
        <is>
          <t>A 34999-2025</t>
        </is>
      </c>
      <c r="B1022" s="1" t="n">
        <v>45850.34450231482</v>
      </c>
      <c r="C1022" s="1" t="n">
        <v>46021</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35091-2025</t>
        </is>
      </c>
      <c r="B1023" s="1" t="n">
        <v>45852.53168981482</v>
      </c>
      <c r="C1023" s="1" t="n">
        <v>46021</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41343-2024</t>
        </is>
      </c>
      <c r="B1024" s="1" t="n">
        <v>45559.67745370371</v>
      </c>
      <c r="C1024" s="1" t="n">
        <v>46021</v>
      </c>
      <c r="D1024" t="inlineStr">
        <is>
          <t>JÄMTLANDS LÄN</t>
        </is>
      </c>
      <c r="E1024" t="inlineStr">
        <is>
          <t>RAGUNDA</t>
        </is>
      </c>
      <c r="F1024" t="inlineStr">
        <is>
          <t>SCA</t>
        </is>
      </c>
      <c r="G1024" t="n">
        <v>25.1</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44995.98341435185</v>
      </c>
      <c r="C1025" s="1" t="n">
        <v>46021</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12050-2023</t>
        </is>
      </c>
      <c r="B1026" s="1" t="n">
        <v>44995.98644675926</v>
      </c>
      <c r="C1026" s="1" t="n">
        <v>46021</v>
      </c>
      <c r="D1026" t="inlineStr">
        <is>
          <t>JÄMTLANDS LÄN</t>
        </is>
      </c>
      <c r="E1026" t="inlineStr">
        <is>
          <t>RAGUNDA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35355-2025</t>
        </is>
      </c>
      <c r="B1027" s="1" t="n">
        <v>45854.65663194445</v>
      </c>
      <c r="C1027" s="1" t="n">
        <v>46021</v>
      </c>
      <c r="D1027" t="inlineStr">
        <is>
          <t>JÄMTLANDS LÄN</t>
        </is>
      </c>
      <c r="E1027" t="inlineStr">
        <is>
          <t>RAGUNDA</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2751-2024</t>
        </is>
      </c>
      <c r="B1028" s="1" t="n">
        <v>45314</v>
      </c>
      <c r="C1028" s="1" t="n">
        <v>46021</v>
      </c>
      <c r="D1028" t="inlineStr">
        <is>
          <t>JÄMTLANDS LÄN</t>
        </is>
      </c>
      <c r="E1028" t="inlineStr">
        <is>
          <t>RAGUNDA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36986-2023</t>
        </is>
      </c>
      <c r="B1029" s="1" t="n">
        <v>45154.95525462963</v>
      </c>
      <c r="C1029" s="1" t="n">
        <v>46021</v>
      </c>
      <c r="D1029" t="inlineStr">
        <is>
          <t>JÄMTLANDS LÄN</t>
        </is>
      </c>
      <c r="E1029" t="inlineStr">
        <is>
          <t>RAGUNDA</t>
        </is>
      </c>
      <c r="F1029" t="inlineStr">
        <is>
          <t>SCA</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60389-2025</t>
        </is>
      </c>
      <c r="B1030" s="1" t="n">
        <v>45995.38628472222</v>
      </c>
      <c r="C1030" s="1" t="n">
        <v>46021</v>
      </c>
      <c r="D1030" t="inlineStr">
        <is>
          <t>JÄMTLANDS LÄN</t>
        </is>
      </c>
      <c r="E1030" t="inlineStr">
        <is>
          <t>RAGUNDA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14368-2024</t>
        </is>
      </c>
      <c r="B1031" s="1" t="n">
        <v>45393.94431712963</v>
      </c>
      <c r="C1031" s="1" t="n">
        <v>46021</v>
      </c>
      <c r="D1031" t="inlineStr">
        <is>
          <t>JÄMTLANDS LÄN</t>
        </is>
      </c>
      <c r="E1031" t="inlineStr">
        <is>
          <t>RAGUNDA</t>
        </is>
      </c>
      <c r="F1031" t="inlineStr">
        <is>
          <t>Naturvårdsverket</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35477-2025</t>
        </is>
      </c>
      <c r="B1032" s="1" t="n">
        <v>45855.67899305555</v>
      </c>
      <c r="C1032" s="1" t="n">
        <v>46021</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35541-2025</t>
        </is>
      </c>
      <c r="B1033" s="1" t="n">
        <v>45856.46931712963</v>
      </c>
      <c r="C1033" s="1" t="n">
        <v>46021</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35462-2025</t>
        </is>
      </c>
      <c r="B1034" s="1" t="n">
        <v>45855.61523148148</v>
      </c>
      <c r="C1034" s="1" t="n">
        <v>46021</v>
      </c>
      <c r="D1034" t="inlineStr">
        <is>
          <t>JÄMTLANDS LÄN</t>
        </is>
      </c>
      <c r="E1034" t="inlineStr">
        <is>
          <t>RAGUNDA</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18159-2023</t>
        </is>
      </c>
      <c r="B1035" s="1" t="n">
        <v>45040.94277777777</v>
      </c>
      <c r="C1035" s="1" t="n">
        <v>46021</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35689-2025</t>
        </is>
      </c>
      <c r="B1036" s="1" t="n">
        <v>45860.30229166667</v>
      </c>
      <c r="C1036" s="1" t="n">
        <v>46021</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46021</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35658-2025</t>
        </is>
      </c>
      <c r="B1038" s="1" t="n">
        <v>45859.594375</v>
      </c>
      <c r="C1038" s="1" t="n">
        <v>46021</v>
      </c>
      <c r="D1038" t="inlineStr">
        <is>
          <t>JÄMTLANDS LÄN</t>
        </is>
      </c>
      <c r="E1038" t="inlineStr">
        <is>
          <t>RAGUNDA</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60387-2025</t>
        </is>
      </c>
      <c r="B1039" s="1" t="n">
        <v>45995.38611111111</v>
      </c>
      <c r="C1039" s="1" t="n">
        <v>46021</v>
      </c>
      <c r="D1039" t="inlineStr">
        <is>
          <t>JÄMTLANDS LÄN</t>
        </is>
      </c>
      <c r="E1039" t="inlineStr">
        <is>
          <t>RAGUNDA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37543-2023</t>
        </is>
      </c>
      <c r="B1040" s="1" t="n">
        <v>45158.94231481481</v>
      </c>
      <c r="C1040" s="1" t="n">
        <v>46021</v>
      </c>
      <c r="D1040" t="inlineStr">
        <is>
          <t>JÄMTLANDS LÄN</t>
        </is>
      </c>
      <c r="E1040" t="inlineStr">
        <is>
          <t>RAGUNDA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52317-2025</t>
        </is>
      </c>
      <c r="B1041" s="1" t="n">
        <v>45953.65675925926</v>
      </c>
      <c r="C1041" s="1" t="n">
        <v>46021</v>
      </c>
      <c r="D1041" t="inlineStr">
        <is>
          <t>JÄMTLANDS LÄN</t>
        </is>
      </c>
      <c r="E1041" t="inlineStr">
        <is>
          <t>RAGUNDA</t>
        </is>
      </c>
      <c r="F1041" t="inlineStr">
        <is>
          <t>SCA</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52330-2025</t>
        </is>
      </c>
      <c r="B1042" s="1" t="n">
        <v>45953.67752314815</v>
      </c>
      <c r="C1042" s="1" t="n">
        <v>46021</v>
      </c>
      <c r="D1042" t="inlineStr">
        <is>
          <t>JÄMTLANDS LÄN</t>
        </is>
      </c>
      <c r="E1042" t="inlineStr">
        <is>
          <t>RAGUNDA</t>
        </is>
      </c>
      <c r="F1042" t="inlineStr">
        <is>
          <t>SCA</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53171-2024</t>
        </is>
      </c>
      <c r="B1043" s="1" t="n">
        <v>45611.65679398148</v>
      </c>
      <c r="C1043" s="1" t="n">
        <v>46021</v>
      </c>
      <c r="D1043" t="inlineStr">
        <is>
          <t>JÄMTLANDS LÄN</t>
        </is>
      </c>
      <c r="E1043" t="inlineStr">
        <is>
          <t>RAGUNDA</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1523-2024</t>
        </is>
      </c>
      <c r="B1044" s="1" t="n">
        <v>45306</v>
      </c>
      <c r="C1044" s="1" t="n">
        <v>46021</v>
      </c>
      <c r="D1044" t="inlineStr">
        <is>
          <t>JÄMTLANDS LÄN</t>
        </is>
      </c>
      <c r="E1044" t="inlineStr">
        <is>
          <t>RAGUNDA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64265-2023</t>
        </is>
      </c>
      <c r="B1045" s="1" t="n">
        <v>45279.94572916667</v>
      </c>
      <c r="C1045" s="1" t="n">
        <v>46021</v>
      </c>
      <c r="D1045" t="inlineStr">
        <is>
          <t>JÄMTLANDS LÄN</t>
        </is>
      </c>
      <c r="E1045" t="inlineStr">
        <is>
          <t>RAGUNDA</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44605-2024</t>
        </is>
      </c>
      <c r="B1046" s="1" t="n">
        <v>45574.51185185185</v>
      </c>
      <c r="C1046" s="1" t="n">
        <v>46021</v>
      </c>
      <c r="D1046" t="inlineStr">
        <is>
          <t>JÄMTLANDS LÄN</t>
        </is>
      </c>
      <c r="E1046" t="inlineStr">
        <is>
          <t>RAGUNDA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54092-2024</t>
        </is>
      </c>
      <c r="B1047" s="1" t="n">
        <v>45616.5108912037</v>
      </c>
      <c r="C1047" s="1" t="n">
        <v>46021</v>
      </c>
      <c r="D1047" t="inlineStr">
        <is>
          <t>JÄMTLANDS LÄN</t>
        </is>
      </c>
      <c r="E1047" t="inlineStr">
        <is>
          <t>RAGUNDA</t>
        </is>
      </c>
      <c r="F1047" t="inlineStr">
        <is>
          <t>Naturvårdsverket</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60630-2025</t>
        </is>
      </c>
      <c r="B1048" s="1" t="n">
        <v>45996.42120370371</v>
      </c>
      <c r="C1048" s="1" t="n">
        <v>46021</v>
      </c>
      <c r="D1048" t="inlineStr">
        <is>
          <t>JÄMTLANDS LÄN</t>
        </is>
      </c>
      <c r="E1048" t="inlineStr">
        <is>
          <t>RAGUNDA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52395-2025</t>
        </is>
      </c>
      <c r="B1049" s="1" t="n">
        <v>45954.34487268519</v>
      </c>
      <c r="C1049" s="1" t="n">
        <v>46021</v>
      </c>
      <c r="D1049" t="inlineStr">
        <is>
          <t>JÄMTLANDS LÄN</t>
        </is>
      </c>
      <c r="E1049" t="inlineStr">
        <is>
          <t>RAGUNDA</t>
        </is>
      </c>
      <c r="F1049" t="inlineStr">
        <is>
          <t>SCA</t>
        </is>
      </c>
      <c r="G1049" t="n">
        <v>14.2</v>
      </c>
      <c r="H1049" t="n">
        <v>0</v>
      </c>
      <c r="I1049" t="n">
        <v>0</v>
      </c>
      <c r="J1049" t="n">
        <v>0</v>
      </c>
      <c r="K1049" t="n">
        <v>0</v>
      </c>
      <c r="L1049" t="n">
        <v>0</v>
      </c>
      <c r="M1049" t="n">
        <v>0</v>
      </c>
      <c r="N1049" t="n">
        <v>0</v>
      </c>
      <c r="O1049" t="n">
        <v>0</v>
      </c>
      <c r="P1049" t="n">
        <v>0</v>
      </c>
      <c r="Q1049" t="n">
        <v>0</v>
      </c>
      <c r="R1049" s="2" t="inlineStr"/>
    </row>
    <row r="1050" ht="15" customHeight="1">
      <c r="A1050" t="inlineStr">
        <is>
          <t>A 53032-2025</t>
        </is>
      </c>
      <c r="B1050" s="1" t="n">
        <v>45958.34462962963</v>
      </c>
      <c r="C1050" s="1" t="n">
        <v>46021</v>
      </c>
      <c r="D1050" t="inlineStr">
        <is>
          <t>JÄMTLANDS LÄN</t>
        </is>
      </c>
      <c r="E1050" t="inlineStr">
        <is>
          <t>RAGUNDA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53076-2025</t>
        </is>
      </c>
      <c r="B1051" s="1" t="n">
        <v>45958.38604166666</v>
      </c>
      <c r="C1051" s="1" t="n">
        <v>46021</v>
      </c>
      <c r="D1051" t="inlineStr">
        <is>
          <t>JÄMTLANDS LÄN</t>
        </is>
      </c>
      <c r="E1051" t="inlineStr">
        <is>
          <t>RAGUNDA</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53136-2024</t>
        </is>
      </c>
      <c r="B1052" s="1" t="n">
        <v>45611.5953125</v>
      </c>
      <c r="C1052" s="1" t="n">
        <v>46021</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52228-2024</t>
        </is>
      </c>
      <c r="B1053" s="1" t="n">
        <v>45608.6078587963</v>
      </c>
      <c r="C1053" s="1" t="n">
        <v>46021</v>
      </c>
      <c r="D1053" t="inlineStr">
        <is>
          <t>JÄMTLANDS LÄN</t>
        </is>
      </c>
      <c r="E1053" t="inlineStr">
        <is>
          <t>RAGUNDA</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36541-2025</t>
        </is>
      </c>
      <c r="B1054" s="1" t="n">
        <v>45869.65666666667</v>
      </c>
      <c r="C1054" s="1" t="n">
        <v>46021</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36544-2025</t>
        </is>
      </c>
      <c r="B1055" s="1" t="n">
        <v>45869.67744212963</v>
      </c>
      <c r="C1055" s="1" t="n">
        <v>46021</v>
      </c>
      <c r="D1055" t="inlineStr">
        <is>
          <t>JÄMTLANDS LÄN</t>
        </is>
      </c>
      <c r="E1055" t="inlineStr">
        <is>
          <t>RAGUNDA</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59372-2024</t>
        </is>
      </c>
      <c r="B1056" s="1" t="n">
        <v>45638.34431712963</v>
      </c>
      <c r="C1056" s="1" t="n">
        <v>46021</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36553-2025</t>
        </is>
      </c>
      <c r="B1057" s="1" t="n">
        <v>45870.34439814815</v>
      </c>
      <c r="C1057" s="1" t="n">
        <v>46021</v>
      </c>
      <c r="D1057" t="inlineStr">
        <is>
          <t>JÄMTLANDS LÄN</t>
        </is>
      </c>
      <c r="E1057" t="inlineStr">
        <is>
          <t>RAGUNDA</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60775-2025</t>
        </is>
      </c>
      <c r="B1058" s="1" t="n">
        <v>45999.3905787037</v>
      </c>
      <c r="C1058" s="1" t="n">
        <v>46021</v>
      </c>
      <c r="D1058" t="inlineStr">
        <is>
          <t>JÄMTLANDS LÄN</t>
        </is>
      </c>
      <c r="E1058" t="inlineStr">
        <is>
          <t>RAGUNDA</t>
        </is>
      </c>
      <c r="G1058" t="n">
        <v>15.7</v>
      </c>
      <c r="H1058" t="n">
        <v>0</v>
      </c>
      <c r="I1058" t="n">
        <v>0</v>
      </c>
      <c r="J1058" t="n">
        <v>0</v>
      </c>
      <c r="K1058" t="n">
        <v>0</v>
      </c>
      <c r="L1058" t="n">
        <v>0</v>
      </c>
      <c r="M1058" t="n">
        <v>0</v>
      </c>
      <c r="N1058" t="n">
        <v>0</v>
      </c>
      <c r="O1058" t="n">
        <v>0</v>
      </c>
      <c r="P1058" t="n">
        <v>0</v>
      </c>
      <c r="Q1058" t="n">
        <v>0</v>
      </c>
      <c r="R1058" s="2" t="inlineStr"/>
    </row>
    <row r="1059" ht="15" customHeight="1">
      <c r="A1059" t="inlineStr">
        <is>
          <t>A 62115-2024</t>
        </is>
      </c>
      <c r="B1059" s="1" t="n">
        <v>45656</v>
      </c>
      <c r="C1059" s="1" t="n">
        <v>46021</v>
      </c>
      <c r="D1059" t="inlineStr">
        <is>
          <t>JÄMTLANDS LÄN</t>
        </is>
      </c>
      <c r="E1059" t="inlineStr">
        <is>
          <t>RAGUNDA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4594-2024</t>
        </is>
      </c>
      <c r="B1060" s="1" t="n">
        <v>45327.94459490741</v>
      </c>
      <c r="C1060" s="1" t="n">
        <v>46021</v>
      </c>
      <c r="D1060" t="inlineStr">
        <is>
          <t>JÄMTLANDS LÄN</t>
        </is>
      </c>
      <c r="E1060" t="inlineStr">
        <is>
          <t>RAGUNDA</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3018-2024</t>
        </is>
      </c>
      <c r="B1061" s="1" t="n">
        <v>45315.9492824074</v>
      </c>
      <c r="C1061" s="1" t="n">
        <v>46021</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52394-2025</t>
        </is>
      </c>
      <c r="B1062" s="1" t="n">
        <v>45954.34466435185</v>
      </c>
      <c r="C1062" s="1" t="n">
        <v>46021</v>
      </c>
      <c r="D1062" t="inlineStr">
        <is>
          <t>JÄMTLANDS LÄN</t>
        </is>
      </c>
      <c r="E1062" t="inlineStr">
        <is>
          <t>RAGUNDA</t>
        </is>
      </c>
      <c r="F1062" t="inlineStr">
        <is>
          <t>SCA</t>
        </is>
      </c>
      <c r="G1062" t="n">
        <v>53.8</v>
      </c>
      <c r="H1062" t="n">
        <v>0</v>
      </c>
      <c r="I1062" t="n">
        <v>0</v>
      </c>
      <c r="J1062" t="n">
        <v>0</v>
      </c>
      <c r="K1062" t="n">
        <v>0</v>
      </c>
      <c r="L1062" t="n">
        <v>0</v>
      </c>
      <c r="M1062" t="n">
        <v>0</v>
      </c>
      <c r="N1062" t="n">
        <v>0</v>
      </c>
      <c r="O1062" t="n">
        <v>0</v>
      </c>
      <c r="P1062" t="n">
        <v>0</v>
      </c>
      <c r="Q1062" t="n">
        <v>0</v>
      </c>
      <c r="R1062" s="2" t="inlineStr"/>
    </row>
    <row r="1063" ht="15" customHeight="1">
      <c r="A1063" t="inlineStr">
        <is>
          <t>A 48065-2023</t>
        </is>
      </c>
      <c r="B1063" s="1" t="n">
        <v>45204.94399305555</v>
      </c>
      <c r="C1063" s="1" t="n">
        <v>46021</v>
      </c>
      <c r="D1063" t="inlineStr">
        <is>
          <t>JÄMTLANDS LÄN</t>
        </is>
      </c>
      <c r="E1063" t="inlineStr">
        <is>
          <t>RAGUNDA</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44597-2024</t>
        </is>
      </c>
      <c r="B1064" s="1" t="n">
        <v>45574.51087962963</v>
      </c>
      <c r="C1064" s="1" t="n">
        <v>46021</v>
      </c>
      <c r="D1064" t="inlineStr">
        <is>
          <t>JÄMTLANDS LÄN</t>
        </is>
      </c>
      <c r="E1064" t="inlineStr">
        <is>
          <t>RAGUNDA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44598-2024</t>
        </is>
      </c>
      <c r="B1065" s="1" t="n">
        <v>45574.51090277778</v>
      </c>
      <c r="C1065" s="1" t="n">
        <v>46021</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49659-2023</t>
        </is>
      </c>
      <c r="B1066" s="1" t="n">
        <v>45211.95134259259</v>
      </c>
      <c r="C1066" s="1" t="n">
        <v>46021</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23734-2024</t>
        </is>
      </c>
      <c r="B1067" s="1" t="n">
        <v>45454.95960648148</v>
      </c>
      <c r="C1067" s="1" t="n">
        <v>46021</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12653-2024</t>
        </is>
      </c>
      <c r="B1068" s="1" t="n">
        <v>45384</v>
      </c>
      <c r="C1068" s="1" t="n">
        <v>46021</v>
      </c>
      <c r="D1068" t="inlineStr">
        <is>
          <t>JÄMTLANDS LÄN</t>
        </is>
      </c>
      <c r="E1068" t="inlineStr">
        <is>
          <t>RAGUNDA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61233-2025</t>
        </is>
      </c>
      <c r="B1069" s="1" t="n">
        <v>46000.6359837963</v>
      </c>
      <c r="C1069" s="1" t="n">
        <v>46021</v>
      </c>
      <c r="D1069" t="inlineStr">
        <is>
          <t>JÄMTLANDS LÄN</t>
        </is>
      </c>
      <c r="E1069" t="inlineStr">
        <is>
          <t>RAGUNDA</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36947-2025</t>
        </is>
      </c>
      <c r="B1070" s="1" t="n">
        <v>45874.59496527778</v>
      </c>
      <c r="C1070" s="1" t="n">
        <v>46021</v>
      </c>
      <c r="D1070" t="inlineStr">
        <is>
          <t>JÄMTLANDS LÄN</t>
        </is>
      </c>
      <c r="E1070" t="inlineStr">
        <is>
          <t>RAGUNDA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60760-2025</t>
        </is>
      </c>
      <c r="B1071" s="1" t="n">
        <v>45999.38597222222</v>
      </c>
      <c r="C1071" s="1" t="n">
        <v>46021</v>
      </c>
      <c r="D1071" t="inlineStr">
        <is>
          <t>JÄMTLANDS LÄN</t>
        </is>
      </c>
      <c r="E1071" t="inlineStr">
        <is>
          <t>RAGUNDA</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34483-2023</t>
        </is>
      </c>
      <c r="B1072" s="1" t="n">
        <v>45139.94681712963</v>
      </c>
      <c r="C1072" s="1" t="n">
        <v>46021</v>
      </c>
      <c r="D1072" t="inlineStr">
        <is>
          <t>JÄMTLANDS LÄN</t>
        </is>
      </c>
      <c r="E1072" t="inlineStr">
        <is>
          <t>RAGUNDA</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23567-2024</t>
        </is>
      </c>
      <c r="B1073" s="1" t="n">
        <v>45453.95538194444</v>
      </c>
      <c r="C1073" s="1" t="n">
        <v>46021</v>
      </c>
      <c r="D1073" t="inlineStr">
        <is>
          <t>JÄMTLANDS LÄN</t>
        </is>
      </c>
      <c r="E1073" t="inlineStr">
        <is>
          <t>RAGUNDA</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32075-2025</t>
        </is>
      </c>
      <c r="B1074" s="1" t="n">
        <v>45835.4506712963</v>
      </c>
      <c r="C1074" s="1" t="n">
        <v>46021</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57116-2024</t>
        </is>
      </c>
      <c r="B1075" s="1" t="n">
        <v>45629.36513888889</v>
      </c>
      <c r="C1075" s="1" t="n">
        <v>46021</v>
      </c>
      <c r="D1075" t="inlineStr">
        <is>
          <t>JÄMTLANDS LÄN</t>
        </is>
      </c>
      <c r="E1075" t="inlineStr">
        <is>
          <t>RAGUNDA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36994-2025</t>
        </is>
      </c>
      <c r="B1076" s="1" t="n">
        <v>45874.67746527777</v>
      </c>
      <c r="C1076" s="1" t="n">
        <v>46021</v>
      </c>
      <c r="D1076" t="inlineStr">
        <is>
          <t>JÄMTLANDS LÄN</t>
        </is>
      </c>
      <c r="E1076" t="inlineStr">
        <is>
          <t>RAGUNDA</t>
        </is>
      </c>
      <c r="F1076" t="inlineStr">
        <is>
          <t>SCA</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38312-2024</t>
        </is>
      </c>
      <c r="B1077" s="1" t="n">
        <v>45545.64957175926</v>
      </c>
      <c r="C1077" s="1" t="n">
        <v>46021</v>
      </c>
      <c r="D1077" t="inlineStr">
        <is>
          <t>JÄMTLANDS LÄN</t>
        </is>
      </c>
      <c r="E1077" t="inlineStr">
        <is>
          <t>RAGUNDA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9262-2025</t>
        </is>
      </c>
      <c r="B1078" s="1" t="n">
        <v>45714.60649305556</v>
      </c>
      <c r="C1078" s="1" t="n">
        <v>46021</v>
      </c>
      <c r="D1078" t="inlineStr">
        <is>
          <t>JÄMTLANDS LÄN</t>
        </is>
      </c>
      <c r="E1078" t="inlineStr">
        <is>
          <t>RAGUNDA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32874-2025</t>
        </is>
      </c>
      <c r="B1079" s="1" t="n">
        <v>45839</v>
      </c>
      <c r="C1079" s="1" t="n">
        <v>46021</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16982-2024</t>
        </is>
      </c>
      <c r="B1080" s="1" t="n">
        <v>45412.02506944445</v>
      </c>
      <c r="C1080" s="1" t="n">
        <v>46021</v>
      </c>
      <c r="D1080" t="inlineStr">
        <is>
          <t>JÄMTLANDS LÄN</t>
        </is>
      </c>
      <c r="E1080" t="inlineStr">
        <is>
          <t>RAGUNDA</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52430-2025</t>
        </is>
      </c>
      <c r="B1081" s="1" t="n">
        <v>45954.38592592593</v>
      </c>
      <c r="C1081" s="1" t="n">
        <v>46021</v>
      </c>
      <c r="D1081" t="inlineStr">
        <is>
          <t>JÄMTLANDS LÄN</t>
        </is>
      </c>
      <c r="E1081" t="inlineStr">
        <is>
          <t>RAGUNDA</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37008-2025</t>
        </is>
      </c>
      <c r="B1082" s="1" t="n">
        <v>45874.69844907407</v>
      </c>
      <c r="C1082" s="1" t="n">
        <v>46021</v>
      </c>
      <c r="D1082" t="inlineStr">
        <is>
          <t>JÄMTLANDS LÄN</t>
        </is>
      </c>
      <c r="E1082" t="inlineStr">
        <is>
          <t>RAGUNDA</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58564-2024</t>
        </is>
      </c>
      <c r="B1083" s="1" t="n">
        <v>45635.47243055556</v>
      </c>
      <c r="C1083" s="1" t="n">
        <v>46021</v>
      </c>
      <c r="D1083" t="inlineStr">
        <is>
          <t>JÄMTLANDS LÄN</t>
        </is>
      </c>
      <c r="E1083" t="inlineStr">
        <is>
          <t>RAGUNDA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53144-2024</t>
        </is>
      </c>
      <c r="B1084" s="1" t="n">
        <v>45611</v>
      </c>
      <c r="C1084" s="1" t="n">
        <v>46021</v>
      </c>
      <c r="D1084" t="inlineStr">
        <is>
          <t>JÄMTLANDS LÄN</t>
        </is>
      </c>
      <c r="E1084" t="inlineStr">
        <is>
          <t>RAGUNDA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52875-2025</t>
        </is>
      </c>
      <c r="B1085" s="1" t="n">
        <v>45957.53211805555</v>
      </c>
      <c r="C1085" s="1" t="n">
        <v>46021</v>
      </c>
      <c r="D1085" t="inlineStr">
        <is>
          <t>JÄMTLANDS LÄN</t>
        </is>
      </c>
      <c r="E1085" t="inlineStr">
        <is>
          <t>RAGUNDA</t>
        </is>
      </c>
      <c r="F1085" t="inlineStr">
        <is>
          <t>SCA</t>
        </is>
      </c>
      <c r="G1085" t="n">
        <v>34.3</v>
      </c>
      <c r="H1085" t="n">
        <v>0</v>
      </c>
      <c r="I1085" t="n">
        <v>0</v>
      </c>
      <c r="J1085" t="n">
        <v>0</v>
      </c>
      <c r="K1085" t="n">
        <v>0</v>
      </c>
      <c r="L1085" t="n">
        <v>0</v>
      </c>
      <c r="M1085" t="n">
        <v>0</v>
      </c>
      <c r="N1085" t="n">
        <v>0</v>
      </c>
      <c r="O1085" t="n">
        <v>0</v>
      </c>
      <c r="P1085" t="n">
        <v>0</v>
      </c>
      <c r="Q1085" t="n">
        <v>0</v>
      </c>
      <c r="R1085" s="2" t="inlineStr"/>
    </row>
    <row r="1086" ht="15" customHeight="1">
      <c r="A1086" t="inlineStr">
        <is>
          <t>A 37292-2025</t>
        </is>
      </c>
      <c r="B1086" s="1" t="n">
        <v>45876.53188657408</v>
      </c>
      <c r="C1086" s="1" t="n">
        <v>46021</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61266-2025</t>
        </is>
      </c>
      <c r="B1087" s="1" t="n">
        <v>46000.67784722222</v>
      </c>
      <c r="C1087" s="1" t="n">
        <v>46021</v>
      </c>
      <c r="D1087" t="inlineStr">
        <is>
          <t>JÄMTLANDS LÄN</t>
        </is>
      </c>
      <c r="E1087" t="inlineStr">
        <is>
          <t>RAGUNDA</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5806-2025</t>
        </is>
      </c>
      <c r="B1088" s="1" t="n">
        <v>45694.69826388889</v>
      </c>
      <c r="C1088" s="1" t="n">
        <v>46021</v>
      </c>
      <c r="D1088" t="inlineStr">
        <is>
          <t>JÄMTLANDS LÄN</t>
        </is>
      </c>
      <c r="E1088" t="inlineStr">
        <is>
          <t>RAGUNDA</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53211-2025</t>
        </is>
      </c>
      <c r="B1089" s="1" t="n">
        <v>45958.59490740741</v>
      </c>
      <c r="C1089" s="1" t="n">
        <v>46021</v>
      </c>
      <c r="D1089" t="inlineStr">
        <is>
          <t>JÄMTLANDS LÄN</t>
        </is>
      </c>
      <c r="E1089" t="inlineStr">
        <is>
          <t>RAGUNDA</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52972-2025</t>
        </is>
      </c>
      <c r="B1090" s="1" t="n">
        <v>45957.67783564814</v>
      </c>
      <c r="C1090" s="1" t="n">
        <v>46021</v>
      </c>
      <c r="D1090" t="inlineStr">
        <is>
          <t>JÄMTLANDS LÄN</t>
        </is>
      </c>
      <c r="E1090" t="inlineStr">
        <is>
          <t>RAGUNDA</t>
        </is>
      </c>
      <c r="F1090" t="inlineStr">
        <is>
          <t>SCA</t>
        </is>
      </c>
      <c r="G1090" t="n">
        <v>53.4</v>
      </c>
      <c r="H1090" t="n">
        <v>0</v>
      </c>
      <c r="I1090" t="n">
        <v>0</v>
      </c>
      <c r="J1090" t="n">
        <v>0</v>
      </c>
      <c r="K1090" t="n">
        <v>0</v>
      </c>
      <c r="L1090" t="n">
        <v>0</v>
      </c>
      <c r="M1090" t="n">
        <v>0</v>
      </c>
      <c r="N1090" t="n">
        <v>0</v>
      </c>
      <c r="O1090" t="n">
        <v>0</v>
      </c>
      <c r="P1090" t="n">
        <v>0</v>
      </c>
      <c r="Q1090" t="n">
        <v>0</v>
      </c>
      <c r="R1090" s="2" t="inlineStr"/>
    </row>
    <row r="1091" ht="15" customHeight="1">
      <c r="A1091" t="inlineStr">
        <is>
          <t>A 20773-2024</t>
        </is>
      </c>
      <c r="B1091" s="1" t="n">
        <v>45436.94636574074</v>
      </c>
      <c r="C1091" s="1" t="n">
        <v>46021</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53075-2025</t>
        </is>
      </c>
      <c r="B1092" s="1" t="n">
        <v>45958.38584490741</v>
      </c>
      <c r="C1092" s="1" t="n">
        <v>46021</v>
      </c>
      <c r="D1092" t="inlineStr">
        <is>
          <t>JÄMTLANDS LÄN</t>
        </is>
      </c>
      <c r="E1092" t="inlineStr">
        <is>
          <t>RAGUNDA</t>
        </is>
      </c>
      <c r="F1092" t="inlineStr">
        <is>
          <t>SCA</t>
        </is>
      </c>
      <c r="G1092" t="n">
        <v>28.9</v>
      </c>
      <c r="H1092" t="n">
        <v>0</v>
      </c>
      <c r="I1092" t="n">
        <v>0</v>
      </c>
      <c r="J1092" t="n">
        <v>0</v>
      </c>
      <c r="K1092" t="n">
        <v>0</v>
      </c>
      <c r="L1092" t="n">
        <v>0</v>
      </c>
      <c r="M1092" t="n">
        <v>0</v>
      </c>
      <c r="N1092" t="n">
        <v>0</v>
      </c>
      <c r="O1092" t="n">
        <v>0</v>
      </c>
      <c r="P1092" t="n">
        <v>0</v>
      </c>
      <c r="Q1092" t="n">
        <v>0</v>
      </c>
      <c r="R1092" s="2" t="inlineStr"/>
    </row>
    <row r="1093" ht="15" customHeight="1">
      <c r="A1093" t="inlineStr">
        <is>
          <t>A 61509-2025</t>
        </is>
      </c>
      <c r="B1093" s="1" t="n">
        <v>46001.68189814815</v>
      </c>
      <c r="C1093" s="1" t="n">
        <v>46021</v>
      </c>
      <c r="D1093" t="inlineStr">
        <is>
          <t>JÄMTLANDS LÄN</t>
        </is>
      </c>
      <c r="E1093" t="inlineStr">
        <is>
          <t>RAGUNDA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53726-2025</t>
        </is>
      </c>
      <c r="B1094" s="1" t="n">
        <v>45960.63597222222</v>
      </c>
      <c r="C1094" s="1" t="n">
        <v>46021</v>
      </c>
      <c r="D1094" t="inlineStr">
        <is>
          <t>JÄMTLANDS LÄN</t>
        </is>
      </c>
      <c r="E1094" t="inlineStr">
        <is>
          <t>RAGUNDA</t>
        </is>
      </c>
      <c r="F1094" t="inlineStr">
        <is>
          <t>SCA</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14076-2023</t>
        </is>
      </c>
      <c r="B1095" s="1" t="n">
        <v>45009.0897337963</v>
      </c>
      <c r="C1095" s="1" t="n">
        <v>46021</v>
      </c>
      <c r="D1095" t="inlineStr">
        <is>
          <t>JÄMTLANDS LÄN</t>
        </is>
      </c>
      <c r="E1095" t="inlineStr">
        <is>
          <t>RAGUNDA</t>
        </is>
      </c>
      <c r="F1095" t="inlineStr">
        <is>
          <t>SCA</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45335-2023</t>
        </is>
      </c>
      <c r="B1096" s="1" t="n">
        <v>45191</v>
      </c>
      <c r="C1096" s="1" t="n">
        <v>46021</v>
      </c>
      <c r="D1096" t="inlineStr">
        <is>
          <t>JÄMTLANDS LÄN</t>
        </is>
      </c>
      <c r="E1096" t="inlineStr">
        <is>
          <t>RAGUNDA</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61697-2025</t>
        </is>
      </c>
      <c r="B1097" s="1" t="n">
        <v>46002</v>
      </c>
      <c r="C1097" s="1" t="n">
        <v>46021</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10972-2022</t>
        </is>
      </c>
      <c r="B1098" s="1" t="n">
        <v>44628</v>
      </c>
      <c r="C1098" s="1" t="n">
        <v>46021</v>
      </c>
      <c r="D1098" t="inlineStr">
        <is>
          <t>JÄMTLANDS LÄN</t>
        </is>
      </c>
      <c r="E1098" t="inlineStr">
        <is>
          <t>RAGUNDA</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9504-2025</t>
        </is>
      </c>
      <c r="B1099" s="1" t="n">
        <v>45714</v>
      </c>
      <c r="C1099" s="1" t="n">
        <v>46021</v>
      </c>
      <c r="D1099" t="inlineStr">
        <is>
          <t>JÄMTLANDS LÄN</t>
        </is>
      </c>
      <c r="E1099" t="inlineStr">
        <is>
          <t>RAGUNDA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43102-2023</t>
        </is>
      </c>
      <c r="B1100" s="1" t="n">
        <v>45182</v>
      </c>
      <c r="C1100" s="1" t="n">
        <v>46021</v>
      </c>
      <c r="D1100" t="inlineStr">
        <is>
          <t>JÄMTLANDS LÄN</t>
        </is>
      </c>
      <c r="E1100" t="inlineStr">
        <is>
          <t>RAGUNDA</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6694-2024</t>
        </is>
      </c>
      <c r="B1101" s="1" t="n">
        <v>45341.95381944445</v>
      </c>
      <c r="C1101" s="1" t="n">
        <v>46021</v>
      </c>
      <c r="D1101" t="inlineStr">
        <is>
          <t>JÄMTLANDS LÄN</t>
        </is>
      </c>
      <c r="E1101" t="inlineStr">
        <is>
          <t>RAGUNDA</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21083-2024</t>
        </is>
      </c>
      <c r="B1102" s="1" t="n">
        <v>45439.92752314815</v>
      </c>
      <c r="C1102" s="1" t="n">
        <v>46021</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59759-2024</t>
        </is>
      </c>
      <c r="B1103" s="1" t="n">
        <v>45639.55240740741</v>
      </c>
      <c r="C1103" s="1" t="n">
        <v>46021</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12204-2025</t>
        </is>
      </c>
      <c r="B1104" s="1" t="n">
        <v>45729.51074074074</v>
      </c>
      <c r="C1104" s="1" t="n">
        <v>46021</v>
      </c>
      <c r="D1104" t="inlineStr">
        <is>
          <t>JÄMTLANDS LÄN</t>
        </is>
      </c>
      <c r="E1104" t="inlineStr">
        <is>
          <t>RAGUNDA</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46021</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52578-2025</t>
        </is>
      </c>
      <c r="B1106" s="1" t="n">
        <v>45954.61508101852</v>
      </c>
      <c r="C1106" s="1" t="n">
        <v>46021</v>
      </c>
      <c r="D1106" t="inlineStr">
        <is>
          <t>JÄMTLANDS LÄN</t>
        </is>
      </c>
      <c r="E1106" t="inlineStr">
        <is>
          <t>RAGUNDA</t>
        </is>
      </c>
      <c r="F1106" t="inlineStr">
        <is>
          <t>SCA</t>
        </is>
      </c>
      <c r="G1106" t="n">
        <v>25.2</v>
      </c>
      <c r="H1106" t="n">
        <v>0</v>
      </c>
      <c r="I1106" t="n">
        <v>0</v>
      </c>
      <c r="J1106" t="n">
        <v>0</v>
      </c>
      <c r="K1106" t="n">
        <v>0</v>
      </c>
      <c r="L1106" t="n">
        <v>0</v>
      </c>
      <c r="M1106" t="n">
        <v>0</v>
      </c>
      <c r="N1106" t="n">
        <v>0</v>
      </c>
      <c r="O1106" t="n">
        <v>0</v>
      </c>
      <c r="P1106" t="n">
        <v>0</v>
      </c>
      <c r="Q1106" t="n">
        <v>0</v>
      </c>
      <c r="R1106" s="2" t="inlineStr"/>
    </row>
    <row r="1107" ht="15" customHeight="1">
      <c r="A1107" t="inlineStr">
        <is>
          <t>A 11245-2025</t>
        </is>
      </c>
      <c r="B1107" s="1" t="n">
        <v>45726.38575231482</v>
      </c>
      <c r="C1107" s="1" t="n">
        <v>46021</v>
      </c>
      <c r="D1107" t="inlineStr">
        <is>
          <t>JÄMTLANDS LÄN</t>
        </is>
      </c>
      <c r="E1107" t="inlineStr">
        <is>
          <t>RAGUNDA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13905-2025</t>
        </is>
      </c>
      <c r="B1108" s="1" t="n">
        <v>45737.63574074074</v>
      </c>
      <c r="C1108" s="1" t="n">
        <v>46021</v>
      </c>
      <c r="D1108" t="inlineStr">
        <is>
          <t>JÄMTLANDS LÄN</t>
        </is>
      </c>
      <c r="E1108" t="inlineStr">
        <is>
          <t>RAGUNDA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53727-2025</t>
        </is>
      </c>
      <c r="B1109" s="1" t="n">
        <v>45960.63630787037</v>
      </c>
      <c r="C1109" s="1" t="n">
        <v>46021</v>
      </c>
      <c r="D1109" t="inlineStr">
        <is>
          <t>JÄMTLANDS LÄN</t>
        </is>
      </c>
      <c r="E1109" t="inlineStr">
        <is>
          <t>RAGUNDA</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53748-2025</t>
        </is>
      </c>
      <c r="B1110" s="1" t="n">
        <v>45960.65673611111</v>
      </c>
      <c r="C1110" s="1" t="n">
        <v>46021</v>
      </c>
      <c r="D1110" t="inlineStr">
        <is>
          <t>JÄMTLANDS LÄN</t>
        </is>
      </c>
      <c r="E1110" t="inlineStr">
        <is>
          <t>RAGUNDA</t>
        </is>
      </c>
      <c r="F1110" t="inlineStr">
        <is>
          <t>SCA</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53109-2025</t>
        </is>
      </c>
      <c r="B1111" s="1" t="n">
        <v>45958</v>
      </c>
      <c r="C1111" s="1" t="n">
        <v>46021</v>
      </c>
      <c r="D1111" t="inlineStr">
        <is>
          <t>JÄMTLANDS LÄN</t>
        </is>
      </c>
      <c r="E1111" t="inlineStr">
        <is>
          <t>RAGUNDA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53549-2025</t>
        </is>
      </c>
      <c r="B1112" s="1" t="n">
        <v>45960.38576388889</v>
      </c>
      <c r="C1112" s="1" t="n">
        <v>46021</v>
      </c>
      <c r="D1112" t="inlineStr">
        <is>
          <t>JÄMTLANDS LÄN</t>
        </is>
      </c>
      <c r="E1112" t="inlineStr">
        <is>
          <t>RAGUNDA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53765-2025</t>
        </is>
      </c>
      <c r="B1113" s="1" t="n">
        <v>45960.67753472222</v>
      </c>
      <c r="C1113" s="1" t="n">
        <v>46021</v>
      </c>
      <c r="D1113" t="inlineStr">
        <is>
          <t>JÄMTLANDS LÄN</t>
        </is>
      </c>
      <c r="E1113" t="inlineStr">
        <is>
          <t>RAGUNDA</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53986-2025</t>
        </is>
      </c>
      <c r="B1114" s="1" t="n">
        <v>45961.57381944444</v>
      </c>
      <c r="C1114" s="1" t="n">
        <v>46021</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4125-2024</t>
        </is>
      </c>
      <c r="B1115" s="1" t="n">
        <v>45323</v>
      </c>
      <c r="C1115" s="1" t="n">
        <v>46021</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53951-2025</t>
        </is>
      </c>
      <c r="B1116" s="1" t="n">
        <v>45961.50200231482</v>
      </c>
      <c r="C1116" s="1" t="n">
        <v>46021</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44980-2023</t>
        </is>
      </c>
      <c r="B1117" s="1" t="n">
        <v>45190</v>
      </c>
      <c r="C1117" s="1" t="n">
        <v>46021</v>
      </c>
      <c r="D1117" t="inlineStr">
        <is>
          <t>JÄMTLANDS LÄN</t>
        </is>
      </c>
      <c r="E1117" t="inlineStr">
        <is>
          <t>RAGUNDA</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53975-2025</t>
        </is>
      </c>
      <c r="B1118" s="1" t="n">
        <v>45961.55277777778</v>
      </c>
      <c r="C1118" s="1" t="n">
        <v>46021</v>
      </c>
      <c r="D1118" t="inlineStr">
        <is>
          <t>JÄMTLANDS LÄN</t>
        </is>
      </c>
      <c r="E1118" t="inlineStr">
        <is>
          <t>RAGUNDA</t>
        </is>
      </c>
      <c r="F1118" t="inlineStr">
        <is>
          <t>SCA</t>
        </is>
      </c>
      <c r="G1118" t="n">
        <v>21.9</v>
      </c>
      <c r="H1118" t="n">
        <v>0</v>
      </c>
      <c r="I1118" t="n">
        <v>0</v>
      </c>
      <c r="J1118" t="n">
        <v>0</v>
      </c>
      <c r="K1118" t="n">
        <v>0</v>
      </c>
      <c r="L1118" t="n">
        <v>0</v>
      </c>
      <c r="M1118" t="n">
        <v>0</v>
      </c>
      <c r="N1118" t="n">
        <v>0</v>
      </c>
      <c r="O1118" t="n">
        <v>0</v>
      </c>
      <c r="P1118" t="n">
        <v>0</v>
      </c>
      <c r="Q1118" t="n">
        <v>0</v>
      </c>
      <c r="R1118" s="2" t="inlineStr"/>
    </row>
    <row r="1119" ht="15" customHeight="1">
      <c r="A1119" t="inlineStr">
        <is>
          <t>A 27777-2022</t>
        </is>
      </c>
      <c r="B1119" s="1" t="n">
        <v>44743</v>
      </c>
      <c r="C1119" s="1" t="n">
        <v>46021</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51245-2024</t>
        </is>
      </c>
      <c r="B1120" s="1" t="n">
        <v>45603.67850694444</v>
      </c>
      <c r="C1120" s="1" t="n">
        <v>46021</v>
      </c>
      <c r="D1120" t="inlineStr">
        <is>
          <t>JÄMTLANDS LÄN</t>
        </is>
      </c>
      <c r="E1120" t="inlineStr">
        <is>
          <t>RAGUNDA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54195-2025</t>
        </is>
      </c>
      <c r="B1121" s="1" t="n">
        <v>45964.57413194444</v>
      </c>
      <c r="C1121" s="1" t="n">
        <v>46021</v>
      </c>
      <c r="D1121" t="inlineStr">
        <is>
          <t>JÄMTLANDS LÄN</t>
        </is>
      </c>
      <c r="E1121" t="inlineStr">
        <is>
          <t>RAGUNDA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61923-2024</t>
        </is>
      </c>
      <c r="B1122" s="1" t="n">
        <v>45653.44836805556</v>
      </c>
      <c r="C1122" s="1" t="n">
        <v>46021</v>
      </c>
      <c r="D1122" t="inlineStr">
        <is>
          <t>JÄMTLANDS LÄN</t>
        </is>
      </c>
      <c r="E1122" t="inlineStr">
        <is>
          <t>RAGUNDA</t>
        </is>
      </c>
      <c r="F1122" t="inlineStr">
        <is>
          <t>SCA</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50503-2024</t>
        </is>
      </c>
      <c r="B1123" s="1" t="n">
        <v>45601.5315625</v>
      </c>
      <c r="C1123" s="1" t="n">
        <v>46021</v>
      </c>
      <c r="D1123" t="inlineStr">
        <is>
          <t>JÄMTLANDS LÄN</t>
        </is>
      </c>
      <c r="E1123" t="inlineStr">
        <is>
          <t>RAGUNDA</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59556-2024</t>
        </is>
      </c>
      <c r="B1124" s="1" t="n">
        <v>45638.63600694444</v>
      </c>
      <c r="C1124" s="1" t="n">
        <v>46021</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13302-2022</t>
        </is>
      </c>
      <c r="B1125" s="1" t="n">
        <v>44644</v>
      </c>
      <c r="C1125" s="1" t="n">
        <v>46021</v>
      </c>
      <c r="D1125" t="inlineStr">
        <is>
          <t>JÄMTLANDS LÄN</t>
        </is>
      </c>
      <c r="E1125" t="inlineStr">
        <is>
          <t>RAGUNDA</t>
        </is>
      </c>
      <c r="F1125" t="inlineStr">
        <is>
          <t>SCA</t>
        </is>
      </c>
      <c r="G1125" t="n">
        <v>35.6</v>
      </c>
      <c r="H1125" t="n">
        <v>0</v>
      </c>
      <c r="I1125" t="n">
        <v>0</v>
      </c>
      <c r="J1125" t="n">
        <v>0</v>
      </c>
      <c r="K1125" t="n">
        <v>0</v>
      </c>
      <c r="L1125" t="n">
        <v>0</v>
      </c>
      <c r="M1125" t="n">
        <v>0</v>
      </c>
      <c r="N1125" t="n">
        <v>0</v>
      </c>
      <c r="O1125" t="n">
        <v>0</v>
      </c>
      <c r="P1125" t="n">
        <v>0</v>
      </c>
      <c r="Q1125" t="n">
        <v>0</v>
      </c>
      <c r="R1125" s="2" t="inlineStr"/>
    </row>
    <row r="1126" ht="15" customHeight="1">
      <c r="A1126" t="inlineStr">
        <is>
          <t>A 18225-2024</t>
        </is>
      </c>
      <c r="B1126" s="1" t="n">
        <v>45420</v>
      </c>
      <c r="C1126" s="1" t="n">
        <v>46021</v>
      </c>
      <c r="D1126" t="inlineStr">
        <is>
          <t>JÄMTLANDS LÄN</t>
        </is>
      </c>
      <c r="E1126" t="inlineStr">
        <is>
          <t>RAGUNDA</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61598-2024</t>
        </is>
      </c>
      <c r="B1127" s="1" t="n">
        <v>45646.63605324074</v>
      </c>
      <c r="C1127" s="1" t="n">
        <v>46021</v>
      </c>
      <c r="D1127" t="inlineStr">
        <is>
          <t>JÄMTLANDS LÄN</t>
        </is>
      </c>
      <c r="E1127" t="inlineStr">
        <is>
          <t>RAGUNDA</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7280-2024</t>
        </is>
      </c>
      <c r="B1128" s="1" t="n">
        <v>45344</v>
      </c>
      <c r="C1128" s="1" t="n">
        <v>46021</v>
      </c>
      <c r="D1128" t="inlineStr">
        <is>
          <t>JÄMTLANDS LÄN</t>
        </is>
      </c>
      <c r="E1128" t="inlineStr">
        <is>
          <t>RAGUNDA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21662-2023</t>
        </is>
      </c>
      <c r="B1129" s="1" t="n">
        <v>45063</v>
      </c>
      <c r="C1129" s="1" t="n">
        <v>46021</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61107-2024</t>
        </is>
      </c>
      <c r="B1130" s="1" t="n">
        <v>45645.55665509259</v>
      </c>
      <c r="C1130" s="1" t="n">
        <v>46021</v>
      </c>
      <c r="D1130" t="inlineStr">
        <is>
          <t>JÄMTLANDS LÄN</t>
        </is>
      </c>
      <c r="E1130" t="inlineStr">
        <is>
          <t>RAGUNDA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5313-2025</t>
        </is>
      </c>
      <c r="B1131" s="1" t="n">
        <v>45692.51069444444</v>
      </c>
      <c r="C1131" s="1" t="n">
        <v>46021</v>
      </c>
      <c r="D1131" t="inlineStr">
        <is>
          <t>JÄMTLANDS LÄN</t>
        </is>
      </c>
      <c r="E1131" t="inlineStr">
        <is>
          <t>RAGUNDA</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5357-2025</t>
        </is>
      </c>
      <c r="B1132" s="1" t="n">
        <v>45692.57326388889</v>
      </c>
      <c r="C1132" s="1" t="n">
        <v>46021</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53948-2025</t>
        </is>
      </c>
      <c r="B1133" s="1" t="n">
        <v>45961.50033564815</v>
      </c>
      <c r="C1133" s="1" t="n">
        <v>46021</v>
      </c>
      <c r="D1133" t="inlineStr">
        <is>
          <t>JÄMTLANDS LÄN</t>
        </is>
      </c>
      <c r="E1133" t="inlineStr">
        <is>
          <t>RAGUNDA</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53973-2025</t>
        </is>
      </c>
      <c r="B1134" s="1" t="n">
        <v>45961.55246527777</v>
      </c>
      <c r="C1134" s="1" t="n">
        <v>46021</v>
      </c>
      <c r="D1134" t="inlineStr">
        <is>
          <t>JÄMTLANDS LÄN</t>
        </is>
      </c>
      <c r="E1134" t="inlineStr">
        <is>
          <t>RAGUNDA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62819-2025</t>
        </is>
      </c>
      <c r="B1135" s="1" t="n">
        <v>46008</v>
      </c>
      <c r="C1135" s="1" t="n">
        <v>46021</v>
      </c>
      <c r="D1135" t="inlineStr">
        <is>
          <t>JÄMTLANDS LÄN</t>
        </is>
      </c>
      <c r="E1135" t="inlineStr">
        <is>
          <t>RAGUNDA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62432-2025</t>
        </is>
      </c>
      <c r="B1136" s="1" t="n">
        <v>46007</v>
      </c>
      <c r="C1136" s="1" t="n">
        <v>46021</v>
      </c>
      <c r="D1136" t="inlineStr">
        <is>
          <t>JÄMTLANDS LÄN</t>
        </is>
      </c>
      <c r="E1136" t="inlineStr">
        <is>
          <t>RAGUNDA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62436-2025</t>
        </is>
      </c>
      <c r="B1137" s="1" t="n">
        <v>46007</v>
      </c>
      <c r="C1137" s="1" t="n">
        <v>46021</v>
      </c>
      <c r="D1137" t="inlineStr">
        <is>
          <t>JÄMTLANDS LÄN</t>
        </is>
      </c>
      <c r="E1137" t="inlineStr">
        <is>
          <t>RAGUNDA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44494-2024</t>
        </is>
      </c>
      <c r="B1138" s="1" t="n">
        <v>45574.39081018518</v>
      </c>
      <c r="C1138" s="1" t="n">
        <v>46021</v>
      </c>
      <c r="D1138" t="inlineStr">
        <is>
          <t>JÄMTLANDS LÄN</t>
        </is>
      </c>
      <c r="E1138" t="inlineStr">
        <is>
          <t>RAGUNDA</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54396-2025</t>
        </is>
      </c>
      <c r="B1139" s="1" t="n">
        <v>45965.44849537037</v>
      </c>
      <c r="C1139" s="1" t="n">
        <v>46021</v>
      </c>
      <c r="D1139" t="inlineStr">
        <is>
          <t>JÄMTLANDS LÄN</t>
        </is>
      </c>
      <c r="E1139" t="inlineStr">
        <is>
          <t>RAGUNDA</t>
        </is>
      </c>
      <c r="F1139" t="inlineStr">
        <is>
          <t>SCA</t>
        </is>
      </c>
      <c r="G1139" t="n">
        <v>35.2</v>
      </c>
      <c r="H1139" t="n">
        <v>0</v>
      </c>
      <c r="I1139" t="n">
        <v>0</v>
      </c>
      <c r="J1139" t="n">
        <v>0</v>
      </c>
      <c r="K1139" t="n">
        <v>0</v>
      </c>
      <c r="L1139" t="n">
        <v>0</v>
      </c>
      <c r="M1139" t="n">
        <v>0</v>
      </c>
      <c r="N1139" t="n">
        <v>0</v>
      </c>
      <c r="O1139" t="n">
        <v>0</v>
      </c>
      <c r="P1139" t="n">
        <v>0</v>
      </c>
      <c r="Q1139" t="n">
        <v>0</v>
      </c>
      <c r="R1139" s="2" t="inlineStr"/>
    </row>
    <row r="1140" ht="15" customHeight="1">
      <c r="A1140" t="inlineStr">
        <is>
          <t>A 12983-2025</t>
        </is>
      </c>
      <c r="B1140" s="1" t="n">
        <v>45734.4633912037</v>
      </c>
      <c r="C1140" s="1" t="n">
        <v>46021</v>
      </c>
      <c r="D1140" t="inlineStr">
        <is>
          <t>JÄMTLANDS LÄN</t>
        </is>
      </c>
      <c r="E1140" t="inlineStr">
        <is>
          <t>RAGUNDA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39626-2024</t>
        </is>
      </c>
      <c r="B1141" s="1" t="n">
        <v>45552.44096064815</v>
      </c>
      <c r="C1141" s="1" t="n">
        <v>46021</v>
      </c>
      <c r="D1141" t="inlineStr">
        <is>
          <t>JÄMTLANDS LÄN</t>
        </is>
      </c>
      <c r="E1141" t="inlineStr">
        <is>
          <t>RAGUNDA</t>
        </is>
      </c>
      <c r="G1141" t="n">
        <v>23.5</v>
      </c>
      <c r="H1141" t="n">
        <v>0</v>
      </c>
      <c r="I1141" t="n">
        <v>0</v>
      </c>
      <c r="J1141" t="n">
        <v>0</v>
      </c>
      <c r="K1141" t="n">
        <v>0</v>
      </c>
      <c r="L1141" t="n">
        <v>0</v>
      </c>
      <c r="M1141" t="n">
        <v>0</v>
      </c>
      <c r="N1141" t="n">
        <v>0</v>
      </c>
      <c r="O1141" t="n">
        <v>0</v>
      </c>
      <c r="P1141" t="n">
        <v>0</v>
      </c>
      <c r="Q1141" t="n">
        <v>0</v>
      </c>
      <c r="R1141" s="2" t="inlineStr"/>
    </row>
    <row r="1142" ht="15" customHeight="1">
      <c r="A1142" t="inlineStr">
        <is>
          <t>A 45631-2024</t>
        </is>
      </c>
      <c r="B1142" s="1" t="n">
        <v>45579.47052083333</v>
      </c>
      <c r="C1142" s="1" t="n">
        <v>46021</v>
      </c>
      <c r="D1142" t="inlineStr">
        <is>
          <t>JÄMTLANDS LÄN</t>
        </is>
      </c>
      <c r="E1142" t="inlineStr">
        <is>
          <t>RAGUNDA</t>
        </is>
      </c>
      <c r="G1142" t="n">
        <v>15.1</v>
      </c>
      <c r="H1142" t="n">
        <v>0</v>
      </c>
      <c r="I1142" t="n">
        <v>0</v>
      </c>
      <c r="J1142" t="n">
        <v>0</v>
      </c>
      <c r="K1142" t="n">
        <v>0</v>
      </c>
      <c r="L1142" t="n">
        <v>0</v>
      </c>
      <c r="M1142" t="n">
        <v>0</v>
      </c>
      <c r="N1142" t="n">
        <v>0</v>
      </c>
      <c r="O1142" t="n">
        <v>0</v>
      </c>
      <c r="P1142" t="n">
        <v>0</v>
      </c>
      <c r="Q1142" t="n">
        <v>0</v>
      </c>
      <c r="R1142" s="2" t="inlineStr"/>
    </row>
    <row r="1143" ht="15" customHeight="1">
      <c r="A1143" t="inlineStr">
        <is>
          <t>A 50157-2023</t>
        </is>
      </c>
      <c r="B1143" s="1" t="n">
        <v>45208</v>
      </c>
      <c r="C1143" s="1" t="n">
        <v>46021</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62135-2024</t>
        </is>
      </c>
      <c r="B1144" s="1" t="n">
        <v>45656.64223379629</v>
      </c>
      <c r="C1144" s="1" t="n">
        <v>46021</v>
      </c>
      <c r="D1144" t="inlineStr">
        <is>
          <t>JÄMTLANDS LÄN</t>
        </is>
      </c>
      <c r="E1144" t="inlineStr">
        <is>
          <t>RAGUNDA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8802-2022</t>
        </is>
      </c>
      <c r="B1145" s="1" t="n">
        <v>44614</v>
      </c>
      <c r="C1145" s="1" t="n">
        <v>46021</v>
      </c>
      <c r="D1145" t="inlineStr">
        <is>
          <t>JÄMTLANDS LÄN</t>
        </is>
      </c>
      <c r="E1145" t="inlineStr">
        <is>
          <t>RAGUNDA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9823-2025</t>
        </is>
      </c>
      <c r="B1146" s="1" t="n">
        <v>45716</v>
      </c>
      <c r="C1146" s="1" t="n">
        <v>46021</v>
      </c>
      <c r="D1146" t="inlineStr">
        <is>
          <t>JÄMTLANDS LÄN</t>
        </is>
      </c>
      <c r="E1146" t="inlineStr">
        <is>
          <t>RAGUNDA</t>
        </is>
      </c>
      <c r="F1146" t="inlineStr">
        <is>
          <t>SCA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9847-2025</t>
        </is>
      </c>
      <c r="B1147" s="1" t="n">
        <v>45716.61487268518</v>
      </c>
      <c r="C1147" s="1" t="n">
        <v>46021</v>
      </c>
      <c r="D1147" t="inlineStr">
        <is>
          <t>JÄMTLANDS LÄN</t>
        </is>
      </c>
      <c r="E1147" t="inlineStr">
        <is>
          <t>RAGUNDA</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58909-2025</t>
        </is>
      </c>
      <c r="B1148" s="1" t="n">
        <v>45987</v>
      </c>
      <c r="C1148" s="1" t="n">
        <v>46021</v>
      </c>
      <c r="D1148" t="inlineStr">
        <is>
          <t>JÄMTLANDS LÄN</t>
        </is>
      </c>
      <c r="E1148" t="inlineStr">
        <is>
          <t>RAGUNDA</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20987-2023</t>
        </is>
      </c>
      <c r="B1149" s="1" t="n">
        <v>45056</v>
      </c>
      <c r="C1149" s="1" t="n">
        <v>46021</v>
      </c>
      <c r="D1149" t="inlineStr">
        <is>
          <t>JÄMTLANDS LÄN</t>
        </is>
      </c>
      <c r="E1149" t="inlineStr">
        <is>
          <t>RAGUNDA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20994-2023</t>
        </is>
      </c>
      <c r="B1150" s="1" t="n">
        <v>45056</v>
      </c>
      <c r="C1150" s="1" t="n">
        <v>46021</v>
      </c>
      <c r="D1150" t="inlineStr">
        <is>
          <t>JÄMTLANDS LÄN</t>
        </is>
      </c>
      <c r="E1150" t="inlineStr">
        <is>
          <t>RAGUNDA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62638-2025</t>
        </is>
      </c>
      <c r="B1151" s="1" t="n">
        <v>46008.36564814814</v>
      </c>
      <c r="C1151" s="1" t="n">
        <v>46021</v>
      </c>
      <c r="D1151" t="inlineStr">
        <is>
          <t>JÄMTLANDS LÄN</t>
        </is>
      </c>
      <c r="E1151" t="inlineStr">
        <is>
          <t>RAGUNDA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62467-2025</t>
        </is>
      </c>
      <c r="B1152" s="1" t="n">
        <v>46007.5108912037</v>
      </c>
      <c r="C1152" s="1" t="n">
        <v>46021</v>
      </c>
      <c r="D1152" t="inlineStr">
        <is>
          <t>JÄMTLANDS LÄN</t>
        </is>
      </c>
      <c r="E1152" t="inlineStr">
        <is>
          <t>RAGUNDA</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6490-2022</t>
        </is>
      </c>
      <c r="B1153" s="1" t="n">
        <v>44601</v>
      </c>
      <c r="C1153" s="1" t="n">
        <v>46021</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23287-2024</t>
        </is>
      </c>
      <c r="B1154" s="1" t="n">
        <v>45453.42041666667</v>
      </c>
      <c r="C1154" s="1" t="n">
        <v>46021</v>
      </c>
      <c r="D1154" t="inlineStr">
        <is>
          <t>JÄMTLANDS LÄN</t>
        </is>
      </c>
      <c r="E1154" t="inlineStr">
        <is>
          <t>RAGUNDA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53740-2024</t>
        </is>
      </c>
      <c r="B1155" s="1" t="n">
        <v>45615.47091435185</v>
      </c>
      <c r="C1155" s="1" t="n">
        <v>46021</v>
      </c>
      <c r="D1155" t="inlineStr">
        <is>
          <t>JÄMTLANDS LÄN</t>
        </is>
      </c>
      <c r="E1155" t="inlineStr">
        <is>
          <t>RAGUNDA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54820-2025</t>
        </is>
      </c>
      <c r="B1156" s="1" t="n">
        <v>45966.65728009259</v>
      </c>
      <c r="C1156" s="1" t="n">
        <v>46021</v>
      </c>
      <c r="D1156" t="inlineStr">
        <is>
          <t>JÄMTLANDS LÄN</t>
        </is>
      </c>
      <c r="E1156" t="inlineStr">
        <is>
          <t>RAGUNDA</t>
        </is>
      </c>
      <c r="G1156" t="n">
        <v>15.3</v>
      </c>
      <c r="H1156" t="n">
        <v>0</v>
      </c>
      <c r="I1156" t="n">
        <v>0</v>
      </c>
      <c r="J1156" t="n">
        <v>0</v>
      </c>
      <c r="K1156" t="n">
        <v>0</v>
      </c>
      <c r="L1156" t="n">
        <v>0</v>
      </c>
      <c r="M1156" t="n">
        <v>0</v>
      </c>
      <c r="N1156" t="n">
        <v>0</v>
      </c>
      <c r="O1156" t="n">
        <v>0</v>
      </c>
      <c r="P1156" t="n">
        <v>0</v>
      </c>
      <c r="Q1156" t="n">
        <v>0</v>
      </c>
      <c r="R1156" s="2" t="inlineStr"/>
    </row>
    <row r="1157" ht="15" customHeight="1">
      <c r="A1157" t="inlineStr">
        <is>
          <t>A 1325-2025</t>
        </is>
      </c>
      <c r="B1157" s="1" t="n">
        <v>45667.57342592593</v>
      </c>
      <c r="C1157" s="1" t="n">
        <v>46021</v>
      </c>
      <c r="D1157" t="inlineStr">
        <is>
          <t>JÄMTLANDS LÄN</t>
        </is>
      </c>
      <c r="E1157" t="inlineStr">
        <is>
          <t>RAGUNDA</t>
        </is>
      </c>
      <c r="F1157" t="inlineStr">
        <is>
          <t>SCA</t>
        </is>
      </c>
      <c r="G1157" t="n">
        <v>20.2</v>
      </c>
      <c r="H1157" t="n">
        <v>0</v>
      </c>
      <c r="I1157" t="n">
        <v>0</v>
      </c>
      <c r="J1157" t="n">
        <v>0</v>
      </c>
      <c r="K1157" t="n">
        <v>0</v>
      </c>
      <c r="L1157" t="n">
        <v>0</v>
      </c>
      <c r="M1157" t="n">
        <v>0</v>
      </c>
      <c r="N1157" t="n">
        <v>0</v>
      </c>
      <c r="O1157" t="n">
        <v>0</v>
      </c>
      <c r="P1157" t="n">
        <v>0</v>
      </c>
      <c r="Q1157" t="n">
        <v>0</v>
      </c>
      <c r="R1157" s="2" t="inlineStr"/>
    </row>
    <row r="1158" ht="15" customHeight="1">
      <c r="A1158" t="inlineStr">
        <is>
          <t>A 1326-2025</t>
        </is>
      </c>
      <c r="B1158" s="1" t="n">
        <v>45667.57347222222</v>
      </c>
      <c r="C1158" s="1" t="n">
        <v>46021</v>
      </c>
      <c r="D1158" t="inlineStr">
        <is>
          <t>JÄMTLANDS LÄN</t>
        </is>
      </c>
      <c r="E1158" t="inlineStr">
        <is>
          <t>RAGUNDA</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50160-2023</t>
        </is>
      </c>
      <c r="B1159" s="1" t="n">
        <v>45208</v>
      </c>
      <c r="C1159" s="1" t="n">
        <v>46021</v>
      </c>
      <c r="D1159" t="inlineStr">
        <is>
          <t>JÄMTLANDS LÄN</t>
        </is>
      </c>
      <c r="E1159" t="inlineStr">
        <is>
          <t>RAGUNDA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62490-2025</t>
        </is>
      </c>
      <c r="B1160" s="1" t="n">
        <v>46007.5697337963</v>
      </c>
      <c r="C1160" s="1" t="n">
        <v>46021</v>
      </c>
      <c r="D1160" t="inlineStr">
        <is>
          <t>JÄMTLANDS LÄN</t>
        </is>
      </c>
      <c r="E1160" t="inlineStr">
        <is>
          <t>RAGUNDA</t>
        </is>
      </c>
      <c r="F1160" t="inlineStr">
        <is>
          <t>Kommuner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14696-2022</t>
        </is>
      </c>
      <c r="B1161" s="1" t="n">
        <v>44655</v>
      </c>
      <c r="C1161" s="1" t="n">
        <v>46021</v>
      </c>
      <c r="D1161" t="inlineStr">
        <is>
          <t>JÄMTLANDS LÄN</t>
        </is>
      </c>
      <c r="E1161" t="inlineStr">
        <is>
          <t>RAGUNDA</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62691-2025</t>
        </is>
      </c>
      <c r="B1162" s="1" t="n">
        <v>46008.4759837963</v>
      </c>
      <c r="C1162" s="1" t="n">
        <v>46021</v>
      </c>
      <c r="D1162" t="inlineStr">
        <is>
          <t>JÄMTLANDS LÄN</t>
        </is>
      </c>
      <c r="E1162" t="inlineStr">
        <is>
          <t>RAGUNDA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54794-2025</t>
        </is>
      </c>
      <c r="B1163" s="1" t="n">
        <v>45966.63592592593</v>
      </c>
      <c r="C1163" s="1" t="n">
        <v>46021</v>
      </c>
      <c r="D1163" t="inlineStr">
        <is>
          <t>JÄMTLANDS LÄN</t>
        </is>
      </c>
      <c r="E1163" t="inlineStr">
        <is>
          <t>RAGUNDA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45952-2023</t>
        </is>
      </c>
      <c r="B1164" s="1" t="n">
        <v>45195</v>
      </c>
      <c r="C1164" s="1" t="n">
        <v>46021</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45954-2023</t>
        </is>
      </c>
      <c r="B1165" s="1" t="n">
        <v>45195.94679398148</v>
      </c>
      <c r="C1165" s="1" t="n">
        <v>46021</v>
      </c>
      <c r="D1165" t="inlineStr">
        <is>
          <t>JÄMTLANDS LÄN</t>
        </is>
      </c>
      <c r="E1165" t="inlineStr">
        <is>
          <t>RAGUNDA</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45955-2023</t>
        </is>
      </c>
      <c r="B1166" s="1" t="n">
        <v>45195.94685185186</v>
      </c>
      <c r="C1166" s="1" t="n">
        <v>46021</v>
      </c>
      <c r="D1166" t="inlineStr">
        <is>
          <t>JÄMTLANDS LÄN</t>
        </is>
      </c>
      <c r="E1166" t="inlineStr">
        <is>
          <t>RAGUNDA</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8787-2022</t>
        </is>
      </c>
      <c r="B1167" s="1" t="n">
        <v>44614</v>
      </c>
      <c r="C1167" s="1" t="n">
        <v>46021</v>
      </c>
      <c r="D1167" t="inlineStr">
        <is>
          <t>JÄMTLANDS LÄN</t>
        </is>
      </c>
      <c r="E1167" t="inlineStr">
        <is>
          <t>RAGUNDA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5308-2025</t>
        </is>
      </c>
      <c r="B1168" s="1" t="n">
        <v>45692.49008101852</v>
      </c>
      <c r="C1168" s="1" t="n">
        <v>46021</v>
      </c>
      <c r="D1168" t="inlineStr">
        <is>
          <t>JÄMTLANDS LÄN</t>
        </is>
      </c>
      <c r="E1168" t="inlineStr">
        <is>
          <t>RAGUNDA</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45253-2023</t>
        </is>
      </c>
      <c r="B1169" s="1" t="n">
        <v>45187</v>
      </c>
      <c r="C1169" s="1" t="n">
        <v>46021</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3104-2025</t>
        </is>
      </c>
      <c r="B1170" s="1" t="n">
        <v>45678.67761574074</v>
      </c>
      <c r="C1170" s="1" t="n">
        <v>46021</v>
      </c>
      <c r="D1170" t="inlineStr">
        <is>
          <t>JÄMTLANDS LÄN</t>
        </is>
      </c>
      <c r="E1170" t="inlineStr">
        <is>
          <t>RAGUNDA</t>
        </is>
      </c>
      <c r="F1170" t="inlineStr">
        <is>
          <t>SCA</t>
        </is>
      </c>
      <c r="G1170" t="n">
        <v>46.2</v>
      </c>
      <c r="H1170" t="n">
        <v>0</v>
      </c>
      <c r="I1170" t="n">
        <v>0</v>
      </c>
      <c r="J1170" t="n">
        <v>0</v>
      </c>
      <c r="K1170" t="n">
        <v>0</v>
      </c>
      <c r="L1170" t="n">
        <v>0</v>
      </c>
      <c r="M1170" t="n">
        <v>0</v>
      </c>
      <c r="N1170" t="n">
        <v>0</v>
      </c>
      <c r="O1170" t="n">
        <v>0</v>
      </c>
      <c r="P1170" t="n">
        <v>0</v>
      </c>
      <c r="Q1170" t="n">
        <v>0</v>
      </c>
      <c r="R1170" s="2" t="inlineStr"/>
    </row>
    <row r="1171" ht="15" customHeight="1">
      <c r="A1171" t="inlineStr">
        <is>
          <t>A 36046-2023</t>
        </is>
      </c>
      <c r="B1171" s="1" t="n">
        <v>45148</v>
      </c>
      <c r="C1171" s="1" t="n">
        <v>46021</v>
      </c>
      <c r="D1171" t="inlineStr">
        <is>
          <t>JÄMTLANDS LÄN</t>
        </is>
      </c>
      <c r="E1171" t="inlineStr">
        <is>
          <t>RAGUNDA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18193-2022</t>
        </is>
      </c>
      <c r="B1172" s="1" t="n">
        <v>44684.94032407407</v>
      </c>
      <c r="C1172" s="1" t="n">
        <v>46021</v>
      </c>
      <c r="D1172" t="inlineStr">
        <is>
          <t>JÄMTLANDS LÄN</t>
        </is>
      </c>
      <c r="E1172" t="inlineStr">
        <is>
          <t>RAGUNDA</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34323-2023</t>
        </is>
      </c>
      <c r="B1173" s="1" t="n">
        <v>45138.94925925926</v>
      </c>
      <c r="C1173" s="1" t="n">
        <v>46021</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58843-2024</t>
        </is>
      </c>
      <c r="B1174" s="1" t="n">
        <v>45636.38599537037</v>
      </c>
      <c r="C1174" s="1" t="n">
        <v>46021</v>
      </c>
      <c r="D1174" t="inlineStr">
        <is>
          <t>JÄMTLANDS LÄN</t>
        </is>
      </c>
      <c r="E1174" t="inlineStr">
        <is>
          <t>RAGUNDA</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63060-2025</t>
        </is>
      </c>
      <c r="B1175" s="1" t="n">
        <v>46009.64414351852</v>
      </c>
      <c r="C1175" s="1" t="n">
        <v>46021</v>
      </c>
      <c r="D1175" t="inlineStr">
        <is>
          <t>JÄMTLANDS LÄN</t>
        </is>
      </c>
      <c r="E1175" t="inlineStr">
        <is>
          <t>RAGUNDA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45953-2023</t>
        </is>
      </c>
      <c r="B1176" s="1" t="n">
        <v>45195.94672453704</v>
      </c>
      <c r="C1176" s="1" t="n">
        <v>46021</v>
      </c>
      <c r="D1176" t="inlineStr">
        <is>
          <t>JÄMTLANDS LÄN</t>
        </is>
      </c>
      <c r="E1176" t="inlineStr">
        <is>
          <t>RAGUNDA</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63057-2025</t>
        </is>
      </c>
      <c r="B1177" s="1" t="n">
        <v>46009.63837962963</v>
      </c>
      <c r="C1177" s="1" t="n">
        <v>46021</v>
      </c>
      <c r="D1177" t="inlineStr">
        <is>
          <t>JÄMTLANDS LÄN</t>
        </is>
      </c>
      <c r="E1177" t="inlineStr">
        <is>
          <t>RAGUNDA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62927-2025</t>
        </is>
      </c>
      <c r="B1178" s="1" t="n">
        <v>46009.38609953703</v>
      </c>
      <c r="C1178" s="1" t="n">
        <v>46021</v>
      </c>
      <c r="D1178" t="inlineStr">
        <is>
          <t>JÄMTLANDS LÄN</t>
        </is>
      </c>
      <c r="E1178" t="inlineStr">
        <is>
          <t>RAGUNDA</t>
        </is>
      </c>
      <c r="G1178" t="n">
        <v>6.3</v>
      </c>
      <c r="H1178" t="n">
        <v>0</v>
      </c>
      <c r="I1178" t="n">
        <v>0</v>
      </c>
      <c r="J1178" t="n">
        <v>0</v>
      </c>
      <c r="K1178" t="n">
        <v>0</v>
      </c>
      <c r="L1178" t="n">
        <v>0</v>
      </c>
      <c r="M1178" t="n">
        <v>0</v>
      </c>
      <c r="N1178" t="n">
        <v>0</v>
      </c>
      <c r="O1178" t="n">
        <v>0</v>
      </c>
      <c r="P1178" t="n">
        <v>0</v>
      </c>
      <c r="Q1178" t="n">
        <v>0</v>
      </c>
      <c r="R1178" s="2" t="inlineStr"/>
      <c r="U1178">
        <f>HYPERLINK("https://klasma.github.io/Logging_2303/knärot/A 62927-2025 karta knärot.png", "A 62927-2025")</f>
        <v/>
      </c>
      <c r="V1178">
        <f>HYPERLINK("https://klasma.github.io/Logging_2303/klagomål/A 62927-2025 FSC-klagomål.docx", "A 62927-2025")</f>
        <v/>
      </c>
      <c r="W1178">
        <f>HYPERLINK("https://klasma.github.io/Logging_2303/klagomålsmail/A 62927-2025 FSC-klagomål mail.docx", "A 62927-2025")</f>
        <v/>
      </c>
      <c r="X1178">
        <f>HYPERLINK("https://klasma.github.io/Logging_2303/tillsyn/A 62927-2025 tillsynsbegäran.docx", "A 62927-2025")</f>
        <v/>
      </c>
      <c r="Y1178">
        <f>HYPERLINK("https://klasma.github.io/Logging_2303/tillsynsmail/A 62927-2025 tillsynsbegäran mail.docx", "A 62927-2025")</f>
        <v/>
      </c>
    </row>
    <row r="1179" ht="15" customHeight="1">
      <c r="A1179" t="inlineStr">
        <is>
          <t>A 63141-2025</t>
        </is>
      </c>
      <c r="B1179" s="1" t="n">
        <v>46010.34440972222</v>
      </c>
      <c r="C1179" s="1" t="n">
        <v>46021</v>
      </c>
      <c r="D1179" t="inlineStr">
        <is>
          <t>JÄMTLANDS LÄN</t>
        </is>
      </c>
      <c r="E1179" t="inlineStr">
        <is>
          <t>RAGUNDA</t>
        </is>
      </c>
      <c r="F1179" t="inlineStr">
        <is>
          <t>SCA</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45112.94303240741</v>
      </c>
      <c r="C1180" s="1" t="n">
        <v>46021</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30825-2023</t>
        </is>
      </c>
      <c r="B1181" s="1" t="n">
        <v>45112.94310185185</v>
      </c>
      <c r="C1181" s="1" t="n">
        <v>46021</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31506-2024</t>
        </is>
      </c>
      <c r="B1182" s="1" t="n">
        <v>45505</v>
      </c>
      <c r="C1182" s="1" t="n">
        <v>46021</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55633-2025</t>
        </is>
      </c>
      <c r="B1183" s="1" t="n">
        <v>45972</v>
      </c>
      <c r="C1183" s="1" t="n">
        <v>46021</v>
      </c>
      <c r="D1183" t="inlineStr">
        <is>
          <t>JÄMTLANDS LÄN</t>
        </is>
      </c>
      <c r="E1183" t="inlineStr">
        <is>
          <t>RAGUNDA</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55547-2025</t>
        </is>
      </c>
      <c r="B1184" s="1" t="n">
        <v>45971</v>
      </c>
      <c r="C1184" s="1" t="n">
        <v>46021</v>
      </c>
      <c r="D1184" t="inlineStr">
        <is>
          <t>JÄMTLANDS LÄN</t>
        </is>
      </c>
      <c r="E1184" t="inlineStr">
        <is>
          <t>RAGUNDA</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55222-2024</t>
        </is>
      </c>
      <c r="B1185" s="1" t="n">
        <v>45621.57395833333</v>
      </c>
      <c r="C1185" s="1" t="n">
        <v>46021</v>
      </c>
      <c r="D1185" t="inlineStr">
        <is>
          <t>JÄMTLANDS LÄN</t>
        </is>
      </c>
      <c r="E1185" t="inlineStr">
        <is>
          <t>RAGUNDA</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44755-2024</t>
        </is>
      </c>
      <c r="B1186" s="1" t="n">
        <v>45574.61184027778</v>
      </c>
      <c r="C1186" s="1" t="n">
        <v>46021</v>
      </c>
      <c r="D1186" t="inlineStr">
        <is>
          <t>JÄMTLANDS LÄN</t>
        </is>
      </c>
      <c r="E1186" t="inlineStr">
        <is>
          <t>RAGUNDA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44766-2024</t>
        </is>
      </c>
      <c r="B1187" s="1" t="n">
        <v>45574.62297453704</v>
      </c>
      <c r="C1187" s="1" t="n">
        <v>46021</v>
      </c>
      <c r="D1187" t="inlineStr">
        <is>
          <t>JÄMTLANDS LÄN</t>
        </is>
      </c>
      <c r="E1187" t="inlineStr">
        <is>
          <t>RAGUNDA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44778-2024</t>
        </is>
      </c>
      <c r="B1188" s="1" t="n">
        <v>45574.63355324074</v>
      </c>
      <c r="C1188" s="1" t="n">
        <v>46021</v>
      </c>
      <c r="D1188" t="inlineStr">
        <is>
          <t>JÄMTLANDS LÄN</t>
        </is>
      </c>
      <c r="E1188" t="inlineStr">
        <is>
          <t>RAGUNDA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63578-2025</t>
        </is>
      </c>
      <c r="B1189" s="1" t="n">
        <v>46013.67690972222</v>
      </c>
      <c r="C1189" s="1" t="n">
        <v>46021</v>
      </c>
      <c r="D1189" t="inlineStr">
        <is>
          <t>JÄMTLANDS LÄN</t>
        </is>
      </c>
      <c r="E1189" t="inlineStr">
        <is>
          <t>RAGUNDA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63672-2025</t>
        </is>
      </c>
      <c r="B1190" s="1" t="n">
        <v>46014.47575231481</v>
      </c>
      <c r="C1190" s="1" t="n">
        <v>46021</v>
      </c>
      <c r="D1190" t="inlineStr">
        <is>
          <t>JÄMTLANDS LÄN</t>
        </is>
      </c>
      <c r="E1190" t="inlineStr">
        <is>
          <t>RAGUNDA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8795-2022</t>
        </is>
      </c>
      <c r="B1191" s="1" t="n">
        <v>44614</v>
      </c>
      <c r="C1191" s="1" t="n">
        <v>46021</v>
      </c>
      <c r="D1191" t="inlineStr">
        <is>
          <t>JÄMTLANDS LÄN</t>
        </is>
      </c>
      <c r="E1191" t="inlineStr">
        <is>
          <t>RAGUNDA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14905-2022</t>
        </is>
      </c>
      <c r="B1192" s="1" t="n">
        <v>44656.94708333333</v>
      </c>
      <c r="C1192" s="1" t="n">
        <v>46021</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6257-2025</t>
        </is>
      </c>
      <c r="B1193" s="1" t="n">
        <v>45698.59409722222</v>
      </c>
      <c r="C1193" s="1" t="n">
        <v>46021</v>
      </c>
      <c r="D1193" t="inlineStr">
        <is>
          <t>JÄMTLANDS LÄN</t>
        </is>
      </c>
      <c r="E1193" t="inlineStr">
        <is>
          <t>RAGUNDA</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42508-2023</t>
        </is>
      </c>
      <c r="B1194" s="1" t="n">
        <v>45180.95907407408</v>
      </c>
      <c r="C1194" s="1" t="n">
        <v>46021</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55671-2025</t>
        </is>
      </c>
      <c r="B1195" s="1" t="n">
        <v>45972</v>
      </c>
      <c r="C1195" s="1" t="n">
        <v>46021</v>
      </c>
      <c r="D1195" t="inlineStr">
        <is>
          <t>JÄMTLANDS LÄN</t>
        </is>
      </c>
      <c r="E1195" t="inlineStr">
        <is>
          <t>RAGUNDA</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63671-2025</t>
        </is>
      </c>
      <c r="B1196" s="1" t="n">
        <v>46014.46555555556</v>
      </c>
      <c r="C1196" s="1" t="n">
        <v>46021</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56170-2025</t>
        </is>
      </c>
      <c r="B1197" s="1" t="n">
        <v>45974.39398148148</v>
      </c>
      <c r="C1197" s="1" t="n">
        <v>46021</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59286-2023</t>
        </is>
      </c>
      <c r="B1198" s="1" t="n">
        <v>45253</v>
      </c>
      <c r="C1198" s="1" t="n">
        <v>46021</v>
      </c>
      <c r="D1198" t="inlineStr">
        <is>
          <t>JÄMTLANDS LÄN</t>
        </is>
      </c>
      <c r="E1198" t="inlineStr">
        <is>
          <t>RAGUNDA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55897-2025</t>
        </is>
      </c>
      <c r="B1199" s="1" t="n">
        <v>45973.38600694444</v>
      </c>
      <c r="C1199" s="1" t="n">
        <v>46021</v>
      </c>
      <c r="D1199" t="inlineStr">
        <is>
          <t>JÄMTLANDS LÄN</t>
        </is>
      </c>
      <c r="E1199" t="inlineStr">
        <is>
          <t>RAGUNDA</t>
        </is>
      </c>
      <c r="F1199" t="inlineStr">
        <is>
          <t>SCA</t>
        </is>
      </c>
      <c r="G1199" t="n">
        <v>14.1</v>
      </c>
      <c r="H1199" t="n">
        <v>0</v>
      </c>
      <c r="I1199" t="n">
        <v>0</v>
      </c>
      <c r="J1199" t="n">
        <v>0</v>
      </c>
      <c r="K1199" t="n">
        <v>0</v>
      </c>
      <c r="L1199" t="n">
        <v>0</v>
      </c>
      <c r="M1199" t="n">
        <v>0</v>
      </c>
      <c r="N1199" t="n">
        <v>0</v>
      </c>
      <c r="O1199" t="n">
        <v>0</v>
      </c>
      <c r="P1199" t="n">
        <v>0</v>
      </c>
      <c r="Q1199" t="n">
        <v>0</v>
      </c>
      <c r="R1199" s="2" t="inlineStr"/>
    </row>
    <row r="1200" ht="15" customHeight="1">
      <c r="A1200" t="inlineStr">
        <is>
          <t>A 55797-2025</t>
        </is>
      </c>
      <c r="B1200" s="1" t="n">
        <v>45972.65693287037</v>
      </c>
      <c r="C1200" s="1" t="n">
        <v>46021</v>
      </c>
      <c r="D1200" t="inlineStr">
        <is>
          <t>JÄMTLANDS LÄN</t>
        </is>
      </c>
      <c r="E1200" t="inlineStr">
        <is>
          <t>RAGUNDA</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7284-2025</t>
        </is>
      </c>
      <c r="B1201" s="1" t="n">
        <v>45702.63604166666</v>
      </c>
      <c r="C1201" s="1" t="n">
        <v>46021</v>
      </c>
      <c r="D1201" t="inlineStr">
        <is>
          <t>JÄMTLANDS LÄN</t>
        </is>
      </c>
      <c r="E1201" t="inlineStr">
        <is>
          <t>RAGUNDA</t>
        </is>
      </c>
      <c r="F1201" t="inlineStr">
        <is>
          <t>SCA</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60012-2023</t>
        </is>
      </c>
      <c r="B1202" s="1" t="n">
        <v>45257</v>
      </c>
      <c r="C1202" s="1" t="n">
        <v>46021</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20221-2025</t>
        </is>
      </c>
      <c r="B1203" s="1" t="n">
        <v>45772.6565625</v>
      </c>
      <c r="C1203" s="1" t="n">
        <v>46021</v>
      </c>
      <c r="D1203" t="inlineStr">
        <is>
          <t>JÄMTLANDS LÄN</t>
        </is>
      </c>
      <c r="E1203" t="inlineStr">
        <is>
          <t>RAGUNDA</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35265-2023</t>
        </is>
      </c>
      <c r="B1204" s="1" t="n">
        <v>45145.95326388889</v>
      </c>
      <c r="C1204" s="1" t="n">
        <v>46021</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31435-2022</t>
        </is>
      </c>
      <c r="B1205" s="1" t="n">
        <v>44774</v>
      </c>
      <c r="C1205" s="1" t="n">
        <v>46021</v>
      </c>
      <c r="D1205" t="inlineStr">
        <is>
          <t>JÄMTLANDS LÄN</t>
        </is>
      </c>
      <c r="E1205" t="inlineStr">
        <is>
          <t>RAGUNDA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56806-2025</t>
        </is>
      </c>
      <c r="B1206" s="1" t="n">
        <v>45978.44842592593</v>
      </c>
      <c r="C1206" s="1" t="n">
        <v>46021</v>
      </c>
      <c r="D1206" t="inlineStr">
        <is>
          <t>JÄMTLANDS LÄN</t>
        </is>
      </c>
      <c r="E1206" t="inlineStr">
        <is>
          <t>RAGUNDA</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50211-2023</t>
        </is>
      </c>
      <c r="B1207" s="1" t="n">
        <v>45215.94657407407</v>
      </c>
      <c r="C1207" s="1" t="n">
        <v>46021</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57111-2025</t>
        </is>
      </c>
      <c r="B1208" s="1" t="n">
        <v>45978</v>
      </c>
      <c r="C1208" s="1" t="n">
        <v>46021</v>
      </c>
      <c r="D1208" t="inlineStr">
        <is>
          <t>JÄMTLANDS LÄN</t>
        </is>
      </c>
      <c r="E1208" t="inlineStr">
        <is>
          <t>RAGUNDA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57117-2025</t>
        </is>
      </c>
      <c r="B1209" s="1" t="n">
        <v>45978</v>
      </c>
      <c r="C1209" s="1" t="n">
        <v>46021</v>
      </c>
      <c r="D1209" t="inlineStr">
        <is>
          <t>JÄMTLANDS LÄN</t>
        </is>
      </c>
      <c r="E1209" t="inlineStr">
        <is>
          <t>RAGUNDA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16529-2022</t>
        </is>
      </c>
      <c r="B1210" s="1" t="n">
        <v>44671</v>
      </c>
      <c r="C1210" s="1" t="n">
        <v>46021</v>
      </c>
      <c r="D1210" t="inlineStr">
        <is>
          <t>JÄMTLANDS LÄN</t>
        </is>
      </c>
      <c r="E1210" t="inlineStr">
        <is>
          <t>RAGUNDA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40269-2022</t>
        </is>
      </c>
      <c r="B1211" s="1" t="n">
        <v>44820</v>
      </c>
      <c r="C1211" s="1" t="n">
        <v>46021</v>
      </c>
      <c r="D1211" t="inlineStr">
        <is>
          <t>JÄMTLANDS LÄN</t>
        </is>
      </c>
      <c r="E1211" t="inlineStr">
        <is>
          <t>RAGUNDA</t>
        </is>
      </c>
      <c r="F1211" t="inlineStr">
        <is>
          <t>SCA</t>
        </is>
      </c>
      <c r="G1211" t="n">
        <v>77.8</v>
      </c>
      <c r="H1211" t="n">
        <v>0</v>
      </c>
      <c r="I1211" t="n">
        <v>0</v>
      </c>
      <c r="J1211" t="n">
        <v>0</v>
      </c>
      <c r="K1211" t="n">
        <v>0</v>
      </c>
      <c r="L1211" t="n">
        <v>0</v>
      </c>
      <c r="M1211" t="n">
        <v>0</v>
      </c>
      <c r="N1211" t="n">
        <v>0</v>
      </c>
      <c r="O1211" t="n">
        <v>0</v>
      </c>
      <c r="P1211" t="n">
        <v>0</v>
      </c>
      <c r="Q1211" t="n">
        <v>0</v>
      </c>
      <c r="R1211" s="2" t="inlineStr"/>
    </row>
    <row r="1212" ht="15" customHeight="1">
      <c r="A1212" t="inlineStr">
        <is>
          <t>A 44536-2022</t>
        </is>
      </c>
      <c r="B1212" s="1" t="n">
        <v>44839</v>
      </c>
      <c r="C1212" s="1" t="n">
        <v>46021</v>
      </c>
      <c r="D1212" t="inlineStr">
        <is>
          <t>JÄMTLANDS LÄN</t>
        </is>
      </c>
      <c r="E1212" t="inlineStr">
        <is>
          <t>RAGUNDA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56751-2025</t>
        </is>
      </c>
      <c r="B1213" s="1" t="n">
        <v>45978.36538194444</v>
      </c>
      <c r="C1213" s="1" t="n">
        <v>46021</v>
      </c>
      <c r="D1213" t="inlineStr">
        <is>
          <t>JÄMTLANDS LÄN</t>
        </is>
      </c>
      <c r="E1213" t="inlineStr">
        <is>
          <t>RAGUNDA</t>
        </is>
      </c>
      <c r="F1213" t="inlineStr">
        <is>
          <t>SCA</t>
        </is>
      </c>
      <c r="G1213" t="n">
        <v>34.5</v>
      </c>
      <c r="H1213" t="n">
        <v>0</v>
      </c>
      <c r="I1213" t="n">
        <v>0</v>
      </c>
      <c r="J1213" t="n">
        <v>0</v>
      </c>
      <c r="K1213" t="n">
        <v>0</v>
      </c>
      <c r="L1213" t="n">
        <v>0</v>
      </c>
      <c r="M1213" t="n">
        <v>0</v>
      </c>
      <c r="N1213" t="n">
        <v>0</v>
      </c>
      <c r="O1213" t="n">
        <v>0</v>
      </c>
      <c r="P1213" t="n">
        <v>0</v>
      </c>
      <c r="Q1213" t="n">
        <v>0</v>
      </c>
      <c r="R1213" s="2" t="inlineStr"/>
    </row>
    <row r="1214" ht="15" customHeight="1">
      <c r="A1214" t="inlineStr">
        <is>
          <t>A 36212-2023</t>
        </is>
      </c>
      <c r="B1214" s="1" t="n">
        <v>45149.95241898148</v>
      </c>
      <c r="C1214" s="1" t="n">
        <v>46021</v>
      </c>
      <c r="D1214" t="inlineStr">
        <is>
          <t>JÄMTLANDS LÄN</t>
        </is>
      </c>
      <c r="E1214" t="inlineStr">
        <is>
          <t>RAGUNDA</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63828-2025</t>
        </is>
      </c>
      <c r="B1215" s="1" t="n">
        <v>46020.37814814815</v>
      </c>
      <c r="C1215" s="1" t="n">
        <v>46021</v>
      </c>
      <c r="D1215" t="inlineStr">
        <is>
          <t>JÄMTLANDS LÄN</t>
        </is>
      </c>
      <c r="E1215" t="inlineStr">
        <is>
          <t>RAGUNDA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53860-2023</t>
        </is>
      </c>
      <c r="B1216" s="1" t="n">
        <v>45224</v>
      </c>
      <c r="C1216" s="1" t="n">
        <v>46021</v>
      </c>
      <c r="D1216" t="inlineStr">
        <is>
          <t>JÄMTLANDS LÄN</t>
        </is>
      </c>
      <c r="E1216" t="inlineStr">
        <is>
          <t>RAGUNDA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54599-2023</t>
        </is>
      </c>
      <c r="B1217" s="1" t="n">
        <v>45233.92591435185</v>
      </c>
      <c r="C1217" s="1" t="n">
        <v>46021</v>
      </c>
      <c r="D1217" t="inlineStr">
        <is>
          <t>JÄMTLANDS LÄN</t>
        </is>
      </c>
      <c r="E1217" t="inlineStr">
        <is>
          <t>RAGUNDA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56435-2025</t>
        </is>
      </c>
      <c r="B1218" s="1" t="n">
        <v>45975.34679398148</v>
      </c>
      <c r="C1218" s="1" t="n">
        <v>46021</v>
      </c>
      <c r="D1218" t="inlineStr">
        <is>
          <t>JÄMTLANDS LÄN</t>
        </is>
      </c>
      <c r="E1218" t="inlineStr">
        <is>
          <t>RAGUNDA</t>
        </is>
      </c>
      <c r="F1218" t="inlineStr">
        <is>
          <t>SCA</t>
        </is>
      </c>
      <c r="G1218" t="n">
        <v>9.199999999999999</v>
      </c>
      <c r="H1218" t="n">
        <v>0</v>
      </c>
      <c r="I1218" t="n">
        <v>0</v>
      </c>
      <c r="J1218" t="n">
        <v>0</v>
      </c>
      <c r="K1218" t="n">
        <v>0</v>
      </c>
      <c r="L1218" t="n">
        <v>0</v>
      </c>
      <c r="M1218" t="n">
        <v>0</v>
      </c>
      <c r="N1218" t="n">
        <v>0</v>
      </c>
      <c r="O1218" t="n">
        <v>0</v>
      </c>
      <c r="P1218" t="n">
        <v>0</v>
      </c>
      <c r="Q1218" t="n">
        <v>0</v>
      </c>
      <c r="R1218" s="2" t="inlineStr"/>
      <c r="U1218">
        <f>HYPERLINK("https://klasma.github.io/Logging_2303/knärot/A 56435-2025 karta knärot.png", "A 56435-2025")</f>
        <v/>
      </c>
      <c r="V1218">
        <f>HYPERLINK("https://klasma.github.io/Logging_2303/klagomål/A 56435-2025 FSC-klagomål.docx", "A 56435-2025")</f>
        <v/>
      </c>
      <c r="W1218">
        <f>HYPERLINK("https://klasma.github.io/Logging_2303/klagomålsmail/A 56435-2025 FSC-klagomål mail.docx", "A 56435-2025")</f>
        <v/>
      </c>
      <c r="X1218">
        <f>HYPERLINK("https://klasma.github.io/Logging_2303/tillsyn/A 56435-2025 tillsynsbegäran.docx", "A 56435-2025")</f>
        <v/>
      </c>
      <c r="Y1218">
        <f>HYPERLINK("https://klasma.github.io/Logging_2303/tillsynsmail/A 56435-2025 tillsynsbegäran mail.docx", "A 56435-2025")</f>
        <v/>
      </c>
    </row>
    <row r="1219" ht="15" customHeight="1">
      <c r="A1219" t="inlineStr">
        <is>
          <t>A 10610-2024</t>
        </is>
      </c>
      <c r="B1219" s="1" t="n">
        <v>45367.04693287037</v>
      </c>
      <c r="C1219" s="1" t="n">
        <v>46021</v>
      </c>
      <c r="D1219" t="inlineStr">
        <is>
          <t>JÄMTLANDS LÄN</t>
        </is>
      </c>
      <c r="E1219" t="inlineStr">
        <is>
          <t>RAGUNDA</t>
        </is>
      </c>
      <c r="F1219" t="inlineStr">
        <is>
          <t>SCA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8779-2025</t>
        </is>
      </c>
      <c r="B1220" s="1" t="n">
        <v>45712.61552083334</v>
      </c>
      <c r="C1220" s="1" t="n">
        <v>46021</v>
      </c>
      <c r="D1220" t="inlineStr">
        <is>
          <t>JÄMTLANDS LÄN</t>
        </is>
      </c>
      <c r="E1220" t="inlineStr">
        <is>
          <t>RAGUNDA</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20574-2025</t>
        </is>
      </c>
      <c r="B1221" s="1" t="n">
        <v>45775.67747685185</v>
      </c>
      <c r="C1221" s="1" t="n">
        <v>46021</v>
      </c>
      <c r="D1221" t="inlineStr">
        <is>
          <t>JÄMTLANDS LÄN</t>
        </is>
      </c>
      <c r="E1221" t="inlineStr">
        <is>
          <t>RAGUNDA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16676-2022</t>
        </is>
      </c>
      <c r="B1222" s="1" t="n">
        <v>44672.94018518519</v>
      </c>
      <c r="C1222" s="1" t="n">
        <v>46021</v>
      </c>
      <c r="D1222" t="inlineStr">
        <is>
          <t>JÄMTLANDS LÄN</t>
        </is>
      </c>
      <c r="E1222" t="inlineStr">
        <is>
          <t>RAGUNDA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57078-2023</t>
        </is>
      </c>
      <c r="B1223" s="1" t="n">
        <v>45244.96774305555</v>
      </c>
      <c r="C1223" s="1" t="n">
        <v>46021</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12976-2025</t>
        </is>
      </c>
      <c r="B1224" s="1" t="n">
        <v>45734.45268518518</v>
      </c>
      <c r="C1224" s="1" t="n">
        <v>46021</v>
      </c>
      <c r="D1224" t="inlineStr">
        <is>
          <t>JÄMTLANDS LÄN</t>
        </is>
      </c>
      <c r="E1224" t="inlineStr">
        <is>
          <t>RAGUNDA</t>
        </is>
      </c>
      <c r="G1224" t="n">
        <v>24.2</v>
      </c>
      <c r="H1224" t="n">
        <v>0</v>
      </c>
      <c r="I1224" t="n">
        <v>0</v>
      </c>
      <c r="J1224" t="n">
        <v>0</v>
      </c>
      <c r="K1224" t="n">
        <v>0</v>
      </c>
      <c r="L1224" t="n">
        <v>0</v>
      </c>
      <c r="M1224" t="n">
        <v>0</v>
      </c>
      <c r="N1224" t="n">
        <v>0</v>
      </c>
      <c r="O1224" t="n">
        <v>0</v>
      </c>
      <c r="P1224" t="n">
        <v>0</v>
      </c>
      <c r="Q1224" t="n">
        <v>0</v>
      </c>
      <c r="R1224" s="2" t="inlineStr"/>
    </row>
    <row r="1225" ht="15" customHeight="1">
      <c r="A1225" t="inlineStr">
        <is>
          <t>A 56286-2023</t>
        </is>
      </c>
      <c r="B1225" s="1" t="n">
        <v>45241.95741898148</v>
      </c>
      <c r="C1225" s="1" t="n">
        <v>46021</v>
      </c>
      <c r="D1225" t="inlineStr">
        <is>
          <t>JÄMTLANDS LÄN</t>
        </is>
      </c>
      <c r="E1225" t="inlineStr">
        <is>
          <t>RAGUNDA</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56287-2023</t>
        </is>
      </c>
      <c r="B1226" s="1" t="n">
        <v>45241</v>
      </c>
      <c r="C1226" s="1" t="n">
        <v>46021</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59658-2023</t>
        </is>
      </c>
      <c r="B1227" s="1" t="n">
        <v>45254.96402777778</v>
      </c>
      <c r="C1227" s="1" t="n">
        <v>46021</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28081-2022</t>
        </is>
      </c>
      <c r="B1228" s="1" t="n">
        <v>44746</v>
      </c>
      <c r="C1228" s="1" t="n">
        <v>46021</v>
      </c>
      <c r="D1228" t="inlineStr">
        <is>
          <t>JÄMTLANDS LÄN</t>
        </is>
      </c>
      <c r="E1228" t="inlineStr">
        <is>
          <t>RAGUNDA</t>
        </is>
      </c>
      <c r="G1228" t="n">
        <v>7.2</v>
      </c>
      <c r="H1228" t="n">
        <v>0</v>
      </c>
      <c r="I1228" t="n">
        <v>0</v>
      </c>
      <c r="J1228" t="n">
        <v>0</v>
      </c>
      <c r="K1228" t="n">
        <v>0</v>
      </c>
      <c r="L1228" t="n">
        <v>0</v>
      </c>
      <c r="M1228" t="n">
        <v>0</v>
      </c>
      <c r="N1228" t="n">
        <v>0</v>
      </c>
      <c r="O1228" t="n">
        <v>0</v>
      </c>
      <c r="P1228" t="n">
        <v>0</v>
      </c>
      <c r="Q1228" t="n">
        <v>0</v>
      </c>
      <c r="R1228" s="2" t="inlineStr"/>
    </row>
    <row r="1229">
      <c r="A1229" t="inlineStr">
        <is>
          <t>A 37324-2022</t>
        </is>
      </c>
      <c r="B1229" s="1" t="n">
        <v>44806</v>
      </c>
      <c r="C1229" s="1" t="n">
        <v>46021</v>
      </c>
      <c r="D1229" t="inlineStr">
        <is>
          <t>JÄMTLANDS LÄN</t>
        </is>
      </c>
      <c r="E1229" t="inlineStr">
        <is>
          <t>RAGUNDA</t>
        </is>
      </c>
      <c r="G1229" t="n">
        <v>2.3</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2025-12-30T09:56:47Z</dcterms:created>
  <dcterms:modified xmlns:dcterms="http://purl.org/dc/terms/" xmlns:xsi="http://www.w3.org/2001/XMLSchema-instance" xsi:type="dcterms:W3CDTF">2025-12-30T09:56:48Z</dcterms:modified>
</cp:coreProperties>
</file>