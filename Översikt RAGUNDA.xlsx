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46029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46029</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46029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46029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46029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46029</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46029</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46029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46029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46029</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46029</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46029</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46029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46029</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46029</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46029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46029</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59762-2024</t>
        </is>
      </c>
      <c r="B19" s="1" t="n">
        <v>45639.55269675926</v>
      </c>
      <c r="C19" s="1" t="n">
        <v>46029</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46029</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29209-2024</t>
        </is>
      </c>
      <c r="B21" s="1" t="n">
        <v>45482.63819444444</v>
      </c>
      <c r="C21" s="1" t="n">
        <v>46029</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46029</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46029</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46029</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46029</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9347-2024</t>
        </is>
      </c>
      <c r="B26" s="1" t="n">
        <v>45358.99375</v>
      </c>
      <c r="C26" s="1" t="n">
        <v>46029</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32741-2025</t>
        </is>
      </c>
      <c r="B27" s="1" t="n">
        <v>45839.42482638889</v>
      </c>
      <c r="C27" s="1" t="n">
        <v>46029</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31839-2022</t>
        </is>
      </c>
      <c r="B28" s="1" t="n">
        <v>44776</v>
      </c>
      <c r="C28" s="1" t="n">
        <v>46029</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46029</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13483-2022</t>
        </is>
      </c>
      <c r="B30" s="1" t="n">
        <v>44645.99859953704</v>
      </c>
      <c r="C30" s="1" t="n">
        <v>46029</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41412-2024</t>
        </is>
      </c>
      <c r="B31" s="1" t="n">
        <v>45560.34484953704</v>
      </c>
      <c r="C31" s="1" t="n">
        <v>46029</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46029</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46029</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46029</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46029</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25016-2025</t>
        </is>
      </c>
      <c r="B36" s="1" t="n">
        <v>45799.63574074074</v>
      </c>
      <c r="C36" s="1" t="n">
        <v>46029</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46029</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46029</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62948-2021</t>
        </is>
      </c>
      <c r="B39" s="1" t="n">
        <v>44504</v>
      </c>
      <c r="C39" s="1" t="n">
        <v>46029</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58876-2025</t>
        </is>
      </c>
      <c r="B40" s="1" t="n">
        <v>45987.46929398148</v>
      </c>
      <c r="C40" s="1" t="n">
        <v>46029</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42393-2025</t>
        </is>
      </c>
      <c r="B41" s="1" t="n">
        <v>45905</v>
      </c>
      <c r="C41" s="1" t="n">
        <v>46029</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32068-2024</t>
        </is>
      </c>
      <c r="B42" s="1" t="n">
        <v>45510</v>
      </c>
      <c r="C42" s="1" t="n">
        <v>46029</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46029</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46029</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46029</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46029</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46029</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46029</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30335-2025</t>
        </is>
      </c>
      <c r="B49" s="1" t="n">
        <v>45827.5110300926</v>
      </c>
      <c r="C49" s="1" t="n">
        <v>46029</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59107-2025</t>
        </is>
      </c>
      <c r="B50" s="1" t="n">
        <v>45988.46924768519</v>
      </c>
      <c r="C50" s="1" t="n">
        <v>46029</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51037-2025</t>
        </is>
      </c>
      <c r="B51" s="1" t="n">
        <v>45947.40729166667</v>
      </c>
      <c r="C51" s="1" t="n">
        <v>46029</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60129-2025</t>
        </is>
      </c>
      <c r="B52" s="1" t="n">
        <v>45994.34461805555</v>
      </c>
      <c r="C52" s="1" t="n">
        <v>46029</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62738-2025</t>
        </is>
      </c>
      <c r="B53" s="1" t="n">
        <v>46008.57341435185</v>
      </c>
      <c r="C53" s="1" t="n">
        <v>46029</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32475-2023</t>
        </is>
      </c>
      <c r="B54" s="1" t="n">
        <v>45120</v>
      </c>
      <c r="C54" s="1" t="n">
        <v>46029</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46029</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46029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46029</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46029</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33806-2023</t>
        </is>
      </c>
      <c r="B59" s="1" t="n">
        <v>45121</v>
      </c>
      <c r="C59" s="1" t="n">
        <v>46029</v>
      </c>
      <c r="D59" t="inlineStr">
        <is>
          <t>JÄMTLANDS LÄN</t>
        </is>
      </c>
      <c r="E59" t="inlineStr">
        <is>
          <t>RAGUNDA</t>
        </is>
      </c>
      <c r="G59" t="n">
        <v>12</v>
      </c>
      <c r="H59" t="n">
        <v>2</v>
      </c>
      <c r="I59" t="n">
        <v>0</v>
      </c>
      <c r="J59" t="n">
        <v>5</v>
      </c>
      <c r="K59" t="n">
        <v>1</v>
      </c>
      <c r="L59" t="n">
        <v>0</v>
      </c>
      <c r="M59" t="n">
        <v>0</v>
      </c>
      <c r="N59" t="n">
        <v>0</v>
      </c>
      <c r="O59" t="n">
        <v>6</v>
      </c>
      <c r="P59" t="n">
        <v>1</v>
      </c>
      <c r="Q59" t="n">
        <v>7</v>
      </c>
      <c r="R59" s="2" t="inlineStr">
        <is>
          <t>Knärot
Granticka
Koralltaggsvamp
Lunglav
Persiljespindling
Äggvaxskivling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41929-2023</t>
        </is>
      </c>
      <c r="B60" s="1" t="n">
        <v>45176</v>
      </c>
      <c r="C60" s="1" t="n">
        <v>46029</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46029</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24169-2021</t>
        </is>
      </c>
      <c r="B62" s="1" t="n">
        <v>44336</v>
      </c>
      <c r="C62" s="1" t="n">
        <v>46029</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46029</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46029</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46029</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46029</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46029</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46029</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46029</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46029</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46029</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30884-2025</t>
        </is>
      </c>
      <c r="B72" s="1" t="n">
        <v>45832.34564814815</v>
      </c>
      <c r="C72" s="1" t="n">
        <v>46029</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19402-2025</t>
        </is>
      </c>
      <c r="B73" s="1" t="n">
        <v>45769.67778935185</v>
      </c>
      <c r="C73" s="1" t="n">
        <v>46029</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11828-2023</t>
        </is>
      </c>
      <c r="B74" s="1" t="n">
        <v>44994</v>
      </c>
      <c r="C74" s="1" t="n">
        <v>46029</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34317-2025</t>
        </is>
      </c>
      <c r="B75" s="1" t="n">
        <v>45846.41361111111</v>
      </c>
      <c r="C75" s="1" t="n">
        <v>46029</v>
      </c>
      <c r="D75" t="inlineStr">
        <is>
          <t>JÄMTLANDS LÄN</t>
        </is>
      </c>
      <c r="E75" t="inlineStr">
        <is>
          <t>RAGUNDA</t>
        </is>
      </c>
      <c r="G75" t="n">
        <v>8.300000000000001</v>
      </c>
      <c r="H75" t="n">
        <v>2</v>
      </c>
      <c r="I75" t="n">
        <v>1</v>
      </c>
      <c r="J75" t="n">
        <v>4</v>
      </c>
      <c r="K75" t="n">
        <v>1</v>
      </c>
      <c r="L75" t="n">
        <v>0</v>
      </c>
      <c r="M75" t="n">
        <v>0</v>
      </c>
      <c r="N75" t="n">
        <v>0</v>
      </c>
      <c r="O75" t="n">
        <v>5</v>
      </c>
      <c r="P75" t="n">
        <v>1</v>
      </c>
      <c r="Q75" t="n">
        <v>6</v>
      </c>
      <c r="R75" s="2" t="inlineStr">
        <is>
          <t>Knärot
Garnlav
Lunglav
Nordtagging
Talltita
Skinnlav</t>
        </is>
      </c>
      <c r="S75">
        <f>HYPERLINK("https://klasma.github.io/Logging_2303/artfynd/A 34317-2025 artfynd.xlsx", "A 34317-2025")</f>
        <v/>
      </c>
      <c r="T75">
        <f>HYPERLINK("https://klasma.github.io/Logging_2303/kartor/A 34317-2025 karta.png", "A 34317-2025")</f>
        <v/>
      </c>
      <c r="U75">
        <f>HYPERLINK("https://klasma.github.io/Logging_2303/knärot/A 34317-2025 karta knärot.png", "A 34317-2025")</f>
        <v/>
      </c>
      <c r="V75">
        <f>HYPERLINK("https://klasma.github.io/Logging_2303/klagomål/A 34317-2025 FSC-klagomål.docx", "A 34317-2025")</f>
        <v/>
      </c>
      <c r="W75">
        <f>HYPERLINK("https://klasma.github.io/Logging_2303/klagomålsmail/A 34317-2025 FSC-klagomål mail.docx", "A 34317-2025")</f>
        <v/>
      </c>
      <c r="X75">
        <f>HYPERLINK("https://klasma.github.io/Logging_2303/tillsyn/A 34317-2025 tillsynsbegäran.docx", "A 34317-2025")</f>
        <v/>
      </c>
      <c r="Y75">
        <f>HYPERLINK("https://klasma.github.io/Logging_2303/tillsynsmail/A 34317-2025 tillsynsbegäran mail.docx", "A 34317-2025")</f>
        <v/>
      </c>
      <c r="Z75">
        <f>HYPERLINK("https://klasma.github.io/Logging_2303/fåglar/A 34317-2025 prioriterade fågelarter.docx", "A 34317-2025")</f>
        <v/>
      </c>
    </row>
    <row r="76" ht="15" customHeight="1">
      <c r="A76" t="inlineStr">
        <is>
          <t>A 26326-2024</t>
        </is>
      </c>
      <c r="B76" s="1" t="n">
        <v>45468.97528935185</v>
      </c>
      <c r="C76" s="1" t="n">
        <v>46029</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36276-2025</t>
        </is>
      </c>
      <c r="B77" s="1" t="n">
        <v>45867.63619212963</v>
      </c>
      <c r="C77" s="1" t="n">
        <v>46029</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24431-2024</t>
        </is>
      </c>
      <c r="B78" s="1" t="n">
        <v>45457</v>
      </c>
      <c r="C78" s="1" t="n">
        <v>46029</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30637-2024</t>
        </is>
      </c>
      <c r="B79" s="1" t="n">
        <v>45495.56244212963</v>
      </c>
      <c r="C79" s="1" t="n">
        <v>46029</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49291-2025</t>
        </is>
      </c>
      <c r="B80" s="1" t="n">
        <v>45938.53188657408</v>
      </c>
      <c r="C80" s="1" t="n">
        <v>46029</v>
      </c>
      <c r="D80" t="inlineStr">
        <is>
          <t>JÄMTLANDS LÄN</t>
        </is>
      </c>
      <c r="E80" t="inlineStr">
        <is>
          <t>RAGUNDA</t>
        </is>
      </c>
      <c r="F80" t="inlineStr">
        <is>
          <t>SCA</t>
        </is>
      </c>
      <c r="G80" t="n">
        <v>4.2</v>
      </c>
      <c r="H80" t="n">
        <v>1</v>
      </c>
      <c r="I80" t="n">
        <v>3</v>
      </c>
      <c r="J80" t="n">
        <v>2</v>
      </c>
      <c r="K80" t="n">
        <v>0</v>
      </c>
      <c r="L80" t="n">
        <v>0</v>
      </c>
      <c r="M80" t="n">
        <v>0</v>
      </c>
      <c r="N80" t="n">
        <v>0</v>
      </c>
      <c r="O80" t="n">
        <v>2</v>
      </c>
      <c r="P80" t="n">
        <v>0</v>
      </c>
      <c r="Q80" t="n">
        <v>6</v>
      </c>
      <c r="R80" s="2" t="inlineStr">
        <is>
          <t>Kolflarnlav
Lunglav
Korallblylav
Skinnlav
Vårärt
Blåsippa</t>
        </is>
      </c>
      <c r="S80">
        <f>HYPERLINK("https://klasma.github.io/Logging_2303/artfynd/A 49291-2025 artfynd.xlsx", "A 49291-2025")</f>
        <v/>
      </c>
      <c r="T80">
        <f>HYPERLINK("https://klasma.github.io/Logging_2303/kartor/A 49291-2025 karta.png", "A 49291-2025")</f>
        <v/>
      </c>
      <c r="V80">
        <f>HYPERLINK("https://klasma.github.io/Logging_2303/klagomål/A 49291-2025 FSC-klagomål.docx", "A 49291-2025")</f>
        <v/>
      </c>
      <c r="W80">
        <f>HYPERLINK("https://klasma.github.io/Logging_2303/klagomålsmail/A 49291-2025 FSC-klagomål mail.docx", "A 49291-2025")</f>
        <v/>
      </c>
      <c r="X80">
        <f>HYPERLINK("https://klasma.github.io/Logging_2303/tillsyn/A 49291-2025 tillsynsbegäran.docx", "A 49291-2025")</f>
        <v/>
      </c>
      <c r="Y80">
        <f>HYPERLINK("https://klasma.github.io/Logging_2303/tillsynsmail/A 49291-2025 tillsynsbegäran mail.docx", "A 49291-2025")</f>
        <v/>
      </c>
    </row>
    <row r="81" ht="15" customHeight="1">
      <c r="A81" t="inlineStr">
        <is>
          <t>A 55646-2023</t>
        </is>
      </c>
      <c r="B81" s="1" t="n">
        <v>45238</v>
      </c>
      <c r="C81" s="1" t="n">
        <v>46029</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47115-2025</t>
        </is>
      </c>
      <c r="B82" s="1" t="n">
        <v>45929.67459490741</v>
      </c>
      <c r="C82" s="1" t="n">
        <v>46029</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933-2023</t>
        </is>
      </c>
      <c r="B83" s="1" t="n">
        <v>44932</v>
      </c>
      <c r="C83" s="1" t="n">
        <v>46029</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46029</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46029</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46029</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46029</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46029</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46029</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46029</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46029</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46029</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46029</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46029</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46029</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46029</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46029</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46029</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46029</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46029</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46029</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46029</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46029</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46029</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46029</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46029</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46029</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26082-2025</t>
        </is>
      </c>
      <c r="B108" s="1" t="n">
        <v>45805.34415509259</v>
      </c>
      <c r="C108" s="1" t="n">
        <v>46029</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23682-2021</t>
        </is>
      </c>
      <c r="B109" s="1" t="n">
        <v>44334</v>
      </c>
      <c r="C109" s="1" t="n">
        <v>46029</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46029</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32067-2024</t>
        </is>
      </c>
      <c r="B111" s="1" t="n">
        <v>45510</v>
      </c>
      <c r="C111" s="1" t="n">
        <v>46029</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40653-2025</t>
        </is>
      </c>
      <c r="B112" s="1" t="n">
        <v>45896.63618055556</v>
      </c>
      <c r="C112" s="1" t="n">
        <v>46029</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15836-2024</t>
        </is>
      </c>
      <c r="B113" s="1" t="n">
        <v>45404</v>
      </c>
      <c r="C113" s="1" t="n">
        <v>46029</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46029</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60670-2022</t>
        </is>
      </c>
      <c r="B115" s="1" t="n">
        <v>44911</v>
      </c>
      <c r="C115" s="1" t="n">
        <v>46029</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52168-2025</t>
        </is>
      </c>
      <c r="B116" s="1" t="n">
        <v>45953.365625</v>
      </c>
      <c r="C116" s="1" t="n">
        <v>46029</v>
      </c>
      <c r="D116" t="inlineStr">
        <is>
          <t>JÄMTLANDS LÄN</t>
        </is>
      </c>
      <c r="E116" t="inlineStr">
        <is>
          <t>RAGUNDA</t>
        </is>
      </c>
      <c r="F116" t="inlineStr">
        <is>
          <t>SCA</t>
        </is>
      </c>
      <c r="G116" t="n">
        <v>19.5</v>
      </c>
      <c r="H116" t="n">
        <v>0</v>
      </c>
      <c r="I116" t="n">
        <v>1</v>
      </c>
      <c r="J116" t="n">
        <v>3</v>
      </c>
      <c r="K116" t="n">
        <v>0</v>
      </c>
      <c r="L116" t="n">
        <v>0</v>
      </c>
      <c r="M116" t="n">
        <v>0</v>
      </c>
      <c r="N116" t="n">
        <v>0</v>
      </c>
      <c r="O116" t="n">
        <v>3</v>
      </c>
      <c r="P116" t="n">
        <v>0</v>
      </c>
      <c r="Q116" t="n">
        <v>4</v>
      </c>
      <c r="R116" s="2" t="inlineStr">
        <is>
          <t>Garnlav
Granticka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50342-2025</t>
        </is>
      </c>
      <c r="B117" s="1" t="n">
        <v>45944.53186342592</v>
      </c>
      <c r="C117" s="1" t="n">
        <v>46029</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52644-2024</t>
        </is>
      </c>
      <c r="B118" s="1" t="n">
        <v>45610.34415509259</v>
      </c>
      <c r="C118" s="1" t="n">
        <v>46029</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17092-2022</t>
        </is>
      </c>
      <c r="B119" s="1" t="n">
        <v>44677</v>
      </c>
      <c r="C119" s="1" t="n">
        <v>46029</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46029</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43960-2023</t>
        </is>
      </c>
      <c r="B121" s="1" t="n">
        <v>45187</v>
      </c>
      <c r="C121" s="1" t="n">
        <v>46029</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19401-2025</t>
        </is>
      </c>
      <c r="B122" s="1" t="n">
        <v>45769.67767361111</v>
      </c>
      <c r="C122" s="1" t="n">
        <v>46029</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21372-2025</t>
        </is>
      </c>
      <c r="B123" s="1" t="n">
        <v>45782.44871527778</v>
      </c>
      <c r="C123" s="1" t="n">
        <v>46029</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46029</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46029</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46029</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46029</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46029</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46029</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46029</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61790-2023</t>
        </is>
      </c>
      <c r="B131" s="1" t="n">
        <v>45265</v>
      </c>
      <c r="C131" s="1" t="n">
        <v>46029</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48054-2022</t>
        </is>
      </c>
      <c r="B132" s="1" t="n">
        <v>44855</v>
      </c>
      <c r="C132" s="1" t="n">
        <v>46029</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58737-2022</t>
        </is>
      </c>
      <c r="B133" s="1" t="n">
        <v>44902</v>
      </c>
      <c r="C133" s="1" t="n">
        <v>46029</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20776-2024</t>
        </is>
      </c>
      <c r="B134" s="1" t="n">
        <v>45436.94686342592</v>
      </c>
      <c r="C134" s="1" t="n">
        <v>46029</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25769-2025</t>
        </is>
      </c>
      <c r="B135" s="1" t="n">
        <v>45804.34474537037</v>
      </c>
      <c r="C135" s="1" t="n">
        <v>46029</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30470-2024</t>
        </is>
      </c>
      <c r="B136" s="1" t="n">
        <v>45491.94715277778</v>
      </c>
      <c r="C136" s="1" t="n">
        <v>46029</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7519-2023</t>
        </is>
      </c>
      <c r="B137" s="1" t="n">
        <v>44971</v>
      </c>
      <c r="C137" s="1" t="n">
        <v>46029</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46029</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46029</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34585-2025</t>
        </is>
      </c>
      <c r="B140" s="1" t="n">
        <v>45847.61498842593</v>
      </c>
      <c r="C140" s="1" t="n">
        <v>46029</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46029</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46029</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59179-2025</t>
        </is>
      </c>
      <c r="B143" s="1" t="n">
        <v>45988.57350694444</v>
      </c>
      <c r="C143" s="1" t="n">
        <v>46029</v>
      </c>
      <c r="D143" t="inlineStr">
        <is>
          <t>JÄMTLANDS LÄN</t>
        </is>
      </c>
      <c r="E143" t="inlineStr">
        <is>
          <t>RAGUNDA</t>
        </is>
      </c>
      <c r="F143" t="inlineStr">
        <is>
          <t>SCA</t>
        </is>
      </c>
      <c r="G143" t="n">
        <v>2.3</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16305-2025</t>
        </is>
      </c>
      <c r="B144" s="1" t="n">
        <v>45751.34650462963</v>
      </c>
      <c r="C144" s="1" t="n">
        <v>46029</v>
      </c>
      <c r="D144" t="inlineStr">
        <is>
          <t>JÄMTLANDS LÄN</t>
        </is>
      </c>
      <c r="E144" t="inlineStr">
        <is>
          <t>RAGUNDA</t>
        </is>
      </c>
      <c r="F144" t="inlineStr">
        <is>
          <t>SCA</t>
        </is>
      </c>
      <c r="G144" t="n">
        <v>2.5</v>
      </c>
      <c r="H144" t="n">
        <v>0</v>
      </c>
      <c r="I144" t="n">
        <v>2</v>
      </c>
      <c r="J144" t="n">
        <v>1</v>
      </c>
      <c r="K144" t="n">
        <v>0</v>
      </c>
      <c r="L144" t="n">
        <v>0</v>
      </c>
      <c r="M144" t="n">
        <v>0</v>
      </c>
      <c r="N144" t="n">
        <v>0</v>
      </c>
      <c r="O144" t="n">
        <v>1</v>
      </c>
      <c r="P144" t="n">
        <v>0</v>
      </c>
      <c r="Q144" t="n">
        <v>3</v>
      </c>
      <c r="R144" s="2" t="inlineStr">
        <is>
          <t>Lunglav
Bollvitmossa
Källmossa</t>
        </is>
      </c>
      <c r="S144">
        <f>HYPERLINK("https://klasma.github.io/Logging_2303/artfynd/A 16305-2025 artfynd.xlsx", "A 16305-2025")</f>
        <v/>
      </c>
      <c r="T144">
        <f>HYPERLINK("https://klasma.github.io/Logging_2303/kartor/A 16305-2025 karta.png", "A 16305-2025")</f>
        <v/>
      </c>
      <c r="V144">
        <f>HYPERLINK("https://klasma.github.io/Logging_2303/klagomål/A 16305-2025 FSC-klagomål.docx", "A 16305-2025")</f>
        <v/>
      </c>
      <c r="W144">
        <f>HYPERLINK("https://klasma.github.io/Logging_2303/klagomålsmail/A 16305-2025 FSC-klagomål mail.docx", "A 16305-2025")</f>
        <v/>
      </c>
      <c r="X144">
        <f>HYPERLINK("https://klasma.github.io/Logging_2303/tillsyn/A 16305-2025 tillsynsbegäran.docx", "A 16305-2025")</f>
        <v/>
      </c>
      <c r="Y144">
        <f>HYPERLINK("https://klasma.github.io/Logging_2303/tillsynsmail/A 16305-2025 tillsynsbegäran mail.docx", "A 16305-2025")</f>
        <v/>
      </c>
    </row>
    <row r="145" ht="15" customHeight="1">
      <c r="A145" t="inlineStr">
        <is>
          <t>A 28178-2023</t>
        </is>
      </c>
      <c r="B145" s="1" t="n">
        <v>45093</v>
      </c>
      <c r="C145" s="1" t="n">
        <v>46029</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52345-2024</t>
        </is>
      </c>
      <c r="B146" s="1" t="n">
        <v>45609.34412037037</v>
      </c>
      <c r="C146" s="1" t="n">
        <v>46029</v>
      </c>
      <c r="D146" t="inlineStr">
        <is>
          <t>JÄMTLANDS LÄN</t>
        </is>
      </c>
      <c r="E146" t="inlineStr">
        <is>
          <t>RAGUNDA</t>
        </is>
      </c>
      <c r="F146" t="inlineStr">
        <is>
          <t>SCA</t>
        </is>
      </c>
      <c r="G146" t="n">
        <v>10.3</v>
      </c>
      <c r="H146" t="n">
        <v>1</v>
      </c>
      <c r="I146" t="n">
        <v>0</v>
      </c>
      <c r="J146" t="n">
        <v>2</v>
      </c>
      <c r="K146" t="n">
        <v>0</v>
      </c>
      <c r="L146" t="n">
        <v>0</v>
      </c>
      <c r="M146" t="n">
        <v>0</v>
      </c>
      <c r="N146" t="n">
        <v>0</v>
      </c>
      <c r="O146" t="n">
        <v>2</v>
      </c>
      <c r="P146" t="n">
        <v>0</v>
      </c>
      <c r="Q146" t="n">
        <v>3</v>
      </c>
      <c r="R146" s="2" t="inlineStr">
        <is>
          <t>Doftskinn
Koralltaggsvamp
Blåsippa</t>
        </is>
      </c>
      <c r="S146">
        <f>HYPERLINK("https://klasma.github.io/Logging_2303/artfynd/A 52345-2024 artfynd.xlsx", "A 52345-2024")</f>
        <v/>
      </c>
      <c r="T146">
        <f>HYPERLINK("https://klasma.github.io/Logging_2303/kartor/A 52345-2024 karta.png", "A 52345-2024")</f>
        <v/>
      </c>
      <c r="V146">
        <f>HYPERLINK("https://klasma.github.io/Logging_2303/klagomål/A 52345-2024 FSC-klagomål.docx", "A 52345-2024")</f>
        <v/>
      </c>
      <c r="W146">
        <f>HYPERLINK("https://klasma.github.io/Logging_2303/klagomålsmail/A 52345-2024 FSC-klagomål mail.docx", "A 52345-2024")</f>
        <v/>
      </c>
      <c r="X146">
        <f>HYPERLINK("https://klasma.github.io/Logging_2303/tillsyn/A 52345-2024 tillsynsbegäran.docx", "A 52345-2024")</f>
        <v/>
      </c>
      <c r="Y146">
        <f>HYPERLINK("https://klasma.github.io/Logging_2303/tillsynsmail/A 52345-2024 tillsynsbegäran mail.docx", "A 52345-2024")</f>
        <v/>
      </c>
    </row>
    <row r="147" ht="15" customHeight="1">
      <c r="A147" t="inlineStr">
        <is>
          <t>A 57941-2024</t>
        </is>
      </c>
      <c r="B147" s="1" t="n">
        <v>45631</v>
      </c>
      <c r="C147" s="1" t="n">
        <v>46029</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61954-2025</t>
        </is>
      </c>
      <c r="B148" s="1" t="n">
        <v>46003.57381944444</v>
      </c>
      <c r="C148" s="1" t="n">
        <v>46029</v>
      </c>
      <c r="D148" t="inlineStr">
        <is>
          <t>JÄMTLANDS LÄN</t>
        </is>
      </c>
      <c r="E148" t="inlineStr">
        <is>
          <t>RAGUNDA</t>
        </is>
      </c>
      <c r="F148" t="inlineStr">
        <is>
          <t>SCA</t>
        </is>
      </c>
      <c r="G148" t="n">
        <v>6.5</v>
      </c>
      <c r="H148" t="n">
        <v>0</v>
      </c>
      <c r="I148" t="n">
        <v>1</v>
      </c>
      <c r="J148" t="n">
        <v>2</v>
      </c>
      <c r="K148" t="n">
        <v>0</v>
      </c>
      <c r="L148" t="n">
        <v>0</v>
      </c>
      <c r="M148" t="n">
        <v>0</v>
      </c>
      <c r="N148" t="n">
        <v>0</v>
      </c>
      <c r="O148" t="n">
        <v>2</v>
      </c>
      <c r="P148" t="n">
        <v>0</v>
      </c>
      <c r="Q148" t="n">
        <v>3</v>
      </c>
      <c r="R148" s="2" t="inlineStr">
        <is>
          <t>Garnlav
Lunglav
Trådticka</t>
        </is>
      </c>
      <c r="S148">
        <f>HYPERLINK("https://klasma.github.io/Logging_2303/artfynd/A 61954-2025 artfynd.xlsx", "A 61954-2025")</f>
        <v/>
      </c>
      <c r="T148">
        <f>HYPERLINK("https://klasma.github.io/Logging_2303/kartor/A 61954-2025 karta.png", "A 61954-2025")</f>
        <v/>
      </c>
      <c r="V148">
        <f>HYPERLINK("https://klasma.github.io/Logging_2303/klagomål/A 61954-2025 FSC-klagomål.docx", "A 61954-2025")</f>
        <v/>
      </c>
      <c r="W148">
        <f>HYPERLINK("https://klasma.github.io/Logging_2303/klagomålsmail/A 61954-2025 FSC-klagomål mail.docx", "A 61954-2025")</f>
        <v/>
      </c>
      <c r="X148">
        <f>HYPERLINK("https://klasma.github.io/Logging_2303/tillsyn/A 61954-2025 tillsynsbegäran.docx", "A 61954-2025")</f>
        <v/>
      </c>
      <c r="Y148">
        <f>HYPERLINK("https://klasma.github.io/Logging_2303/tillsynsmail/A 61954-2025 tillsynsbegäran mail.docx", "A 61954-2025")</f>
        <v/>
      </c>
    </row>
    <row r="149" ht="15" customHeight="1">
      <c r="A149" t="inlineStr">
        <is>
          <t>A 49047-2023</t>
        </is>
      </c>
      <c r="B149" s="1" t="n">
        <v>45209</v>
      </c>
      <c r="C149" s="1" t="n">
        <v>46029</v>
      </c>
      <c r="D149" t="inlineStr">
        <is>
          <t>JÄMTLANDS LÄN</t>
        </is>
      </c>
      <c r="E149" t="inlineStr">
        <is>
          <t>RAGUNDA</t>
        </is>
      </c>
      <c r="F149" t="inlineStr">
        <is>
          <t>SCA</t>
        </is>
      </c>
      <c r="G149" t="n">
        <v>6.9</v>
      </c>
      <c r="H149" t="n">
        <v>0</v>
      </c>
      <c r="I149" t="n">
        <v>0</v>
      </c>
      <c r="J149" t="n">
        <v>3</v>
      </c>
      <c r="K149" t="n">
        <v>0</v>
      </c>
      <c r="L149" t="n">
        <v>0</v>
      </c>
      <c r="M149" t="n">
        <v>0</v>
      </c>
      <c r="N149" t="n">
        <v>0</v>
      </c>
      <c r="O149" t="n">
        <v>3</v>
      </c>
      <c r="P149" t="n">
        <v>0</v>
      </c>
      <c r="Q149" t="n">
        <v>3</v>
      </c>
      <c r="R149" s="2" t="inlineStr">
        <is>
          <t>Lunglav
Rosenticka
Skrovellav</t>
        </is>
      </c>
      <c r="S149">
        <f>HYPERLINK("https://klasma.github.io/Logging_2303/artfynd/A 49047-2023 artfynd.xlsx", "A 49047-2023")</f>
        <v/>
      </c>
      <c r="T149">
        <f>HYPERLINK("https://klasma.github.io/Logging_2303/kartor/A 49047-2023 karta.png", "A 49047-2023")</f>
        <v/>
      </c>
      <c r="V149">
        <f>HYPERLINK("https://klasma.github.io/Logging_2303/klagomål/A 49047-2023 FSC-klagomål.docx", "A 49047-2023")</f>
        <v/>
      </c>
      <c r="W149">
        <f>HYPERLINK("https://klasma.github.io/Logging_2303/klagomålsmail/A 49047-2023 FSC-klagomål mail.docx", "A 49047-2023")</f>
        <v/>
      </c>
      <c r="X149">
        <f>HYPERLINK("https://klasma.github.io/Logging_2303/tillsyn/A 49047-2023 tillsynsbegäran.docx", "A 49047-2023")</f>
        <v/>
      </c>
      <c r="Y149">
        <f>HYPERLINK("https://klasma.github.io/Logging_2303/tillsynsmail/A 49047-2023 tillsynsbegäran mail.docx", "A 49047-2023")</f>
        <v/>
      </c>
    </row>
    <row r="150" ht="15" customHeight="1">
      <c r="A150" t="inlineStr">
        <is>
          <t>A 36504-2023</t>
        </is>
      </c>
      <c r="B150" s="1" t="n">
        <v>45152</v>
      </c>
      <c r="C150" s="1" t="n">
        <v>46029</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57667-2025</t>
        </is>
      </c>
      <c r="B151" s="1" t="n">
        <v>45981.42767361111</v>
      </c>
      <c r="C151" s="1" t="n">
        <v>46029</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33278-2022</t>
        </is>
      </c>
      <c r="B152" s="1" t="n">
        <v>44788</v>
      </c>
      <c r="C152" s="1" t="n">
        <v>46029</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46029</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46029</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46029</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46029</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46029</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46029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46029</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46029</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46029</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46029</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46029</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46029</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46029</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46029</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14502-2024</t>
        </is>
      </c>
      <c r="B167" s="1" t="n">
        <v>45394</v>
      </c>
      <c r="C167" s="1" t="n">
        <v>46029</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31960-2025</t>
        </is>
      </c>
      <c r="B168" s="1" t="n">
        <v>45835.344375</v>
      </c>
      <c r="C168" s="1" t="n">
        <v>46029</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26482-2023</t>
        </is>
      </c>
      <c r="B169" s="1" t="n">
        <v>45089</v>
      </c>
      <c r="C169" s="1" t="n">
        <v>46029</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46029</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46771-2024</t>
        </is>
      </c>
      <c r="B171" s="1" t="n">
        <v>45583.49642361111</v>
      </c>
      <c r="C171" s="1" t="n">
        <v>46029</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10866-2025</t>
        </is>
      </c>
      <c r="B172" s="1" t="n">
        <v>45722.61543981481</v>
      </c>
      <c r="C172" s="1" t="n">
        <v>46029</v>
      </c>
      <c r="D172" t="inlineStr">
        <is>
          <t>JÄMTLANDS LÄN</t>
        </is>
      </c>
      <c r="E172" t="inlineStr">
        <is>
          <t>RAGUNDA</t>
        </is>
      </c>
      <c r="F172" t="inlineStr">
        <is>
          <t>SCA</t>
        </is>
      </c>
      <c r="G172" t="n">
        <v>15.9</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10866-2025 artfynd.xlsx", "A 10866-2025")</f>
        <v/>
      </c>
      <c r="T172">
        <f>HYPERLINK("https://klasma.github.io/Logging_2303/kartor/A 10866-2025 karta.png", "A 10866-2025")</f>
        <v/>
      </c>
      <c r="V172">
        <f>HYPERLINK("https://klasma.github.io/Logging_2303/klagomål/A 10866-2025 FSC-klagomål.docx", "A 10866-2025")</f>
        <v/>
      </c>
      <c r="W172">
        <f>HYPERLINK("https://klasma.github.io/Logging_2303/klagomålsmail/A 10866-2025 FSC-klagomål mail.docx", "A 10866-2025")</f>
        <v/>
      </c>
      <c r="X172">
        <f>HYPERLINK("https://klasma.github.io/Logging_2303/tillsyn/A 10866-2025 tillsynsbegäran.docx", "A 10866-2025")</f>
        <v/>
      </c>
      <c r="Y172">
        <f>HYPERLINK("https://klasma.github.io/Logging_2303/tillsynsmail/A 10866-2025 tillsynsbegäran mail.docx", "A 10866-2025")</f>
        <v/>
      </c>
    </row>
    <row r="173" ht="15" customHeight="1">
      <c r="A173" t="inlineStr">
        <is>
          <t>A 10884-2025</t>
        </is>
      </c>
      <c r="B173" s="1" t="n">
        <v>45722.65670138889</v>
      </c>
      <c r="C173" s="1" t="n">
        <v>46029</v>
      </c>
      <c r="D173" t="inlineStr">
        <is>
          <t>JÄMTLANDS LÄN</t>
        </is>
      </c>
      <c r="E173" t="inlineStr">
        <is>
          <t>RAGUNDA</t>
        </is>
      </c>
      <c r="F173" t="inlineStr">
        <is>
          <t>SCA</t>
        </is>
      </c>
      <c r="G173" t="n">
        <v>5.4</v>
      </c>
      <c r="H173" t="n">
        <v>0</v>
      </c>
      <c r="I173" t="n">
        <v>1</v>
      </c>
      <c r="J173" t="n">
        <v>1</v>
      </c>
      <c r="K173" t="n">
        <v>0</v>
      </c>
      <c r="L173" t="n">
        <v>0</v>
      </c>
      <c r="M173" t="n">
        <v>0</v>
      </c>
      <c r="N173" t="n">
        <v>0</v>
      </c>
      <c r="O173" t="n">
        <v>1</v>
      </c>
      <c r="P173" t="n">
        <v>0</v>
      </c>
      <c r="Q173" t="n">
        <v>2</v>
      </c>
      <c r="R173" s="2" t="inlineStr">
        <is>
          <t>Vitgrynig nållav
Dropptaggsvamp</t>
        </is>
      </c>
      <c r="S173">
        <f>HYPERLINK("https://klasma.github.io/Logging_2303/artfynd/A 10884-2025 artfynd.xlsx", "A 10884-2025")</f>
        <v/>
      </c>
      <c r="T173">
        <f>HYPERLINK("https://klasma.github.io/Logging_2303/kartor/A 10884-2025 karta.png", "A 10884-2025")</f>
        <v/>
      </c>
      <c r="V173">
        <f>HYPERLINK("https://klasma.github.io/Logging_2303/klagomål/A 10884-2025 FSC-klagomål.docx", "A 10884-2025")</f>
        <v/>
      </c>
      <c r="W173">
        <f>HYPERLINK("https://klasma.github.io/Logging_2303/klagomålsmail/A 10884-2025 FSC-klagomål mail.docx", "A 10884-2025")</f>
        <v/>
      </c>
      <c r="X173">
        <f>HYPERLINK("https://klasma.github.io/Logging_2303/tillsyn/A 10884-2025 tillsynsbegäran.docx", "A 10884-2025")</f>
        <v/>
      </c>
      <c r="Y173">
        <f>HYPERLINK("https://klasma.github.io/Logging_2303/tillsynsmail/A 10884-2025 tillsynsbegäran mail.docx", "A 10884-2025")</f>
        <v/>
      </c>
    </row>
    <row r="174" ht="15" customHeight="1">
      <c r="A174" t="inlineStr">
        <is>
          <t>A 48084-2022</t>
        </is>
      </c>
      <c r="B174" s="1" t="n">
        <v>44855</v>
      </c>
      <c r="C174" s="1" t="n">
        <v>46029</v>
      </c>
      <c r="D174" t="inlineStr">
        <is>
          <t>JÄMTLANDS LÄN</t>
        </is>
      </c>
      <c r="E174" t="inlineStr">
        <is>
          <t>RAGUNDA</t>
        </is>
      </c>
      <c r="F174" t="inlineStr">
        <is>
          <t>SCA</t>
        </is>
      </c>
      <c r="G174" t="n">
        <v>4.7</v>
      </c>
      <c r="H174" t="n">
        <v>1</v>
      </c>
      <c r="I174" t="n">
        <v>0</v>
      </c>
      <c r="J174" t="n">
        <v>2</v>
      </c>
      <c r="K174" t="n">
        <v>0</v>
      </c>
      <c r="L174" t="n">
        <v>0</v>
      </c>
      <c r="M174" t="n">
        <v>0</v>
      </c>
      <c r="N174" t="n">
        <v>0</v>
      </c>
      <c r="O174" t="n">
        <v>2</v>
      </c>
      <c r="P174" t="n">
        <v>0</v>
      </c>
      <c r="Q174" t="n">
        <v>2</v>
      </c>
      <c r="R174" s="2" t="inlineStr">
        <is>
          <t>Rosenticka
Tretåig hackspett</t>
        </is>
      </c>
      <c r="S174">
        <f>HYPERLINK("https://klasma.github.io/Logging_2303/artfynd/A 48084-2022 artfynd.xlsx", "A 48084-2022")</f>
        <v/>
      </c>
      <c r="T174">
        <f>HYPERLINK("https://klasma.github.io/Logging_2303/kartor/A 48084-2022 karta.png", "A 48084-2022")</f>
        <v/>
      </c>
      <c r="V174">
        <f>HYPERLINK("https://klasma.github.io/Logging_2303/klagomål/A 48084-2022 FSC-klagomål.docx", "A 48084-2022")</f>
        <v/>
      </c>
      <c r="W174">
        <f>HYPERLINK("https://klasma.github.io/Logging_2303/klagomålsmail/A 48084-2022 FSC-klagomål mail.docx", "A 48084-2022")</f>
        <v/>
      </c>
      <c r="X174">
        <f>HYPERLINK("https://klasma.github.io/Logging_2303/tillsyn/A 48084-2022 tillsynsbegäran.docx", "A 48084-2022")</f>
        <v/>
      </c>
      <c r="Y174">
        <f>HYPERLINK("https://klasma.github.io/Logging_2303/tillsynsmail/A 48084-2022 tillsynsbegäran mail.docx", "A 48084-2022")</f>
        <v/>
      </c>
      <c r="Z174">
        <f>HYPERLINK("https://klasma.github.io/Logging_2303/fåglar/A 48084-2022 prioriterade fågelarter.docx", "A 48084-2022")</f>
        <v/>
      </c>
    </row>
    <row r="175" ht="15" customHeight="1">
      <c r="A175" t="inlineStr">
        <is>
          <t>A 47850-2025</t>
        </is>
      </c>
      <c r="B175" s="1" t="n">
        <v>45932.38626157407</v>
      </c>
      <c r="C175" s="1" t="n">
        <v>46029</v>
      </c>
      <c r="D175" t="inlineStr">
        <is>
          <t>JÄMTLANDS LÄN</t>
        </is>
      </c>
      <c r="E175" t="inlineStr">
        <is>
          <t>RAGUNDA</t>
        </is>
      </c>
      <c r="F175" t="inlineStr">
        <is>
          <t>SCA</t>
        </is>
      </c>
      <c r="G175" t="n">
        <v>2.4</v>
      </c>
      <c r="H175" t="n">
        <v>1</v>
      </c>
      <c r="I175" t="n">
        <v>0</v>
      </c>
      <c r="J175" t="n">
        <v>1</v>
      </c>
      <c r="K175" t="n">
        <v>0</v>
      </c>
      <c r="L175" t="n">
        <v>0</v>
      </c>
      <c r="M175" t="n">
        <v>0</v>
      </c>
      <c r="N175" t="n">
        <v>0</v>
      </c>
      <c r="O175" t="n">
        <v>1</v>
      </c>
      <c r="P175" t="n">
        <v>0</v>
      </c>
      <c r="Q175" t="n">
        <v>2</v>
      </c>
      <c r="R175" s="2" t="inlineStr">
        <is>
          <t>Kolflarnlav
Blåsippa</t>
        </is>
      </c>
      <c r="S175">
        <f>HYPERLINK("https://klasma.github.io/Logging_2303/artfynd/A 47850-2025 artfynd.xlsx", "A 47850-2025")</f>
        <v/>
      </c>
      <c r="T175">
        <f>HYPERLINK("https://klasma.github.io/Logging_2303/kartor/A 47850-2025 karta.png", "A 47850-2025")</f>
        <v/>
      </c>
      <c r="V175">
        <f>HYPERLINK("https://klasma.github.io/Logging_2303/klagomål/A 47850-2025 FSC-klagomål.docx", "A 47850-2025")</f>
        <v/>
      </c>
      <c r="W175">
        <f>HYPERLINK("https://klasma.github.io/Logging_2303/klagomålsmail/A 47850-2025 FSC-klagomål mail.docx", "A 47850-2025")</f>
        <v/>
      </c>
      <c r="X175">
        <f>HYPERLINK("https://klasma.github.io/Logging_2303/tillsyn/A 47850-2025 tillsynsbegäran.docx", "A 47850-2025")</f>
        <v/>
      </c>
      <c r="Y175">
        <f>HYPERLINK("https://klasma.github.io/Logging_2303/tillsynsmail/A 47850-2025 tillsynsbegäran mail.docx", "A 47850-2025")</f>
        <v/>
      </c>
    </row>
    <row r="176" ht="15" customHeight="1">
      <c r="A176" t="inlineStr">
        <is>
          <t>A 19384-2025</t>
        </is>
      </c>
      <c r="B176" s="1" t="n">
        <v>45769.65692129629</v>
      </c>
      <c r="C176" s="1" t="n">
        <v>46029</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55647-2023</t>
        </is>
      </c>
      <c r="B177" s="1" t="n">
        <v>45238</v>
      </c>
      <c r="C177" s="1" t="n">
        <v>46029</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50089-2022</t>
        </is>
      </c>
      <c r="B178" s="1" t="n">
        <v>44865</v>
      </c>
      <c r="C178" s="1" t="n">
        <v>46029</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57940-2024</t>
        </is>
      </c>
      <c r="B179" s="1" t="n">
        <v>45631</v>
      </c>
      <c r="C179" s="1" t="n">
        <v>46029</v>
      </c>
      <c r="D179" t="inlineStr">
        <is>
          <t>JÄMTLANDS LÄN</t>
        </is>
      </c>
      <c r="E179" t="inlineStr">
        <is>
          <t>RAGUNDA</t>
        </is>
      </c>
      <c r="F179" t="inlineStr">
        <is>
          <t>SCA</t>
        </is>
      </c>
      <c r="G179" t="n">
        <v>1.9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HYPERLINK("https://klasma.github.io/Logging_2303/artfynd/A 57940-2024 artfynd.xlsx", "A 57940-2024")</f>
        <v/>
      </c>
      <c r="T179">
        <f>HYPERLINK("https://klasma.github.io/Logging_2303/kartor/A 57940-2024 karta.png", "A 57940-2024")</f>
        <v/>
      </c>
      <c r="V179">
        <f>HYPERLINK("https://klasma.github.io/Logging_2303/klagomål/A 57940-2024 FSC-klagomål.docx", "A 57940-2024")</f>
        <v/>
      </c>
      <c r="W179">
        <f>HYPERLINK("https://klasma.github.io/Logging_2303/klagomålsmail/A 57940-2024 FSC-klagomål mail.docx", "A 57940-2024")</f>
        <v/>
      </c>
      <c r="X179">
        <f>HYPERLINK("https://klasma.github.io/Logging_2303/tillsyn/A 57940-2024 tillsynsbegäran.docx", "A 57940-2024")</f>
        <v/>
      </c>
      <c r="Y179">
        <f>HYPERLINK("https://klasma.github.io/Logging_2303/tillsynsmail/A 57940-2024 tillsynsbegäran mail.docx", "A 57940-2024")</f>
        <v/>
      </c>
      <c r="Z179">
        <f>HYPERLINK("https://klasma.github.io/Logging_2303/fåglar/A 57940-2024 prioriterade fågelarter.docx", "A 57940-2024")</f>
        <v/>
      </c>
    </row>
    <row r="180" ht="15" customHeight="1">
      <c r="A180" t="inlineStr">
        <is>
          <t>A 32736-2023</t>
        </is>
      </c>
      <c r="B180" s="1" t="n">
        <v>45121</v>
      </c>
      <c r="C180" s="1" t="n">
        <v>46029</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62636-2025</t>
        </is>
      </c>
      <c r="B181" s="1" t="n">
        <v>46008.3653587963</v>
      </c>
      <c r="C181" s="1" t="n">
        <v>46029</v>
      </c>
      <c r="D181" t="inlineStr">
        <is>
          <t>JÄMTLANDS LÄN</t>
        </is>
      </c>
      <c r="E181" t="inlineStr">
        <is>
          <t>RAGUNDA</t>
        </is>
      </c>
      <c r="G181" t="n">
        <v>3.1</v>
      </c>
      <c r="H181" t="n">
        <v>1</v>
      </c>
      <c r="I181" t="n">
        <v>0</v>
      </c>
      <c r="J181" t="n">
        <v>2</v>
      </c>
      <c r="K181" t="n">
        <v>0</v>
      </c>
      <c r="L181" t="n">
        <v>0</v>
      </c>
      <c r="M181" t="n">
        <v>0</v>
      </c>
      <c r="N181" t="n">
        <v>0</v>
      </c>
      <c r="O181" t="n">
        <v>2</v>
      </c>
      <c r="P181" t="n">
        <v>0</v>
      </c>
      <c r="Q181" t="n">
        <v>2</v>
      </c>
      <c r="R181" s="2" t="inlineStr">
        <is>
          <t>Garnlav
Talltita</t>
        </is>
      </c>
      <c r="S181">
        <f>HYPERLINK("https://klasma.github.io/Logging_2303/artfynd/A 62636-2025 artfynd.xlsx", "A 62636-2025")</f>
        <v/>
      </c>
      <c r="T181">
        <f>HYPERLINK("https://klasma.github.io/Logging_2303/kartor/A 62636-2025 karta.png", "A 62636-2025")</f>
        <v/>
      </c>
      <c r="V181">
        <f>HYPERLINK("https://klasma.github.io/Logging_2303/klagomål/A 62636-2025 FSC-klagomål.docx", "A 62636-2025")</f>
        <v/>
      </c>
      <c r="W181">
        <f>HYPERLINK("https://klasma.github.io/Logging_2303/klagomålsmail/A 62636-2025 FSC-klagomål mail.docx", "A 62636-2025")</f>
        <v/>
      </c>
      <c r="X181">
        <f>HYPERLINK("https://klasma.github.io/Logging_2303/tillsyn/A 62636-2025 tillsynsbegäran.docx", "A 62636-2025")</f>
        <v/>
      </c>
      <c r="Y181">
        <f>HYPERLINK("https://klasma.github.io/Logging_2303/tillsynsmail/A 62636-2025 tillsynsbegäran mail.docx", "A 62636-2025")</f>
        <v/>
      </c>
      <c r="Z181">
        <f>HYPERLINK("https://klasma.github.io/Logging_2303/fåglar/A 62636-2025 prioriterade fågelarter.docx", "A 62636-2025")</f>
        <v/>
      </c>
    </row>
    <row r="182" ht="15" customHeight="1">
      <c r="A182" t="inlineStr">
        <is>
          <t>A 45021-2023</t>
        </is>
      </c>
      <c r="B182" s="1" t="n">
        <v>45190</v>
      </c>
      <c r="C182" s="1" t="n">
        <v>46029</v>
      </c>
      <c r="D182" t="inlineStr">
        <is>
          <t>JÄMTLANDS LÄN</t>
        </is>
      </c>
      <c r="E182" t="inlineStr">
        <is>
          <t>RAGUNDA</t>
        </is>
      </c>
      <c r="F182" t="inlineStr">
        <is>
          <t>SCA</t>
        </is>
      </c>
      <c r="G182" t="n">
        <v>1.6</v>
      </c>
      <c r="H182" t="n">
        <v>1</v>
      </c>
      <c r="I182" t="n">
        <v>0</v>
      </c>
      <c r="J182" t="n">
        <v>1</v>
      </c>
      <c r="K182" t="n">
        <v>0</v>
      </c>
      <c r="L182" t="n">
        <v>0</v>
      </c>
      <c r="M182" t="n">
        <v>0</v>
      </c>
      <c r="N182" t="n">
        <v>0</v>
      </c>
      <c r="O182" t="n">
        <v>1</v>
      </c>
      <c r="P182" t="n">
        <v>0</v>
      </c>
      <c r="Q182" t="n">
        <v>2</v>
      </c>
      <c r="R182" s="2" t="inlineStr">
        <is>
          <t>Lunglav
Fläcknycklar</t>
        </is>
      </c>
      <c r="S182">
        <f>HYPERLINK("https://klasma.github.io/Logging_2303/artfynd/A 45021-2023 artfynd.xlsx", "A 45021-2023")</f>
        <v/>
      </c>
      <c r="T182">
        <f>HYPERLINK("https://klasma.github.io/Logging_2303/kartor/A 45021-2023 karta.png", "A 45021-2023")</f>
        <v/>
      </c>
      <c r="V182">
        <f>HYPERLINK("https://klasma.github.io/Logging_2303/klagomål/A 45021-2023 FSC-klagomål.docx", "A 45021-2023")</f>
        <v/>
      </c>
      <c r="W182">
        <f>HYPERLINK("https://klasma.github.io/Logging_2303/klagomålsmail/A 45021-2023 FSC-klagomål mail.docx", "A 45021-2023")</f>
        <v/>
      </c>
      <c r="X182">
        <f>HYPERLINK("https://klasma.github.io/Logging_2303/tillsyn/A 45021-2023 tillsynsbegäran.docx", "A 45021-2023")</f>
        <v/>
      </c>
      <c r="Y182">
        <f>HYPERLINK("https://klasma.github.io/Logging_2303/tillsynsmail/A 45021-2023 tillsynsbegäran mail.docx", "A 45021-2023")</f>
        <v/>
      </c>
    </row>
    <row r="183" ht="15" customHeight="1">
      <c r="A183" t="inlineStr">
        <is>
          <t>A 44409-2023</t>
        </is>
      </c>
      <c r="B183" s="1" t="n">
        <v>45188</v>
      </c>
      <c r="C183" s="1" t="n">
        <v>46029</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44409-2023 artfynd.xlsx", "A 44409-2023")</f>
        <v/>
      </c>
      <c r="T183">
        <f>HYPERLINK("https://klasma.github.io/Logging_2303/kartor/A 44409-2023 karta.png", "A 44409-2023")</f>
        <v/>
      </c>
      <c r="V183">
        <f>HYPERLINK("https://klasma.github.io/Logging_2303/klagomål/A 44409-2023 FSC-klagomål.docx", "A 44409-2023")</f>
        <v/>
      </c>
      <c r="W183">
        <f>HYPERLINK("https://klasma.github.io/Logging_2303/klagomålsmail/A 44409-2023 FSC-klagomål mail.docx", "A 44409-2023")</f>
        <v/>
      </c>
      <c r="X183">
        <f>HYPERLINK("https://klasma.github.io/Logging_2303/tillsyn/A 44409-2023 tillsynsbegäran.docx", "A 44409-2023")</f>
        <v/>
      </c>
      <c r="Y183">
        <f>HYPERLINK("https://klasma.github.io/Logging_2303/tillsynsmail/A 44409-2023 tillsynsbegäran mail.docx", "A 44409-2023")</f>
        <v/>
      </c>
    </row>
    <row r="184" ht="15" customHeight="1">
      <c r="A184" t="inlineStr">
        <is>
          <t>A 17733-2022</t>
        </is>
      </c>
      <c r="B184" s="1" t="n">
        <v>44680</v>
      </c>
      <c r="C184" s="1" t="n">
        <v>46029</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40826-2023</t>
        </is>
      </c>
      <c r="B185" s="1" t="n">
        <v>45171</v>
      </c>
      <c r="C185" s="1" t="n">
        <v>46029</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56634-2025</t>
        </is>
      </c>
      <c r="B186" s="1" t="n">
        <v>45975.61619212963</v>
      </c>
      <c r="C186" s="1" t="n">
        <v>46029</v>
      </c>
      <c r="D186" t="inlineStr">
        <is>
          <t>JÄMTLANDS LÄN</t>
        </is>
      </c>
      <c r="E186" t="inlineStr">
        <is>
          <t>RAGUNDA</t>
        </is>
      </c>
      <c r="F186" t="inlineStr">
        <is>
          <t>SCA</t>
        </is>
      </c>
      <c r="G186" t="n">
        <v>86.59999999999999</v>
      </c>
      <c r="H186" t="n">
        <v>0</v>
      </c>
      <c r="I186" t="n">
        <v>1</v>
      </c>
      <c r="J186" t="n">
        <v>1</v>
      </c>
      <c r="K186" t="n">
        <v>0</v>
      </c>
      <c r="L186" t="n">
        <v>0</v>
      </c>
      <c r="M186" t="n">
        <v>0</v>
      </c>
      <c r="N186" t="n">
        <v>0</v>
      </c>
      <c r="O186" t="n">
        <v>1</v>
      </c>
      <c r="P186" t="n">
        <v>0</v>
      </c>
      <c r="Q186" t="n">
        <v>2</v>
      </c>
      <c r="R186" s="2" t="inlineStr">
        <is>
          <t>Garnlav
Skuggblåslav</t>
        </is>
      </c>
      <c r="S186">
        <f>HYPERLINK("https://klasma.github.io/Logging_2303/artfynd/A 56634-2025 artfynd.xlsx", "A 56634-2025")</f>
        <v/>
      </c>
      <c r="T186">
        <f>HYPERLINK("https://klasma.github.io/Logging_2303/kartor/A 56634-2025 karta.png", "A 56634-2025")</f>
        <v/>
      </c>
      <c r="V186">
        <f>HYPERLINK("https://klasma.github.io/Logging_2303/klagomål/A 56634-2025 FSC-klagomål.docx", "A 56634-2025")</f>
        <v/>
      </c>
      <c r="W186">
        <f>HYPERLINK("https://klasma.github.io/Logging_2303/klagomålsmail/A 56634-2025 FSC-klagomål mail.docx", "A 56634-2025")</f>
        <v/>
      </c>
      <c r="X186">
        <f>HYPERLINK("https://klasma.github.io/Logging_2303/tillsyn/A 56634-2025 tillsynsbegäran.docx", "A 56634-2025")</f>
        <v/>
      </c>
      <c r="Y186">
        <f>HYPERLINK("https://klasma.github.io/Logging_2303/tillsynsmail/A 56634-2025 tillsynsbegäran mail.docx", "A 56634-2025")</f>
        <v/>
      </c>
    </row>
    <row r="187" ht="15" customHeight="1">
      <c r="A187" t="inlineStr">
        <is>
          <t>A 45035-2023</t>
        </is>
      </c>
      <c r="B187" s="1" t="n">
        <v>45191</v>
      </c>
      <c r="C187" s="1" t="n">
        <v>46029</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46029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46029</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46029</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46029</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46029</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46029</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46029</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46029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46029</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46029</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46029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46029</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46029</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46029</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46029</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46029</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46029</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46029</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46029</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46029</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46029</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46029</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48429-2023</t>
        </is>
      </c>
      <c r="B210" s="1" t="n">
        <v>45205</v>
      </c>
      <c r="C210" s="1" t="n">
        <v>46029</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27573-2025</t>
        </is>
      </c>
      <c r="B211" s="1" t="n">
        <v>45813.49061342593</v>
      </c>
      <c r="C211" s="1" t="n">
        <v>46029</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11040-2023</t>
        </is>
      </c>
      <c r="B212" s="1" t="n">
        <v>44991</v>
      </c>
      <c r="C212" s="1" t="n">
        <v>46029</v>
      </c>
      <c r="D212" t="inlineStr">
        <is>
          <t>JÄMTLANDS LÄN</t>
        </is>
      </c>
      <c r="E212" t="inlineStr">
        <is>
          <t>RAGUNDA</t>
        </is>
      </c>
      <c r="F212" t="inlineStr">
        <is>
          <t>SCA</t>
        </is>
      </c>
      <c r="G212" t="n">
        <v>10.2</v>
      </c>
      <c r="H212" t="n">
        <v>0</v>
      </c>
      <c r="I212" t="n">
        <v>0</v>
      </c>
      <c r="J212" t="n">
        <v>1</v>
      </c>
      <c r="K212" t="n">
        <v>0</v>
      </c>
      <c r="L212" t="n">
        <v>0</v>
      </c>
      <c r="M212" t="n">
        <v>0</v>
      </c>
      <c r="N212" t="n">
        <v>0</v>
      </c>
      <c r="O212" t="n">
        <v>1</v>
      </c>
      <c r="P212" t="n">
        <v>0</v>
      </c>
      <c r="Q212" t="n">
        <v>1</v>
      </c>
      <c r="R212" s="2" t="inlineStr">
        <is>
          <t>Lunglav</t>
        </is>
      </c>
      <c r="S212">
        <f>HYPERLINK("https://klasma.github.io/Logging_2303/artfynd/A 11040-2023 artfynd.xlsx", "A 11040-2023")</f>
        <v/>
      </c>
      <c r="T212">
        <f>HYPERLINK("https://klasma.github.io/Logging_2303/kartor/A 11040-2023 karta.png", "A 11040-2023")</f>
        <v/>
      </c>
      <c r="V212">
        <f>HYPERLINK("https://klasma.github.io/Logging_2303/klagomål/A 11040-2023 FSC-klagomål.docx", "A 11040-2023")</f>
        <v/>
      </c>
      <c r="W212">
        <f>HYPERLINK("https://klasma.github.io/Logging_2303/klagomålsmail/A 11040-2023 FSC-klagomål mail.docx", "A 11040-2023")</f>
        <v/>
      </c>
      <c r="X212">
        <f>HYPERLINK("https://klasma.github.io/Logging_2303/tillsyn/A 11040-2023 tillsynsbegäran.docx", "A 11040-2023")</f>
        <v/>
      </c>
      <c r="Y212">
        <f>HYPERLINK("https://klasma.github.io/Logging_2303/tillsynsmail/A 11040-2023 tillsynsbegäran mail.docx", "A 11040-2023")</f>
        <v/>
      </c>
    </row>
    <row r="213" ht="15" customHeight="1">
      <c r="A213" t="inlineStr">
        <is>
          <t>A 49091-2022</t>
        </is>
      </c>
      <c r="B213" s="1" t="n">
        <v>44860</v>
      </c>
      <c r="C213" s="1" t="n">
        <v>46029</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30390-2025</t>
        </is>
      </c>
      <c r="B214" s="1" t="n">
        <v>45827.57371527778</v>
      </c>
      <c r="C214" s="1" t="n">
        <v>46029</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40841-2025</t>
        </is>
      </c>
      <c r="B215" s="1" t="n">
        <v>45897.531875</v>
      </c>
      <c r="C215" s="1" t="n">
        <v>46029</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22054-2025</t>
        </is>
      </c>
      <c r="B216" s="1" t="n">
        <v>45785.36525462963</v>
      </c>
      <c r="C216" s="1" t="n">
        <v>46029</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32445-2025</t>
        </is>
      </c>
      <c r="B217" s="1" t="n">
        <v>45838.38627314815</v>
      </c>
      <c r="C217" s="1" t="n">
        <v>46029</v>
      </c>
      <c r="D217" t="inlineStr">
        <is>
          <t>JÄMTLANDS LÄN</t>
        </is>
      </c>
      <c r="E217" t="inlineStr">
        <is>
          <t>RAGUNDA</t>
        </is>
      </c>
      <c r="F217" t="inlineStr">
        <is>
          <t>SCA</t>
        </is>
      </c>
      <c r="G217" t="n">
        <v>1.6</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32445-2025 artfynd.xlsx", "A 32445-2025")</f>
        <v/>
      </c>
      <c r="T217">
        <f>HYPERLINK("https://klasma.github.io/Logging_2303/kartor/A 32445-2025 karta.png", "A 32445-2025")</f>
        <v/>
      </c>
      <c r="V217">
        <f>HYPERLINK("https://klasma.github.io/Logging_2303/klagomål/A 32445-2025 FSC-klagomål.docx", "A 32445-2025")</f>
        <v/>
      </c>
      <c r="W217">
        <f>HYPERLINK("https://klasma.github.io/Logging_2303/klagomålsmail/A 32445-2025 FSC-klagomål mail.docx", "A 32445-2025")</f>
        <v/>
      </c>
      <c r="X217">
        <f>HYPERLINK("https://klasma.github.io/Logging_2303/tillsyn/A 32445-2025 tillsynsbegäran.docx", "A 32445-2025")</f>
        <v/>
      </c>
      <c r="Y217">
        <f>HYPERLINK("https://klasma.github.io/Logging_2303/tillsynsmail/A 32445-2025 tillsynsbegäran mail.docx", "A 32445-2025")</f>
        <v/>
      </c>
      <c r="Z217">
        <f>HYPERLINK("https://klasma.github.io/Logging_2303/fåglar/A 32445-2025 prioriterade fågelarter.docx", "A 32445-2025")</f>
        <v/>
      </c>
    </row>
    <row r="218" ht="15" customHeight="1">
      <c r="A218" t="inlineStr">
        <is>
          <t>A 34474-2025</t>
        </is>
      </c>
      <c r="B218" s="1" t="n">
        <v>45847.36528935185</v>
      </c>
      <c r="C218" s="1" t="n">
        <v>46029</v>
      </c>
      <c r="D218" t="inlineStr">
        <is>
          <t>JÄMTLANDS LÄN</t>
        </is>
      </c>
      <c r="E218" t="inlineStr">
        <is>
          <t>RAGUNDA</t>
        </is>
      </c>
      <c r="F218" t="inlineStr">
        <is>
          <t>SCA</t>
        </is>
      </c>
      <c r="G218" t="n">
        <v>9.699999999999999</v>
      </c>
      <c r="H218" t="n">
        <v>1</v>
      </c>
      <c r="I218" t="n">
        <v>0</v>
      </c>
      <c r="J218" t="n">
        <v>1</v>
      </c>
      <c r="K218" t="n">
        <v>0</v>
      </c>
      <c r="L218" t="n">
        <v>0</v>
      </c>
      <c r="M218" t="n">
        <v>0</v>
      </c>
      <c r="N218" t="n">
        <v>0</v>
      </c>
      <c r="O218" t="n">
        <v>1</v>
      </c>
      <c r="P218" t="n">
        <v>0</v>
      </c>
      <c r="Q218" t="n">
        <v>1</v>
      </c>
      <c r="R218" s="2" t="inlineStr">
        <is>
          <t>Fjällvråk</t>
        </is>
      </c>
      <c r="S218">
        <f>HYPERLINK("https://klasma.github.io/Logging_2303/artfynd/A 34474-2025 artfynd.xlsx", "A 34474-2025")</f>
        <v/>
      </c>
      <c r="T218">
        <f>HYPERLINK("https://klasma.github.io/Logging_2303/kartor/A 34474-2025 karta.png", "A 34474-2025")</f>
        <v/>
      </c>
      <c r="V218">
        <f>HYPERLINK("https://klasma.github.io/Logging_2303/klagomål/A 34474-2025 FSC-klagomål.docx", "A 34474-2025")</f>
        <v/>
      </c>
      <c r="W218">
        <f>HYPERLINK("https://klasma.github.io/Logging_2303/klagomålsmail/A 34474-2025 FSC-klagomål mail.docx", "A 34474-2025")</f>
        <v/>
      </c>
      <c r="X218">
        <f>HYPERLINK("https://klasma.github.io/Logging_2303/tillsyn/A 34474-2025 tillsynsbegäran.docx", "A 34474-2025")</f>
        <v/>
      </c>
      <c r="Y218">
        <f>HYPERLINK("https://klasma.github.io/Logging_2303/tillsynsmail/A 34474-2025 tillsynsbegäran mail.docx", "A 34474-2025")</f>
        <v/>
      </c>
      <c r="Z218">
        <f>HYPERLINK("https://klasma.github.io/Logging_2303/fåglar/A 34474-2025 prioriterade fågelarter.docx", "A 34474-2025")</f>
        <v/>
      </c>
    </row>
    <row r="219" ht="15" customHeight="1">
      <c r="A219" t="inlineStr">
        <is>
          <t>A 43526-2025</t>
        </is>
      </c>
      <c r="B219" s="1" t="n">
        <v>45911</v>
      </c>
      <c r="C219" s="1" t="n">
        <v>46029</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36854-2023</t>
        </is>
      </c>
      <c r="B220" s="1" t="n">
        <v>45153</v>
      </c>
      <c r="C220" s="1" t="n">
        <v>46029</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36975-2023</t>
        </is>
      </c>
      <c r="B221" s="1" t="n">
        <v>45154</v>
      </c>
      <c r="C221" s="1" t="n">
        <v>46029</v>
      </c>
      <c r="D221" t="inlineStr">
        <is>
          <t>JÄMTLANDS LÄN</t>
        </is>
      </c>
      <c r="E221" t="inlineStr">
        <is>
          <t>RAGUNDA</t>
        </is>
      </c>
      <c r="F221" t="inlineStr">
        <is>
          <t>SCA</t>
        </is>
      </c>
      <c r="G221" t="n">
        <v>3.8</v>
      </c>
      <c r="H221" t="n">
        <v>0</v>
      </c>
      <c r="I221" t="n">
        <v>0</v>
      </c>
      <c r="J221" t="n">
        <v>0</v>
      </c>
      <c r="K221" t="n">
        <v>1</v>
      </c>
      <c r="L221" t="n">
        <v>0</v>
      </c>
      <c r="M221" t="n">
        <v>0</v>
      </c>
      <c r="N221" t="n">
        <v>0</v>
      </c>
      <c r="O221" t="n">
        <v>1</v>
      </c>
      <c r="P221" t="n">
        <v>1</v>
      </c>
      <c r="Q221" t="n">
        <v>1</v>
      </c>
      <c r="R221" s="2" t="inlineStr">
        <is>
          <t>Gräddporing</t>
        </is>
      </c>
      <c r="S221">
        <f>HYPERLINK("https://klasma.github.io/Logging_2303/artfynd/A 36975-2023 artfynd.xlsx", "A 36975-2023")</f>
        <v/>
      </c>
      <c r="T221">
        <f>HYPERLINK("https://klasma.github.io/Logging_2303/kartor/A 36975-2023 karta.png", "A 36975-2023")</f>
        <v/>
      </c>
      <c r="V221">
        <f>HYPERLINK("https://klasma.github.io/Logging_2303/klagomål/A 36975-2023 FSC-klagomål.docx", "A 36975-2023")</f>
        <v/>
      </c>
      <c r="W221">
        <f>HYPERLINK("https://klasma.github.io/Logging_2303/klagomålsmail/A 36975-2023 FSC-klagomål mail.docx", "A 36975-2023")</f>
        <v/>
      </c>
      <c r="X221">
        <f>HYPERLINK("https://klasma.github.io/Logging_2303/tillsyn/A 36975-2023 tillsynsbegäran.docx", "A 36975-2023")</f>
        <v/>
      </c>
      <c r="Y221">
        <f>HYPERLINK("https://klasma.github.io/Logging_2303/tillsynsmail/A 36975-2023 tillsynsbegäran mail.docx", "A 36975-2023")</f>
        <v/>
      </c>
    </row>
    <row r="222" ht="15" customHeight="1">
      <c r="A222" t="inlineStr">
        <is>
          <t>A 35750-2023</t>
        </is>
      </c>
      <c r="B222" s="1" t="n">
        <v>45147</v>
      </c>
      <c r="C222" s="1" t="n">
        <v>46029</v>
      </c>
      <c r="D222" t="inlineStr">
        <is>
          <t>JÄMTLANDS LÄN</t>
        </is>
      </c>
      <c r="E222" t="inlineStr">
        <is>
          <t>RAGUNDA</t>
        </is>
      </c>
      <c r="F222" t="inlineStr">
        <is>
          <t>SCA</t>
        </is>
      </c>
      <c r="G222" t="n">
        <v>4.8</v>
      </c>
      <c r="H222" t="n">
        <v>0</v>
      </c>
      <c r="I222" t="n">
        <v>0</v>
      </c>
      <c r="J222" t="n">
        <v>1</v>
      </c>
      <c r="K222" t="n">
        <v>0</v>
      </c>
      <c r="L222" t="n">
        <v>0</v>
      </c>
      <c r="M222" t="n">
        <v>0</v>
      </c>
      <c r="N222" t="n">
        <v>0</v>
      </c>
      <c r="O222" t="n">
        <v>1</v>
      </c>
      <c r="P222" t="n">
        <v>0</v>
      </c>
      <c r="Q222" t="n">
        <v>1</v>
      </c>
      <c r="R222" s="2" t="inlineStr">
        <is>
          <t>Grantaggsvamp</t>
        </is>
      </c>
      <c r="S222">
        <f>HYPERLINK("https://klasma.github.io/Logging_2303/artfynd/A 35750-2023 artfynd.xlsx", "A 35750-2023")</f>
        <v/>
      </c>
      <c r="T222">
        <f>HYPERLINK("https://klasma.github.io/Logging_2303/kartor/A 35750-2023 karta.png", "A 35750-2023")</f>
        <v/>
      </c>
      <c r="V222">
        <f>HYPERLINK("https://klasma.github.io/Logging_2303/klagomål/A 35750-2023 FSC-klagomål.docx", "A 35750-2023")</f>
        <v/>
      </c>
      <c r="W222">
        <f>HYPERLINK("https://klasma.github.io/Logging_2303/klagomålsmail/A 35750-2023 FSC-klagomål mail.docx", "A 35750-2023")</f>
        <v/>
      </c>
      <c r="X222">
        <f>HYPERLINK("https://klasma.github.io/Logging_2303/tillsyn/A 35750-2023 tillsynsbegäran.docx", "A 35750-2023")</f>
        <v/>
      </c>
      <c r="Y222">
        <f>HYPERLINK("https://klasma.github.io/Logging_2303/tillsynsmail/A 35750-2023 tillsynsbegäran mail.docx", "A 35750-2023")</f>
        <v/>
      </c>
    </row>
    <row r="223" ht="15" customHeight="1">
      <c r="A223" t="inlineStr">
        <is>
          <t>A 32069-2024</t>
        </is>
      </c>
      <c r="B223" s="1" t="n">
        <v>45510</v>
      </c>
      <c r="C223" s="1" t="n">
        <v>46029</v>
      </c>
      <c r="D223" t="inlineStr">
        <is>
          <t>JÄMTLANDS LÄN</t>
        </is>
      </c>
      <c r="E223" t="inlineStr">
        <is>
          <t>RAGUNDA</t>
        </is>
      </c>
      <c r="F223" t="inlineStr">
        <is>
          <t>SCA</t>
        </is>
      </c>
      <c r="G223" t="n">
        <v>1.8</v>
      </c>
      <c r="H223" t="n">
        <v>0</v>
      </c>
      <c r="I223" t="n">
        <v>0</v>
      </c>
      <c r="J223" t="n">
        <v>1</v>
      </c>
      <c r="K223" t="n">
        <v>0</v>
      </c>
      <c r="L223" t="n">
        <v>0</v>
      </c>
      <c r="M223" t="n">
        <v>0</v>
      </c>
      <c r="N223" t="n">
        <v>0</v>
      </c>
      <c r="O223" t="n">
        <v>1</v>
      </c>
      <c r="P223" t="n">
        <v>0</v>
      </c>
      <c r="Q223" t="n">
        <v>1</v>
      </c>
      <c r="R223" s="2" t="inlineStr">
        <is>
          <t>Lunglav</t>
        </is>
      </c>
      <c r="S223">
        <f>HYPERLINK("https://klasma.github.io/Logging_2303/artfynd/A 32069-2024 artfynd.xlsx", "A 32069-2024")</f>
        <v/>
      </c>
      <c r="T223">
        <f>HYPERLINK("https://klasma.github.io/Logging_2303/kartor/A 32069-2024 karta.png", "A 32069-2024")</f>
        <v/>
      </c>
      <c r="V223">
        <f>HYPERLINK("https://klasma.github.io/Logging_2303/klagomål/A 32069-2024 FSC-klagomål.docx", "A 32069-2024")</f>
        <v/>
      </c>
      <c r="W223">
        <f>HYPERLINK("https://klasma.github.io/Logging_2303/klagomålsmail/A 32069-2024 FSC-klagomål mail.docx", "A 32069-2024")</f>
        <v/>
      </c>
      <c r="X223">
        <f>HYPERLINK("https://klasma.github.io/Logging_2303/tillsyn/A 32069-2024 tillsynsbegäran.docx", "A 32069-2024")</f>
        <v/>
      </c>
      <c r="Y223">
        <f>HYPERLINK("https://klasma.github.io/Logging_2303/tillsynsmail/A 32069-2024 tillsynsbegäran mail.docx", "A 32069-2024")</f>
        <v/>
      </c>
    </row>
    <row r="224" ht="15" customHeight="1">
      <c r="A224" t="inlineStr">
        <is>
          <t>A 49053-2025</t>
        </is>
      </c>
      <c r="B224" s="1" t="n">
        <v>45937.64009259259</v>
      </c>
      <c r="C224" s="1" t="n">
        <v>46029</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2929-2024</t>
        </is>
      </c>
      <c r="B225" s="1" t="n">
        <v>45315</v>
      </c>
      <c r="C225" s="1" t="n">
        <v>46029</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46029</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58990-2025</t>
        </is>
      </c>
      <c r="B227" s="1" t="n">
        <v>45987</v>
      </c>
      <c r="C227" s="1" t="n">
        <v>46029</v>
      </c>
      <c r="D227" t="inlineStr">
        <is>
          <t>JÄMTLANDS LÄN</t>
        </is>
      </c>
      <c r="E227" t="inlineStr">
        <is>
          <t>RAGUNDA</t>
        </is>
      </c>
      <c r="F227" t="inlineStr">
        <is>
          <t>SCA</t>
        </is>
      </c>
      <c r="G227" t="n">
        <v>4.6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58990-2025 artfynd.xlsx", "A 58990-2025")</f>
        <v/>
      </c>
      <c r="T227">
        <f>HYPERLINK("https://klasma.github.io/Logging_2303/kartor/A 58990-2025 karta.png", "A 58990-2025")</f>
        <v/>
      </c>
      <c r="V227">
        <f>HYPERLINK("https://klasma.github.io/Logging_2303/klagomål/A 58990-2025 FSC-klagomål.docx", "A 58990-2025")</f>
        <v/>
      </c>
      <c r="W227">
        <f>HYPERLINK("https://klasma.github.io/Logging_2303/klagomålsmail/A 58990-2025 FSC-klagomål mail.docx", "A 58990-2025")</f>
        <v/>
      </c>
      <c r="X227">
        <f>HYPERLINK("https://klasma.github.io/Logging_2303/tillsyn/A 58990-2025 tillsynsbegäran.docx", "A 58990-2025")</f>
        <v/>
      </c>
      <c r="Y227">
        <f>HYPERLINK("https://klasma.github.io/Logging_2303/tillsynsmail/A 58990-2025 tillsynsbegäran mail.docx", "A 58990-2025")</f>
        <v/>
      </c>
      <c r="Z227">
        <f>HYPERLINK("https://klasma.github.io/Logging_2303/fåglar/A 58990-2025 prioriterade fågelarter.docx", "A 58990-2025")</f>
        <v/>
      </c>
    </row>
    <row r="228" ht="15" customHeight="1">
      <c r="A228" t="inlineStr">
        <is>
          <t>A 51912-2025</t>
        </is>
      </c>
      <c r="B228" s="1" t="n">
        <v>45952.46939814815</v>
      </c>
      <c r="C228" s="1" t="n">
        <v>46029</v>
      </c>
      <c r="D228" t="inlineStr">
        <is>
          <t>JÄMTLANDS LÄN</t>
        </is>
      </c>
      <c r="E228" t="inlineStr">
        <is>
          <t>RAGUNDA</t>
        </is>
      </c>
      <c r="F228" t="inlineStr">
        <is>
          <t>SCA</t>
        </is>
      </c>
      <c r="G228" t="n">
        <v>24.2</v>
      </c>
      <c r="H228" t="n">
        <v>1</v>
      </c>
      <c r="I228" t="n">
        <v>0</v>
      </c>
      <c r="J228" t="n">
        <v>0</v>
      </c>
      <c r="K228" t="n">
        <v>1</v>
      </c>
      <c r="L228" t="n">
        <v>0</v>
      </c>
      <c r="M228" t="n">
        <v>0</v>
      </c>
      <c r="N228" t="n">
        <v>0</v>
      </c>
      <c r="O228" t="n">
        <v>1</v>
      </c>
      <c r="P228" t="n">
        <v>1</v>
      </c>
      <c r="Q228" t="n">
        <v>1</v>
      </c>
      <c r="R228" s="2" t="inlineStr">
        <is>
          <t>Norna</t>
        </is>
      </c>
      <c r="S228">
        <f>HYPERLINK("https://klasma.github.io/Logging_2303/artfynd/A 51912-2025 artfynd.xlsx", "A 51912-2025")</f>
        <v/>
      </c>
      <c r="T228">
        <f>HYPERLINK("https://klasma.github.io/Logging_2303/kartor/A 51912-2025 karta.png", "A 51912-2025")</f>
        <v/>
      </c>
      <c r="V228">
        <f>HYPERLINK("https://klasma.github.io/Logging_2303/klagomål/A 51912-2025 FSC-klagomål.docx", "A 51912-2025")</f>
        <v/>
      </c>
      <c r="W228">
        <f>HYPERLINK("https://klasma.github.io/Logging_2303/klagomålsmail/A 51912-2025 FSC-klagomål mail.docx", "A 51912-2025")</f>
        <v/>
      </c>
      <c r="X228">
        <f>HYPERLINK("https://klasma.github.io/Logging_2303/tillsyn/A 51912-2025 tillsynsbegäran.docx", "A 51912-2025")</f>
        <v/>
      </c>
      <c r="Y228">
        <f>HYPERLINK("https://klasma.github.io/Logging_2303/tillsynsmail/A 51912-2025 tillsynsbegäran mail.docx", "A 51912-2025")</f>
        <v/>
      </c>
    </row>
    <row r="229" ht="15" customHeight="1">
      <c r="A229" t="inlineStr">
        <is>
          <t>A 19751-2025</t>
        </is>
      </c>
      <c r="B229" s="1" t="n">
        <v>45771.3859837963</v>
      </c>
      <c r="C229" s="1" t="n">
        <v>46029</v>
      </c>
      <c r="D229" t="inlineStr">
        <is>
          <t>JÄMTLANDS LÄN</t>
        </is>
      </c>
      <c r="E229" t="inlineStr">
        <is>
          <t>RAGUNDA</t>
        </is>
      </c>
      <c r="F229" t="inlineStr">
        <is>
          <t>SCA</t>
        </is>
      </c>
      <c r="G229" t="n">
        <v>1.1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19751-2025 artfynd.xlsx", "A 19751-2025")</f>
        <v/>
      </c>
      <c r="T229">
        <f>HYPERLINK("https://klasma.github.io/Logging_2303/kartor/A 19751-2025 karta.png", "A 19751-2025")</f>
        <v/>
      </c>
      <c r="V229">
        <f>HYPERLINK("https://klasma.github.io/Logging_2303/klagomål/A 19751-2025 FSC-klagomål.docx", "A 19751-2025")</f>
        <v/>
      </c>
      <c r="W229">
        <f>HYPERLINK("https://klasma.github.io/Logging_2303/klagomålsmail/A 19751-2025 FSC-klagomål mail.docx", "A 19751-2025")</f>
        <v/>
      </c>
      <c r="X229">
        <f>HYPERLINK("https://klasma.github.io/Logging_2303/tillsyn/A 19751-2025 tillsynsbegäran.docx", "A 19751-2025")</f>
        <v/>
      </c>
      <c r="Y229">
        <f>HYPERLINK("https://klasma.github.io/Logging_2303/tillsynsmail/A 19751-2025 tillsynsbegäran mail.docx", "A 19751-2025")</f>
        <v/>
      </c>
      <c r="Z229">
        <f>HYPERLINK("https://klasma.github.io/Logging_2303/fåglar/A 19751-2025 prioriterade fågelarter.docx", "A 19751-2025")</f>
        <v/>
      </c>
    </row>
    <row r="230" ht="15" customHeight="1">
      <c r="A230" t="inlineStr">
        <is>
          <t>A 36224-2023</t>
        </is>
      </c>
      <c r="B230" s="1" t="n">
        <v>45149</v>
      </c>
      <c r="C230" s="1" t="n">
        <v>46029</v>
      </c>
      <c r="D230" t="inlineStr">
        <is>
          <t>JÄMTLANDS LÄN</t>
        </is>
      </c>
      <c r="E230" t="inlineStr">
        <is>
          <t>RAGUNDA</t>
        </is>
      </c>
      <c r="F230" t="inlineStr">
        <is>
          <t>SCA</t>
        </is>
      </c>
      <c r="G230" t="n">
        <v>8.1</v>
      </c>
      <c r="H230" t="n">
        <v>0</v>
      </c>
      <c r="I230" t="n">
        <v>0</v>
      </c>
      <c r="J230" t="n">
        <v>1</v>
      </c>
      <c r="K230" t="n">
        <v>0</v>
      </c>
      <c r="L230" t="n">
        <v>0</v>
      </c>
      <c r="M230" t="n">
        <v>0</v>
      </c>
      <c r="N230" t="n">
        <v>0</v>
      </c>
      <c r="O230" t="n">
        <v>1</v>
      </c>
      <c r="P230" t="n">
        <v>0</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17340-2023</t>
        </is>
      </c>
      <c r="B231" s="1" t="n">
        <v>45033</v>
      </c>
      <c r="C231" s="1" t="n">
        <v>46029</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50164-2023</t>
        </is>
      </c>
      <c r="B232" s="1" t="n">
        <v>45208</v>
      </c>
      <c r="C232" s="1" t="n">
        <v>46029</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16724-2025</t>
        </is>
      </c>
      <c r="B233" s="1" t="n">
        <v>45754.51064814815</v>
      </c>
      <c r="C233" s="1" t="n">
        <v>46029</v>
      </c>
      <c r="D233" t="inlineStr">
        <is>
          <t>JÄMTLANDS LÄN</t>
        </is>
      </c>
      <c r="E233" t="inlineStr">
        <is>
          <t>RAGUNDA</t>
        </is>
      </c>
      <c r="G233" t="n">
        <v>3.5</v>
      </c>
      <c r="H233" t="n">
        <v>0</v>
      </c>
      <c r="I233" t="n">
        <v>0</v>
      </c>
      <c r="J233" t="n">
        <v>1</v>
      </c>
      <c r="K233" t="n">
        <v>0</v>
      </c>
      <c r="L233" t="n">
        <v>0</v>
      </c>
      <c r="M233" t="n">
        <v>0</v>
      </c>
      <c r="N233" t="n">
        <v>0</v>
      </c>
      <c r="O233" t="n">
        <v>1</v>
      </c>
      <c r="P233" t="n">
        <v>0</v>
      </c>
      <c r="Q233" t="n">
        <v>1</v>
      </c>
      <c r="R233" s="2" t="inlineStr">
        <is>
          <t>Kolflarnlav</t>
        </is>
      </c>
      <c r="S233">
        <f>HYPERLINK("https://klasma.github.io/Logging_2303/artfynd/A 16724-2025 artfynd.xlsx", "A 16724-2025")</f>
        <v/>
      </c>
      <c r="T233">
        <f>HYPERLINK("https://klasma.github.io/Logging_2303/kartor/A 16724-2025 karta.png", "A 16724-2025")</f>
        <v/>
      </c>
      <c r="V233">
        <f>HYPERLINK("https://klasma.github.io/Logging_2303/klagomål/A 16724-2025 FSC-klagomål.docx", "A 16724-2025")</f>
        <v/>
      </c>
      <c r="W233">
        <f>HYPERLINK("https://klasma.github.io/Logging_2303/klagomålsmail/A 16724-2025 FSC-klagomål mail.docx", "A 16724-2025")</f>
        <v/>
      </c>
      <c r="X233">
        <f>HYPERLINK("https://klasma.github.io/Logging_2303/tillsyn/A 16724-2025 tillsynsbegäran.docx", "A 16724-2025")</f>
        <v/>
      </c>
      <c r="Y233">
        <f>HYPERLINK("https://klasma.github.io/Logging_2303/tillsynsmail/A 16724-2025 tillsynsbegäran mail.docx", "A 16724-2025")</f>
        <v/>
      </c>
    </row>
    <row r="234" ht="15" customHeight="1">
      <c r="A234" t="inlineStr">
        <is>
          <t>A 62072-2023</t>
        </is>
      </c>
      <c r="B234" s="1" t="n">
        <v>45266</v>
      </c>
      <c r="C234" s="1" t="n">
        <v>46029</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25694-2023</t>
        </is>
      </c>
      <c r="B235" s="1" t="n">
        <v>45089</v>
      </c>
      <c r="C235" s="1" t="n">
        <v>46029</v>
      </c>
      <c r="D235" t="inlineStr">
        <is>
          <t>JÄMTLANDS LÄN</t>
        </is>
      </c>
      <c r="E235" t="inlineStr">
        <is>
          <t>RAGUNDA</t>
        </is>
      </c>
      <c r="F235" t="inlineStr">
        <is>
          <t>SCA</t>
        </is>
      </c>
      <c r="G235" t="n">
        <v>1.5</v>
      </c>
      <c r="H235" t="n">
        <v>0</v>
      </c>
      <c r="I235" t="n">
        <v>0</v>
      </c>
      <c r="J235" t="n">
        <v>1</v>
      </c>
      <c r="K235" t="n">
        <v>0</v>
      </c>
      <c r="L235" t="n">
        <v>0</v>
      </c>
      <c r="M235" t="n">
        <v>0</v>
      </c>
      <c r="N235" t="n">
        <v>0</v>
      </c>
      <c r="O235" t="n">
        <v>1</v>
      </c>
      <c r="P235" t="n">
        <v>0</v>
      </c>
      <c r="Q235" t="n">
        <v>1</v>
      </c>
      <c r="R235" s="2" t="inlineStr">
        <is>
          <t>Ullticka</t>
        </is>
      </c>
      <c r="S235">
        <f>HYPERLINK("https://klasma.github.io/Logging_2303/artfynd/A 25694-2023 artfynd.xlsx", "A 25694-2023")</f>
        <v/>
      </c>
      <c r="T235">
        <f>HYPERLINK("https://klasma.github.io/Logging_2303/kartor/A 25694-2023 karta.png", "A 25694-2023")</f>
        <v/>
      </c>
      <c r="V235">
        <f>HYPERLINK("https://klasma.github.io/Logging_2303/klagomål/A 25694-2023 FSC-klagomål.docx", "A 25694-2023")</f>
        <v/>
      </c>
      <c r="W235">
        <f>HYPERLINK("https://klasma.github.io/Logging_2303/klagomålsmail/A 25694-2023 FSC-klagomål mail.docx", "A 25694-2023")</f>
        <v/>
      </c>
      <c r="X235">
        <f>HYPERLINK("https://klasma.github.io/Logging_2303/tillsyn/A 25694-2023 tillsynsbegäran.docx", "A 25694-2023")</f>
        <v/>
      </c>
      <c r="Y235">
        <f>HYPERLINK("https://klasma.github.io/Logging_2303/tillsynsmail/A 25694-2023 tillsynsbegäran mail.docx", "A 25694-2023")</f>
        <v/>
      </c>
    </row>
    <row r="236" ht="15" customHeight="1">
      <c r="A236" t="inlineStr">
        <is>
          <t>A 49770-2024</t>
        </is>
      </c>
      <c r="B236" s="1" t="n">
        <v>45597.34461805555</v>
      </c>
      <c r="C236" s="1" t="n">
        <v>46029</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55756-2025</t>
        </is>
      </c>
      <c r="B237" s="1" t="n">
        <v>45972.59438657408</v>
      </c>
      <c r="C237" s="1" t="n">
        <v>46029</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HYPERLINK("https://klasma.github.io/Logging_2303/artfynd/A 55756-2025 artfynd.xlsx", "A 55756-2025")</f>
        <v/>
      </c>
      <c r="T237">
        <f>HYPERLINK("https://klasma.github.io/Logging_2303/kartor/A 55756-2025 karta.png", "A 55756-2025")</f>
        <v/>
      </c>
      <c r="V237">
        <f>HYPERLINK("https://klasma.github.io/Logging_2303/klagomål/A 55756-2025 FSC-klagomål.docx", "A 55756-2025")</f>
        <v/>
      </c>
      <c r="W237">
        <f>HYPERLINK("https://klasma.github.io/Logging_2303/klagomålsmail/A 55756-2025 FSC-klagomål mail.docx", "A 55756-2025")</f>
        <v/>
      </c>
      <c r="X237">
        <f>HYPERLINK("https://klasma.github.io/Logging_2303/tillsyn/A 55756-2025 tillsynsbegäran.docx", "A 55756-2025")</f>
        <v/>
      </c>
      <c r="Y237">
        <f>HYPERLINK("https://klasma.github.io/Logging_2303/tillsynsmail/A 55756-2025 tillsynsbegäran mail.docx", "A 55756-2025")</f>
        <v/>
      </c>
    </row>
    <row r="238" ht="15" customHeight="1">
      <c r="A238" t="inlineStr">
        <is>
          <t>A 36757-2023</t>
        </is>
      </c>
      <c r="B238" s="1" t="n">
        <v>45153</v>
      </c>
      <c r="C238" s="1" t="n">
        <v>46029</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43404-2023</t>
        </is>
      </c>
      <c r="B239" s="1" t="n">
        <v>45183</v>
      </c>
      <c r="C239" s="1" t="n">
        <v>46029</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56599-2025</t>
        </is>
      </c>
      <c r="B240" s="1" t="n">
        <v>45975.5734837963</v>
      </c>
      <c r="C240" s="1" t="n">
        <v>46029</v>
      </c>
      <c r="D240" t="inlineStr">
        <is>
          <t>JÄMTLANDS LÄN</t>
        </is>
      </c>
      <c r="E240" t="inlineStr">
        <is>
          <t>RAGUNDA</t>
        </is>
      </c>
      <c r="F240" t="inlineStr">
        <is>
          <t>SCA</t>
        </is>
      </c>
      <c r="G240" t="n">
        <v>2.4</v>
      </c>
      <c r="H240" t="n">
        <v>0</v>
      </c>
      <c r="I240" t="n">
        <v>0</v>
      </c>
      <c r="J240" t="n">
        <v>1</v>
      </c>
      <c r="K240" t="n">
        <v>0</v>
      </c>
      <c r="L240" t="n">
        <v>0</v>
      </c>
      <c r="M240" t="n">
        <v>0</v>
      </c>
      <c r="N240" t="n">
        <v>0</v>
      </c>
      <c r="O240" t="n">
        <v>1</v>
      </c>
      <c r="P240" t="n">
        <v>0</v>
      </c>
      <c r="Q240" t="n">
        <v>1</v>
      </c>
      <c r="R240" s="2" t="inlineStr">
        <is>
          <t>Lunglav</t>
        </is>
      </c>
      <c r="S240">
        <f>HYPERLINK("https://klasma.github.io/Logging_2303/artfynd/A 56599-2025 artfynd.xlsx", "A 56599-2025")</f>
        <v/>
      </c>
      <c r="T240">
        <f>HYPERLINK("https://klasma.github.io/Logging_2303/kartor/A 56599-2025 karta.png", "A 56599-2025")</f>
        <v/>
      </c>
      <c r="V240">
        <f>HYPERLINK("https://klasma.github.io/Logging_2303/klagomål/A 56599-2025 FSC-klagomål.docx", "A 56599-2025")</f>
        <v/>
      </c>
      <c r="W240">
        <f>HYPERLINK("https://klasma.github.io/Logging_2303/klagomålsmail/A 56599-2025 FSC-klagomål mail.docx", "A 56599-2025")</f>
        <v/>
      </c>
      <c r="X240">
        <f>HYPERLINK("https://klasma.github.io/Logging_2303/tillsyn/A 56599-2025 tillsynsbegäran.docx", "A 56599-2025")</f>
        <v/>
      </c>
      <c r="Y240">
        <f>HYPERLINK("https://klasma.github.io/Logging_2303/tillsynsmail/A 56599-2025 tillsynsbegäran mail.docx", "A 56599-2025")</f>
        <v/>
      </c>
    </row>
    <row r="241" ht="15" customHeight="1">
      <c r="A241" t="inlineStr">
        <is>
          <t>A 57478-2025</t>
        </is>
      </c>
      <c r="B241" s="1" t="n">
        <v>45980.57349537037</v>
      </c>
      <c r="C241" s="1" t="n">
        <v>46029</v>
      </c>
      <c r="D241" t="inlineStr">
        <is>
          <t>JÄMTLANDS LÄN</t>
        </is>
      </c>
      <c r="E241" t="inlineStr">
        <is>
          <t>RAGUNDA</t>
        </is>
      </c>
      <c r="F241" t="inlineStr">
        <is>
          <t>SCA</t>
        </is>
      </c>
      <c r="G241" t="n">
        <v>3.3</v>
      </c>
      <c r="H241" t="n">
        <v>0</v>
      </c>
      <c r="I241" t="n">
        <v>0</v>
      </c>
      <c r="J241" t="n">
        <v>1</v>
      </c>
      <c r="K241" t="n">
        <v>0</v>
      </c>
      <c r="L241" t="n">
        <v>0</v>
      </c>
      <c r="M241" t="n">
        <v>0</v>
      </c>
      <c r="N241" t="n">
        <v>0</v>
      </c>
      <c r="O241" t="n">
        <v>1</v>
      </c>
      <c r="P241" t="n">
        <v>0</v>
      </c>
      <c r="Q241" t="n">
        <v>1</v>
      </c>
      <c r="R241" s="2" t="inlineStr">
        <is>
          <t>Lunglav</t>
        </is>
      </c>
      <c r="S241">
        <f>HYPERLINK("https://klasma.github.io/Logging_2303/artfynd/A 57478-2025 artfynd.xlsx", "A 57478-2025")</f>
        <v/>
      </c>
      <c r="T241">
        <f>HYPERLINK("https://klasma.github.io/Logging_2303/kartor/A 57478-2025 karta.png", "A 57478-2025")</f>
        <v/>
      </c>
      <c r="V241">
        <f>HYPERLINK("https://klasma.github.io/Logging_2303/klagomål/A 57478-2025 FSC-klagomål.docx", "A 57478-2025")</f>
        <v/>
      </c>
      <c r="W241">
        <f>HYPERLINK("https://klasma.github.io/Logging_2303/klagomålsmail/A 57478-2025 FSC-klagomål mail.docx", "A 57478-2025")</f>
        <v/>
      </c>
      <c r="X241">
        <f>HYPERLINK("https://klasma.github.io/Logging_2303/tillsyn/A 57478-2025 tillsynsbegäran.docx", "A 57478-2025")</f>
        <v/>
      </c>
      <c r="Y241">
        <f>HYPERLINK("https://klasma.github.io/Logging_2303/tillsynsmail/A 57478-2025 tillsynsbegäran mail.docx", "A 57478-2025")</f>
        <v/>
      </c>
    </row>
    <row r="242" ht="15" customHeight="1">
      <c r="A242" t="inlineStr">
        <is>
          <t>A 57253-2025</t>
        </is>
      </c>
      <c r="B242" s="1" t="n">
        <v>45979.64381944444</v>
      </c>
      <c r="C242" s="1" t="n">
        <v>46029</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Skinnlav</t>
        </is>
      </c>
      <c r="S242">
        <f>HYPERLINK("https://klasma.github.io/Logging_2303/artfynd/A 57253-2025 artfynd.xlsx", "A 57253-2025")</f>
        <v/>
      </c>
      <c r="T242">
        <f>HYPERLINK("https://klasma.github.io/Logging_2303/kartor/A 57253-2025 karta.png", "A 57253-2025")</f>
        <v/>
      </c>
      <c r="V242">
        <f>HYPERLINK("https://klasma.github.io/Logging_2303/klagomål/A 57253-2025 FSC-klagomål.docx", "A 57253-2025")</f>
        <v/>
      </c>
      <c r="W242">
        <f>HYPERLINK("https://klasma.github.io/Logging_2303/klagomålsmail/A 57253-2025 FSC-klagomål mail.docx", "A 57253-2025")</f>
        <v/>
      </c>
      <c r="X242">
        <f>HYPERLINK("https://klasma.github.io/Logging_2303/tillsyn/A 57253-2025 tillsynsbegäran.docx", "A 57253-2025")</f>
        <v/>
      </c>
      <c r="Y242">
        <f>HYPERLINK("https://klasma.github.io/Logging_2303/tillsynsmail/A 57253-2025 tillsynsbegäran mail.docx", "A 57253-2025")</f>
        <v/>
      </c>
    </row>
    <row r="243" ht="15" customHeight="1">
      <c r="A243" t="inlineStr">
        <is>
          <t>A 57479-2025</t>
        </is>
      </c>
      <c r="B243" s="1" t="n">
        <v>45980.5737037037</v>
      </c>
      <c r="C243" s="1" t="n">
        <v>46029</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Kolflarnlav</t>
        </is>
      </c>
      <c r="S243">
        <f>HYPERLINK("https://klasma.github.io/Logging_2303/artfynd/A 57479-2025 artfynd.xlsx", "A 57479-2025")</f>
        <v/>
      </c>
      <c r="T243">
        <f>HYPERLINK("https://klasma.github.io/Logging_2303/kartor/A 57479-2025 karta.png", "A 57479-2025")</f>
        <v/>
      </c>
      <c r="V243">
        <f>HYPERLINK("https://klasma.github.io/Logging_2303/klagomål/A 57479-2025 FSC-klagomål.docx", "A 57479-2025")</f>
        <v/>
      </c>
      <c r="W243">
        <f>HYPERLINK("https://klasma.github.io/Logging_2303/klagomålsmail/A 57479-2025 FSC-klagomål mail.docx", "A 57479-2025")</f>
        <v/>
      </c>
      <c r="X243">
        <f>HYPERLINK("https://klasma.github.io/Logging_2303/tillsyn/A 57479-2025 tillsynsbegäran.docx", "A 57479-2025")</f>
        <v/>
      </c>
      <c r="Y243">
        <f>HYPERLINK("https://klasma.github.io/Logging_2303/tillsynsmail/A 57479-2025 tillsynsbegäran mail.docx", "A 57479-2025")</f>
        <v/>
      </c>
    </row>
    <row r="244" ht="15" customHeight="1">
      <c r="A244" t="inlineStr">
        <is>
          <t>A 61324-2024</t>
        </is>
      </c>
      <c r="B244" s="1" t="n">
        <v>45646.34438657408</v>
      </c>
      <c r="C244" s="1" t="n">
        <v>46029</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46029</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20575-2025</t>
        </is>
      </c>
      <c r="B246" s="1" t="n">
        <v>45775.67769675926</v>
      </c>
      <c r="C246" s="1" t="n">
        <v>46029</v>
      </c>
      <c r="D246" t="inlineStr">
        <is>
          <t>JÄMTLANDS LÄN</t>
        </is>
      </c>
      <c r="E246" t="inlineStr">
        <is>
          <t>RAGUNDA</t>
        </is>
      </c>
      <c r="F246" t="inlineStr">
        <is>
          <t>SCA</t>
        </is>
      </c>
      <c r="G246" t="n">
        <v>8.1</v>
      </c>
      <c r="H246" t="n">
        <v>1</v>
      </c>
      <c r="I246" t="n">
        <v>0</v>
      </c>
      <c r="J246" t="n">
        <v>1</v>
      </c>
      <c r="K246" t="n">
        <v>0</v>
      </c>
      <c r="L246" t="n">
        <v>0</v>
      </c>
      <c r="M246" t="n">
        <v>0</v>
      </c>
      <c r="N246" t="n">
        <v>0</v>
      </c>
      <c r="O246" t="n">
        <v>1</v>
      </c>
      <c r="P246" t="n">
        <v>0</v>
      </c>
      <c r="Q246" t="n">
        <v>1</v>
      </c>
      <c r="R246" s="2" t="inlineStr">
        <is>
          <t>Skogsfru</t>
        </is>
      </c>
      <c r="S246">
        <f>HYPERLINK("https://klasma.github.io/Logging_2303/artfynd/A 20575-2025 artfynd.xlsx", "A 20575-2025")</f>
        <v/>
      </c>
      <c r="T246">
        <f>HYPERLINK("https://klasma.github.io/Logging_2303/kartor/A 20575-2025 karta.png", "A 20575-2025")</f>
        <v/>
      </c>
      <c r="V246">
        <f>HYPERLINK("https://klasma.github.io/Logging_2303/klagomål/A 20575-2025 FSC-klagomål.docx", "A 20575-2025")</f>
        <v/>
      </c>
      <c r="W246">
        <f>HYPERLINK("https://klasma.github.io/Logging_2303/klagomålsmail/A 20575-2025 FSC-klagomål mail.docx", "A 20575-2025")</f>
        <v/>
      </c>
      <c r="X246">
        <f>HYPERLINK("https://klasma.github.io/Logging_2303/tillsyn/A 20575-2025 tillsynsbegäran.docx", "A 20575-2025")</f>
        <v/>
      </c>
      <c r="Y246">
        <f>HYPERLINK("https://klasma.github.io/Logging_2303/tillsynsmail/A 20575-2025 tillsynsbegäran mail.docx", "A 20575-2025")</f>
        <v/>
      </c>
    </row>
    <row r="247" ht="15" customHeight="1">
      <c r="A247" t="inlineStr">
        <is>
          <t>A 20774-2024</t>
        </is>
      </c>
      <c r="B247" s="1" t="n">
        <v>45436.94644675926</v>
      </c>
      <c r="C247" s="1" t="n">
        <v>46029</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26317-2024</t>
        </is>
      </c>
      <c r="B248" s="1" t="n">
        <v>45468</v>
      </c>
      <c r="C248" s="1" t="n">
        <v>46029</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29921-2024</t>
        </is>
      </c>
      <c r="B249" s="1" t="n">
        <v>45487.92863425926</v>
      </c>
      <c r="C249" s="1" t="n">
        <v>46029</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46029</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31773-2021</t>
        </is>
      </c>
      <c r="B251" s="1" t="n">
        <v>44369</v>
      </c>
      <c r="C251" s="1" t="n">
        <v>46029</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46029</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18985-2023</t>
        </is>
      </c>
      <c r="B253" s="1" t="n">
        <v>45044</v>
      </c>
      <c r="C253" s="1" t="n">
        <v>46029</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58846-2024</t>
        </is>
      </c>
      <c r="B254" s="1" t="n">
        <v>45636.3863425926</v>
      </c>
      <c r="C254" s="1" t="n">
        <v>46029</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26322-2024</t>
        </is>
      </c>
      <c r="B255" s="1" t="n">
        <v>45468.97461805555</v>
      </c>
      <c r="C255" s="1" t="n">
        <v>46029</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21212-2025</t>
        </is>
      </c>
      <c r="B256" s="1" t="n">
        <v>45779.48993055556</v>
      </c>
      <c r="C256" s="1" t="n">
        <v>46029</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46029</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2469-2021</t>
        </is>
      </c>
      <c r="B258" s="1" t="n">
        <v>44214</v>
      </c>
      <c r="C258" s="1" t="n">
        <v>46029</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46029</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46029</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46029</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46029</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46029</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46029</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46029</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46029</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46029</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46029</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46029</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46029</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46029</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46029</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46029</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46029</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46029</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46029</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46029</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46029</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46029</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46029</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46029</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46029</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46029</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46029</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46029</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46029</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46029</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46029</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46029</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46029</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46029</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46029</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46029</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46029</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46029</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46029</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46029</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46029</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46029</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46029</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46029</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46029</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46029</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46029</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46029</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46029</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46029</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46029</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46029</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46029</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46029</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46029</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46029</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46029</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46029</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46029</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46029</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46029</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46029</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46029</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46029</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46029</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46029</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46029</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46029</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46029</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46029</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46029</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46029</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46029</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46029</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46029</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46029</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46029</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46029</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46029</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46029</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46029</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46029</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46029</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46029</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46029</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46029</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46029</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46029</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46029</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46029</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46029</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46029</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46029</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46029</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46029</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46029</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46029</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46029</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46029</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46029</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46029</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46029</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46029</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46029</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46029</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46029</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46029</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46029</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46029</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46029</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46029</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46029</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46029</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46029</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46029</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46029</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46029</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46029</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46029</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46029</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46029</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46029</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46029</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46029</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46029</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46029</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46029</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46029</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46029</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46029</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46029</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46029</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46029</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46029</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46029</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46029</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46029</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46029</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46029</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46029</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46029</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46029</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46029</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46029</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46029</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46029</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46029</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46029</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46029</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62358-2023</t>
        </is>
      </c>
      <c r="B407" s="1" t="n">
        <v>45267</v>
      </c>
      <c r="C407" s="1" t="n">
        <v>46029</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46029</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46029</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46029</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23304-2023</t>
        </is>
      </c>
      <c r="B411" s="1" t="n">
        <v>45075.945</v>
      </c>
      <c r="C411" s="1" t="n">
        <v>46029</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28596-2021</t>
        </is>
      </c>
      <c r="B412" s="1" t="n">
        <v>44356</v>
      </c>
      <c r="C412" s="1" t="n">
        <v>46029</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64492-2023</t>
        </is>
      </c>
      <c r="B413" s="1" t="n">
        <v>45280.92645833334</v>
      </c>
      <c r="C413" s="1" t="n">
        <v>46029</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46029</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46029</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22131-2021</t>
        </is>
      </c>
      <c r="B416" s="1" t="n">
        <v>44323</v>
      </c>
      <c r="C416" s="1" t="n">
        <v>46029</v>
      </c>
      <c r="D416" t="inlineStr">
        <is>
          <t>JÄMTLANDS LÄN</t>
        </is>
      </c>
      <c r="E416" t="inlineStr">
        <is>
          <t>RAGUNDA</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59557-2023</t>
        </is>
      </c>
      <c r="B417" s="1" t="n">
        <v>45253</v>
      </c>
      <c r="C417" s="1" t="n">
        <v>46029</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12585-2024</t>
        </is>
      </c>
      <c r="B418" s="1" t="n">
        <v>45379.93637731481</v>
      </c>
      <c r="C418" s="1" t="n">
        <v>46029</v>
      </c>
      <c r="D418" t="inlineStr">
        <is>
          <t>JÄMTLANDS LÄN</t>
        </is>
      </c>
      <c r="E418" t="inlineStr">
        <is>
          <t>RAGUNDA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38425-2022</t>
        </is>
      </c>
      <c r="B419" s="1" t="n">
        <v>44812.94709490741</v>
      </c>
      <c r="C419" s="1" t="n">
        <v>46029</v>
      </c>
      <c r="D419" t="inlineStr">
        <is>
          <t>JÄMTLANDS LÄN</t>
        </is>
      </c>
      <c r="E419" t="inlineStr">
        <is>
          <t>RAGUNDA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46029</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15611-2024</t>
        </is>
      </c>
      <c r="B421" s="1" t="n">
        <v>45401</v>
      </c>
      <c r="C421" s="1" t="n">
        <v>46029</v>
      </c>
      <c r="D421" t="inlineStr">
        <is>
          <t>JÄMTLANDS LÄN</t>
        </is>
      </c>
      <c r="E421" t="inlineStr">
        <is>
          <t>RAGUNDA</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38664-2022</t>
        </is>
      </c>
      <c r="B422" s="1" t="n">
        <v>44813</v>
      </c>
      <c r="C422" s="1" t="n">
        <v>46029</v>
      </c>
      <c r="D422" t="inlineStr">
        <is>
          <t>JÄMTLANDS LÄN</t>
        </is>
      </c>
      <c r="E422" t="inlineStr">
        <is>
          <t>RAGUNDA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36922-2022</t>
        </is>
      </c>
      <c r="B423" s="1" t="n">
        <v>44805.94592592592</v>
      </c>
      <c r="C423" s="1" t="n">
        <v>46029</v>
      </c>
      <c r="D423" t="inlineStr">
        <is>
          <t>JÄMTLANDS LÄN</t>
        </is>
      </c>
      <c r="E423" t="inlineStr">
        <is>
          <t>RAGUNDA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42893-2022</t>
        </is>
      </c>
      <c r="B424" s="1" t="n">
        <v>44832</v>
      </c>
      <c r="C424" s="1" t="n">
        <v>46029</v>
      </c>
      <c r="D424" t="inlineStr">
        <is>
          <t>JÄMTLANDS LÄN</t>
        </is>
      </c>
      <c r="E424" t="inlineStr">
        <is>
          <t>RAGUNDA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14513-2025</t>
        </is>
      </c>
      <c r="B425" s="1" t="n">
        <v>45741.63675925926</v>
      </c>
      <c r="C425" s="1" t="n">
        <v>46029</v>
      </c>
      <c r="D425" t="inlineStr">
        <is>
          <t>JÄMTLANDS LÄN</t>
        </is>
      </c>
      <c r="E425" t="inlineStr">
        <is>
          <t>RAGUNDA</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46029</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18777-2024</t>
        </is>
      </c>
      <c r="B427" s="1" t="n">
        <v>45426</v>
      </c>
      <c r="C427" s="1" t="n">
        <v>46029</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46029</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59670-2023</t>
        </is>
      </c>
      <c r="B429" s="1" t="n">
        <v>45254.96516203704</v>
      </c>
      <c r="C429" s="1" t="n">
        <v>46029</v>
      </c>
      <c r="D429" t="inlineStr">
        <is>
          <t>JÄMTLANDS LÄN</t>
        </is>
      </c>
      <c r="E429" t="inlineStr">
        <is>
          <t>RAGUNDA</t>
        </is>
      </c>
      <c r="F429" t="inlineStr">
        <is>
          <t>SCA</t>
        </is>
      </c>
      <c r="G429" t="n">
        <v>7.6</v>
      </c>
      <c r="H429" t="n">
        <v>0</v>
      </c>
      <c r="I429" t="n">
        <v>0</v>
      </c>
      <c r="J429" t="n">
        <v>0</v>
      </c>
      <c r="K429" t="n">
        <v>0</v>
      </c>
      <c r="L429" t="n">
        <v>0</v>
      </c>
      <c r="M429" t="n">
        <v>0</v>
      </c>
      <c r="N429" t="n">
        <v>0</v>
      </c>
      <c r="O429" t="n">
        <v>0</v>
      </c>
      <c r="P429" t="n">
        <v>0</v>
      </c>
      <c r="Q429" t="n">
        <v>0</v>
      </c>
      <c r="R429" s="2" t="inlineStr"/>
    </row>
    <row r="430" ht="15" customHeight="1">
      <c r="A430" t="inlineStr">
        <is>
          <t>A 18194-2025</t>
        </is>
      </c>
      <c r="B430" s="1" t="n">
        <v>45761.67744212963</v>
      </c>
      <c r="C430" s="1" t="n">
        <v>46029</v>
      </c>
      <c r="D430" t="inlineStr">
        <is>
          <t>JÄMTLANDS LÄN</t>
        </is>
      </c>
      <c r="E430" t="inlineStr">
        <is>
          <t>RAGUNDA</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46029</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13299-2024</t>
        </is>
      </c>
      <c r="B432" s="1" t="n">
        <v>45386.68003472222</v>
      </c>
      <c r="C432" s="1" t="n">
        <v>46029</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58193-2022</t>
        </is>
      </c>
      <c r="B433" s="1" t="n">
        <v>44900.95700231481</v>
      </c>
      <c r="C433" s="1" t="n">
        <v>46029</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46029</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53347-2023</t>
        </is>
      </c>
      <c r="B435" s="1" t="n">
        <v>45223</v>
      </c>
      <c r="C435" s="1" t="n">
        <v>46029</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22948-2024</t>
        </is>
      </c>
      <c r="B436" s="1" t="n">
        <v>45448.94600694445</v>
      </c>
      <c r="C436" s="1" t="n">
        <v>46029</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53678-2022</t>
        </is>
      </c>
      <c r="B437" s="1" t="n">
        <v>44879.95768518518</v>
      </c>
      <c r="C437" s="1" t="n">
        <v>46029</v>
      </c>
      <c r="D437" t="inlineStr">
        <is>
          <t>JÄMTLANDS LÄN</t>
        </is>
      </c>
      <c r="E437" t="inlineStr">
        <is>
          <t>RAGUNDA</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14369-2024</t>
        </is>
      </c>
      <c r="B438" s="1" t="n">
        <v>45393.94459490741</v>
      </c>
      <c r="C438" s="1" t="n">
        <v>46029</v>
      </c>
      <c r="D438" t="inlineStr">
        <is>
          <t>JÄMTLANDS LÄN</t>
        </is>
      </c>
      <c r="E438" t="inlineStr">
        <is>
          <t>RAGUNDA</t>
        </is>
      </c>
      <c r="F438" t="inlineStr">
        <is>
          <t>Naturvårdsverket</t>
        </is>
      </c>
      <c r="G438" t="n">
        <v>1.8</v>
      </c>
      <c r="H438" t="n">
        <v>0</v>
      </c>
      <c r="I438" t="n">
        <v>0</v>
      </c>
      <c r="J438" t="n">
        <v>0</v>
      </c>
      <c r="K438" t="n">
        <v>0</v>
      </c>
      <c r="L438" t="n">
        <v>0</v>
      </c>
      <c r="M438" t="n">
        <v>0</v>
      </c>
      <c r="N438" t="n">
        <v>0</v>
      </c>
      <c r="O438" t="n">
        <v>0</v>
      </c>
      <c r="P438" t="n">
        <v>0</v>
      </c>
      <c r="Q438" t="n">
        <v>0</v>
      </c>
      <c r="R438" s="2" t="inlineStr"/>
    </row>
    <row r="439" ht="15" customHeight="1">
      <c r="A439" t="inlineStr">
        <is>
          <t>A 10639-2024</t>
        </is>
      </c>
      <c r="B439" s="1" t="n">
        <v>45367.67256944445</v>
      </c>
      <c r="C439" s="1" t="n">
        <v>46029</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50649-2022</t>
        </is>
      </c>
      <c r="B440" s="1" t="n">
        <v>44866</v>
      </c>
      <c r="C440" s="1" t="n">
        <v>46029</v>
      </c>
      <c r="D440" t="inlineStr">
        <is>
          <t>JÄMTLANDS LÄN</t>
        </is>
      </c>
      <c r="E440" t="inlineStr">
        <is>
          <t>RAGUNDA</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60195-2023</t>
        </is>
      </c>
      <c r="B441" s="1" t="n">
        <v>45257</v>
      </c>
      <c r="C441" s="1" t="n">
        <v>46029</v>
      </c>
      <c r="D441" t="inlineStr">
        <is>
          <t>JÄMTLANDS LÄN</t>
        </is>
      </c>
      <c r="E441" t="inlineStr">
        <is>
          <t>RAGUNDA</t>
        </is>
      </c>
      <c r="G441" t="n">
        <v>1.7</v>
      </c>
      <c r="H441" t="n">
        <v>0</v>
      </c>
      <c r="I441" t="n">
        <v>0</v>
      </c>
      <c r="J441" t="n">
        <v>0</v>
      </c>
      <c r="K441" t="n">
        <v>0</v>
      </c>
      <c r="L441" t="n">
        <v>0</v>
      </c>
      <c r="M441" t="n">
        <v>0</v>
      </c>
      <c r="N441" t="n">
        <v>0</v>
      </c>
      <c r="O441" t="n">
        <v>0</v>
      </c>
      <c r="P441" t="n">
        <v>0</v>
      </c>
      <c r="Q441" t="n">
        <v>0</v>
      </c>
      <c r="R441" s="2" t="inlineStr"/>
    </row>
    <row r="442" ht="15" customHeight="1">
      <c r="A442" t="inlineStr">
        <is>
          <t>A 32904-2024</t>
        </is>
      </c>
      <c r="B442" s="1" t="n">
        <v>45516.94732638889</v>
      </c>
      <c r="C442" s="1" t="n">
        <v>46029</v>
      </c>
      <c r="D442" t="inlineStr">
        <is>
          <t>JÄMTLANDS LÄN</t>
        </is>
      </c>
      <c r="E442" t="inlineStr">
        <is>
          <t>RAGUNDA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2819-2023</t>
        </is>
      </c>
      <c r="B443" s="1" t="n">
        <v>44944</v>
      </c>
      <c r="C443" s="1" t="n">
        <v>46029</v>
      </c>
      <c r="D443" t="inlineStr">
        <is>
          <t>JÄMTLANDS LÄN</t>
        </is>
      </c>
      <c r="E443" t="inlineStr">
        <is>
          <t>RAGUNDA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182-2023</t>
        </is>
      </c>
      <c r="B444" s="1" t="n">
        <v>44922</v>
      </c>
      <c r="C444" s="1" t="n">
        <v>46029</v>
      </c>
      <c r="D444" t="inlineStr">
        <is>
          <t>JÄMTLANDS LÄN</t>
        </is>
      </c>
      <c r="E444" t="inlineStr">
        <is>
          <t>RAGUNDA</t>
        </is>
      </c>
      <c r="G444" t="n">
        <v>1.4</v>
      </c>
      <c r="H444" t="n">
        <v>0</v>
      </c>
      <c r="I444" t="n">
        <v>0</v>
      </c>
      <c r="J444" t="n">
        <v>0</v>
      </c>
      <c r="K444" t="n">
        <v>0</v>
      </c>
      <c r="L444" t="n">
        <v>0</v>
      </c>
      <c r="M444" t="n">
        <v>0</v>
      </c>
      <c r="N444" t="n">
        <v>0</v>
      </c>
      <c r="O444" t="n">
        <v>0</v>
      </c>
      <c r="P444" t="n">
        <v>0</v>
      </c>
      <c r="Q444" t="n">
        <v>0</v>
      </c>
      <c r="R444" s="2" t="inlineStr"/>
    </row>
    <row r="445" ht="15" customHeight="1">
      <c r="A445" t="inlineStr">
        <is>
          <t>A 66011-2021</t>
        </is>
      </c>
      <c r="B445" s="1" t="n">
        <v>44517.58137731482</v>
      </c>
      <c r="C445" s="1" t="n">
        <v>46029</v>
      </c>
      <c r="D445" t="inlineStr">
        <is>
          <t>JÄMTLANDS LÄN</t>
        </is>
      </c>
      <c r="E445" t="inlineStr">
        <is>
          <t>RAGUNDA</t>
        </is>
      </c>
      <c r="G445" t="n">
        <v>1.1</v>
      </c>
      <c r="H445" t="n">
        <v>0</v>
      </c>
      <c r="I445" t="n">
        <v>0</v>
      </c>
      <c r="J445" t="n">
        <v>0</v>
      </c>
      <c r="K445" t="n">
        <v>0</v>
      </c>
      <c r="L445" t="n">
        <v>0</v>
      </c>
      <c r="M445" t="n">
        <v>0</v>
      </c>
      <c r="N445" t="n">
        <v>0</v>
      </c>
      <c r="O445" t="n">
        <v>0</v>
      </c>
      <c r="P445" t="n">
        <v>0</v>
      </c>
      <c r="Q445" t="n">
        <v>0</v>
      </c>
      <c r="R445" s="2" t="inlineStr"/>
    </row>
    <row r="446" ht="15" customHeight="1">
      <c r="A446" t="inlineStr">
        <is>
          <t>A 22412-2024</t>
        </is>
      </c>
      <c r="B446" s="1" t="n">
        <v>45446.68947916666</v>
      </c>
      <c r="C446" s="1" t="n">
        <v>46029</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24196-2024</t>
        </is>
      </c>
      <c r="B447" s="1" t="n">
        <v>45456.96569444444</v>
      </c>
      <c r="C447" s="1" t="n">
        <v>46029</v>
      </c>
      <c r="D447" t="inlineStr">
        <is>
          <t>JÄMTLANDS LÄN</t>
        </is>
      </c>
      <c r="E447" t="inlineStr">
        <is>
          <t>RAGUNDA</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9326-2024</t>
        </is>
      </c>
      <c r="B448" s="1" t="n">
        <v>45358.95818287037</v>
      </c>
      <c r="C448" s="1" t="n">
        <v>46029</v>
      </c>
      <c r="D448" t="inlineStr">
        <is>
          <t>JÄMTLANDS LÄN</t>
        </is>
      </c>
      <c r="E448" t="inlineStr">
        <is>
          <t>RAGUNDA</t>
        </is>
      </c>
      <c r="G448" t="n">
        <v>0.7</v>
      </c>
      <c r="H448" t="n">
        <v>0</v>
      </c>
      <c r="I448" t="n">
        <v>0</v>
      </c>
      <c r="J448" t="n">
        <v>0</v>
      </c>
      <c r="K448" t="n">
        <v>0</v>
      </c>
      <c r="L448" t="n">
        <v>0</v>
      </c>
      <c r="M448" t="n">
        <v>0</v>
      </c>
      <c r="N448" t="n">
        <v>0</v>
      </c>
      <c r="O448" t="n">
        <v>0</v>
      </c>
      <c r="P448" t="n">
        <v>0</v>
      </c>
      <c r="Q448" t="n">
        <v>0</v>
      </c>
      <c r="R448" s="2" t="inlineStr"/>
    </row>
    <row r="449" ht="15" customHeight="1">
      <c r="A449" t="inlineStr">
        <is>
          <t>A 23528-2024</t>
        </is>
      </c>
      <c r="B449" s="1" t="n">
        <v>45453.95016203704</v>
      </c>
      <c r="C449" s="1" t="n">
        <v>46029</v>
      </c>
      <c r="D449" t="inlineStr">
        <is>
          <t>JÄMTLANDS LÄN</t>
        </is>
      </c>
      <c r="E449" t="inlineStr">
        <is>
          <t>RAGUNDA</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55701-2021</t>
        </is>
      </c>
      <c r="B450" s="1" t="n">
        <v>44475</v>
      </c>
      <c r="C450" s="1" t="n">
        <v>46029</v>
      </c>
      <c r="D450" t="inlineStr">
        <is>
          <t>JÄMTLANDS LÄN</t>
        </is>
      </c>
      <c r="E450" t="inlineStr">
        <is>
          <t>RAGUNDA</t>
        </is>
      </c>
      <c r="G450" t="n">
        <v>5.6</v>
      </c>
      <c r="H450" t="n">
        <v>0</v>
      </c>
      <c r="I450" t="n">
        <v>0</v>
      </c>
      <c r="J450" t="n">
        <v>0</v>
      </c>
      <c r="K450" t="n">
        <v>0</v>
      </c>
      <c r="L450" t="n">
        <v>0</v>
      </c>
      <c r="M450" t="n">
        <v>0</v>
      </c>
      <c r="N450" t="n">
        <v>0</v>
      </c>
      <c r="O450" t="n">
        <v>0</v>
      </c>
      <c r="P450" t="n">
        <v>0</v>
      </c>
      <c r="Q450" t="n">
        <v>0</v>
      </c>
      <c r="R450" s="2" t="inlineStr"/>
    </row>
    <row r="451" ht="15" customHeight="1">
      <c r="A451" t="inlineStr">
        <is>
          <t>A 24171-2021</t>
        </is>
      </c>
      <c r="B451" s="1" t="n">
        <v>44336</v>
      </c>
      <c r="C451" s="1" t="n">
        <v>46029</v>
      </c>
      <c r="D451" t="inlineStr">
        <is>
          <t>JÄMTLANDS LÄN</t>
        </is>
      </c>
      <c r="E451" t="inlineStr">
        <is>
          <t>RAGUNDA</t>
        </is>
      </c>
      <c r="G451" t="n">
        <v>3.6</v>
      </c>
      <c r="H451" t="n">
        <v>0</v>
      </c>
      <c r="I451" t="n">
        <v>0</v>
      </c>
      <c r="J451" t="n">
        <v>0</v>
      </c>
      <c r="K451" t="n">
        <v>0</v>
      </c>
      <c r="L451" t="n">
        <v>0</v>
      </c>
      <c r="M451" t="n">
        <v>0</v>
      </c>
      <c r="N451" t="n">
        <v>0</v>
      </c>
      <c r="O451" t="n">
        <v>0</v>
      </c>
      <c r="P451" t="n">
        <v>0</v>
      </c>
      <c r="Q451" t="n">
        <v>0</v>
      </c>
      <c r="R451" s="2" t="inlineStr"/>
    </row>
    <row r="452" ht="15" customHeight="1">
      <c r="A452" t="inlineStr">
        <is>
          <t>A 23841-2025</t>
        </is>
      </c>
      <c r="B452" s="1" t="n">
        <v>45793.61523148148</v>
      </c>
      <c r="C452" s="1" t="n">
        <v>46029</v>
      </c>
      <c r="D452" t="inlineStr">
        <is>
          <t>JÄMTLANDS LÄN</t>
        </is>
      </c>
      <c r="E452" t="inlineStr">
        <is>
          <t>RAGUNDA</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2224-2024</t>
        </is>
      </c>
      <c r="B453" s="1" t="n">
        <v>45309.92524305556</v>
      </c>
      <c r="C453" s="1" t="n">
        <v>46029</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24159-2025</t>
        </is>
      </c>
      <c r="B454" s="1" t="n">
        <v>45796</v>
      </c>
      <c r="C454" s="1" t="n">
        <v>46029</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21524-2024</t>
        </is>
      </c>
      <c r="B455" s="1" t="n">
        <v>45441</v>
      </c>
      <c r="C455" s="1" t="n">
        <v>46029</v>
      </c>
      <c r="D455" t="inlineStr">
        <is>
          <t>JÄMTLANDS LÄN</t>
        </is>
      </c>
      <c r="E455" t="inlineStr">
        <is>
          <t>RAGUNDA</t>
        </is>
      </c>
      <c r="G455" t="n">
        <v>1.6</v>
      </c>
      <c r="H455" t="n">
        <v>0</v>
      </c>
      <c r="I455" t="n">
        <v>0</v>
      </c>
      <c r="J455" t="n">
        <v>0</v>
      </c>
      <c r="K455" t="n">
        <v>0</v>
      </c>
      <c r="L455" t="n">
        <v>0</v>
      </c>
      <c r="M455" t="n">
        <v>0</v>
      </c>
      <c r="N455" t="n">
        <v>0</v>
      </c>
      <c r="O455" t="n">
        <v>0</v>
      </c>
      <c r="P455" t="n">
        <v>0</v>
      </c>
      <c r="Q455" t="n">
        <v>0</v>
      </c>
      <c r="R455" s="2" t="inlineStr"/>
    </row>
    <row r="456" ht="15" customHeight="1">
      <c r="A456" t="inlineStr">
        <is>
          <t>A 56702-2023</t>
        </is>
      </c>
      <c r="B456" s="1" t="n">
        <v>45243</v>
      </c>
      <c r="C456" s="1" t="n">
        <v>46029</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63708-2023</t>
        </is>
      </c>
      <c r="B457" s="1" t="n">
        <v>45275.95060185185</v>
      </c>
      <c r="C457" s="1" t="n">
        <v>46029</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26651-2024</t>
        </is>
      </c>
      <c r="B458" s="1" t="n">
        <v>45469.94876157407</v>
      </c>
      <c r="C458" s="1" t="n">
        <v>46029</v>
      </c>
      <c r="D458" t="inlineStr">
        <is>
          <t>JÄMTLANDS LÄN</t>
        </is>
      </c>
      <c r="E458" t="inlineStr">
        <is>
          <t>RAGUNDA</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62407-2023</t>
        </is>
      </c>
      <c r="B459" s="1" t="n">
        <v>45266</v>
      </c>
      <c r="C459" s="1" t="n">
        <v>46029</v>
      </c>
      <c r="D459" t="inlineStr">
        <is>
          <t>JÄMTLANDS LÄN</t>
        </is>
      </c>
      <c r="E459" t="inlineStr">
        <is>
          <t>RAGUNDA</t>
        </is>
      </c>
      <c r="G459" t="n">
        <v>1.6</v>
      </c>
      <c r="H459" t="n">
        <v>0</v>
      </c>
      <c r="I459" t="n">
        <v>0</v>
      </c>
      <c r="J459" t="n">
        <v>0</v>
      </c>
      <c r="K459" t="n">
        <v>0</v>
      </c>
      <c r="L459" t="n">
        <v>0</v>
      </c>
      <c r="M459" t="n">
        <v>0</v>
      </c>
      <c r="N459" t="n">
        <v>0</v>
      </c>
      <c r="O459" t="n">
        <v>0</v>
      </c>
      <c r="P459" t="n">
        <v>0</v>
      </c>
      <c r="Q459" t="n">
        <v>0</v>
      </c>
      <c r="R459" s="2" t="inlineStr"/>
    </row>
    <row r="460" ht="15" customHeight="1">
      <c r="A460" t="inlineStr">
        <is>
          <t>A 38191-2024</t>
        </is>
      </c>
      <c r="B460" s="1" t="n">
        <v>45545.49078703704</v>
      </c>
      <c r="C460" s="1" t="n">
        <v>46029</v>
      </c>
      <c r="D460" t="inlineStr">
        <is>
          <t>JÄMTLANDS LÄN</t>
        </is>
      </c>
      <c r="E460" t="inlineStr">
        <is>
          <t>RAGUNDA</t>
        </is>
      </c>
      <c r="G460" t="n">
        <v>1.6</v>
      </c>
      <c r="H460" t="n">
        <v>0</v>
      </c>
      <c r="I460" t="n">
        <v>0</v>
      </c>
      <c r="J460" t="n">
        <v>0</v>
      </c>
      <c r="K460" t="n">
        <v>0</v>
      </c>
      <c r="L460" t="n">
        <v>0</v>
      </c>
      <c r="M460" t="n">
        <v>0</v>
      </c>
      <c r="N460" t="n">
        <v>0</v>
      </c>
      <c r="O460" t="n">
        <v>0</v>
      </c>
      <c r="P460" t="n">
        <v>0</v>
      </c>
      <c r="Q460" t="n">
        <v>0</v>
      </c>
      <c r="R460" s="2" t="inlineStr"/>
    </row>
    <row r="461" ht="15" customHeight="1">
      <c r="A461" t="inlineStr">
        <is>
          <t>A 24391-2025</t>
        </is>
      </c>
      <c r="B461" s="1" t="n">
        <v>45797.63627314815</v>
      </c>
      <c r="C461" s="1" t="n">
        <v>46029</v>
      </c>
      <c r="D461" t="inlineStr">
        <is>
          <t>JÄMTLANDS LÄN</t>
        </is>
      </c>
      <c r="E461" t="inlineStr">
        <is>
          <t>RAGUNDA</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25376-2025</t>
        </is>
      </c>
      <c r="B462" s="1" t="n">
        <v>45800.63619212963</v>
      </c>
      <c r="C462" s="1" t="n">
        <v>46029</v>
      </c>
      <c r="D462" t="inlineStr">
        <is>
          <t>JÄMTLANDS LÄN</t>
        </is>
      </c>
      <c r="E462" t="inlineStr">
        <is>
          <t>RAGUNDA</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39192-2025</t>
        </is>
      </c>
      <c r="B463" s="1" t="n">
        <v>45888.6775</v>
      </c>
      <c r="C463" s="1" t="n">
        <v>46029</v>
      </c>
      <c r="D463" t="inlineStr">
        <is>
          <t>JÄMTLANDS LÄN</t>
        </is>
      </c>
      <c r="E463" t="inlineStr">
        <is>
          <t>RAGUNDA</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50486-2023</t>
        </is>
      </c>
      <c r="B464" s="1" t="n">
        <v>45216.92424768519</v>
      </c>
      <c r="C464" s="1" t="n">
        <v>46029</v>
      </c>
      <c r="D464" t="inlineStr">
        <is>
          <t>JÄMTLANDS LÄN</t>
        </is>
      </c>
      <c r="E464" t="inlineStr">
        <is>
          <t>RAGUNDA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9084-2023</t>
        </is>
      </c>
      <c r="B465" s="1" t="n">
        <v>44979</v>
      </c>
      <c r="C465" s="1" t="n">
        <v>46029</v>
      </c>
      <c r="D465" t="inlineStr">
        <is>
          <t>JÄMTLANDS LÄN</t>
        </is>
      </c>
      <c r="E465" t="inlineStr">
        <is>
          <t>RAGUNDA</t>
        </is>
      </c>
      <c r="G465" t="n">
        <v>1.9</v>
      </c>
      <c r="H465" t="n">
        <v>0</v>
      </c>
      <c r="I465" t="n">
        <v>0</v>
      </c>
      <c r="J465" t="n">
        <v>0</v>
      </c>
      <c r="K465" t="n">
        <v>0</v>
      </c>
      <c r="L465" t="n">
        <v>0</v>
      </c>
      <c r="M465" t="n">
        <v>0</v>
      </c>
      <c r="N465" t="n">
        <v>0</v>
      </c>
      <c r="O465" t="n">
        <v>0</v>
      </c>
      <c r="P465" t="n">
        <v>0</v>
      </c>
      <c r="Q465" t="n">
        <v>0</v>
      </c>
      <c r="R465" s="2" t="inlineStr"/>
    </row>
    <row r="466" ht="15" customHeight="1">
      <c r="A466" t="inlineStr">
        <is>
          <t>A 25350-2025</t>
        </is>
      </c>
      <c r="B466" s="1" t="n">
        <v>45800</v>
      </c>
      <c r="C466" s="1" t="n">
        <v>46029</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9360-2023</t>
        </is>
      </c>
      <c r="B467" s="1" t="n">
        <v>44980.93865740741</v>
      </c>
      <c r="C467" s="1" t="n">
        <v>46029</v>
      </c>
      <c r="D467" t="inlineStr">
        <is>
          <t>JÄMTLANDS LÄN</t>
        </is>
      </c>
      <c r="E467" t="inlineStr">
        <is>
          <t>RAGUNDA</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66706-2021</t>
        </is>
      </c>
      <c r="B468" s="1" t="n">
        <v>44519.94440972222</v>
      </c>
      <c r="C468" s="1" t="n">
        <v>46029</v>
      </c>
      <c r="D468" t="inlineStr">
        <is>
          <t>JÄMTLANDS LÄN</t>
        </is>
      </c>
      <c r="E468" t="inlineStr">
        <is>
          <t>RAGUNDA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25152-2025</t>
        </is>
      </c>
      <c r="B469" s="1" t="n">
        <v>45800.42743055556</v>
      </c>
      <c r="C469" s="1" t="n">
        <v>46029</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25175-2025</t>
        </is>
      </c>
      <c r="B470" s="1" t="n">
        <v>45800.44822916666</v>
      </c>
      <c r="C470" s="1" t="n">
        <v>46029</v>
      </c>
      <c r="D470" t="inlineStr">
        <is>
          <t>JÄMTLANDS LÄN</t>
        </is>
      </c>
      <c r="E470" t="inlineStr">
        <is>
          <t>RAGUNDA</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25177-2025</t>
        </is>
      </c>
      <c r="B471" s="1" t="n">
        <v>45800.44862268519</v>
      </c>
      <c r="C471" s="1" t="n">
        <v>46029</v>
      </c>
      <c r="D471" t="inlineStr">
        <is>
          <t>JÄMTLANDS LÄN</t>
        </is>
      </c>
      <c r="E471" t="inlineStr">
        <is>
          <t>RAGUNDA</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32259-2024</t>
        </is>
      </c>
      <c r="B472" s="1" t="n">
        <v>45511</v>
      </c>
      <c r="C472" s="1" t="n">
        <v>46029</v>
      </c>
      <c r="D472" t="inlineStr">
        <is>
          <t>JÄMTLANDS LÄN</t>
        </is>
      </c>
      <c r="E472" t="inlineStr">
        <is>
          <t>RAGUNDA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28216-2025</t>
        </is>
      </c>
      <c r="B473" s="1" t="n">
        <v>45818.46898148148</v>
      </c>
      <c r="C473" s="1" t="n">
        <v>46029</v>
      </c>
      <c r="D473" t="inlineStr">
        <is>
          <t>JÄMTLANDS LÄN</t>
        </is>
      </c>
      <c r="E473" t="inlineStr">
        <is>
          <t>RAGUNDA</t>
        </is>
      </c>
      <c r="G473" t="n">
        <v>6.6</v>
      </c>
      <c r="H473" t="n">
        <v>0</v>
      </c>
      <c r="I473" t="n">
        <v>0</v>
      </c>
      <c r="J473" t="n">
        <v>0</v>
      </c>
      <c r="K473" t="n">
        <v>0</v>
      </c>
      <c r="L473" t="n">
        <v>0</v>
      </c>
      <c r="M473" t="n">
        <v>0</v>
      </c>
      <c r="N473" t="n">
        <v>0</v>
      </c>
      <c r="O473" t="n">
        <v>0</v>
      </c>
      <c r="P473" t="n">
        <v>0</v>
      </c>
      <c r="Q473" t="n">
        <v>0</v>
      </c>
      <c r="R473" s="2" t="inlineStr"/>
    </row>
    <row r="474" ht="15" customHeight="1">
      <c r="A474" t="inlineStr">
        <is>
          <t>A 18778-2024</t>
        </is>
      </c>
      <c r="B474" s="1" t="n">
        <v>45426</v>
      </c>
      <c r="C474" s="1" t="n">
        <v>46029</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18781-2024</t>
        </is>
      </c>
      <c r="B475" s="1" t="n">
        <v>45426</v>
      </c>
      <c r="C475" s="1" t="n">
        <v>46029</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25631-2025</t>
        </is>
      </c>
      <c r="B476" s="1" t="n">
        <v>45803.5946875</v>
      </c>
      <c r="C476" s="1" t="n">
        <v>46029</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17248-2023</t>
        </is>
      </c>
      <c r="B477" s="1" t="n">
        <v>45033</v>
      </c>
      <c r="C477" s="1" t="n">
        <v>46029</v>
      </c>
      <c r="D477" t="inlineStr">
        <is>
          <t>JÄMTLANDS LÄN</t>
        </is>
      </c>
      <c r="E477" t="inlineStr">
        <is>
          <t>RAGUNDA</t>
        </is>
      </c>
      <c r="G477" t="n">
        <v>3</v>
      </c>
      <c r="H477" t="n">
        <v>0</v>
      </c>
      <c r="I477" t="n">
        <v>0</v>
      </c>
      <c r="J477" t="n">
        <v>0</v>
      </c>
      <c r="K477" t="n">
        <v>0</v>
      </c>
      <c r="L477" t="n">
        <v>0</v>
      </c>
      <c r="M477" t="n">
        <v>0</v>
      </c>
      <c r="N477" t="n">
        <v>0</v>
      </c>
      <c r="O477" t="n">
        <v>0</v>
      </c>
      <c r="P477" t="n">
        <v>0</v>
      </c>
      <c r="Q477" t="n">
        <v>0</v>
      </c>
      <c r="R477" s="2" t="inlineStr"/>
    </row>
    <row r="478" ht="15" customHeight="1">
      <c r="A478" t="inlineStr">
        <is>
          <t>A 25659-2025</t>
        </is>
      </c>
      <c r="B478" s="1" t="n">
        <v>45803.61552083334</v>
      </c>
      <c r="C478" s="1" t="n">
        <v>46029</v>
      </c>
      <c r="D478" t="inlineStr">
        <is>
          <t>JÄMTLANDS LÄN</t>
        </is>
      </c>
      <c r="E478" t="inlineStr">
        <is>
          <t>RAGUNDA</t>
        </is>
      </c>
      <c r="G478" t="n">
        <v>1.5</v>
      </c>
      <c r="H478" t="n">
        <v>0</v>
      </c>
      <c r="I478" t="n">
        <v>0</v>
      </c>
      <c r="J478" t="n">
        <v>0</v>
      </c>
      <c r="K478" t="n">
        <v>0</v>
      </c>
      <c r="L478" t="n">
        <v>0</v>
      </c>
      <c r="M478" t="n">
        <v>0</v>
      </c>
      <c r="N478" t="n">
        <v>0</v>
      </c>
      <c r="O478" t="n">
        <v>0</v>
      </c>
      <c r="P478" t="n">
        <v>0</v>
      </c>
      <c r="Q478" t="n">
        <v>0</v>
      </c>
      <c r="R478" s="2" t="inlineStr"/>
    </row>
    <row r="479" ht="15" customHeight="1">
      <c r="A479" t="inlineStr">
        <is>
          <t>A 25661-2025</t>
        </is>
      </c>
      <c r="B479" s="1" t="n">
        <v>45803.61557870371</v>
      </c>
      <c r="C479" s="1" t="n">
        <v>46029</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25944-2025</t>
        </is>
      </c>
      <c r="B480" s="1" t="n">
        <v>45804.59487268519</v>
      </c>
      <c r="C480" s="1" t="n">
        <v>46029</v>
      </c>
      <c r="D480" t="inlineStr">
        <is>
          <t>JÄMTLANDS LÄN</t>
        </is>
      </c>
      <c r="E480" t="inlineStr">
        <is>
          <t>RAGUNDA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25814-2025</t>
        </is>
      </c>
      <c r="B481" s="1" t="n">
        <v>45804.42642361111</v>
      </c>
      <c r="C481" s="1" t="n">
        <v>46029</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53263-2024</t>
        </is>
      </c>
      <c r="B482" s="1" t="n">
        <v>45614.34541666666</v>
      </c>
      <c r="C482" s="1" t="n">
        <v>46029</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58630-2024</t>
        </is>
      </c>
      <c r="B483" s="1" t="n">
        <v>45635.57331018519</v>
      </c>
      <c r="C483" s="1" t="n">
        <v>46029</v>
      </c>
      <c r="D483" t="inlineStr">
        <is>
          <t>JÄMTLANDS LÄN</t>
        </is>
      </c>
      <c r="E483" t="inlineStr">
        <is>
          <t>RAGUNDA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14896-2022</t>
        </is>
      </c>
      <c r="B484" s="1" t="n">
        <v>44656</v>
      </c>
      <c r="C484" s="1" t="n">
        <v>46029</v>
      </c>
      <c r="D484" t="inlineStr">
        <is>
          <t>JÄMTLANDS LÄN</t>
        </is>
      </c>
      <c r="E484" t="inlineStr">
        <is>
          <t>RAGUNDA</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11551-2024</t>
        </is>
      </c>
      <c r="B485" s="1" t="n">
        <v>45372.95762731481</v>
      </c>
      <c r="C485" s="1" t="n">
        <v>46029</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19613-2023</t>
        </is>
      </c>
      <c r="B486" s="1" t="n">
        <v>45050.94020833333</v>
      </c>
      <c r="C486" s="1" t="n">
        <v>46029</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25994-2025</t>
        </is>
      </c>
      <c r="B487" s="1" t="n">
        <v>45804.65672453704</v>
      </c>
      <c r="C487" s="1" t="n">
        <v>46029</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57839-2022</t>
        </is>
      </c>
      <c r="B488" s="1" t="n">
        <v>44897</v>
      </c>
      <c r="C488" s="1" t="n">
        <v>46029</v>
      </c>
      <c r="D488" t="inlineStr">
        <is>
          <t>JÄMTLANDS LÄN</t>
        </is>
      </c>
      <c r="E488" t="inlineStr">
        <is>
          <t>RAGUNDA</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26283-2025</t>
        </is>
      </c>
      <c r="B489" s="1" t="n">
        <v>45805.61495370371</v>
      </c>
      <c r="C489" s="1" t="n">
        <v>46029</v>
      </c>
      <c r="D489" t="inlineStr">
        <is>
          <t>JÄMTLANDS LÄN</t>
        </is>
      </c>
      <c r="E489" t="inlineStr">
        <is>
          <t>RAGUNDA</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60663-2022</t>
        </is>
      </c>
      <c r="B490" s="1" t="n">
        <v>44911.93846064815</v>
      </c>
      <c r="C490" s="1" t="n">
        <v>46029</v>
      </c>
      <c r="D490" t="inlineStr">
        <is>
          <t>JÄMTLANDS LÄN</t>
        </is>
      </c>
      <c r="E490" t="inlineStr">
        <is>
          <t>RAGUNDA</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24258-2025</t>
        </is>
      </c>
      <c r="B491" s="1" t="n">
        <v>45797.40800925926</v>
      </c>
      <c r="C491" s="1" t="n">
        <v>46029</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26172-2025</t>
        </is>
      </c>
      <c r="B492" s="1" t="n">
        <v>45805.46613425926</v>
      </c>
      <c r="C492" s="1" t="n">
        <v>46029</v>
      </c>
      <c r="D492" t="inlineStr">
        <is>
          <t>JÄMTLANDS LÄN</t>
        </is>
      </c>
      <c r="E492" t="inlineStr">
        <is>
          <t>RAGUNDA</t>
        </is>
      </c>
      <c r="G492" t="n">
        <v>2.1</v>
      </c>
      <c r="H492" t="n">
        <v>0</v>
      </c>
      <c r="I492" t="n">
        <v>0</v>
      </c>
      <c r="J492" t="n">
        <v>0</v>
      </c>
      <c r="K492" t="n">
        <v>0</v>
      </c>
      <c r="L492" t="n">
        <v>0</v>
      </c>
      <c r="M492" t="n">
        <v>0</v>
      </c>
      <c r="N492" t="n">
        <v>0</v>
      </c>
      <c r="O492" t="n">
        <v>0</v>
      </c>
      <c r="P492" t="n">
        <v>0</v>
      </c>
      <c r="Q492" t="n">
        <v>0</v>
      </c>
      <c r="R492" s="2" t="inlineStr"/>
    </row>
    <row r="493" ht="15" customHeight="1">
      <c r="A493" t="inlineStr">
        <is>
          <t>A 59496-2024</t>
        </is>
      </c>
      <c r="B493" s="1" t="n">
        <v>45638</v>
      </c>
      <c r="C493" s="1" t="n">
        <v>46029</v>
      </c>
      <c r="D493" t="inlineStr">
        <is>
          <t>JÄMTLANDS LÄN</t>
        </is>
      </c>
      <c r="E493" t="inlineStr">
        <is>
          <t>RAGUNDA</t>
        </is>
      </c>
      <c r="G493" t="n">
        <v>13.1</v>
      </c>
      <c r="H493" t="n">
        <v>0</v>
      </c>
      <c r="I493" t="n">
        <v>0</v>
      </c>
      <c r="J493" t="n">
        <v>0</v>
      </c>
      <c r="K493" t="n">
        <v>0</v>
      </c>
      <c r="L493" t="n">
        <v>0</v>
      </c>
      <c r="M493" t="n">
        <v>0</v>
      </c>
      <c r="N493" t="n">
        <v>0</v>
      </c>
      <c r="O493" t="n">
        <v>0</v>
      </c>
      <c r="P493" t="n">
        <v>0</v>
      </c>
      <c r="Q493" t="n">
        <v>0</v>
      </c>
      <c r="R493" s="2" t="inlineStr"/>
    </row>
    <row r="494" ht="15" customHeight="1">
      <c r="A494" t="inlineStr">
        <is>
          <t>A 10788-2025</t>
        </is>
      </c>
      <c r="B494" s="1" t="n">
        <v>45722.48982638889</v>
      </c>
      <c r="C494" s="1" t="n">
        <v>46029</v>
      </c>
      <c r="D494" t="inlineStr">
        <is>
          <t>JÄMTLANDS LÄN</t>
        </is>
      </c>
      <c r="E494" t="inlineStr">
        <is>
          <t>RAGUNDA</t>
        </is>
      </c>
      <c r="G494" t="n">
        <v>3.5</v>
      </c>
      <c r="H494" t="n">
        <v>0</v>
      </c>
      <c r="I494" t="n">
        <v>0</v>
      </c>
      <c r="J494" t="n">
        <v>0</v>
      </c>
      <c r="K494" t="n">
        <v>0</v>
      </c>
      <c r="L494" t="n">
        <v>0</v>
      </c>
      <c r="M494" t="n">
        <v>0</v>
      </c>
      <c r="N494" t="n">
        <v>0</v>
      </c>
      <c r="O494" t="n">
        <v>0</v>
      </c>
      <c r="P494" t="n">
        <v>0</v>
      </c>
      <c r="Q494" t="n">
        <v>0</v>
      </c>
      <c r="R494" s="2" t="inlineStr"/>
    </row>
    <row r="495" ht="15" customHeight="1">
      <c r="A495" t="inlineStr">
        <is>
          <t>A 37265-2024</t>
        </is>
      </c>
      <c r="B495" s="1" t="n">
        <v>45540.38564814815</v>
      </c>
      <c r="C495" s="1" t="n">
        <v>46029</v>
      </c>
      <c r="D495" t="inlineStr">
        <is>
          <t>JÄMTLANDS LÄN</t>
        </is>
      </c>
      <c r="E495" t="inlineStr">
        <is>
          <t>RAGUNDA</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26246-2025</t>
        </is>
      </c>
      <c r="B496" s="1" t="n">
        <v>45805.57390046296</v>
      </c>
      <c r="C496" s="1" t="n">
        <v>46029</v>
      </c>
      <c r="D496" t="inlineStr">
        <is>
          <t>JÄMTLANDS LÄN</t>
        </is>
      </c>
      <c r="E496" t="inlineStr">
        <is>
          <t>RAGUNDA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18612-2024</t>
        </is>
      </c>
      <c r="B497" s="1" t="n">
        <v>45425.96239583333</v>
      </c>
      <c r="C497" s="1" t="n">
        <v>46029</v>
      </c>
      <c r="D497" t="inlineStr">
        <is>
          <t>JÄMTLANDS LÄN</t>
        </is>
      </c>
      <c r="E497" t="inlineStr">
        <is>
          <t>RAGUNDA</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48249-2024</t>
        </is>
      </c>
      <c r="B498" s="1" t="n">
        <v>45590.40675925926</v>
      </c>
      <c r="C498" s="1" t="n">
        <v>46029</v>
      </c>
      <c r="D498" t="inlineStr">
        <is>
          <t>JÄMTLANDS LÄN</t>
        </is>
      </c>
      <c r="E498" t="inlineStr">
        <is>
          <t>RAGUNDA</t>
        </is>
      </c>
      <c r="F498" t="inlineStr">
        <is>
          <t>SCA</t>
        </is>
      </c>
      <c r="G498" t="n">
        <v>14.4</v>
      </c>
      <c r="H498" t="n">
        <v>0</v>
      </c>
      <c r="I498" t="n">
        <v>0</v>
      </c>
      <c r="J498" t="n">
        <v>0</v>
      </c>
      <c r="K498" t="n">
        <v>0</v>
      </c>
      <c r="L498" t="n">
        <v>0</v>
      </c>
      <c r="M498" t="n">
        <v>0</v>
      </c>
      <c r="N498" t="n">
        <v>0</v>
      </c>
      <c r="O498" t="n">
        <v>0</v>
      </c>
      <c r="P498" t="n">
        <v>0</v>
      </c>
      <c r="Q498" t="n">
        <v>0</v>
      </c>
      <c r="R498" s="2" t="inlineStr"/>
    </row>
    <row r="499" ht="15" customHeight="1">
      <c r="A499" t="inlineStr">
        <is>
          <t>A 2001-2025</t>
        </is>
      </c>
      <c r="B499" s="1" t="n">
        <v>45672.44898148148</v>
      </c>
      <c r="C499" s="1" t="n">
        <v>46029</v>
      </c>
      <c r="D499" t="inlineStr">
        <is>
          <t>JÄMTLANDS LÄN</t>
        </is>
      </c>
      <c r="E499" t="inlineStr">
        <is>
          <t>RAGUNDA</t>
        </is>
      </c>
      <c r="F499" t="inlineStr">
        <is>
          <t>SCA</t>
        </is>
      </c>
      <c r="G499" t="n">
        <v>16.2</v>
      </c>
      <c r="H499" t="n">
        <v>0</v>
      </c>
      <c r="I499" t="n">
        <v>0</v>
      </c>
      <c r="J499" t="n">
        <v>0</v>
      </c>
      <c r="K499" t="n">
        <v>0</v>
      </c>
      <c r="L499" t="n">
        <v>0</v>
      </c>
      <c r="M499" t="n">
        <v>0</v>
      </c>
      <c r="N499" t="n">
        <v>0</v>
      </c>
      <c r="O499" t="n">
        <v>0</v>
      </c>
      <c r="P499" t="n">
        <v>0</v>
      </c>
      <c r="Q499" t="n">
        <v>0</v>
      </c>
      <c r="R499" s="2" t="inlineStr"/>
    </row>
    <row r="500" ht="15" customHeight="1">
      <c r="A500" t="inlineStr">
        <is>
          <t>A 61934-2022</t>
        </is>
      </c>
      <c r="B500" s="1" t="n">
        <v>44917</v>
      </c>
      <c r="C500" s="1" t="n">
        <v>46029</v>
      </c>
      <c r="D500" t="inlineStr">
        <is>
          <t>JÄMTLANDS LÄN</t>
        </is>
      </c>
      <c r="E500" t="inlineStr">
        <is>
          <t>RAGUNDA</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11558-2023</t>
        </is>
      </c>
      <c r="B501" s="1" t="n">
        <v>44993.94958333333</v>
      </c>
      <c r="C501" s="1" t="n">
        <v>46029</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73278-2021</t>
        </is>
      </c>
      <c r="B502" s="1" t="n">
        <v>44550.92168981482</v>
      </c>
      <c r="C502" s="1" t="n">
        <v>46029</v>
      </c>
      <c r="D502" t="inlineStr">
        <is>
          <t>JÄMTLANDS LÄN</t>
        </is>
      </c>
      <c r="E502" t="inlineStr">
        <is>
          <t>RAGUNDA</t>
        </is>
      </c>
      <c r="G502" t="n">
        <v>4.4</v>
      </c>
      <c r="H502" t="n">
        <v>0</v>
      </c>
      <c r="I502" t="n">
        <v>0</v>
      </c>
      <c r="J502" t="n">
        <v>0</v>
      </c>
      <c r="K502" t="n">
        <v>0</v>
      </c>
      <c r="L502" t="n">
        <v>0</v>
      </c>
      <c r="M502" t="n">
        <v>0</v>
      </c>
      <c r="N502" t="n">
        <v>0</v>
      </c>
      <c r="O502" t="n">
        <v>0</v>
      </c>
      <c r="P502" t="n">
        <v>0</v>
      </c>
      <c r="Q502" t="n">
        <v>0</v>
      </c>
      <c r="R502" s="2" t="inlineStr"/>
    </row>
    <row r="503" ht="15" customHeight="1">
      <c r="A503" t="inlineStr">
        <is>
          <t>A 39384-2025</t>
        </is>
      </c>
      <c r="B503" s="1" t="n">
        <v>45889.61517361111</v>
      </c>
      <c r="C503" s="1" t="n">
        <v>46029</v>
      </c>
      <c r="D503" t="inlineStr">
        <is>
          <t>JÄMTLANDS LÄN</t>
        </is>
      </c>
      <c r="E503" t="inlineStr">
        <is>
          <t>RAGUNDA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51396-2024</t>
        </is>
      </c>
      <c r="B504" s="1" t="n">
        <v>45604.4190625</v>
      </c>
      <c r="C504" s="1" t="n">
        <v>46029</v>
      </c>
      <c r="D504" t="inlineStr">
        <is>
          <t>JÄMTLANDS LÄN</t>
        </is>
      </c>
      <c r="E504" t="inlineStr">
        <is>
          <t>RAGUNDA</t>
        </is>
      </c>
      <c r="G504" t="n">
        <v>0.8</v>
      </c>
      <c r="H504" t="n">
        <v>0</v>
      </c>
      <c r="I504" t="n">
        <v>0</v>
      </c>
      <c r="J504" t="n">
        <v>0</v>
      </c>
      <c r="K504" t="n">
        <v>0</v>
      </c>
      <c r="L504" t="n">
        <v>0</v>
      </c>
      <c r="M504" t="n">
        <v>0</v>
      </c>
      <c r="N504" t="n">
        <v>0</v>
      </c>
      <c r="O504" t="n">
        <v>0</v>
      </c>
      <c r="P504" t="n">
        <v>0</v>
      </c>
      <c r="Q504" t="n">
        <v>0</v>
      </c>
      <c r="R504" s="2" t="inlineStr"/>
    </row>
    <row r="505" ht="15" customHeight="1">
      <c r="A505" t="inlineStr">
        <is>
          <t>A 49648-2023</t>
        </is>
      </c>
      <c r="B505" s="1" t="n">
        <v>45211.95061342593</v>
      </c>
      <c r="C505" s="1" t="n">
        <v>46029</v>
      </c>
      <c r="D505" t="inlineStr">
        <is>
          <t>JÄMTLANDS LÄN</t>
        </is>
      </c>
      <c r="E505" t="inlineStr">
        <is>
          <t>RAGUNDA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26640-2025</t>
        </is>
      </c>
      <c r="B506" s="1" t="n">
        <v>45810.36495370371</v>
      </c>
      <c r="C506" s="1" t="n">
        <v>46029</v>
      </c>
      <c r="D506" t="inlineStr">
        <is>
          <t>JÄMTLANDS LÄN</t>
        </is>
      </c>
      <c r="E506" t="inlineStr">
        <is>
          <t>RAGUNDA</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53762-2023</t>
        </is>
      </c>
      <c r="B507" s="1" t="n">
        <v>45230.96376157407</v>
      </c>
      <c r="C507" s="1" t="n">
        <v>46029</v>
      </c>
      <c r="D507" t="inlineStr">
        <is>
          <t>JÄMTLANDS LÄN</t>
        </is>
      </c>
      <c r="E507" t="inlineStr">
        <is>
          <t>RAGUNDA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19089-2024</t>
        </is>
      </c>
      <c r="B508" s="1" t="n">
        <v>45428.00471064815</v>
      </c>
      <c r="C508" s="1" t="n">
        <v>46029</v>
      </c>
      <c r="D508" t="inlineStr">
        <is>
          <t>JÄMTLANDS LÄN</t>
        </is>
      </c>
      <c r="E508" t="inlineStr">
        <is>
          <t>RAGUNDA</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58194-2022</t>
        </is>
      </c>
      <c r="B509" s="1" t="n">
        <v>44900</v>
      </c>
      <c r="C509" s="1" t="n">
        <v>46029</v>
      </c>
      <c r="D509" t="inlineStr">
        <is>
          <t>JÄMTLANDS LÄN</t>
        </is>
      </c>
      <c r="E509" t="inlineStr">
        <is>
          <t>RAGUNDA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42875-2024</t>
        </is>
      </c>
      <c r="B510" s="1" t="n">
        <v>45566.68125</v>
      </c>
      <c r="C510" s="1" t="n">
        <v>46029</v>
      </c>
      <c r="D510" t="inlineStr">
        <is>
          <t>JÄMTLANDS LÄN</t>
        </is>
      </c>
      <c r="E510" t="inlineStr">
        <is>
          <t>RAGUNDA</t>
        </is>
      </c>
      <c r="G510" t="n">
        <v>0.5</v>
      </c>
      <c r="H510" t="n">
        <v>0</v>
      </c>
      <c r="I510" t="n">
        <v>0</v>
      </c>
      <c r="J510" t="n">
        <v>0</v>
      </c>
      <c r="K510" t="n">
        <v>0</v>
      </c>
      <c r="L510" t="n">
        <v>0</v>
      </c>
      <c r="M510" t="n">
        <v>0</v>
      </c>
      <c r="N510" t="n">
        <v>0</v>
      </c>
      <c r="O510" t="n">
        <v>0</v>
      </c>
      <c r="P510" t="n">
        <v>0</v>
      </c>
      <c r="Q510" t="n">
        <v>0</v>
      </c>
      <c r="R510" s="2" t="inlineStr"/>
    </row>
    <row r="511" ht="15" customHeight="1">
      <c r="A511" t="inlineStr">
        <is>
          <t>A 15864-2024</t>
        </is>
      </c>
      <c r="B511" s="1" t="n">
        <v>45404.99792824074</v>
      </c>
      <c r="C511" s="1" t="n">
        <v>46029</v>
      </c>
      <c r="D511" t="inlineStr">
        <is>
          <t>JÄMTLANDS LÄN</t>
        </is>
      </c>
      <c r="E511" t="inlineStr">
        <is>
          <t>RAGUNDA</t>
        </is>
      </c>
      <c r="F511" t="inlineStr">
        <is>
          <t>SCA</t>
        </is>
      </c>
      <c r="G511" t="n">
        <v>1.1</v>
      </c>
      <c r="H511" t="n">
        <v>0</v>
      </c>
      <c r="I511" t="n">
        <v>0</v>
      </c>
      <c r="J511" t="n">
        <v>0</v>
      </c>
      <c r="K511" t="n">
        <v>0</v>
      </c>
      <c r="L511" t="n">
        <v>0</v>
      </c>
      <c r="M511" t="n">
        <v>0</v>
      </c>
      <c r="N511" t="n">
        <v>0</v>
      </c>
      <c r="O511" t="n">
        <v>0</v>
      </c>
      <c r="P511" t="n">
        <v>0</v>
      </c>
      <c r="Q511" t="n">
        <v>0</v>
      </c>
      <c r="R511" s="2" t="inlineStr"/>
      <c r="U511">
        <f>HYPERLINK("https://klasma.github.io/Logging_2303/knärot/A 15864-2024 karta knärot.png", "A 15864-2024")</f>
        <v/>
      </c>
      <c r="V511">
        <f>HYPERLINK("https://klasma.github.io/Logging_2303/klagomål/A 15864-2024 FSC-klagomål.docx", "A 15864-2024")</f>
        <v/>
      </c>
      <c r="W511">
        <f>HYPERLINK("https://klasma.github.io/Logging_2303/klagomålsmail/A 15864-2024 FSC-klagomål mail.docx", "A 15864-2024")</f>
        <v/>
      </c>
      <c r="X511">
        <f>HYPERLINK("https://klasma.github.io/Logging_2303/tillsyn/A 15864-2024 tillsynsbegäran.docx", "A 15864-2024")</f>
        <v/>
      </c>
      <c r="Y511">
        <f>HYPERLINK("https://klasma.github.io/Logging_2303/tillsynsmail/A 15864-2024 tillsynsbegäran mail.docx", "A 15864-2024")</f>
        <v/>
      </c>
    </row>
    <row r="512" ht="15" customHeight="1">
      <c r="A512" t="inlineStr">
        <is>
          <t>A 4015-2022</t>
        </is>
      </c>
      <c r="B512" s="1" t="n">
        <v>44587.92149305555</v>
      </c>
      <c r="C512" s="1" t="n">
        <v>46029</v>
      </c>
      <c r="D512" t="inlineStr">
        <is>
          <t>JÄMTLANDS LÄN</t>
        </is>
      </c>
      <c r="E512" t="inlineStr">
        <is>
          <t>RAGUNDA</t>
        </is>
      </c>
      <c r="G512" t="n">
        <v>3.9</v>
      </c>
      <c r="H512" t="n">
        <v>0</v>
      </c>
      <c r="I512" t="n">
        <v>0</v>
      </c>
      <c r="J512" t="n">
        <v>0</v>
      </c>
      <c r="K512" t="n">
        <v>0</v>
      </c>
      <c r="L512" t="n">
        <v>0</v>
      </c>
      <c r="M512" t="n">
        <v>0</v>
      </c>
      <c r="N512" t="n">
        <v>0</v>
      </c>
      <c r="O512" t="n">
        <v>0</v>
      </c>
      <c r="P512" t="n">
        <v>0</v>
      </c>
      <c r="Q512" t="n">
        <v>0</v>
      </c>
      <c r="R512" s="2" t="inlineStr"/>
    </row>
    <row r="513" ht="15" customHeight="1">
      <c r="A513" t="inlineStr">
        <is>
          <t>A 2599-2023</t>
        </is>
      </c>
      <c r="B513" s="1" t="n">
        <v>44943.94802083333</v>
      </c>
      <c r="C513" s="1" t="n">
        <v>46029</v>
      </c>
      <c r="D513" t="inlineStr">
        <is>
          <t>JÄMTLANDS LÄN</t>
        </is>
      </c>
      <c r="E513" t="inlineStr">
        <is>
          <t>RAGUNDA</t>
        </is>
      </c>
      <c r="F513" t="inlineStr">
        <is>
          <t>SCA</t>
        </is>
      </c>
      <c r="G513" t="n">
        <v>5.9</v>
      </c>
      <c r="H513" t="n">
        <v>0</v>
      </c>
      <c r="I513" t="n">
        <v>0</v>
      </c>
      <c r="J513" t="n">
        <v>0</v>
      </c>
      <c r="K513" t="n">
        <v>0</v>
      </c>
      <c r="L513" t="n">
        <v>0</v>
      </c>
      <c r="M513" t="n">
        <v>0</v>
      </c>
      <c r="N513" t="n">
        <v>0</v>
      </c>
      <c r="O513" t="n">
        <v>0</v>
      </c>
      <c r="P513" t="n">
        <v>0</v>
      </c>
      <c r="Q513" t="n">
        <v>0</v>
      </c>
      <c r="R513" s="2" t="inlineStr"/>
    </row>
    <row r="514" ht="15" customHeight="1">
      <c r="A514" t="inlineStr">
        <is>
          <t>A 59044-2022</t>
        </is>
      </c>
      <c r="B514" s="1" t="n">
        <v>44903</v>
      </c>
      <c r="C514" s="1" t="n">
        <v>46029</v>
      </c>
      <c r="D514" t="inlineStr">
        <is>
          <t>JÄMTLANDS LÄN</t>
        </is>
      </c>
      <c r="E514" t="inlineStr">
        <is>
          <t>RAGUNDA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4014-2022</t>
        </is>
      </c>
      <c r="B515" s="1" t="n">
        <v>44587.92144675926</v>
      </c>
      <c r="C515" s="1" t="n">
        <v>46029</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8243-2024</t>
        </is>
      </c>
      <c r="B516" s="1" t="n">
        <v>45351.98532407408</v>
      </c>
      <c r="C516" s="1" t="n">
        <v>46029</v>
      </c>
      <c r="D516" t="inlineStr">
        <is>
          <t>JÄMTLANDS LÄN</t>
        </is>
      </c>
      <c r="E516" t="inlineStr">
        <is>
          <t>RAGUNDA</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6902-2024</t>
        </is>
      </c>
      <c r="B517" s="1" t="n">
        <v>45342</v>
      </c>
      <c r="C517" s="1" t="n">
        <v>46029</v>
      </c>
      <c r="D517" t="inlineStr">
        <is>
          <t>JÄMTLANDS LÄN</t>
        </is>
      </c>
      <c r="E517" t="inlineStr">
        <is>
          <t>RAGUNDA</t>
        </is>
      </c>
      <c r="F517" t="inlineStr">
        <is>
          <t>SCA</t>
        </is>
      </c>
      <c r="G517" t="n">
        <v>18.7</v>
      </c>
      <c r="H517" t="n">
        <v>0</v>
      </c>
      <c r="I517" t="n">
        <v>0</v>
      </c>
      <c r="J517" t="n">
        <v>0</v>
      </c>
      <c r="K517" t="n">
        <v>0</v>
      </c>
      <c r="L517" t="n">
        <v>0</v>
      </c>
      <c r="M517" t="n">
        <v>0</v>
      </c>
      <c r="N517" t="n">
        <v>0</v>
      </c>
      <c r="O517" t="n">
        <v>0</v>
      </c>
      <c r="P517" t="n">
        <v>0</v>
      </c>
      <c r="Q517" t="n">
        <v>0</v>
      </c>
      <c r="R517" s="2" t="inlineStr"/>
    </row>
    <row r="518" ht="15" customHeight="1">
      <c r="A518" t="inlineStr">
        <is>
          <t>A 6905-2024</t>
        </is>
      </c>
      <c r="B518" s="1" t="n">
        <v>45342.9462037037</v>
      </c>
      <c r="C518" s="1" t="n">
        <v>46029</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53989-2024</t>
        </is>
      </c>
      <c r="B519" s="1" t="n">
        <v>45616.34479166667</v>
      </c>
      <c r="C519" s="1" t="n">
        <v>46029</v>
      </c>
      <c r="D519" t="inlineStr">
        <is>
          <t>JÄMTLANDS LÄN</t>
        </is>
      </c>
      <c r="E519" t="inlineStr">
        <is>
          <t>RAGUNDA</t>
        </is>
      </c>
      <c r="F519" t="inlineStr">
        <is>
          <t>SCA</t>
        </is>
      </c>
      <c r="G519" t="n">
        <v>7.2</v>
      </c>
      <c r="H519" t="n">
        <v>0</v>
      </c>
      <c r="I519" t="n">
        <v>0</v>
      </c>
      <c r="J519" t="n">
        <v>0</v>
      </c>
      <c r="K519" t="n">
        <v>0</v>
      </c>
      <c r="L519" t="n">
        <v>0</v>
      </c>
      <c r="M519" t="n">
        <v>0</v>
      </c>
      <c r="N519" t="n">
        <v>0</v>
      </c>
      <c r="O519" t="n">
        <v>0</v>
      </c>
      <c r="P519" t="n">
        <v>0</v>
      </c>
      <c r="Q519" t="n">
        <v>0</v>
      </c>
      <c r="R519" s="2" t="inlineStr"/>
    </row>
    <row r="520" ht="15" customHeight="1">
      <c r="A520" t="inlineStr">
        <is>
          <t>A 39949-2025</t>
        </is>
      </c>
      <c r="B520" s="1" t="n">
        <v>45892.38619212963</v>
      </c>
      <c r="C520" s="1" t="n">
        <v>46029</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42509-2023</t>
        </is>
      </c>
      <c r="B521" s="1" t="n">
        <v>45180</v>
      </c>
      <c r="C521" s="1" t="n">
        <v>46029</v>
      </c>
      <c r="D521" t="inlineStr">
        <is>
          <t>JÄMTLANDS LÄN</t>
        </is>
      </c>
      <c r="E521" t="inlineStr">
        <is>
          <t>RAGUNDA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42510-2023</t>
        </is>
      </c>
      <c r="B522" s="1" t="n">
        <v>45180.95927083334</v>
      </c>
      <c r="C522" s="1" t="n">
        <v>46029</v>
      </c>
      <c r="D522" t="inlineStr">
        <is>
          <t>JÄMTLANDS LÄN</t>
        </is>
      </c>
      <c r="E522" t="inlineStr">
        <is>
          <t>RAGUNDA</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19404-2025</t>
        </is>
      </c>
      <c r="B523" s="1" t="n">
        <v>45769.67802083334</v>
      </c>
      <c r="C523" s="1" t="n">
        <v>46029</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c r="U523">
        <f>HYPERLINK("https://klasma.github.io/Logging_2303/knärot/A 19404-2025 karta knärot.png", "A 19404-2025")</f>
        <v/>
      </c>
      <c r="V523">
        <f>HYPERLINK("https://klasma.github.io/Logging_2303/klagomål/A 19404-2025 FSC-klagomål.docx", "A 19404-2025")</f>
        <v/>
      </c>
      <c r="W523">
        <f>HYPERLINK("https://klasma.github.io/Logging_2303/klagomålsmail/A 19404-2025 FSC-klagomål mail.docx", "A 19404-2025")</f>
        <v/>
      </c>
      <c r="X523">
        <f>HYPERLINK("https://klasma.github.io/Logging_2303/tillsyn/A 19404-2025 tillsynsbegäran.docx", "A 19404-2025")</f>
        <v/>
      </c>
      <c r="Y523">
        <f>HYPERLINK("https://klasma.github.io/Logging_2303/tillsynsmail/A 19404-2025 tillsynsbegäran mail.docx", "A 19404-2025")</f>
        <v/>
      </c>
    </row>
    <row r="524" ht="15" customHeight="1">
      <c r="A524" t="inlineStr">
        <is>
          <t>A 11048-2023</t>
        </is>
      </c>
      <c r="B524" s="1" t="n">
        <v>44991</v>
      </c>
      <c r="C524" s="1" t="n">
        <v>46029</v>
      </c>
      <c r="D524" t="inlineStr">
        <is>
          <t>JÄMTLANDS LÄN</t>
        </is>
      </c>
      <c r="E524" t="inlineStr">
        <is>
          <t>RAGUNDA</t>
        </is>
      </c>
      <c r="F524" t="inlineStr">
        <is>
          <t>SCA</t>
        </is>
      </c>
      <c r="G524" t="n">
        <v>13.5</v>
      </c>
      <c r="H524" t="n">
        <v>0</v>
      </c>
      <c r="I524" t="n">
        <v>0</v>
      </c>
      <c r="J524" t="n">
        <v>0</v>
      </c>
      <c r="K524" t="n">
        <v>0</v>
      </c>
      <c r="L524" t="n">
        <v>0</v>
      </c>
      <c r="M524" t="n">
        <v>0</v>
      </c>
      <c r="N524" t="n">
        <v>0</v>
      </c>
      <c r="O524" t="n">
        <v>0</v>
      </c>
      <c r="P524" t="n">
        <v>0</v>
      </c>
      <c r="Q524" t="n">
        <v>0</v>
      </c>
      <c r="R524" s="2" t="inlineStr"/>
    </row>
    <row r="525" ht="15" customHeight="1">
      <c r="A525" t="inlineStr">
        <is>
          <t>A 39948-2025</t>
        </is>
      </c>
      <c r="B525" s="1" t="n">
        <v>45892.38591435185</v>
      </c>
      <c r="C525" s="1" t="n">
        <v>46029</v>
      </c>
      <c r="D525" t="inlineStr">
        <is>
          <t>JÄMTLANDS LÄN</t>
        </is>
      </c>
      <c r="E525" t="inlineStr">
        <is>
          <t>RAGUNDA</t>
        </is>
      </c>
      <c r="G525" t="n">
        <v>5</v>
      </c>
      <c r="H525" t="n">
        <v>0</v>
      </c>
      <c r="I525" t="n">
        <v>0</v>
      </c>
      <c r="J525" t="n">
        <v>0</v>
      </c>
      <c r="K525" t="n">
        <v>0</v>
      </c>
      <c r="L525" t="n">
        <v>0</v>
      </c>
      <c r="M525" t="n">
        <v>0</v>
      </c>
      <c r="N525" t="n">
        <v>0</v>
      </c>
      <c r="O525" t="n">
        <v>0</v>
      </c>
      <c r="P525" t="n">
        <v>0</v>
      </c>
      <c r="Q525" t="n">
        <v>0</v>
      </c>
      <c r="R525" s="2" t="inlineStr"/>
    </row>
    <row r="526" ht="15" customHeight="1">
      <c r="A526" t="inlineStr">
        <is>
          <t>A 27510-2025</t>
        </is>
      </c>
      <c r="B526" s="1" t="n">
        <v>45813.42790509259</v>
      </c>
      <c r="C526" s="1" t="n">
        <v>46029</v>
      </c>
      <c r="D526" t="inlineStr">
        <is>
          <t>JÄMTLANDS LÄN</t>
        </is>
      </c>
      <c r="E526" t="inlineStr">
        <is>
          <t>RAGUNDA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16364-2023</t>
        </is>
      </c>
      <c r="B527" s="1" t="n">
        <v>45028</v>
      </c>
      <c r="C527" s="1" t="n">
        <v>46029</v>
      </c>
      <c r="D527" t="inlineStr">
        <is>
          <t>JÄMTLANDS LÄN</t>
        </is>
      </c>
      <c r="E527" t="inlineStr">
        <is>
          <t>RAGUNDA</t>
        </is>
      </c>
      <c r="G527" t="n">
        <v>0.5</v>
      </c>
      <c r="H527" t="n">
        <v>0</v>
      </c>
      <c r="I527" t="n">
        <v>0</v>
      </c>
      <c r="J527" t="n">
        <v>0</v>
      </c>
      <c r="K527" t="n">
        <v>0</v>
      </c>
      <c r="L527" t="n">
        <v>0</v>
      </c>
      <c r="M527" t="n">
        <v>0</v>
      </c>
      <c r="N527" t="n">
        <v>0</v>
      </c>
      <c r="O527" t="n">
        <v>0</v>
      </c>
      <c r="P527" t="n">
        <v>0</v>
      </c>
      <c r="Q527" t="n">
        <v>0</v>
      </c>
      <c r="R527" s="2" t="inlineStr"/>
    </row>
    <row r="528" ht="15" customHeight="1">
      <c r="A528" t="inlineStr">
        <is>
          <t>A 18989-2025</t>
        </is>
      </c>
      <c r="B528" s="1" t="n">
        <v>45764</v>
      </c>
      <c r="C528" s="1" t="n">
        <v>46029</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39947-2025</t>
        </is>
      </c>
      <c r="B529" s="1" t="n">
        <v>45892.34438657408</v>
      </c>
      <c r="C529" s="1" t="n">
        <v>46029</v>
      </c>
      <c r="D529" t="inlineStr">
        <is>
          <t>JÄMTLANDS LÄN</t>
        </is>
      </c>
      <c r="E529" t="inlineStr">
        <is>
          <t>RAGUNDA</t>
        </is>
      </c>
      <c r="G529" t="n">
        <v>6.6</v>
      </c>
      <c r="H529" t="n">
        <v>0</v>
      </c>
      <c r="I529" t="n">
        <v>0</v>
      </c>
      <c r="J529" t="n">
        <v>0</v>
      </c>
      <c r="K529" t="n">
        <v>0</v>
      </c>
      <c r="L529" t="n">
        <v>0</v>
      </c>
      <c r="M529" t="n">
        <v>0</v>
      </c>
      <c r="N529" t="n">
        <v>0</v>
      </c>
      <c r="O529" t="n">
        <v>0</v>
      </c>
      <c r="P529" t="n">
        <v>0</v>
      </c>
      <c r="Q529" t="n">
        <v>0</v>
      </c>
      <c r="R529" s="2" t="inlineStr"/>
    </row>
    <row r="530" ht="15" customHeight="1">
      <c r="A530" t="inlineStr">
        <is>
          <t>A 39951-2025</t>
        </is>
      </c>
      <c r="B530" s="1" t="n">
        <v>45892.38657407407</v>
      </c>
      <c r="C530" s="1" t="n">
        <v>46029</v>
      </c>
      <c r="D530" t="inlineStr">
        <is>
          <t>JÄMTLANDS LÄN</t>
        </is>
      </c>
      <c r="E530" t="inlineStr">
        <is>
          <t>RAGUNDA</t>
        </is>
      </c>
      <c r="G530" t="n">
        <v>2.3</v>
      </c>
      <c r="H530" t="n">
        <v>0</v>
      </c>
      <c r="I530" t="n">
        <v>0</v>
      </c>
      <c r="J530" t="n">
        <v>0</v>
      </c>
      <c r="K530" t="n">
        <v>0</v>
      </c>
      <c r="L530" t="n">
        <v>0</v>
      </c>
      <c r="M530" t="n">
        <v>0</v>
      </c>
      <c r="N530" t="n">
        <v>0</v>
      </c>
      <c r="O530" t="n">
        <v>0</v>
      </c>
      <c r="P530" t="n">
        <v>0</v>
      </c>
      <c r="Q530" t="n">
        <v>0</v>
      </c>
      <c r="R530" s="2" t="inlineStr"/>
    </row>
    <row r="531" ht="15" customHeight="1">
      <c r="A531" t="inlineStr">
        <is>
          <t>A 46549-2023</t>
        </is>
      </c>
      <c r="B531" s="1" t="n">
        <v>45197.94171296297</v>
      </c>
      <c r="C531" s="1" t="n">
        <v>46029</v>
      </c>
      <c r="D531" t="inlineStr">
        <is>
          <t>JÄMTLANDS LÄN</t>
        </is>
      </c>
      <c r="E531" t="inlineStr">
        <is>
          <t>RAGUNDA</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39946-2025</t>
        </is>
      </c>
      <c r="B532" s="1" t="n">
        <v>45892.34423611111</v>
      </c>
      <c r="C532" s="1" t="n">
        <v>46029</v>
      </c>
      <c r="D532" t="inlineStr">
        <is>
          <t>JÄMTLANDS LÄN</t>
        </is>
      </c>
      <c r="E532" t="inlineStr">
        <is>
          <t>RAGUNDA</t>
        </is>
      </c>
      <c r="G532" t="n">
        <v>4.7</v>
      </c>
      <c r="H532" t="n">
        <v>0</v>
      </c>
      <c r="I532" t="n">
        <v>0</v>
      </c>
      <c r="J532" t="n">
        <v>0</v>
      </c>
      <c r="K532" t="n">
        <v>0</v>
      </c>
      <c r="L532" t="n">
        <v>0</v>
      </c>
      <c r="M532" t="n">
        <v>0</v>
      </c>
      <c r="N532" t="n">
        <v>0</v>
      </c>
      <c r="O532" t="n">
        <v>0</v>
      </c>
      <c r="P532" t="n">
        <v>0</v>
      </c>
      <c r="Q532" t="n">
        <v>0</v>
      </c>
      <c r="R532" s="2" t="inlineStr"/>
    </row>
    <row r="533" ht="15" customHeight="1">
      <c r="A533" t="inlineStr">
        <is>
          <t>A 39950-2025</t>
        </is>
      </c>
      <c r="B533" s="1" t="n">
        <v>45892.38641203703</v>
      </c>
      <c r="C533" s="1" t="n">
        <v>46029</v>
      </c>
      <c r="D533" t="inlineStr">
        <is>
          <t>JÄMTLANDS LÄN</t>
        </is>
      </c>
      <c r="E533" t="inlineStr">
        <is>
          <t>RAGUNDA</t>
        </is>
      </c>
      <c r="G533" t="n">
        <v>1.1</v>
      </c>
      <c r="H533" t="n">
        <v>0</v>
      </c>
      <c r="I533" t="n">
        <v>0</v>
      </c>
      <c r="J533" t="n">
        <v>0</v>
      </c>
      <c r="K533" t="n">
        <v>0</v>
      </c>
      <c r="L533" t="n">
        <v>0</v>
      </c>
      <c r="M533" t="n">
        <v>0</v>
      </c>
      <c r="N533" t="n">
        <v>0</v>
      </c>
      <c r="O533" t="n">
        <v>0</v>
      </c>
      <c r="P533" t="n">
        <v>0</v>
      </c>
      <c r="Q533" t="n">
        <v>0</v>
      </c>
      <c r="R533" s="2" t="inlineStr"/>
    </row>
    <row r="534" ht="15" customHeight="1">
      <c r="A534" t="inlineStr">
        <is>
          <t>A 39955-2025</t>
        </is>
      </c>
      <c r="B534" s="1" t="n">
        <v>45892.44824074074</v>
      </c>
      <c r="C534" s="1" t="n">
        <v>46029</v>
      </c>
      <c r="D534" t="inlineStr">
        <is>
          <t>JÄMTLANDS LÄN</t>
        </is>
      </c>
      <c r="E534" t="inlineStr">
        <is>
          <t>RAGUNDA</t>
        </is>
      </c>
      <c r="G534" t="n">
        <v>1.4</v>
      </c>
      <c r="H534" t="n">
        <v>0</v>
      </c>
      <c r="I534" t="n">
        <v>0</v>
      </c>
      <c r="J534" t="n">
        <v>0</v>
      </c>
      <c r="K534" t="n">
        <v>0</v>
      </c>
      <c r="L534" t="n">
        <v>0</v>
      </c>
      <c r="M534" t="n">
        <v>0</v>
      </c>
      <c r="N534" t="n">
        <v>0</v>
      </c>
      <c r="O534" t="n">
        <v>0</v>
      </c>
      <c r="P534" t="n">
        <v>0</v>
      </c>
      <c r="Q534" t="n">
        <v>0</v>
      </c>
      <c r="R534" s="2" t="inlineStr"/>
    </row>
    <row r="535" ht="15" customHeight="1">
      <c r="A535" t="inlineStr">
        <is>
          <t>A 39956-2025</t>
        </is>
      </c>
      <c r="B535" s="1" t="n">
        <v>45892.44840277778</v>
      </c>
      <c r="C535" s="1" t="n">
        <v>46029</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40586-2025</t>
        </is>
      </c>
      <c r="B536" s="1" t="n">
        <v>45896.52478009259</v>
      </c>
      <c r="C536" s="1" t="n">
        <v>46029</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55214-2022</t>
        </is>
      </c>
      <c r="B537" s="1" t="n">
        <v>44886</v>
      </c>
      <c r="C537" s="1" t="n">
        <v>46029</v>
      </c>
      <c r="D537" t="inlineStr">
        <is>
          <t>JÄMTLANDS LÄN</t>
        </is>
      </c>
      <c r="E537" t="inlineStr">
        <is>
          <t>RAGUNDA</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40246-2024</t>
        </is>
      </c>
      <c r="B538" s="1" t="n">
        <v>45554.61583333334</v>
      </c>
      <c r="C538" s="1" t="n">
        <v>46029</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28637-2025</t>
        </is>
      </c>
      <c r="B539" s="1" t="n">
        <v>45819.6359375</v>
      </c>
      <c r="C539" s="1" t="n">
        <v>46029</v>
      </c>
      <c r="D539" t="inlineStr">
        <is>
          <t>JÄMTLANDS LÄN</t>
        </is>
      </c>
      <c r="E539" t="inlineStr">
        <is>
          <t>RAGUNDA</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28973-2025</t>
        </is>
      </c>
      <c r="B540" s="1" t="n">
        <v>45821.34513888889</v>
      </c>
      <c r="C540" s="1" t="n">
        <v>46029</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29723-2025</t>
        </is>
      </c>
      <c r="B541" s="1" t="n">
        <v>45825.57675925926</v>
      </c>
      <c r="C541" s="1" t="n">
        <v>46029</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29731-2025</t>
        </is>
      </c>
      <c r="B542" s="1" t="n">
        <v>45825.58252314815</v>
      </c>
      <c r="C542" s="1" t="n">
        <v>46029</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21853-2024</t>
        </is>
      </c>
      <c r="B543" s="1" t="n">
        <v>45442.96296296296</v>
      </c>
      <c r="C543" s="1" t="n">
        <v>46029</v>
      </c>
      <c r="D543" t="inlineStr">
        <is>
          <t>JÄMTLANDS LÄN</t>
        </is>
      </c>
      <c r="E543" t="inlineStr">
        <is>
          <t>RAGUNDA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29775-2023</t>
        </is>
      </c>
      <c r="B544" s="1" t="n">
        <v>45098</v>
      </c>
      <c r="C544" s="1" t="n">
        <v>46029</v>
      </c>
      <c r="D544" t="inlineStr">
        <is>
          <t>JÄMTLANDS LÄN</t>
        </is>
      </c>
      <c r="E544" t="inlineStr">
        <is>
          <t>RAGUNDA</t>
        </is>
      </c>
      <c r="G544" t="n">
        <v>3.6</v>
      </c>
      <c r="H544" t="n">
        <v>0</v>
      </c>
      <c r="I544" t="n">
        <v>0</v>
      </c>
      <c r="J544" t="n">
        <v>0</v>
      </c>
      <c r="K544" t="n">
        <v>0</v>
      </c>
      <c r="L544" t="n">
        <v>0</v>
      </c>
      <c r="M544" t="n">
        <v>0</v>
      </c>
      <c r="N544" t="n">
        <v>0</v>
      </c>
      <c r="O544" t="n">
        <v>0</v>
      </c>
      <c r="P544" t="n">
        <v>0</v>
      </c>
      <c r="Q544" t="n">
        <v>0</v>
      </c>
      <c r="R544" s="2" t="inlineStr"/>
    </row>
    <row r="545" ht="15" customHeight="1">
      <c r="A545" t="inlineStr">
        <is>
          <t>A 40365-2024</t>
        </is>
      </c>
      <c r="B545" s="1" t="n">
        <v>45555.38509259259</v>
      </c>
      <c r="C545" s="1" t="n">
        <v>46029</v>
      </c>
      <c r="D545" t="inlineStr">
        <is>
          <t>JÄMTLANDS LÄN</t>
        </is>
      </c>
      <c r="E545" t="inlineStr">
        <is>
          <t>RAGUNDA</t>
        </is>
      </c>
      <c r="G545" t="n">
        <v>7.8</v>
      </c>
      <c r="H545" t="n">
        <v>0</v>
      </c>
      <c r="I545" t="n">
        <v>0</v>
      </c>
      <c r="J545" t="n">
        <v>0</v>
      </c>
      <c r="K545" t="n">
        <v>0</v>
      </c>
      <c r="L545" t="n">
        <v>0</v>
      </c>
      <c r="M545" t="n">
        <v>0</v>
      </c>
      <c r="N545" t="n">
        <v>0</v>
      </c>
      <c r="O545" t="n">
        <v>0</v>
      </c>
      <c r="P545" t="n">
        <v>0</v>
      </c>
      <c r="Q545" t="n">
        <v>0</v>
      </c>
      <c r="R545" s="2" t="inlineStr"/>
    </row>
    <row r="546" ht="15" customHeight="1">
      <c r="A546" t="inlineStr">
        <is>
          <t>A 41161-2025</t>
        </is>
      </c>
      <c r="B546" s="1" t="n">
        <v>45898.53193287037</v>
      </c>
      <c r="C546" s="1" t="n">
        <v>46029</v>
      </c>
      <c r="D546" t="inlineStr">
        <is>
          <t>JÄMTLANDS LÄN</t>
        </is>
      </c>
      <c r="E546" t="inlineStr">
        <is>
          <t>RAGUNDA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30088-2025</t>
        </is>
      </c>
      <c r="B547" s="1" t="n">
        <v>45826.65759259259</v>
      </c>
      <c r="C547" s="1" t="n">
        <v>46029</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41140-2025</t>
        </is>
      </c>
      <c r="B548" s="1" t="n">
        <v>45898.49012731481</v>
      </c>
      <c r="C548" s="1" t="n">
        <v>46029</v>
      </c>
      <c r="D548" t="inlineStr">
        <is>
          <t>JÄMTLANDS LÄN</t>
        </is>
      </c>
      <c r="E548" t="inlineStr">
        <is>
          <t>RAGUNDA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60456-2023</t>
        </is>
      </c>
      <c r="B549" s="1" t="n">
        <v>45258</v>
      </c>
      <c r="C549" s="1" t="n">
        <v>46029</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31463-2024</t>
        </is>
      </c>
      <c r="B550" s="1" t="n">
        <v>45505</v>
      </c>
      <c r="C550" s="1" t="n">
        <v>46029</v>
      </c>
      <c r="D550" t="inlineStr">
        <is>
          <t>JÄMTLANDS LÄN</t>
        </is>
      </c>
      <c r="E550" t="inlineStr">
        <is>
          <t>RAGUNDA</t>
        </is>
      </c>
      <c r="F550" t="inlineStr">
        <is>
          <t>SCA</t>
        </is>
      </c>
      <c r="G550" t="n">
        <v>20.3</v>
      </c>
      <c r="H550" t="n">
        <v>0</v>
      </c>
      <c r="I550" t="n">
        <v>0</v>
      </c>
      <c r="J550" t="n">
        <v>0</v>
      </c>
      <c r="K550" t="n">
        <v>0</v>
      </c>
      <c r="L550" t="n">
        <v>0</v>
      </c>
      <c r="M550" t="n">
        <v>0</v>
      </c>
      <c r="N550" t="n">
        <v>0</v>
      </c>
      <c r="O550" t="n">
        <v>0</v>
      </c>
      <c r="P550" t="n">
        <v>0</v>
      </c>
      <c r="Q550" t="n">
        <v>0</v>
      </c>
      <c r="R550" s="2" t="inlineStr"/>
    </row>
    <row r="551" ht="15" customHeight="1">
      <c r="A551" t="inlineStr">
        <is>
          <t>A 58438-2022</t>
        </is>
      </c>
      <c r="B551" s="1" t="n">
        <v>44901</v>
      </c>
      <c r="C551" s="1" t="n">
        <v>46029</v>
      </c>
      <c r="D551" t="inlineStr">
        <is>
          <t>JÄMTLANDS LÄN</t>
        </is>
      </c>
      <c r="E551" t="inlineStr">
        <is>
          <t>RAGUNDA</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58442-2022</t>
        </is>
      </c>
      <c r="B552" s="1" t="n">
        <v>44901</v>
      </c>
      <c r="C552" s="1" t="n">
        <v>46029</v>
      </c>
      <c r="D552" t="inlineStr">
        <is>
          <t>JÄMTLANDS LÄN</t>
        </is>
      </c>
      <c r="E552" t="inlineStr">
        <is>
          <t>RAGUNDA</t>
        </is>
      </c>
      <c r="F552" t="inlineStr">
        <is>
          <t>SCA</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30348-2025</t>
        </is>
      </c>
      <c r="B553" s="1" t="n">
        <v>45827.53178240741</v>
      </c>
      <c r="C553" s="1" t="n">
        <v>46029</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30434-2025</t>
        </is>
      </c>
      <c r="B554" s="1" t="n">
        <v>45827.63582175926</v>
      </c>
      <c r="C554" s="1" t="n">
        <v>46029</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49229-2024</t>
        </is>
      </c>
      <c r="B555" s="1" t="n">
        <v>45595.42738425926</v>
      </c>
      <c r="C555" s="1" t="n">
        <v>46029</v>
      </c>
      <c r="D555" t="inlineStr">
        <is>
          <t>JÄMTLANDS LÄN</t>
        </is>
      </c>
      <c r="E555" t="inlineStr">
        <is>
          <t>RAGUNDA</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55524-2024</t>
        </is>
      </c>
      <c r="B556" s="1" t="n">
        <v>45622.47435185185</v>
      </c>
      <c r="C556" s="1" t="n">
        <v>46029</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19419-2024</t>
        </is>
      </c>
      <c r="B557" s="1" t="n">
        <v>45429</v>
      </c>
      <c r="C557" s="1" t="n">
        <v>46029</v>
      </c>
      <c r="D557" t="inlineStr">
        <is>
          <t>JÄMTLANDS LÄN</t>
        </is>
      </c>
      <c r="E557" t="inlineStr">
        <is>
          <t>RAGUNDA</t>
        </is>
      </c>
      <c r="G557" t="n">
        <v>3.5</v>
      </c>
      <c r="H557" t="n">
        <v>0</v>
      </c>
      <c r="I557" t="n">
        <v>0</v>
      </c>
      <c r="J557" t="n">
        <v>0</v>
      </c>
      <c r="K557" t="n">
        <v>0</v>
      </c>
      <c r="L557" t="n">
        <v>0</v>
      </c>
      <c r="M557" t="n">
        <v>0</v>
      </c>
      <c r="N557" t="n">
        <v>0</v>
      </c>
      <c r="O557" t="n">
        <v>0</v>
      </c>
      <c r="P557" t="n">
        <v>0</v>
      </c>
      <c r="Q557" t="n">
        <v>0</v>
      </c>
      <c r="R557" s="2" t="inlineStr"/>
    </row>
    <row r="558" ht="15" customHeight="1">
      <c r="A558" t="inlineStr">
        <is>
          <t>A 30883-2025</t>
        </is>
      </c>
      <c r="B558" s="1" t="n">
        <v>45832.34552083333</v>
      </c>
      <c r="C558" s="1" t="n">
        <v>46029</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41233-2025</t>
        </is>
      </c>
      <c r="B559" s="1" t="n">
        <v>45898.59295138889</v>
      </c>
      <c r="C559" s="1" t="n">
        <v>46029</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41262-2025</t>
        </is>
      </c>
      <c r="B560" s="1" t="n">
        <v>45898.61502314815</v>
      </c>
      <c r="C560" s="1" t="n">
        <v>46029</v>
      </c>
      <c r="D560" t="inlineStr">
        <is>
          <t>JÄMTLANDS LÄN</t>
        </is>
      </c>
      <c r="E560" t="inlineStr">
        <is>
          <t>RAGUNDA</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30880-2025</t>
        </is>
      </c>
      <c r="B561" s="1" t="n">
        <v>45832.34524305556</v>
      </c>
      <c r="C561" s="1" t="n">
        <v>46029</v>
      </c>
      <c r="D561" t="inlineStr">
        <is>
          <t>JÄMTLANDS LÄN</t>
        </is>
      </c>
      <c r="E561" t="inlineStr">
        <is>
          <t>RAGUNDA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30887-2025</t>
        </is>
      </c>
      <c r="B562" s="1" t="n">
        <v>45832.3459375</v>
      </c>
      <c r="C562" s="1" t="n">
        <v>46029</v>
      </c>
      <c r="D562" t="inlineStr">
        <is>
          <t>JÄMTLANDS LÄN</t>
        </is>
      </c>
      <c r="E562" t="inlineStr">
        <is>
          <t>RAGUNDA</t>
        </is>
      </c>
      <c r="F562" t="inlineStr">
        <is>
          <t>SCA</t>
        </is>
      </c>
      <c r="G562" t="n">
        <v>10.1</v>
      </c>
      <c r="H562" t="n">
        <v>0</v>
      </c>
      <c r="I562" t="n">
        <v>0</v>
      </c>
      <c r="J562" t="n">
        <v>0</v>
      </c>
      <c r="K562" t="n">
        <v>0</v>
      </c>
      <c r="L562" t="n">
        <v>0</v>
      </c>
      <c r="M562" t="n">
        <v>0</v>
      </c>
      <c r="N562" t="n">
        <v>0</v>
      </c>
      <c r="O562" t="n">
        <v>0</v>
      </c>
      <c r="P562" t="n">
        <v>0</v>
      </c>
      <c r="Q562" t="n">
        <v>0</v>
      </c>
      <c r="R562" s="2" t="inlineStr"/>
    </row>
    <row r="563" ht="15" customHeight="1">
      <c r="A563" t="inlineStr">
        <is>
          <t>A 41422-2025</t>
        </is>
      </c>
      <c r="B563" s="1" t="n">
        <v>45901.38572916666</v>
      </c>
      <c r="C563" s="1" t="n">
        <v>46029</v>
      </c>
      <c r="D563" t="inlineStr">
        <is>
          <t>JÄMTLANDS LÄN</t>
        </is>
      </c>
      <c r="E563" t="inlineStr">
        <is>
          <t>RAGUNDA</t>
        </is>
      </c>
      <c r="G563" t="n">
        <v>4.3</v>
      </c>
      <c r="H563" t="n">
        <v>0</v>
      </c>
      <c r="I563" t="n">
        <v>0</v>
      </c>
      <c r="J563" t="n">
        <v>0</v>
      </c>
      <c r="K563" t="n">
        <v>0</v>
      </c>
      <c r="L563" t="n">
        <v>0</v>
      </c>
      <c r="M563" t="n">
        <v>0</v>
      </c>
      <c r="N563" t="n">
        <v>0</v>
      </c>
      <c r="O563" t="n">
        <v>0</v>
      </c>
      <c r="P563" t="n">
        <v>0</v>
      </c>
      <c r="Q563" t="n">
        <v>0</v>
      </c>
      <c r="R563" s="2" t="inlineStr"/>
    </row>
    <row r="564" ht="15" customHeight="1">
      <c r="A564" t="inlineStr">
        <is>
          <t>A 31882-2025</t>
        </is>
      </c>
      <c r="B564" s="1" t="n">
        <v>45834.65662037037</v>
      </c>
      <c r="C564" s="1" t="n">
        <v>46029</v>
      </c>
      <c r="D564" t="inlineStr">
        <is>
          <t>JÄMTLANDS LÄN</t>
        </is>
      </c>
      <c r="E564" t="inlineStr">
        <is>
          <t>RAGUNDA</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46211-2024</t>
        </is>
      </c>
      <c r="B565" s="1" t="n">
        <v>45581.55260416667</v>
      </c>
      <c r="C565" s="1" t="n">
        <v>46029</v>
      </c>
      <c r="D565" t="inlineStr">
        <is>
          <t>JÄMTLANDS LÄN</t>
        </is>
      </c>
      <c r="E565" t="inlineStr">
        <is>
          <t>RAGUNDA</t>
        </is>
      </c>
      <c r="G565" t="n">
        <v>7.3</v>
      </c>
      <c r="H565" t="n">
        <v>0</v>
      </c>
      <c r="I565" t="n">
        <v>0</v>
      </c>
      <c r="J565" t="n">
        <v>0</v>
      </c>
      <c r="K565" t="n">
        <v>0</v>
      </c>
      <c r="L565" t="n">
        <v>0</v>
      </c>
      <c r="M565" t="n">
        <v>0</v>
      </c>
      <c r="N565" t="n">
        <v>0</v>
      </c>
      <c r="O565" t="n">
        <v>0</v>
      </c>
      <c r="P565" t="n">
        <v>0</v>
      </c>
      <c r="Q565" t="n">
        <v>0</v>
      </c>
      <c r="R565" s="2" t="inlineStr"/>
    </row>
    <row r="566" ht="15" customHeight="1">
      <c r="A566" t="inlineStr">
        <is>
          <t>A 8679-2023</t>
        </is>
      </c>
      <c r="B566" s="1" t="n">
        <v>44977.98670138889</v>
      </c>
      <c r="C566" s="1" t="n">
        <v>46029</v>
      </c>
      <c r="D566" t="inlineStr">
        <is>
          <t>JÄMTLANDS LÄN</t>
        </is>
      </c>
      <c r="E566" t="inlineStr">
        <is>
          <t>RAGUNDA</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41423-2025</t>
        </is>
      </c>
      <c r="B567" s="1" t="n">
        <v>45901.38578703703</v>
      </c>
      <c r="C567" s="1" t="n">
        <v>46029</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41656-2025</t>
        </is>
      </c>
      <c r="B568" s="1" t="n">
        <v>45902.34423611111</v>
      </c>
      <c r="C568" s="1" t="n">
        <v>46029</v>
      </c>
      <c r="D568" t="inlineStr">
        <is>
          <t>JÄMTLANDS LÄN</t>
        </is>
      </c>
      <c r="E568" t="inlineStr">
        <is>
          <t>RAGUNDA</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14158-2024</t>
        </is>
      </c>
      <c r="B569" s="1" t="n">
        <v>45392</v>
      </c>
      <c r="C569" s="1" t="n">
        <v>46029</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55649-2023</t>
        </is>
      </c>
      <c r="B570" s="1" t="n">
        <v>45238</v>
      </c>
      <c r="C570" s="1" t="n">
        <v>46029</v>
      </c>
      <c r="D570" t="inlineStr">
        <is>
          <t>JÄMTLANDS LÄN</t>
        </is>
      </c>
      <c r="E570" t="inlineStr">
        <is>
          <t>RAGUNDA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32762-2025</t>
        </is>
      </c>
      <c r="B571" s="1" t="n">
        <v>45838</v>
      </c>
      <c r="C571" s="1" t="n">
        <v>46029</v>
      </c>
      <c r="D571" t="inlineStr">
        <is>
          <t>JÄMTLANDS LÄN</t>
        </is>
      </c>
      <c r="E571" t="inlineStr">
        <is>
          <t>RAGUNDA</t>
        </is>
      </c>
      <c r="G571" t="n">
        <v>0.6</v>
      </c>
      <c r="H571" t="n">
        <v>0</v>
      </c>
      <c r="I571" t="n">
        <v>0</v>
      </c>
      <c r="J571" t="n">
        <v>0</v>
      </c>
      <c r="K571" t="n">
        <v>0</v>
      </c>
      <c r="L571" t="n">
        <v>0</v>
      </c>
      <c r="M571" t="n">
        <v>0</v>
      </c>
      <c r="N571" t="n">
        <v>0</v>
      </c>
      <c r="O571" t="n">
        <v>0</v>
      </c>
      <c r="P571" t="n">
        <v>0</v>
      </c>
      <c r="Q571" t="n">
        <v>0</v>
      </c>
      <c r="R571" s="2" t="inlineStr"/>
    </row>
    <row r="572" ht="15" customHeight="1">
      <c r="A572" t="inlineStr">
        <is>
          <t>A 41424-2025</t>
        </is>
      </c>
      <c r="B572" s="1" t="n">
        <v>45901.38584490741</v>
      </c>
      <c r="C572" s="1" t="n">
        <v>46029</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53769-2023</t>
        </is>
      </c>
      <c r="B573" s="1" t="n">
        <v>45230</v>
      </c>
      <c r="C573" s="1" t="n">
        <v>46029</v>
      </c>
      <c r="D573" t="inlineStr">
        <is>
          <t>JÄMTLANDS LÄN</t>
        </is>
      </c>
      <c r="E573" t="inlineStr">
        <is>
          <t>RAGUNDA</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32306-2025</t>
        </is>
      </c>
      <c r="B574" s="1" t="n">
        <v>45835.72046296296</v>
      </c>
      <c r="C574" s="1" t="n">
        <v>46029</v>
      </c>
      <c r="D574" t="inlineStr">
        <is>
          <t>JÄMTLANDS LÄN</t>
        </is>
      </c>
      <c r="E574" t="inlineStr">
        <is>
          <t>RAGUNDA</t>
        </is>
      </c>
      <c r="G574" t="n">
        <v>10.2</v>
      </c>
      <c r="H574" t="n">
        <v>0</v>
      </c>
      <c r="I574" t="n">
        <v>0</v>
      </c>
      <c r="J574" t="n">
        <v>0</v>
      </c>
      <c r="K574" t="n">
        <v>0</v>
      </c>
      <c r="L574" t="n">
        <v>0</v>
      </c>
      <c r="M574" t="n">
        <v>0</v>
      </c>
      <c r="N574" t="n">
        <v>0</v>
      </c>
      <c r="O574" t="n">
        <v>0</v>
      </c>
      <c r="P574" t="n">
        <v>0</v>
      </c>
      <c r="Q574" t="n">
        <v>0</v>
      </c>
      <c r="R574" s="2" t="inlineStr"/>
    </row>
    <row r="575" ht="15" customHeight="1">
      <c r="A575" t="inlineStr">
        <is>
          <t>A 32757-2025</t>
        </is>
      </c>
      <c r="B575" s="1" t="n">
        <v>45838</v>
      </c>
      <c r="C575" s="1" t="n">
        <v>46029</v>
      </c>
      <c r="D575" t="inlineStr">
        <is>
          <t>JÄMTLANDS LÄN</t>
        </is>
      </c>
      <c r="E575" t="inlineStr">
        <is>
          <t>RAGUNDA</t>
        </is>
      </c>
      <c r="G575" t="n">
        <v>4.5</v>
      </c>
      <c r="H575" t="n">
        <v>0</v>
      </c>
      <c r="I575" t="n">
        <v>0</v>
      </c>
      <c r="J575" t="n">
        <v>0</v>
      </c>
      <c r="K575" t="n">
        <v>0</v>
      </c>
      <c r="L575" t="n">
        <v>0</v>
      </c>
      <c r="M575" t="n">
        <v>0</v>
      </c>
      <c r="N575" t="n">
        <v>0</v>
      </c>
      <c r="O575" t="n">
        <v>0</v>
      </c>
      <c r="P575" t="n">
        <v>0</v>
      </c>
      <c r="Q575" t="n">
        <v>0</v>
      </c>
      <c r="R575" s="2" t="inlineStr"/>
    </row>
    <row r="576" ht="15" customHeight="1">
      <c r="A576" t="inlineStr">
        <is>
          <t>A 32660-2025</t>
        </is>
      </c>
      <c r="B576" s="1" t="n">
        <v>45838.67887731481</v>
      </c>
      <c r="C576" s="1" t="n">
        <v>46029</v>
      </c>
      <c r="D576" t="inlineStr">
        <is>
          <t>JÄMTLANDS LÄN</t>
        </is>
      </c>
      <c r="E576" t="inlineStr">
        <is>
          <t>RAGUNDA</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32527-2025</t>
        </is>
      </c>
      <c r="B577" s="1" t="n">
        <v>45838.48996527777</v>
      </c>
      <c r="C577" s="1" t="n">
        <v>46029</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40919-2024</t>
        </is>
      </c>
      <c r="B578" s="1" t="n">
        <v>45558.63575231482</v>
      </c>
      <c r="C578" s="1" t="n">
        <v>46029</v>
      </c>
      <c r="D578" t="inlineStr">
        <is>
          <t>JÄMTLANDS LÄN</t>
        </is>
      </c>
      <c r="E578" t="inlineStr">
        <is>
          <t>RAGUNDA</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32021-2025</t>
        </is>
      </c>
      <c r="B579" s="1" t="n">
        <v>45835.40668981482</v>
      </c>
      <c r="C579" s="1" t="n">
        <v>46029</v>
      </c>
      <c r="D579" t="inlineStr">
        <is>
          <t>JÄMTLANDS LÄN</t>
        </is>
      </c>
      <c r="E579" t="inlineStr">
        <is>
          <t>RAGUNDA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32655-2025</t>
        </is>
      </c>
      <c r="B580" s="1" t="n">
        <v>45838.67800925926</v>
      </c>
      <c r="C580" s="1" t="n">
        <v>46029</v>
      </c>
      <c r="D580" t="inlineStr">
        <is>
          <t>JÄMTLANDS LÄN</t>
        </is>
      </c>
      <c r="E580" t="inlineStr">
        <is>
          <t>RAGUNDA</t>
        </is>
      </c>
      <c r="G580" t="n">
        <v>2.8</v>
      </c>
      <c r="H580" t="n">
        <v>0</v>
      </c>
      <c r="I580" t="n">
        <v>0</v>
      </c>
      <c r="J580" t="n">
        <v>0</v>
      </c>
      <c r="K580" t="n">
        <v>0</v>
      </c>
      <c r="L580" t="n">
        <v>0</v>
      </c>
      <c r="M580" t="n">
        <v>0</v>
      </c>
      <c r="N580" t="n">
        <v>0</v>
      </c>
      <c r="O580" t="n">
        <v>0</v>
      </c>
      <c r="P580" t="n">
        <v>0</v>
      </c>
      <c r="Q580" t="n">
        <v>0</v>
      </c>
      <c r="R580" s="2" t="inlineStr"/>
    </row>
    <row r="581" ht="15" customHeight="1">
      <c r="A581" t="inlineStr">
        <is>
          <t>A 15024-2022</t>
        </is>
      </c>
      <c r="B581" s="1" t="n">
        <v>44657</v>
      </c>
      <c r="C581" s="1" t="n">
        <v>46029</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32151-2025</t>
        </is>
      </c>
      <c r="B582" s="1" t="n">
        <v>45835.53166666667</v>
      </c>
      <c r="C582" s="1" t="n">
        <v>46029</v>
      </c>
      <c r="D582" t="inlineStr">
        <is>
          <t>JÄMTLANDS LÄN</t>
        </is>
      </c>
      <c r="E582" t="inlineStr">
        <is>
          <t>RAGUNDA</t>
        </is>
      </c>
      <c r="F582" t="inlineStr">
        <is>
          <t>SCA</t>
        </is>
      </c>
      <c r="G582" t="n">
        <v>12.3</v>
      </c>
      <c r="H582" t="n">
        <v>0</v>
      </c>
      <c r="I582" t="n">
        <v>0</v>
      </c>
      <c r="J582" t="n">
        <v>0</v>
      </c>
      <c r="K582" t="n">
        <v>0</v>
      </c>
      <c r="L582" t="n">
        <v>0</v>
      </c>
      <c r="M582" t="n">
        <v>0</v>
      </c>
      <c r="N582" t="n">
        <v>0</v>
      </c>
      <c r="O582" t="n">
        <v>0</v>
      </c>
      <c r="P582" t="n">
        <v>0</v>
      </c>
      <c r="Q582" t="n">
        <v>0</v>
      </c>
      <c r="R582" s="2" t="inlineStr"/>
    </row>
    <row r="583" ht="15" customHeight="1">
      <c r="A583" t="inlineStr">
        <is>
          <t>A 32096-2025</t>
        </is>
      </c>
      <c r="B583" s="1" t="n">
        <v>45835.46334490741</v>
      </c>
      <c r="C583" s="1" t="n">
        <v>46029</v>
      </c>
      <c r="D583" t="inlineStr">
        <is>
          <t>JÄMTLANDS LÄN</t>
        </is>
      </c>
      <c r="E583" t="inlineStr">
        <is>
          <t>RAGUNDA</t>
        </is>
      </c>
      <c r="G583" t="n">
        <v>0.9</v>
      </c>
      <c r="H583" t="n">
        <v>0</v>
      </c>
      <c r="I583" t="n">
        <v>0</v>
      </c>
      <c r="J583" t="n">
        <v>0</v>
      </c>
      <c r="K583" t="n">
        <v>0</v>
      </c>
      <c r="L583" t="n">
        <v>0</v>
      </c>
      <c r="M583" t="n">
        <v>0</v>
      </c>
      <c r="N583" t="n">
        <v>0</v>
      </c>
      <c r="O583" t="n">
        <v>0</v>
      </c>
      <c r="P583" t="n">
        <v>0</v>
      </c>
      <c r="Q583" t="n">
        <v>0</v>
      </c>
      <c r="R583" s="2" t="inlineStr"/>
    </row>
    <row r="584" ht="15" customHeight="1">
      <c r="A584" t="inlineStr">
        <is>
          <t>A 32748-2025</t>
        </is>
      </c>
      <c r="B584" s="1" t="n">
        <v>45839.42822916667</v>
      </c>
      <c r="C584" s="1" t="n">
        <v>46029</v>
      </c>
      <c r="D584" t="inlineStr">
        <is>
          <t>JÄMTLANDS LÄN</t>
        </is>
      </c>
      <c r="E584" t="inlineStr">
        <is>
          <t>RAGUNDA</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32777-2025</t>
        </is>
      </c>
      <c r="B585" s="1" t="n">
        <v>45839.46915509259</v>
      </c>
      <c r="C585" s="1" t="n">
        <v>46029</v>
      </c>
      <c r="D585" t="inlineStr">
        <is>
          <t>JÄMTLANDS LÄN</t>
        </is>
      </c>
      <c r="E585" t="inlineStr">
        <is>
          <t>RAGUNDA</t>
        </is>
      </c>
      <c r="F585" t="inlineStr">
        <is>
          <t>SCA</t>
        </is>
      </c>
      <c r="G585" t="n">
        <v>21.7</v>
      </c>
      <c r="H585" t="n">
        <v>0</v>
      </c>
      <c r="I585" t="n">
        <v>0</v>
      </c>
      <c r="J585" t="n">
        <v>0</v>
      </c>
      <c r="K585" t="n">
        <v>0</v>
      </c>
      <c r="L585" t="n">
        <v>0</v>
      </c>
      <c r="M585" t="n">
        <v>0</v>
      </c>
      <c r="N585" t="n">
        <v>0</v>
      </c>
      <c r="O585" t="n">
        <v>0</v>
      </c>
      <c r="P585" t="n">
        <v>0</v>
      </c>
      <c r="Q585" t="n">
        <v>0</v>
      </c>
      <c r="R585" s="2" t="inlineStr"/>
    </row>
    <row r="586" ht="15" customHeight="1">
      <c r="A586" t="inlineStr">
        <is>
          <t>A 48192-2024</t>
        </is>
      </c>
      <c r="B586" s="1" t="n">
        <v>45590</v>
      </c>
      <c r="C586" s="1" t="n">
        <v>46029</v>
      </c>
      <c r="D586" t="inlineStr">
        <is>
          <t>JÄMTLANDS LÄN</t>
        </is>
      </c>
      <c r="E586" t="inlineStr">
        <is>
          <t>RAGUNDA</t>
        </is>
      </c>
      <c r="G586" t="n">
        <v>2.3</v>
      </c>
      <c r="H586" t="n">
        <v>0</v>
      </c>
      <c r="I586" t="n">
        <v>0</v>
      </c>
      <c r="J586" t="n">
        <v>0</v>
      </c>
      <c r="K586" t="n">
        <v>0</v>
      </c>
      <c r="L586" t="n">
        <v>0</v>
      </c>
      <c r="M586" t="n">
        <v>0</v>
      </c>
      <c r="N586" t="n">
        <v>0</v>
      </c>
      <c r="O586" t="n">
        <v>0</v>
      </c>
      <c r="P586" t="n">
        <v>0</v>
      </c>
      <c r="Q586" t="n">
        <v>0</v>
      </c>
      <c r="R586" s="2" t="inlineStr"/>
    </row>
    <row r="587" ht="15" customHeight="1">
      <c r="A587" t="inlineStr">
        <is>
          <t>A 32430-2025</t>
        </is>
      </c>
      <c r="B587" s="1" t="n">
        <v>45838.36532407408</v>
      </c>
      <c r="C587" s="1" t="n">
        <v>46029</v>
      </c>
      <c r="D587" t="inlineStr">
        <is>
          <t>JÄMTLANDS LÄN</t>
        </is>
      </c>
      <c r="E587" t="inlineStr">
        <is>
          <t>RAGUNDA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12768-2022</t>
        </is>
      </c>
      <c r="B588" s="1" t="n">
        <v>44641</v>
      </c>
      <c r="C588" s="1" t="n">
        <v>46029</v>
      </c>
      <c r="D588" t="inlineStr">
        <is>
          <t>JÄMTLANDS LÄN</t>
        </is>
      </c>
      <c r="E588" t="inlineStr">
        <is>
          <t>RAGUNDA</t>
        </is>
      </c>
      <c r="F588" t="inlineStr">
        <is>
          <t>SCA</t>
        </is>
      </c>
      <c r="G588" t="n">
        <v>8</v>
      </c>
      <c r="H588" t="n">
        <v>0</v>
      </c>
      <c r="I588" t="n">
        <v>0</v>
      </c>
      <c r="J588" t="n">
        <v>0</v>
      </c>
      <c r="K588" t="n">
        <v>0</v>
      </c>
      <c r="L588" t="n">
        <v>0</v>
      </c>
      <c r="M588" t="n">
        <v>0</v>
      </c>
      <c r="N588" t="n">
        <v>0</v>
      </c>
      <c r="O588" t="n">
        <v>0</v>
      </c>
      <c r="P588" t="n">
        <v>0</v>
      </c>
      <c r="Q588" t="n">
        <v>0</v>
      </c>
      <c r="R588" s="2" t="inlineStr"/>
    </row>
    <row r="589" ht="15" customHeight="1">
      <c r="A589" t="inlineStr">
        <is>
          <t>A 12773-2022</t>
        </is>
      </c>
      <c r="B589" s="1" t="n">
        <v>44641</v>
      </c>
      <c r="C589" s="1" t="n">
        <v>46029</v>
      </c>
      <c r="D589" t="inlineStr">
        <is>
          <t>JÄMTLANDS LÄN</t>
        </is>
      </c>
      <c r="E589" t="inlineStr">
        <is>
          <t>RAGUNDA</t>
        </is>
      </c>
      <c r="F589" t="inlineStr">
        <is>
          <t>SCA</t>
        </is>
      </c>
      <c r="G589" t="n">
        <v>14.7</v>
      </c>
      <c r="H589" t="n">
        <v>0</v>
      </c>
      <c r="I589" t="n">
        <v>0</v>
      </c>
      <c r="J589" t="n">
        <v>0</v>
      </c>
      <c r="K589" t="n">
        <v>0</v>
      </c>
      <c r="L589" t="n">
        <v>0</v>
      </c>
      <c r="M589" t="n">
        <v>0</v>
      </c>
      <c r="N589" t="n">
        <v>0</v>
      </c>
      <c r="O589" t="n">
        <v>0</v>
      </c>
      <c r="P589" t="n">
        <v>0</v>
      </c>
      <c r="Q589" t="n">
        <v>0</v>
      </c>
      <c r="R589" s="2" t="inlineStr"/>
    </row>
    <row r="590" ht="15" customHeight="1">
      <c r="A590" t="inlineStr">
        <is>
          <t>A 32796-2025</t>
        </is>
      </c>
      <c r="B590" s="1" t="n">
        <v>45839.49082175926</v>
      </c>
      <c r="C590" s="1" t="n">
        <v>46029</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32747-2025</t>
        </is>
      </c>
      <c r="B591" s="1" t="n">
        <v>45839.42810185185</v>
      </c>
      <c r="C591" s="1" t="n">
        <v>46029</v>
      </c>
      <c r="D591" t="inlineStr">
        <is>
          <t>JÄMTLANDS LÄN</t>
        </is>
      </c>
      <c r="E591" t="inlineStr">
        <is>
          <t>RAGUNDA</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41876-2025</t>
        </is>
      </c>
      <c r="B592" s="1" t="n">
        <v>45903.34555555556</v>
      </c>
      <c r="C592" s="1" t="n">
        <v>46029</v>
      </c>
      <c r="D592" t="inlineStr">
        <is>
          <t>JÄMTLANDS LÄN</t>
        </is>
      </c>
      <c r="E592" t="inlineStr">
        <is>
          <t>RAGUNDA</t>
        </is>
      </c>
      <c r="G592" t="n">
        <v>2</v>
      </c>
      <c r="H592" t="n">
        <v>0</v>
      </c>
      <c r="I592" t="n">
        <v>0</v>
      </c>
      <c r="J592" t="n">
        <v>0</v>
      </c>
      <c r="K592" t="n">
        <v>0</v>
      </c>
      <c r="L592" t="n">
        <v>0</v>
      </c>
      <c r="M592" t="n">
        <v>0</v>
      </c>
      <c r="N592" t="n">
        <v>0</v>
      </c>
      <c r="O592" t="n">
        <v>0</v>
      </c>
      <c r="P592" t="n">
        <v>0</v>
      </c>
      <c r="Q592" t="n">
        <v>0</v>
      </c>
      <c r="R592" s="2" t="inlineStr"/>
    </row>
    <row r="593" ht="15" customHeight="1">
      <c r="A593" t="inlineStr">
        <is>
          <t>A 32751-2025</t>
        </is>
      </c>
      <c r="B593" s="1" t="n">
        <v>45839.42864583333</v>
      </c>
      <c r="C593" s="1" t="n">
        <v>46029</v>
      </c>
      <c r="D593" t="inlineStr">
        <is>
          <t>JÄMTLANDS LÄN</t>
        </is>
      </c>
      <c r="E593" t="inlineStr">
        <is>
          <t>RAGUNDA</t>
        </is>
      </c>
      <c r="F593" t="inlineStr">
        <is>
          <t>SCA</t>
        </is>
      </c>
      <c r="G593" t="n">
        <v>10</v>
      </c>
      <c r="H593" t="n">
        <v>0</v>
      </c>
      <c r="I593" t="n">
        <v>0</v>
      </c>
      <c r="J593" t="n">
        <v>0</v>
      </c>
      <c r="K593" t="n">
        <v>0</v>
      </c>
      <c r="L593" t="n">
        <v>0</v>
      </c>
      <c r="M593" t="n">
        <v>0</v>
      </c>
      <c r="N593" t="n">
        <v>0</v>
      </c>
      <c r="O593" t="n">
        <v>0</v>
      </c>
      <c r="P593" t="n">
        <v>0</v>
      </c>
      <c r="Q593" t="n">
        <v>0</v>
      </c>
      <c r="R593" s="2" t="inlineStr"/>
    </row>
    <row r="594" ht="15" customHeight="1">
      <c r="A594" t="inlineStr">
        <is>
          <t>A 32846-2025</t>
        </is>
      </c>
      <c r="B594" s="1" t="n">
        <v>45839.57331018519</v>
      </c>
      <c r="C594" s="1" t="n">
        <v>46029</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33140-2025</t>
        </is>
      </c>
      <c r="B595" s="1" t="n">
        <v>45840.52225694444</v>
      </c>
      <c r="C595" s="1" t="n">
        <v>46029</v>
      </c>
      <c r="D595" t="inlineStr">
        <is>
          <t>JÄMTLANDS LÄN</t>
        </is>
      </c>
      <c r="E595" t="inlineStr">
        <is>
          <t>RAGUNDA</t>
        </is>
      </c>
      <c r="G595" t="n">
        <v>2</v>
      </c>
      <c r="H595" t="n">
        <v>0</v>
      </c>
      <c r="I595" t="n">
        <v>0</v>
      </c>
      <c r="J595" t="n">
        <v>0</v>
      </c>
      <c r="K595" t="n">
        <v>0</v>
      </c>
      <c r="L595" t="n">
        <v>0</v>
      </c>
      <c r="M595" t="n">
        <v>0</v>
      </c>
      <c r="N595" t="n">
        <v>0</v>
      </c>
      <c r="O595" t="n">
        <v>0</v>
      </c>
      <c r="P595" t="n">
        <v>0</v>
      </c>
      <c r="Q595" t="n">
        <v>0</v>
      </c>
      <c r="R595" s="2" t="inlineStr"/>
    </row>
    <row r="596" ht="15" customHeight="1">
      <c r="A596" t="inlineStr">
        <is>
          <t>A 18375-2022</t>
        </is>
      </c>
      <c r="B596" s="1" t="n">
        <v>44685</v>
      </c>
      <c r="C596" s="1" t="n">
        <v>46029</v>
      </c>
      <c r="D596" t="inlineStr">
        <is>
          <t>JÄMTLANDS LÄN</t>
        </is>
      </c>
      <c r="E596" t="inlineStr">
        <is>
          <t>RAGUNDA</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55536-2024</t>
        </is>
      </c>
      <c r="B597" s="1" t="n">
        <v>45622</v>
      </c>
      <c r="C597" s="1" t="n">
        <v>46029</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33556-2025</t>
        </is>
      </c>
      <c r="B598" s="1" t="n">
        <v>45841.57427083333</v>
      </c>
      <c r="C598" s="1" t="n">
        <v>46029</v>
      </c>
      <c r="D598" t="inlineStr">
        <is>
          <t>JÄMTLANDS LÄN</t>
        </is>
      </c>
      <c r="E598" t="inlineStr">
        <is>
          <t>RAGUNDA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2411-2023</t>
        </is>
      </c>
      <c r="B599" s="1" t="n">
        <v>44942</v>
      </c>
      <c r="C599" s="1" t="n">
        <v>46029</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42269-2025</t>
        </is>
      </c>
      <c r="B600" s="1" t="n">
        <v>45904.60431712963</v>
      </c>
      <c r="C600" s="1" t="n">
        <v>46029</v>
      </c>
      <c r="D600" t="inlineStr">
        <is>
          <t>JÄMTLANDS LÄN</t>
        </is>
      </c>
      <c r="E600" t="inlineStr">
        <is>
          <t>RAGUNDA</t>
        </is>
      </c>
      <c r="G600" t="n">
        <v>4.3</v>
      </c>
      <c r="H600" t="n">
        <v>0</v>
      </c>
      <c r="I600" t="n">
        <v>0</v>
      </c>
      <c r="J600" t="n">
        <v>0</v>
      </c>
      <c r="K600" t="n">
        <v>0</v>
      </c>
      <c r="L600" t="n">
        <v>0</v>
      </c>
      <c r="M600" t="n">
        <v>0</v>
      </c>
      <c r="N600" t="n">
        <v>0</v>
      </c>
      <c r="O600" t="n">
        <v>0</v>
      </c>
      <c r="P600" t="n">
        <v>0</v>
      </c>
      <c r="Q600" t="n">
        <v>0</v>
      </c>
      <c r="R600" s="2" t="inlineStr"/>
    </row>
    <row r="601" ht="15" customHeight="1">
      <c r="A601" t="inlineStr">
        <is>
          <t>A 11834-2023</t>
        </is>
      </c>
      <c r="B601" s="1" t="n">
        <v>44994.94296296296</v>
      </c>
      <c r="C601" s="1" t="n">
        <v>46029</v>
      </c>
      <c r="D601" t="inlineStr">
        <is>
          <t>JÄMTLANDS LÄN</t>
        </is>
      </c>
      <c r="E601" t="inlineStr">
        <is>
          <t>RAGUNDA</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33790-2025</t>
        </is>
      </c>
      <c r="B602" s="1" t="n">
        <v>45842.42608796297</v>
      </c>
      <c r="C602" s="1" t="n">
        <v>46029</v>
      </c>
      <c r="D602" t="inlineStr">
        <is>
          <t>JÄMTLANDS LÄN</t>
        </is>
      </c>
      <c r="E602" t="inlineStr">
        <is>
          <t>RAGUNDA</t>
        </is>
      </c>
      <c r="G602" t="n">
        <v>0.3</v>
      </c>
      <c r="H602" t="n">
        <v>0</v>
      </c>
      <c r="I602" t="n">
        <v>0</v>
      </c>
      <c r="J602" t="n">
        <v>0</v>
      </c>
      <c r="K602" t="n">
        <v>0</v>
      </c>
      <c r="L602" t="n">
        <v>0</v>
      </c>
      <c r="M602" t="n">
        <v>0</v>
      </c>
      <c r="N602" t="n">
        <v>0</v>
      </c>
      <c r="O602" t="n">
        <v>0</v>
      </c>
      <c r="P602" t="n">
        <v>0</v>
      </c>
      <c r="Q602" t="n">
        <v>0</v>
      </c>
      <c r="R602" s="2" t="inlineStr"/>
    </row>
    <row r="603" ht="15" customHeight="1">
      <c r="A603" t="inlineStr">
        <is>
          <t>A 53264-2024</t>
        </is>
      </c>
      <c r="B603" s="1" t="n">
        <v>45614.34545138889</v>
      </c>
      <c r="C603" s="1" t="n">
        <v>46029</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50431-2024</t>
        </is>
      </c>
      <c r="B604" s="1" t="n">
        <v>45601.40686342592</v>
      </c>
      <c r="C604" s="1" t="n">
        <v>46029</v>
      </c>
      <c r="D604" t="inlineStr">
        <is>
          <t>JÄMTLANDS LÄN</t>
        </is>
      </c>
      <c r="E604" t="inlineStr">
        <is>
          <t>RAGUNDA</t>
        </is>
      </c>
      <c r="F604" t="inlineStr">
        <is>
          <t>SCA</t>
        </is>
      </c>
      <c r="G604" t="n">
        <v>8.5</v>
      </c>
      <c r="H604" t="n">
        <v>0</v>
      </c>
      <c r="I604" t="n">
        <v>0</v>
      </c>
      <c r="J604" t="n">
        <v>0</v>
      </c>
      <c r="K604" t="n">
        <v>0</v>
      </c>
      <c r="L604" t="n">
        <v>0</v>
      </c>
      <c r="M604" t="n">
        <v>0</v>
      </c>
      <c r="N604" t="n">
        <v>0</v>
      </c>
      <c r="O604" t="n">
        <v>0</v>
      </c>
      <c r="P604" t="n">
        <v>0</v>
      </c>
      <c r="Q604" t="n">
        <v>0</v>
      </c>
      <c r="R604" s="2" t="inlineStr"/>
    </row>
    <row r="605" ht="15" customHeight="1">
      <c r="A605" t="inlineStr">
        <is>
          <t>A 16334-2025</t>
        </is>
      </c>
      <c r="B605" s="1" t="n">
        <v>45751.36490740741</v>
      </c>
      <c r="C605" s="1" t="n">
        <v>46029</v>
      </c>
      <c r="D605" t="inlineStr">
        <is>
          <t>JÄMTLANDS LÄN</t>
        </is>
      </c>
      <c r="E605" t="inlineStr">
        <is>
          <t>RAGUNDA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34296-2025</t>
        </is>
      </c>
      <c r="B606" s="1" t="n">
        <v>45846.34454861111</v>
      </c>
      <c r="C606" s="1" t="n">
        <v>46029</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7284-2024</t>
        </is>
      </c>
      <c r="B607" s="1" t="n">
        <v>45344.92865740741</v>
      </c>
      <c r="C607" s="1" t="n">
        <v>46029</v>
      </c>
      <c r="D607" t="inlineStr">
        <is>
          <t>JÄMTLANDS LÄN</t>
        </is>
      </c>
      <c r="E607" t="inlineStr">
        <is>
          <t>RAGUNDA</t>
        </is>
      </c>
      <c r="G607" t="n">
        <v>2.1</v>
      </c>
      <c r="H607" t="n">
        <v>0</v>
      </c>
      <c r="I607" t="n">
        <v>0</v>
      </c>
      <c r="J607" t="n">
        <v>0</v>
      </c>
      <c r="K607" t="n">
        <v>0</v>
      </c>
      <c r="L607" t="n">
        <v>0</v>
      </c>
      <c r="M607" t="n">
        <v>0</v>
      </c>
      <c r="N607" t="n">
        <v>0</v>
      </c>
      <c r="O607" t="n">
        <v>0</v>
      </c>
      <c r="P607" t="n">
        <v>0</v>
      </c>
      <c r="Q607" t="n">
        <v>0</v>
      </c>
      <c r="R607" s="2" t="inlineStr"/>
    </row>
    <row r="608" ht="15" customHeight="1">
      <c r="A608" t="inlineStr">
        <is>
          <t>A 7285-2024</t>
        </is>
      </c>
      <c r="B608" s="1" t="n">
        <v>45344.92873842592</v>
      </c>
      <c r="C608" s="1" t="n">
        <v>46029</v>
      </c>
      <c r="D608" t="inlineStr">
        <is>
          <t>JÄMTLANDS LÄN</t>
        </is>
      </c>
      <c r="E608" t="inlineStr">
        <is>
          <t>RAGUNDA</t>
        </is>
      </c>
      <c r="G608" t="n">
        <v>0.5</v>
      </c>
      <c r="H608" t="n">
        <v>0</v>
      </c>
      <c r="I608" t="n">
        <v>0</v>
      </c>
      <c r="J608" t="n">
        <v>0</v>
      </c>
      <c r="K608" t="n">
        <v>0</v>
      </c>
      <c r="L608" t="n">
        <v>0</v>
      </c>
      <c r="M608" t="n">
        <v>0</v>
      </c>
      <c r="N608" t="n">
        <v>0</v>
      </c>
      <c r="O608" t="n">
        <v>0</v>
      </c>
      <c r="P608" t="n">
        <v>0</v>
      </c>
      <c r="Q608" t="n">
        <v>0</v>
      </c>
      <c r="R608" s="2" t="inlineStr"/>
    </row>
    <row r="609" ht="15" customHeight="1">
      <c r="A609" t="inlineStr">
        <is>
          <t>A 2242-2024</t>
        </is>
      </c>
      <c r="B609" s="1" t="n">
        <v>45309</v>
      </c>
      <c r="C609" s="1" t="n">
        <v>46029</v>
      </c>
      <c r="D609" t="inlineStr">
        <is>
          <t>JÄMTLANDS LÄN</t>
        </is>
      </c>
      <c r="E609" t="inlineStr">
        <is>
          <t>RAGUNDA</t>
        </is>
      </c>
      <c r="G609" t="n">
        <v>0.9</v>
      </c>
      <c r="H609" t="n">
        <v>0</v>
      </c>
      <c r="I609" t="n">
        <v>0</v>
      </c>
      <c r="J609" t="n">
        <v>0</v>
      </c>
      <c r="K609" t="n">
        <v>0</v>
      </c>
      <c r="L609" t="n">
        <v>0</v>
      </c>
      <c r="M609" t="n">
        <v>0</v>
      </c>
      <c r="N609" t="n">
        <v>0</v>
      </c>
      <c r="O609" t="n">
        <v>0</v>
      </c>
      <c r="P609" t="n">
        <v>0</v>
      </c>
      <c r="Q609" t="n">
        <v>0</v>
      </c>
      <c r="R609" s="2" t="inlineStr"/>
    </row>
    <row r="610" ht="15" customHeight="1">
      <c r="A610" t="inlineStr">
        <is>
          <t>A 2248-2024</t>
        </is>
      </c>
      <c r="B610" s="1" t="n">
        <v>45309</v>
      </c>
      <c r="C610" s="1" t="n">
        <v>46029</v>
      </c>
      <c r="D610" t="inlineStr">
        <is>
          <t>JÄMTLANDS LÄN</t>
        </is>
      </c>
      <c r="E610" t="inlineStr">
        <is>
          <t>RAGUNDA</t>
        </is>
      </c>
      <c r="G610" t="n">
        <v>4.2</v>
      </c>
      <c r="H610" t="n">
        <v>0</v>
      </c>
      <c r="I610" t="n">
        <v>0</v>
      </c>
      <c r="J610" t="n">
        <v>0</v>
      </c>
      <c r="K610" t="n">
        <v>0</v>
      </c>
      <c r="L610" t="n">
        <v>0</v>
      </c>
      <c r="M610" t="n">
        <v>0</v>
      </c>
      <c r="N610" t="n">
        <v>0</v>
      </c>
      <c r="O610" t="n">
        <v>0</v>
      </c>
      <c r="P610" t="n">
        <v>0</v>
      </c>
      <c r="Q610" t="n">
        <v>0</v>
      </c>
      <c r="R610" s="2" t="inlineStr"/>
    </row>
    <row r="611" ht="15" customHeight="1">
      <c r="A611" t="inlineStr">
        <is>
          <t>A 5958-2021</t>
        </is>
      </c>
      <c r="B611" s="1" t="n">
        <v>44231</v>
      </c>
      <c r="C611" s="1" t="n">
        <v>46029</v>
      </c>
      <c r="D611" t="inlineStr">
        <is>
          <t>JÄMTLANDS LÄN</t>
        </is>
      </c>
      <c r="E611" t="inlineStr">
        <is>
          <t>RAGUNDA</t>
        </is>
      </c>
      <c r="G611" t="n">
        <v>3.1</v>
      </c>
      <c r="H611" t="n">
        <v>0</v>
      </c>
      <c r="I611" t="n">
        <v>0</v>
      </c>
      <c r="J611" t="n">
        <v>0</v>
      </c>
      <c r="K611" t="n">
        <v>0</v>
      </c>
      <c r="L611" t="n">
        <v>0</v>
      </c>
      <c r="M611" t="n">
        <v>0</v>
      </c>
      <c r="N611" t="n">
        <v>0</v>
      </c>
      <c r="O611" t="n">
        <v>0</v>
      </c>
      <c r="P611" t="n">
        <v>0</v>
      </c>
      <c r="Q611" t="n">
        <v>0</v>
      </c>
      <c r="R611" s="2" t="inlineStr"/>
    </row>
    <row r="612" ht="15" customHeight="1">
      <c r="A612" t="inlineStr">
        <is>
          <t>A 24197-2024</t>
        </is>
      </c>
      <c r="B612" s="1" t="n">
        <v>45456.96601851852</v>
      </c>
      <c r="C612" s="1" t="n">
        <v>46029</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4916-2025</t>
        </is>
      </c>
      <c r="B613" s="1" t="n">
        <v>45688.68196759259</v>
      </c>
      <c r="C613" s="1" t="n">
        <v>46029</v>
      </c>
      <c r="D613" t="inlineStr">
        <is>
          <t>JÄMTLANDS LÄN</t>
        </is>
      </c>
      <c r="E613" t="inlineStr">
        <is>
          <t>RAGUNDA</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33763-2025</t>
        </is>
      </c>
      <c r="B614" s="1" t="n">
        <v>45842.38579861111</v>
      </c>
      <c r="C614" s="1" t="n">
        <v>46029</v>
      </c>
      <c r="D614" t="inlineStr">
        <is>
          <t>JÄMTLANDS LÄN</t>
        </is>
      </c>
      <c r="E614" t="inlineStr">
        <is>
          <t>RAGUNDA</t>
        </is>
      </c>
      <c r="F614" t="inlineStr">
        <is>
          <t>SCA</t>
        </is>
      </c>
      <c r="G614" t="n">
        <v>13.4</v>
      </c>
      <c r="H614" t="n">
        <v>0</v>
      </c>
      <c r="I614" t="n">
        <v>0</v>
      </c>
      <c r="J614" t="n">
        <v>0</v>
      </c>
      <c r="K614" t="n">
        <v>0</v>
      </c>
      <c r="L614" t="n">
        <v>0</v>
      </c>
      <c r="M614" t="n">
        <v>0</v>
      </c>
      <c r="N614" t="n">
        <v>0</v>
      </c>
      <c r="O614" t="n">
        <v>0</v>
      </c>
      <c r="P614" t="n">
        <v>0</v>
      </c>
      <c r="Q614" t="n">
        <v>0</v>
      </c>
      <c r="R614" s="2" t="inlineStr"/>
    </row>
    <row r="615" ht="15" customHeight="1">
      <c r="A615" t="inlineStr">
        <is>
          <t>A 34461-2025</t>
        </is>
      </c>
      <c r="B615" s="1" t="n">
        <v>45847.34474537037</v>
      </c>
      <c r="C615" s="1" t="n">
        <v>46029</v>
      </c>
      <c r="D615" t="inlineStr">
        <is>
          <t>JÄMTLANDS LÄN</t>
        </is>
      </c>
      <c r="E615" t="inlineStr">
        <is>
          <t>RAGUNDA</t>
        </is>
      </c>
      <c r="F615" t="inlineStr">
        <is>
          <t>SCA</t>
        </is>
      </c>
      <c r="G615" t="n">
        <v>44.8</v>
      </c>
      <c r="H615" t="n">
        <v>0</v>
      </c>
      <c r="I615" t="n">
        <v>0</v>
      </c>
      <c r="J615" t="n">
        <v>0</v>
      </c>
      <c r="K615" t="n">
        <v>0</v>
      </c>
      <c r="L615" t="n">
        <v>0</v>
      </c>
      <c r="M615" t="n">
        <v>0</v>
      </c>
      <c r="N615" t="n">
        <v>0</v>
      </c>
      <c r="O615" t="n">
        <v>0</v>
      </c>
      <c r="P615" t="n">
        <v>0</v>
      </c>
      <c r="Q615" t="n">
        <v>0</v>
      </c>
      <c r="R615" s="2" t="inlineStr"/>
    </row>
    <row r="616" ht="15" customHeight="1">
      <c r="A616" t="inlineStr">
        <is>
          <t>A 34464-2025</t>
        </is>
      </c>
      <c r="B616" s="1" t="n">
        <v>45847.34528935186</v>
      </c>
      <c r="C616" s="1" t="n">
        <v>46029</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34468-2025</t>
        </is>
      </c>
      <c r="B617" s="1" t="n">
        <v>45847.34597222223</v>
      </c>
      <c r="C617" s="1" t="n">
        <v>46029</v>
      </c>
      <c r="D617" t="inlineStr">
        <is>
          <t>JÄMTLANDS LÄN</t>
        </is>
      </c>
      <c r="E617" t="inlineStr">
        <is>
          <t>RAGUNDA</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34586-2025</t>
        </is>
      </c>
      <c r="B618" s="1" t="n">
        <v>45847.61513888889</v>
      </c>
      <c r="C618" s="1" t="n">
        <v>46029</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34607-2025</t>
        </is>
      </c>
      <c r="B619" s="1" t="n">
        <v>45847.65703703704</v>
      </c>
      <c r="C619" s="1" t="n">
        <v>46029</v>
      </c>
      <c r="D619" t="inlineStr">
        <is>
          <t>JÄMTLANDS LÄN</t>
        </is>
      </c>
      <c r="E619" t="inlineStr">
        <is>
          <t>RAGUNDA</t>
        </is>
      </c>
      <c r="F619" t="inlineStr">
        <is>
          <t>SCA</t>
        </is>
      </c>
      <c r="G619" t="n">
        <v>31.4</v>
      </c>
      <c r="H619" t="n">
        <v>0</v>
      </c>
      <c r="I619" t="n">
        <v>0</v>
      </c>
      <c r="J619" t="n">
        <v>0</v>
      </c>
      <c r="K619" t="n">
        <v>0</v>
      </c>
      <c r="L619" t="n">
        <v>0</v>
      </c>
      <c r="M619" t="n">
        <v>0</v>
      </c>
      <c r="N619" t="n">
        <v>0</v>
      </c>
      <c r="O619" t="n">
        <v>0</v>
      </c>
      <c r="P619" t="n">
        <v>0</v>
      </c>
      <c r="Q619" t="n">
        <v>0</v>
      </c>
      <c r="R619" s="2" t="inlineStr"/>
    </row>
    <row r="620" ht="15" customHeight="1">
      <c r="A620" t="inlineStr">
        <is>
          <t>A 34772-2025</t>
        </is>
      </c>
      <c r="B620" s="1" t="n">
        <v>45848.65658564815</v>
      </c>
      <c r="C620" s="1" t="n">
        <v>46029</v>
      </c>
      <c r="D620" t="inlineStr">
        <is>
          <t>JÄMTLANDS LÄN</t>
        </is>
      </c>
      <c r="E620" t="inlineStr">
        <is>
          <t>RAGUNDA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34466-2025</t>
        </is>
      </c>
      <c r="B621" s="1" t="n">
        <v>45847.34565972222</v>
      </c>
      <c r="C621" s="1" t="n">
        <v>46029</v>
      </c>
      <c r="D621" t="inlineStr">
        <is>
          <t>JÄMTLANDS LÄN</t>
        </is>
      </c>
      <c r="E621" t="inlineStr">
        <is>
          <t>RAGUNDA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34588-2025</t>
        </is>
      </c>
      <c r="B622" s="1" t="n">
        <v>45847.61548611111</v>
      </c>
      <c r="C622" s="1" t="n">
        <v>46029</v>
      </c>
      <c r="D622" t="inlineStr">
        <is>
          <t>JÄMTLANDS LÄN</t>
        </is>
      </c>
      <c r="E622" t="inlineStr">
        <is>
          <t>RAGUNDA</t>
        </is>
      </c>
      <c r="G622" t="n">
        <v>32.3</v>
      </c>
      <c r="H622" t="n">
        <v>0</v>
      </c>
      <c r="I622" t="n">
        <v>0</v>
      </c>
      <c r="J622" t="n">
        <v>0</v>
      </c>
      <c r="K622" t="n">
        <v>0</v>
      </c>
      <c r="L622" t="n">
        <v>0</v>
      </c>
      <c r="M622" t="n">
        <v>0</v>
      </c>
      <c r="N622" t="n">
        <v>0</v>
      </c>
      <c r="O622" t="n">
        <v>0</v>
      </c>
      <c r="P622" t="n">
        <v>0</v>
      </c>
      <c r="Q622" t="n">
        <v>0</v>
      </c>
      <c r="R622" s="2" t="inlineStr"/>
    </row>
    <row r="623" ht="15" customHeight="1">
      <c r="A623" t="inlineStr">
        <is>
          <t>A 23305-2023</t>
        </is>
      </c>
      <c r="B623" s="1" t="n">
        <v>45075.94506944445</v>
      </c>
      <c r="C623" s="1" t="n">
        <v>46029</v>
      </c>
      <c r="D623" t="inlineStr">
        <is>
          <t>JÄMTLANDS LÄN</t>
        </is>
      </c>
      <c r="E623" t="inlineStr">
        <is>
          <t>RAGUNDA</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34463-2025</t>
        </is>
      </c>
      <c r="B624" s="1" t="n">
        <v>45847.34515046296</v>
      </c>
      <c r="C624" s="1" t="n">
        <v>46029</v>
      </c>
      <c r="D624" t="inlineStr">
        <is>
          <t>JÄMTLANDS LÄN</t>
        </is>
      </c>
      <c r="E624" t="inlineStr">
        <is>
          <t>RAGUNDA</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34710-2025</t>
        </is>
      </c>
      <c r="B625" s="1" t="n">
        <v>45848.49774305556</v>
      </c>
      <c r="C625" s="1" t="n">
        <v>46029</v>
      </c>
      <c r="D625" t="inlineStr">
        <is>
          <t>JÄMTLANDS LÄN</t>
        </is>
      </c>
      <c r="E625" t="inlineStr">
        <is>
          <t>RAGUNDA</t>
        </is>
      </c>
      <c r="G625" t="n">
        <v>4.1</v>
      </c>
      <c r="H625" t="n">
        <v>0</v>
      </c>
      <c r="I625" t="n">
        <v>0</v>
      </c>
      <c r="J625" t="n">
        <v>0</v>
      </c>
      <c r="K625" t="n">
        <v>0</v>
      </c>
      <c r="L625" t="n">
        <v>0</v>
      </c>
      <c r="M625" t="n">
        <v>0</v>
      </c>
      <c r="N625" t="n">
        <v>0</v>
      </c>
      <c r="O625" t="n">
        <v>0</v>
      </c>
      <c r="P625" t="n">
        <v>0</v>
      </c>
      <c r="Q625" t="n">
        <v>0</v>
      </c>
      <c r="R625" s="2" t="inlineStr"/>
    </row>
    <row r="626" ht="15" customHeight="1">
      <c r="A626" t="inlineStr">
        <is>
          <t>A 4615-2023</t>
        </is>
      </c>
      <c r="B626" s="1" t="n">
        <v>44956.93924768519</v>
      </c>
      <c r="C626" s="1" t="n">
        <v>46029</v>
      </c>
      <c r="D626" t="inlineStr">
        <is>
          <t>JÄMTLANDS LÄN</t>
        </is>
      </c>
      <c r="E626" t="inlineStr">
        <is>
          <t>RAGUNDA</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2673-2024</t>
        </is>
      </c>
      <c r="B627" s="1" t="n">
        <v>45314</v>
      </c>
      <c r="C627" s="1" t="n">
        <v>46029</v>
      </c>
      <c r="D627" t="inlineStr">
        <is>
          <t>JÄMTLANDS LÄN</t>
        </is>
      </c>
      <c r="E627" t="inlineStr">
        <is>
          <t>RAGUNDA</t>
        </is>
      </c>
      <c r="G627" t="n">
        <v>0.9</v>
      </c>
      <c r="H627" t="n">
        <v>0</v>
      </c>
      <c r="I627" t="n">
        <v>0</v>
      </c>
      <c r="J627" t="n">
        <v>0</v>
      </c>
      <c r="K627" t="n">
        <v>0</v>
      </c>
      <c r="L627" t="n">
        <v>0</v>
      </c>
      <c r="M627" t="n">
        <v>0</v>
      </c>
      <c r="N627" t="n">
        <v>0</v>
      </c>
      <c r="O627" t="n">
        <v>0</v>
      </c>
      <c r="P627" t="n">
        <v>0</v>
      </c>
      <c r="Q627" t="n">
        <v>0</v>
      </c>
      <c r="R627" s="2" t="inlineStr"/>
    </row>
    <row r="628" ht="15" customHeight="1">
      <c r="A628" t="inlineStr">
        <is>
          <t>A 34709-2025</t>
        </is>
      </c>
      <c r="B628" s="1" t="n">
        <v>45848.49761574074</v>
      </c>
      <c r="C628" s="1" t="n">
        <v>46029</v>
      </c>
      <c r="D628" t="inlineStr">
        <is>
          <t>JÄMTLANDS LÄN</t>
        </is>
      </c>
      <c r="E628" t="inlineStr">
        <is>
          <t>RAGUNDA</t>
        </is>
      </c>
      <c r="G628" t="n">
        <v>3.1</v>
      </c>
      <c r="H628" t="n">
        <v>0</v>
      </c>
      <c r="I628" t="n">
        <v>0</v>
      </c>
      <c r="J628" t="n">
        <v>0</v>
      </c>
      <c r="K628" t="n">
        <v>0</v>
      </c>
      <c r="L628" t="n">
        <v>0</v>
      </c>
      <c r="M628" t="n">
        <v>0</v>
      </c>
      <c r="N628" t="n">
        <v>0</v>
      </c>
      <c r="O628" t="n">
        <v>0</v>
      </c>
      <c r="P628" t="n">
        <v>0</v>
      </c>
      <c r="Q628" t="n">
        <v>0</v>
      </c>
      <c r="R628" s="2" t="inlineStr"/>
    </row>
    <row r="629" ht="15" customHeight="1">
      <c r="A629" t="inlineStr">
        <is>
          <t>A 57112-2024</t>
        </is>
      </c>
      <c r="B629" s="1" t="n">
        <v>45629.36486111111</v>
      </c>
      <c r="C629" s="1" t="n">
        <v>46029</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36375-2022</t>
        </is>
      </c>
      <c r="B630" s="1" t="n">
        <v>44803.94351851852</v>
      </c>
      <c r="C630" s="1" t="n">
        <v>46029</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35092-2025</t>
        </is>
      </c>
      <c r="B631" s="1" t="n">
        <v>45852.53185185185</v>
      </c>
      <c r="C631" s="1" t="n">
        <v>46029</v>
      </c>
      <c r="D631" t="inlineStr">
        <is>
          <t>JÄMTLANDS LÄN</t>
        </is>
      </c>
      <c r="E631" t="inlineStr">
        <is>
          <t>RAGUNDA</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34998-2025</t>
        </is>
      </c>
      <c r="B632" s="1" t="n">
        <v>45850.34434027778</v>
      </c>
      <c r="C632" s="1" t="n">
        <v>46029</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17667-2025</t>
        </is>
      </c>
      <c r="B633" s="1" t="n">
        <v>45758.36487268518</v>
      </c>
      <c r="C633" s="1" t="n">
        <v>46029</v>
      </c>
      <c r="D633" t="inlineStr">
        <is>
          <t>JÄMTLANDS LÄN</t>
        </is>
      </c>
      <c r="E633" t="inlineStr">
        <is>
          <t>RAGUNDA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5148-2023</t>
        </is>
      </c>
      <c r="B634" s="1" t="n">
        <v>44958</v>
      </c>
      <c r="C634" s="1" t="n">
        <v>46029</v>
      </c>
      <c r="D634" t="inlineStr">
        <is>
          <t>JÄMTLANDS LÄN</t>
        </is>
      </c>
      <c r="E634" t="inlineStr">
        <is>
          <t>RAGUNDA</t>
        </is>
      </c>
      <c r="G634" t="n">
        <v>2.9</v>
      </c>
      <c r="H634" t="n">
        <v>0</v>
      </c>
      <c r="I634" t="n">
        <v>0</v>
      </c>
      <c r="J634" t="n">
        <v>0</v>
      </c>
      <c r="K634" t="n">
        <v>0</v>
      </c>
      <c r="L634" t="n">
        <v>0</v>
      </c>
      <c r="M634" t="n">
        <v>0</v>
      </c>
      <c r="N634" t="n">
        <v>0</v>
      </c>
      <c r="O634" t="n">
        <v>0</v>
      </c>
      <c r="P634" t="n">
        <v>0</v>
      </c>
      <c r="Q634" t="n">
        <v>0</v>
      </c>
      <c r="R634" s="2" t="inlineStr"/>
    </row>
    <row r="635" ht="15" customHeight="1">
      <c r="A635" t="inlineStr">
        <is>
          <t>A 34968-2025</t>
        </is>
      </c>
      <c r="B635" s="1" t="n">
        <v>45849.65663194445</v>
      </c>
      <c r="C635" s="1" t="n">
        <v>46029</v>
      </c>
      <c r="D635" t="inlineStr">
        <is>
          <t>JÄMTLANDS LÄN</t>
        </is>
      </c>
      <c r="E635" t="inlineStr">
        <is>
          <t>RAGUNDA</t>
        </is>
      </c>
      <c r="F635" t="inlineStr">
        <is>
          <t>SCA</t>
        </is>
      </c>
      <c r="G635" t="n">
        <v>20.2</v>
      </c>
      <c r="H635" t="n">
        <v>0</v>
      </c>
      <c r="I635" t="n">
        <v>0</v>
      </c>
      <c r="J635" t="n">
        <v>0</v>
      </c>
      <c r="K635" t="n">
        <v>0</v>
      </c>
      <c r="L635" t="n">
        <v>0</v>
      </c>
      <c r="M635" t="n">
        <v>0</v>
      </c>
      <c r="N635" t="n">
        <v>0</v>
      </c>
      <c r="O635" t="n">
        <v>0</v>
      </c>
      <c r="P635" t="n">
        <v>0</v>
      </c>
      <c r="Q635" t="n">
        <v>0</v>
      </c>
      <c r="R635" s="2" t="inlineStr"/>
    </row>
    <row r="636" ht="15" customHeight="1">
      <c r="A636" t="inlineStr">
        <is>
          <t>A 51049-2024</t>
        </is>
      </c>
      <c r="B636" s="1" t="n">
        <v>45603.44644675926</v>
      </c>
      <c r="C636" s="1" t="n">
        <v>46029</v>
      </c>
      <c r="D636" t="inlineStr">
        <is>
          <t>JÄMTLANDS LÄN</t>
        </is>
      </c>
      <c r="E636" t="inlineStr">
        <is>
          <t>RAGUNDA</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34999-2025</t>
        </is>
      </c>
      <c r="B637" s="1" t="n">
        <v>45850.34450231482</v>
      </c>
      <c r="C637" s="1" t="n">
        <v>46029</v>
      </c>
      <c r="D637" t="inlineStr">
        <is>
          <t>JÄMTLANDS LÄN</t>
        </is>
      </c>
      <c r="E637" t="inlineStr">
        <is>
          <t>RAGUNDA</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55489-2024</t>
        </is>
      </c>
      <c r="B638" s="1" t="n">
        <v>45622.44774305556</v>
      </c>
      <c r="C638" s="1" t="n">
        <v>46029</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35091-2025</t>
        </is>
      </c>
      <c r="B639" s="1" t="n">
        <v>45852.53168981482</v>
      </c>
      <c r="C639" s="1" t="n">
        <v>46029</v>
      </c>
      <c r="D639" t="inlineStr">
        <is>
          <t>JÄMTLANDS LÄN</t>
        </is>
      </c>
      <c r="E639" t="inlineStr">
        <is>
          <t>RAGUNDA</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14074-2023</t>
        </is>
      </c>
      <c r="B640" s="1" t="n">
        <v>45009.089375</v>
      </c>
      <c r="C640" s="1" t="n">
        <v>46029</v>
      </c>
      <c r="D640" t="inlineStr">
        <is>
          <t>JÄMTLANDS LÄN</t>
        </is>
      </c>
      <c r="E640" t="inlineStr">
        <is>
          <t>RAGUNDA</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43330-2025</t>
        </is>
      </c>
      <c r="B641" s="1" t="n">
        <v>45910.67766203704</v>
      </c>
      <c r="C641" s="1" t="n">
        <v>46029</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35355-2025</t>
        </is>
      </c>
      <c r="B642" s="1" t="n">
        <v>45854.65663194445</v>
      </c>
      <c r="C642" s="1" t="n">
        <v>46029</v>
      </c>
      <c r="D642" t="inlineStr">
        <is>
          <t>JÄMTLANDS LÄN</t>
        </is>
      </c>
      <c r="E642" t="inlineStr">
        <is>
          <t>RAGUNDA</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54764-2024</t>
        </is>
      </c>
      <c r="B643" s="1" t="n">
        <v>45618.46921296296</v>
      </c>
      <c r="C643" s="1" t="n">
        <v>46029</v>
      </c>
      <c r="D643" t="inlineStr">
        <is>
          <t>JÄMTLANDS LÄN</t>
        </is>
      </c>
      <c r="E643" t="inlineStr">
        <is>
          <t>RAGUNDA</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35477-2025</t>
        </is>
      </c>
      <c r="B644" s="1" t="n">
        <v>45855.67899305555</v>
      </c>
      <c r="C644" s="1" t="n">
        <v>46029</v>
      </c>
      <c r="D644" t="inlineStr">
        <is>
          <t>JÄMTLANDS LÄN</t>
        </is>
      </c>
      <c r="E644" t="inlineStr">
        <is>
          <t>RAGUNDA</t>
        </is>
      </c>
      <c r="G644" t="n">
        <v>3.6</v>
      </c>
      <c r="H644" t="n">
        <v>0</v>
      </c>
      <c r="I644" t="n">
        <v>0</v>
      </c>
      <c r="J644" t="n">
        <v>0</v>
      </c>
      <c r="K644" t="n">
        <v>0</v>
      </c>
      <c r="L644" t="n">
        <v>0</v>
      </c>
      <c r="M644" t="n">
        <v>0</v>
      </c>
      <c r="N644" t="n">
        <v>0</v>
      </c>
      <c r="O644" t="n">
        <v>0</v>
      </c>
      <c r="P644" t="n">
        <v>0</v>
      </c>
      <c r="Q644" t="n">
        <v>0</v>
      </c>
      <c r="R644" s="2" t="inlineStr"/>
    </row>
    <row r="645" ht="15" customHeight="1">
      <c r="A645" t="inlineStr">
        <is>
          <t>A 35541-2025</t>
        </is>
      </c>
      <c r="B645" s="1" t="n">
        <v>45856.46931712963</v>
      </c>
      <c r="C645" s="1" t="n">
        <v>46029</v>
      </c>
      <c r="D645" t="inlineStr">
        <is>
          <t>JÄMTLANDS LÄN</t>
        </is>
      </c>
      <c r="E645" t="inlineStr">
        <is>
          <t>RAGUNDA</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35462-2025</t>
        </is>
      </c>
      <c r="B646" s="1" t="n">
        <v>45855.61523148148</v>
      </c>
      <c r="C646" s="1" t="n">
        <v>46029</v>
      </c>
      <c r="D646" t="inlineStr">
        <is>
          <t>JÄMTLANDS LÄN</t>
        </is>
      </c>
      <c r="E646" t="inlineStr">
        <is>
          <t>RAGUNDA</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7279-2024</t>
        </is>
      </c>
      <c r="B647" s="1" t="n">
        <v>45344.92822916667</v>
      </c>
      <c r="C647" s="1" t="n">
        <v>46029</v>
      </c>
      <c r="D647" t="inlineStr">
        <is>
          <t>JÄMTLANDS LÄN</t>
        </is>
      </c>
      <c r="E647" t="inlineStr">
        <is>
          <t>RAGUNDA</t>
        </is>
      </c>
      <c r="G647" t="n">
        <v>2.1</v>
      </c>
      <c r="H647" t="n">
        <v>0</v>
      </c>
      <c r="I647" t="n">
        <v>0</v>
      </c>
      <c r="J647" t="n">
        <v>0</v>
      </c>
      <c r="K647" t="n">
        <v>0</v>
      </c>
      <c r="L647" t="n">
        <v>0</v>
      </c>
      <c r="M647" t="n">
        <v>0</v>
      </c>
      <c r="N647" t="n">
        <v>0</v>
      </c>
      <c r="O647" t="n">
        <v>0</v>
      </c>
      <c r="P647" t="n">
        <v>0</v>
      </c>
      <c r="Q647" t="n">
        <v>0</v>
      </c>
      <c r="R647" s="2" t="inlineStr"/>
    </row>
    <row r="648" ht="15" customHeight="1">
      <c r="A648" t="inlineStr">
        <is>
          <t>A 35689-2025</t>
        </is>
      </c>
      <c r="B648" s="1" t="n">
        <v>45860.30229166667</v>
      </c>
      <c r="C648" s="1" t="n">
        <v>46029</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43181-2025</t>
        </is>
      </c>
      <c r="B649" s="1" t="n">
        <v>45910.40721064815</v>
      </c>
      <c r="C649" s="1" t="n">
        <v>46029</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35658-2025</t>
        </is>
      </c>
      <c r="B650" s="1" t="n">
        <v>45859.594375</v>
      </c>
      <c r="C650" s="1" t="n">
        <v>46029</v>
      </c>
      <c r="D650" t="inlineStr">
        <is>
          <t>JÄMTLANDS LÄN</t>
        </is>
      </c>
      <c r="E650" t="inlineStr">
        <is>
          <t>RAGUNDA</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43177-2025</t>
        </is>
      </c>
      <c r="B651" s="1" t="n">
        <v>45910.40667824074</v>
      </c>
      <c r="C651" s="1" t="n">
        <v>46029</v>
      </c>
      <c r="D651" t="inlineStr">
        <is>
          <t>JÄMTLANDS LÄN</t>
        </is>
      </c>
      <c r="E651" t="inlineStr">
        <is>
          <t>RAGUNDA</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10706-2023</t>
        </is>
      </c>
      <c r="B652" s="1" t="n">
        <v>44984</v>
      </c>
      <c r="C652" s="1" t="n">
        <v>46029</v>
      </c>
      <c r="D652" t="inlineStr">
        <is>
          <t>JÄMTLANDS LÄN</t>
        </is>
      </c>
      <c r="E652" t="inlineStr">
        <is>
          <t>RAGUNDA</t>
        </is>
      </c>
      <c r="G652" t="n">
        <v>7.7</v>
      </c>
      <c r="H652" t="n">
        <v>0</v>
      </c>
      <c r="I652" t="n">
        <v>0</v>
      </c>
      <c r="J652" t="n">
        <v>0</v>
      </c>
      <c r="K652" t="n">
        <v>0</v>
      </c>
      <c r="L652" t="n">
        <v>0</v>
      </c>
      <c r="M652" t="n">
        <v>0</v>
      </c>
      <c r="N652" t="n">
        <v>0</v>
      </c>
      <c r="O652" t="n">
        <v>0</v>
      </c>
      <c r="P652" t="n">
        <v>0</v>
      </c>
      <c r="Q652" t="n">
        <v>0</v>
      </c>
      <c r="R652" s="2" t="inlineStr"/>
    </row>
    <row r="653" ht="15" customHeight="1">
      <c r="A653" t="inlineStr">
        <is>
          <t>A 891-2022</t>
        </is>
      </c>
      <c r="B653" s="1" t="n">
        <v>44571</v>
      </c>
      <c r="C653" s="1" t="n">
        <v>46029</v>
      </c>
      <c r="D653" t="inlineStr">
        <is>
          <t>JÄMTLANDS LÄN</t>
        </is>
      </c>
      <c r="E653" t="inlineStr">
        <is>
          <t>RAGUNDA</t>
        </is>
      </c>
      <c r="G653" t="n">
        <v>1.7</v>
      </c>
      <c r="H653" t="n">
        <v>0</v>
      </c>
      <c r="I653" t="n">
        <v>0</v>
      </c>
      <c r="J653" t="n">
        <v>0</v>
      </c>
      <c r="K653" t="n">
        <v>0</v>
      </c>
      <c r="L653" t="n">
        <v>0</v>
      </c>
      <c r="M653" t="n">
        <v>0</v>
      </c>
      <c r="N653" t="n">
        <v>0</v>
      </c>
      <c r="O653" t="n">
        <v>0</v>
      </c>
      <c r="P653" t="n">
        <v>0</v>
      </c>
      <c r="Q653" t="n">
        <v>0</v>
      </c>
      <c r="R653" s="2" t="inlineStr"/>
    </row>
    <row r="654" ht="15" customHeight="1">
      <c r="A654" t="inlineStr">
        <is>
          <t>A 8416-2023</t>
        </is>
      </c>
      <c r="B654" s="1" t="n">
        <v>44977.44373842593</v>
      </c>
      <c r="C654" s="1" t="n">
        <v>46029</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54092-2024</t>
        </is>
      </c>
      <c r="B655" s="1" t="n">
        <v>45616.5108912037</v>
      </c>
      <c r="C655" s="1" t="n">
        <v>46029</v>
      </c>
      <c r="D655" t="inlineStr">
        <is>
          <t>JÄMTLANDS LÄN</t>
        </is>
      </c>
      <c r="E655" t="inlineStr">
        <is>
          <t>RAGUNDA</t>
        </is>
      </c>
      <c r="F655" t="inlineStr">
        <is>
          <t>Naturvårdsverket</t>
        </is>
      </c>
      <c r="G655" t="n">
        <v>1.3</v>
      </c>
      <c r="H655" t="n">
        <v>0</v>
      </c>
      <c r="I655" t="n">
        <v>0</v>
      </c>
      <c r="J655" t="n">
        <v>0</v>
      </c>
      <c r="K655" t="n">
        <v>0</v>
      </c>
      <c r="L655" t="n">
        <v>0</v>
      </c>
      <c r="M655" t="n">
        <v>0</v>
      </c>
      <c r="N655" t="n">
        <v>0</v>
      </c>
      <c r="O655" t="n">
        <v>0</v>
      </c>
      <c r="P655" t="n">
        <v>0</v>
      </c>
      <c r="Q655" t="n">
        <v>0</v>
      </c>
      <c r="R655" s="2" t="inlineStr"/>
    </row>
    <row r="656" ht="15" customHeight="1">
      <c r="A656" t="inlineStr">
        <is>
          <t>A 40801-2023</t>
        </is>
      </c>
      <c r="B656" s="1" t="n">
        <v>45170</v>
      </c>
      <c r="C656" s="1" t="n">
        <v>46029</v>
      </c>
      <c r="D656" t="inlineStr">
        <is>
          <t>JÄMTLANDS LÄN</t>
        </is>
      </c>
      <c r="E656" t="inlineStr">
        <is>
          <t>RAGUNDA</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27499-2024</t>
        </is>
      </c>
      <c r="B657" s="1" t="n">
        <v>45474.50608796296</v>
      </c>
      <c r="C657" s="1" t="n">
        <v>46029</v>
      </c>
      <c r="D657" t="inlineStr">
        <is>
          <t>JÄMTLANDS LÄN</t>
        </is>
      </c>
      <c r="E657" t="inlineStr">
        <is>
          <t>RAGUNDA</t>
        </is>
      </c>
      <c r="G657" t="n">
        <v>1.3</v>
      </c>
      <c r="H657" t="n">
        <v>0</v>
      </c>
      <c r="I657" t="n">
        <v>0</v>
      </c>
      <c r="J657" t="n">
        <v>0</v>
      </c>
      <c r="K657" t="n">
        <v>0</v>
      </c>
      <c r="L657" t="n">
        <v>0</v>
      </c>
      <c r="M657" t="n">
        <v>0</v>
      </c>
      <c r="N657" t="n">
        <v>0</v>
      </c>
      <c r="O657" t="n">
        <v>0</v>
      </c>
      <c r="P657" t="n">
        <v>0</v>
      </c>
      <c r="Q657" t="n">
        <v>0</v>
      </c>
      <c r="R657" s="2" t="inlineStr"/>
    </row>
    <row r="658" ht="15" customHeight="1">
      <c r="A658" t="inlineStr">
        <is>
          <t>A 52148-2024</t>
        </is>
      </c>
      <c r="B658" s="1" t="n">
        <v>45608.52354166667</v>
      </c>
      <c r="C658" s="1" t="n">
        <v>46029</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462-2023</t>
        </is>
      </c>
      <c r="B659" s="1" t="n">
        <v>44929</v>
      </c>
      <c r="C659" s="1" t="n">
        <v>46029</v>
      </c>
      <c r="D659" t="inlineStr">
        <is>
          <t>JÄMTLANDS LÄN</t>
        </is>
      </c>
      <c r="E659" t="inlineStr">
        <is>
          <t>RAGUNDA</t>
        </is>
      </c>
      <c r="G659" t="n">
        <v>4.5</v>
      </c>
      <c r="H659" t="n">
        <v>0</v>
      </c>
      <c r="I659" t="n">
        <v>0</v>
      </c>
      <c r="J659" t="n">
        <v>0</v>
      </c>
      <c r="K659" t="n">
        <v>0</v>
      </c>
      <c r="L659" t="n">
        <v>0</v>
      </c>
      <c r="M659" t="n">
        <v>0</v>
      </c>
      <c r="N659" t="n">
        <v>0</v>
      </c>
      <c r="O659" t="n">
        <v>0</v>
      </c>
      <c r="P659" t="n">
        <v>0</v>
      </c>
      <c r="Q659" t="n">
        <v>0</v>
      </c>
      <c r="R659" s="2" t="inlineStr"/>
    </row>
    <row r="660" ht="15" customHeight="1">
      <c r="A660" t="inlineStr">
        <is>
          <t>A 36541-2025</t>
        </is>
      </c>
      <c r="B660" s="1" t="n">
        <v>45869.65666666667</v>
      </c>
      <c r="C660" s="1" t="n">
        <v>46029</v>
      </c>
      <c r="D660" t="inlineStr">
        <is>
          <t>JÄMTLANDS LÄN</t>
        </is>
      </c>
      <c r="E660" t="inlineStr">
        <is>
          <t>RAGUNDA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36544-2025</t>
        </is>
      </c>
      <c r="B661" s="1" t="n">
        <v>45869.67744212963</v>
      </c>
      <c r="C661" s="1" t="n">
        <v>46029</v>
      </c>
      <c r="D661" t="inlineStr">
        <is>
          <t>JÄMTLANDS LÄN</t>
        </is>
      </c>
      <c r="E661" t="inlineStr">
        <is>
          <t>RAGUNDA</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26645-2024</t>
        </is>
      </c>
      <c r="B662" s="1" t="n">
        <v>45469.94667824074</v>
      </c>
      <c r="C662" s="1" t="n">
        <v>46029</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36553-2025</t>
        </is>
      </c>
      <c r="B663" s="1" t="n">
        <v>45870.34439814815</v>
      </c>
      <c r="C663" s="1" t="n">
        <v>46029</v>
      </c>
      <c r="D663" t="inlineStr">
        <is>
          <t>JÄMTLANDS LÄN</t>
        </is>
      </c>
      <c r="E663" t="inlineStr">
        <is>
          <t>RAGUNDA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32258-2024</t>
        </is>
      </c>
      <c r="B664" s="1" t="n">
        <v>45511</v>
      </c>
      <c r="C664" s="1" t="n">
        <v>46029</v>
      </c>
      <c r="D664" t="inlineStr">
        <is>
          <t>JÄMTLANDS LÄN</t>
        </is>
      </c>
      <c r="E664" t="inlineStr">
        <is>
          <t>RAGUNDA</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43776-2025</t>
        </is>
      </c>
      <c r="B665" s="1" t="n">
        <v>45912.51086805556</v>
      </c>
      <c r="C665" s="1" t="n">
        <v>46029</v>
      </c>
      <c r="D665" t="inlineStr">
        <is>
          <t>JÄMTLANDS LÄN</t>
        </is>
      </c>
      <c r="E665" t="inlineStr">
        <is>
          <t>RAGUNDA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43804-2025</t>
        </is>
      </c>
      <c r="B666" s="1" t="n">
        <v>45912.57373842593</v>
      </c>
      <c r="C666" s="1" t="n">
        <v>46029</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43971-2025</t>
        </is>
      </c>
      <c r="B667" s="1" t="n">
        <v>45915.40694444445</v>
      </c>
      <c r="C667" s="1" t="n">
        <v>46029</v>
      </c>
      <c r="D667" t="inlineStr">
        <is>
          <t>JÄMTLANDS LÄN</t>
        </is>
      </c>
      <c r="E667" t="inlineStr">
        <is>
          <t>RAGUNDA</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36947-2025</t>
        </is>
      </c>
      <c r="B668" s="1" t="n">
        <v>45874.59496527778</v>
      </c>
      <c r="C668" s="1" t="n">
        <v>46029</v>
      </c>
      <c r="D668" t="inlineStr">
        <is>
          <t>JÄMTLANDS LÄN</t>
        </is>
      </c>
      <c r="E668" t="inlineStr">
        <is>
          <t>RAGUNDA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15672-2021</t>
        </is>
      </c>
      <c r="B669" s="1" t="n">
        <v>44286</v>
      </c>
      <c r="C669" s="1" t="n">
        <v>46029</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50650-2023</t>
        </is>
      </c>
      <c r="B670" s="1" t="n">
        <v>45210</v>
      </c>
      <c r="C670" s="1" t="n">
        <v>46029</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32075-2025</t>
        </is>
      </c>
      <c r="B671" s="1" t="n">
        <v>45835.4506712963</v>
      </c>
      <c r="C671" s="1" t="n">
        <v>46029</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36994-2025</t>
        </is>
      </c>
      <c r="B672" s="1" t="n">
        <v>45874.67746527777</v>
      </c>
      <c r="C672" s="1" t="n">
        <v>46029</v>
      </c>
      <c r="D672" t="inlineStr">
        <is>
          <t>JÄMTLANDS LÄN</t>
        </is>
      </c>
      <c r="E672" t="inlineStr">
        <is>
          <t>RAGUNDA</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32874-2025</t>
        </is>
      </c>
      <c r="B673" s="1" t="n">
        <v>45839</v>
      </c>
      <c r="C673" s="1" t="n">
        <v>46029</v>
      </c>
      <c r="D673" t="inlineStr">
        <is>
          <t>JÄMTLANDS LÄN</t>
        </is>
      </c>
      <c r="E673" t="inlineStr">
        <is>
          <t>RAGUNDA</t>
        </is>
      </c>
      <c r="G673" t="n">
        <v>2.3</v>
      </c>
      <c r="H673" t="n">
        <v>0</v>
      </c>
      <c r="I673" t="n">
        <v>0</v>
      </c>
      <c r="J673" t="n">
        <v>0</v>
      </c>
      <c r="K673" t="n">
        <v>0</v>
      </c>
      <c r="L673" t="n">
        <v>0</v>
      </c>
      <c r="M673" t="n">
        <v>0</v>
      </c>
      <c r="N673" t="n">
        <v>0</v>
      </c>
      <c r="O673" t="n">
        <v>0</v>
      </c>
      <c r="P673" t="n">
        <v>0</v>
      </c>
      <c r="Q673" t="n">
        <v>0</v>
      </c>
      <c r="R673" s="2" t="inlineStr"/>
    </row>
    <row r="674" ht="15" customHeight="1">
      <c r="A674" t="inlineStr">
        <is>
          <t>A 564-2025</t>
        </is>
      </c>
      <c r="B674" s="1" t="n">
        <v>45664.55241898148</v>
      </c>
      <c r="C674" s="1" t="n">
        <v>46029</v>
      </c>
      <c r="D674" t="inlineStr">
        <is>
          <t>JÄMTLANDS LÄN</t>
        </is>
      </c>
      <c r="E674" t="inlineStr">
        <is>
          <t>RAGUNDA</t>
        </is>
      </c>
      <c r="F674" t="inlineStr">
        <is>
          <t>SCA</t>
        </is>
      </c>
      <c r="G674" t="n">
        <v>7</v>
      </c>
      <c r="H674" t="n">
        <v>0</v>
      </c>
      <c r="I674" t="n">
        <v>0</v>
      </c>
      <c r="J674" t="n">
        <v>0</v>
      </c>
      <c r="K674" t="n">
        <v>0</v>
      </c>
      <c r="L674" t="n">
        <v>0</v>
      </c>
      <c r="M674" t="n">
        <v>0</v>
      </c>
      <c r="N674" t="n">
        <v>0</v>
      </c>
      <c r="O674" t="n">
        <v>0</v>
      </c>
      <c r="P674" t="n">
        <v>0</v>
      </c>
      <c r="Q674" t="n">
        <v>0</v>
      </c>
      <c r="R674" s="2" t="inlineStr"/>
    </row>
    <row r="675" ht="15" customHeight="1">
      <c r="A675" t="inlineStr">
        <is>
          <t>A 37008-2025</t>
        </is>
      </c>
      <c r="B675" s="1" t="n">
        <v>45874.69844907407</v>
      </c>
      <c r="C675" s="1" t="n">
        <v>46029</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37292-2025</t>
        </is>
      </c>
      <c r="B676" s="1" t="n">
        <v>45876.53188657408</v>
      </c>
      <c r="C676" s="1" t="n">
        <v>46029</v>
      </c>
      <c r="D676" t="inlineStr">
        <is>
          <t>JÄMTLANDS LÄN</t>
        </is>
      </c>
      <c r="E676" t="inlineStr">
        <is>
          <t>RAGUNDA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3767-2025</t>
        </is>
      </c>
      <c r="B677" s="1" t="n">
        <v>45681.60203703704</v>
      </c>
      <c r="C677" s="1" t="n">
        <v>46029</v>
      </c>
      <c r="D677" t="inlineStr">
        <is>
          <t>JÄMTLANDS LÄN</t>
        </is>
      </c>
      <c r="E677" t="inlineStr">
        <is>
          <t>RAGUNDA</t>
        </is>
      </c>
      <c r="G677" t="n">
        <v>4.9</v>
      </c>
      <c r="H677" t="n">
        <v>0</v>
      </c>
      <c r="I677" t="n">
        <v>0</v>
      </c>
      <c r="J677" t="n">
        <v>0</v>
      </c>
      <c r="K677" t="n">
        <v>0</v>
      </c>
      <c r="L677" t="n">
        <v>0</v>
      </c>
      <c r="M677" t="n">
        <v>0</v>
      </c>
      <c r="N677" t="n">
        <v>0</v>
      </c>
      <c r="O677" t="n">
        <v>0</v>
      </c>
      <c r="P677" t="n">
        <v>0</v>
      </c>
      <c r="Q677" t="n">
        <v>0</v>
      </c>
      <c r="R677" s="2" t="inlineStr"/>
    </row>
    <row r="678" ht="15" customHeight="1">
      <c r="A678" t="inlineStr">
        <is>
          <t>A 3186-2025</t>
        </is>
      </c>
      <c r="B678" s="1" t="n">
        <v>45679.40362268518</v>
      </c>
      <c r="C678" s="1" t="n">
        <v>46029</v>
      </c>
      <c r="D678" t="inlineStr">
        <is>
          <t>JÄMTLANDS LÄN</t>
        </is>
      </c>
      <c r="E678" t="inlineStr">
        <is>
          <t>RAGUNDA</t>
        </is>
      </c>
      <c r="G678" t="n">
        <v>5.2</v>
      </c>
      <c r="H678" t="n">
        <v>0</v>
      </c>
      <c r="I678" t="n">
        <v>0</v>
      </c>
      <c r="J678" t="n">
        <v>0</v>
      </c>
      <c r="K678" t="n">
        <v>0</v>
      </c>
      <c r="L678" t="n">
        <v>0</v>
      </c>
      <c r="M678" t="n">
        <v>0</v>
      </c>
      <c r="N678" t="n">
        <v>0</v>
      </c>
      <c r="O678" t="n">
        <v>0</v>
      </c>
      <c r="P678" t="n">
        <v>0</v>
      </c>
      <c r="Q678" t="n">
        <v>0</v>
      </c>
      <c r="R678" s="2" t="inlineStr"/>
    </row>
    <row r="679" ht="15" customHeight="1">
      <c r="A679" t="inlineStr">
        <is>
          <t>A 1308-2025</t>
        </is>
      </c>
      <c r="B679" s="1" t="n">
        <v>45667.55239583334</v>
      </c>
      <c r="C679" s="1" t="n">
        <v>46029</v>
      </c>
      <c r="D679" t="inlineStr">
        <is>
          <t>JÄMTLANDS LÄN</t>
        </is>
      </c>
      <c r="E679" t="inlineStr">
        <is>
          <t>RAGUNDA</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41262-2021</t>
        </is>
      </c>
      <c r="B680" s="1" t="n">
        <v>44424</v>
      </c>
      <c r="C680" s="1" t="n">
        <v>46029</v>
      </c>
      <c r="D680" t="inlineStr">
        <is>
          <t>JÄMTLANDS LÄN</t>
        </is>
      </c>
      <c r="E680" t="inlineStr">
        <is>
          <t>RAGUNDA</t>
        </is>
      </c>
      <c r="G680" t="n">
        <v>2.6</v>
      </c>
      <c r="H680" t="n">
        <v>0</v>
      </c>
      <c r="I680" t="n">
        <v>0</v>
      </c>
      <c r="J680" t="n">
        <v>0</v>
      </c>
      <c r="K680" t="n">
        <v>0</v>
      </c>
      <c r="L680" t="n">
        <v>0</v>
      </c>
      <c r="M680" t="n">
        <v>0</v>
      </c>
      <c r="N680" t="n">
        <v>0</v>
      </c>
      <c r="O680" t="n">
        <v>0</v>
      </c>
      <c r="P680" t="n">
        <v>0</v>
      </c>
      <c r="Q680" t="n">
        <v>0</v>
      </c>
      <c r="R680" s="2" t="inlineStr"/>
    </row>
    <row r="681" ht="15" customHeight="1">
      <c r="A681" t="inlineStr">
        <is>
          <t>A 36371-2023</t>
        </is>
      </c>
      <c r="B681" s="1" t="n">
        <v>45149</v>
      </c>
      <c r="C681" s="1" t="n">
        <v>46029</v>
      </c>
      <c r="D681" t="inlineStr">
        <is>
          <t>JÄMTLANDS LÄN</t>
        </is>
      </c>
      <c r="E681" t="inlineStr">
        <is>
          <t>RAGUNDA</t>
        </is>
      </c>
      <c r="G681" t="n">
        <v>25.7</v>
      </c>
      <c r="H681" t="n">
        <v>0</v>
      </c>
      <c r="I681" t="n">
        <v>0</v>
      </c>
      <c r="J681" t="n">
        <v>0</v>
      </c>
      <c r="K681" t="n">
        <v>0</v>
      </c>
      <c r="L681" t="n">
        <v>0</v>
      </c>
      <c r="M681" t="n">
        <v>0</v>
      </c>
      <c r="N681" t="n">
        <v>0</v>
      </c>
      <c r="O681" t="n">
        <v>0</v>
      </c>
      <c r="P681" t="n">
        <v>0</v>
      </c>
      <c r="Q681" t="n">
        <v>0</v>
      </c>
      <c r="R681" s="2" t="inlineStr"/>
    </row>
    <row r="682" ht="15" customHeight="1">
      <c r="A682" t="inlineStr">
        <is>
          <t>A 51579-2024</t>
        </is>
      </c>
      <c r="B682" s="1" t="n">
        <v>45604.63575231482</v>
      </c>
      <c r="C682" s="1" t="n">
        <v>46029</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9504-2025</t>
        </is>
      </c>
      <c r="B683" s="1" t="n">
        <v>45714</v>
      </c>
      <c r="C683" s="1" t="n">
        <v>46029</v>
      </c>
      <c r="D683" t="inlineStr">
        <is>
          <t>JÄMTLANDS LÄN</t>
        </is>
      </c>
      <c r="E683" t="inlineStr">
        <is>
          <t>RAGUNDA</t>
        </is>
      </c>
      <c r="G683" t="n">
        <v>6</v>
      </c>
      <c r="H683" t="n">
        <v>0</v>
      </c>
      <c r="I683" t="n">
        <v>0</v>
      </c>
      <c r="J683" t="n">
        <v>0</v>
      </c>
      <c r="K683" t="n">
        <v>0</v>
      </c>
      <c r="L683" t="n">
        <v>0</v>
      </c>
      <c r="M683" t="n">
        <v>0</v>
      </c>
      <c r="N683" t="n">
        <v>0</v>
      </c>
      <c r="O683" t="n">
        <v>0</v>
      </c>
      <c r="P683" t="n">
        <v>0</v>
      </c>
      <c r="Q683" t="n">
        <v>0</v>
      </c>
      <c r="R683" s="2" t="inlineStr"/>
    </row>
    <row r="684" ht="15" customHeight="1">
      <c r="A684" t="inlineStr">
        <is>
          <t>A 44630-2023</t>
        </is>
      </c>
      <c r="B684" s="1" t="n">
        <v>45184</v>
      </c>
      <c r="C684" s="1" t="n">
        <v>46029</v>
      </c>
      <c r="D684" t="inlineStr">
        <is>
          <t>JÄMTLANDS LÄN</t>
        </is>
      </c>
      <c r="E684" t="inlineStr">
        <is>
          <t>RAGUNDA</t>
        </is>
      </c>
      <c r="G684" t="n">
        <v>3.4</v>
      </c>
      <c r="H684" t="n">
        <v>0</v>
      </c>
      <c r="I684" t="n">
        <v>0</v>
      </c>
      <c r="J684" t="n">
        <v>0</v>
      </c>
      <c r="K684" t="n">
        <v>0</v>
      </c>
      <c r="L684" t="n">
        <v>0</v>
      </c>
      <c r="M684" t="n">
        <v>0</v>
      </c>
      <c r="N684" t="n">
        <v>0</v>
      </c>
      <c r="O684" t="n">
        <v>0</v>
      </c>
      <c r="P684" t="n">
        <v>0</v>
      </c>
      <c r="Q684" t="n">
        <v>0</v>
      </c>
      <c r="R684" s="2" t="inlineStr"/>
    </row>
    <row r="685" ht="15" customHeight="1">
      <c r="A685" t="inlineStr">
        <is>
          <t>A 44954-2025</t>
        </is>
      </c>
      <c r="B685" s="1" t="n">
        <v>45918.61203703703</v>
      </c>
      <c r="C685" s="1" t="n">
        <v>46029</v>
      </c>
      <c r="D685" t="inlineStr">
        <is>
          <t>JÄMTLANDS LÄN</t>
        </is>
      </c>
      <c r="E685" t="inlineStr">
        <is>
          <t>RAGUNDA</t>
        </is>
      </c>
      <c r="G685" t="n">
        <v>3</v>
      </c>
      <c r="H685" t="n">
        <v>0</v>
      </c>
      <c r="I685" t="n">
        <v>0</v>
      </c>
      <c r="J685" t="n">
        <v>0</v>
      </c>
      <c r="K685" t="n">
        <v>0</v>
      </c>
      <c r="L685" t="n">
        <v>0</v>
      </c>
      <c r="M685" t="n">
        <v>0</v>
      </c>
      <c r="N685" t="n">
        <v>0</v>
      </c>
      <c r="O685" t="n">
        <v>0</v>
      </c>
      <c r="P685" t="n">
        <v>0</v>
      </c>
      <c r="Q685" t="n">
        <v>0</v>
      </c>
      <c r="R685" s="2" t="inlineStr"/>
    </row>
    <row r="686" ht="15" customHeight="1">
      <c r="A686" t="inlineStr">
        <is>
          <t>A 12522-2023</t>
        </is>
      </c>
      <c r="B686" s="1" t="n">
        <v>45000</v>
      </c>
      <c r="C686" s="1" t="n">
        <v>46029</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12523-2023</t>
        </is>
      </c>
      <c r="B687" s="1" t="n">
        <v>45000</v>
      </c>
      <c r="C687" s="1" t="n">
        <v>46029</v>
      </c>
      <c r="D687" t="inlineStr">
        <is>
          <t>JÄMTLANDS LÄN</t>
        </is>
      </c>
      <c r="E687" t="inlineStr">
        <is>
          <t>RAGUNDA</t>
        </is>
      </c>
      <c r="F687" t="inlineStr">
        <is>
          <t>SCA</t>
        </is>
      </c>
      <c r="G687" t="n">
        <v>14.3</v>
      </c>
      <c r="H687" t="n">
        <v>0</v>
      </c>
      <c r="I687" t="n">
        <v>0</v>
      </c>
      <c r="J687" t="n">
        <v>0</v>
      </c>
      <c r="K687" t="n">
        <v>0</v>
      </c>
      <c r="L687" t="n">
        <v>0</v>
      </c>
      <c r="M687" t="n">
        <v>0</v>
      </c>
      <c r="N687" t="n">
        <v>0</v>
      </c>
      <c r="O687" t="n">
        <v>0</v>
      </c>
      <c r="P687" t="n">
        <v>0</v>
      </c>
      <c r="Q687" t="n">
        <v>0</v>
      </c>
      <c r="R687" s="2" t="inlineStr"/>
    </row>
    <row r="688" ht="15" customHeight="1">
      <c r="A688" t="inlineStr">
        <is>
          <t>A 45279-2025</t>
        </is>
      </c>
      <c r="B688" s="1" t="n">
        <v>45919.71912037037</v>
      </c>
      <c r="C688" s="1" t="n">
        <v>46029</v>
      </c>
      <c r="D688" t="inlineStr">
        <is>
          <t>JÄMTLANDS LÄN</t>
        </is>
      </c>
      <c r="E688" t="inlineStr">
        <is>
          <t>RAGUNDA</t>
        </is>
      </c>
      <c r="F688" t="inlineStr">
        <is>
          <t>SCA</t>
        </is>
      </c>
      <c r="G688" t="n">
        <v>11.5</v>
      </c>
      <c r="H688" t="n">
        <v>0</v>
      </c>
      <c r="I688" t="n">
        <v>0</v>
      </c>
      <c r="J688" t="n">
        <v>0</v>
      </c>
      <c r="K688" t="n">
        <v>0</v>
      </c>
      <c r="L688" t="n">
        <v>0</v>
      </c>
      <c r="M688" t="n">
        <v>0</v>
      </c>
      <c r="N688" t="n">
        <v>0</v>
      </c>
      <c r="O688" t="n">
        <v>0</v>
      </c>
      <c r="P688" t="n">
        <v>0</v>
      </c>
      <c r="Q688" t="n">
        <v>0</v>
      </c>
      <c r="R688" s="2" t="inlineStr"/>
    </row>
    <row r="689" ht="15" customHeight="1">
      <c r="A689" t="inlineStr">
        <is>
          <t>A 45894-2025</t>
        </is>
      </c>
      <c r="B689" s="1" t="n">
        <v>45923.67765046296</v>
      </c>
      <c r="C689" s="1" t="n">
        <v>46029</v>
      </c>
      <c r="D689" t="inlineStr">
        <is>
          <t>JÄMTLANDS LÄN</t>
        </is>
      </c>
      <c r="E689" t="inlineStr">
        <is>
          <t>RAGUNDA</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46192-2025</t>
        </is>
      </c>
      <c r="B690" s="1" t="n">
        <v>45924.67789351852</v>
      </c>
      <c r="C690" s="1" t="n">
        <v>46029</v>
      </c>
      <c r="D690" t="inlineStr">
        <is>
          <t>JÄMTLANDS LÄN</t>
        </is>
      </c>
      <c r="E690" t="inlineStr">
        <is>
          <t>RAGUNDA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36246-2024</t>
        </is>
      </c>
      <c r="B691" s="1" t="n">
        <v>45534</v>
      </c>
      <c r="C691" s="1" t="n">
        <v>46029</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32063-2024</t>
        </is>
      </c>
      <c r="B692" s="1" t="n">
        <v>45510</v>
      </c>
      <c r="C692" s="1" t="n">
        <v>46029</v>
      </c>
      <c r="D692" t="inlineStr">
        <is>
          <t>JÄMTLANDS LÄN</t>
        </is>
      </c>
      <c r="E692" t="inlineStr">
        <is>
          <t>RAGUNDA</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5307-2025</t>
        </is>
      </c>
      <c r="B693" s="1" t="n">
        <v>45692.48993055556</v>
      </c>
      <c r="C693" s="1" t="n">
        <v>46029</v>
      </c>
      <c r="D693" t="inlineStr">
        <is>
          <t>JÄMTLANDS LÄN</t>
        </is>
      </c>
      <c r="E693" t="inlineStr">
        <is>
          <t>RAGUNDA</t>
        </is>
      </c>
      <c r="F693" t="inlineStr">
        <is>
          <t>SCA</t>
        </is>
      </c>
      <c r="G693" t="n">
        <v>20.9</v>
      </c>
      <c r="H693" t="n">
        <v>0</v>
      </c>
      <c r="I693" t="n">
        <v>0</v>
      </c>
      <c r="J693" t="n">
        <v>0</v>
      </c>
      <c r="K693" t="n">
        <v>0</v>
      </c>
      <c r="L693" t="n">
        <v>0</v>
      </c>
      <c r="M693" t="n">
        <v>0</v>
      </c>
      <c r="N693" t="n">
        <v>0</v>
      </c>
      <c r="O693" t="n">
        <v>0</v>
      </c>
      <c r="P693" t="n">
        <v>0</v>
      </c>
      <c r="Q693" t="n">
        <v>0</v>
      </c>
      <c r="R693" s="2" t="inlineStr"/>
    </row>
    <row r="694" ht="15" customHeight="1">
      <c r="A694" t="inlineStr">
        <is>
          <t>A 46689-2025</t>
        </is>
      </c>
      <c r="B694" s="1" t="n">
        <v>45926.55307870371</v>
      </c>
      <c r="C694" s="1" t="n">
        <v>46029</v>
      </c>
      <c r="D694" t="inlineStr">
        <is>
          <t>JÄMTLANDS LÄN</t>
        </is>
      </c>
      <c r="E694" t="inlineStr">
        <is>
          <t>RAGUNDA</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48066-2022</t>
        </is>
      </c>
      <c r="B695" s="1" t="n">
        <v>44855</v>
      </c>
      <c r="C695" s="1" t="n">
        <v>46029</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26942-2021</t>
        </is>
      </c>
      <c r="B696" s="1" t="n">
        <v>44349.91978009259</v>
      </c>
      <c r="C696" s="1" t="n">
        <v>46029</v>
      </c>
      <c r="D696" t="inlineStr">
        <is>
          <t>JÄMTLANDS LÄN</t>
        </is>
      </c>
      <c r="E696" t="inlineStr">
        <is>
          <t>RAGUNDA</t>
        </is>
      </c>
      <c r="G696" t="n">
        <v>6.2</v>
      </c>
      <c r="H696" t="n">
        <v>0</v>
      </c>
      <c r="I696" t="n">
        <v>0</v>
      </c>
      <c r="J696" t="n">
        <v>0</v>
      </c>
      <c r="K696" t="n">
        <v>0</v>
      </c>
      <c r="L696" t="n">
        <v>0</v>
      </c>
      <c r="M696" t="n">
        <v>0</v>
      </c>
      <c r="N696" t="n">
        <v>0</v>
      </c>
      <c r="O696" t="n">
        <v>0</v>
      </c>
      <c r="P696" t="n">
        <v>0</v>
      </c>
      <c r="Q696" t="n">
        <v>0</v>
      </c>
      <c r="R696" s="2" t="inlineStr"/>
    </row>
    <row r="697" ht="15" customHeight="1">
      <c r="A697" t="inlineStr">
        <is>
          <t>A 56504-2024</t>
        </is>
      </c>
      <c r="B697" s="1" t="n">
        <v>45625.51068287037</v>
      </c>
      <c r="C697" s="1" t="n">
        <v>46029</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46275-2025</t>
        </is>
      </c>
      <c r="B698" s="1" t="n">
        <v>45925.3711574074</v>
      </c>
      <c r="C698" s="1" t="n">
        <v>46029</v>
      </c>
      <c r="D698" t="inlineStr">
        <is>
          <t>JÄMTLANDS LÄN</t>
        </is>
      </c>
      <c r="E698" t="inlineStr">
        <is>
          <t>RAGUNDA</t>
        </is>
      </c>
      <c r="G698" t="n">
        <v>2.7</v>
      </c>
      <c r="H698" t="n">
        <v>0</v>
      </c>
      <c r="I698" t="n">
        <v>0</v>
      </c>
      <c r="J698" t="n">
        <v>0</v>
      </c>
      <c r="K698" t="n">
        <v>0</v>
      </c>
      <c r="L698" t="n">
        <v>0</v>
      </c>
      <c r="M698" t="n">
        <v>0</v>
      </c>
      <c r="N698" t="n">
        <v>0</v>
      </c>
      <c r="O698" t="n">
        <v>0</v>
      </c>
      <c r="P698" t="n">
        <v>0</v>
      </c>
      <c r="Q698" t="n">
        <v>0</v>
      </c>
      <c r="R698" s="2" t="inlineStr"/>
    </row>
    <row r="699" ht="15" customHeight="1">
      <c r="A699" t="inlineStr">
        <is>
          <t>A 5938-2025</t>
        </is>
      </c>
      <c r="B699" s="1" t="n">
        <v>45695.45868055556</v>
      </c>
      <c r="C699" s="1" t="n">
        <v>46029</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46710-2025</t>
        </is>
      </c>
      <c r="B700" s="1" t="n">
        <v>45926.57337962963</v>
      </c>
      <c r="C700" s="1" t="n">
        <v>46029</v>
      </c>
      <c r="D700" t="inlineStr">
        <is>
          <t>JÄMTLANDS LÄN</t>
        </is>
      </c>
      <c r="E700" t="inlineStr">
        <is>
          <t>RAGUNDA</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46751-2025</t>
        </is>
      </c>
      <c r="B701" s="1" t="n">
        <v>45926.6153125</v>
      </c>
      <c r="C701" s="1" t="n">
        <v>46029</v>
      </c>
      <c r="D701" t="inlineStr">
        <is>
          <t>JÄMTLANDS LÄN</t>
        </is>
      </c>
      <c r="E701" t="inlineStr">
        <is>
          <t>RAGUNDA</t>
        </is>
      </c>
      <c r="F701" t="inlineStr">
        <is>
          <t>SCA</t>
        </is>
      </c>
      <c r="G701" t="n">
        <v>7.8</v>
      </c>
      <c r="H701" t="n">
        <v>0</v>
      </c>
      <c r="I701" t="n">
        <v>0</v>
      </c>
      <c r="J701" t="n">
        <v>0</v>
      </c>
      <c r="K701" t="n">
        <v>0</v>
      </c>
      <c r="L701" t="n">
        <v>0</v>
      </c>
      <c r="M701" t="n">
        <v>0</v>
      </c>
      <c r="N701" t="n">
        <v>0</v>
      </c>
      <c r="O701" t="n">
        <v>0</v>
      </c>
      <c r="P701" t="n">
        <v>0</v>
      </c>
      <c r="Q701" t="n">
        <v>0</v>
      </c>
      <c r="R701" s="2" t="inlineStr"/>
    </row>
    <row r="702" ht="15" customHeight="1">
      <c r="A702" t="inlineStr">
        <is>
          <t>A 46753-2025</t>
        </is>
      </c>
      <c r="B702" s="1" t="n">
        <v>45926.61552083334</v>
      </c>
      <c r="C702" s="1" t="n">
        <v>46029</v>
      </c>
      <c r="D702" t="inlineStr">
        <is>
          <t>JÄMTLANDS LÄN</t>
        </is>
      </c>
      <c r="E702" t="inlineStr">
        <is>
          <t>RAGUNDA</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28173-2024</t>
        </is>
      </c>
      <c r="B703" s="1" t="n">
        <v>45476.94533564815</v>
      </c>
      <c r="C703" s="1" t="n">
        <v>46029</v>
      </c>
      <c r="D703" t="inlineStr">
        <is>
          <t>JÄMTLANDS LÄN</t>
        </is>
      </c>
      <c r="E703" t="inlineStr">
        <is>
          <t>RAGUNDA</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35537-2021</t>
        </is>
      </c>
      <c r="B704" s="1" t="n">
        <v>44384</v>
      </c>
      <c r="C704" s="1" t="n">
        <v>46029</v>
      </c>
      <c r="D704" t="inlineStr">
        <is>
          <t>JÄMTLANDS LÄN</t>
        </is>
      </c>
      <c r="E704" t="inlineStr">
        <is>
          <t>RAGUNDA</t>
        </is>
      </c>
      <c r="G704" t="n">
        <v>3.1</v>
      </c>
      <c r="H704" t="n">
        <v>0</v>
      </c>
      <c r="I704" t="n">
        <v>0</v>
      </c>
      <c r="J704" t="n">
        <v>0</v>
      </c>
      <c r="K704" t="n">
        <v>0</v>
      </c>
      <c r="L704" t="n">
        <v>0</v>
      </c>
      <c r="M704" t="n">
        <v>0</v>
      </c>
      <c r="N704" t="n">
        <v>0</v>
      </c>
      <c r="O704" t="n">
        <v>0</v>
      </c>
      <c r="P704" t="n">
        <v>0</v>
      </c>
      <c r="Q704" t="n">
        <v>0</v>
      </c>
      <c r="R704" s="2" t="inlineStr"/>
    </row>
    <row r="705" ht="15" customHeight="1">
      <c r="A705" t="inlineStr">
        <is>
          <t>A 47228-2025</t>
        </is>
      </c>
      <c r="B705" s="1" t="n">
        <v>45930.3990162037</v>
      </c>
      <c r="C705" s="1" t="n">
        <v>46029</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46974-2025</t>
        </is>
      </c>
      <c r="B706" s="1" t="n">
        <v>45929.51104166666</v>
      </c>
      <c r="C706" s="1" t="n">
        <v>46029</v>
      </c>
      <c r="D706" t="inlineStr">
        <is>
          <t>JÄMTLANDS LÄN</t>
        </is>
      </c>
      <c r="E706" t="inlineStr">
        <is>
          <t>RAGUNDA</t>
        </is>
      </c>
      <c r="F706" t="inlineStr">
        <is>
          <t>SCA</t>
        </is>
      </c>
      <c r="G706" t="n">
        <v>12.1</v>
      </c>
      <c r="H706" t="n">
        <v>0</v>
      </c>
      <c r="I706" t="n">
        <v>0</v>
      </c>
      <c r="J706" t="n">
        <v>0</v>
      </c>
      <c r="K706" t="n">
        <v>0</v>
      </c>
      <c r="L706" t="n">
        <v>0</v>
      </c>
      <c r="M706" t="n">
        <v>0</v>
      </c>
      <c r="N706" t="n">
        <v>0</v>
      </c>
      <c r="O706" t="n">
        <v>0</v>
      </c>
      <c r="P706" t="n">
        <v>0</v>
      </c>
      <c r="Q706" t="n">
        <v>0</v>
      </c>
      <c r="R706" s="2" t="inlineStr"/>
    </row>
    <row r="707" ht="15" customHeight="1">
      <c r="A707" t="inlineStr">
        <is>
          <t>A 47037-2025</t>
        </is>
      </c>
      <c r="B707" s="1" t="n">
        <v>45929.59456018519</v>
      </c>
      <c r="C707" s="1" t="n">
        <v>46029</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47119-2025</t>
        </is>
      </c>
      <c r="B708" s="1" t="n">
        <v>45929.67795138889</v>
      </c>
      <c r="C708" s="1" t="n">
        <v>46029</v>
      </c>
      <c r="D708" t="inlineStr">
        <is>
          <t>JÄMTLANDS LÄN</t>
        </is>
      </c>
      <c r="E708" t="inlineStr">
        <is>
          <t>RAGUNDA</t>
        </is>
      </c>
      <c r="F708" t="inlineStr">
        <is>
          <t>SCA</t>
        </is>
      </c>
      <c r="G708" t="n">
        <v>22.7</v>
      </c>
      <c r="H708" t="n">
        <v>0</v>
      </c>
      <c r="I708" t="n">
        <v>0</v>
      </c>
      <c r="J708" t="n">
        <v>0</v>
      </c>
      <c r="K708" t="n">
        <v>0</v>
      </c>
      <c r="L708" t="n">
        <v>0</v>
      </c>
      <c r="M708" t="n">
        <v>0</v>
      </c>
      <c r="N708" t="n">
        <v>0</v>
      </c>
      <c r="O708" t="n">
        <v>0</v>
      </c>
      <c r="P708" t="n">
        <v>0</v>
      </c>
      <c r="Q708" t="n">
        <v>0</v>
      </c>
      <c r="R708" s="2" t="inlineStr"/>
    </row>
    <row r="709" ht="15" customHeight="1">
      <c r="A709" t="inlineStr">
        <is>
          <t>A 47122-2025</t>
        </is>
      </c>
      <c r="B709" s="1" t="n">
        <v>45929.67878472222</v>
      </c>
      <c r="C709" s="1" t="n">
        <v>46029</v>
      </c>
      <c r="D709" t="inlineStr">
        <is>
          <t>JÄMTLANDS LÄN</t>
        </is>
      </c>
      <c r="E709" t="inlineStr">
        <is>
          <t>RAGUNDA</t>
        </is>
      </c>
      <c r="F709" t="inlineStr">
        <is>
          <t>SCA</t>
        </is>
      </c>
      <c r="G709" t="n">
        <v>31.1</v>
      </c>
      <c r="H709" t="n">
        <v>0</v>
      </c>
      <c r="I709" t="n">
        <v>0</v>
      </c>
      <c r="J709" t="n">
        <v>0</v>
      </c>
      <c r="K709" t="n">
        <v>0</v>
      </c>
      <c r="L709" t="n">
        <v>0</v>
      </c>
      <c r="M709" t="n">
        <v>0</v>
      </c>
      <c r="N709" t="n">
        <v>0</v>
      </c>
      <c r="O709" t="n">
        <v>0</v>
      </c>
      <c r="P709" t="n">
        <v>0</v>
      </c>
      <c r="Q709" t="n">
        <v>0</v>
      </c>
      <c r="R709" s="2" t="inlineStr"/>
    </row>
    <row r="710" ht="15" customHeight="1">
      <c r="A710" t="inlineStr">
        <is>
          <t>A 18248-2023</t>
        </is>
      </c>
      <c r="B710" s="1" t="n">
        <v>45040</v>
      </c>
      <c r="C710" s="1" t="n">
        <v>46029</v>
      </c>
      <c r="D710" t="inlineStr">
        <is>
          <t>JÄMTLANDS LÄN</t>
        </is>
      </c>
      <c r="E710" t="inlineStr">
        <is>
          <t>RAGUNDA</t>
        </is>
      </c>
      <c r="G710" t="n">
        <v>4.3</v>
      </c>
      <c r="H710" t="n">
        <v>0</v>
      </c>
      <c r="I710" t="n">
        <v>0</v>
      </c>
      <c r="J710" t="n">
        <v>0</v>
      </c>
      <c r="K710" t="n">
        <v>0</v>
      </c>
      <c r="L710" t="n">
        <v>0</v>
      </c>
      <c r="M710" t="n">
        <v>0</v>
      </c>
      <c r="N710" t="n">
        <v>0</v>
      </c>
      <c r="O710" t="n">
        <v>0</v>
      </c>
      <c r="P710" t="n">
        <v>0</v>
      </c>
      <c r="Q710" t="n">
        <v>0</v>
      </c>
      <c r="R710" s="2" t="inlineStr"/>
    </row>
    <row r="711" ht="15" customHeight="1">
      <c r="A711" t="inlineStr">
        <is>
          <t>A 46909-2025</t>
        </is>
      </c>
      <c r="B711" s="1" t="n">
        <v>45929.40673611111</v>
      </c>
      <c r="C711" s="1" t="n">
        <v>46029</v>
      </c>
      <c r="D711" t="inlineStr">
        <is>
          <t>JÄMTLANDS LÄN</t>
        </is>
      </c>
      <c r="E711" t="inlineStr">
        <is>
          <t>RAGUNDA</t>
        </is>
      </c>
      <c r="G711" t="n">
        <v>5.7</v>
      </c>
      <c r="H711" t="n">
        <v>0</v>
      </c>
      <c r="I711" t="n">
        <v>0</v>
      </c>
      <c r="J711" t="n">
        <v>0</v>
      </c>
      <c r="K711" t="n">
        <v>0</v>
      </c>
      <c r="L711" t="n">
        <v>0</v>
      </c>
      <c r="M711" t="n">
        <v>0</v>
      </c>
      <c r="N711" t="n">
        <v>0</v>
      </c>
      <c r="O711" t="n">
        <v>0</v>
      </c>
      <c r="P711" t="n">
        <v>0</v>
      </c>
      <c r="Q711" t="n">
        <v>0</v>
      </c>
      <c r="R711" s="2" t="inlineStr"/>
    </row>
    <row r="712" ht="15" customHeight="1">
      <c r="A712" t="inlineStr">
        <is>
          <t>A 45438-2022</t>
        </is>
      </c>
      <c r="B712" s="1" t="n">
        <v>44844.95368055555</v>
      </c>
      <c r="C712" s="1" t="n">
        <v>46029</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30459-2021</t>
        </is>
      </c>
      <c r="B713" s="1" t="n">
        <v>44362</v>
      </c>
      <c r="C713" s="1" t="n">
        <v>46029</v>
      </c>
      <c r="D713" t="inlineStr">
        <is>
          <t>JÄMTLANDS LÄN</t>
        </is>
      </c>
      <c r="E713" t="inlineStr">
        <is>
          <t>RAGUNDA</t>
        </is>
      </c>
      <c r="G713" t="n">
        <v>1</v>
      </c>
      <c r="H713" t="n">
        <v>0</v>
      </c>
      <c r="I713" t="n">
        <v>0</v>
      </c>
      <c r="J713" t="n">
        <v>0</v>
      </c>
      <c r="K713" t="n">
        <v>0</v>
      </c>
      <c r="L713" t="n">
        <v>0</v>
      </c>
      <c r="M713" t="n">
        <v>0</v>
      </c>
      <c r="N713" t="n">
        <v>0</v>
      </c>
      <c r="O713" t="n">
        <v>0</v>
      </c>
      <c r="P713" t="n">
        <v>0</v>
      </c>
      <c r="Q713" t="n">
        <v>0</v>
      </c>
      <c r="R713" s="2" t="inlineStr"/>
    </row>
    <row r="714" ht="15" customHeight="1">
      <c r="A714" t="inlineStr">
        <is>
          <t>A 29263-2024</t>
        </is>
      </c>
      <c r="B714" s="1" t="n">
        <v>45482.94891203703</v>
      </c>
      <c r="C714" s="1" t="n">
        <v>46029</v>
      </c>
      <c r="D714" t="inlineStr">
        <is>
          <t>JÄMTLANDS LÄN</t>
        </is>
      </c>
      <c r="E714" t="inlineStr">
        <is>
          <t>RAGUNDA</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29265-2024</t>
        </is>
      </c>
      <c r="B715" s="1" t="n">
        <v>45482.9491087963</v>
      </c>
      <c r="C715" s="1" t="n">
        <v>46029</v>
      </c>
      <c r="D715" t="inlineStr">
        <is>
          <t>JÄMTLANDS LÄN</t>
        </is>
      </c>
      <c r="E715" t="inlineStr">
        <is>
          <t>RAGUNDA</t>
        </is>
      </c>
      <c r="F715" t="inlineStr">
        <is>
          <t>SCA</t>
        </is>
      </c>
      <c r="G715" t="n">
        <v>11.6</v>
      </c>
      <c r="H715" t="n">
        <v>0</v>
      </c>
      <c r="I715" t="n">
        <v>0</v>
      </c>
      <c r="J715" t="n">
        <v>0</v>
      </c>
      <c r="K715" t="n">
        <v>0</v>
      </c>
      <c r="L715" t="n">
        <v>0</v>
      </c>
      <c r="M715" t="n">
        <v>0</v>
      </c>
      <c r="N715" t="n">
        <v>0</v>
      </c>
      <c r="O715" t="n">
        <v>0</v>
      </c>
      <c r="P715" t="n">
        <v>0</v>
      </c>
      <c r="Q715" t="n">
        <v>0</v>
      </c>
      <c r="R715" s="2" t="inlineStr"/>
    </row>
    <row r="716" ht="15" customHeight="1">
      <c r="A716" t="inlineStr">
        <is>
          <t>A 13898-2023</t>
        </is>
      </c>
      <c r="B716" s="1" t="n">
        <v>45008.01408564814</v>
      </c>
      <c r="C716" s="1" t="n">
        <v>46029</v>
      </c>
      <c r="D716" t="inlineStr">
        <is>
          <t>JÄMTLANDS LÄN</t>
        </is>
      </c>
      <c r="E716" t="inlineStr">
        <is>
          <t>RAGUNDA</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41693-2023</t>
        </is>
      </c>
      <c r="B717" s="1" t="n">
        <v>45176</v>
      </c>
      <c r="C717" s="1" t="n">
        <v>46029</v>
      </c>
      <c r="D717" t="inlineStr">
        <is>
          <t>JÄMTLANDS LÄN</t>
        </is>
      </c>
      <c r="E717" t="inlineStr">
        <is>
          <t>RAGUNDA</t>
        </is>
      </c>
      <c r="G717" t="n">
        <v>5.5</v>
      </c>
      <c r="H717" t="n">
        <v>0</v>
      </c>
      <c r="I717" t="n">
        <v>0</v>
      </c>
      <c r="J717" t="n">
        <v>0</v>
      </c>
      <c r="K717" t="n">
        <v>0</v>
      </c>
      <c r="L717" t="n">
        <v>0</v>
      </c>
      <c r="M717" t="n">
        <v>0</v>
      </c>
      <c r="N717" t="n">
        <v>0</v>
      </c>
      <c r="O717" t="n">
        <v>0</v>
      </c>
      <c r="P717" t="n">
        <v>0</v>
      </c>
      <c r="Q717" t="n">
        <v>0</v>
      </c>
      <c r="R717" s="2" t="inlineStr"/>
    </row>
    <row r="718" ht="15" customHeight="1">
      <c r="A718" t="inlineStr">
        <is>
          <t>A 47229-2025</t>
        </is>
      </c>
      <c r="B718" s="1" t="n">
        <v>45930.40166666666</v>
      </c>
      <c r="C718" s="1" t="n">
        <v>46029</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47075-2025</t>
        </is>
      </c>
      <c r="B719" s="1" t="n">
        <v>45929.63728009259</v>
      </c>
      <c r="C719" s="1" t="n">
        <v>46029</v>
      </c>
      <c r="D719" t="inlineStr">
        <is>
          <t>JÄMTLANDS LÄN</t>
        </is>
      </c>
      <c r="E719" t="inlineStr">
        <is>
          <t>RAGUNDA</t>
        </is>
      </c>
      <c r="F719" t="inlineStr">
        <is>
          <t>SCA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46825-2025</t>
        </is>
      </c>
      <c r="B720" s="1" t="n">
        <v>45926.92506944444</v>
      </c>
      <c r="C720" s="1" t="n">
        <v>46029</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3770-2025</t>
        </is>
      </c>
      <c r="B721" s="1" t="n">
        <v>45681.6050925926</v>
      </c>
      <c r="C721" s="1" t="n">
        <v>46029</v>
      </c>
      <c r="D721" t="inlineStr">
        <is>
          <t>JÄMTLANDS LÄN</t>
        </is>
      </c>
      <c r="E721" t="inlineStr">
        <is>
          <t>RAGUNDA</t>
        </is>
      </c>
      <c r="G721" t="n">
        <v>2.7</v>
      </c>
      <c r="H721" t="n">
        <v>0</v>
      </c>
      <c r="I721" t="n">
        <v>0</v>
      </c>
      <c r="J721" t="n">
        <v>0</v>
      </c>
      <c r="K721" t="n">
        <v>0</v>
      </c>
      <c r="L721" t="n">
        <v>0</v>
      </c>
      <c r="M721" t="n">
        <v>0</v>
      </c>
      <c r="N721" t="n">
        <v>0</v>
      </c>
      <c r="O721" t="n">
        <v>0</v>
      </c>
      <c r="P721" t="n">
        <v>0</v>
      </c>
      <c r="Q721" t="n">
        <v>0</v>
      </c>
      <c r="R721" s="2" t="inlineStr"/>
    </row>
    <row r="722" ht="15" customHeight="1">
      <c r="A722" t="inlineStr">
        <is>
          <t>A 47749-2025</t>
        </is>
      </c>
      <c r="B722" s="1" t="n">
        <v>45931.65711805555</v>
      </c>
      <c r="C722" s="1" t="n">
        <v>46029</v>
      </c>
      <c r="D722" t="inlineStr">
        <is>
          <t>JÄMTLANDS LÄN</t>
        </is>
      </c>
      <c r="E722" t="inlineStr">
        <is>
          <t>RAGUNDA</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11252-2025</t>
        </is>
      </c>
      <c r="B723" s="1" t="n">
        <v>45726.38615740741</v>
      </c>
      <c r="C723" s="1" t="n">
        <v>46029</v>
      </c>
      <c r="D723" t="inlineStr">
        <is>
          <t>JÄMTLANDS LÄN</t>
        </is>
      </c>
      <c r="E723" t="inlineStr">
        <is>
          <t>RAGUNDA</t>
        </is>
      </c>
      <c r="G723" t="n">
        <v>1.9</v>
      </c>
      <c r="H723" t="n">
        <v>0</v>
      </c>
      <c r="I723" t="n">
        <v>0</v>
      </c>
      <c r="J723" t="n">
        <v>0</v>
      </c>
      <c r="K723" t="n">
        <v>0</v>
      </c>
      <c r="L723" t="n">
        <v>0</v>
      </c>
      <c r="M723" t="n">
        <v>0</v>
      </c>
      <c r="N723" t="n">
        <v>0</v>
      </c>
      <c r="O723" t="n">
        <v>0</v>
      </c>
      <c r="P723" t="n">
        <v>0</v>
      </c>
      <c r="Q723" t="n">
        <v>0</v>
      </c>
      <c r="R723" s="2" t="inlineStr"/>
    </row>
    <row r="724" ht="15" customHeight="1">
      <c r="A724" t="inlineStr">
        <is>
          <t>A 7668-2025</t>
        </is>
      </c>
      <c r="B724" s="1" t="n">
        <v>45706.34450231482</v>
      </c>
      <c r="C724" s="1" t="n">
        <v>46029</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19438-2023</t>
        </is>
      </c>
      <c r="B725" s="1" t="n">
        <v>45049</v>
      </c>
      <c r="C725" s="1" t="n">
        <v>46029</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9548-2025</t>
        </is>
      </c>
      <c r="B726" s="1" t="n">
        <v>45715.59405092592</v>
      </c>
      <c r="C726" s="1" t="n">
        <v>46029</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21332-2025</t>
        </is>
      </c>
      <c r="B727" s="1" t="n">
        <v>45782.36506944444</v>
      </c>
      <c r="C727" s="1" t="n">
        <v>46029</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47748-2025</t>
        </is>
      </c>
      <c r="B728" s="1" t="n">
        <v>45931.65693287037</v>
      </c>
      <c r="C728" s="1" t="n">
        <v>46029</v>
      </c>
      <c r="D728" t="inlineStr">
        <is>
          <t>JÄMTLANDS LÄN</t>
        </is>
      </c>
      <c r="E728" t="inlineStr">
        <is>
          <t>RAGUNDA</t>
        </is>
      </c>
      <c r="F728" t="inlineStr">
        <is>
          <t>SCA</t>
        </is>
      </c>
      <c r="G728" t="n">
        <v>8.6</v>
      </c>
      <c r="H728" t="n">
        <v>0</v>
      </c>
      <c r="I728" t="n">
        <v>0</v>
      </c>
      <c r="J728" t="n">
        <v>0</v>
      </c>
      <c r="K728" t="n">
        <v>0</v>
      </c>
      <c r="L728" t="n">
        <v>0</v>
      </c>
      <c r="M728" t="n">
        <v>0</v>
      </c>
      <c r="N728" t="n">
        <v>0</v>
      </c>
      <c r="O728" t="n">
        <v>0</v>
      </c>
      <c r="P728" t="n">
        <v>0</v>
      </c>
      <c r="Q728" t="n">
        <v>0</v>
      </c>
      <c r="R728" s="2" t="inlineStr"/>
    </row>
    <row r="729" ht="15" customHeight="1">
      <c r="A729" t="inlineStr">
        <is>
          <t>A 57237-2022</t>
        </is>
      </c>
      <c r="B729" s="1" t="n">
        <v>44889</v>
      </c>
      <c r="C729" s="1" t="n">
        <v>46029</v>
      </c>
      <c r="D729" t="inlineStr">
        <is>
          <t>JÄMTLANDS LÄN</t>
        </is>
      </c>
      <c r="E729" t="inlineStr">
        <is>
          <t>RAGUNDA</t>
        </is>
      </c>
      <c r="G729" t="n">
        <v>2.2</v>
      </c>
      <c r="H729" t="n">
        <v>0</v>
      </c>
      <c r="I729" t="n">
        <v>0</v>
      </c>
      <c r="J729" t="n">
        <v>0</v>
      </c>
      <c r="K729" t="n">
        <v>0</v>
      </c>
      <c r="L729" t="n">
        <v>0</v>
      </c>
      <c r="M729" t="n">
        <v>0</v>
      </c>
      <c r="N729" t="n">
        <v>0</v>
      </c>
      <c r="O729" t="n">
        <v>0</v>
      </c>
      <c r="P729" t="n">
        <v>0</v>
      </c>
      <c r="Q729" t="n">
        <v>0</v>
      </c>
      <c r="R729" s="2" t="inlineStr"/>
    </row>
    <row r="730" ht="15" customHeight="1">
      <c r="A730" t="inlineStr">
        <is>
          <t>A 48528-2025</t>
        </is>
      </c>
      <c r="B730" s="1" t="n">
        <v>45936.40758101852</v>
      </c>
      <c r="C730" s="1" t="n">
        <v>46029</v>
      </c>
      <c r="D730" t="inlineStr">
        <is>
          <t>JÄMTLANDS LÄN</t>
        </is>
      </c>
      <c r="E730" t="inlineStr">
        <is>
          <t>RAGUNDA</t>
        </is>
      </c>
      <c r="F730" t="inlineStr">
        <is>
          <t>SCA</t>
        </is>
      </c>
      <c r="G730" t="n">
        <v>6.8</v>
      </c>
      <c r="H730" t="n">
        <v>0</v>
      </c>
      <c r="I730" t="n">
        <v>0</v>
      </c>
      <c r="J730" t="n">
        <v>0</v>
      </c>
      <c r="K730" t="n">
        <v>0</v>
      </c>
      <c r="L730" t="n">
        <v>0</v>
      </c>
      <c r="M730" t="n">
        <v>0</v>
      </c>
      <c r="N730" t="n">
        <v>0</v>
      </c>
      <c r="O730" t="n">
        <v>0</v>
      </c>
      <c r="P730" t="n">
        <v>0</v>
      </c>
      <c r="Q730" t="n">
        <v>0</v>
      </c>
      <c r="R730" s="2" t="inlineStr"/>
    </row>
    <row r="731" ht="15" customHeight="1">
      <c r="A731" t="inlineStr">
        <is>
          <t>A 13263-2025</t>
        </is>
      </c>
      <c r="B731" s="1" t="n">
        <v>45735.53177083333</v>
      </c>
      <c r="C731" s="1" t="n">
        <v>46029</v>
      </c>
      <c r="D731" t="inlineStr">
        <is>
          <t>JÄMTLANDS LÄN</t>
        </is>
      </c>
      <c r="E731" t="inlineStr">
        <is>
          <t>RAGUNDA</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13276-2025</t>
        </is>
      </c>
      <c r="B732" s="1" t="n">
        <v>45735.5517824074</v>
      </c>
      <c r="C732" s="1" t="n">
        <v>46029</v>
      </c>
      <c r="D732" t="inlineStr">
        <is>
          <t>JÄMTLANDS LÄN</t>
        </is>
      </c>
      <c r="E732" t="inlineStr">
        <is>
          <t>RAGUNDA</t>
        </is>
      </c>
      <c r="G732" t="n">
        <v>16.6</v>
      </c>
      <c r="H732" t="n">
        <v>0</v>
      </c>
      <c r="I732" t="n">
        <v>0</v>
      </c>
      <c r="J732" t="n">
        <v>0</v>
      </c>
      <c r="K732" t="n">
        <v>0</v>
      </c>
      <c r="L732" t="n">
        <v>0</v>
      </c>
      <c r="M732" t="n">
        <v>0</v>
      </c>
      <c r="N732" t="n">
        <v>0</v>
      </c>
      <c r="O732" t="n">
        <v>0</v>
      </c>
      <c r="P732" t="n">
        <v>0</v>
      </c>
      <c r="Q732" t="n">
        <v>0</v>
      </c>
      <c r="R732" s="2" t="inlineStr"/>
    </row>
    <row r="733" ht="15" customHeight="1">
      <c r="A733" t="inlineStr">
        <is>
          <t>A 48742-2025</t>
        </is>
      </c>
      <c r="B733" s="1" t="n">
        <v>45936.67810185185</v>
      </c>
      <c r="C733" s="1" t="n">
        <v>46029</v>
      </c>
      <c r="D733" t="inlineStr">
        <is>
          <t>JÄMTLANDS LÄN</t>
        </is>
      </c>
      <c r="E733" t="inlineStr">
        <is>
          <t>RAGUNDA</t>
        </is>
      </c>
      <c r="F733" t="inlineStr">
        <is>
          <t>SCA</t>
        </is>
      </c>
      <c r="G733" t="n">
        <v>8.9</v>
      </c>
      <c r="H733" t="n">
        <v>0</v>
      </c>
      <c r="I733" t="n">
        <v>0</v>
      </c>
      <c r="J733" t="n">
        <v>0</v>
      </c>
      <c r="K733" t="n">
        <v>0</v>
      </c>
      <c r="L733" t="n">
        <v>0</v>
      </c>
      <c r="M733" t="n">
        <v>0</v>
      </c>
      <c r="N733" t="n">
        <v>0</v>
      </c>
      <c r="O733" t="n">
        <v>0</v>
      </c>
      <c r="P733" t="n">
        <v>0</v>
      </c>
      <c r="Q733" t="n">
        <v>0</v>
      </c>
      <c r="R733" s="2" t="inlineStr"/>
    </row>
    <row r="734" ht="15" customHeight="1">
      <c r="A734" t="inlineStr">
        <is>
          <t>A 12405-2025</t>
        </is>
      </c>
      <c r="B734" s="1" t="n">
        <v>45730.42738425926</v>
      </c>
      <c r="C734" s="1" t="n">
        <v>46029</v>
      </c>
      <c r="D734" t="inlineStr">
        <is>
          <t>JÄMTLANDS LÄN</t>
        </is>
      </c>
      <c r="E734" t="inlineStr">
        <is>
          <t>RAGUNDA</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12808-2025</t>
        </is>
      </c>
      <c r="B735" s="1" t="n">
        <v>45733.61554398148</v>
      </c>
      <c r="C735" s="1" t="n">
        <v>46029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46546-2023</t>
        </is>
      </c>
      <c r="B736" s="1" t="n">
        <v>45197.94152777778</v>
      </c>
      <c r="C736" s="1" t="n">
        <v>46029</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6716-2025</t>
        </is>
      </c>
      <c r="B737" s="1" t="n">
        <v>45700.57324074074</v>
      </c>
      <c r="C737" s="1" t="n">
        <v>46029</v>
      </c>
      <c r="D737" t="inlineStr">
        <is>
          <t>JÄMTLANDS LÄN</t>
        </is>
      </c>
      <c r="E737" t="inlineStr">
        <is>
          <t>RAGUNDA</t>
        </is>
      </c>
      <c r="F737" t="inlineStr">
        <is>
          <t>SCA</t>
        </is>
      </c>
      <c r="G737" t="n">
        <v>5.1</v>
      </c>
      <c r="H737" t="n">
        <v>0</v>
      </c>
      <c r="I737" t="n">
        <v>0</v>
      </c>
      <c r="J737" t="n">
        <v>0</v>
      </c>
      <c r="K737" t="n">
        <v>0</v>
      </c>
      <c r="L737" t="n">
        <v>0</v>
      </c>
      <c r="M737" t="n">
        <v>0</v>
      </c>
      <c r="N737" t="n">
        <v>0</v>
      </c>
      <c r="O737" t="n">
        <v>0</v>
      </c>
      <c r="P737" t="n">
        <v>0</v>
      </c>
      <c r="Q737" t="n">
        <v>0</v>
      </c>
      <c r="R737" s="2" t="inlineStr"/>
    </row>
    <row r="738" ht="15" customHeight="1">
      <c r="A738" t="inlineStr">
        <is>
          <t>A 30823-2023</t>
        </is>
      </c>
      <c r="B738" s="1" t="n">
        <v>45112</v>
      </c>
      <c r="C738" s="1" t="n">
        <v>46029</v>
      </c>
      <c r="D738" t="inlineStr">
        <is>
          <t>JÄMTLANDS LÄN</t>
        </is>
      </c>
      <c r="E738" t="inlineStr">
        <is>
          <t>RAGUNDA</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30484-2024</t>
        </is>
      </c>
      <c r="B739" s="1" t="n">
        <v>45491</v>
      </c>
      <c r="C739" s="1" t="n">
        <v>46029</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48748-2025</t>
        </is>
      </c>
      <c r="B740" s="1" t="n">
        <v>45936.67912037037</v>
      </c>
      <c r="C740" s="1" t="n">
        <v>46029</v>
      </c>
      <c r="D740" t="inlineStr">
        <is>
          <t>JÄMTLANDS LÄN</t>
        </is>
      </c>
      <c r="E740" t="inlineStr">
        <is>
          <t>RAGUNDA</t>
        </is>
      </c>
      <c r="F740" t="inlineStr">
        <is>
          <t>SCA</t>
        </is>
      </c>
      <c r="G740" t="n">
        <v>11.1</v>
      </c>
      <c r="H740" t="n">
        <v>0</v>
      </c>
      <c r="I740" t="n">
        <v>0</v>
      </c>
      <c r="J740" t="n">
        <v>0</v>
      </c>
      <c r="K740" t="n">
        <v>0</v>
      </c>
      <c r="L740" t="n">
        <v>0</v>
      </c>
      <c r="M740" t="n">
        <v>0</v>
      </c>
      <c r="N740" t="n">
        <v>0</v>
      </c>
      <c r="O740" t="n">
        <v>0</v>
      </c>
      <c r="P740" t="n">
        <v>0</v>
      </c>
      <c r="Q740" t="n">
        <v>0</v>
      </c>
      <c r="R740" s="2" t="inlineStr"/>
    </row>
    <row r="741" ht="15" customHeight="1">
      <c r="A741" t="inlineStr">
        <is>
          <t>A 11288-2022</t>
        </is>
      </c>
      <c r="B741" s="1" t="n">
        <v>44629</v>
      </c>
      <c r="C741" s="1" t="n">
        <v>46029</v>
      </c>
      <c r="D741" t="inlineStr">
        <is>
          <t>JÄMTLANDS LÄN</t>
        </is>
      </c>
      <c r="E741" t="inlineStr">
        <is>
          <t>RAGUNDA</t>
        </is>
      </c>
      <c r="G741" t="n">
        <v>4.9</v>
      </c>
      <c r="H741" t="n">
        <v>0</v>
      </c>
      <c r="I741" t="n">
        <v>0</v>
      </c>
      <c r="J741" t="n">
        <v>0</v>
      </c>
      <c r="K741" t="n">
        <v>0</v>
      </c>
      <c r="L741" t="n">
        <v>0</v>
      </c>
      <c r="M741" t="n">
        <v>0</v>
      </c>
      <c r="N741" t="n">
        <v>0</v>
      </c>
      <c r="O741" t="n">
        <v>0</v>
      </c>
      <c r="P741" t="n">
        <v>0</v>
      </c>
      <c r="Q741" t="n">
        <v>0</v>
      </c>
      <c r="R741" s="2" t="inlineStr"/>
    </row>
    <row r="742" ht="15" customHeight="1">
      <c r="A742" t="inlineStr">
        <is>
          <t>A 19865-2023</t>
        </is>
      </c>
      <c r="B742" s="1" t="n">
        <v>45053.94305555556</v>
      </c>
      <c r="C742" s="1" t="n">
        <v>46029</v>
      </c>
      <c r="D742" t="inlineStr">
        <is>
          <t>JÄMTLANDS LÄN</t>
        </is>
      </c>
      <c r="E742" t="inlineStr">
        <is>
          <t>RAGUNDA</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1554-2024</t>
        </is>
      </c>
      <c r="B743" s="1" t="n">
        <v>45306</v>
      </c>
      <c r="C743" s="1" t="n">
        <v>46029</v>
      </c>
      <c r="D743" t="inlineStr">
        <is>
          <t>JÄMTLANDS LÄN</t>
        </is>
      </c>
      <c r="E743" t="inlineStr">
        <is>
          <t>RAGUNDA</t>
        </is>
      </c>
      <c r="G743" t="n">
        <v>4.3</v>
      </c>
      <c r="H743" t="n">
        <v>0</v>
      </c>
      <c r="I743" t="n">
        <v>0</v>
      </c>
      <c r="J743" t="n">
        <v>0</v>
      </c>
      <c r="K743" t="n">
        <v>0</v>
      </c>
      <c r="L743" t="n">
        <v>0</v>
      </c>
      <c r="M743" t="n">
        <v>0</v>
      </c>
      <c r="N743" t="n">
        <v>0</v>
      </c>
      <c r="O743" t="n">
        <v>0</v>
      </c>
      <c r="P743" t="n">
        <v>0</v>
      </c>
      <c r="Q743" t="n">
        <v>0</v>
      </c>
      <c r="R743" s="2" t="inlineStr"/>
    </row>
    <row r="744" ht="15" customHeight="1">
      <c r="A744" t="inlineStr">
        <is>
          <t>A 48746-2025</t>
        </is>
      </c>
      <c r="B744" s="1" t="n">
        <v>45936.67878472222</v>
      </c>
      <c r="C744" s="1" t="n">
        <v>46029</v>
      </c>
      <c r="D744" t="inlineStr">
        <is>
          <t>JÄMTLANDS LÄN</t>
        </is>
      </c>
      <c r="E744" t="inlineStr">
        <is>
          <t>RAGUNDA</t>
        </is>
      </c>
      <c r="F744" t="inlineStr">
        <is>
          <t>SCA</t>
        </is>
      </c>
      <c r="G744" t="n">
        <v>6.5</v>
      </c>
      <c r="H744" t="n">
        <v>0</v>
      </c>
      <c r="I744" t="n">
        <v>0</v>
      </c>
      <c r="J744" t="n">
        <v>0</v>
      </c>
      <c r="K744" t="n">
        <v>0</v>
      </c>
      <c r="L744" t="n">
        <v>0</v>
      </c>
      <c r="M744" t="n">
        <v>0</v>
      </c>
      <c r="N744" t="n">
        <v>0</v>
      </c>
      <c r="O744" t="n">
        <v>0</v>
      </c>
      <c r="P744" t="n">
        <v>0</v>
      </c>
      <c r="Q744" t="n">
        <v>0</v>
      </c>
      <c r="R744" s="2" t="inlineStr"/>
    </row>
    <row r="745" ht="15" customHeight="1">
      <c r="A745" t="inlineStr">
        <is>
          <t>A 22011-2023</t>
        </is>
      </c>
      <c r="B745" s="1" t="n">
        <v>45068</v>
      </c>
      <c r="C745" s="1" t="n">
        <v>46029</v>
      </c>
      <c r="D745" t="inlineStr">
        <is>
          <t>JÄMTLANDS LÄN</t>
        </is>
      </c>
      <c r="E745" t="inlineStr">
        <is>
          <t>RAGUNDA</t>
        </is>
      </c>
      <c r="F745" t="inlineStr">
        <is>
          <t>SCA</t>
        </is>
      </c>
      <c r="G745" t="n">
        <v>12.2</v>
      </c>
      <c r="H745" t="n">
        <v>0</v>
      </c>
      <c r="I745" t="n">
        <v>0</v>
      </c>
      <c r="J745" t="n">
        <v>0</v>
      </c>
      <c r="K745" t="n">
        <v>0</v>
      </c>
      <c r="L745" t="n">
        <v>0</v>
      </c>
      <c r="M745" t="n">
        <v>0</v>
      </c>
      <c r="N745" t="n">
        <v>0</v>
      </c>
      <c r="O745" t="n">
        <v>0</v>
      </c>
      <c r="P745" t="n">
        <v>0</v>
      </c>
      <c r="Q745" t="n">
        <v>0</v>
      </c>
      <c r="R745" s="2" t="inlineStr"/>
    </row>
    <row r="746" ht="15" customHeight="1">
      <c r="A746" t="inlineStr">
        <is>
          <t>A 13389-2025</t>
        </is>
      </c>
      <c r="B746" s="1" t="n">
        <v>45735.69842592593</v>
      </c>
      <c r="C746" s="1" t="n">
        <v>46029</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2831-2024</t>
        </is>
      </c>
      <c r="B747" s="1" t="n">
        <v>45314.92758101852</v>
      </c>
      <c r="C747" s="1" t="n">
        <v>46029</v>
      </c>
      <c r="D747" t="inlineStr">
        <is>
          <t>JÄMTLANDS LÄN</t>
        </is>
      </c>
      <c r="E747" t="inlineStr">
        <is>
          <t>RAGUNDA</t>
        </is>
      </c>
      <c r="G747" t="n">
        <v>0.6</v>
      </c>
      <c r="H747" t="n">
        <v>0</v>
      </c>
      <c r="I747" t="n">
        <v>0</v>
      </c>
      <c r="J747" t="n">
        <v>0</v>
      </c>
      <c r="K747" t="n">
        <v>0</v>
      </c>
      <c r="L747" t="n">
        <v>0</v>
      </c>
      <c r="M747" t="n">
        <v>0</v>
      </c>
      <c r="N747" t="n">
        <v>0</v>
      </c>
      <c r="O747" t="n">
        <v>0</v>
      </c>
      <c r="P747" t="n">
        <v>0</v>
      </c>
      <c r="Q747" t="n">
        <v>0</v>
      </c>
      <c r="R747" s="2" t="inlineStr"/>
    </row>
    <row r="748" ht="15" customHeight="1">
      <c r="A748" t="inlineStr">
        <is>
          <t>A 49059-2025</t>
        </is>
      </c>
      <c r="B748" s="1" t="n">
        <v>45937.64123842592</v>
      </c>
      <c r="C748" s="1" t="n">
        <v>46029</v>
      </c>
      <c r="D748" t="inlineStr">
        <is>
          <t>JÄMTLANDS LÄN</t>
        </is>
      </c>
      <c r="E748" t="inlineStr">
        <is>
          <t>RAGUNDA</t>
        </is>
      </c>
      <c r="G748" t="n">
        <v>2.1</v>
      </c>
      <c r="H748" t="n">
        <v>0</v>
      </c>
      <c r="I748" t="n">
        <v>0</v>
      </c>
      <c r="J748" t="n">
        <v>0</v>
      </c>
      <c r="K748" t="n">
        <v>0</v>
      </c>
      <c r="L748" t="n">
        <v>0</v>
      </c>
      <c r="M748" t="n">
        <v>0</v>
      </c>
      <c r="N748" t="n">
        <v>0</v>
      </c>
      <c r="O748" t="n">
        <v>0</v>
      </c>
      <c r="P748" t="n">
        <v>0</v>
      </c>
      <c r="Q748" t="n">
        <v>0</v>
      </c>
      <c r="R748" s="2" t="inlineStr"/>
    </row>
    <row r="749" ht="15" customHeight="1">
      <c r="A749" t="inlineStr">
        <is>
          <t>A 49092-2025</t>
        </is>
      </c>
      <c r="B749" s="1" t="n">
        <v>45937.67792824074</v>
      </c>
      <c r="C749" s="1" t="n">
        <v>46029</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49193-2025</t>
        </is>
      </c>
      <c r="B750" s="1" t="n">
        <v>45938.40831018519</v>
      </c>
      <c r="C750" s="1" t="n">
        <v>46029</v>
      </c>
      <c r="D750" t="inlineStr">
        <is>
          <t>JÄMTLANDS LÄN</t>
        </is>
      </c>
      <c r="E750" t="inlineStr">
        <is>
          <t>RAGUNDA</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13264-2025</t>
        </is>
      </c>
      <c r="B751" s="1" t="n">
        <v>45735</v>
      </c>
      <c r="C751" s="1" t="n">
        <v>46029</v>
      </c>
      <c r="D751" t="inlineStr">
        <is>
          <t>JÄMTLANDS LÄN</t>
        </is>
      </c>
      <c r="E751" t="inlineStr">
        <is>
          <t>RAGUNDA</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49290-2025</t>
        </is>
      </c>
      <c r="B752" s="1" t="n">
        <v>45938.53168981482</v>
      </c>
      <c r="C752" s="1" t="n">
        <v>46029</v>
      </c>
      <c r="D752" t="inlineStr">
        <is>
          <t>JÄMTLANDS LÄN</t>
        </is>
      </c>
      <c r="E752" t="inlineStr">
        <is>
          <t>RAGUNDA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49238-2025</t>
        </is>
      </c>
      <c r="B753" s="1" t="n">
        <v>45938.48231481481</v>
      </c>
      <c r="C753" s="1" t="n">
        <v>46029</v>
      </c>
      <c r="D753" t="inlineStr">
        <is>
          <t>JÄMTLANDS LÄN</t>
        </is>
      </c>
      <c r="E753" t="inlineStr">
        <is>
          <t>RAGUNDA</t>
        </is>
      </c>
      <c r="G753" t="n">
        <v>4.7</v>
      </c>
      <c r="H753" t="n">
        <v>0</v>
      </c>
      <c r="I753" t="n">
        <v>0</v>
      </c>
      <c r="J753" t="n">
        <v>0</v>
      </c>
      <c r="K753" t="n">
        <v>0</v>
      </c>
      <c r="L753" t="n">
        <v>0</v>
      </c>
      <c r="M753" t="n">
        <v>0</v>
      </c>
      <c r="N753" t="n">
        <v>0</v>
      </c>
      <c r="O753" t="n">
        <v>0</v>
      </c>
      <c r="P753" t="n">
        <v>0</v>
      </c>
      <c r="Q753" t="n">
        <v>0</v>
      </c>
      <c r="R753" s="2" t="inlineStr"/>
    </row>
    <row r="754" ht="15" customHeight="1">
      <c r="A754" t="inlineStr">
        <is>
          <t>A 37268-2024</t>
        </is>
      </c>
      <c r="B754" s="1" t="n">
        <v>45540.38586805556</v>
      </c>
      <c r="C754" s="1" t="n">
        <v>46029</v>
      </c>
      <c r="D754" t="inlineStr">
        <is>
          <t>JÄMTLANDS LÄN</t>
        </is>
      </c>
      <c r="E754" t="inlineStr">
        <is>
          <t>RAGUNDA</t>
        </is>
      </c>
      <c r="F754" t="inlineStr">
        <is>
          <t>SCA</t>
        </is>
      </c>
      <c r="G754" t="n">
        <v>6.3</v>
      </c>
      <c r="H754" t="n">
        <v>0</v>
      </c>
      <c r="I754" t="n">
        <v>0</v>
      </c>
      <c r="J754" t="n">
        <v>0</v>
      </c>
      <c r="K754" t="n">
        <v>0</v>
      </c>
      <c r="L754" t="n">
        <v>0</v>
      </c>
      <c r="M754" t="n">
        <v>0</v>
      </c>
      <c r="N754" t="n">
        <v>0</v>
      </c>
      <c r="O754" t="n">
        <v>0</v>
      </c>
      <c r="P754" t="n">
        <v>0</v>
      </c>
      <c r="Q754" t="n">
        <v>0</v>
      </c>
      <c r="R754" s="2" t="inlineStr"/>
    </row>
    <row r="755" ht="15" customHeight="1">
      <c r="A755" t="inlineStr">
        <is>
          <t>A 49639-2025</t>
        </is>
      </c>
      <c r="B755" s="1" t="n">
        <v>45939.61253472222</v>
      </c>
      <c r="C755" s="1" t="n">
        <v>46029</v>
      </c>
      <c r="D755" t="inlineStr">
        <is>
          <t>JÄMTLANDS LÄN</t>
        </is>
      </c>
      <c r="E755" t="inlineStr">
        <is>
          <t>RAGUNDA</t>
        </is>
      </c>
      <c r="F755" t="inlineStr">
        <is>
          <t>Kommuner</t>
        </is>
      </c>
      <c r="G755" t="n">
        <v>13.6</v>
      </c>
      <c r="H755" t="n">
        <v>0</v>
      </c>
      <c r="I755" t="n">
        <v>0</v>
      </c>
      <c r="J755" t="n">
        <v>0</v>
      </c>
      <c r="K755" t="n">
        <v>0</v>
      </c>
      <c r="L755" t="n">
        <v>0</v>
      </c>
      <c r="M755" t="n">
        <v>0</v>
      </c>
      <c r="N755" t="n">
        <v>0</v>
      </c>
      <c r="O755" t="n">
        <v>0</v>
      </c>
      <c r="P755" t="n">
        <v>0</v>
      </c>
      <c r="Q755" t="n">
        <v>0</v>
      </c>
      <c r="R755" s="2" t="inlineStr"/>
    </row>
    <row r="756" ht="15" customHeight="1">
      <c r="A756" t="inlineStr">
        <is>
          <t>A 41179-2022</t>
        </is>
      </c>
      <c r="B756" s="1" t="n">
        <v>44825</v>
      </c>
      <c r="C756" s="1" t="n">
        <v>46029</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17598-2021</t>
        </is>
      </c>
      <c r="B757" s="1" t="n">
        <v>44299</v>
      </c>
      <c r="C757" s="1" t="n">
        <v>46029</v>
      </c>
      <c r="D757" t="inlineStr">
        <is>
          <t>JÄMTLANDS LÄN</t>
        </is>
      </c>
      <c r="E757" t="inlineStr">
        <is>
          <t>RAGUNDA</t>
        </is>
      </c>
      <c r="G757" t="n">
        <v>4.6</v>
      </c>
      <c r="H757" t="n">
        <v>0</v>
      </c>
      <c r="I757" t="n">
        <v>0</v>
      </c>
      <c r="J757" t="n">
        <v>0</v>
      </c>
      <c r="K757" t="n">
        <v>0</v>
      </c>
      <c r="L757" t="n">
        <v>0</v>
      </c>
      <c r="M757" t="n">
        <v>0</v>
      </c>
      <c r="N757" t="n">
        <v>0</v>
      </c>
      <c r="O757" t="n">
        <v>0</v>
      </c>
      <c r="P757" t="n">
        <v>0</v>
      </c>
      <c r="Q757" t="n">
        <v>0</v>
      </c>
      <c r="R757" s="2" t="inlineStr"/>
    </row>
    <row r="758" ht="15" customHeight="1">
      <c r="A758" t="inlineStr">
        <is>
          <t>A 62541-2022</t>
        </is>
      </c>
      <c r="B758" s="1" t="n">
        <v>44917</v>
      </c>
      <c r="C758" s="1" t="n">
        <v>46029</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61400-2022</t>
        </is>
      </c>
      <c r="B759" s="1" t="n">
        <v>44915</v>
      </c>
      <c r="C759" s="1" t="n">
        <v>46029</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24861-2023</t>
        </is>
      </c>
      <c r="B760" s="1" t="n">
        <v>45078</v>
      </c>
      <c r="C760" s="1" t="n">
        <v>46029</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34088-2025</t>
        </is>
      </c>
      <c r="B761" s="1" t="n">
        <v>45845</v>
      </c>
      <c r="C761" s="1" t="n">
        <v>46029</v>
      </c>
      <c r="D761" t="inlineStr">
        <is>
          <t>JÄMTLANDS LÄN</t>
        </is>
      </c>
      <c r="E761" t="inlineStr">
        <is>
          <t>RAGUNDA</t>
        </is>
      </c>
      <c r="G761" t="n">
        <v>1.4</v>
      </c>
      <c r="H761" t="n">
        <v>0</v>
      </c>
      <c r="I761" t="n">
        <v>0</v>
      </c>
      <c r="J761" t="n">
        <v>0</v>
      </c>
      <c r="K761" t="n">
        <v>0</v>
      </c>
      <c r="L761" t="n">
        <v>0</v>
      </c>
      <c r="M761" t="n">
        <v>0</v>
      </c>
      <c r="N761" t="n">
        <v>0</v>
      </c>
      <c r="O761" t="n">
        <v>0</v>
      </c>
      <c r="P761" t="n">
        <v>0</v>
      </c>
      <c r="Q761" t="n">
        <v>0</v>
      </c>
      <c r="R761" s="2" t="inlineStr"/>
    </row>
    <row r="762" ht="15" customHeight="1">
      <c r="A762" t="inlineStr">
        <is>
          <t>A 38270-2021</t>
        </is>
      </c>
      <c r="B762" s="1" t="n">
        <v>44405.92065972222</v>
      </c>
      <c r="C762" s="1" t="n">
        <v>46029</v>
      </c>
      <c r="D762" t="inlineStr">
        <is>
          <t>JÄMTLANDS LÄN</t>
        </is>
      </c>
      <c r="E762" t="inlineStr">
        <is>
          <t>RAGUNDA</t>
        </is>
      </c>
      <c r="G762" t="n">
        <v>1.3</v>
      </c>
      <c r="H762" t="n">
        <v>0</v>
      </c>
      <c r="I762" t="n">
        <v>0</v>
      </c>
      <c r="J762" t="n">
        <v>0</v>
      </c>
      <c r="K762" t="n">
        <v>0</v>
      </c>
      <c r="L762" t="n">
        <v>0</v>
      </c>
      <c r="M762" t="n">
        <v>0</v>
      </c>
      <c r="N762" t="n">
        <v>0</v>
      </c>
      <c r="O762" t="n">
        <v>0</v>
      </c>
      <c r="P762" t="n">
        <v>0</v>
      </c>
      <c r="Q762" t="n">
        <v>0</v>
      </c>
      <c r="R762" s="2" t="inlineStr"/>
    </row>
    <row r="763" ht="15" customHeight="1">
      <c r="A763" t="inlineStr">
        <is>
          <t>A 4866-2025</t>
        </is>
      </c>
      <c r="B763" s="1" t="n">
        <v>45688.67542824074</v>
      </c>
      <c r="C763" s="1" t="n">
        <v>46029</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49994-2025</t>
        </is>
      </c>
      <c r="B764" s="1" t="n">
        <v>45942.96922453704</v>
      </c>
      <c r="C764" s="1" t="n">
        <v>46029</v>
      </c>
      <c r="D764" t="inlineStr">
        <is>
          <t>JÄMTLANDS LÄN</t>
        </is>
      </c>
      <c r="E764" t="inlineStr">
        <is>
          <t>RAGUNDA</t>
        </is>
      </c>
      <c r="G764" t="n">
        <v>4.5</v>
      </c>
      <c r="H764" t="n">
        <v>0</v>
      </c>
      <c r="I764" t="n">
        <v>0</v>
      </c>
      <c r="J764" t="n">
        <v>0</v>
      </c>
      <c r="K764" t="n">
        <v>0</v>
      </c>
      <c r="L764" t="n">
        <v>0</v>
      </c>
      <c r="M764" t="n">
        <v>0</v>
      </c>
      <c r="N764" t="n">
        <v>0</v>
      </c>
      <c r="O764" t="n">
        <v>0</v>
      </c>
      <c r="P764" t="n">
        <v>0</v>
      </c>
      <c r="Q764" t="n">
        <v>0</v>
      </c>
      <c r="R764" s="2" t="inlineStr"/>
    </row>
    <row r="765" ht="15" customHeight="1">
      <c r="A765" t="inlineStr">
        <is>
          <t>A 49995-2025</t>
        </is>
      </c>
      <c r="B765" s="1" t="n">
        <v>45943.00986111111</v>
      </c>
      <c r="C765" s="1" t="n">
        <v>46029</v>
      </c>
      <c r="D765" t="inlineStr">
        <is>
          <t>JÄMTLANDS LÄN</t>
        </is>
      </c>
      <c r="E765" t="inlineStr">
        <is>
          <t>RAGUNDA</t>
        </is>
      </c>
      <c r="G765" t="n">
        <v>2.5</v>
      </c>
      <c r="H765" t="n">
        <v>0</v>
      </c>
      <c r="I765" t="n">
        <v>0</v>
      </c>
      <c r="J765" t="n">
        <v>0</v>
      </c>
      <c r="K765" t="n">
        <v>0</v>
      </c>
      <c r="L765" t="n">
        <v>0</v>
      </c>
      <c r="M765" t="n">
        <v>0</v>
      </c>
      <c r="N765" t="n">
        <v>0</v>
      </c>
      <c r="O765" t="n">
        <v>0</v>
      </c>
      <c r="P765" t="n">
        <v>0</v>
      </c>
      <c r="Q765" t="n">
        <v>0</v>
      </c>
      <c r="R765" s="2" t="inlineStr"/>
    </row>
    <row r="766" ht="15" customHeight="1">
      <c r="A766" t="inlineStr">
        <is>
          <t>A 50098-2025</t>
        </is>
      </c>
      <c r="B766" s="1" t="n">
        <v>45943.51086805556</v>
      </c>
      <c r="C766" s="1" t="n">
        <v>46029</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50126-2025</t>
        </is>
      </c>
      <c r="B767" s="1" t="n">
        <v>45943.55271990741</v>
      </c>
      <c r="C767" s="1" t="n">
        <v>46029</v>
      </c>
      <c r="D767" t="inlineStr">
        <is>
          <t>JÄMTLANDS LÄN</t>
        </is>
      </c>
      <c r="E767" t="inlineStr">
        <is>
          <t>RAGUNDA</t>
        </is>
      </c>
      <c r="G767" t="n">
        <v>1</v>
      </c>
      <c r="H767" t="n">
        <v>0</v>
      </c>
      <c r="I767" t="n">
        <v>0</v>
      </c>
      <c r="J767" t="n">
        <v>0</v>
      </c>
      <c r="K767" t="n">
        <v>0</v>
      </c>
      <c r="L767" t="n">
        <v>0</v>
      </c>
      <c r="M767" t="n">
        <v>0</v>
      </c>
      <c r="N767" t="n">
        <v>0</v>
      </c>
      <c r="O767" t="n">
        <v>0</v>
      </c>
      <c r="P767" t="n">
        <v>0</v>
      </c>
      <c r="Q767" t="n">
        <v>0</v>
      </c>
      <c r="R767" s="2" t="inlineStr"/>
    </row>
    <row r="768" ht="15" customHeight="1">
      <c r="A768" t="inlineStr">
        <is>
          <t>A 179-2025</t>
        </is>
      </c>
      <c r="B768" s="1" t="n">
        <v>45659.69822916666</v>
      </c>
      <c r="C768" s="1" t="n">
        <v>46029</v>
      </c>
      <c r="D768" t="inlineStr">
        <is>
          <t>JÄMTLANDS LÄN</t>
        </is>
      </c>
      <c r="E768" t="inlineStr">
        <is>
          <t>RAGUNDA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20088-2023</t>
        </is>
      </c>
      <c r="B769" s="1" t="n">
        <v>45054</v>
      </c>
      <c r="C769" s="1" t="n">
        <v>46029</v>
      </c>
      <c r="D769" t="inlineStr">
        <is>
          <t>JÄMTLANDS LÄN</t>
        </is>
      </c>
      <c r="E769" t="inlineStr">
        <is>
          <t>RAGUNDA</t>
        </is>
      </c>
      <c r="F769" t="inlineStr">
        <is>
          <t>SCA</t>
        </is>
      </c>
      <c r="G769" t="n">
        <v>23.4</v>
      </c>
      <c r="H769" t="n">
        <v>0</v>
      </c>
      <c r="I769" t="n">
        <v>0</v>
      </c>
      <c r="J769" t="n">
        <v>0</v>
      </c>
      <c r="K769" t="n">
        <v>0</v>
      </c>
      <c r="L769" t="n">
        <v>0</v>
      </c>
      <c r="M769" t="n">
        <v>0</v>
      </c>
      <c r="N769" t="n">
        <v>0</v>
      </c>
      <c r="O769" t="n">
        <v>0</v>
      </c>
      <c r="P769" t="n">
        <v>0</v>
      </c>
      <c r="Q769" t="n">
        <v>0</v>
      </c>
      <c r="R769" s="2" t="inlineStr"/>
    </row>
    <row r="770" ht="15" customHeight="1">
      <c r="A770" t="inlineStr">
        <is>
          <t>A 50081-2025</t>
        </is>
      </c>
      <c r="B770" s="1" t="n">
        <v>45943.46954861111</v>
      </c>
      <c r="C770" s="1" t="n">
        <v>46029</v>
      </c>
      <c r="D770" t="inlineStr">
        <is>
          <t>JÄMTLANDS LÄN</t>
        </is>
      </c>
      <c r="E770" t="inlineStr">
        <is>
          <t>RAGUNDA</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50260-2025</t>
        </is>
      </c>
      <c r="B771" s="1" t="n">
        <v>45944.34515046296</v>
      </c>
      <c r="C771" s="1" t="n">
        <v>46029</v>
      </c>
      <c r="D771" t="inlineStr">
        <is>
          <t>JÄMTLANDS LÄN</t>
        </is>
      </c>
      <c r="E771" t="inlineStr">
        <is>
          <t>RAGUNDA</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50215-2025</t>
        </is>
      </c>
      <c r="B772" s="1" t="n">
        <v>45943.67842592593</v>
      </c>
      <c r="C772" s="1" t="n">
        <v>46029</v>
      </c>
      <c r="D772" t="inlineStr">
        <is>
          <t>JÄMTLANDS LÄN</t>
        </is>
      </c>
      <c r="E772" t="inlineStr">
        <is>
          <t>RAGUNDA</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49991-2025</t>
        </is>
      </c>
      <c r="B773" s="1" t="n">
        <v>45942.91568287037</v>
      </c>
      <c r="C773" s="1" t="n">
        <v>46029</v>
      </c>
      <c r="D773" t="inlineStr">
        <is>
          <t>JÄMTLANDS LÄN</t>
        </is>
      </c>
      <c r="E773" t="inlineStr">
        <is>
          <t>RAGUNDA</t>
        </is>
      </c>
      <c r="G773" t="n">
        <v>9</v>
      </c>
      <c r="H773" t="n">
        <v>0</v>
      </c>
      <c r="I773" t="n">
        <v>0</v>
      </c>
      <c r="J773" t="n">
        <v>0</v>
      </c>
      <c r="K773" t="n">
        <v>0</v>
      </c>
      <c r="L773" t="n">
        <v>0</v>
      </c>
      <c r="M773" t="n">
        <v>0</v>
      </c>
      <c r="N773" t="n">
        <v>0</v>
      </c>
      <c r="O773" t="n">
        <v>0</v>
      </c>
      <c r="P773" t="n">
        <v>0</v>
      </c>
      <c r="Q773" t="n">
        <v>0</v>
      </c>
      <c r="R773" s="2" t="inlineStr"/>
    </row>
    <row r="774" ht="15" customHeight="1">
      <c r="A774" t="inlineStr">
        <is>
          <t>A 49993-2025</t>
        </is>
      </c>
      <c r="B774" s="1" t="n">
        <v>45942.94371527778</v>
      </c>
      <c r="C774" s="1" t="n">
        <v>46029</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59136-2023</t>
        </is>
      </c>
      <c r="B775" s="1" t="n">
        <v>45251</v>
      </c>
      <c r="C775" s="1" t="n">
        <v>46029</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50125-2025</t>
        </is>
      </c>
      <c r="B776" s="1" t="n">
        <v>45943.55262731481</v>
      </c>
      <c r="C776" s="1" t="n">
        <v>46029</v>
      </c>
      <c r="D776" t="inlineStr">
        <is>
          <t>JÄMTLANDS LÄN</t>
        </is>
      </c>
      <c r="E776" t="inlineStr">
        <is>
          <t>RAGUNDA</t>
        </is>
      </c>
      <c r="F776" t="inlineStr">
        <is>
          <t>Sveaskog</t>
        </is>
      </c>
      <c r="G776" t="n">
        <v>23.2</v>
      </c>
      <c r="H776" t="n">
        <v>0</v>
      </c>
      <c r="I776" t="n">
        <v>0</v>
      </c>
      <c r="J776" t="n">
        <v>0</v>
      </c>
      <c r="K776" t="n">
        <v>0</v>
      </c>
      <c r="L776" t="n">
        <v>0</v>
      </c>
      <c r="M776" t="n">
        <v>0</v>
      </c>
      <c r="N776" t="n">
        <v>0</v>
      </c>
      <c r="O776" t="n">
        <v>0</v>
      </c>
      <c r="P776" t="n">
        <v>0</v>
      </c>
      <c r="Q776" t="n">
        <v>0</v>
      </c>
      <c r="R776" s="2" t="inlineStr"/>
    </row>
    <row r="777" ht="15" customHeight="1">
      <c r="A777" t="inlineStr">
        <is>
          <t>A 35274-2023</t>
        </is>
      </c>
      <c r="B777" s="1" t="n">
        <v>45145</v>
      </c>
      <c r="C777" s="1" t="n">
        <v>46029</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50080-2025</t>
        </is>
      </c>
      <c r="B778" s="1" t="n">
        <v>45943.469375</v>
      </c>
      <c r="C778" s="1" t="n">
        <v>46029</v>
      </c>
      <c r="D778" t="inlineStr">
        <is>
          <t>JÄMTLANDS LÄN</t>
        </is>
      </c>
      <c r="E778" t="inlineStr">
        <is>
          <t>RAGUNDA</t>
        </is>
      </c>
      <c r="F778" t="inlineStr">
        <is>
          <t>Naturvårdsverket</t>
        </is>
      </c>
      <c r="G778" t="n">
        <v>6.1</v>
      </c>
      <c r="H778" t="n">
        <v>0</v>
      </c>
      <c r="I778" t="n">
        <v>0</v>
      </c>
      <c r="J778" t="n">
        <v>0</v>
      </c>
      <c r="K778" t="n">
        <v>0</v>
      </c>
      <c r="L778" t="n">
        <v>0</v>
      </c>
      <c r="M778" t="n">
        <v>0</v>
      </c>
      <c r="N778" t="n">
        <v>0</v>
      </c>
      <c r="O778" t="n">
        <v>0</v>
      </c>
      <c r="P778" t="n">
        <v>0</v>
      </c>
      <c r="Q778" t="n">
        <v>0</v>
      </c>
      <c r="R778" s="2" t="inlineStr"/>
    </row>
    <row r="779" ht="15" customHeight="1">
      <c r="A779" t="inlineStr">
        <is>
          <t>A 50055-2025</t>
        </is>
      </c>
      <c r="B779" s="1" t="n">
        <v>45943.43287037037</v>
      </c>
      <c r="C779" s="1" t="n">
        <v>46029</v>
      </c>
      <c r="D779" t="inlineStr">
        <is>
          <t>JÄMTLANDS LÄN</t>
        </is>
      </c>
      <c r="E779" t="inlineStr">
        <is>
          <t>RAGUNDA</t>
        </is>
      </c>
      <c r="G779" t="n">
        <v>17.6</v>
      </c>
      <c r="H779" t="n">
        <v>0</v>
      </c>
      <c r="I779" t="n">
        <v>0</v>
      </c>
      <c r="J779" t="n">
        <v>0</v>
      </c>
      <c r="K779" t="n">
        <v>0</v>
      </c>
      <c r="L779" t="n">
        <v>0</v>
      </c>
      <c r="M779" t="n">
        <v>0</v>
      </c>
      <c r="N779" t="n">
        <v>0</v>
      </c>
      <c r="O779" t="n">
        <v>0</v>
      </c>
      <c r="P779" t="n">
        <v>0</v>
      </c>
      <c r="Q779" t="n">
        <v>0</v>
      </c>
      <c r="R779" s="2" t="inlineStr"/>
    </row>
    <row r="780" ht="15" customHeight="1">
      <c r="A780" t="inlineStr">
        <is>
          <t>A 33650-2025</t>
        </is>
      </c>
      <c r="B780" s="1" t="n">
        <v>45841</v>
      </c>
      <c r="C780" s="1" t="n">
        <v>46029</v>
      </c>
      <c r="D780" t="inlineStr">
        <is>
          <t>JÄMTLANDS LÄN</t>
        </is>
      </c>
      <c r="E780" t="inlineStr">
        <is>
          <t>RAGUNDA</t>
        </is>
      </c>
      <c r="G780" t="n">
        <v>1.4</v>
      </c>
      <c r="H780" t="n">
        <v>0</v>
      </c>
      <c r="I780" t="n">
        <v>0</v>
      </c>
      <c r="J780" t="n">
        <v>0</v>
      </c>
      <c r="K780" t="n">
        <v>0</v>
      </c>
      <c r="L780" t="n">
        <v>0</v>
      </c>
      <c r="M780" t="n">
        <v>0</v>
      </c>
      <c r="N780" t="n">
        <v>0</v>
      </c>
      <c r="O780" t="n">
        <v>0</v>
      </c>
      <c r="P780" t="n">
        <v>0</v>
      </c>
      <c r="Q780" t="n">
        <v>0</v>
      </c>
      <c r="R780" s="2" t="inlineStr"/>
    </row>
    <row r="781" ht="15" customHeight="1">
      <c r="A781" t="inlineStr">
        <is>
          <t>A 64264-2023</t>
        </is>
      </c>
      <c r="B781" s="1" t="n">
        <v>45279.94564814815</v>
      </c>
      <c r="C781" s="1" t="n">
        <v>46029</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58918-2025</t>
        </is>
      </c>
      <c r="B782" s="1" t="n">
        <v>45987.52952546296</v>
      </c>
      <c r="C782" s="1" t="n">
        <v>46029</v>
      </c>
      <c r="D782" t="inlineStr">
        <is>
          <t>JÄMTLANDS LÄN</t>
        </is>
      </c>
      <c r="E782" t="inlineStr">
        <is>
          <t>RAGUNDA</t>
        </is>
      </c>
      <c r="G782" t="n">
        <v>2</v>
      </c>
      <c r="H782" t="n">
        <v>0</v>
      </c>
      <c r="I782" t="n">
        <v>0</v>
      </c>
      <c r="J782" t="n">
        <v>0</v>
      </c>
      <c r="K782" t="n">
        <v>0</v>
      </c>
      <c r="L782" t="n">
        <v>0</v>
      </c>
      <c r="M782" t="n">
        <v>0</v>
      </c>
      <c r="N782" t="n">
        <v>0</v>
      </c>
      <c r="O782" t="n">
        <v>0</v>
      </c>
      <c r="P782" t="n">
        <v>0</v>
      </c>
      <c r="Q782" t="n">
        <v>0</v>
      </c>
      <c r="R782" s="2" t="inlineStr"/>
    </row>
    <row r="783" ht="15" customHeight="1">
      <c r="A783" t="inlineStr">
        <is>
          <t>A 26347-2023</t>
        </is>
      </c>
      <c r="B783" s="1" t="n">
        <v>45091</v>
      </c>
      <c r="C783" s="1" t="n">
        <v>46029</v>
      </c>
      <c r="D783" t="inlineStr">
        <is>
          <t>JÄMTLANDS LÄN</t>
        </is>
      </c>
      <c r="E783" t="inlineStr">
        <is>
          <t>RAGUNDA</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59214-2025</t>
        </is>
      </c>
      <c r="B784" s="1" t="n">
        <v>45988.61623842592</v>
      </c>
      <c r="C784" s="1" t="n">
        <v>46029</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51538-2022</t>
        </is>
      </c>
      <c r="B785" s="1" t="n">
        <v>44869</v>
      </c>
      <c r="C785" s="1" t="n">
        <v>46029</v>
      </c>
      <c r="D785" t="inlineStr">
        <is>
          <t>JÄMTLANDS LÄN</t>
        </is>
      </c>
      <c r="E785" t="inlineStr">
        <is>
          <t>RAGUNDA</t>
        </is>
      </c>
      <c r="G785" t="n">
        <v>6.8</v>
      </c>
      <c r="H785" t="n">
        <v>0</v>
      </c>
      <c r="I785" t="n">
        <v>0</v>
      </c>
      <c r="J785" t="n">
        <v>0</v>
      </c>
      <c r="K785" t="n">
        <v>0</v>
      </c>
      <c r="L785" t="n">
        <v>0</v>
      </c>
      <c r="M785" t="n">
        <v>0</v>
      </c>
      <c r="N785" t="n">
        <v>0</v>
      </c>
      <c r="O785" t="n">
        <v>0</v>
      </c>
      <c r="P785" t="n">
        <v>0</v>
      </c>
      <c r="Q785" t="n">
        <v>0</v>
      </c>
      <c r="R785" s="2" t="inlineStr"/>
    </row>
    <row r="786" ht="15" customHeight="1">
      <c r="A786" t="inlineStr">
        <is>
          <t>A 59492-2024</t>
        </is>
      </c>
      <c r="B786" s="1" t="n">
        <v>45638</v>
      </c>
      <c r="C786" s="1" t="n">
        <v>46029</v>
      </c>
      <c r="D786" t="inlineStr">
        <is>
          <t>JÄMTLANDS LÄN</t>
        </is>
      </c>
      <c r="E786" t="inlineStr">
        <is>
          <t>RAGUNDA</t>
        </is>
      </c>
      <c r="G786" t="n">
        <v>1.2</v>
      </c>
      <c r="H786" t="n">
        <v>0</v>
      </c>
      <c r="I786" t="n">
        <v>0</v>
      </c>
      <c r="J786" t="n">
        <v>0</v>
      </c>
      <c r="K786" t="n">
        <v>0</v>
      </c>
      <c r="L786" t="n">
        <v>0</v>
      </c>
      <c r="M786" t="n">
        <v>0</v>
      </c>
      <c r="N786" t="n">
        <v>0</v>
      </c>
      <c r="O786" t="n">
        <v>0</v>
      </c>
      <c r="P786" t="n">
        <v>0</v>
      </c>
      <c r="Q786" t="n">
        <v>0</v>
      </c>
      <c r="R786" s="2" t="inlineStr"/>
    </row>
    <row r="787" ht="15" customHeight="1">
      <c r="A787" t="inlineStr">
        <is>
          <t>A 50504-2025</t>
        </is>
      </c>
      <c r="B787" s="1" t="n">
        <v>45945.4284837963</v>
      </c>
      <c r="C787" s="1" t="n">
        <v>46029</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61109-2024</t>
        </is>
      </c>
      <c r="B788" s="1" t="n">
        <v>45645.55672453704</v>
      </c>
      <c r="C788" s="1" t="n">
        <v>46029</v>
      </c>
      <c r="D788" t="inlineStr">
        <is>
          <t>JÄMTLANDS LÄN</t>
        </is>
      </c>
      <c r="E788" t="inlineStr">
        <is>
          <t>RAGUNDA</t>
        </is>
      </c>
      <c r="G788" t="n">
        <v>4</v>
      </c>
      <c r="H788" t="n">
        <v>0</v>
      </c>
      <c r="I788" t="n">
        <v>0</v>
      </c>
      <c r="J788" t="n">
        <v>0</v>
      </c>
      <c r="K788" t="n">
        <v>0</v>
      </c>
      <c r="L788" t="n">
        <v>0</v>
      </c>
      <c r="M788" t="n">
        <v>0</v>
      </c>
      <c r="N788" t="n">
        <v>0</v>
      </c>
      <c r="O788" t="n">
        <v>0</v>
      </c>
      <c r="P788" t="n">
        <v>0</v>
      </c>
      <c r="Q788" t="n">
        <v>0</v>
      </c>
      <c r="R788" s="2" t="inlineStr"/>
    </row>
    <row r="789" ht="15" customHeight="1">
      <c r="A789" t="inlineStr">
        <is>
          <t>A 50473-2025</t>
        </is>
      </c>
      <c r="B789" s="1" t="n">
        <v>45945.36520833334</v>
      </c>
      <c r="C789" s="1" t="n">
        <v>46029</v>
      </c>
      <c r="D789" t="inlineStr">
        <is>
          <t>JÄMTLANDS LÄN</t>
        </is>
      </c>
      <c r="E789" t="inlineStr">
        <is>
          <t>RAGUNDA</t>
        </is>
      </c>
      <c r="F789" t="inlineStr">
        <is>
          <t>SCA</t>
        </is>
      </c>
      <c r="G789" t="n">
        <v>11.2</v>
      </c>
      <c r="H789" t="n">
        <v>0</v>
      </c>
      <c r="I789" t="n">
        <v>0</v>
      </c>
      <c r="J789" t="n">
        <v>0</v>
      </c>
      <c r="K789" t="n">
        <v>0</v>
      </c>
      <c r="L789" t="n">
        <v>0</v>
      </c>
      <c r="M789" t="n">
        <v>0</v>
      </c>
      <c r="N789" t="n">
        <v>0</v>
      </c>
      <c r="O789" t="n">
        <v>0</v>
      </c>
      <c r="P789" t="n">
        <v>0</v>
      </c>
      <c r="Q789" t="n">
        <v>0</v>
      </c>
      <c r="R789" s="2" t="inlineStr"/>
    </row>
    <row r="790" ht="15" customHeight="1">
      <c r="A790" t="inlineStr">
        <is>
          <t>A 27373-2023</t>
        </is>
      </c>
      <c r="B790" s="1" t="n">
        <v>45096.93866898148</v>
      </c>
      <c r="C790" s="1" t="n">
        <v>46029</v>
      </c>
      <c r="D790" t="inlineStr">
        <is>
          <t>JÄMTLANDS LÄN</t>
        </is>
      </c>
      <c r="E790" t="inlineStr">
        <is>
          <t>RAGUNDA</t>
        </is>
      </c>
      <c r="F790" t="inlineStr">
        <is>
          <t>SCA</t>
        </is>
      </c>
      <c r="G790" t="n">
        <v>6.9</v>
      </c>
      <c r="H790" t="n">
        <v>0</v>
      </c>
      <c r="I790" t="n">
        <v>0</v>
      </c>
      <c r="J790" t="n">
        <v>0</v>
      </c>
      <c r="K790" t="n">
        <v>0</v>
      </c>
      <c r="L790" t="n">
        <v>0</v>
      </c>
      <c r="M790" t="n">
        <v>0</v>
      </c>
      <c r="N790" t="n">
        <v>0</v>
      </c>
      <c r="O790" t="n">
        <v>0</v>
      </c>
      <c r="P790" t="n">
        <v>0</v>
      </c>
      <c r="Q790" t="n">
        <v>0</v>
      </c>
      <c r="R790" s="2" t="inlineStr"/>
    </row>
    <row r="791" ht="15" customHeight="1">
      <c r="A791" t="inlineStr">
        <is>
          <t>A 50503-2025</t>
        </is>
      </c>
      <c r="B791" s="1" t="n">
        <v>45945.42746527777</v>
      </c>
      <c r="C791" s="1" t="n">
        <v>46029</v>
      </c>
      <c r="D791" t="inlineStr">
        <is>
          <t>JÄMTLANDS LÄN</t>
        </is>
      </c>
      <c r="E791" t="inlineStr">
        <is>
          <t>RAGUNDA</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16321-2025</t>
        </is>
      </c>
      <c r="B792" s="1" t="n">
        <v>45751.34873842593</v>
      </c>
      <c r="C792" s="1" t="n">
        <v>46029</v>
      </c>
      <c r="D792" t="inlineStr">
        <is>
          <t>JÄMTLANDS LÄN</t>
        </is>
      </c>
      <c r="E792" t="inlineStr">
        <is>
          <t>RAGUNDA</t>
        </is>
      </c>
      <c r="F792" t="inlineStr">
        <is>
          <t>SCA</t>
        </is>
      </c>
      <c r="G792" t="n">
        <v>63.3</v>
      </c>
      <c r="H792" t="n">
        <v>0</v>
      </c>
      <c r="I792" t="n">
        <v>0</v>
      </c>
      <c r="J792" t="n">
        <v>0</v>
      </c>
      <c r="K792" t="n">
        <v>0</v>
      </c>
      <c r="L792" t="n">
        <v>0</v>
      </c>
      <c r="M792" t="n">
        <v>0</v>
      </c>
      <c r="N792" t="n">
        <v>0</v>
      </c>
      <c r="O792" t="n">
        <v>0</v>
      </c>
      <c r="P792" t="n">
        <v>0</v>
      </c>
      <c r="Q792" t="n">
        <v>0</v>
      </c>
      <c r="R792" s="2" t="inlineStr"/>
    </row>
    <row r="793" ht="15" customHeight="1">
      <c r="A793" t="inlineStr">
        <is>
          <t>A 55904-2022</t>
        </is>
      </c>
      <c r="B793" s="1" t="n">
        <v>44888</v>
      </c>
      <c r="C793" s="1" t="n">
        <v>46029</v>
      </c>
      <c r="D793" t="inlineStr">
        <is>
          <t>JÄMTLANDS LÄN</t>
        </is>
      </c>
      <c r="E793" t="inlineStr">
        <is>
          <t>RAGUNDA</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50719-2025</t>
        </is>
      </c>
      <c r="B794" s="1" t="n">
        <v>45946.34642361111</v>
      </c>
      <c r="C794" s="1" t="n">
        <v>46029</v>
      </c>
      <c r="D794" t="inlineStr">
        <is>
          <t>JÄMTLANDS LÄN</t>
        </is>
      </c>
      <c r="E794" t="inlineStr">
        <is>
          <t>RAGUNDA</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19854-2025</t>
        </is>
      </c>
      <c r="B795" s="1" t="n">
        <v>45771.51074074074</v>
      </c>
      <c r="C795" s="1" t="n">
        <v>46029</v>
      </c>
      <c r="D795" t="inlineStr">
        <is>
          <t>JÄMTLANDS LÄN</t>
        </is>
      </c>
      <c r="E795" t="inlineStr">
        <is>
          <t>RAGUNDA</t>
        </is>
      </c>
      <c r="F795" t="inlineStr">
        <is>
          <t>SCA</t>
        </is>
      </c>
      <c r="G795" t="n">
        <v>8.4</v>
      </c>
      <c r="H795" t="n">
        <v>0</v>
      </c>
      <c r="I795" t="n">
        <v>0</v>
      </c>
      <c r="J795" t="n">
        <v>0</v>
      </c>
      <c r="K795" t="n">
        <v>0</v>
      </c>
      <c r="L795" t="n">
        <v>0</v>
      </c>
      <c r="M795" t="n">
        <v>0</v>
      </c>
      <c r="N795" t="n">
        <v>0</v>
      </c>
      <c r="O795" t="n">
        <v>0</v>
      </c>
      <c r="P795" t="n">
        <v>0</v>
      </c>
      <c r="Q795" t="n">
        <v>0</v>
      </c>
      <c r="R795" s="2" t="inlineStr"/>
    </row>
    <row r="796" ht="15" customHeight="1">
      <c r="A796" t="inlineStr">
        <is>
          <t>A 6688-2024</t>
        </is>
      </c>
      <c r="B796" s="1" t="n">
        <v>45341</v>
      </c>
      <c r="C796" s="1" t="n">
        <v>46029</v>
      </c>
      <c r="D796" t="inlineStr">
        <is>
          <t>JÄMTLANDS LÄN</t>
        </is>
      </c>
      <c r="E796" t="inlineStr">
        <is>
          <t>RAGUNDA</t>
        </is>
      </c>
      <c r="G796" t="n">
        <v>2</v>
      </c>
      <c r="H796" t="n">
        <v>0</v>
      </c>
      <c r="I796" t="n">
        <v>0</v>
      </c>
      <c r="J796" t="n">
        <v>0</v>
      </c>
      <c r="K796" t="n">
        <v>0</v>
      </c>
      <c r="L796" t="n">
        <v>0</v>
      </c>
      <c r="M796" t="n">
        <v>0</v>
      </c>
      <c r="N796" t="n">
        <v>0</v>
      </c>
      <c r="O796" t="n">
        <v>0</v>
      </c>
      <c r="P796" t="n">
        <v>0</v>
      </c>
      <c r="Q796" t="n">
        <v>0</v>
      </c>
      <c r="R796" s="2" t="inlineStr"/>
    </row>
    <row r="797" ht="15" customHeight="1">
      <c r="A797" t="inlineStr">
        <is>
          <t>A 30642-2024</t>
        </is>
      </c>
      <c r="B797" s="1" t="n">
        <v>45495.57677083334</v>
      </c>
      <c r="C797" s="1" t="n">
        <v>46029</v>
      </c>
      <c r="D797" t="inlineStr">
        <is>
          <t>JÄMTLANDS LÄN</t>
        </is>
      </c>
      <c r="E797" t="inlineStr">
        <is>
          <t>RAGUNDA</t>
        </is>
      </c>
      <c r="G797" t="n">
        <v>2.7</v>
      </c>
      <c r="H797" t="n">
        <v>0</v>
      </c>
      <c r="I797" t="n">
        <v>0</v>
      </c>
      <c r="J797" t="n">
        <v>0</v>
      </c>
      <c r="K797" t="n">
        <v>0</v>
      </c>
      <c r="L797" t="n">
        <v>0</v>
      </c>
      <c r="M797" t="n">
        <v>0</v>
      </c>
      <c r="N797" t="n">
        <v>0</v>
      </c>
      <c r="O797" t="n">
        <v>0</v>
      </c>
      <c r="P797" t="n">
        <v>0</v>
      </c>
      <c r="Q797" t="n">
        <v>0</v>
      </c>
      <c r="R797" s="2" t="inlineStr"/>
    </row>
    <row r="798" ht="15" customHeight="1">
      <c r="A798" t="inlineStr">
        <is>
          <t>A 50711-2025</t>
        </is>
      </c>
      <c r="B798" s="1" t="n">
        <v>45946.34431712963</v>
      </c>
      <c r="C798" s="1" t="n">
        <v>46029</v>
      </c>
      <c r="D798" t="inlineStr">
        <is>
          <t>JÄMTLANDS LÄN</t>
        </is>
      </c>
      <c r="E798" t="inlineStr">
        <is>
          <t>RAGUNDA</t>
        </is>
      </c>
      <c r="F798" t="inlineStr">
        <is>
          <t>SCA</t>
        </is>
      </c>
      <c r="G798" t="n">
        <v>8</v>
      </c>
      <c r="H798" t="n">
        <v>0</v>
      </c>
      <c r="I798" t="n">
        <v>0</v>
      </c>
      <c r="J798" t="n">
        <v>0</v>
      </c>
      <c r="K798" t="n">
        <v>0</v>
      </c>
      <c r="L798" t="n">
        <v>0</v>
      </c>
      <c r="M798" t="n">
        <v>0</v>
      </c>
      <c r="N798" t="n">
        <v>0</v>
      </c>
      <c r="O798" t="n">
        <v>0</v>
      </c>
      <c r="P798" t="n">
        <v>0</v>
      </c>
      <c r="Q798" t="n">
        <v>0</v>
      </c>
      <c r="R798" s="2" t="inlineStr"/>
    </row>
    <row r="799" ht="15" customHeight="1">
      <c r="A799" t="inlineStr">
        <is>
          <t>A 50716-2025</t>
        </is>
      </c>
      <c r="B799" s="1" t="n">
        <v>45946.34572916666</v>
      </c>
      <c r="C799" s="1" t="n">
        <v>46029</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51395-2025</t>
        </is>
      </c>
      <c r="B800" s="1" t="n">
        <v>45950.46989583333</v>
      </c>
      <c r="C800" s="1" t="n">
        <v>46029</v>
      </c>
      <c r="D800" t="inlineStr">
        <is>
          <t>JÄMTLANDS LÄN</t>
        </is>
      </c>
      <c r="E800" t="inlineStr">
        <is>
          <t>RAGUNDA</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50985-2025</t>
        </is>
      </c>
      <c r="B801" s="1" t="n">
        <v>45947.34506944445</v>
      </c>
      <c r="C801" s="1" t="n">
        <v>46029</v>
      </c>
      <c r="D801" t="inlineStr">
        <is>
          <t>JÄMTLANDS LÄN</t>
        </is>
      </c>
      <c r="E801" t="inlineStr">
        <is>
          <t>RAGUNDA</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16635-2025</t>
        </is>
      </c>
      <c r="B802" s="1" t="n">
        <v>45754</v>
      </c>
      <c r="C802" s="1" t="n">
        <v>46029</v>
      </c>
      <c r="D802" t="inlineStr">
        <is>
          <t>JÄMTLANDS LÄN</t>
        </is>
      </c>
      <c r="E802" t="inlineStr">
        <is>
          <t>RAGUNDA</t>
        </is>
      </c>
      <c r="F802" t="inlineStr">
        <is>
          <t>SCA</t>
        </is>
      </c>
      <c r="G802" t="n">
        <v>55.4</v>
      </c>
      <c r="H802" t="n">
        <v>0</v>
      </c>
      <c r="I802" t="n">
        <v>0</v>
      </c>
      <c r="J802" t="n">
        <v>0</v>
      </c>
      <c r="K802" t="n">
        <v>0</v>
      </c>
      <c r="L802" t="n">
        <v>0</v>
      </c>
      <c r="M802" t="n">
        <v>0</v>
      </c>
      <c r="N802" t="n">
        <v>0</v>
      </c>
      <c r="O802" t="n">
        <v>0</v>
      </c>
      <c r="P802" t="n">
        <v>0</v>
      </c>
      <c r="Q802" t="n">
        <v>0</v>
      </c>
      <c r="R802" s="2" t="inlineStr"/>
    </row>
    <row r="803" ht="15" customHeight="1">
      <c r="A803" t="inlineStr">
        <is>
          <t>A 51034-2025</t>
        </is>
      </c>
      <c r="B803" s="1" t="n">
        <v>45947.40670138889</v>
      </c>
      <c r="C803" s="1" t="n">
        <v>46029</v>
      </c>
      <c r="D803" t="inlineStr">
        <is>
          <t>JÄMTLANDS LÄN</t>
        </is>
      </c>
      <c r="E803" t="inlineStr">
        <is>
          <t>RAGUNDA</t>
        </is>
      </c>
      <c r="F803" t="inlineStr">
        <is>
          <t>SCA</t>
        </is>
      </c>
      <c r="G803" t="n">
        <v>44.1</v>
      </c>
      <c r="H803" t="n">
        <v>0</v>
      </c>
      <c r="I803" t="n">
        <v>0</v>
      </c>
      <c r="J803" t="n">
        <v>0</v>
      </c>
      <c r="K803" t="n">
        <v>0</v>
      </c>
      <c r="L803" t="n">
        <v>0</v>
      </c>
      <c r="M803" t="n">
        <v>0</v>
      </c>
      <c r="N803" t="n">
        <v>0</v>
      </c>
      <c r="O803" t="n">
        <v>0</v>
      </c>
      <c r="P803" t="n">
        <v>0</v>
      </c>
      <c r="Q803" t="n">
        <v>0</v>
      </c>
      <c r="R803" s="2" t="inlineStr"/>
    </row>
    <row r="804" ht="15" customHeight="1">
      <c r="A804" t="inlineStr">
        <is>
          <t>A 59503-2025</t>
        </is>
      </c>
      <c r="B804" s="1" t="n">
        <v>45989.62703703704</v>
      </c>
      <c r="C804" s="1" t="n">
        <v>46029</v>
      </c>
      <c r="D804" t="inlineStr">
        <is>
          <t>JÄMTLANDS LÄN</t>
        </is>
      </c>
      <c r="E804" t="inlineStr">
        <is>
          <t>RAGUNDA</t>
        </is>
      </c>
      <c r="G804" t="n">
        <v>0.6</v>
      </c>
      <c r="H804" t="n">
        <v>0</v>
      </c>
      <c r="I804" t="n">
        <v>0</v>
      </c>
      <c r="J804" t="n">
        <v>0</v>
      </c>
      <c r="K804" t="n">
        <v>0</v>
      </c>
      <c r="L804" t="n">
        <v>0</v>
      </c>
      <c r="M804" t="n">
        <v>0</v>
      </c>
      <c r="N804" t="n">
        <v>0</v>
      </c>
      <c r="O804" t="n">
        <v>0</v>
      </c>
      <c r="P804" t="n">
        <v>0</v>
      </c>
      <c r="Q804" t="n">
        <v>0</v>
      </c>
      <c r="R804" s="2" t="inlineStr"/>
    </row>
    <row r="805" ht="15" customHeight="1">
      <c r="A805" t="inlineStr">
        <is>
          <t>A 37479-2023</t>
        </is>
      </c>
      <c r="B805" s="1" t="n">
        <v>45156</v>
      </c>
      <c r="C805" s="1" t="n">
        <v>46029</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51019-2025</t>
        </is>
      </c>
      <c r="B806" s="1" t="n">
        <v>45947.38623842593</v>
      </c>
      <c r="C806" s="1" t="n">
        <v>46029</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51394-2025</t>
        </is>
      </c>
      <c r="B807" s="1" t="n">
        <v>45950.46972222222</v>
      </c>
      <c r="C807" s="1" t="n">
        <v>46029</v>
      </c>
      <c r="D807" t="inlineStr">
        <is>
          <t>JÄMTLANDS LÄN</t>
        </is>
      </c>
      <c r="E807" t="inlineStr">
        <is>
          <t>RAGUNDA</t>
        </is>
      </c>
      <c r="F807" t="inlineStr">
        <is>
          <t>SCA</t>
        </is>
      </c>
      <c r="G807" t="n">
        <v>36.5</v>
      </c>
      <c r="H807" t="n">
        <v>0</v>
      </c>
      <c r="I807" t="n">
        <v>0</v>
      </c>
      <c r="J807" t="n">
        <v>0</v>
      </c>
      <c r="K807" t="n">
        <v>0</v>
      </c>
      <c r="L807" t="n">
        <v>0</v>
      </c>
      <c r="M807" t="n">
        <v>0</v>
      </c>
      <c r="N807" t="n">
        <v>0</v>
      </c>
      <c r="O807" t="n">
        <v>0</v>
      </c>
      <c r="P807" t="n">
        <v>0</v>
      </c>
      <c r="Q807" t="n">
        <v>0</v>
      </c>
      <c r="R807" s="2" t="inlineStr"/>
    </row>
    <row r="808" ht="15" customHeight="1">
      <c r="A808" t="inlineStr">
        <is>
          <t>A 59740-2025</t>
        </is>
      </c>
      <c r="B808" s="1" t="n">
        <v>45992.5743287037</v>
      </c>
      <c r="C808" s="1" t="n">
        <v>46029</v>
      </c>
      <c r="D808" t="inlineStr">
        <is>
          <t>JÄMTLANDS LÄN</t>
        </is>
      </c>
      <c r="E808" t="inlineStr">
        <is>
          <t>RAGUNDA</t>
        </is>
      </c>
      <c r="F808" t="inlineStr">
        <is>
          <t>SCA</t>
        </is>
      </c>
      <c r="G808" t="n">
        <v>14.1</v>
      </c>
      <c r="H808" t="n">
        <v>0</v>
      </c>
      <c r="I808" t="n">
        <v>0</v>
      </c>
      <c r="J808" t="n">
        <v>0</v>
      </c>
      <c r="K808" t="n">
        <v>0</v>
      </c>
      <c r="L808" t="n">
        <v>0</v>
      </c>
      <c r="M808" t="n">
        <v>0</v>
      </c>
      <c r="N808" t="n">
        <v>0</v>
      </c>
      <c r="O808" t="n">
        <v>0</v>
      </c>
      <c r="P808" t="n">
        <v>0</v>
      </c>
      <c r="Q808" t="n">
        <v>0</v>
      </c>
      <c r="R808" s="2" t="inlineStr"/>
    </row>
    <row r="809" ht="15" customHeight="1">
      <c r="A809" t="inlineStr">
        <is>
          <t>A 51484-2025</t>
        </is>
      </c>
      <c r="B809" s="1" t="n">
        <v>45950.62196759259</v>
      </c>
      <c r="C809" s="1" t="n">
        <v>46029</v>
      </c>
      <c r="D809" t="inlineStr">
        <is>
          <t>JÄMTLANDS LÄN</t>
        </is>
      </c>
      <c r="E809" t="inlineStr">
        <is>
          <t>RAGUNDA</t>
        </is>
      </c>
      <c r="F809" t="inlineStr">
        <is>
          <t>SCA</t>
        </is>
      </c>
      <c r="G809" t="n">
        <v>23.1</v>
      </c>
      <c r="H809" t="n">
        <v>0</v>
      </c>
      <c r="I809" t="n">
        <v>0</v>
      </c>
      <c r="J809" t="n">
        <v>0</v>
      </c>
      <c r="K809" t="n">
        <v>0</v>
      </c>
      <c r="L809" t="n">
        <v>0</v>
      </c>
      <c r="M809" t="n">
        <v>0</v>
      </c>
      <c r="N809" t="n">
        <v>0</v>
      </c>
      <c r="O809" t="n">
        <v>0</v>
      </c>
      <c r="P809" t="n">
        <v>0</v>
      </c>
      <c r="Q809" t="n">
        <v>0</v>
      </c>
      <c r="R809" s="2" t="inlineStr"/>
    </row>
    <row r="810" ht="15" customHeight="1">
      <c r="A810" t="inlineStr">
        <is>
          <t>A 51491-2025</t>
        </is>
      </c>
      <c r="B810" s="1" t="n">
        <v>45950.63362268519</v>
      </c>
      <c r="C810" s="1" t="n">
        <v>46029</v>
      </c>
      <c r="D810" t="inlineStr">
        <is>
          <t>JÄMTLANDS LÄN</t>
        </is>
      </c>
      <c r="E810" t="inlineStr">
        <is>
          <t>RAGUNDA</t>
        </is>
      </c>
      <c r="G810" t="n">
        <v>1.1</v>
      </c>
      <c r="H810" t="n">
        <v>0</v>
      </c>
      <c r="I810" t="n">
        <v>0</v>
      </c>
      <c r="J810" t="n">
        <v>0</v>
      </c>
      <c r="K810" t="n">
        <v>0</v>
      </c>
      <c r="L810" t="n">
        <v>0</v>
      </c>
      <c r="M810" t="n">
        <v>0</v>
      </c>
      <c r="N810" t="n">
        <v>0</v>
      </c>
      <c r="O810" t="n">
        <v>0</v>
      </c>
      <c r="P810" t="n">
        <v>0</v>
      </c>
      <c r="Q810" t="n">
        <v>0</v>
      </c>
      <c r="R810" s="2" t="inlineStr"/>
    </row>
    <row r="811" ht="15" customHeight="1">
      <c r="A811" t="inlineStr">
        <is>
          <t>A 41772-2024</t>
        </is>
      </c>
      <c r="B811" s="1" t="n">
        <v>45561.34663194444</v>
      </c>
      <c r="C811" s="1" t="n">
        <v>46029</v>
      </c>
      <c r="D811" t="inlineStr">
        <is>
          <t>JÄMTLANDS LÄN</t>
        </is>
      </c>
      <c r="E811" t="inlineStr">
        <is>
          <t>RAGUNDA</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59491-2025</t>
        </is>
      </c>
      <c r="B812" s="1" t="n">
        <v>45989.60376157407</v>
      </c>
      <c r="C812" s="1" t="n">
        <v>46029</v>
      </c>
      <c r="D812" t="inlineStr">
        <is>
          <t>JÄMTLANDS LÄN</t>
        </is>
      </c>
      <c r="E812" t="inlineStr">
        <is>
          <t>RAGUNDA</t>
        </is>
      </c>
      <c r="G812" t="n">
        <v>0.9</v>
      </c>
      <c r="H812" t="n">
        <v>0</v>
      </c>
      <c r="I812" t="n">
        <v>0</v>
      </c>
      <c r="J812" t="n">
        <v>0</v>
      </c>
      <c r="K812" t="n">
        <v>0</v>
      </c>
      <c r="L812" t="n">
        <v>0</v>
      </c>
      <c r="M812" t="n">
        <v>0</v>
      </c>
      <c r="N812" t="n">
        <v>0</v>
      </c>
      <c r="O812" t="n">
        <v>0</v>
      </c>
      <c r="P812" t="n">
        <v>0</v>
      </c>
      <c r="Q812" t="n">
        <v>0</v>
      </c>
      <c r="R812" s="2" t="inlineStr"/>
    </row>
    <row r="813" ht="15" customHeight="1">
      <c r="A813" t="inlineStr">
        <is>
          <t>A 59499-2025</t>
        </is>
      </c>
      <c r="B813" s="1" t="n">
        <v>45989.61846064815</v>
      </c>
      <c r="C813" s="1" t="n">
        <v>46029</v>
      </c>
      <c r="D813" t="inlineStr">
        <is>
          <t>JÄMTLANDS LÄN</t>
        </is>
      </c>
      <c r="E813" t="inlineStr">
        <is>
          <t>RAGUNDA</t>
        </is>
      </c>
      <c r="G813" t="n">
        <v>2</v>
      </c>
      <c r="H813" t="n">
        <v>0</v>
      </c>
      <c r="I813" t="n">
        <v>0</v>
      </c>
      <c r="J813" t="n">
        <v>0</v>
      </c>
      <c r="K813" t="n">
        <v>0</v>
      </c>
      <c r="L813" t="n">
        <v>0</v>
      </c>
      <c r="M813" t="n">
        <v>0</v>
      </c>
      <c r="N813" t="n">
        <v>0</v>
      </c>
      <c r="O813" t="n">
        <v>0</v>
      </c>
      <c r="P813" t="n">
        <v>0</v>
      </c>
      <c r="Q813" t="n">
        <v>0</v>
      </c>
      <c r="R813" s="2" t="inlineStr"/>
    </row>
    <row r="814" ht="15" customHeight="1">
      <c r="A814" t="inlineStr">
        <is>
          <t>A 12660-2024</t>
        </is>
      </c>
      <c r="B814" s="1" t="n">
        <v>45384</v>
      </c>
      <c r="C814" s="1" t="n">
        <v>46029</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59738-2025</t>
        </is>
      </c>
      <c r="B815" s="1" t="n">
        <v>45992.57408564815</v>
      </c>
      <c r="C815" s="1" t="n">
        <v>46029</v>
      </c>
      <c r="D815" t="inlineStr">
        <is>
          <t>JÄMTLANDS LÄN</t>
        </is>
      </c>
      <c r="E815" t="inlineStr">
        <is>
          <t>RAGUNDA</t>
        </is>
      </c>
      <c r="F815" t="inlineStr">
        <is>
          <t>SCA</t>
        </is>
      </c>
      <c r="G815" t="n">
        <v>12.5</v>
      </c>
      <c r="H815" t="n">
        <v>0</v>
      </c>
      <c r="I815" t="n">
        <v>0</v>
      </c>
      <c r="J815" t="n">
        <v>0</v>
      </c>
      <c r="K815" t="n">
        <v>0</v>
      </c>
      <c r="L815" t="n">
        <v>0</v>
      </c>
      <c r="M815" t="n">
        <v>0</v>
      </c>
      <c r="N815" t="n">
        <v>0</v>
      </c>
      <c r="O815" t="n">
        <v>0</v>
      </c>
      <c r="P815" t="n">
        <v>0</v>
      </c>
      <c r="Q815" t="n">
        <v>0</v>
      </c>
      <c r="R815" s="2" t="inlineStr"/>
    </row>
    <row r="816" ht="15" customHeight="1">
      <c r="A816" t="inlineStr">
        <is>
          <t>A 25332-2023</t>
        </is>
      </c>
      <c r="B816" s="1" t="n">
        <v>45086.94010416666</v>
      </c>
      <c r="C816" s="1" t="n">
        <v>46029</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59739-2025</t>
        </is>
      </c>
      <c r="B817" s="1" t="n">
        <v>45992.57417824074</v>
      </c>
      <c r="C817" s="1" t="n">
        <v>46029</v>
      </c>
      <c r="D817" t="inlineStr">
        <is>
          <t>JÄMTLANDS LÄN</t>
        </is>
      </c>
      <c r="E817" t="inlineStr">
        <is>
          <t>RAGUNDA</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33615-2023</t>
        </is>
      </c>
      <c r="B818" s="1" t="n">
        <v>45119</v>
      </c>
      <c r="C818" s="1" t="n">
        <v>46029</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43132-2023</t>
        </is>
      </c>
      <c r="B819" s="1" t="n">
        <v>45182</v>
      </c>
      <c r="C819" s="1" t="n">
        <v>46029</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59692-2025</t>
        </is>
      </c>
      <c r="B820" s="1" t="n">
        <v>45992.49001157407</v>
      </c>
      <c r="C820" s="1" t="n">
        <v>46029</v>
      </c>
      <c r="D820" t="inlineStr">
        <is>
          <t>JÄMTLANDS LÄN</t>
        </is>
      </c>
      <c r="E820" t="inlineStr">
        <is>
          <t>RAGUNDA</t>
        </is>
      </c>
      <c r="G820" t="n">
        <v>2.7</v>
      </c>
      <c r="H820" t="n">
        <v>0</v>
      </c>
      <c r="I820" t="n">
        <v>0</v>
      </c>
      <c r="J820" t="n">
        <v>0</v>
      </c>
      <c r="K820" t="n">
        <v>0</v>
      </c>
      <c r="L820" t="n">
        <v>0</v>
      </c>
      <c r="M820" t="n">
        <v>0</v>
      </c>
      <c r="N820" t="n">
        <v>0</v>
      </c>
      <c r="O820" t="n">
        <v>0</v>
      </c>
      <c r="P820" t="n">
        <v>0</v>
      </c>
      <c r="Q820" t="n">
        <v>0</v>
      </c>
      <c r="R820" s="2" t="inlineStr"/>
    </row>
    <row r="821" ht="15" customHeight="1">
      <c r="A821" t="inlineStr">
        <is>
          <t>A 59693-2025</t>
        </is>
      </c>
      <c r="B821" s="1" t="n">
        <v>45992.49009259259</v>
      </c>
      <c r="C821" s="1" t="n">
        <v>46029</v>
      </c>
      <c r="D821" t="inlineStr">
        <is>
          <t>JÄMTLANDS LÄN</t>
        </is>
      </c>
      <c r="E821" t="inlineStr">
        <is>
          <t>RAGUNDA</t>
        </is>
      </c>
      <c r="G821" t="n">
        <v>0.7</v>
      </c>
      <c r="H821" t="n">
        <v>0</v>
      </c>
      <c r="I821" t="n">
        <v>0</v>
      </c>
      <c r="J821" t="n">
        <v>0</v>
      </c>
      <c r="K821" t="n">
        <v>0</v>
      </c>
      <c r="L821" t="n">
        <v>0</v>
      </c>
      <c r="M821" t="n">
        <v>0</v>
      </c>
      <c r="N821" t="n">
        <v>0</v>
      </c>
      <c r="O821" t="n">
        <v>0</v>
      </c>
      <c r="P821" t="n">
        <v>0</v>
      </c>
      <c r="Q821" t="n">
        <v>0</v>
      </c>
      <c r="R821" s="2" t="inlineStr"/>
    </row>
    <row r="822" ht="15" customHeight="1">
      <c r="A822" t="inlineStr">
        <is>
          <t>A 8654-2024</t>
        </is>
      </c>
      <c r="B822" s="1" t="n">
        <v>45356.03784722222</v>
      </c>
      <c r="C822" s="1" t="n">
        <v>46029</v>
      </c>
      <c r="D822" t="inlineStr">
        <is>
          <t>JÄMTLANDS LÄN</t>
        </is>
      </c>
      <c r="E822" t="inlineStr">
        <is>
          <t>RAGUNDA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9325-2024</t>
        </is>
      </c>
      <c r="B823" s="1" t="n">
        <v>45358.95813657407</v>
      </c>
      <c r="C823" s="1" t="n">
        <v>46029</v>
      </c>
      <c r="D823" t="inlineStr">
        <is>
          <t>JÄMTLANDS LÄN</t>
        </is>
      </c>
      <c r="E823" t="inlineStr">
        <is>
          <t>RAGUNDA</t>
        </is>
      </c>
      <c r="G823" t="n">
        <v>3.1</v>
      </c>
      <c r="H823" t="n">
        <v>0</v>
      </c>
      <c r="I823" t="n">
        <v>0</v>
      </c>
      <c r="J823" t="n">
        <v>0</v>
      </c>
      <c r="K823" t="n">
        <v>0</v>
      </c>
      <c r="L823" t="n">
        <v>0</v>
      </c>
      <c r="M823" t="n">
        <v>0</v>
      </c>
      <c r="N823" t="n">
        <v>0</v>
      </c>
      <c r="O823" t="n">
        <v>0</v>
      </c>
      <c r="P823" t="n">
        <v>0</v>
      </c>
      <c r="Q823" t="n">
        <v>0</v>
      </c>
      <c r="R823" s="2" t="inlineStr"/>
    </row>
    <row r="824" ht="15" customHeight="1">
      <c r="A824" t="inlineStr">
        <is>
          <t>A 4348-2023</t>
        </is>
      </c>
      <c r="B824" s="1" t="n">
        <v>44953</v>
      </c>
      <c r="C824" s="1" t="n">
        <v>46029</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8678-2023</t>
        </is>
      </c>
      <c r="B825" s="1" t="n">
        <v>44977.98660879629</v>
      </c>
      <c r="C825" s="1" t="n">
        <v>46029</v>
      </c>
      <c r="D825" t="inlineStr">
        <is>
          <t>JÄMTLANDS LÄN</t>
        </is>
      </c>
      <c r="E825" t="inlineStr">
        <is>
          <t>RAGUNDA</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51702-2025</t>
        </is>
      </c>
      <c r="B826" s="1" t="n">
        <v>45951.55305555555</v>
      </c>
      <c r="C826" s="1" t="n">
        <v>46029</v>
      </c>
      <c r="D826" t="inlineStr">
        <is>
          <t>JÄMTLANDS LÄN</t>
        </is>
      </c>
      <c r="E826" t="inlineStr">
        <is>
          <t>RAGUNDA</t>
        </is>
      </c>
      <c r="G826" t="n">
        <v>11.4</v>
      </c>
      <c r="H826" t="n">
        <v>0</v>
      </c>
      <c r="I826" t="n">
        <v>0</v>
      </c>
      <c r="J826" t="n">
        <v>0</v>
      </c>
      <c r="K826" t="n">
        <v>0</v>
      </c>
      <c r="L826" t="n">
        <v>0</v>
      </c>
      <c r="M826" t="n">
        <v>0</v>
      </c>
      <c r="N826" t="n">
        <v>0</v>
      </c>
      <c r="O826" t="n">
        <v>0</v>
      </c>
      <c r="P826" t="n">
        <v>0</v>
      </c>
      <c r="Q826" t="n">
        <v>0</v>
      </c>
      <c r="R826" s="2" t="inlineStr"/>
    </row>
    <row r="827" ht="15" customHeight="1">
      <c r="A827" t="inlineStr">
        <is>
          <t>A 29766-2023</t>
        </is>
      </c>
      <c r="B827" s="1" t="n">
        <v>45098</v>
      </c>
      <c r="C827" s="1" t="n">
        <v>46029</v>
      </c>
      <c r="D827" t="inlineStr">
        <is>
          <t>JÄMTLANDS LÄN</t>
        </is>
      </c>
      <c r="E827" t="inlineStr">
        <is>
          <t>RAGUNDA</t>
        </is>
      </c>
      <c r="G827" t="n">
        <v>2.7</v>
      </c>
      <c r="H827" t="n">
        <v>0</v>
      </c>
      <c r="I827" t="n">
        <v>0</v>
      </c>
      <c r="J827" t="n">
        <v>0</v>
      </c>
      <c r="K827" t="n">
        <v>0</v>
      </c>
      <c r="L827" t="n">
        <v>0</v>
      </c>
      <c r="M827" t="n">
        <v>0</v>
      </c>
      <c r="N827" t="n">
        <v>0</v>
      </c>
      <c r="O827" t="n">
        <v>0</v>
      </c>
      <c r="P827" t="n">
        <v>0</v>
      </c>
      <c r="Q827" t="n">
        <v>0</v>
      </c>
      <c r="R827" s="2" t="inlineStr"/>
    </row>
    <row r="828" ht="15" customHeight="1">
      <c r="A828" t="inlineStr">
        <is>
          <t>A 60307-2025</t>
        </is>
      </c>
      <c r="B828" s="1" t="n">
        <v>45994.6842824074</v>
      </c>
      <c r="C828" s="1" t="n">
        <v>46029</v>
      </c>
      <c r="D828" t="inlineStr">
        <is>
          <t>JÄMTLANDS LÄN</t>
        </is>
      </c>
      <c r="E828" t="inlineStr">
        <is>
          <t>RAGUNDA</t>
        </is>
      </c>
      <c r="G828" t="n">
        <v>4</v>
      </c>
      <c r="H828" t="n">
        <v>0</v>
      </c>
      <c r="I828" t="n">
        <v>0</v>
      </c>
      <c r="J828" t="n">
        <v>0</v>
      </c>
      <c r="K828" t="n">
        <v>0</v>
      </c>
      <c r="L828" t="n">
        <v>0</v>
      </c>
      <c r="M828" t="n">
        <v>0</v>
      </c>
      <c r="N828" t="n">
        <v>0</v>
      </c>
      <c r="O828" t="n">
        <v>0</v>
      </c>
      <c r="P828" t="n">
        <v>0</v>
      </c>
      <c r="Q828" t="n">
        <v>0</v>
      </c>
      <c r="R828" s="2" t="inlineStr"/>
    </row>
    <row r="829" ht="15" customHeight="1">
      <c r="A829" t="inlineStr">
        <is>
          <t>A 60130-2025</t>
        </is>
      </c>
      <c r="B829" s="1" t="n">
        <v>45994.34467592592</v>
      </c>
      <c r="C829" s="1" t="n">
        <v>46029</v>
      </c>
      <c r="D829" t="inlineStr">
        <is>
          <t>JÄMTLANDS LÄN</t>
        </is>
      </c>
      <c r="E829" t="inlineStr">
        <is>
          <t>RAGUNDA</t>
        </is>
      </c>
      <c r="G829" t="n">
        <v>4.9</v>
      </c>
      <c r="H829" t="n">
        <v>0</v>
      </c>
      <c r="I829" t="n">
        <v>0</v>
      </c>
      <c r="J829" t="n">
        <v>0</v>
      </c>
      <c r="K829" t="n">
        <v>0</v>
      </c>
      <c r="L829" t="n">
        <v>0</v>
      </c>
      <c r="M829" t="n">
        <v>0</v>
      </c>
      <c r="N829" t="n">
        <v>0</v>
      </c>
      <c r="O829" t="n">
        <v>0</v>
      </c>
      <c r="P829" t="n">
        <v>0</v>
      </c>
      <c r="Q829" t="n">
        <v>0</v>
      </c>
      <c r="R829" s="2" t="inlineStr"/>
    </row>
    <row r="830" ht="15" customHeight="1">
      <c r="A830" t="inlineStr">
        <is>
          <t>A 51678-2025</t>
        </is>
      </c>
      <c r="B830" s="1" t="n">
        <v>45951.51106481482</v>
      </c>
      <c r="C830" s="1" t="n">
        <v>46029</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51906-2025</t>
        </is>
      </c>
      <c r="B831" s="1" t="n">
        <v>45952.4615162037</v>
      </c>
      <c r="C831" s="1" t="n">
        <v>46029</v>
      </c>
      <c r="D831" t="inlineStr">
        <is>
          <t>JÄMTLANDS LÄN</t>
        </is>
      </c>
      <c r="E831" t="inlineStr">
        <is>
          <t>RAGUNDA</t>
        </is>
      </c>
      <c r="G831" t="n">
        <v>4.5</v>
      </c>
      <c r="H831" t="n">
        <v>0</v>
      </c>
      <c r="I831" t="n">
        <v>0</v>
      </c>
      <c r="J831" t="n">
        <v>0</v>
      </c>
      <c r="K831" t="n">
        <v>0</v>
      </c>
      <c r="L831" t="n">
        <v>0</v>
      </c>
      <c r="M831" t="n">
        <v>0</v>
      </c>
      <c r="N831" t="n">
        <v>0</v>
      </c>
      <c r="O831" t="n">
        <v>0</v>
      </c>
      <c r="P831" t="n">
        <v>0</v>
      </c>
      <c r="Q831" t="n">
        <v>0</v>
      </c>
      <c r="R831" s="2" t="inlineStr"/>
    </row>
    <row r="832" ht="15" customHeight="1">
      <c r="A832" t="inlineStr">
        <is>
          <t>A 60935-2024</t>
        </is>
      </c>
      <c r="B832" s="1" t="n">
        <v>45645.36740740741</v>
      </c>
      <c r="C832" s="1" t="n">
        <v>46029</v>
      </c>
      <c r="D832" t="inlineStr">
        <is>
          <t>JÄMTLANDS LÄN</t>
        </is>
      </c>
      <c r="E832" t="inlineStr">
        <is>
          <t>RAGUNDA</t>
        </is>
      </c>
      <c r="G832" t="n">
        <v>2.6</v>
      </c>
      <c r="H832" t="n">
        <v>0</v>
      </c>
      <c r="I832" t="n">
        <v>0</v>
      </c>
      <c r="J832" t="n">
        <v>0</v>
      </c>
      <c r="K832" t="n">
        <v>0</v>
      </c>
      <c r="L832" t="n">
        <v>0</v>
      </c>
      <c r="M832" t="n">
        <v>0</v>
      </c>
      <c r="N832" t="n">
        <v>0</v>
      </c>
      <c r="O832" t="n">
        <v>0</v>
      </c>
      <c r="P832" t="n">
        <v>0</v>
      </c>
      <c r="Q832" t="n">
        <v>0</v>
      </c>
      <c r="R832" s="2" t="inlineStr"/>
    </row>
    <row r="833" ht="15" customHeight="1">
      <c r="A833" t="inlineStr">
        <is>
          <t>A 51791-2025</t>
        </is>
      </c>
      <c r="B833" s="1" t="n">
        <v>45951.69833333333</v>
      </c>
      <c r="C833" s="1" t="n">
        <v>46029</v>
      </c>
      <c r="D833" t="inlineStr">
        <is>
          <t>JÄMTLANDS LÄN</t>
        </is>
      </c>
      <c r="E833" t="inlineStr">
        <is>
          <t>RAGUNDA</t>
        </is>
      </c>
      <c r="F833" t="inlineStr">
        <is>
          <t>SCA</t>
        </is>
      </c>
      <c r="G833" t="n">
        <v>43.3</v>
      </c>
      <c r="H833" t="n">
        <v>0</v>
      </c>
      <c r="I833" t="n">
        <v>0</v>
      </c>
      <c r="J833" t="n">
        <v>0</v>
      </c>
      <c r="K833" t="n">
        <v>0</v>
      </c>
      <c r="L833" t="n">
        <v>0</v>
      </c>
      <c r="M833" t="n">
        <v>0</v>
      </c>
      <c r="N833" t="n">
        <v>0</v>
      </c>
      <c r="O833" t="n">
        <v>0</v>
      </c>
      <c r="P833" t="n">
        <v>0</v>
      </c>
      <c r="Q833" t="n">
        <v>0</v>
      </c>
      <c r="R833" s="2" t="inlineStr"/>
    </row>
    <row r="834" ht="15" customHeight="1">
      <c r="A834" t="inlineStr">
        <is>
          <t>A 51592-2025</t>
        </is>
      </c>
      <c r="B834" s="1" t="n">
        <v>45951.36541666667</v>
      </c>
      <c r="C834" s="1" t="n">
        <v>46029</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60062-2025</t>
        </is>
      </c>
      <c r="B835" s="1" t="n">
        <v>45993.65694444445</v>
      </c>
      <c r="C835" s="1" t="n">
        <v>46029</v>
      </c>
      <c r="D835" t="inlineStr">
        <is>
          <t>JÄMTLANDS LÄN</t>
        </is>
      </c>
      <c r="E835" t="inlineStr">
        <is>
          <t>RAGUNDA</t>
        </is>
      </c>
      <c r="F835" t="inlineStr">
        <is>
          <t>SCA</t>
        </is>
      </c>
      <c r="G835" t="n">
        <v>5.8</v>
      </c>
      <c r="H835" t="n">
        <v>0</v>
      </c>
      <c r="I835" t="n">
        <v>0</v>
      </c>
      <c r="J835" t="n">
        <v>0</v>
      </c>
      <c r="K835" t="n">
        <v>0</v>
      </c>
      <c r="L835" t="n">
        <v>0</v>
      </c>
      <c r="M835" t="n">
        <v>0</v>
      </c>
      <c r="N835" t="n">
        <v>0</v>
      </c>
      <c r="O835" t="n">
        <v>0</v>
      </c>
      <c r="P835" t="n">
        <v>0</v>
      </c>
      <c r="Q835" t="n">
        <v>0</v>
      </c>
      <c r="R835" s="2" t="inlineStr"/>
    </row>
    <row r="836" ht="15" customHeight="1">
      <c r="A836" t="inlineStr">
        <is>
          <t>A 51593-2025</t>
        </is>
      </c>
      <c r="B836" s="1" t="n">
        <v>45951.36548611111</v>
      </c>
      <c r="C836" s="1" t="n">
        <v>46029</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14156-2024</t>
        </is>
      </c>
      <c r="B837" s="1" t="n">
        <v>45392</v>
      </c>
      <c r="C837" s="1" t="n">
        <v>46029</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14157-2024</t>
        </is>
      </c>
      <c r="B838" s="1" t="n">
        <v>45392.92903935185</v>
      </c>
      <c r="C838" s="1" t="n">
        <v>46029</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44727-2024</t>
        </is>
      </c>
      <c r="B839" s="1" t="n">
        <v>45574.57967592592</v>
      </c>
      <c r="C839" s="1" t="n">
        <v>46029</v>
      </c>
      <c r="D839" t="inlineStr">
        <is>
          <t>JÄMTLANDS LÄN</t>
        </is>
      </c>
      <c r="E839" t="inlineStr">
        <is>
          <t>RAGUNDA</t>
        </is>
      </c>
      <c r="G839" t="n">
        <v>4.7</v>
      </c>
      <c r="H839" t="n">
        <v>0</v>
      </c>
      <c r="I839" t="n">
        <v>0</v>
      </c>
      <c r="J839" t="n">
        <v>0</v>
      </c>
      <c r="K839" t="n">
        <v>0</v>
      </c>
      <c r="L839" t="n">
        <v>0</v>
      </c>
      <c r="M839" t="n">
        <v>0</v>
      </c>
      <c r="N839" t="n">
        <v>0</v>
      </c>
      <c r="O839" t="n">
        <v>0</v>
      </c>
      <c r="P839" t="n">
        <v>0</v>
      </c>
      <c r="Q839" t="n">
        <v>0</v>
      </c>
      <c r="R839" s="2" t="inlineStr"/>
    </row>
    <row r="840" ht="15" customHeight="1">
      <c r="A840" t="inlineStr">
        <is>
          <t>A 52093-2025</t>
        </is>
      </c>
      <c r="B840" s="1" t="n">
        <v>45952.67865740741</v>
      </c>
      <c r="C840" s="1" t="n">
        <v>46029</v>
      </c>
      <c r="D840" t="inlineStr">
        <is>
          <t>JÄMTLANDS LÄN</t>
        </is>
      </c>
      <c r="E840" t="inlineStr">
        <is>
          <t>RAGUNDA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52122-2025</t>
        </is>
      </c>
      <c r="B841" s="1" t="n">
        <v>45952.71946759259</v>
      </c>
      <c r="C841" s="1" t="n">
        <v>46029</v>
      </c>
      <c r="D841" t="inlineStr">
        <is>
          <t>JÄMTLANDS LÄN</t>
        </is>
      </c>
      <c r="E841" t="inlineStr">
        <is>
          <t>RAGUNDA</t>
        </is>
      </c>
      <c r="F841" t="inlineStr">
        <is>
          <t>SCA</t>
        </is>
      </c>
      <c r="G841" t="n">
        <v>8</v>
      </c>
      <c r="H841" t="n">
        <v>0</v>
      </c>
      <c r="I841" t="n">
        <v>0</v>
      </c>
      <c r="J841" t="n">
        <v>0</v>
      </c>
      <c r="K841" t="n">
        <v>0</v>
      </c>
      <c r="L841" t="n">
        <v>0</v>
      </c>
      <c r="M841" t="n">
        <v>0</v>
      </c>
      <c r="N841" t="n">
        <v>0</v>
      </c>
      <c r="O841" t="n">
        <v>0</v>
      </c>
      <c r="P841" t="n">
        <v>0</v>
      </c>
      <c r="Q841" t="n">
        <v>0</v>
      </c>
      <c r="R841" s="2" t="inlineStr"/>
    </row>
    <row r="842" ht="15" customHeight="1">
      <c r="A842" t="inlineStr">
        <is>
          <t>A 51882-2025</t>
        </is>
      </c>
      <c r="B842" s="1" t="n">
        <v>45952.40685185185</v>
      </c>
      <c r="C842" s="1" t="n">
        <v>46029</v>
      </c>
      <c r="D842" t="inlineStr">
        <is>
          <t>JÄMTLANDS LÄN</t>
        </is>
      </c>
      <c r="E842" t="inlineStr">
        <is>
          <t>RAGUNDA</t>
        </is>
      </c>
      <c r="F842" t="inlineStr">
        <is>
          <t>SCA</t>
        </is>
      </c>
      <c r="G842" t="n">
        <v>11.9</v>
      </c>
      <c r="H842" t="n">
        <v>0</v>
      </c>
      <c r="I842" t="n">
        <v>0</v>
      </c>
      <c r="J842" t="n">
        <v>0</v>
      </c>
      <c r="K842" t="n">
        <v>0</v>
      </c>
      <c r="L842" t="n">
        <v>0</v>
      </c>
      <c r="M842" t="n">
        <v>0</v>
      </c>
      <c r="N842" t="n">
        <v>0</v>
      </c>
      <c r="O842" t="n">
        <v>0</v>
      </c>
      <c r="P842" t="n">
        <v>0</v>
      </c>
      <c r="Q842" t="n">
        <v>0</v>
      </c>
      <c r="R842" s="2" t="inlineStr"/>
    </row>
    <row r="843" ht="15" customHeight="1">
      <c r="A843" t="inlineStr">
        <is>
          <t>A 51903-2025</t>
        </is>
      </c>
      <c r="B843" s="1" t="n">
        <v>45952.44857638889</v>
      </c>
      <c r="C843" s="1" t="n">
        <v>46029</v>
      </c>
      <c r="D843" t="inlineStr">
        <is>
          <t>JÄMTLANDS LÄN</t>
        </is>
      </c>
      <c r="E843" t="inlineStr">
        <is>
          <t>RAGUNDA</t>
        </is>
      </c>
      <c r="F843" t="inlineStr">
        <is>
          <t>SCA</t>
        </is>
      </c>
      <c r="G843" t="n">
        <v>20.8</v>
      </c>
      <c r="H843" t="n">
        <v>0</v>
      </c>
      <c r="I843" t="n">
        <v>0</v>
      </c>
      <c r="J843" t="n">
        <v>0</v>
      </c>
      <c r="K843" t="n">
        <v>0</v>
      </c>
      <c r="L843" t="n">
        <v>0</v>
      </c>
      <c r="M843" t="n">
        <v>0</v>
      </c>
      <c r="N843" t="n">
        <v>0</v>
      </c>
      <c r="O843" t="n">
        <v>0</v>
      </c>
      <c r="P843" t="n">
        <v>0</v>
      </c>
      <c r="Q843" t="n">
        <v>0</v>
      </c>
      <c r="R843" s="2" t="inlineStr"/>
    </row>
    <row r="844" ht="15" customHeight="1">
      <c r="A844" t="inlineStr">
        <is>
          <t>A 21661-2023</t>
        </is>
      </c>
      <c r="B844" s="1" t="n">
        <v>45063</v>
      </c>
      <c r="C844" s="1" t="n">
        <v>46029</v>
      </c>
      <c r="D844" t="inlineStr">
        <is>
          <t>JÄMTLANDS LÄN</t>
        </is>
      </c>
      <c r="E844" t="inlineStr">
        <is>
          <t>RAGUNDA</t>
        </is>
      </c>
      <c r="G844" t="n">
        <v>1.5</v>
      </c>
      <c r="H844" t="n">
        <v>0</v>
      </c>
      <c r="I844" t="n">
        <v>0</v>
      </c>
      <c r="J844" t="n">
        <v>0</v>
      </c>
      <c r="K844" t="n">
        <v>0</v>
      </c>
      <c r="L844" t="n">
        <v>0</v>
      </c>
      <c r="M844" t="n">
        <v>0</v>
      </c>
      <c r="N844" t="n">
        <v>0</v>
      </c>
      <c r="O844" t="n">
        <v>0</v>
      </c>
      <c r="P844" t="n">
        <v>0</v>
      </c>
      <c r="Q844" t="n">
        <v>0</v>
      </c>
      <c r="R844" s="2" t="inlineStr"/>
    </row>
    <row r="845" ht="15" customHeight="1">
      <c r="A845" t="inlineStr">
        <is>
          <t>A 59931-2025</t>
        </is>
      </c>
      <c r="B845" s="1" t="n">
        <v>45993.40177083333</v>
      </c>
      <c r="C845" s="1" t="n">
        <v>46029</v>
      </c>
      <c r="D845" t="inlineStr">
        <is>
          <t>JÄMTLANDS LÄN</t>
        </is>
      </c>
      <c r="E845" t="inlineStr">
        <is>
          <t>RAGUNDA</t>
        </is>
      </c>
      <c r="G845" t="n">
        <v>4</v>
      </c>
      <c r="H845" t="n">
        <v>0</v>
      </c>
      <c r="I845" t="n">
        <v>0</v>
      </c>
      <c r="J845" t="n">
        <v>0</v>
      </c>
      <c r="K845" t="n">
        <v>0</v>
      </c>
      <c r="L845" t="n">
        <v>0</v>
      </c>
      <c r="M845" t="n">
        <v>0</v>
      </c>
      <c r="N845" t="n">
        <v>0</v>
      </c>
      <c r="O845" t="n">
        <v>0</v>
      </c>
      <c r="P845" t="n">
        <v>0</v>
      </c>
      <c r="Q845" t="n">
        <v>0</v>
      </c>
      <c r="R845" s="2" t="inlineStr"/>
    </row>
    <row r="846" ht="15" customHeight="1">
      <c r="A846" t="inlineStr">
        <is>
          <t>A 51932-2025</t>
        </is>
      </c>
      <c r="B846" s="1" t="n">
        <v>45952.51094907407</v>
      </c>
      <c r="C846" s="1" t="n">
        <v>46029</v>
      </c>
      <c r="D846" t="inlineStr">
        <is>
          <t>JÄMTLANDS LÄN</t>
        </is>
      </c>
      <c r="E846" t="inlineStr">
        <is>
          <t>RAGUNDA</t>
        </is>
      </c>
      <c r="F846" t="inlineStr">
        <is>
          <t>SCA</t>
        </is>
      </c>
      <c r="G846" t="n">
        <v>39.2</v>
      </c>
      <c r="H846" t="n">
        <v>0</v>
      </c>
      <c r="I846" t="n">
        <v>0</v>
      </c>
      <c r="J846" t="n">
        <v>0</v>
      </c>
      <c r="K846" t="n">
        <v>0</v>
      </c>
      <c r="L846" t="n">
        <v>0</v>
      </c>
      <c r="M846" t="n">
        <v>0</v>
      </c>
      <c r="N846" t="n">
        <v>0</v>
      </c>
      <c r="O846" t="n">
        <v>0</v>
      </c>
      <c r="P846" t="n">
        <v>0</v>
      </c>
      <c r="Q846" t="n">
        <v>0</v>
      </c>
      <c r="R846" s="2" t="inlineStr"/>
    </row>
    <row r="847" ht="15" customHeight="1">
      <c r="A847" t="inlineStr">
        <is>
          <t>A 60128-2025</t>
        </is>
      </c>
      <c r="B847" s="1" t="n">
        <v>45994.34456018519</v>
      </c>
      <c r="C847" s="1" t="n">
        <v>46029</v>
      </c>
      <c r="D847" t="inlineStr">
        <is>
          <t>JÄMTLANDS LÄN</t>
        </is>
      </c>
      <c r="E847" t="inlineStr">
        <is>
          <t>RAGUNDA</t>
        </is>
      </c>
      <c r="G847" t="n">
        <v>7.1</v>
      </c>
      <c r="H847" t="n">
        <v>0</v>
      </c>
      <c r="I847" t="n">
        <v>0</v>
      </c>
      <c r="J847" t="n">
        <v>0</v>
      </c>
      <c r="K847" t="n">
        <v>0</v>
      </c>
      <c r="L847" t="n">
        <v>0</v>
      </c>
      <c r="M847" t="n">
        <v>0</v>
      </c>
      <c r="N847" t="n">
        <v>0</v>
      </c>
      <c r="O847" t="n">
        <v>0</v>
      </c>
      <c r="P847" t="n">
        <v>0</v>
      </c>
      <c r="Q847" t="n">
        <v>0</v>
      </c>
      <c r="R847" s="2" t="inlineStr"/>
    </row>
    <row r="848" ht="15" customHeight="1">
      <c r="A848" t="inlineStr">
        <is>
          <t>A 7281-2024</t>
        </is>
      </c>
      <c r="B848" s="1" t="n">
        <v>45344</v>
      </c>
      <c r="C848" s="1" t="n">
        <v>46029</v>
      </c>
      <c r="D848" t="inlineStr">
        <is>
          <t>JÄMTLANDS LÄN</t>
        </is>
      </c>
      <c r="E848" t="inlineStr">
        <is>
          <t>RAGUNDA</t>
        </is>
      </c>
      <c r="G848" t="n">
        <v>1.2</v>
      </c>
      <c r="H848" t="n">
        <v>0</v>
      </c>
      <c r="I848" t="n">
        <v>0</v>
      </c>
      <c r="J848" t="n">
        <v>0</v>
      </c>
      <c r="K848" t="n">
        <v>0</v>
      </c>
      <c r="L848" t="n">
        <v>0</v>
      </c>
      <c r="M848" t="n">
        <v>0</v>
      </c>
      <c r="N848" t="n">
        <v>0</v>
      </c>
      <c r="O848" t="n">
        <v>0</v>
      </c>
      <c r="P848" t="n">
        <v>0</v>
      </c>
      <c r="Q848" t="n">
        <v>0</v>
      </c>
      <c r="R848" s="2" t="inlineStr"/>
    </row>
    <row r="849" ht="15" customHeight="1">
      <c r="A849" t="inlineStr">
        <is>
          <t>A 19382-2025</t>
        </is>
      </c>
      <c r="B849" s="1" t="n">
        <v>45769.65659722222</v>
      </c>
      <c r="C849" s="1" t="n">
        <v>46029</v>
      </c>
      <c r="D849" t="inlineStr">
        <is>
          <t>JÄMTLANDS LÄN</t>
        </is>
      </c>
      <c r="E849" t="inlineStr">
        <is>
          <t>RAGUNDA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19403-2025</t>
        </is>
      </c>
      <c r="B850" s="1" t="n">
        <v>45769.67790509259</v>
      </c>
      <c r="C850" s="1" t="n">
        <v>46029</v>
      </c>
      <c r="D850" t="inlineStr">
        <is>
          <t>JÄMTLANDS LÄN</t>
        </is>
      </c>
      <c r="E850" t="inlineStr">
        <is>
          <t>RAGUNDA</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60225-2022</t>
        </is>
      </c>
      <c r="B851" s="1" t="n">
        <v>44903</v>
      </c>
      <c r="C851" s="1" t="n">
        <v>46029</v>
      </c>
      <c r="D851" t="inlineStr">
        <is>
          <t>JÄMTLANDS LÄN</t>
        </is>
      </c>
      <c r="E851" t="inlineStr">
        <is>
          <t>RAGUNDA</t>
        </is>
      </c>
      <c r="G851" t="n">
        <v>1</v>
      </c>
      <c r="H851" t="n">
        <v>0</v>
      </c>
      <c r="I851" t="n">
        <v>0</v>
      </c>
      <c r="J851" t="n">
        <v>0</v>
      </c>
      <c r="K851" t="n">
        <v>0</v>
      </c>
      <c r="L851" t="n">
        <v>0</v>
      </c>
      <c r="M851" t="n">
        <v>0</v>
      </c>
      <c r="N851" t="n">
        <v>0</v>
      </c>
      <c r="O851" t="n">
        <v>0</v>
      </c>
      <c r="P851" t="n">
        <v>0</v>
      </c>
      <c r="Q851" t="n">
        <v>0</v>
      </c>
      <c r="R851" s="2" t="inlineStr"/>
    </row>
    <row r="852" ht="15" customHeight="1">
      <c r="A852" t="inlineStr">
        <is>
          <t>A 61045-2022</t>
        </is>
      </c>
      <c r="B852" s="1" t="n">
        <v>44914</v>
      </c>
      <c r="C852" s="1" t="n">
        <v>46029</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60389-2025</t>
        </is>
      </c>
      <c r="B853" s="1" t="n">
        <v>45995.38628472222</v>
      </c>
      <c r="C853" s="1" t="n">
        <v>46029</v>
      </c>
      <c r="D853" t="inlineStr">
        <is>
          <t>JÄMTLANDS LÄN</t>
        </is>
      </c>
      <c r="E853" t="inlineStr">
        <is>
          <t>RAGUNDA</t>
        </is>
      </c>
      <c r="G853" t="n">
        <v>3.3</v>
      </c>
      <c r="H853" t="n">
        <v>0</v>
      </c>
      <c r="I853" t="n">
        <v>0</v>
      </c>
      <c r="J853" t="n">
        <v>0</v>
      </c>
      <c r="K853" t="n">
        <v>0</v>
      </c>
      <c r="L853" t="n">
        <v>0</v>
      </c>
      <c r="M853" t="n">
        <v>0</v>
      </c>
      <c r="N853" t="n">
        <v>0</v>
      </c>
      <c r="O853" t="n">
        <v>0</v>
      </c>
      <c r="P853" t="n">
        <v>0</v>
      </c>
      <c r="Q853" t="n">
        <v>0</v>
      </c>
      <c r="R853" s="2" t="inlineStr"/>
    </row>
    <row r="854" ht="15" customHeight="1">
      <c r="A854" t="inlineStr">
        <is>
          <t>A 60387-2025</t>
        </is>
      </c>
      <c r="B854" s="1" t="n">
        <v>45995.38611111111</v>
      </c>
      <c r="C854" s="1" t="n">
        <v>46029</v>
      </c>
      <c r="D854" t="inlineStr">
        <is>
          <t>JÄMTLANDS LÄN</t>
        </is>
      </c>
      <c r="E854" t="inlineStr">
        <is>
          <t>RAGUNDA</t>
        </is>
      </c>
      <c r="G854" t="n">
        <v>8.5</v>
      </c>
      <c r="H854" t="n">
        <v>0</v>
      </c>
      <c r="I854" t="n">
        <v>0</v>
      </c>
      <c r="J854" t="n">
        <v>0</v>
      </c>
      <c r="K854" t="n">
        <v>0</v>
      </c>
      <c r="L854" t="n">
        <v>0</v>
      </c>
      <c r="M854" t="n">
        <v>0</v>
      </c>
      <c r="N854" t="n">
        <v>0</v>
      </c>
      <c r="O854" t="n">
        <v>0</v>
      </c>
      <c r="P854" t="n">
        <v>0</v>
      </c>
      <c r="Q854" t="n">
        <v>0</v>
      </c>
      <c r="R854" s="2" t="inlineStr"/>
    </row>
    <row r="855" ht="15" customHeight="1">
      <c r="A855" t="inlineStr">
        <is>
          <t>A 16320-2025</t>
        </is>
      </c>
      <c r="B855" s="1" t="n">
        <v>45751.34859953704</v>
      </c>
      <c r="C855" s="1" t="n">
        <v>46029</v>
      </c>
      <c r="D855" t="inlineStr">
        <is>
          <t>JÄMTLANDS LÄN</t>
        </is>
      </c>
      <c r="E855" t="inlineStr">
        <is>
          <t>RAGUNDA</t>
        </is>
      </c>
      <c r="F855" t="inlineStr">
        <is>
          <t>SCA</t>
        </is>
      </c>
      <c r="G855" t="n">
        <v>16.2</v>
      </c>
      <c r="H855" t="n">
        <v>0</v>
      </c>
      <c r="I855" t="n">
        <v>0</v>
      </c>
      <c r="J855" t="n">
        <v>0</v>
      </c>
      <c r="K855" t="n">
        <v>0</v>
      </c>
      <c r="L855" t="n">
        <v>0</v>
      </c>
      <c r="M855" t="n">
        <v>0</v>
      </c>
      <c r="N855" t="n">
        <v>0</v>
      </c>
      <c r="O855" t="n">
        <v>0</v>
      </c>
      <c r="P855" t="n">
        <v>0</v>
      </c>
      <c r="Q855" t="n">
        <v>0</v>
      </c>
      <c r="R855" s="2" t="inlineStr"/>
    </row>
    <row r="856" ht="15" customHeight="1">
      <c r="A856" t="inlineStr">
        <is>
          <t>A 52317-2025</t>
        </is>
      </c>
      <c r="B856" s="1" t="n">
        <v>45953.65675925926</v>
      </c>
      <c r="C856" s="1" t="n">
        <v>46029</v>
      </c>
      <c r="D856" t="inlineStr">
        <is>
          <t>JÄMTLANDS LÄN</t>
        </is>
      </c>
      <c r="E856" t="inlineStr">
        <is>
          <t>RAGUNDA</t>
        </is>
      </c>
      <c r="F856" t="inlineStr">
        <is>
          <t>SCA</t>
        </is>
      </c>
      <c r="G856" t="n">
        <v>27.2</v>
      </c>
      <c r="H856" t="n">
        <v>0</v>
      </c>
      <c r="I856" t="n">
        <v>0</v>
      </c>
      <c r="J856" t="n">
        <v>0</v>
      </c>
      <c r="K856" t="n">
        <v>0</v>
      </c>
      <c r="L856" t="n">
        <v>0</v>
      </c>
      <c r="M856" t="n">
        <v>0</v>
      </c>
      <c r="N856" t="n">
        <v>0</v>
      </c>
      <c r="O856" t="n">
        <v>0</v>
      </c>
      <c r="P856" t="n">
        <v>0</v>
      </c>
      <c r="Q856" t="n">
        <v>0</v>
      </c>
      <c r="R856" s="2" t="inlineStr"/>
    </row>
    <row r="857" ht="15" customHeight="1">
      <c r="A857" t="inlineStr">
        <is>
          <t>A 52330-2025</t>
        </is>
      </c>
      <c r="B857" s="1" t="n">
        <v>45953.67752314815</v>
      </c>
      <c r="C857" s="1" t="n">
        <v>46029</v>
      </c>
      <c r="D857" t="inlineStr">
        <is>
          <t>JÄMTLANDS LÄN</t>
        </is>
      </c>
      <c r="E857" t="inlineStr">
        <is>
          <t>RAGUNDA</t>
        </is>
      </c>
      <c r="F857" t="inlineStr">
        <is>
          <t>SCA</t>
        </is>
      </c>
      <c r="G857" t="n">
        <v>10.1</v>
      </c>
      <c r="H857" t="n">
        <v>0</v>
      </c>
      <c r="I857" t="n">
        <v>0</v>
      </c>
      <c r="J857" t="n">
        <v>0</v>
      </c>
      <c r="K857" t="n">
        <v>0</v>
      </c>
      <c r="L857" t="n">
        <v>0</v>
      </c>
      <c r="M857" t="n">
        <v>0</v>
      </c>
      <c r="N857" t="n">
        <v>0</v>
      </c>
      <c r="O857" t="n">
        <v>0</v>
      </c>
      <c r="P857" t="n">
        <v>0</v>
      </c>
      <c r="Q857" t="n">
        <v>0</v>
      </c>
      <c r="R857" s="2" t="inlineStr"/>
    </row>
    <row r="858" ht="15" customHeight="1">
      <c r="A858" t="inlineStr">
        <is>
          <t>A 11557-2023</t>
        </is>
      </c>
      <c r="B858" s="1" t="n">
        <v>44993.94950231481</v>
      </c>
      <c r="C858" s="1" t="n">
        <v>46029</v>
      </c>
      <c r="D858" t="inlineStr">
        <is>
          <t>JÄMTLANDS LÄN</t>
        </is>
      </c>
      <c r="E858" t="inlineStr">
        <is>
          <t>RAGUNDA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11562-2023</t>
        </is>
      </c>
      <c r="B859" s="1" t="n">
        <v>44993</v>
      </c>
      <c r="C859" s="1" t="n">
        <v>46029</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60630-2025</t>
        </is>
      </c>
      <c r="B860" s="1" t="n">
        <v>45996.42120370371</v>
      </c>
      <c r="C860" s="1" t="n">
        <v>46029</v>
      </c>
      <c r="D860" t="inlineStr">
        <is>
          <t>JÄMTLANDS LÄN</t>
        </is>
      </c>
      <c r="E860" t="inlineStr">
        <is>
          <t>RAGUNDA</t>
        </is>
      </c>
      <c r="G860" t="n">
        <v>13.2</v>
      </c>
      <c r="H860" t="n">
        <v>0</v>
      </c>
      <c r="I860" t="n">
        <v>0</v>
      </c>
      <c r="J860" t="n">
        <v>0</v>
      </c>
      <c r="K860" t="n">
        <v>0</v>
      </c>
      <c r="L860" t="n">
        <v>0</v>
      </c>
      <c r="M860" t="n">
        <v>0</v>
      </c>
      <c r="N860" t="n">
        <v>0</v>
      </c>
      <c r="O860" t="n">
        <v>0</v>
      </c>
      <c r="P860" t="n">
        <v>0</v>
      </c>
      <c r="Q860" t="n">
        <v>0</v>
      </c>
      <c r="R860" s="2" t="inlineStr"/>
    </row>
    <row r="861" ht="15" customHeight="1">
      <c r="A861" t="inlineStr">
        <is>
          <t>A 52395-2025</t>
        </is>
      </c>
      <c r="B861" s="1" t="n">
        <v>45954.34487268519</v>
      </c>
      <c r="C861" s="1" t="n">
        <v>46029</v>
      </c>
      <c r="D861" t="inlineStr">
        <is>
          <t>JÄMTLANDS LÄN</t>
        </is>
      </c>
      <c r="E861" t="inlineStr">
        <is>
          <t>RAGUNDA</t>
        </is>
      </c>
      <c r="F861" t="inlineStr">
        <is>
          <t>SCA</t>
        </is>
      </c>
      <c r="G861" t="n">
        <v>14.2</v>
      </c>
      <c r="H861" t="n">
        <v>0</v>
      </c>
      <c r="I861" t="n">
        <v>0</v>
      </c>
      <c r="J861" t="n">
        <v>0</v>
      </c>
      <c r="K861" t="n">
        <v>0</v>
      </c>
      <c r="L861" t="n">
        <v>0</v>
      </c>
      <c r="M861" t="n">
        <v>0</v>
      </c>
      <c r="N861" t="n">
        <v>0</v>
      </c>
      <c r="O861" t="n">
        <v>0</v>
      </c>
      <c r="P861" t="n">
        <v>0</v>
      </c>
      <c r="Q861" t="n">
        <v>0</v>
      </c>
      <c r="R861" s="2" t="inlineStr"/>
    </row>
    <row r="862" ht="15" customHeight="1">
      <c r="A862" t="inlineStr">
        <is>
          <t>A 5175-2023</t>
        </is>
      </c>
      <c r="B862" s="1" t="n">
        <v>44958.94298611111</v>
      </c>
      <c r="C862" s="1" t="n">
        <v>46029</v>
      </c>
      <c r="D862" t="inlineStr">
        <is>
          <t>JÄMTLANDS LÄN</t>
        </is>
      </c>
      <c r="E862" t="inlineStr">
        <is>
          <t>RAGUNDA</t>
        </is>
      </c>
      <c r="F862" t="inlineStr">
        <is>
          <t>SCA</t>
        </is>
      </c>
      <c r="G862" t="n">
        <v>17.9</v>
      </c>
      <c r="H862" t="n">
        <v>0</v>
      </c>
      <c r="I862" t="n">
        <v>0</v>
      </c>
      <c r="J862" t="n">
        <v>0</v>
      </c>
      <c r="K862" t="n">
        <v>0</v>
      </c>
      <c r="L862" t="n">
        <v>0</v>
      </c>
      <c r="M862" t="n">
        <v>0</v>
      </c>
      <c r="N862" t="n">
        <v>0</v>
      </c>
      <c r="O862" t="n">
        <v>0</v>
      </c>
      <c r="P862" t="n">
        <v>0</v>
      </c>
      <c r="Q862" t="n">
        <v>0</v>
      </c>
      <c r="R862" s="2" t="inlineStr"/>
    </row>
    <row r="863" ht="15" customHeight="1">
      <c r="A863" t="inlineStr">
        <is>
          <t>A 53032-2025</t>
        </is>
      </c>
      <c r="B863" s="1" t="n">
        <v>45958.34462962963</v>
      </c>
      <c r="C863" s="1" t="n">
        <v>46029</v>
      </c>
      <c r="D863" t="inlineStr">
        <is>
          <t>JÄMTLANDS LÄN</t>
        </is>
      </c>
      <c r="E863" t="inlineStr">
        <is>
          <t>RAGUNDA</t>
        </is>
      </c>
      <c r="G863" t="n">
        <v>2.6</v>
      </c>
      <c r="H863" t="n">
        <v>0</v>
      </c>
      <c r="I863" t="n">
        <v>0</v>
      </c>
      <c r="J863" t="n">
        <v>0</v>
      </c>
      <c r="K863" t="n">
        <v>0</v>
      </c>
      <c r="L863" t="n">
        <v>0</v>
      </c>
      <c r="M863" t="n">
        <v>0</v>
      </c>
      <c r="N863" t="n">
        <v>0</v>
      </c>
      <c r="O863" t="n">
        <v>0</v>
      </c>
      <c r="P863" t="n">
        <v>0</v>
      </c>
      <c r="Q863" t="n">
        <v>0</v>
      </c>
      <c r="R863" s="2" t="inlineStr"/>
    </row>
    <row r="864" ht="15" customHeight="1">
      <c r="A864" t="inlineStr">
        <is>
          <t>A 53076-2025</t>
        </is>
      </c>
      <c r="B864" s="1" t="n">
        <v>45958.38604166666</v>
      </c>
      <c r="C864" s="1" t="n">
        <v>46029</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41343-2024</t>
        </is>
      </c>
      <c r="B865" s="1" t="n">
        <v>45559.67745370371</v>
      </c>
      <c r="C865" s="1" t="n">
        <v>46029</v>
      </c>
      <c r="D865" t="inlineStr">
        <is>
          <t>JÄMTLANDS LÄN</t>
        </is>
      </c>
      <c r="E865" t="inlineStr">
        <is>
          <t>RAGUNDA</t>
        </is>
      </c>
      <c r="F865" t="inlineStr">
        <is>
          <t>SCA</t>
        </is>
      </c>
      <c r="G865" t="n">
        <v>25.1</v>
      </c>
      <c r="H865" t="n">
        <v>0</v>
      </c>
      <c r="I865" t="n">
        <v>0</v>
      </c>
      <c r="J865" t="n">
        <v>0</v>
      </c>
      <c r="K865" t="n">
        <v>0</v>
      </c>
      <c r="L865" t="n">
        <v>0</v>
      </c>
      <c r="M865" t="n">
        <v>0</v>
      </c>
      <c r="N865" t="n">
        <v>0</v>
      </c>
      <c r="O865" t="n">
        <v>0</v>
      </c>
      <c r="P865" t="n">
        <v>0</v>
      </c>
      <c r="Q865" t="n">
        <v>0</v>
      </c>
      <c r="R865" s="2" t="inlineStr"/>
    </row>
    <row r="866" ht="15" customHeight="1">
      <c r="A866" t="inlineStr">
        <is>
          <t>A 60775-2025</t>
        </is>
      </c>
      <c r="B866" s="1" t="n">
        <v>45999.3905787037</v>
      </c>
      <c r="C866" s="1" t="n">
        <v>46029</v>
      </c>
      <c r="D866" t="inlineStr">
        <is>
          <t>JÄMTLANDS LÄN</t>
        </is>
      </c>
      <c r="E866" t="inlineStr">
        <is>
          <t>RAGUNDA</t>
        </is>
      </c>
      <c r="G866" t="n">
        <v>15.7</v>
      </c>
      <c r="H866" t="n">
        <v>0</v>
      </c>
      <c r="I866" t="n">
        <v>0</v>
      </c>
      <c r="J866" t="n">
        <v>0</v>
      </c>
      <c r="K866" t="n">
        <v>0</v>
      </c>
      <c r="L866" t="n">
        <v>0</v>
      </c>
      <c r="M866" t="n">
        <v>0</v>
      </c>
      <c r="N866" t="n">
        <v>0</v>
      </c>
      <c r="O866" t="n">
        <v>0</v>
      </c>
      <c r="P866" t="n">
        <v>0</v>
      </c>
      <c r="Q866" t="n">
        <v>0</v>
      </c>
      <c r="R866" s="2" t="inlineStr"/>
    </row>
    <row r="867" ht="15" customHeight="1">
      <c r="A867" t="inlineStr">
        <is>
          <t>A 52394-2025</t>
        </is>
      </c>
      <c r="B867" s="1" t="n">
        <v>45954.34466435185</v>
      </c>
      <c r="C867" s="1" t="n">
        <v>46029</v>
      </c>
      <c r="D867" t="inlineStr">
        <is>
          <t>JÄMTLANDS LÄN</t>
        </is>
      </c>
      <c r="E867" t="inlineStr">
        <is>
          <t>RAGUNDA</t>
        </is>
      </c>
      <c r="F867" t="inlineStr">
        <is>
          <t>SCA</t>
        </is>
      </c>
      <c r="G867" t="n">
        <v>53.8</v>
      </c>
      <c r="H867" t="n">
        <v>0</v>
      </c>
      <c r="I867" t="n">
        <v>0</v>
      </c>
      <c r="J867" t="n">
        <v>0</v>
      </c>
      <c r="K867" t="n">
        <v>0</v>
      </c>
      <c r="L867" t="n">
        <v>0</v>
      </c>
      <c r="M867" t="n">
        <v>0</v>
      </c>
      <c r="N867" t="n">
        <v>0</v>
      </c>
      <c r="O867" t="n">
        <v>0</v>
      </c>
      <c r="P867" t="n">
        <v>0</v>
      </c>
      <c r="Q867" t="n">
        <v>0</v>
      </c>
      <c r="R867" s="2" t="inlineStr"/>
    </row>
    <row r="868" ht="15" customHeight="1">
      <c r="A868" t="inlineStr">
        <is>
          <t>A 12039-2023</t>
        </is>
      </c>
      <c r="B868" s="1" t="n">
        <v>44995.98341435185</v>
      </c>
      <c r="C868" s="1" t="n">
        <v>46029</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12050-2023</t>
        </is>
      </c>
      <c r="B869" s="1" t="n">
        <v>44995.98644675926</v>
      </c>
      <c r="C869" s="1" t="n">
        <v>46029</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2751-2024</t>
        </is>
      </c>
      <c r="B870" s="1" t="n">
        <v>45314</v>
      </c>
      <c r="C870" s="1" t="n">
        <v>46029</v>
      </c>
      <c r="D870" t="inlineStr">
        <is>
          <t>JÄMTLANDS LÄN</t>
        </is>
      </c>
      <c r="E870" t="inlineStr">
        <is>
          <t>RAGUNDA</t>
        </is>
      </c>
      <c r="G870" t="n">
        <v>1.8</v>
      </c>
      <c r="H870" t="n">
        <v>0</v>
      </c>
      <c r="I870" t="n">
        <v>0</v>
      </c>
      <c r="J870" t="n">
        <v>0</v>
      </c>
      <c r="K870" t="n">
        <v>0</v>
      </c>
      <c r="L870" t="n">
        <v>0</v>
      </c>
      <c r="M870" t="n">
        <v>0</v>
      </c>
      <c r="N870" t="n">
        <v>0</v>
      </c>
      <c r="O870" t="n">
        <v>0</v>
      </c>
      <c r="P870" t="n">
        <v>0</v>
      </c>
      <c r="Q870" t="n">
        <v>0</v>
      </c>
      <c r="R870" s="2" t="inlineStr"/>
    </row>
    <row r="871" ht="15" customHeight="1">
      <c r="A871" t="inlineStr">
        <is>
          <t>A 36986-2023</t>
        </is>
      </c>
      <c r="B871" s="1" t="n">
        <v>45154.95525462963</v>
      </c>
      <c r="C871" s="1" t="n">
        <v>46029</v>
      </c>
      <c r="D871" t="inlineStr">
        <is>
          <t>JÄMTLANDS LÄN</t>
        </is>
      </c>
      <c r="E871" t="inlineStr">
        <is>
          <t>RAGUNDA</t>
        </is>
      </c>
      <c r="F871" t="inlineStr">
        <is>
          <t>SCA</t>
        </is>
      </c>
      <c r="G871" t="n">
        <v>0.2</v>
      </c>
      <c r="H871" t="n">
        <v>0</v>
      </c>
      <c r="I871" t="n">
        <v>0</v>
      </c>
      <c r="J871" t="n">
        <v>0</v>
      </c>
      <c r="K871" t="n">
        <v>0</v>
      </c>
      <c r="L871" t="n">
        <v>0</v>
      </c>
      <c r="M871" t="n">
        <v>0</v>
      </c>
      <c r="N871" t="n">
        <v>0</v>
      </c>
      <c r="O871" t="n">
        <v>0</v>
      </c>
      <c r="P871" t="n">
        <v>0</v>
      </c>
      <c r="Q871" t="n">
        <v>0</v>
      </c>
      <c r="R871" s="2" t="inlineStr"/>
    </row>
    <row r="872" ht="15" customHeight="1">
      <c r="A872" t="inlineStr">
        <is>
          <t>A 14368-2024</t>
        </is>
      </c>
      <c r="B872" s="1" t="n">
        <v>45393.94431712963</v>
      </c>
      <c r="C872" s="1" t="n">
        <v>46029</v>
      </c>
      <c r="D872" t="inlineStr">
        <is>
          <t>JÄMTLANDS LÄN</t>
        </is>
      </c>
      <c r="E872" t="inlineStr">
        <is>
          <t>RAGUNDA</t>
        </is>
      </c>
      <c r="F872" t="inlineStr">
        <is>
          <t>Naturvårdsverket</t>
        </is>
      </c>
      <c r="G872" t="n">
        <v>1.6</v>
      </c>
      <c r="H872" t="n">
        <v>0</v>
      </c>
      <c r="I872" t="n">
        <v>0</v>
      </c>
      <c r="J872" t="n">
        <v>0</v>
      </c>
      <c r="K872" t="n">
        <v>0</v>
      </c>
      <c r="L872" t="n">
        <v>0</v>
      </c>
      <c r="M872" t="n">
        <v>0</v>
      </c>
      <c r="N872" t="n">
        <v>0</v>
      </c>
      <c r="O872" t="n">
        <v>0</v>
      </c>
      <c r="P872" t="n">
        <v>0</v>
      </c>
      <c r="Q872" t="n">
        <v>0</v>
      </c>
      <c r="R872" s="2" t="inlineStr"/>
    </row>
    <row r="873" ht="15" customHeight="1">
      <c r="A873" t="inlineStr">
        <is>
          <t>A 61233-2025</t>
        </is>
      </c>
      <c r="B873" s="1" t="n">
        <v>46000.6359837963</v>
      </c>
      <c r="C873" s="1" t="n">
        <v>46029</v>
      </c>
      <c r="D873" t="inlineStr">
        <is>
          <t>JÄMTLANDS LÄN</t>
        </is>
      </c>
      <c r="E873" t="inlineStr">
        <is>
          <t>RAGUNDA</t>
        </is>
      </c>
      <c r="F873" t="inlineStr">
        <is>
          <t>SCA</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60760-2025</t>
        </is>
      </c>
      <c r="B874" s="1" t="n">
        <v>45999.38597222222</v>
      </c>
      <c r="C874" s="1" t="n">
        <v>46029</v>
      </c>
      <c r="D874" t="inlineStr">
        <is>
          <t>JÄMTLANDS LÄN</t>
        </is>
      </c>
      <c r="E874" t="inlineStr">
        <is>
          <t>RAGUNDA</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18159-2023</t>
        </is>
      </c>
      <c r="B875" s="1" t="n">
        <v>45040.94277777777</v>
      </c>
      <c r="C875" s="1" t="n">
        <v>46029</v>
      </c>
      <c r="D875" t="inlineStr">
        <is>
          <t>JÄMTLANDS LÄN</t>
        </is>
      </c>
      <c r="E875" t="inlineStr">
        <is>
          <t>RAGUNDA</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52430-2025</t>
        </is>
      </c>
      <c r="B876" s="1" t="n">
        <v>45954.38592592593</v>
      </c>
      <c r="C876" s="1" t="n">
        <v>46029</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13700-2023</t>
        </is>
      </c>
      <c r="B877" s="1" t="n">
        <v>45006</v>
      </c>
      <c r="C877" s="1" t="n">
        <v>46029</v>
      </c>
      <c r="D877" t="inlineStr">
        <is>
          <t>JÄMTLANDS LÄN</t>
        </is>
      </c>
      <c r="E877" t="inlineStr">
        <is>
          <t>RAGUNDA</t>
        </is>
      </c>
      <c r="F877" t="inlineStr">
        <is>
          <t>SCA</t>
        </is>
      </c>
      <c r="G877" t="n">
        <v>50.3</v>
      </c>
      <c r="H877" t="n">
        <v>0</v>
      </c>
      <c r="I877" t="n">
        <v>0</v>
      </c>
      <c r="J877" t="n">
        <v>0</v>
      </c>
      <c r="K877" t="n">
        <v>0</v>
      </c>
      <c r="L877" t="n">
        <v>0</v>
      </c>
      <c r="M877" t="n">
        <v>0</v>
      </c>
      <c r="N877" t="n">
        <v>0</v>
      </c>
      <c r="O877" t="n">
        <v>0</v>
      </c>
      <c r="P877" t="n">
        <v>0</v>
      </c>
      <c r="Q877" t="n">
        <v>0</v>
      </c>
      <c r="R877" s="2" t="inlineStr"/>
    </row>
    <row r="878" ht="15" customHeight="1">
      <c r="A878" t="inlineStr">
        <is>
          <t>A 52875-2025</t>
        </is>
      </c>
      <c r="B878" s="1" t="n">
        <v>45957.53211805555</v>
      </c>
      <c r="C878" s="1" t="n">
        <v>46029</v>
      </c>
      <c r="D878" t="inlineStr">
        <is>
          <t>JÄMTLANDS LÄN</t>
        </is>
      </c>
      <c r="E878" t="inlineStr">
        <is>
          <t>RAGUNDA</t>
        </is>
      </c>
      <c r="F878" t="inlineStr">
        <is>
          <t>SCA</t>
        </is>
      </c>
      <c r="G878" t="n">
        <v>34.3</v>
      </c>
      <c r="H878" t="n">
        <v>0</v>
      </c>
      <c r="I878" t="n">
        <v>0</v>
      </c>
      <c r="J878" t="n">
        <v>0</v>
      </c>
      <c r="K878" t="n">
        <v>0</v>
      </c>
      <c r="L878" t="n">
        <v>0</v>
      </c>
      <c r="M878" t="n">
        <v>0</v>
      </c>
      <c r="N878" t="n">
        <v>0</v>
      </c>
      <c r="O878" t="n">
        <v>0</v>
      </c>
      <c r="P878" t="n">
        <v>0</v>
      </c>
      <c r="Q878" t="n">
        <v>0</v>
      </c>
      <c r="R878" s="2" t="inlineStr"/>
    </row>
    <row r="879" ht="15" customHeight="1">
      <c r="A879" t="inlineStr">
        <is>
          <t>A 61266-2025</t>
        </is>
      </c>
      <c r="B879" s="1" t="n">
        <v>46000.67784722222</v>
      </c>
      <c r="C879" s="1" t="n">
        <v>46029</v>
      </c>
      <c r="D879" t="inlineStr">
        <is>
          <t>JÄMTLANDS LÄN</t>
        </is>
      </c>
      <c r="E879" t="inlineStr">
        <is>
          <t>RAGUNDA</t>
        </is>
      </c>
      <c r="G879" t="n">
        <v>7.9</v>
      </c>
      <c r="H879" t="n">
        <v>0</v>
      </c>
      <c r="I879" t="n">
        <v>0</v>
      </c>
      <c r="J879" t="n">
        <v>0</v>
      </c>
      <c r="K879" t="n">
        <v>0</v>
      </c>
      <c r="L879" t="n">
        <v>0</v>
      </c>
      <c r="M879" t="n">
        <v>0</v>
      </c>
      <c r="N879" t="n">
        <v>0</v>
      </c>
      <c r="O879" t="n">
        <v>0</v>
      </c>
      <c r="P879" t="n">
        <v>0</v>
      </c>
      <c r="Q879" t="n">
        <v>0</v>
      </c>
      <c r="R879" s="2" t="inlineStr"/>
    </row>
    <row r="880" ht="15" customHeight="1">
      <c r="A880" t="inlineStr">
        <is>
          <t>A 37543-2023</t>
        </is>
      </c>
      <c r="B880" s="1" t="n">
        <v>45158.94231481481</v>
      </c>
      <c r="C880" s="1" t="n">
        <v>46029</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53211-2025</t>
        </is>
      </c>
      <c r="B881" s="1" t="n">
        <v>45958.59490740741</v>
      </c>
      <c r="C881" s="1" t="n">
        <v>46029</v>
      </c>
      <c r="D881" t="inlineStr">
        <is>
          <t>JÄMTLANDS LÄN</t>
        </is>
      </c>
      <c r="E881" t="inlineStr">
        <is>
          <t>RAGUNDA</t>
        </is>
      </c>
      <c r="F881" t="inlineStr">
        <is>
          <t>SCA</t>
        </is>
      </c>
      <c r="G881" t="n">
        <v>7.4</v>
      </c>
      <c r="H881" t="n">
        <v>0</v>
      </c>
      <c r="I881" t="n">
        <v>0</v>
      </c>
      <c r="J881" t="n">
        <v>0</v>
      </c>
      <c r="K881" t="n">
        <v>0</v>
      </c>
      <c r="L881" t="n">
        <v>0</v>
      </c>
      <c r="M881" t="n">
        <v>0</v>
      </c>
      <c r="N881" t="n">
        <v>0</v>
      </c>
      <c r="O881" t="n">
        <v>0</v>
      </c>
      <c r="P881" t="n">
        <v>0</v>
      </c>
      <c r="Q881" t="n">
        <v>0</v>
      </c>
      <c r="R881" s="2" t="inlineStr"/>
    </row>
    <row r="882" ht="15" customHeight="1">
      <c r="A882" t="inlineStr">
        <is>
          <t>A 52972-2025</t>
        </is>
      </c>
      <c r="B882" s="1" t="n">
        <v>45957.67783564814</v>
      </c>
      <c r="C882" s="1" t="n">
        <v>46029</v>
      </c>
      <c r="D882" t="inlineStr">
        <is>
          <t>JÄMTLANDS LÄN</t>
        </is>
      </c>
      <c r="E882" t="inlineStr">
        <is>
          <t>RAGUNDA</t>
        </is>
      </c>
      <c r="F882" t="inlineStr">
        <is>
          <t>SCA</t>
        </is>
      </c>
      <c r="G882" t="n">
        <v>53.4</v>
      </c>
      <c r="H882" t="n">
        <v>0</v>
      </c>
      <c r="I882" t="n">
        <v>0</v>
      </c>
      <c r="J882" t="n">
        <v>0</v>
      </c>
      <c r="K882" t="n">
        <v>0</v>
      </c>
      <c r="L882" t="n">
        <v>0</v>
      </c>
      <c r="M882" t="n">
        <v>0</v>
      </c>
      <c r="N882" t="n">
        <v>0</v>
      </c>
      <c r="O882" t="n">
        <v>0</v>
      </c>
      <c r="P882" t="n">
        <v>0</v>
      </c>
      <c r="Q882" t="n">
        <v>0</v>
      </c>
      <c r="R882" s="2" t="inlineStr"/>
    </row>
    <row r="883" ht="15" customHeight="1">
      <c r="A883" t="inlineStr">
        <is>
          <t>A 53171-2024</t>
        </is>
      </c>
      <c r="B883" s="1" t="n">
        <v>45611.65679398148</v>
      </c>
      <c r="C883" s="1" t="n">
        <v>46029</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1523-2024</t>
        </is>
      </c>
      <c r="B884" s="1" t="n">
        <v>45306</v>
      </c>
      <c r="C884" s="1" t="n">
        <v>46029</v>
      </c>
      <c r="D884" t="inlineStr">
        <is>
          <t>JÄMTLANDS LÄN</t>
        </is>
      </c>
      <c r="E884" t="inlineStr">
        <is>
          <t>RAGUNDA</t>
        </is>
      </c>
      <c r="G884" t="n">
        <v>4.1</v>
      </c>
      <c r="H884" t="n">
        <v>0</v>
      </c>
      <c r="I884" t="n">
        <v>0</v>
      </c>
      <c r="J884" t="n">
        <v>0</v>
      </c>
      <c r="K884" t="n">
        <v>0</v>
      </c>
      <c r="L884" t="n">
        <v>0</v>
      </c>
      <c r="M884" t="n">
        <v>0</v>
      </c>
      <c r="N884" t="n">
        <v>0</v>
      </c>
      <c r="O884" t="n">
        <v>0</v>
      </c>
      <c r="P884" t="n">
        <v>0</v>
      </c>
      <c r="Q884" t="n">
        <v>0</v>
      </c>
      <c r="R884" s="2" t="inlineStr"/>
    </row>
    <row r="885" ht="15" customHeight="1">
      <c r="A885" t="inlineStr">
        <is>
          <t>A 64265-2023</t>
        </is>
      </c>
      <c r="B885" s="1" t="n">
        <v>45279.94572916667</v>
      </c>
      <c r="C885" s="1" t="n">
        <v>46029</v>
      </c>
      <c r="D885" t="inlineStr">
        <is>
          <t>JÄMTLANDS LÄN</t>
        </is>
      </c>
      <c r="E885" t="inlineStr">
        <is>
          <t>RAGUNDA</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53075-2025</t>
        </is>
      </c>
      <c r="B886" s="1" t="n">
        <v>45958.38584490741</v>
      </c>
      <c r="C886" s="1" t="n">
        <v>46029</v>
      </c>
      <c r="D886" t="inlineStr">
        <is>
          <t>JÄMTLANDS LÄN</t>
        </is>
      </c>
      <c r="E886" t="inlineStr">
        <is>
          <t>RAGUNDA</t>
        </is>
      </c>
      <c r="F886" t="inlineStr">
        <is>
          <t>SCA</t>
        </is>
      </c>
      <c r="G886" t="n">
        <v>28.9</v>
      </c>
      <c r="H886" t="n">
        <v>0</v>
      </c>
      <c r="I886" t="n">
        <v>0</v>
      </c>
      <c r="J886" t="n">
        <v>0</v>
      </c>
      <c r="K886" t="n">
        <v>0</v>
      </c>
      <c r="L886" t="n">
        <v>0</v>
      </c>
      <c r="M886" t="n">
        <v>0</v>
      </c>
      <c r="N886" t="n">
        <v>0</v>
      </c>
      <c r="O886" t="n">
        <v>0</v>
      </c>
      <c r="P886" t="n">
        <v>0</v>
      </c>
      <c r="Q886" t="n">
        <v>0</v>
      </c>
      <c r="R886" s="2" t="inlineStr"/>
    </row>
    <row r="887" ht="15" customHeight="1">
      <c r="A887" t="inlineStr">
        <is>
          <t>A 44605-2024</t>
        </is>
      </c>
      <c r="B887" s="1" t="n">
        <v>45574.51185185185</v>
      </c>
      <c r="C887" s="1" t="n">
        <v>46029</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61509-2025</t>
        </is>
      </c>
      <c r="B888" s="1" t="n">
        <v>46001.68189814815</v>
      </c>
      <c r="C888" s="1" t="n">
        <v>46029</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53726-2025</t>
        </is>
      </c>
      <c r="B889" s="1" t="n">
        <v>45960.63597222222</v>
      </c>
      <c r="C889" s="1" t="n">
        <v>46029</v>
      </c>
      <c r="D889" t="inlineStr">
        <is>
          <t>JÄMTLANDS LÄN</t>
        </is>
      </c>
      <c r="E889" t="inlineStr">
        <is>
          <t>RAGUNDA</t>
        </is>
      </c>
      <c r="F889" t="inlineStr">
        <is>
          <t>SCA</t>
        </is>
      </c>
      <c r="G889" t="n">
        <v>10.9</v>
      </c>
      <c r="H889" t="n">
        <v>0</v>
      </c>
      <c r="I889" t="n">
        <v>0</v>
      </c>
      <c r="J889" t="n">
        <v>0</v>
      </c>
      <c r="K889" t="n">
        <v>0</v>
      </c>
      <c r="L889" t="n">
        <v>0</v>
      </c>
      <c r="M889" t="n">
        <v>0</v>
      </c>
      <c r="N889" t="n">
        <v>0</v>
      </c>
      <c r="O889" t="n">
        <v>0</v>
      </c>
      <c r="P889" t="n">
        <v>0</v>
      </c>
      <c r="Q889" t="n">
        <v>0</v>
      </c>
      <c r="R889" s="2" t="inlineStr"/>
    </row>
    <row r="890" ht="15" customHeight="1">
      <c r="A890" t="inlineStr">
        <is>
          <t>A 61697-2025</t>
        </is>
      </c>
      <c r="B890" s="1" t="n">
        <v>46002</v>
      </c>
      <c r="C890" s="1" t="n">
        <v>46029</v>
      </c>
      <c r="D890" t="inlineStr">
        <is>
          <t>JÄMTLANDS LÄN</t>
        </is>
      </c>
      <c r="E890" t="inlineStr">
        <is>
          <t>RAGUNDA</t>
        </is>
      </c>
      <c r="G890" t="n">
        <v>1.3</v>
      </c>
      <c r="H890" t="n">
        <v>0</v>
      </c>
      <c r="I890" t="n">
        <v>0</v>
      </c>
      <c r="J890" t="n">
        <v>0</v>
      </c>
      <c r="K890" t="n">
        <v>0</v>
      </c>
      <c r="L890" t="n">
        <v>0</v>
      </c>
      <c r="M890" t="n">
        <v>0</v>
      </c>
      <c r="N890" t="n">
        <v>0</v>
      </c>
      <c r="O890" t="n">
        <v>0</v>
      </c>
      <c r="P890" t="n">
        <v>0</v>
      </c>
      <c r="Q890" t="n">
        <v>0</v>
      </c>
      <c r="R890" s="2" t="inlineStr"/>
    </row>
    <row r="891" ht="15" customHeight="1">
      <c r="A891" t="inlineStr">
        <is>
          <t>A 53136-2024</t>
        </is>
      </c>
      <c r="B891" s="1" t="n">
        <v>45611.5953125</v>
      </c>
      <c r="C891" s="1" t="n">
        <v>46029</v>
      </c>
      <c r="D891" t="inlineStr">
        <is>
          <t>JÄMTLANDS LÄN</t>
        </is>
      </c>
      <c r="E891" t="inlineStr">
        <is>
          <t>RAGUNDA</t>
        </is>
      </c>
      <c r="G891" t="n">
        <v>3.8</v>
      </c>
      <c r="H891" t="n">
        <v>0</v>
      </c>
      <c r="I891" t="n">
        <v>0</v>
      </c>
      <c r="J891" t="n">
        <v>0</v>
      </c>
      <c r="K891" t="n">
        <v>0</v>
      </c>
      <c r="L891" t="n">
        <v>0</v>
      </c>
      <c r="M891" t="n">
        <v>0</v>
      </c>
      <c r="N891" t="n">
        <v>0</v>
      </c>
      <c r="O891" t="n">
        <v>0</v>
      </c>
      <c r="P891" t="n">
        <v>0</v>
      </c>
      <c r="Q891" t="n">
        <v>0</v>
      </c>
      <c r="R891" s="2" t="inlineStr"/>
    </row>
    <row r="892" ht="15" customHeight="1">
      <c r="A892" t="inlineStr">
        <is>
          <t>A 52228-2024</t>
        </is>
      </c>
      <c r="B892" s="1" t="n">
        <v>45608.6078587963</v>
      </c>
      <c r="C892" s="1" t="n">
        <v>46029</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25304-2023</t>
        </is>
      </c>
      <c r="B893" s="1" t="n">
        <v>45086</v>
      </c>
      <c r="C893" s="1" t="n">
        <v>46029</v>
      </c>
      <c r="D893" t="inlineStr">
        <is>
          <t>JÄMTLANDS LÄN</t>
        </is>
      </c>
      <c r="E893" t="inlineStr">
        <is>
          <t>RAGUNDA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59372-2024</t>
        </is>
      </c>
      <c r="B894" s="1" t="n">
        <v>45638.34431712963</v>
      </c>
      <c r="C894" s="1" t="n">
        <v>46029</v>
      </c>
      <c r="D894" t="inlineStr">
        <is>
          <t>JÄMTLANDS LÄN</t>
        </is>
      </c>
      <c r="E894" t="inlineStr">
        <is>
          <t>RAGUNDA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62115-2024</t>
        </is>
      </c>
      <c r="B895" s="1" t="n">
        <v>45656</v>
      </c>
      <c r="C895" s="1" t="n">
        <v>46029</v>
      </c>
      <c r="D895" t="inlineStr">
        <is>
          <t>JÄMTLANDS LÄN</t>
        </is>
      </c>
      <c r="E895" t="inlineStr">
        <is>
          <t>RAGUNDA</t>
        </is>
      </c>
      <c r="G895" t="n">
        <v>3.3</v>
      </c>
      <c r="H895" t="n">
        <v>0</v>
      </c>
      <c r="I895" t="n">
        <v>0</v>
      </c>
      <c r="J895" t="n">
        <v>0</v>
      </c>
      <c r="K895" t="n">
        <v>0</v>
      </c>
      <c r="L895" t="n">
        <v>0</v>
      </c>
      <c r="M895" t="n">
        <v>0</v>
      </c>
      <c r="N895" t="n">
        <v>0</v>
      </c>
      <c r="O895" t="n">
        <v>0</v>
      </c>
      <c r="P895" t="n">
        <v>0</v>
      </c>
      <c r="Q895" t="n">
        <v>0</v>
      </c>
      <c r="R895" s="2" t="inlineStr"/>
    </row>
    <row r="896" ht="15" customHeight="1">
      <c r="A896" t="inlineStr">
        <is>
          <t>A 4594-2024</t>
        </is>
      </c>
      <c r="B896" s="1" t="n">
        <v>45327.94459490741</v>
      </c>
      <c r="C896" s="1" t="n">
        <v>46029</v>
      </c>
      <c r="D896" t="inlineStr">
        <is>
          <t>JÄMTLANDS LÄN</t>
        </is>
      </c>
      <c r="E896" t="inlineStr">
        <is>
          <t>RAGUNDA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52578-2025</t>
        </is>
      </c>
      <c r="B897" s="1" t="n">
        <v>45954.61508101852</v>
      </c>
      <c r="C897" s="1" t="n">
        <v>46029</v>
      </c>
      <c r="D897" t="inlineStr">
        <is>
          <t>JÄMTLANDS LÄN</t>
        </is>
      </c>
      <c r="E897" t="inlineStr">
        <is>
          <t>RAGUNDA</t>
        </is>
      </c>
      <c r="F897" t="inlineStr">
        <is>
          <t>SCA</t>
        </is>
      </c>
      <c r="G897" t="n">
        <v>25.2</v>
      </c>
      <c r="H897" t="n">
        <v>0</v>
      </c>
      <c r="I897" t="n">
        <v>0</v>
      </c>
      <c r="J897" t="n">
        <v>0</v>
      </c>
      <c r="K897" t="n">
        <v>0</v>
      </c>
      <c r="L897" t="n">
        <v>0</v>
      </c>
      <c r="M897" t="n">
        <v>0</v>
      </c>
      <c r="N897" t="n">
        <v>0</v>
      </c>
      <c r="O897" t="n">
        <v>0</v>
      </c>
      <c r="P897" t="n">
        <v>0</v>
      </c>
      <c r="Q897" t="n">
        <v>0</v>
      </c>
      <c r="R897" s="2" t="inlineStr"/>
    </row>
    <row r="898" ht="15" customHeight="1">
      <c r="A898" t="inlineStr">
        <is>
          <t>A 3018-2024</t>
        </is>
      </c>
      <c r="B898" s="1" t="n">
        <v>45315.9492824074</v>
      </c>
      <c r="C898" s="1" t="n">
        <v>46029</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53727-2025</t>
        </is>
      </c>
      <c r="B899" s="1" t="n">
        <v>45960.63630787037</v>
      </c>
      <c r="C899" s="1" t="n">
        <v>46029</v>
      </c>
      <c r="D899" t="inlineStr">
        <is>
          <t>JÄMTLANDS LÄN</t>
        </is>
      </c>
      <c r="E899" t="inlineStr">
        <is>
          <t>RAGUNDA</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53748-2025</t>
        </is>
      </c>
      <c r="B900" s="1" t="n">
        <v>45960.65673611111</v>
      </c>
      <c r="C900" s="1" t="n">
        <v>46029</v>
      </c>
      <c r="D900" t="inlineStr">
        <is>
          <t>JÄMTLANDS LÄN</t>
        </is>
      </c>
      <c r="E900" t="inlineStr">
        <is>
          <t>RAGUNDA</t>
        </is>
      </c>
      <c r="F900" t="inlineStr">
        <is>
          <t>SCA</t>
        </is>
      </c>
      <c r="G900" t="n">
        <v>14.9</v>
      </c>
      <c r="H900" t="n">
        <v>0</v>
      </c>
      <c r="I900" t="n">
        <v>0</v>
      </c>
      <c r="J900" t="n">
        <v>0</v>
      </c>
      <c r="K900" t="n">
        <v>0</v>
      </c>
      <c r="L900" t="n">
        <v>0</v>
      </c>
      <c r="M900" t="n">
        <v>0</v>
      </c>
      <c r="N900" t="n">
        <v>0</v>
      </c>
      <c r="O900" t="n">
        <v>0</v>
      </c>
      <c r="P900" t="n">
        <v>0</v>
      </c>
      <c r="Q900" t="n">
        <v>0</v>
      </c>
      <c r="R900" s="2" t="inlineStr"/>
    </row>
    <row r="901" ht="15" customHeight="1">
      <c r="A901" t="inlineStr">
        <is>
          <t>A 48065-2023</t>
        </is>
      </c>
      <c r="B901" s="1" t="n">
        <v>45204.94399305555</v>
      </c>
      <c r="C901" s="1" t="n">
        <v>46029</v>
      </c>
      <c r="D901" t="inlineStr">
        <is>
          <t>JÄMTLANDS LÄN</t>
        </is>
      </c>
      <c r="E901" t="inlineStr">
        <is>
          <t>RAGUNDA</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44597-2024</t>
        </is>
      </c>
      <c r="B902" s="1" t="n">
        <v>45574.51087962963</v>
      </c>
      <c r="C902" s="1" t="n">
        <v>46029</v>
      </c>
      <c r="D902" t="inlineStr">
        <is>
          <t>JÄMTLANDS LÄN</t>
        </is>
      </c>
      <c r="E902" t="inlineStr">
        <is>
          <t>RAGUNDA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44598-2024</t>
        </is>
      </c>
      <c r="B903" s="1" t="n">
        <v>45574.51090277778</v>
      </c>
      <c r="C903" s="1" t="n">
        <v>46029</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49659-2023</t>
        </is>
      </c>
      <c r="B904" s="1" t="n">
        <v>45211.95134259259</v>
      </c>
      <c r="C904" s="1" t="n">
        <v>46029</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53109-2025</t>
        </is>
      </c>
      <c r="B905" s="1" t="n">
        <v>45958</v>
      </c>
      <c r="C905" s="1" t="n">
        <v>46029</v>
      </c>
      <c r="D905" t="inlineStr">
        <is>
          <t>JÄMTLANDS LÄN</t>
        </is>
      </c>
      <c r="E905" t="inlineStr">
        <is>
          <t>RAGUNDA</t>
        </is>
      </c>
      <c r="G905" t="n">
        <v>2.1</v>
      </c>
      <c r="H905" t="n">
        <v>0</v>
      </c>
      <c r="I905" t="n">
        <v>0</v>
      </c>
      <c r="J905" t="n">
        <v>0</v>
      </c>
      <c r="K905" t="n">
        <v>0</v>
      </c>
      <c r="L905" t="n">
        <v>0</v>
      </c>
      <c r="M905" t="n">
        <v>0</v>
      </c>
      <c r="N905" t="n">
        <v>0</v>
      </c>
      <c r="O905" t="n">
        <v>0</v>
      </c>
      <c r="P905" t="n">
        <v>0</v>
      </c>
      <c r="Q905" t="n">
        <v>0</v>
      </c>
      <c r="R905" s="2" t="inlineStr"/>
    </row>
    <row r="906" ht="15" customHeight="1">
      <c r="A906" t="inlineStr">
        <is>
          <t>A 23734-2024</t>
        </is>
      </c>
      <c r="B906" s="1" t="n">
        <v>45454.95960648148</v>
      </c>
      <c r="C906" s="1" t="n">
        <v>46029</v>
      </c>
      <c r="D906" t="inlineStr">
        <is>
          <t>JÄMTLANDS LÄN</t>
        </is>
      </c>
      <c r="E906" t="inlineStr">
        <is>
          <t>RAGUNDA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53549-2025</t>
        </is>
      </c>
      <c r="B907" s="1" t="n">
        <v>45960.38576388889</v>
      </c>
      <c r="C907" s="1" t="n">
        <v>46029</v>
      </c>
      <c r="D907" t="inlineStr">
        <is>
          <t>JÄMTLANDS LÄN</t>
        </is>
      </c>
      <c r="E907" t="inlineStr">
        <is>
          <t>RAGUNDA</t>
        </is>
      </c>
      <c r="G907" t="n">
        <v>5.4</v>
      </c>
      <c r="H907" t="n">
        <v>0</v>
      </c>
      <c r="I907" t="n">
        <v>0</v>
      </c>
      <c r="J907" t="n">
        <v>0</v>
      </c>
      <c r="K907" t="n">
        <v>0</v>
      </c>
      <c r="L907" t="n">
        <v>0</v>
      </c>
      <c r="M907" t="n">
        <v>0</v>
      </c>
      <c r="N907" t="n">
        <v>0</v>
      </c>
      <c r="O907" t="n">
        <v>0</v>
      </c>
      <c r="P907" t="n">
        <v>0</v>
      </c>
      <c r="Q907" t="n">
        <v>0</v>
      </c>
      <c r="R907" s="2" t="inlineStr"/>
    </row>
    <row r="908" ht="15" customHeight="1">
      <c r="A908" t="inlineStr">
        <is>
          <t>A 53765-2025</t>
        </is>
      </c>
      <c r="B908" s="1" t="n">
        <v>45960.67753472222</v>
      </c>
      <c r="C908" s="1" t="n">
        <v>46029</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12653-2024</t>
        </is>
      </c>
      <c r="B909" s="1" t="n">
        <v>45384</v>
      </c>
      <c r="C909" s="1" t="n">
        <v>46029</v>
      </c>
      <c r="D909" t="inlineStr">
        <is>
          <t>JÄMTLANDS LÄN</t>
        </is>
      </c>
      <c r="E909" t="inlineStr">
        <is>
          <t>RAGUNDA</t>
        </is>
      </c>
      <c r="G909" t="n">
        <v>1.1</v>
      </c>
      <c r="H909" t="n">
        <v>0</v>
      </c>
      <c r="I909" t="n">
        <v>0</v>
      </c>
      <c r="J909" t="n">
        <v>0</v>
      </c>
      <c r="K909" t="n">
        <v>0</v>
      </c>
      <c r="L909" t="n">
        <v>0</v>
      </c>
      <c r="M909" t="n">
        <v>0</v>
      </c>
      <c r="N909" t="n">
        <v>0</v>
      </c>
      <c r="O909" t="n">
        <v>0</v>
      </c>
      <c r="P909" t="n">
        <v>0</v>
      </c>
      <c r="Q909" t="n">
        <v>0</v>
      </c>
      <c r="R909" s="2" t="inlineStr"/>
    </row>
    <row r="910" ht="15" customHeight="1">
      <c r="A910" t="inlineStr">
        <is>
          <t>A 53986-2025</t>
        </is>
      </c>
      <c r="B910" s="1" t="n">
        <v>45961.57381944444</v>
      </c>
      <c r="C910" s="1" t="n">
        <v>46029</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53951-2025</t>
        </is>
      </c>
      <c r="B911" s="1" t="n">
        <v>45961.50200231482</v>
      </c>
      <c r="C911" s="1" t="n">
        <v>46029</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53975-2025</t>
        </is>
      </c>
      <c r="B912" s="1" t="n">
        <v>45961.55277777778</v>
      </c>
      <c r="C912" s="1" t="n">
        <v>46029</v>
      </c>
      <c r="D912" t="inlineStr">
        <is>
          <t>JÄMTLANDS LÄN</t>
        </is>
      </c>
      <c r="E912" t="inlineStr">
        <is>
          <t>RAGUNDA</t>
        </is>
      </c>
      <c r="F912" t="inlineStr">
        <is>
          <t>SCA</t>
        </is>
      </c>
      <c r="G912" t="n">
        <v>21.9</v>
      </c>
      <c r="H912" t="n">
        <v>0</v>
      </c>
      <c r="I912" t="n">
        <v>0</v>
      </c>
      <c r="J912" t="n">
        <v>0</v>
      </c>
      <c r="K912" t="n">
        <v>0</v>
      </c>
      <c r="L912" t="n">
        <v>0</v>
      </c>
      <c r="M912" t="n">
        <v>0</v>
      </c>
      <c r="N912" t="n">
        <v>0</v>
      </c>
      <c r="O912" t="n">
        <v>0</v>
      </c>
      <c r="P912" t="n">
        <v>0</v>
      </c>
      <c r="Q912" t="n">
        <v>0</v>
      </c>
      <c r="R912" s="2" t="inlineStr"/>
    </row>
    <row r="913" ht="15" customHeight="1">
      <c r="A913" t="inlineStr">
        <is>
          <t>A 54195-2025</t>
        </is>
      </c>
      <c r="B913" s="1" t="n">
        <v>45964.57413194444</v>
      </c>
      <c r="C913" s="1" t="n">
        <v>46029</v>
      </c>
      <c r="D913" t="inlineStr">
        <is>
          <t>JÄMTLANDS LÄN</t>
        </is>
      </c>
      <c r="E913" t="inlineStr">
        <is>
          <t>RAGUNDA</t>
        </is>
      </c>
      <c r="F913" t="inlineStr">
        <is>
          <t>SCA</t>
        </is>
      </c>
      <c r="G913" t="n">
        <v>5.3</v>
      </c>
      <c r="H913" t="n">
        <v>0</v>
      </c>
      <c r="I913" t="n">
        <v>0</v>
      </c>
      <c r="J913" t="n">
        <v>0</v>
      </c>
      <c r="K913" t="n">
        <v>0</v>
      </c>
      <c r="L913" t="n">
        <v>0</v>
      </c>
      <c r="M913" t="n">
        <v>0</v>
      </c>
      <c r="N913" t="n">
        <v>0</v>
      </c>
      <c r="O913" t="n">
        <v>0</v>
      </c>
      <c r="P913" t="n">
        <v>0</v>
      </c>
      <c r="Q913" t="n">
        <v>0</v>
      </c>
      <c r="R913" s="2" t="inlineStr"/>
    </row>
    <row r="914" ht="15" customHeight="1">
      <c r="A914" t="inlineStr">
        <is>
          <t>A 34483-2023</t>
        </is>
      </c>
      <c r="B914" s="1" t="n">
        <v>45139.94681712963</v>
      </c>
      <c r="C914" s="1" t="n">
        <v>46029</v>
      </c>
      <c r="D914" t="inlineStr">
        <is>
          <t>JÄMTLANDS LÄN</t>
        </is>
      </c>
      <c r="E914" t="inlineStr">
        <is>
          <t>RAGUNDA</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23567-2024</t>
        </is>
      </c>
      <c r="B915" s="1" t="n">
        <v>45453.95538194444</v>
      </c>
      <c r="C915" s="1" t="n">
        <v>46029</v>
      </c>
      <c r="D915" t="inlineStr">
        <is>
          <t>JÄMTLANDS LÄN</t>
        </is>
      </c>
      <c r="E915" t="inlineStr">
        <is>
          <t>RAGUNDA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57116-2024</t>
        </is>
      </c>
      <c r="B916" s="1" t="n">
        <v>45629.36513888889</v>
      </c>
      <c r="C916" s="1" t="n">
        <v>46029</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38312-2024</t>
        </is>
      </c>
      <c r="B917" s="1" t="n">
        <v>45545.64957175926</v>
      </c>
      <c r="C917" s="1" t="n">
        <v>46029</v>
      </c>
      <c r="D917" t="inlineStr">
        <is>
          <t>JÄMTLANDS LÄN</t>
        </is>
      </c>
      <c r="E917" t="inlineStr">
        <is>
          <t>RAGUNDA</t>
        </is>
      </c>
      <c r="G917" t="n">
        <v>1.2</v>
      </c>
      <c r="H917" t="n">
        <v>0</v>
      </c>
      <c r="I917" t="n">
        <v>0</v>
      </c>
      <c r="J917" t="n">
        <v>0</v>
      </c>
      <c r="K917" t="n">
        <v>0</v>
      </c>
      <c r="L917" t="n">
        <v>0</v>
      </c>
      <c r="M917" t="n">
        <v>0</v>
      </c>
      <c r="N917" t="n">
        <v>0</v>
      </c>
      <c r="O917" t="n">
        <v>0</v>
      </c>
      <c r="P917" t="n">
        <v>0</v>
      </c>
      <c r="Q917" t="n">
        <v>0</v>
      </c>
      <c r="R917" s="2" t="inlineStr"/>
    </row>
    <row r="918" ht="15" customHeight="1">
      <c r="A918" t="inlineStr">
        <is>
          <t>A 53948-2025</t>
        </is>
      </c>
      <c r="B918" s="1" t="n">
        <v>45961.50033564815</v>
      </c>
      <c r="C918" s="1" t="n">
        <v>46029</v>
      </c>
      <c r="D918" t="inlineStr">
        <is>
          <t>JÄMTLANDS LÄN</t>
        </is>
      </c>
      <c r="E918" t="inlineStr">
        <is>
          <t>RAGUNDA</t>
        </is>
      </c>
      <c r="G918" t="n">
        <v>7.9</v>
      </c>
      <c r="H918" t="n">
        <v>0</v>
      </c>
      <c r="I918" t="n">
        <v>0</v>
      </c>
      <c r="J918" t="n">
        <v>0</v>
      </c>
      <c r="K918" t="n">
        <v>0</v>
      </c>
      <c r="L918" t="n">
        <v>0</v>
      </c>
      <c r="M918" t="n">
        <v>0</v>
      </c>
      <c r="N918" t="n">
        <v>0</v>
      </c>
      <c r="O918" t="n">
        <v>0</v>
      </c>
      <c r="P918" t="n">
        <v>0</v>
      </c>
      <c r="Q918" t="n">
        <v>0</v>
      </c>
      <c r="R918" s="2" t="inlineStr"/>
    </row>
    <row r="919" ht="15" customHeight="1">
      <c r="A919" t="inlineStr">
        <is>
          <t>A 9262-2025</t>
        </is>
      </c>
      <c r="B919" s="1" t="n">
        <v>45714.60649305556</v>
      </c>
      <c r="C919" s="1" t="n">
        <v>46029</v>
      </c>
      <c r="D919" t="inlineStr">
        <is>
          <t>JÄMTLANDS LÄN</t>
        </is>
      </c>
      <c r="E919" t="inlineStr">
        <is>
          <t>RAGUNDA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16982-2024</t>
        </is>
      </c>
      <c r="B920" s="1" t="n">
        <v>45412.02506944445</v>
      </c>
      <c r="C920" s="1" t="n">
        <v>46029</v>
      </c>
      <c r="D920" t="inlineStr">
        <is>
          <t>JÄMTLANDS LÄN</t>
        </is>
      </c>
      <c r="E920" t="inlineStr">
        <is>
          <t>RAGUNDA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53973-2025</t>
        </is>
      </c>
      <c r="B921" s="1" t="n">
        <v>45961.55246527777</v>
      </c>
      <c r="C921" s="1" t="n">
        <v>46029</v>
      </c>
      <c r="D921" t="inlineStr">
        <is>
          <t>JÄMTLANDS LÄN</t>
        </is>
      </c>
      <c r="E921" t="inlineStr">
        <is>
          <t>RAGUNDA</t>
        </is>
      </c>
      <c r="G921" t="n">
        <v>2.4</v>
      </c>
      <c r="H921" t="n">
        <v>0</v>
      </c>
      <c r="I921" t="n">
        <v>0</v>
      </c>
      <c r="J921" t="n">
        <v>0</v>
      </c>
      <c r="K921" t="n">
        <v>0</v>
      </c>
      <c r="L921" t="n">
        <v>0</v>
      </c>
      <c r="M921" t="n">
        <v>0</v>
      </c>
      <c r="N921" t="n">
        <v>0</v>
      </c>
      <c r="O921" t="n">
        <v>0</v>
      </c>
      <c r="P921" t="n">
        <v>0</v>
      </c>
      <c r="Q921" t="n">
        <v>0</v>
      </c>
      <c r="R921" s="2" t="inlineStr"/>
    </row>
    <row r="922" ht="15" customHeight="1">
      <c r="A922" t="inlineStr">
        <is>
          <t>A 62819-2025</t>
        </is>
      </c>
      <c r="B922" s="1" t="n">
        <v>46008</v>
      </c>
      <c r="C922" s="1" t="n">
        <v>46029</v>
      </c>
      <c r="D922" t="inlineStr">
        <is>
          <t>JÄMTLANDS LÄN</t>
        </is>
      </c>
      <c r="E922" t="inlineStr">
        <is>
          <t>RAGUNDA</t>
        </is>
      </c>
      <c r="G922" t="n">
        <v>3.5</v>
      </c>
      <c r="H922" t="n">
        <v>0</v>
      </c>
      <c r="I922" t="n">
        <v>0</v>
      </c>
      <c r="J922" t="n">
        <v>0</v>
      </c>
      <c r="K922" t="n">
        <v>0</v>
      </c>
      <c r="L922" t="n">
        <v>0</v>
      </c>
      <c r="M922" t="n">
        <v>0</v>
      </c>
      <c r="N922" t="n">
        <v>0</v>
      </c>
      <c r="O922" t="n">
        <v>0</v>
      </c>
      <c r="P922" t="n">
        <v>0</v>
      </c>
      <c r="Q922" t="n">
        <v>0</v>
      </c>
      <c r="R922" s="2" t="inlineStr"/>
    </row>
    <row r="923" ht="15" customHeight="1">
      <c r="A923" t="inlineStr">
        <is>
          <t>A 62432-2025</t>
        </is>
      </c>
      <c r="B923" s="1" t="n">
        <v>46007</v>
      </c>
      <c r="C923" s="1" t="n">
        <v>46029</v>
      </c>
      <c r="D923" t="inlineStr">
        <is>
          <t>JÄMTLANDS LÄN</t>
        </is>
      </c>
      <c r="E923" t="inlineStr">
        <is>
          <t>RAGUNDA</t>
        </is>
      </c>
      <c r="G923" t="n">
        <v>4.7</v>
      </c>
      <c r="H923" t="n">
        <v>0</v>
      </c>
      <c r="I923" t="n">
        <v>0</v>
      </c>
      <c r="J923" t="n">
        <v>0</v>
      </c>
      <c r="K923" t="n">
        <v>0</v>
      </c>
      <c r="L923" t="n">
        <v>0</v>
      </c>
      <c r="M923" t="n">
        <v>0</v>
      </c>
      <c r="N923" t="n">
        <v>0</v>
      </c>
      <c r="O923" t="n">
        <v>0</v>
      </c>
      <c r="P923" t="n">
        <v>0</v>
      </c>
      <c r="Q923" t="n">
        <v>0</v>
      </c>
      <c r="R923" s="2" t="inlineStr"/>
    </row>
    <row r="924" ht="15" customHeight="1">
      <c r="A924" t="inlineStr">
        <is>
          <t>A 62436-2025</t>
        </is>
      </c>
      <c r="B924" s="1" t="n">
        <v>46007</v>
      </c>
      <c r="C924" s="1" t="n">
        <v>46029</v>
      </c>
      <c r="D924" t="inlineStr">
        <is>
          <t>JÄMTLANDS LÄN</t>
        </is>
      </c>
      <c r="E924" t="inlineStr">
        <is>
          <t>RAGUNDA</t>
        </is>
      </c>
      <c r="G924" t="n">
        <v>0.7</v>
      </c>
      <c r="H924" t="n">
        <v>0</v>
      </c>
      <c r="I924" t="n">
        <v>0</v>
      </c>
      <c r="J924" t="n">
        <v>0</v>
      </c>
      <c r="K924" t="n">
        <v>0</v>
      </c>
      <c r="L924" t="n">
        <v>0</v>
      </c>
      <c r="M924" t="n">
        <v>0</v>
      </c>
      <c r="N924" t="n">
        <v>0</v>
      </c>
      <c r="O924" t="n">
        <v>0</v>
      </c>
      <c r="P924" t="n">
        <v>0</v>
      </c>
      <c r="Q924" t="n">
        <v>0</v>
      </c>
      <c r="R924" s="2" t="inlineStr"/>
    </row>
    <row r="925" ht="15" customHeight="1">
      <c r="A925" t="inlineStr">
        <is>
          <t>A 54396-2025</t>
        </is>
      </c>
      <c r="B925" s="1" t="n">
        <v>45965.44849537037</v>
      </c>
      <c r="C925" s="1" t="n">
        <v>46029</v>
      </c>
      <c r="D925" t="inlineStr">
        <is>
          <t>JÄMTLANDS LÄN</t>
        </is>
      </c>
      <c r="E925" t="inlineStr">
        <is>
          <t>RAGUNDA</t>
        </is>
      </c>
      <c r="F925" t="inlineStr">
        <is>
          <t>SCA</t>
        </is>
      </c>
      <c r="G925" t="n">
        <v>35.2</v>
      </c>
      <c r="H925" t="n">
        <v>0</v>
      </c>
      <c r="I925" t="n">
        <v>0</v>
      </c>
      <c r="J925" t="n">
        <v>0</v>
      </c>
      <c r="K925" t="n">
        <v>0</v>
      </c>
      <c r="L925" t="n">
        <v>0</v>
      </c>
      <c r="M925" t="n">
        <v>0</v>
      </c>
      <c r="N925" t="n">
        <v>0</v>
      </c>
      <c r="O925" t="n">
        <v>0</v>
      </c>
      <c r="P925" t="n">
        <v>0</v>
      </c>
      <c r="Q925" t="n">
        <v>0</v>
      </c>
      <c r="R925" s="2" t="inlineStr"/>
    </row>
    <row r="926" ht="15" customHeight="1">
      <c r="A926" t="inlineStr">
        <is>
          <t>A 58564-2024</t>
        </is>
      </c>
      <c r="B926" s="1" t="n">
        <v>45635.47243055556</v>
      </c>
      <c r="C926" s="1" t="n">
        <v>46029</v>
      </c>
      <c r="D926" t="inlineStr">
        <is>
          <t>JÄMTLANDS LÄN</t>
        </is>
      </c>
      <c r="E926" t="inlineStr">
        <is>
          <t>RAGUNDA</t>
        </is>
      </c>
      <c r="G926" t="n">
        <v>2.6</v>
      </c>
      <c r="H926" t="n">
        <v>0</v>
      </c>
      <c r="I926" t="n">
        <v>0</v>
      </c>
      <c r="J926" t="n">
        <v>0</v>
      </c>
      <c r="K926" t="n">
        <v>0</v>
      </c>
      <c r="L926" t="n">
        <v>0</v>
      </c>
      <c r="M926" t="n">
        <v>0</v>
      </c>
      <c r="N926" t="n">
        <v>0</v>
      </c>
      <c r="O926" t="n">
        <v>0</v>
      </c>
      <c r="P926" t="n">
        <v>0</v>
      </c>
      <c r="Q926" t="n">
        <v>0</v>
      </c>
      <c r="R926" s="2" t="inlineStr"/>
    </row>
    <row r="927" ht="15" customHeight="1">
      <c r="A927" t="inlineStr">
        <is>
          <t>A 50157-2023</t>
        </is>
      </c>
      <c r="B927" s="1" t="n">
        <v>45208</v>
      </c>
      <c r="C927" s="1" t="n">
        <v>46029</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53144-2024</t>
        </is>
      </c>
      <c r="B928" s="1" t="n">
        <v>45611</v>
      </c>
      <c r="C928" s="1" t="n">
        <v>46029</v>
      </c>
      <c r="D928" t="inlineStr">
        <is>
          <t>JÄMTLANDS LÄN</t>
        </is>
      </c>
      <c r="E928" t="inlineStr">
        <is>
          <t>RAGUNDA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5806-2025</t>
        </is>
      </c>
      <c r="B929" s="1" t="n">
        <v>45694.69826388889</v>
      </c>
      <c r="C929" s="1" t="n">
        <v>46029</v>
      </c>
      <c r="D929" t="inlineStr">
        <is>
          <t>JÄMTLANDS LÄN</t>
        </is>
      </c>
      <c r="E929" t="inlineStr">
        <is>
          <t>RAGUNDA</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58909-2025</t>
        </is>
      </c>
      <c r="B930" s="1" t="n">
        <v>45987</v>
      </c>
      <c r="C930" s="1" t="n">
        <v>46029</v>
      </c>
      <c r="D930" t="inlineStr">
        <is>
          <t>JÄMTLANDS LÄN</t>
        </is>
      </c>
      <c r="E930" t="inlineStr">
        <is>
          <t>RAGUNDA</t>
        </is>
      </c>
      <c r="G930" t="n">
        <v>9.5</v>
      </c>
      <c r="H930" t="n">
        <v>0</v>
      </c>
      <c r="I930" t="n">
        <v>0</v>
      </c>
      <c r="J930" t="n">
        <v>0</v>
      </c>
      <c r="K930" t="n">
        <v>0</v>
      </c>
      <c r="L930" t="n">
        <v>0</v>
      </c>
      <c r="M930" t="n">
        <v>0</v>
      </c>
      <c r="N930" t="n">
        <v>0</v>
      </c>
      <c r="O930" t="n">
        <v>0</v>
      </c>
      <c r="P930" t="n">
        <v>0</v>
      </c>
      <c r="Q930" t="n">
        <v>0</v>
      </c>
      <c r="R930" s="2" t="inlineStr"/>
    </row>
    <row r="931" ht="15" customHeight="1">
      <c r="A931" t="inlineStr">
        <is>
          <t>A 62638-2025</t>
        </is>
      </c>
      <c r="B931" s="1" t="n">
        <v>46008.36564814814</v>
      </c>
      <c r="C931" s="1" t="n">
        <v>46029</v>
      </c>
      <c r="D931" t="inlineStr">
        <is>
          <t>JÄMTLANDS LÄN</t>
        </is>
      </c>
      <c r="E931" t="inlineStr">
        <is>
          <t>RAGUNDA</t>
        </is>
      </c>
      <c r="G931" t="n">
        <v>0.9</v>
      </c>
      <c r="H931" t="n">
        <v>0</v>
      </c>
      <c r="I931" t="n">
        <v>0</v>
      </c>
      <c r="J931" t="n">
        <v>0</v>
      </c>
      <c r="K931" t="n">
        <v>0</v>
      </c>
      <c r="L931" t="n">
        <v>0</v>
      </c>
      <c r="M931" t="n">
        <v>0</v>
      </c>
      <c r="N931" t="n">
        <v>0</v>
      </c>
      <c r="O931" t="n">
        <v>0</v>
      </c>
      <c r="P931" t="n">
        <v>0</v>
      </c>
      <c r="Q931" t="n">
        <v>0</v>
      </c>
      <c r="R931" s="2" t="inlineStr"/>
    </row>
    <row r="932" ht="15" customHeight="1">
      <c r="A932" t="inlineStr">
        <is>
          <t>A 20773-2024</t>
        </is>
      </c>
      <c r="B932" s="1" t="n">
        <v>45436.94636574074</v>
      </c>
      <c r="C932" s="1" t="n">
        <v>46029</v>
      </c>
      <c r="D932" t="inlineStr">
        <is>
          <t>JÄMTLANDS LÄN</t>
        </is>
      </c>
      <c r="E932" t="inlineStr">
        <is>
          <t>RAGUNDA</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62467-2025</t>
        </is>
      </c>
      <c r="B933" s="1" t="n">
        <v>46007.5108912037</v>
      </c>
      <c r="C933" s="1" t="n">
        <v>46029</v>
      </c>
      <c r="D933" t="inlineStr">
        <is>
          <t>JÄMTLANDS LÄN</t>
        </is>
      </c>
      <c r="E933" t="inlineStr">
        <is>
          <t>RAGUNDA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54820-2025</t>
        </is>
      </c>
      <c r="B934" s="1" t="n">
        <v>45966.65728009259</v>
      </c>
      <c r="C934" s="1" t="n">
        <v>46029</v>
      </c>
      <c r="D934" t="inlineStr">
        <is>
          <t>JÄMTLANDS LÄN</t>
        </is>
      </c>
      <c r="E934" t="inlineStr">
        <is>
          <t>RAGUNDA</t>
        </is>
      </c>
      <c r="G934" t="n">
        <v>15.3</v>
      </c>
      <c r="H934" t="n">
        <v>0</v>
      </c>
      <c r="I934" t="n">
        <v>0</v>
      </c>
      <c r="J934" t="n">
        <v>0</v>
      </c>
      <c r="K934" t="n">
        <v>0</v>
      </c>
      <c r="L934" t="n">
        <v>0</v>
      </c>
      <c r="M934" t="n">
        <v>0</v>
      </c>
      <c r="N934" t="n">
        <v>0</v>
      </c>
      <c r="O934" t="n">
        <v>0</v>
      </c>
      <c r="P934" t="n">
        <v>0</v>
      </c>
      <c r="Q934" t="n">
        <v>0</v>
      </c>
      <c r="R934" s="2" t="inlineStr"/>
    </row>
    <row r="935" ht="15" customHeight="1">
      <c r="A935" t="inlineStr">
        <is>
          <t>A 50160-2023</t>
        </is>
      </c>
      <c r="B935" s="1" t="n">
        <v>45208</v>
      </c>
      <c r="C935" s="1" t="n">
        <v>46029</v>
      </c>
      <c r="D935" t="inlineStr">
        <is>
          <t>JÄMTLANDS LÄN</t>
        </is>
      </c>
      <c r="E935" t="inlineStr">
        <is>
          <t>RAGUNDA</t>
        </is>
      </c>
      <c r="G935" t="n">
        <v>4.6</v>
      </c>
      <c r="H935" t="n">
        <v>0</v>
      </c>
      <c r="I935" t="n">
        <v>0</v>
      </c>
      <c r="J935" t="n">
        <v>0</v>
      </c>
      <c r="K935" t="n">
        <v>0</v>
      </c>
      <c r="L935" t="n">
        <v>0</v>
      </c>
      <c r="M935" t="n">
        <v>0</v>
      </c>
      <c r="N935" t="n">
        <v>0</v>
      </c>
      <c r="O935" t="n">
        <v>0</v>
      </c>
      <c r="P935" t="n">
        <v>0</v>
      </c>
      <c r="Q935" t="n">
        <v>0</v>
      </c>
      <c r="R935" s="2" t="inlineStr"/>
    </row>
    <row r="936" ht="15" customHeight="1">
      <c r="A936" t="inlineStr">
        <is>
          <t>A 62490-2025</t>
        </is>
      </c>
      <c r="B936" s="1" t="n">
        <v>46007.5697337963</v>
      </c>
      <c r="C936" s="1" t="n">
        <v>46029</v>
      </c>
      <c r="D936" t="inlineStr">
        <is>
          <t>JÄMTLANDS LÄN</t>
        </is>
      </c>
      <c r="E936" t="inlineStr">
        <is>
          <t>RAGUNDA</t>
        </is>
      </c>
      <c r="F936" t="inlineStr">
        <is>
          <t>Kommuner</t>
        </is>
      </c>
      <c r="G936" t="n">
        <v>0.8</v>
      </c>
      <c r="H936" t="n">
        <v>0</v>
      </c>
      <c r="I936" t="n">
        <v>0</v>
      </c>
      <c r="J936" t="n">
        <v>0</v>
      </c>
      <c r="K936" t="n">
        <v>0</v>
      </c>
      <c r="L936" t="n">
        <v>0</v>
      </c>
      <c r="M936" t="n">
        <v>0</v>
      </c>
      <c r="N936" t="n">
        <v>0</v>
      </c>
      <c r="O936" t="n">
        <v>0</v>
      </c>
      <c r="P936" t="n">
        <v>0</v>
      </c>
      <c r="Q936" t="n">
        <v>0</v>
      </c>
      <c r="R936" s="2" t="inlineStr"/>
    </row>
    <row r="937" ht="15" customHeight="1">
      <c r="A937" t="inlineStr">
        <is>
          <t>A 14076-2023</t>
        </is>
      </c>
      <c r="B937" s="1" t="n">
        <v>45009.0897337963</v>
      </c>
      <c r="C937" s="1" t="n">
        <v>46029</v>
      </c>
      <c r="D937" t="inlineStr">
        <is>
          <t>JÄMTLANDS LÄN</t>
        </is>
      </c>
      <c r="E937" t="inlineStr">
        <is>
          <t>RAGUNDA</t>
        </is>
      </c>
      <c r="F937" t="inlineStr">
        <is>
          <t>SCA</t>
        </is>
      </c>
      <c r="G937" t="n">
        <v>6.4</v>
      </c>
      <c r="H937" t="n">
        <v>0</v>
      </c>
      <c r="I937" t="n">
        <v>0</v>
      </c>
      <c r="J937" t="n">
        <v>0</v>
      </c>
      <c r="K937" t="n">
        <v>0</v>
      </c>
      <c r="L937" t="n">
        <v>0</v>
      </c>
      <c r="M937" t="n">
        <v>0</v>
      </c>
      <c r="N937" t="n">
        <v>0</v>
      </c>
      <c r="O937" t="n">
        <v>0</v>
      </c>
      <c r="P937" t="n">
        <v>0</v>
      </c>
      <c r="Q937" t="n">
        <v>0</v>
      </c>
      <c r="R937" s="2" t="inlineStr"/>
    </row>
    <row r="938" ht="15" customHeight="1">
      <c r="A938" t="inlineStr">
        <is>
          <t>A 62691-2025</t>
        </is>
      </c>
      <c r="B938" s="1" t="n">
        <v>46008.4759837963</v>
      </c>
      <c r="C938" s="1" t="n">
        <v>46029</v>
      </c>
      <c r="D938" t="inlineStr">
        <is>
          <t>JÄMTLANDS LÄN</t>
        </is>
      </c>
      <c r="E938" t="inlineStr">
        <is>
          <t>RAGUNDA</t>
        </is>
      </c>
      <c r="G938" t="n">
        <v>2.6</v>
      </c>
      <c r="H938" t="n">
        <v>0</v>
      </c>
      <c r="I938" t="n">
        <v>0</v>
      </c>
      <c r="J938" t="n">
        <v>0</v>
      </c>
      <c r="K938" t="n">
        <v>0</v>
      </c>
      <c r="L938" t="n">
        <v>0</v>
      </c>
      <c r="M938" t="n">
        <v>0</v>
      </c>
      <c r="N938" t="n">
        <v>0</v>
      </c>
      <c r="O938" t="n">
        <v>0</v>
      </c>
      <c r="P938" t="n">
        <v>0</v>
      </c>
      <c r="Q938" t="n">
        <v>0</v>
      </c>
      <c r="R938" s="2" t="inlineStr"/>
    </row>
    <row r="939" ht="15" customHeight="1">
      <c r="A939" t="inlineStr">
        <is>
          <t>A 45335-2023</t>
        </is>
      </c>
      <c r="B939" s="1" t="n">
        <v>45191</v>
      </c>
      <c r="C939" s="1" t="n">
        <v>46029</v>
      </c>
      <c r="D939" t="inlineStr">
        <is>
          <t>JÄMTLANDS LÄN</t>
        </is>
      </c>
      <c r="E939" t="inlineStr">
        <is>
          <t>RAGUNDA</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10972-2022</t>
        </is>
      </c>
      <c r="B940" s="1" t="n">
        <v>44628</v>
      </c>
      <c r="C940" s="1" t="n">
        <v>46029</v>
      </c>
      <c r="D940" t="inlineStr">
        <is>
          <t>JÄMTLANDS LÄN</t>
        </is>
      </c>
      <c r="E940" t="inlineStr">
        <is>
          <t>RAGUNDA</t>
        </is>
      </c>
      <c r="G940" t="n">
        <v>9.5</v>
      </c>
      <c r="H940" t="n">
        <v>0</v>
      </c>
      <c r="I940" t="n">
        <v>0</v>
      </c>
      <c r="J940" t="n">
        <v>0</v>
      </c>
      <c r="K940" t="n">
        <v>0</v>
      </c>
      <c r="L940" t="n">
        <v>0</v>
      </c>
      <c r="M940" t="n">
        <v>0</v>
      </c>
      <c r="N940" t="n">
        <v>0</v>
      </c>
      <c r="O940" t="n">
        <v>0</v>
      </c>
      <c r="P940" t="n">
        <v>0</v>
      </c>
      <c r="Q940" t="n">
        <v>0</v>
      </c>
      <c r="R940" s="2" t="inlineStr"/>
    </row>
    <row r="941" ht="15" customHeight="1">
      <c r="A941" t="inlineStr">
        <is>
          <t>A 54794-2025</t>
        </is>
      </c>
      <c r="B941" s="1" t="n">
        <v>45966.63592592593</v>
      </c>
      <c r="C941" s="1" t="n">
        <v>46029</v>
      </c>
      <c r="D941" t="inlineStr">
        <is>
          <t>JÄMTLANDS LÄN</t>
        </is>
      </c>
      <c r="E941" t="inlineStr">
        <is>
          <t>RAGUNDA</t>
        </is>
      </c>
      <c r="G941" t="n">
        <v>4</v>
      </c>
      <c r="H941" t="n">
        <v>0</v>
      </c>
      <c r="I941" t="n">
        <v>0</v>
      </c>
      <c r="J941" t="n">
        <v>0</v>
      </c>
      <c r="K941" t="n">
        <v>0</v>
      </c>
      <c r="L941" t="n">
        <v>0</v>
      </c>
      <c r="M941" t="n">
        <v>0</v>
      </c>
      <c r="N941" t="n">
        <v>0</v>
      </c>
      <c r="O941" t="n">
        <v>0</v>
      </c>
      <c r="P941" t="n">
        <v>0</v>
      </c>
      <c r="Q941" t="n">
        <v>0</v>
      </c>
      <c r="R941" s="2" t="inlineStr"/>
    </row>
    <row r="942" ht="15" customHeight="1">
      <c r="A942" t="inlineStr">
        <is>
          <t>A 43102-2023</t>
        </is>
      </c>
      <c r="B942" s="1" t="n">
        <v>45182</v>
      </c>
      <c r="C942" s="1" t="n">
        <v>46029</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6694-2024</t>
        </is>
      </c>
      <c r="B943" s="1" t="n">
        <v>45341.95381944445</v>
      </c>
      <c r="C943" s="1" t="n">
        <v>46029</v>
      </c>
      <c r="D943" t="inlineStr">
        <is>
          <t>JÄMTLANDS LÄN</t>
        </is>
      </c>
      <c r="E943" t="inlineStr">
        <is>
          <t>RAGUNDA</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21083-2024</t>
        </is>
      </c>
      <c r="B944" s="1" t="n">
        <v>45439.92752314815</v>
      </c>
      <c r="C944" s="1" t="n">
        <v>46029</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59759-2024</t>
        </is>
      </c>
      <c r="B945" s="1" t="n">
        <v>45639.55240740741</v>
      </c>
      <c r="C945" s="1" t="n">
        <v>46029</v>
      </c>
      <c r="D945" t="inlineStr">
        <is>
          <t>JÄMTLANDS LÄN</t>
        </is>
      </c>
      <c r="E945" t="inlineStr">
        <is>
          <t>RAGUNDA</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12204-2025</t>
        </is>
      </c>
      <c r="B946" s="1" t="n">
        <v>45729.51074074074</v>
      </c>
      <c r="C946" s="1" t="n">
        <v>46029</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11245-2025</t>
        </is>
      </c>
      <c r="B947" s="1" t="n">
        <v>45726.38575231482</v>
      </c>
      <c r="C947" s="1" t="n">
        <v>46029</v>
      </c>
      <c r="D947" t="inlineStr">
        <is>
          <t>JÄMTLANDS LÄN</t>
        </is>
      </c>
      <c r="E947" t="inlineStr">
        <is>
          <t>RAGUNDA</t>
        </is>
      </c>
      <c r="G947" t="n">
        <v>2.3</v>
      </c>
      <c r="H947" t="n">
        <v>0</v>
      </c>
      <c r="I947" t="n">
        <v>0</v>
      </c>
      <c r="J947" t="n">
        <v>0</v>
      </c>
      <c r="K947" t="n">
        <v>0</v>
      </c>
      <c r="L947" t="n">
        <v>0</v>
      </c>
      <c r="M947" t="n">
        <v>0</v>
      </c>
      <c r="N947" t="n">
        <v>0</v>
      </c>
      <c r="O947" t="n">
        <v>0</v>
      </c>
      <c r="P947" t="n">
        <v>0</v>
      </c>
      <c r="Q947" t="n">
        <v>0</v>
      </c>
      <c r="R947" s="2" t="inlineStr"/>
    </row>
    <row r="948" ht="15" customHeight="1">
      <c r="A948" t="inlineStr">
        <is>
          <t>A 13905-2025</t>
        </is>
      </c>
      <c r="B948" s="1" t="n">
        <v>45737.63574074074</v>
      </c>
      <c r="C948" s="1" t="n">
        <v>46029</v>
      </c>
      <c r="D948" t="inlineStr">
        <is>
          <t>JÄMTLANDS LÄN</t>
        </is>
      </c>
      <c r="E948" t="inlineStr">
        <is>
          <t>RAGUNDA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63060-2025</t>
        </is>
      </c>
      <c r="B949" s="1" t="n">
        <v>46009.64414351852</v>
      </c>
      <c r="C949" s="1" t="n">
        <v>46029</v>
      </c>
      <c r="D949" t="inlineStr">
        <is>
          <t>JÄMTLANDS LÄN</t>
        </is>
      </c>
      <c r="E949" t="inlineStr">
        <is>
          <t>RAGUNDA</t>
        </is>
      </c>
      <c r="G949" t="n">
        <v>6.5</v>
      </c>
      <c r="H949" t="n">
        <v>0</v>
      </c>
      <c r="I949" t="n">
        <v>0</v>
      </c>
      <c r="J949" t="n">
        <v>0</v>
      </c>
      <c r="K949" t="n">
        <v>0</v>
      </c>
      <c r="L949" t="n">
        <v>0</v>
      </c>
      <c r="M949" t="n">
        <v>0</v>
      </c>
      <c r="N949" t="n">
        <v>0</v>
      </c>
      <c r="O949" t="n">
        <v>0</v>
      </c>
      <c r="P949" t="n">
        <v>0</v>
      </c>
      <c r="Q949" t="n">
        <v>0</v>
      </c>
      <c r="R949" s="2" t="inlineStr"/>
    </row>
    <row r="950" ht="15" customHeight="1">
      <c r="A950" t="inlineStr">
        <is>
          <t>A 63057-2025</t>
        </is>
      </c>
      <c r="B950" s="1" t="n">
        <v>46009.63837962963</v>
      </c>
      <c r="C950" s="1" t="n">
        <v>46029</v>
      </c>
      <c r="D950" t="inlineStr">
        <is>
          <t>JÄMTLANDS LÄN</t>
        </is>
      </c>
      <c r="E950" t="inlineStr">
        <is>
          <t>RAGUNDA</t>
        </is>
      </c>
      <c r="G950" t="n">
        <v>13.7</v>
      </c>
      <c r="H950" t="n">
        <v>0</v>
      </c>
      <c r="I950" t="n">
        <v>0</v>
      </c>
      <c r="J950" t="n">
        <v>0</v>
      </c>
      <c r="K950" t="n">
        <v>0</v>
      </c>
      <c r="L950" t="n">
        <v>0</v>
      </c>
      <c r="M950" t="n">
        <v>0</v>
      </c>
      <c r="N950" t="n">
        <v>0</v>
      </c>
      <c r="O950" t="n">
        <v>0</v>
      </c>
      <c r="P950" t="n">
        <v>0</v>
      </c>
      <c r="Q950" t="n">
        <v>0</v>
      </c>
      <c r="R950" s="2" t="inlineStr"/>
    </row>
    <row r="951" ht="15" customHeight="1">
      <c r="A951" t="inlineStr">
        <is>
          <t>A 62927-2025</t>
        </is>
      </c>
      <c r="B951" s="1" t="n">
        <v>46009.38609953703</v>
      </c>
      <c r="C951" s="1" t="n">
        <v>46029</v>
      </c>
      <c r="D951" t="inlineStr">
        <is>
          <t>JÄMTLANDS LÄN</t>
        </is>
      </c>
      <c r="E951" t="inlineStr">
        <is>
          <t>RAGUNDA</t>
        </is>
      </c>
      <c r="G951" t="n">
        <v>6.3</v>
      </c>
      <c r="H951" t="n">
        <v>0</v>
      </c>
      <c r="I951" t="n">
        <v>0</v>
      </c>
      <c r="J951" t="n">
        <v>0</v>
      </c>
      <c r="K951" t="n">
        <v>0</v>
      </c>
      <c r="L951" t="n">
        <v>0</v>
      </c>
      <c r="M951" t="n">
        <v>0</v>
      </c>
      <c r="N951" t="n">
        <v>0</v>
      </c>
      <c r="O951" t="n">
        <v>0</v>
      </c>
      <c r="P951" t="n">
        <v>0</v>
      </c>
      <c r="Q951" t="n">
        <v>0</v>
      </c>
      <c r="R951" s="2" t="inlineStr"/>
      <c r="U951">
        <f>HYPERLINK("https://klasma.github.io/Logging_2303/knärot/A 62927-2025 karta knärot.png", "A 62927-2025")</f>
        <v/>
      </c>
      <c r="V951">
        <f>HYPERLINK("https://klasma.github.io/Logging_2303/klagomål/A 62927-2025 FSC-klagomål.docx", "A 62927-2025")</f>
        <v/>
      </c>
      <c r="W951">
        <f>HYPERLINK("https://klasma.github.io/Logging_2303/klagomålsmail/A 62927-2025 FSC-klagomål mail.docx", "A 62927-2025")</f>
        <v/>
      </c>
      <c r="X951">
        <f>HYPERLINK("https://klasma.github.io/Logging_2303/tillsyn/A 62927-2025 tillsynsbegäran.docx", "A 62927-2025")</f>
        <v/>
      </c>
      <c r="Y951">
        <f>HYPERLINK("https://klasma.github.io/Logging_2303/tillsynsmail/A 62927-2025 tillsynsbegäran mail.docx", "A 62927-2025")</f>
        <v/>
      </c>
    </row>
    <row r="952" ht="15" customHeight="1">
      <c r="A952" t="inlineStr">
        <is>
          <t>A 63141-2025</t>
        </is>
      </c>
      <c r="B952" s="1" t="n">
        <v>46010.34440972222</v>
      </c>
      <c r="C952" s="1" t="n">
        <v>46029</v>
      </c>
      <c r="D952" t="inlineStr">
        <is>
          <t>JÄMTLANDS LÄN</t>
        </is>
      </c>
      <c r="E952" t="inlineStr">
        <is>
          <t>RAGUNDA</t>
        </is>
      </c>
      <c r="F952" t="inlineStr">
        <is>
          <t>SCA</t>
        </is>
      </c>
      <c r="G952" t="n">
        <v>24.4</v>
      </c>
      <c r="H952" t="n">
        <v>0</v>
      </c>
      <c r="I952" t="n">
        <v>0</v>
      </c>
      <c r="J952" t="n">
        <v>0</v>
      </c>
      <c r="K952" t="n">
        <v>0</v>
      </c>
      <c r="L952" t="n">
        <v>0</v>
      </c>
      <c r="M952" t="n">
        <v>0</v>
      </c>
      <c r="N952" t="n">
        <v>0</v>
      </c>
      <c r="O952" t="n">
        <v>0</v>
      </c>
      <c r="P952" t="n">
        <v>0</v>
      </c>
      <c r="Q952" t="n">
        <v>0</v>
      </c>
      <c r="R952" s="2" t="inlineStr"/>
    </row>
    <row r="953" ht="15" customHeight="1">
      <c r="A953" t="inlineStr">
        <is>
          <t>A 4125-2024</t>
        </is>
      </c>
      <c r="B953" s="1" t="n">
        <v>45323</v>
      </c>
      <c r="C953" s="1" t="n">
        <v>46029</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44980-2023</t>
        </is>
      </c>
      <c r="B954" s="1" t="n">
        <v>45190</v>
      </c>
      <c r="C954" s="1" t="n">
        <v>46029</v>
      </c>
      <c r="D954" t="inlineStr">
        <is>
          <t>JÄMTLANDS LÄN</t>
        </is>
      </c>
      <c r="E954" t="inlineStr">
        <is>
          <t>RAGUNDA</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55633-2025</t>
        </is>
      </c>
      <c r="B955" s="1" t="n">
        <v>45972</v>
      </c>
      <c r="C955" s="1" t="n">
        <v>46029</v>
      </c>
      <c r="D955" t="inlineStr">
        <is>
          <t>JÄMTLANDS LÄN</t>
        </is>
      </c>
      <c r="E955" t="inlineStr">
        <is>
          <t>RAGUNDA</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55547-2025</t>
        </is>
      </c>
      <c r="B956" s="1" t="n">
        <v>45971</v>
      </c>
      <c r="C956" s="1" t="n">
        <v>46029</v>
      </c>
      <c r="D956" t="inlineStr">
        <is>
          <t>JÄMTLANDS LÄN</t>
        </is>
      </c>
      <c r="E956" t="inlineStr">
        <is>
          <t>RAGUNDA</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27777-2022</t>
        </is>
      </c>
      <c r="B957" s="1" t="n">
        <v>44743</v>
      </c>
      <c r="C957" s="1" t="n">
        <v>46029</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51245-2024</t>
        </is>
      </c>
      <c r="B958" s="1" t="n">
        <v>45603.67850694444</v>
      </c>
      <c r="C958" s="1" t="n">
        <v>46029</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61923-2024</t>
        </is>
      </c>
      <c r="B959" s="1" t="n">
        <v>45653.44836805556</v>
      </c>
      <c r="C959" s="1" t="n">
        <v>46029</v>
      </c>
      <c r="D959" t="inlineStr">
        <is>
          <t>JÄMTLANDS LÄN</t>
        </is>
      </c>
      <c r="E959" t="inlineStr">
        <is>
          <t>RAGUNDA</t>
        </is>
      </c>
      <c r="F959" t="inlineStr">
        <is>
          <t>SCA</t>
        </is>
      </c>
      <c r="G959" t="n">
        <v>11.1</v>
      </c>
      <c r="H959" t="n">
        <v>0</v>
      </c>
      <c r="I959" t="n">
        <v>0</v>
      </c>
      <c r="J959" t="n">
        <v>0</v>
      </c>
      <c r="K959" t="n">
        <v>0</v>
      </c>
      <c r="L959" t="n">
        <v>0</v>
      </c>
      <c r="M959" t="n">
        <v>0</v>
      </c>
      <c r="N959" t="n">
        <v>0</v>
      </c>
      <c r="O959" t="n">
        <v>0</v>
      </c>
      <c r="P959" t="n">
        <v>0</v>
      </c>
      <c r="Q959" t="n">
        <v>0</v>
      </c>
      <c r="R959" s="2" t="inlineStr"/>
    </row>
    <row r="960" ht="15" customHeight="1">
      <c r="A960" t="inlineStr">
        <is>
          <t>A 50503-2024</t>
        </is>
      </c>
      <c r="B960" s="1" t="n">
        <v>45601.5315625</v>
      </c>
      <c r="C960" s="1" t="n">
        <v>46029</v>
      </c>
      <c r="D960" t="inlineStr">
        <is>
          <t>JÄMTLANDS LÄN</t>
        </is>
      </c>
      <c r="E960" t="inlineStr">
        <is>
          <t>RAGUNDA</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59556-2024</t>
        </is>
      </c>
      <c r="B961" s="1" t="n">
        <v>45638.63600694444</v>
      </c>
      <c r="C961" s="1" t="n">
        <v>46029</v>
      </c>
      <c r="D961" t="inlineStr">
        <is>
          <t>JÄMTLANDS LÄN</t>
        </is>
      </c>
      <c r="E961" t="inlineStr">
        <is>
          <t>RAGUNDA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13302-2022</t>
        </is>
      </c>
      <c r="B962" s="1" t="n">
        <v>44644</v>
      </c>
      <c r="C962" s="1" t="n">
        <v>46029</v>
      </c>
      <c r="D962" t="inlineStr">
        <is>
          <t>JÄMTLANDS LÄN</t>
        </is>
      </c>
      <c r="E962" t="inlineStr">
        <is>
          <t>RAGUNDA</t>
        </is>
      </c>
      <c r="F962" t="inlineStr">
        <is>
          <t>SCA</t>
        </is>
      </c>
      <c r="G962" t="n">
        <v>35.6</v>
      </c>
      <c r="H962" t="n">
        <v>0</v>
      </c>
      <c r="I962" t="n">
        <v>0</v>
      </c>
      <c r="J962" t="n">
        <v>0</v>
      </c>
      <c r="K962" t="n">
        <v>0</v>
      </c>
      <c r="L962" t="n">
        <v>0</v>
      </c>
      <c r="M962" t="n">
        <v>0</v>
      </c>
      <c r="N962" t="n">
        <v>0</v>
      </c>
      <c r="O962" t="n">
        <v>0</v>
      </c>
      <c r="P962" t="n">
        <v>0</v>
      </c>
      <c r="Q962" t="n">
        <v>0</v>
      </c>
      <c r="R962" s="2" t="inlineStr"/>
    </row>
    <row r="963" ht="15" customHeight="1">
      <c r="A963" t="inlineStr">
        <is>
          <t>A 63578-2025</t>
        </is>
      </c>
      <c r="B963" s="1" t="n">
        <v>46013.67690972222</v>
      </c>
      <c r="C963" s="1" t="n">
        <v>46029</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18225-2024</t>
        </is>
      </c>
      <c r="B964" s="1" t="n">
        <v>45420</v>
      </c>
      <c r="C964" s="1" t="n">
        <v>46029</v>
      </c>
      <c r="D964" t="inlineStr">
        <is>
          <t>JÄMTLANDS LÄN</t>
        </is>
      </c>
      <c r="E964" t="inlineStr">
        <is>
          <t>RAGUNDA</t>
        </is>
      </c>
      <c r="F964" t="inlineStr">
        <is>
          <t>SCA</t>
        </is>
      </c>
      <c r="G964" t="n">
        <v>4.8</v>
      </c>
      <c r="H964" t="n">
        <v>0</v>
      </c>
      <c r="I964" t="n">
        <v>0</v>
      </c>
      <c r="J964" t="n">
        <v>0</v>
      </c>
      <c r="K964" t="n">
        <v>0</v>
      </c>
      <c r="L964" t="n">
        <v>0</v>
      </c>
      <c r="M964" t="n">
        <v>0</v>
      </c>
      <c r="N964" t="n">
        <v>0</v>
      </c>
      <c r="O964" t="n">
        <v>0</v>
      </c>
      <c r="P964" t="n">
        <v>0</v>
      </c>
      <c r="Q964" t="n">
        <v>0</v>
      </c>
      <c r="R964" s="2" t="inlineStr"/>
    </row>
    <row r="965" ht="15" customHeight="1">
      <c r="A965" t="inlineStr">
        <is>
          <t>A 63672-2025</t>
        </is>
      </c>
      <c r="B965" s="1" t="n">
        <v>46014.47575231481</v>
      </c>
      <c r="C965" s="1" t="n">
        <v>46029</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61598-2024</t>
        </is>
      </c>
      <c r="B966" s="1" t="n">
        <v>45646.63605324074</v>
      </c>
      <c r="C966" s="1" t="n">
        <v>46029</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7280-2024</t>
        </is>
      </c>
      <c r="B967" s="1" t="n">
        <v>45344</v>
      </c>
      <c r="C967" s="1" t="n">
        <v>46029</v>
      </c>
      <c r="D967" t="inlineStr">
        <is>
          <t>JÄMTLANDS LÄN</t>
        </is>
      </c>
      <c r="E967" t="inlineStr">
        <is>
          <t>RAGUNDA</t>
        </is>
      </c>
      <c r="G967" t="n">
        <v>1.6</v>
      </c>
      <c r="H967" t="n">
        <v>0</v>
      </c>
      <c r="I967" t="n">
        <v>0</v>
      </c>
      <c r="J967" t="n">
        <v>0</v>
      </c>
      <c r="K967" t="n">
        <v>0</v>
      </c>
      <c r="L967" t="n">
        <v>0</v>
      </c>
      <c r="M967" t="n">
        <v>0</v>
      </c>
      <c r="N967" t="n">
        <v>0</v>
      </c>
      <c r="O967" t="n">
        <v>0</v>
      </c>
      <c r="P967" t="n">
        <v>0</v>
      </c>
      <c r="Q967" t="n">
        <v>0</v>
      </c>
      <c r="R967" s="2" t="inlineStr"/>
    </row>
    <row r="968" ht="15" customHeight="1">
      <c r="A968" t="inlineStr">
        <is>
          <t>A 21662-2023</t>
        </is>
      </c>
      <c r="B968" s="1" t="n">
        <v>45063</v>
      </c>
      <c r="C968" s="1" t="n">
        <v>46029</v>
      </c>
      <c r="D968" t="inlineStr">
        <is>
          <t>JÄMTLANDS LÄN</t>
        </is>
      </c>
      <c r="E968" t="inlineStr">
        <is>
          <t>RAGUNDA</t>
        </is>
      </c>
      <c r="G968" t="n">
        <v>1.8</v>
      </c>
      <c r="H968" t="n">
        <v>0</v>
      </c>
      <c r="I968" t="n">
        <v>0</v>
      </c>
      <c r="J968" t="n">
        <v>0</v>
      </c>
      <c r="K968" t="n">
        <v>0</v>
      </c>
      <c r="L968" t="n">
        <v>0</v>
      </c>
      <c r="M968" t="n">
        <v>0</v>
      </c>
      <c r="N968" t="n">
        <v>0</v>
      </c>
      <c r="O968" t="n">
        <v>0</v>
      </c>
      <c r="P968" t="n">
        <v>0</v>
      </c>
      <c r="Q968" t="n">
        <v>0</v>
      </c>
      <c r="R968" s="2" t="inlineStr"/>
    </row>
    <row r="969" ht="15" customHeight="1">
      <c r="A969" t="inlineStr">
        <is>
          <t>A 61107-2024</t>
        </is>
      </c>
      <c r="B969" s="1" t="n">
        <v>45645.55665509259</v>
      </c>
      <c r="C969" s="1" t="n">
        <v>46029</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5313-2025</t>
        </is>
      </c>
      <c r="B970" s="1" t="n">
        <v>45692.51069444444</v>
      </c>
      <c r="C970" s="1" t="n">
        <v>46029</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5357-2025</t>
        </is>
      </c>
      <c r="B971" s="1" t="n">
        <v>45692.57326388889</v>
      </c>
      <c r="C971" s="1" t="n">
        <v>46029</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44494-2024</t>
        </is>
      </c>
      <c r="B972" s="1" t="n">
        <v>45574.39081018518</v>
      </c>
      <c r="C972" s="1" t="n">
        <v>46029</v>
      </c>
      <c r="D972" t="inlineStr">
        <is>
          <t>JÄMTLANDS LÄN</t>
        </is>
      </c>
      <c r="E972" t="inlineStr">
        <is>
          <t>RAGUNDA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12983-2025</t>
        </is>
      </c>
      <c r="B973" s="1" t="n">
        <v>45734.4633912037</v>
      </c>
      <c r="C973" s="1" t="n">
        <v>46029</v>
      </c>
      <c r="D973" t="inlineStr">
        <is>
          <t>JÄMTLANDS LÄN</t>
        </is>
      </c>
      <c r="E973" t="inlineStr">
        <is>
          <t>RAGUNDA</t>
        </is>
      </c>
      <c r="G973" t="n">
        <v>5.2</v>
      </c>
      <c r="H973" t="n">
        <v>0</v>
      </c>
      <c r="I973" t="n">
        <v>0</v>
      </c>
      <c r="J973" t="n">
        <v>0</v>
      </c>
      <c r="K973" t="n">
        <v>0</v>
      </c>
      <c r="L973" t="n">
        <v>0</v>
      </c>
      <c r="M973" t="n">
        <v>0</v>
      </c>
      <c r="N973" t="n">
        <v>0</v>
      </c>
      <c r="O973" t="n">
        <v>0</v>
      </c>
      <c r="P973" t="n">
        <v>0</v>
      </c>
      <c r="Q973" t="n">
        <v>0</v>
      </c>
      <c r="R973" s="2" t="inlineStr"/>
    </row>
    <row r="974" ht="15" customHeight="1">
      <c r="A974" t="inlineStr">
        <is>
          <t>A 39626-2024</t>
        </is>
      </c>
      <c r="B974" s="1" t="n">
        <v>45552.44096064815</v>
      </c>
      <c r="C974" s="1" t="n">
        <v>46029</v>
      </c>
      <c r="D974" t="inlineStr">
        <is>
          <t>JÄMTLANDS LÄN</t>
        </is>
      </c>
      <c r="E974" t="inlineStr">
        <is>
          <t>RAGUNDA</t>
        </is>
      </c>
      <c r="G974" t="n">
        <v>23.5</v>
      </c>
      <c r="H974" t="n">
        <v>0</v>
      </c>
      <c r="I974" t="n">
        <v>0</v>
      </c>
      <c r="J974" t="n">
        <v>0</v>
      </c>
      <c r="K974" t="n">
        <v>0</v>
      </c>
      <c r="L974" t="n">
        <v>0</v>
      </c>
      <c r="M974" t="n">
        <v>0</v>
      </c>
      <c r="N974" t="n">
        <v>0</v>
      </c>
      <c r="O974" t="n">
        <v>0</v>
      </c>
      <c r="P974" t="n">
        <v>0</v>
      </c>
      <c r="Q974" t="n">
        <v>0</v>
      </c>
      <c r="R974" s="2" t="inlineStr"/>
    </row>
    <row r="975" ht="15" customHeight="1">
      <c r="A975" t="inlineStr">
        <is>
          <t>A 45631-2024</t>
        </is>
      </c>
      <c r="B975" s="1" t="n">
        <v>45579.47052083333</v>
      </c>
      <c r="C975" s="1" t="n">
        <v>46029</v>
      </c>
      <c r="D975" t="inlineStr">
        <is>
          <t>JÄMTLANDS LÄN</t>
        </is>
      </c>
      <c r="E975" t="inlineStr">
        <is>
          <t>RAGUNDA</t>
        </is>
      </c>
      <c r="G975" t="n">
        <v>15.1</v>
      </c>
      <c r="H975" t="n">
        <v>0</v>
      </c>
      <c r="I975" t="n">
        <v>0</v>
      </c>
      <c r="J975" t="n">
        <v>0</v>
      </c>
      <c r="K975" t="n">
        <v>0</v>
      </c>
      <c r="L975" t="n">
        <v>0</v>
      </c>
      <c r="M975" t="n">
        <v>0</v>
      </c>
      <c r="N975" t="n">
        <v>0</v>
      </c>
      <c r="O975" t="n">
        <v>0</v>
      </c>
      <c r="P975" t="n">
        <v>0</v>
      </c>
      <c r="Q975" t="n">
        <v>0</v>
      </c>
      <c r="R975" s="2" t="inlineStr"/>
    </row>
    <row r="976" ht="15" customHeight="1">
      <c r="A976" t="inlineStr">
        <is>
          <t>A 55671-2025</t>
        </is>
      </c>
      <c r="B976" s="1" t="n">
        <v>45972</v>
      </c>
      <c r="C976" s="1" t="n">
        <v>46029</v>
      </c>
      <c r="D976" t="inlineStr">
        <is>
          <t>JÄMTLANDS LÄN</t>
        </is>
      </c>
      <c r="E976" t="inlineStr">
        <is>
          <t>RAGUNDA</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63671-2025</t>
        </is>
      </c>
      <c r="B977" s="1" t="n">
        <v>46014.46555555556</v>
      </c>
      <c r="C977" s="1" t="n">
        <v>46029</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56170-2025</t>
        </is>
      </c>
      <c r="B978" s="1" t="n">
        <v>45974.39398148148</v>
      </c>
      <c r="C978" s="1" t="n">
        <v>46029</v>
      </c>
      <c r="D978" t="inlineStr">
        <is>
          <t>JÄMTLANDS LÄN</t>
        </is>
      </c>
      <c r="E978" t="inlineStr">
        <is>
          <t>RAGUNDA</t>
        </is>
      </c>
      <c r="G978" t="n">
        <v>2</v>
      </c>
      <c r="H978" t="n">
        <v>0</v>
      </c>
      <c r="I978" t="n">
        <v>0</v>
      </c>
      <c r="J978" t="n">
        <v>0</v>
      </c>
      <c r="K978" t="n">
        <v>0</v>
      </c>
      <c r="L978" t="n">
        <v>0</v>
      </c>
      <c r="M978" t="n">
        <v>0</v>
      </c>
      <c r="N978" t="n">
        <v>0</v>
      </c>
      <c r="O978" t="n">
        <v>0</v>
      </c>
      <c r="P978" t="n">
        <v>0</v>
      </c>
      <c r="Q978" t="n">
        <v>0</v>
      </c>
      <c r="R978" s="2" t="inlineStr"/>
    </row>
    <row r="979" ht="15" customHeight="1">
      <c r="A979" t="inlineStr">
        <is>
          <t>A 62135-2024</t>
        </is>
      </c>
      <c r="B979" s="1" t="n">
        <v>45656.64223379629</v>
      </c>
      <c r="C979" s="1" t="n">
        <v>46029</v>
      </c>
      <c r="D979" t="inlineStr">
        <is>
          <t>JÄMTLANDS LÄN</t>
        </is>
      </c>
      <c r="E979" t="inlineStr">
        <is>
          <t>RAGUNDA</t>
        </is>
      </c>
      <c r="G979" t="n">
        <v>1.5</v>
      </c>
      <c r="H979" t="n">
        <v>0</v>
      </c>
      <c r="I979" t="n">
        <v>0</v>
      </c>
      <c r="J979" t="n">
        <v>0</v>
      </c>
      <c r="K979" t="n">
        <v>0</v>
      </c>
      <c r="L979" t="n">
        <v>0</v>
      </c>
      <c r="M979" t="n">
        <v>0</v>
      </c>
      <c r="N979" t="n">
        <v>0</v>
      </c>
      <c r="O979" t="n">
        <v>0</v>
      </c>
      <c r="P979" t="n">
        <v>0</v>
      </c>
      <c r="Q979" t="n">
        <v>0</v>
      </c>
      <c r="R979" s="2" t="inlineStr"/>
    </row>
    <row r="980" ht="15" customHeight="1">
      <c r="A980" t="inlineStr">
        <is>
          <t>A 8802-2022</t>
        </is>
      </c>
      <c r="B980" s="1" t="n">
        <v>44614</v>
      </c>
      <c r="C980" s="1" t="n">
        <v>46029</v>
      </c>
      <c r="D980" t="inlineStr">
        <is>
          <t>JÄMTLANDS LÄN</t>
        </is>
      </c>
      <c r="E980" t="inlineStr">
        <is>
          <t>RAGUNDA</t>
        </is>
      </c>
      <c r="G980" t="n">
        <v>2.8</v>
      </c>
      <c r="H980" t="n">
        <v>0</v>
      </c>
      <c r="I980" t="n">
        <v>0</v>
      </c>
      <c r="J980" t="n">
        <v>0</v>
      </c>
      <c r="K980" t="n">
        <v>0</v>
      </c>
      <c r="L980" t="n">
        <v>0</v>
      </c>
      <c r="M980" t="n">
        <v>0</v>
      </c>
      <c r="N980" t="n">
        <v>0</v>
      </c>
      <c r="O980" t="n">
        <v>0</v>
      </c>
      <c r="P980" t="n">
        <v>0</v>
      </c>
      <c r="Q980" t="n">
        <v>0</v>
      </c>
      <c r="R980" s="2" t="inlineStr"/>
    </row>
    <row r="981" ht="15" customHeight="1">
      <c r="A981" t="inlineStr">
        <is>
          <t>A 9823-2025</t>
        </is>
      </c>
      <c r="B981" s="1" t="n">
        <v>45716</v>
      </c>
      <c r="C981" s="1" t="n">
        <v>46029</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9847-2025</t>
        </is>
      </c>
      <c r="B982" s="1" t="n">
        <v>45716.61487268518</v>
      </c>
      <c r="C982" s="1" t="n">
        <v>46029</v>
      </c>
      <c r="D982" t="inlineStr">
        <is>
          <t>JÄMTLANDS LÄN</t>
        </is>
      </c>
      <c r="E982" t="inlineStr">
        <is>
          <t>RAGUNDA</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55897-2025</t>
        </is>
      </c>
      <c r="B983" s="1" t="n">
        <v>45973.38600694444</v>
      </c>
      <c r="C983" s="1" t="n">
        <v>46029</v>
      </c>
      <c r="D983" t="inlineStr">
        <is>
          <t>JÄMTLANDS LÄN</t>
        </is>
      </c>
      <c r="E983" t="inlineStr">
        <is>
          <t>RAGUNDA</t>
        </is>
      </c>
      <c r="F983" t="inlineStr">
        <is>
          <t>SCA</t>
        </is>
      </c>
      <c r="G983" t="n">
        <v>14.1</v>
      </c>
      <c r="H983" t="n">
        <v>0</v>
      </c>
      <c r="I983" t="n">
        <v>0</v>
      </c>
      <c r="J983" t="n">
        <v>0</v>
      </c>
      <c r="K983" t="n">
        <v>0</v>
      </c>
      <c r="L983" t="n">
        <v>0</v>
      </c>
      <c r="M983" t="n">
        <v>0</v>
      </c>
      <c r="N983" t="n">
        <v>0</v>
      </c>
      <c r="O983" t="n">
        <v>0</v>
      </c>
      <c r="P983" t="n">
        <v>0</v>
      </c>
      <c r="Q983" t="n">
        <v>0</v>
      </c>
      <c r="R983" s="2" t="inlineStr"/>
    </row>
    <row r="984" ht="15" customHeight="1">
      <c r="A984" t="inlineStr">
        <is>
          <t>A 55797-2025</t>
        </is>
      </c>
      <c r="B984" s="1" t="n">
        <v>45972.65693287037</v>
      </c>
      <c r="C984" s="1" t="n">
        <v>46029</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20987-2023</t>
        </is>
      </c>
      <c r="B985" s="1" t="n">
        <v>45056</v>
      </c>
      <c r="C985" s="1" t="n">
        <v>46029</v>
      </c>
      <c r="D985" t="inlineStr">
        <is>
          <t>JÄMTLANDS LÄN</t>
        </is>
      </c>
      <c r="E985" t="inlineStr">
        <is>
          <t>RAGUNDA</t>
        </is>
      </c>
      <c r="G985" t="n">
        <v>1.1</v>
      </c>
      <c r="H985" t="n">
        <v>0</v>
      </c>
      <c r="I985" t="n">
        <v>0</v>
      </c>
      <c r="J985" t="n">
        <v>0</v>
      </c>
      <c r="K985" t="n">
        <v>0</v>
      </c>
      <c r="L985" t="n">
        <v>0</v>
      </c>
      <c r="M985" t="n">
        <v>0</v>
      </c>
      <c r="N985" t="n">
        <v>0</v>
      </c>
      <c r="O985" t="n">
        <v>0</v>
      </c>
      <c r="P985" t="n">
        <v>0</v>
      </c>
      <c r="Q985" t="n">
        <v>0</v>
      </c>
      <c r="R985" s="2" t="inlineStr"/>
    </row>
    <row r="986" ht="15" customHeight="1">
      <c r="A986" t="inlineStr">
        <is>
          <t>A 20994-2023</t>
        </is>
      </c>
      <c r="B986" s="1" t="n">
        <v>45056</v>
      </c>
      <c r="C986" s="1" t="n">
        <v>46029</v>
      </c>
      <c r="D986" t="inlineStr">
        <is>
          <t>JÄMTLANDS LÄN</t>
        </is>
      </c>
      <c r="E986" t="inlineStr">
        <is>
          <t>RAGUNDA</t>
        </is>
      </c>
      <c r="G986" t="n">
        <v>1.3</v>
      </c>
      <c r="H986" t="n">
        <v>0</v>
      </c>
      <c r="I986" t="n">
        <v>0</v>
      </c>
      <c r="J986" t="n">
        <v>0</v>
      </c>
      <c r="K986" t="n">
        <v>0</v>
      </c>
      <c r="L986" t="n">
        <v>0</v>
      </c>
      <c r="M986" t="n">
        <v>0</v>
      </c>
      <c r="N986" t="n">
        <v>0</v>
      </c>
      <c r="O986" t="n">
        <v>0</v>
      </c>
      <c r="P986" t="n">
        <v>0</v>
      </c>
      <c r="Q986" t="n">
        <v>0</v>
      </c>
      <c r="R986" s="2" t="inlineStr"/>
    </row>
    <row r="987" ht="15" customHeight="1">
      <c r="A987" t="inlineStr">
        <is>
          <t>A 6490-2022</t>
        </is>
      </c>
      <c r="B987" s="1" t="n">
        <v>44601</v>
      </c>
      <c r="C987" s="1" t="n">
        <v>46029</v>
      </c>
      <c r="D987" t="inlineStr">
        <is>
          <t>JÄMTLANDS LÄN</t>
        </is>
      </c>
      <c r="E987" t="inlineStr">
        <is>
          <t>RAGUNDA</t>
        </is>
      </c>
      <c r="G987" t="n">
        <v>3.8</v>
      </c>
      <c r="H987" t="n">
        <v>0</v>
      </c>
      <c r="I987" t="n">
        <v>0</v>
      </c>
      <c r="J987" t="n">
        <v>0</v>
      </c>
      <c r="K987" t="n">
        <v>0</v>
      </c>
      <c r="L987" t="n">
        <v>0</v>
      </c>
      <c r="M987" t="n">
        <v>0</v>
      </c>
      <c r="N987" t="n">
        <v>0</v>
      </c>
      <c r="O987" t="n">
        <v>0</v>
      </c>
      <c r="P987" t="n">
        <v>0</v>
      </c>
      <c r="Q987" t="n">
        <v>0</v>
      </c>
      <c r="R987" s="2" t="inlineStr"/>
    </row>
    <row r="988" ht="15" customHeight="1">
      <c r="A988" t="inlineStr">
        <is>
          <t>A 23287-2024</t>
        </is>
      </c>
      <c r="B988" s="1" t="n">
        <v>45453.42041666667</v>
      </c>
      <c r="C988" s="1" t="n">
        <v>46029</v>
      </c>
      <c r="D988" t="inlineStr">
        <is>
          <t>JÄMTLANDS LÄN</t>
        </is>
      </c>
      <c r="E988" t="inlineStr">
        <is>
          <t>RAGUNDA</t>
        </is>
      </c>
      <c r="G988" t="n">
        <v>3.1</v>
      </c>
      <c r="H988" t="n">
        <v>0</v>
      </c>
      <c r="I988" t="n">
        <v>0</v>
      </c>
      <c r="J988" t="n">
        <v>0</v>
      </c>
      <c r="K988" t="n">
        <v>0</v>
      </c>
      <c r="L988" t="n">
        <v>0</v>
      </c>
      <c r="M988" t="n">
        <v>0</v>
      </c>
      <c r="N988" t="n">
        <v>0</v>
      </c>
      <c r="O988" t="n">
        <v>0</v>
      </c>
      <c r="P988" t="n">
        <v>0</v>
      </c>
      <c r="Q988" t="n">
        <v>0</v>
      </c>
      <c r="R988" s="2" t="inlineStr"/>
    </row>
    <row r="989" ht="15" customHeight="1">
      <c r="A989" t="inlineStr">
        <is>
          <t>A 53740-2024</t>
        </is>
      </c>
      <c r="B989" s="1" t="n">
        <v>45615.47091435185</v>
      </c>
      <c r="C989" s="1" t="n">
        <v>46029</v>
      </c>
      <c r="D989" t="inlineStr">
        <is>
          <t>JÄMTLANDS LÄN</t>
        </is>
      </c>
      <c r="E989" t="inlineStr">
        <is>
          <t>RAGUNDA</t>
        </is>
      </c>
      <c r="G989" t="n">
        <v>2.7</v>
      </c>
      <c r="H989" t="n">
        <v>0</v>
      </c>
      <c r="I989" t="n">
        <v>0</v>
      </c>
      <c r="J989" t="n">
        <v>0</v>
      </c>
      <c r="K989" t="n">
        <v>0</v>
      </c>
      <c r="L989" t="n">
        <v>0</v>
      </c>
      <c r="M989" t="n">
        <v>0</v>
      </c>
      <c r="N989" t="n">
        <v>0</v>
      </c>
      <c r="O989" t="n">
        <v>0</v>
      </c>
      <c r="P989" t="n">
        <v>0</v>
      </c>
      <c r="Q989" t="n">
        <v>0</v>
      </c>
      <c r="R989" s="2" t="inlineStr"/>
    </row>
    <row r="990" ht="15" customHeight="1">
      <c r="A990" t="inlineStr">
        <is>
          <t>A 1325-2025</t>
        </is>
      </c>
      <c r="B990" s="1" t="n">
        <v>45667.57342592593</v>
      </c>
      <c r="C990" s="1" t="n">
        <v>46029</v>
      </c>
      <c r="D990" t="inlineStr">
        <is>
          <t>JÄMTLANDS LÄN</t>
        </is>
      </c>
      <c r="E990" t="inlineStr">
        <is>
          <t>RAGUNDA</t>
        </is>
      </c>
      <c r="F990" t="inlineStr">
        <is>
          <t>SCA</t>
        </is>
      </c>
      <c r="G990" t="n">
        <v>20.2</v>
      </c>
      <c r="H990" t="n">
        <v>0</v>
      </c>
      <c r="I990" t="n">
        <v>0</v>
      </c>
      <c r="J990" t="n">
        <v>0</v>
      </c>
      <c r="K990" t="n">
        <v>0</v>
      </c>
      <c r="L990" t="n">
        <v>0</v>
      </c>
      <c r="M990" t="n">
        <v>0</v>
      </c>
      <c r="N990" t="n">
        <v>0</v>
      </c>
      <c r="O990" t="n">
        <v>0</v>
      </c>
      <c r="P990" t="n">
        <v>0</v>
      </c>
      <c r="Q990" t="n">
        <v>0</v>
      </c>
      <c r="R990" s="2" t="inlineStr"/>
    </row>
    <row r="991" ht="15" customHeight="1">
      <c r="A991" t="inlineStr">
        <is>
          <t>A 1326-2025</t>
        </is>
      </c>
      <c r="B991" s="1" t="n">
        <v>45667.57347222222</v>
      </c>
      <c r="C991" s="1" t="n">
        <v>46029</v>
      </c>
      <c r="D991" t="inlineStr">
        <is>
          <t>JÄMTLANDS LÄN</t>
        </is>
      </c>
      <c r="E991" t="inlineStr">
        <is>
          <t>RAGUNDA</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56806-2025</t>
        </is>
      </c>
      <c r="B992" s="1" t="n">
        <v>45978.44842592593</v>
      </c>
      <c r="C992" s="1" t="n">
        <v>46029</v>
      </c>
      <c r="D992" t="inlineStr">
        <is>
          <t>JÄMTLANDS LÄN</t>
        </is>
      </c>
      <c r="E992" t="inlineStr">
        <is>
          <t>RAGUNDA</t>
        </is>
      </c>
      <c r="F992" t="inlineStr">
        <is>
          <t>SCA</t>
        </is>
      </c>
      <c r="G992" t="n">
        <v>7.5</v>
      </c>
      <c r="H992" t="n">
        <v>0</v>
      </c>
      <c r="I992" t="n">
        <v>0</v>
      </c>
      <c r="J992" t="n">
        <v>0</v>
      </c>
      <c r="K992" t="n">
        <v>0</v>
      </c>
      <c r="L992" t="n">
        <v>0</v>
      </c>
      <c r="M992" t="n">
        <v>0</v>
      </c>
      <c r="N992" t="n">
        <v>0</v>
      </c>
      <c r="O992" t="n">
        <v>0</v>
      </c>
      <c r="P992" t="n">
        <v>0</v>
      </c>
      <c r="Q992" t="n">
        <v>0</v>
      </c>
      <c r="R992" s="2" t="inlineStr"/>
    </row>
    <row r="993" ht="15" customHeight="1">
      <c r="A993" t="inlineStr">
        <is>
          <t>A 14696-2022</t>
        </is>
      </c>
      <c r="B993" s="1" t="n">
        <v>44655</v>
      </c>
      <c r="C993" s="1" t="n">
        <v>46029</v>
      </c>
      <c r="D993" t="inlineStr">
        <is>
          <t>JÄMTLANDS LÄN</t>
        </is>
      </c>
      <c r="E993" t="inlineStr">
        <is>
          <t>RAGUNDA</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45952-2023</t>
        </is>
      </c>
      <c r="B994" s="1" t="n">
        <v>45195</v>
      </c>
      <c r="C994" s="1" t="n">
        <v>46029</v>
      </c>
      <c r="D994" t="inlineStr">
        <is>
          <t>JÄMTLANDS LÄN</t>
        </is>
      </c>
      <c r="E994" t="inlineStr">
        <is>
          <t>RAGUNDA</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45954-2023</t>
        </is>
      </c>
      <c r="B995" s="1" t="n">
        <v>45195.94679398148</v>
      </c>
      <c r="C995" s="1" t="n">
        <v>46029</v>
      </c>
      <c r="D995" t="inlineStr">
        <is>
          <t>JÄMTLANDS LÄN</t>
        </is>
      </c>
      <c r="E995" t="inlineStr">
        <is>
          <t>RAGUNDA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45955-2023</t>
        </is>
      </c>
      <c r="B996" s="1" t="n">
        <v>45195.94685185186</v>
      </c>
      <c r="C996" s="1" t="n">
        <v>46029</v>
      </c>
      <c r="D996" t="inlineStr">
        <is>
          <t>JÄMTLANDS LÄN</t>
        </is>
      </c>
      <c r="E996" t="inlineStr">
        <is>
          <t>RAGUNDA</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57111-2025</t>
        </is>
      </c>
      <c r="B997" s="1" t="n">
        <v>45978</v>
      </c>
      <c r="C997" s="1" t="n">
        <v>46029</v>
      </c>
      <c r="D997" t="inlineStr">
        <is>
          <t>JÄMTLANDS LÄN</t>
        </is>
      </c>
      <c r="E997" t="inlineStr">
        <is>
          <t>RAGUNDA</t>
        </is>
      </c>
      <c r="G997" t="n">
        <v>2.3</v>
      </c>
      <c r="H997" t="n">
        <v>0</v>
      </c>
      <c r="I997" t="n">
        <v>0</v>
      </c>
      <c r="J997" t="n">
        <v>0</v>
      </c>
      <c r="K997" t="n">
        <v>0</v>
      </c>
      <c r="L997" t="n">
        <v>0</v>
      </c>
      <c r="M997" t="n">
        <v>0</v>
      </c>
      <c r="N997" t="n">
        <v>0</v>
      </c>
      <c r="O997" t="n">
        <v>0</v>
      </c>
      <c r="P997" t="n">
        <v>0</v>
      </c>
      <c r="Q997" t="n">
        <v>0</v>
      </c>
      <c r="R997" s="2" t="inlineStr"/>
    </row>
    <row r="998" ht="15" customHeight="1">
      <c r="A998" t="inlineStr">
        <is>
          <t>A 57117-2025</t>
        </is>
      </c>
      <c r="B998" s="1" t="n">
        <v>45978</v>
      </c>
      <c r="C998" s="1" t="n">
        <v>46029</v>
      </c>
      <c r="D998" t="inlineStr">
        <is>
          <t>JÄMTLANDS LÄN</t>
        </is>
      </c>
      <c r="E998" t="inlineStr">
        <is>
          <t>RAGUNDA</t>
        </is>
      </c>
      <c r="G998" t="n">
        <v>4.2</v>
      </c>
      <c r="H998" t="n">
        <v>0</v>
      </c>
      <c r="I998" t="n">
        <v>0</v>
      </c>
      <c r="J998" t="n">
        <v>0</v>
      </c>
      <c r="K998" t="n">
        <v>0</v>
      </c>
      <c r="L998" t="n">
        <v>0</v>
      </c>
      <c r="M998" t="n">
        <v>0</v>
      </c>
      <c r="N998" t="n">
        <v>0</v>
      </c>
      <c r="O998" t="n">
        <v>0</v>
      </c>
      <c r="P998" t="n">
        <v>0</v>
      </c>
      <c r="Q998" t="n">
        <v>0</v>
      </c>
      <c r="R998" s="2" t="inlineStr"/>
    </row>
    <row r="999" ht="15" customHeight="1">
      <c r="A999" t="inlineStr">
        <is>
          <t>A 8787-2022</t>
        </is>
      </c>
      <c r="B999" s="1" t="n">
        <v>44614</v>
      </c>
      <c r="C999" s="1" t="n">
        <v>46029</v>
      </c>
      <c r="D999" t="inlineStr">
        <is>
          <t>JÄMTLANDS LÄN</t>
        </is>
      </c>
      <c r="E999" t="inlineStr">
        <is>
          <t>RAGUNDA</t>
        </is>
      </c>
      <c r="G999" t="n">
        <v>6.4</v>
      </c>
      <c r="H999" t="n">
        <v>0</v>
      </c>
      <c r="I999" t="n">
        <v>0</v>
      </c>
      <c r="J999" t="n">
        <v>0</v>
      </c>
      <c r="K999" t="n">
        <v>0</v>
      </c>
      <c r="L999" t="n">
        <v>0</v>
      </c>
      <c r="M999" t="n">
        <v>0</v>
      </c>
      <c r="N999" t="n">
        <v>0</v>
      </c>
      <c r="O999" t="n">
        <v>0</v>
      </c>
      <c r="P999" t="n">
        <v>0</v>
      </c>
      <c r="Q999" t="n">
        <v>0</v>
      </c>
      <c r="R999" s="2" t="inlineStr"/>
    </row>
    <row r="1000" ht="15" customHeight="1">
      <c r="A1000" t="inlineStr">
        <is>
          <t>A 5308-2025</t>
        </is>
      </c>
      <c r="B1000" s="1" t="n">
        <v>45692.49008101852</v>
      </c>
      <c r="C1000" s="1" t="n">
        <v>46029</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45253-2023</t>
        </is>
      </c>
      <c r="B1001" s="1" t="n">
        <v>45187</v>
      </c>
      <c r="C1001" s="1" t="n">
        <v>46029</v>
      </c>
      <c r="D1001" t="inlineStr">
        <is>
          <t>JÄMTLANDS LÄN</t>
        </is>
      </c>
      <c r="E1001" t="inlineStr">
        <is>
          <t>RAGUNDA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56751-2025</t>
        </is>
      </c>
      <c r="B1002" s="1" t="n">
        <v>45978.36538194444</v>
      </c>
      <c r="C1002" s="1" t="n">
        <v>46029</v>
      </c>
      <c r="D1002" t="inlineStr">
        <is>
          <t>JÄMTLANDS LÄN</t>
        </is>
      </c>
      <c r="E1002" t="inlineStr">
        <is>
          <t>RAGUNDA</t>
        </is>
      </c>
      <c r="F1002" t="inlineStr">
        <is>
          <t>SCA</t>
        </is>
      </c>
      <c r="G1002" t="n">
        <v>34.5</v>
      </c>
      <c r="H1002" t="n">
        <v>0</v>
      </c>
      <c r="I1002" t="n">
        <v>0</v>
      </c>
      <c r="J1002" t="n">
        <v>0</v>
      </c>
      <c r="K1002" t="n">
        <v>0</v>
      </c>
      <c r="L1002" t="n">
        <v>0</v>
      </c>
      <c r="M1002" t="n">
        <v>0</v>
      </c>
      <c r="N1002" t="n">
        <v>0</v>
      </c>
      <c r="O1002" t="n">
        <v>0</v>
      </c>
      <c r="P1002" t="n">
        <v>0</v>
      </c>
      <c r="Q1002" t="n">
        <v>0</v>
      </c>
      <c r="R1002" s="2" t="inlineStr"/>
    </row>
    <row r="1003" ht="15" customHeight="1">
      <c r="A1003" t="inlineStr">
        <is>
          <t>A 3104-2025</t>
        </is>
      </c>
      <c r="B1003" s="1" t="n">
        <v>45678.67761574074</v>
      </c>
      <c r="C1003" s="1" t="n">
        <v>46029</v>
      </c>
      <c r="D1003" t="inlineStr">
        <is>
          <t>JÄMTLANDS LÄN</t>
        </is>
      </c>
      <c r="E1003" t="inlineStr">
        <is>
          <t>RAGUNDA</t>
        </is>
      </c>
      <c r="F1003" t="inlineStr">
        <is>
          <t>SCA</t>
        </is>
      </c>
      <c r="G1003" t="n">
        <v>46.2</v>
      </c>
      <c r="H1003" t="n">
        <v>0</v>
      </c>
      <c r="I1003" t="n">
        <v>0</v>
      </c>
      <c r="J1003" t="n">
        <v>0</v>
      </c>
      <c r="K1003" t="n">
        <v>0</v>
      </c>
      <c r="L1003" t="n">
        <v>0</v>
      </c>
      <c r="M1003" t="n">
        <v>0</v>
      </c>
      <c r="N1003" t="n">
        <v>0</v>
      </c>
      <c r="O1003" t="n">
        <v>0</v>
      </c>
      <c r="P1003" t="n">
        <v>0</v>
      </c>
      <c r="Q1003" t="n">
        <v>0</v>
      </c>
      <c r="R1003" s="2" t="inlineStr"/>
    </row>
    <row r="1004" ht="15" customHeight="1">
      <c r="A1004" t="inlineStr">
        <is>
          <t>A 63828-2025</t>
        </is>
      </c>
      <c r="B1004" s="1" t="n">
        <v>46020.37814814815</v>
      </c>
      <c r="C1004" s="1" t="n">
        <v>46029</v>
      </c>
      <c r="D1004" t="inlineStr">
        <is>
          <t>JÄMTLANDS LÄN</t>
        </is>
      </c>
      <c r="E1004" t="inlineStr">
        <is>
          <t>RAGUNDA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56435-2025</t>
        </is>
      </c>
      <c r="B1005" s="1" t="n">
        <v>45975.34679398148</v>
      </c>
      <c r="C1005" s="1" t="n">
        <v>46029</v>
      </c>
      <c r="D1005" t="inlineStr">
        <is>
          <t>JÄMTLANDS LÄN</t>
        </is>
      </c>
      <c r="E1005" t="inlineStr">
        <is>
          <t>RAGUNDA</t>
        </is>
      </c>
      <c r="F1005" t="inlineStr">
        <is>
          <t>SCA</t>
        </is>
      </c>
      <c r="G1005" t="n">
        <v>9.199999999999999</v>
      </c>
      <c r="H1005" t="n">
        <v>0</v>
      </c>
      <c r="I1005" t="n">
        <v>0</v>
      </c>
      <c r="J1005" t="n">
        <v>0</v>
      </c>
      <c r="K1005" t="n">
        <v>0</v>
      </c>
      <c r="L1005" t="n">
        <v>0</v>
      </c>
      <c r="M1005" t="n">
        <v>0</v>
      </c>
      <c r="N1005" t="n">
        <v>0</v>
      </c>
      <c r="O1005" t="n">
        <v>0</v>
      </c>
      <c r="P1005" t="n">
        <v>0</v>
      </c>
      <c r="Q1005" t="n">
        <v>0</v>
      </c>
      <c r="R1005" s="2" t="inlineStr"/>
      <c r="U1005">
        <f>HYPERLINK("https://klasma.github.io/Logging_2303/knärot/A 56435-2025 karta knärot.png", "A 56435-2025")</f>
        <v/>
      </c>
      <c r="V1005">
        <f>HYPERLINK("https://klasma.github.io/Logging_2303/klagomål/A 56435-2025 FSC-klagomål.docx", "A 56435-2025")</f>
        <v/>
      </c>
      <c r="W1005">
        <f>HYPERLINK("https://klasma.github.io/Logging_2303/klagomålsmail/A 56435-2025 FSC-klagomål mail.docx", "A 56435-2025")</f>
        <v/>
      </c>
      <c r="X1005">
        <f>HYPERLINK("https://klasma.github.io/Logging_2303/tillsyn/A 56435-2025 tillsynsbegäran.docx", "A 56435-2025")</f>
        <v/>
      </c>
      <c r="Y1005">
        <f>HYPERLINK("https://klasma.github.io/Logging_2303/tillsynsmail/A 56435-2025 tillsynsbegäran mail.docx", "A 56435-2025")</f>
        <v/>
      </c>
    </row>
    <row r="1006" ht="15" customHeight="1">
      <c r="A1006" t="inlineStr">
        <is>
          <t>A 63714-2025</t>
        </is>
      </c>
      <c r="B1006" s="1" t="n">
        <v>46014</v>
      </c>
      <c r="C1006" s="1" t="n">
        <v>46029</v>
      </c>
      <c r="D1006" t="inlineStr">
        <is>
          <t>JÄMTLANDS LÄN</t>
        </is>
      </c>
      <c r="E1006" t="inlineStr">
        <is>
          <t>RAGUNDA</t>
        </is>
      </c>
      <c r="F1006" t="inlineStr">
        <is>
          <t>Sveaskog</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36046-2023</t>
        </is>
      </c>
      <c r="B1007" s="1" t="n">
        <v>45148</v>
      </c>
      <c r="C1007" s="1" t="n">
        <v>46029</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18193-2022</t>
        </is>
      </c>
      <c r="B1008" s="1" t="n">
        <v>44684.94032407407</v>
      </c>
      <c r="C1008" s="1" t="n">
        <v>46029</v>
      </c>
      <c r="D1008" t="inlineStr">
        <is>
          <t>JÄMTLANDS LÄN</t>
        </is>
      </c>
      <c r="E1008" t="inlineStr">
        <is>
          <t>RAGUNDA</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34323-2023</t>
        </is>
      </c>
      <c r="B1009" s="1" t="n">
        <v>45138.94925925926</v>
      </c>
      <c r="C1009" s="1" t="n">
        <v>46029</v>
      </c>
      <c r="D1009" t="inlineStr">
        <is>
          <t>JÄMTLANDS LÄN</t>
        </is>
      </c>
      <c r="E1009" t="inlineStr">
        <is>
          <t>RAGUNDA</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58843-2024</t>
        </is>
      </c>
      <c r="B1010" s="1" t="n">
        <v>45636.38599537037</v>
      </c>
      <c r="C1010" s="1" t="n">
        <v>46029</v>
      </c>
      <c r="D1010" t="inlineStr">
        <is>
          <t>JÄMTLANDS LÄN</t>
        </is>
      </c>
      <c r="E1010" t="inlineStr">
        <is>
          <t>RAGUNDA</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45953-2023</t>
        </is>
      </c>
      <c r="B1011" s="1" t="n">
        <v>45195.94672453704</v>
      </c>
      <c r="C1011" s="1" t="n">
        <v>46029</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30824-2023</t>
        </is>
      </c>
      <c r="B1012" s="1" t="n">
        <v>45112.94303240741</v>
      </c>
      <c r="C1012" s="1" t="n">
        <v>46029</v>
      </c>
      <c r="D1012" t="inlineStr">
        <is>
          <t>JÄMTLANDS LÄN</t>
        </is>
      </c>
      <c r="E1012" t="inlineStr">
        <is>
          <t>RAGUNDA</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30825-2023</t>
        </is>
      </c>
      <c r="B1013" s="1" t="n">
        <v>45112.94310185185</v>
      </c>
      <c r="C1013" s="1" t="n">
        <v>46029</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57332-2025</t>
        </is>
      </c>
      <c r="B1014" s="1" t="n">
        <v>45980.34467592592</v>
      </c>
      <c r="C1014" s="1" t="n">
        <v>46029</v>
      </c>
      <c r="D1014" t="inlineStr">
        <is>
          <t>JÄMTLANDS LÄN</t>
        </is>
      </c>
      <c r="E1014" t="inlineStr">
        <is>
          <t>RAGUNDA</t>
        </is>
      </c>
      <c r="F1014" t="inlineStr">
        <is>
          <t>SCA</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57561-2025</t>
        </is>
      </c>
      <c r="B1015" s="1" t="n">
        <v>45980.69885416667</v>
      </c>
      <c r="C1015" s="1" t="n">
        <v>46029</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31506-2024</t>
        </is>
      </c>
      <c r="B1016" s="1" t="n">
        <v>45505</v>
      </c>
      <c r="C1016" s="1" t="n">
        <v>46029</v>
      </c>
      <c r="D1016" t="inlineStr">
        <is>
          <t>JÄMTLANDS LÄN</t>
        </is>
      </c>
      <c r="E1016" t="inlineStr">
        <is>
          <t>RAGUNDA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55222-2024</t>
        </is>
      </c>
      <c r="B1017" s="1" t="n">
        <v>45621.57395833333</v>
      </c>
      <c r="C1017" s="1" t="n">
        <v>46029</v>
      </c>
      <c r="D1017" t="inlineStr">
        <is>
          <t>JÄMTLANDS LÄN</t>
        </is>
      </c>
      <c r="E1017" t="inlineStr">
        <is>
          <t>RAGUNDA</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57560-2025</t>
        </is>
      </c>
      <c r="B1018" s="1" t="n">
        <v>45980.6987962963</v>
      </c>
      <c r="C1018" s="1" t="n">
        <v>46029</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64108-2025</t>
        </is>
      </c>
      <c r="B1019" s="1" t="n">
        <v>46013</v>
      </c>
      <c r="C1019" s="1" t="n">
        <v>46029</v>
      </c>
      <c r="D1019" t="inlineStr">
        <is>
          <t>JÄMTLANDS LÄN</t>
        </is>
      </c>
      <c r="E1019" t="inlineStr">
        <is>
          <t>RAGUNDA</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44755-2024</t>
        </is>
      </c>
      <c r="B1020" s="1" t="n">
        <v>45574.61184027778</v>
      </c>
      <c r="C1020" s="1" t="n">
        <v>46029</v>
      </c>
      <c r="D1020" t="inlineStr">
        <is>
          <t>JÄMTLANDS LÄN</t>
        </is>
      </c>
      <c r="E1020" t="inlineStr">
        <is>
          <t>RAGUNDA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44766-2024</t>
        </is>
      </c>
      <c r="B1021" s="1" t="n">
        <v>45574.62297453704</v>
      </c>
      <c r="C1021" s="1" t="n">
        <v>46029</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44778-2024</t>
        </is>
      </c>
      <c r="B1022" s="1" t="n">
        <v>45574.63355324074</v>
      </c>
      <c r="C1022" s="1" t="n">
        <v>46029</v>
      </c>
      <c r="D1022" t="inlineStr">
        <is>
          <t>JÄMTLANDS LÄN</t>
        </is>
      </c>
      <c r="E1022" t="inlineStr">
        <is>
          <t>RAGUNDA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57184-2025</t>
        </is>
      </c>
      <c r="B1023" s="1" t="n">
        <v>45979.57361111111</v>
      </c>
      <c r="C1023" s="1" t="n">
        <v>46029</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122-2026</t>
        </is>
      </c>
      <c r="B1024" s="1" t="n">
        <v>46024.57335648148</v>
      </c>
      <c r="C1024" s="1" t="n">
        <v>46029</v>
      </c>
      <c r="D1024" t="inlineStr">
        <is>
          <t>JÄMTLANDS LÄN</t>
        </is>
      </c>
      <c r="E1024" t="inlineStr">
        <is>
          <t>RAGUNDA</t>
        </is>
      </c>
      <c r="F1024" t="inlineStr">
        <is>
          <t>SCA</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8795-2022</t>
        </is>
      </c>
      <c r="B1025" s="1" t="n">
        <v>44614</v>
      </c>
      <c r="C1025" s="1" t="n">
        <v>46029</v>
      </c>
      <c r="D1025" t="inlineStr">
        <is>
          <t>JÄMTLANDS LÄN</t>
        </is>
      </c>
      <c r="E1025" t="inlineStr">
        <is>
          <t>RAGUNDA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57833-2025</t>
        </is>
      </c>
      <c r="B1026" s="1" t="n">
        <v>45981.61541666667</v>
      </c>
      <c r="C1026" s="1" t="n">
        <v>46029</v>
      </c>
      <c r="D1026" t="inlineStr">
        <is>
          <t>JÄMTLANDS LÄN</t>
        </is>
      </c>
      <c r="E1026" t="inlineStr">
        <is>
          <t>RAGUNDA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14905-2022</t>
        </is>
      </c>
      <c r="B1027" s="1" t="n">
        <v>44656.94708333333</v>
      </c>
      <c r="C1027" s="1" t="n">
        <v>46029</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6257-2025</t>
        </is>
      </c>
      <c r="B1028" s="1" t="n">
        <v>45698.59409722222</v>
      </c>
      <c r="C1028" s="1" t="n">
        <v>46029</v>
      </c>
      <c r="D1028" t="inlineStr">
        <is>
          <t>JÄMTLANDS LÄN</t>
        </is>
      </c>
      <c r="E1028" t="inlineStr">
        <is>
          <t>RAGUNDA</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42508-2023</t>
        </is>
      </c>
      <c r="B1029" s="1" t="n">
        <v>45180.95907407408</v>
      </c>
      <c r="C1029" s="1" t="n">
        <v>46029</v>
      </c>
      <c r="D1029" t="inlineStr">
        <is>
          <t>JÄMTLANDS LÄN</t>
        </is>
      </c>
      <c r="E1029" t="inlineStr">
        <is>
          <t>RAGUNDA</t>
        </is>
      </c>
      <c r="F1029" t="inlineStr">
        <is>
          <t>SCA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58076-2025</t>
        </is>
      </c>
      <c r="B1030" s="1" t="n">
        <v>45982.55273148148</v>
      </c>
      <c r="C1030" s="1" t="n">
        <v>46029</v>
      </c>
      <c r="D1030" t="inlineStr">
        <is>
          <t>JÄMTLANDS LÄN</t>
        </is>
      </c>
      <c r="E1030" t="inlineStr">
        <is>
          <t>RAGUNDA</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58093-2025</t>
        </is>
      </c>
      <c r="B1031" s="1" t="n">
        <v>45982.5741087963</v>
      </c>
      <c r="C1031" s="1" t="n">
        <v>46029</v>
      </c>
      <c r="D1031" t="inlineStr">
        <is>
          <t>JÄMTLANDS LÄN</t>
        </is>
      </c>
      <c r="E1031" t="inlineStr">
        <is>
          <t>RAGUNDA</t>
        </is>
      </c>
      <c r="G1031" t="n">
        <v>22.2</v>
      </c>
      <c r="H1031" t="n">
        <v>0</v>
      </c>
      <c r="I1031" t="n">
        <v>0</v>
      </c>
      <c r="J1031" t="n">
        <v>0</v>
      </c>
      <c r="K1031" t="n">
        <v>0</v>
      </c>
      <c r="L1031" t="n">
        <v>0</v>
      </c>
      <c r="M1031" t="n">
        <v>0</v>
      </c>
      <c r="N1031" t="n">
        <v>0</v>
      </c>
      <c r="O1031" t="n">
        <v>0</v>
      </c>
      <c r="P1031" t="n">
        <v>0</v>
      </c>
      <c r="Q1031" t="n">
        <v>0</v>
      </c>
      <c r="R1031" s="2" t="inlineStr"/>
    </row>
    <row r="1032" ht="15" customHeight="1">
      <c r="A1032" t="inlineStr">
        <is>
          <t>A 57914-2025</t>
        </is>
      </c>
      <c r="B1032" s="1" t="n">
        <v>45981</v>
      </c>
      <c r="C1032" s="1" t="n">
        <v>46029</v>
      </c>
      <c r="D1032" t="inlineStr">
        <is>
          <t>JÄMTLANDS LÄN</t>
        </is>
      </c>
      <c r="E1032" t="inlineStr">
        <is>
          <t>RAGUNDA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57915-2025</t>
        </is>
      </c>
      <c r="B1033" s="1" t="n">
        <v>45981</v>
      </c>
      <c r="C1033" s="1" t="n">
        <v>46029</v>
      </c>
      <c r="D1033" t="inlineStr">
        <is>
          <t>JÄMTLANDS LÄN</t>
        </is>
      </c>
      <c r="E1033" t="inlineStr">
        <is>
          <t>RAGUNDA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57963-2025</t>
        </is>
      </c>
      <c r="B1034" s="1" t="n">
        <v>45982.37800925926</v>
      </c>
      <c r="C1034" s="1" t="n">
        <v>46029</v>
      </c>
      <c r="D1034" t="inlineStr">
        <is>
          <t>JÄMTLANDS LÄN</t>
        </is>
      </c>
      <c r="E1034" t="inlineStr">
        <is>
          <t>RAGUNDA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57916-2025</t>
        </is>
      </c>
      <c r="B1035" s="1" t="n">
        <v>45981</v>
      </c>
      <c r="C1035" s="1" t="n">
        <v>46029</v>
      </c>
      <c r="D1035" t="inlineStr">
        <is>
          <t>JÄMTLANDS LÄN</t>
        </is>
      </c>
      <c r="E1035" t="inlineStr">
        <is>
          <t>RAGUNDA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59286-2023</t>
        </is>
      </c>
      <c r="B1036" s="1" t="n">
        <v>45253</v>
      </c>
      <c r="C1036" s="1" t="n">
        <v>46029</v>
      </c>
      <c r="D1036" t="inlineStr">
        <is>
          <t>JÄMTLANDS LÄN</t>
        </is>
      </c>
      <c r="E1036" t="inlineStr">
        <is>
          <t>RAGUNDA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57970-2025</t>
        </is>
      </c>
      <c r="B1037" s="1" t="n">
        <v>45982.38582175926</v>
      </c>
      <c r="C1037" s="1" t="n">
        <v>46029</v>
      </c>
      <c r="D1037" t="inlineStr">
        <is>
          <t>JÄMTLANDS LÄN</t>
        </is>
      </c>
      <c r="E1037" t="inlineStr">
        <is>
          <t>RAGUNDA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57785-2025</t>
        </is>
      </c>
      <c r="B1038" s="1" t="n">
        <v>45981.57393518519</v>
      </c>
      <c r="C1038" s="1" t="n">
        <v>46029</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7284-2025</t>
        </is>
      </c>
      <c r="B1039" s="1" t="n">
        <v>45702.63604166666</v>
      </c>
      <c r="C1039" s="1" t="n">
        <v>46029</v>
      </c>
      <c r="D1039" t="inlineStr">
        <is>
          <t>JÄMTLANDS LÄN</t>
        </is>
      </c>
      <c r="E1039" t="inlineStr">
        <is>
          <t>RAGUNDA</t>
        </is>
      </c>
      <c r="F1039" t="inlineStr">
        <is>
          <t>SCA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265-2026</t>
        </is>
      </c>
      <c r="B1040" s="1" t="n">
        <v>46027.44956018519</v>
      </c>
      <c r="C1040" s="1" t="n">
        <v>46029</v>
      </c>
      <c r="D1040" t="inlineStr">
        <is>
          <t>JÄMTLANDS LÄN</t>
        </is>
      </c>
      <c r="E1040" t="inlineStr">
        <is>
          <t>RAGUNDA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60012-2023</t>
        </is>
      </c>
      <c r="B1041" s="1" t="n">
        <v>45257</v>
      </c>
      <c r="C1041" s="1" t="n">
        <v>46029</v>
      </c>
      <c r="D1041" t="inlineStr">
        <is>
          <t>JÄMTLANDS LÄN</t>
        </is>
      </c>
      <c r="E1041" t="inlineStr">
        <is>
          <t>RAGUNDA</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20221-2025</t>
        </is>
      </c>
      <c r="B1042" s="1" t="n">
        <v>45772.6565625</v>
      </c>
      <c r="C1042" s="1" t="n">
        <v>46029</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35265-2023</t>
        </is>
      </c>
      <c r="B1043" s="1" t="n">
        <v>45145.95326388889</v>
      </c>
      <c r="C1043" s="1" t="n">
        <v>46029</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31435-2022</t>
        </is>
      </c>
      <c r="B1044" s="1" t="n">
        <v>44774</v>
      </c>
      <c r="C1044" s="1" t="n">
        <v>46029</v>
      </c>
      <c r="D1044" t="inlineStr">
        <is>
          <t>JÄMTLANDS LÄN</t>
        </is>
      </c>
      <c r="E1044" t="inlineStr">
        <is>
          <t>RAGUNDA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50211-2023</t>
        </is>
      </c>
      <c r="B1045" s="1" t="n">
        <v>45215.94657407407</v>
      </c>
      <c r="C1045" s="1" t="n">
        <v>46029</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58638-2025</t>
        </is>
      </c>
      <c r="B1046" s="1" t="n">
        <v>45986.49016203704</v>
      </c>
      <c r="C1046" s="1" t="n">
        <v>46029</v>
      </c>
      <c r="D1046" t="inlineStr">
        <is>
          <t>JÄMTLANDS LÄN</t>
        </is>
      </c>
      <c r="E1046" t="inlineStr">
        <is>
          <t>RAGUNDA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222-2026</t>
        </is>
      </c>
      <c r="B1047" s="1" t="n">
        <v>46026.84054398148</v>
      </c>
      <c r="C1047" s="1" t="n">
        <v>46029</v>
      </c>
      <c r="D1047" t="inlineStr">
        <is>
          <t>JÄMTLANDS LÄN</t>
        </is>
      </c>
      <c r="E1047" t="inlineStr">
        <is>
          <t>RAGUNDA</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58559-2025</t>
        </is>
      </c>
      <c r="B1048" s="1" t="n">
        <v>45986.34475694445</v>
      </c>
      <c r="C1048" s="1" t="n">
        <v>46029</v>
      </c>
      <c r="D1048" t="inlineStr">
        <is>
          <t>JÄMTLANDS LÄN</t>
        </is>
      </c>
      <c r="E1048" t="inlineStr">
        <is>
          <t>RAGUNDA</t>
        </is>
      </c>
      <c r="F1048" t="inlineStr">
        <is>
          <t>SCA</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16529-2022</t>
        </is>
      </c>
      <c r="B1049" s="1" t="n">
        <v>44671</v>
      </c>
      <c r="C1049" s="1" t="n">
        <v>46029</v>
      </c>
      <c r="D1049" t="inlineStr">
        <is>
          <t>JÄMTLANDS LÄN</t>
        </is>
      </c>
      <c r="E1049" t="inlineStr">
        <is>
          <t>RAGUNDA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40269-2022</t>
        </is>
      </c>
      <c r="B1050" s="1" t="n">
        <v>44820</v>
      </c>
      <c r="C1050" s="1" t="n">
        <v>46029</v>
      </c>
      <c r="D1050" t="inlineStr">
        <is>
          <t>JÄMTLANDS LÄN</t>
        </is>
      </c>
      <c r="E1050" t="inlineStr">
        <is>
          <t>RAGUNDA</t>
        </is>
      </c>
      <c r="F1050" t="inlineStr">
        <is>
          <t>SCA</t>
        </is>
      </c>
      <c r="G1050" t="n">
        <v>77.8</v>
      </c>
      <c r="H1050" t="n">
        <v>0</v>
      </c>
      <c r="I1050" t="n">
        <v>0</v>
      </c>
      <c r="J1050" t="n">
        <v>0</v>
      </c>
      <c r="K1050" t="n">
        <v>0</v>
      </c>
      <c r="L1050" t="n">
        <v>0</v>
      </c>
      <c r="M1050" t="n">
        <v>0</v>
      </c>
      <c r="N1050" t="n">
        <v>0</v>
      </c>
      <c r="O1050" t="n">
        <v>0</v>
      </c>
      <c r="P1050" t="n">
        <v>0</v>
      </c>
      <c r="Q1050" t="n">
        <v>0</v>
      </c>
      <c r="R1050" s="2" t="inlineStr"/>
    </row>
    <row r="1051" ht="15" customHeight="1">
      <c r="A1051" t="inlineStr">
        <is>
          <t>A 44536-2022</t>
        </is>
      </c>
      <c r="B1051" s="1" t="n">
        <v>44839</v>
      </c>
      <c r="C1051" s="1" t="n">
        <v>46029</v>
      </c>
      <c r="D1051" t="inlineStr">
        <is>
          <t>JÄMTLANDS LÄN</t>
        </is>
      </c>
      <c r="E1051" t="inlineStr">
        <is>
          <t>RAGUNDA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36212-2023</t>
        </is>
      </c>
      <c r="B1052" s="1" t="n">
        <v>45149.95241898148</v>
      </c>
      <c r="C1052" s="1" t="n">
        <v>46029</v>
      </c>
      <c r="D1052" t="inlineStr">
        <is>
          <t>JÄMTLANDS LÄN</t>
        </is>
      </c>
      <c r="E1052" t="inlineStr">
        <is>
          <t>RAGUNDA</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53860-2023</t>
        </is>
      </c>
      <c r="B1053" s="1" t="n">
        <v>45224</v>
      </c>
      <c r="C1053" s="1" t="n">
        <v>46029</v>
      </c>
      <c r="D1053" t="inlineStr">
        <is>
          <t>JÄMTLANDS LÄN</t>
        </is>
      </c>
      <c r="E1053" t="inlineStr">
        <is>
          <t>RAGUNDA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54599-2023</t>
        </is>
      </c>
      <c r="B1054" s="1" t="n">
        <v>45233.92591435185</v>
      </c>
      <c r="C1054" s="1" t="n">
        <v>46029</v>
      </c>
      <c r="D1054" t="inlineStr">
        <is>
          <t>JÄMTLANDS LÄN</t>
        </is>
      </c>
      <c r="E1054" t="inlineStr">
        <is>
          <t>RAGUNDA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10610-2024</t>
        </is>
      </c>
      <c r="B1055" s="1" t="n">
        <v>45367.04693287037</v>
      </c>
      <c r="C1055" s="1" t="n">
        <v>46029</v>
      </c>
      <c r="D1055" t="inlineStr">
        <is>
          <t>JÄMTLANDS LÄN</t>
        </is>
      </c>
      <c r="E1055" t="inlineStr">
        <is>
          <t>RAGUNDA</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8779-2025</t>
        </is>
      </c>
      <c r="B1056" s="1" t="n">
        <v>45712.61552083334</v>
      </c>
      <c r="C1056" s="1" t="n">
        <v>46029</v>
      </c>
      <c r="D1056" t="inlineStr">
        <is>
          <t>JÄMTLANDS LÄN</t>
        </is>
      </c>
      <c r="E1056" t="inlineStr">
        <is>
          <t>RAGUNDA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20574-2025</t>
        </is>
      </c>
      <c r="B1057" s="1" t="n">
        <v>45775.67747685185</v>
      </c>
      <c r="C1057" s="1" t="n">
        <v>46029</v>
      </c>
      <c r="D1057" t="inlineStr">
        <is>
          <t>JÄMTLANDS LÄN</t>
        </is>
      </c>
      <c r="E1057" t="inlineStr">
        <is>
          <t>RAGUNDA</t>
        </is>
      </c>
      <c r="F1057" t="inlineStr">
        <is>
          <t>SCA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16676-2022</t>
        </is>
      </c>
      <c r="B1058" s="1" t="n">
        <v>44672.94018518519</v>
      </c>
      <c r="C1058" s="1" t="n">
        <v>46029</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57078-2023</t>
        </is>
      </c>
      <c r="B1059" s="1" t="n">
        <v>45244.96774305555</v>
      </c>
      <c r="C1059" s="1" t="n">
        <v>46029</v>
      </c>
      <c r="D1059" t="inlineStr">
        <is>
          <t>JÄMTLANDS LÄN</t>
        </is>
      </c>
      <c r="E1059" t="inlineStr">
        <is>
          <t>RAGUNDA</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12976-2025</t>
        </is>
      </c>
      <c r="B1060" s="1" t="n">
        <v>45734.45268518518</v>
      </c>
      <c r="C1060" s="1" t="n">
        <v>46029</v>
      </c>
      <c r="D1060" t="inlineStr">
        <is>
          <t>JÄMTLANDS LÄN</t>
        </is>
      </c>
      <c r="E1060" t="inlineStr">
        <is>
          <t>RAGUNDA</t>
        </is>
      </c>
      <c r="G1060" t="n">
        <v>24.2</v>
      </c>
      <c r="H1060" t="n">
        <v>0</v>
      </c>
      <c r="I1060" t="n">
        <v>0</v>
      </c>
      <c r="J1060" t="n">
        <v>0</v>
      </c>
      <c r="K1060" t="n">
        <v>0</v>
      </c>
      <c r="L1060" t="n">
        <v>0</v>
      </c>
      <c r="M1060" t="n">
        <v>0</v>
      </c>
      <c r="N1060" t="n">
        <v>0</v>
      </c>
      <c r="O1060" t="n">
        <v>0</v>
      </c>
      <c r="P1060" t="n">
        <v>0</v>
      </c>
      <c r="Q1060" t="n">
        <v>0</v>
      </c>
      <c r="R1060" s="2" t="inlineStr"/>
    </row>
    <row r="1061" ht="15" customHeight="1">
      <c r="A1061" t="inlineStr">
        <is>
          <t>A 56286-2023</t>
        </is>
      </c>
      <c r="B1061" s="1" t="n">
        <v>45241.95741898148</v>
      </c>
      <c r="C1061" s="1" t="n">
        <v>46029</v>
      </c>
      <c r="D1061" t="inlineStr">
        <is>
          <t>JÄMTLANDS LÄN</t>
        </is>
      </c>
      <c r="E1061" t="inlineStr">
        <is>
          <t>RAGUNDA</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56287-2023</t>
        </is>
      </c>
      <c r="B1062" s="1" t="n">
        <v>45241</v>
      </c>
      <c r="C1062" s="1" t="n">
        <v>46029</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59658-2023</t>
        </is>
      </c>
      <c r="B1063" s="1" t="n">
        <v>45254.96402777778</v>
      </c>
      <c r="C1063" s="1" t="n">
        <v>46029</v>
      </c>
      <c r="D1063" t="inlineStr">
        <is>
          <t>JÄMTLANDS LÄN</t>
        </is>
      </c>
      <c r="E1063" t="inlineStr">
        <is>
          <t>RAGUNDA</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28081-2022</t>
        </is>
      </c>
      <c r="B1064" s="1" t="n">
        <v>44746</v>
      </c>
      <c r="C1064" s="1" t="n">
        <v>46029</v>
      </c>
      <c r="D1064" t="inlineStr">
        <is>
          <t>JÄMTLANDS LÄN</t>
        </is>
      </c>
      <c r="E1064" t="inlineStr">
        <is>
          <t>RAGUNDA</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37324-2022</t>
        </is>
      </c>
      <c r="B1065" s="1" t="n">
        <v>44806</v>
      </c>
      <c r="C1065" s="1" t="n">
        <v>46029</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62106-2023</t>
        </is>
      </c>
      <c r="B1066" s="1" t="n">
        <v>45266.95082175926</v>
      </c>
      <c r="C1066" s="1" t="n">
        <v>46029</v>
      </c>
      <c r="D1066" t="inlineStr">
        <is>
          <t>JÄMTLANDS LÄN</t>
        </is>
      </c>
      <c r="E1066" t="inlineStr">
        <is>
          <t>RAGUNDA</t>
        </is>
      </c>
      <c r="F1066" t="inlineStr">
        <is>
          <t>SCA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4592-2024</t>
        </is>
      </c>
      <c r="B1067" s="1" t="n">
        <v>45327.94443287037</v>
      </c>
      <c r="C1067" s="1" t="n">
        <v>46029</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46029</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8241-2024</t>
        </is>
      </c>
      <c r="B1069" s="1" t="n">
        <v>45351.98496527778</v>
      </c>
      <c r="C1069" s="1" t="n">
        <v>46029</v>
      </c>
      <c r="D1069" t="inlineStr">
        <is>
          <t>JÄMTLANDS LÄN</t>
        </is>
      </c>
      <c r="E1069" t="inlineStr">
        <is>
          <t>RAGUNDA</t>
        </is>
      </c>
      <c r="F1069" t="inlineStr">
        <is>
          <t>SCA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14512-2025</t>
        </is>
      </c>
      <c r="B1070" s="1" t="n">
        <v>45741.63659722222</v>
      </c>
      <c r="C1070" s="1" t="n">
        <v>46029</v>
      </c>
      <c r="D1070" t="inlineStr">
        <is>
          <t>JÄMTLANDS LÄN</t>
        </is>
      </c>
      <c r="E1070" t="inlineStr">
        <is>
          <t>RAGUNDA</t>
        </is>
      </c>
      <c r="F1070" t="inlineStr">
        <is>
          <t>SCA</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53019-2023</t>
        </is>
      </c>
      <c r="B1071" s="1" t="n">
        <v>45222</v>
      </c>
      <c r="C1071" s="1" t="n">
        <v>46029</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59996-2023</t>
        </is>
      </c>
      <c r="B1072" s="1" t="n">
        <v>45257.92826388889</v>
      </c>
      <c r="C1072" s="1" t="n">
        <v>46029</v>
      </c>
      <c r="D1072" t="inlineStr">
        <is>
          <t>JÄMTLANDS LÄN</t>
        </is>
      </c>
      <c r="E1072" t="inlineStr">
        <is>
          <t>RAGUNDA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1537-2024</t>
        </is>
      </c>
      <c r="B1073" s="1" t="n">
        <v>45306</v>
      </c>
      <c r="C1073" s="1" t="n">
        <v>46029</v>
      </c>
      <c r="D1073" t="inlineStr">
        <is>
          <t>JÄMTLANDS LÄN</t>
        </is>
      </c>
      <c r="E1073" t="inlineStr">
        <is>
          <t>RAGUNDA</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29257-2024</t>
        </is>
      </c>
      <c r="B1074" s="1" t="n">
        <v>45482.94815972223</v>
      </c>
      <c r="C1074" s="1" t="n">
        <v>46029</v>
      </c>
      <c r="D1074" t="inlineStr">
        <is>
          <t>JÄMTLANDS LÄN</t>
        </is>
      </c>
      <c r="E1074" t="inlineStr">
        <is>
          <t>RAGUNDA</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55487-2023</t>
        </is>
      </c>
      <c r="B1075" s="1" t="n">
        <v>45238</v>
      </c>
      <c r="C1075" s="1" t="n">
        <v>46029</v>
      </c>
      <c r="D1075" t="inlineStr">
        <is>
          <t>JÄMTLANDS LÄN</t>
        </is>
      </c>
      <c r="E1075" t="inlineStr">
        <is>
          <t>RAGUNDA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20770-2024</t>
        </is>
      </c>
      <c r="B1076" s="1" t="n">
        <v>45436.94613425926</v>
      </c>
      <c r="C1076" s="1" t="n">
        <v>46029</v>
      </c>
      <c r="D1076" t="inlineStr">
        <is>
          <t>JÄMTLANDS LÄN</t>
        </is>
      </c>
      <c r="E1076" t="inlineStr">
        <is>
          <t>RAGUNDA</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19383-2025</t>
        </is>
      </c>
      <c r="B1077" s="1" t="n">
        <v>45769.65688657408</v>
      </c>
      <c r="C1077" s="1" t="n">
        <v>46029</v>
      </c>
      <c r="D1077" t="inlineStr">
        <is>
          <t>JÄMTLANDS LÄN</t>
        </is>
      </c>
      <c r="E1077" t="inlineStr">
        <is>
          <t>RAGUNDA</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12783-2023</t>
        </is>
      </c>
      <c r="B1078" s="1" t="n">
        <v>45000</v>
      </c>
      <c r="C1078" s="1" t="n">
        <v>46029</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35153-2024</t>
        </is>
      </c>
      <c r="B1079" s="1" t="n">
        <v>45530</v>
      </c>
      <c r="C1079" s="1" t="n">
        <v>46029</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61197-2023</t>
        </is>
      </c>
      <c r="B1080" s="1" t="n">
        <v>45260</v>
      </c>
      <c r="C1080" s="1" t="n">
        <v>46029</v>
      </c>
      <c r="D1080" t="inlineStr">
        <is>
          <t>JÄMTLANDS LÄN</t>
        </is>
      </c>
      <c r="E1080" t="inlineStr">
        <is>
          <t>RAGUNDA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31135-2023</t>
        </is>
      </c>
      <c r="B1081" s="1" t="n">
        <v>45103</v>
      </c>
      <c r="C1081" s="1" t="n">
        <v>46029</v>
      </c>
      <c r="D1081" t="inlineStr">
        <is>
          <t>JÄMTLANDS LÄN</t>
        </is>
      </c>
      <c r="E1081" t="inlineStr">
        <is>
          <t>RAGUNDA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13767-2022</t>
        </is>
      </c>
      <c r="B1082" s="1" t="n">
        <v>44649.47048611111</v>
      </c>
      <c r="C1082" s="1" t="n">
        <v>46029</v>
      </c>
      <c r="D1082" t="inlineStr">
        <is>
          <t>JÄMTLANDS LÄN</t>
        </is>
      </c>
      <c r="E1082" t="inlineStr">
        <is>
          <t>RAGUNDA</t>
        </is>
      </c>
      <c r="F1082" t="inlineStr">
        <is>
          <t>Kommuner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22569-2023</t>
        </is>
      </c>
      <c r="B1083" s="1" t="n">
        <v>45069</v>
      </c>
      <c r="C1083" s="1" t="n">
        <v>46029</v>
      </c>
      <c r="D1083" t="inlineStr">
        <is>
          <t>JÄMTLANDS LÄN</t>
        </is>
      </c>
      <c r="E1083" t="inlineStr">
        <is>
          <t>RAGUNDA</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4212-2024</t>
        </is>
      </c>
      <c r="B1084" s="1" t="n">
        <v>45324</v>
      </c>
      <c r="C1084" s="1" t="n">
        <v>46029</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43405-2023</t>
        </is>
      </c>
      <c r="B1085" s="1" t="n">
        <v>45183.95563657407</v>
      </c>
      <c r="C1085" s="1" t="n">
        <v>46029</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56984-2022</t>
        </is>
      </c>
      <c r="B1086" s="1" t="n">
        <v>44894.79018518519</v>
      </c>
      <c r="C1086" s="1" t="n">
        <v>46029</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5958-2023</t>
        </is>
      </c>
      <c r="B1087" s="1" t="n">
        <v>44963</v>
      </c>
      <c r="C1087" s="1" t="n">
        <v>46029</v>
      </c>
      <c r="D1087" t="inlineStr">
        <is>
          <t>JÄMTLANDS LÄN</t>
        </is>
      </c>
      <c r="E1087" t="inlineStr">
        <is>
          <t>RAGUNDA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50521-2024</t>
        </is>
      </c>
      <c r="B1088" s="1" t="n">
        <v>45601.55331018518</v>
      </c>
      <c r="C1088" s="1" t="n">
        <v>46029</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29920-2024</t>
        </is>
      </c>
      <c r="B1089" s="1" t="n">
        <v>45487.92856481481</v>
      </c>
      <c r="C1089" s="1" t="n">
        <v>46029</v>
      </c>
      <c r="D1089" t="inlineStr">
        <is>
          <t>JÄMTLANDS LÄN</t>
        </is>
      </c>
      <c r="E1089" t="inlineStr">
        <is>
          <t>RAGUNDA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62011-2022</t>
        </is>
      </c>
      <c r="B1090" s="1" t="n">
        <v>44914</v>
      </c>
      <c r="C1090" s="1" t="n">
        <v>46029</v>
      </c>
      <c r="D1090" t="inlineStr">
        <is>
          <t>JÄMTLANDS LÄN</t>
        </is>
      </c>
      <c r="E1090" t="inlineStr">
        <is>
          <t>RAGUNDA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22311-2024</t>
        </is>
      </c>
      <c r="B1091" s="1" t="n">
        <v>45446.57052083333</v>
      </c>
      <c r="C1091" s="1" t="n">
        <v>46029</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19866-2023</t>
        </is>
      </c>
      <c r="B1092" s="1" t="n">
        <v>45053.94313657407</v>
      </c>
      <c r="C1092" s="1" t="n">
        <v>46029</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53935-2022</t>
        </is>
      </c>
      <c r="B1093" s="1" t="n">
        <v>44880</v>
      </c>
      <c r="C1093" s="1" t="n">
        <v>46029</v>
      </c>
      <c r="D1093" t="inlineStr">
        <is>
          <t>JÄMTLANDS LÄN</t>
        </is>
      </c>
      <c r="E1093" t="inlineStr">
        <is>
          <t>RAGUNDA</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18631-2024</t>
        </is>
      </c>
      <c r="B1094" s="1" t="n">
        <v>45425.96494212963</v>
      </c>
      <c r="C1094" s="1" t="n">
        <v>46029</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12805-2025</t>
        </is>
      </c>
      <c r="B1095" s="1" t="n">
        <v>45733.61497685185</v>
      </c>
      <c r="C1095" s="1" t="n">
        <v>46029</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11062-2023</t>
        </is>
      </c>
      <c r="B1096" s="1" t="n">
        <v>44991</v>
      </c>
      <c r="C1096" s="1" t="n">
        <v>46029</v>
      </c>
      <c r="D1096" t="inlineStr">
        <is>
          <t>JÄMTLANDS LÄN</t>
        </is>
      </c>
      <c r="E1096" t="inlineStr">
        <is>
          <t>RAGUNDA</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69153-2021</t>
        </is>
      </c>
      <c r="B1097" s="1" t="n">
        <v>44530.94694444445</v>
      </c>
      <c r="C1097" s="1" t="n">
        <v>46029</v>
      </c>
      <c r="D1097" t="inlineStr">
        <is>
          <t>JÄMTLANDS LÄN</t>
        </is>
      </c>
      <c r="E1097" t="inlineStr">
        <is>
          <t>RAGUNDA</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4882-2023</t>
        </is>
      </c>
      <c r="B1098" s="1" t="n">
        <v>44957.94075231482</v>
      </c>
      <c r="C1098" s="1" t="n">
        <v>46029</v>
      </c>
      <c r="D1098" t="inlineStr">
        <is>
          <t>JÄMTLANDS LÄN</t>
        </is>
      </c>
      <c r="E1098" t="inlineStr">
        <is>
          <t>RAGUNDA</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39608-2024</t>
        </is>
      </c>
      <c r="B1099" s="1" t="n">
        <v>45552.39113425926</v>
      </c>
      <c r="C1099" s="1" t="n">
        <v>46029</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18454-2021</t>
        </is>
      </c>
      <c r="B1100" s="1" t="n">
        <v>44305.92047453704</v>
      </c>
      <c r="C1100" s="1" t="n">
        <v>46029</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26455-2023</t>
        </is>
      </c>
      <c r="B1101" s="1" t="n">
        <v>45092</v>
      </c>
      <c r="C1101" s="1" t="n">
        <v>46029</v>
      </c>
      <c r="D1101" t="inlineStr">
        <is>
          <t>JÄMTLANDS LÄN</t>
        </is>
      </c>
      <c r="E1101" t="inlineStr">
        <is>
          <t>RAGUNDA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6801-2023</t>
        </is>
      </c>
      <c r="B1102" s="1" t="n">
        <v>44966.95328703704</v>
      </c>
      <c r="C1102" s="1" t="n">
        <v>46029</v>
      </c>
      <c r="D1102" t="inlineStr">
        <is>
          <t>JÄMTLANDS LÄN</t>
        </is>
      </c>
      <c r="E1102" t="inlineStr">
        <is>
          <t>RAGUNDA</t>
        </is>
      </c>
      <c r="F1102" t="inlineStr">
        <is>
          <t>SCA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5967-2021</t>
        </is>
      </c>
      <c r="B1103" s="1" t="n">
        <v>44231</v>
      </c>
      <c r="C1103" s="1" t="n">
        <v>46029</v>
      </c>
      <c r="D1103" t="inlineStr">
        <is>
          <t>JÄMTLANDS LÄN</t>
        </is>
      </c>
      <c r="E1103" t="inlineStr">
        <is>
          <t>RAGUNDA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10641-2024</t>
        </is>
      </c>
      <c r="B1104" s="1" t="n">
        <v>45367.69850694444</v>
      </c>
      <c r="C1104" s="1" t="n">
        <v>46029</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10644-2024</t>
        </is>
      </c>
      <c r="B1105" s="1" t="n">
        <v>45367.71348379629</v>
      </c>
      <c r="C1105" s="1" t="n">
        <v>46029</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17559-2023</t>
        </is>
      </c>
      <c r="B1106" s="1" t="n">
        <v>45034</v>
      </c>
      <c r="C1106" s="1" t="n">
        <v>46029</v>
      </c>
      <c r="D1106" t="inlineStr">
        <is>
          <t>JÄMTLANDS LÄN</t>
        </is>
      </c>
      <c r="E1106" t="inlineStr">
        <is>
          <t>RAGUNDA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30826-2023</t>
        </is>
      </c>
      <c r="B1107" s="1" t="n">
        <v>45112</v>
      </c>
      <c r="C1107" s="1" t="n">
        <v>46029</v>
      </c>
      <c r="D1107" t="inlineStr">
        <is>
          <t>JÄMTLANDS LÄN</t>
        </is>
      </c>
      <c r="E1107" t="inlineStr">
        <is>
          <t>RAGUNDA</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56191-2022</t>
        </is>
      </c>
      <c r="B1108" s="1" t="n">
        <v>44889.95015046297</v>
      </c>
      <c r="C1108" s="1" t="n">
        <v>46029</v>
      </c>
      <c r="D1108" t="inlineStr">
        <is>
          <t>JÄMTLANDS LÄN</t>
        </is>
      </c>
      <c r="E1108" t="inlineStr">
        <is>
          <t>RAGUNDA</t>
        </is>
      </c>
      <c r="F1108" t="inlineStr">
        <is>
          <t>Sveaskog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33621-2023</t>
        </is>
      </c>
      <c r="B1109" s="1" t="n">
        <v>45119</v>
      </c>
      <c r="C1109" s="1" t="n">
        <v>46029</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65216-2023</t>
        </is>
      </c>
      <c r="B1110" s="1" t="n">
        <v>45289</v>
      </c>
      <c r="C1110" s="1" t="n">
        <v>46029</v>
      </c>
      <c r="D1110" t="inlineStr">
        <is>
          <t>JÄMTLANDS LÄN</t>
        </is>
      </c>
      <c r="E1110" t="inlineStr">
        <is>
          <t>RAGUNDA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60838-2023</t>
        </is>
      </c>
      <c r="B1111" s="1" t="n">
        <v>45260.92561342593</v>
      </c>
      <c r="C1111" s="1" t="n">
        <v>46029</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2133-2023</t>
        </is>
      </c>
      <c r="B1112" s="1" t="n">
        <v>44939</v>
      </c>
      <c r="C1112" s="1" t="n">
        <v>46029</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49647-2024</t>
        </is>
      </c>
      <c r="B1113" s="1" t="n">
        <v>45596.61533564814</v>
      </c>
      <c r="C1113" s="1" t="n">
        <v>46029</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6802-2021</t>
        </is>
      </c>
      <c r="B1114" s="1" t="n">
        <v>44236</v>
      </c>
      <c r="C1114" s="1" t="n">
        <v>46029</v>
      </c>
      <c r="D1114" t="inlineStr">
        <is>
          <t>JÄMTLANDS LÄN</t>
        </is>
      </c>
      <c r="E1114" t="inlineStr">
        <is>
          <t>RAGUNDA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64415-2023</t>
        </is>
      </c>
      <c r="B1115" s="1" t="n">
        <v>45280</v>
      </c>
      <c r="C1115" s="1" t="n">
        <v>46029</v>
      </c>
      <c r="D1115" t="inlineStr">
        <is>
          <t>JÄMTLANDS LÄN</t>
        </is>
      </c>
      <c r="E1115" t="inlineStr">
        <is>
          <t>RAGUNDA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38782-2021</t>
        </is>
      </c>
      <c r="B1116" s="1" t="n">
        <v>44410</v>
      </c>
      <c r="C1116" s="1" t="n">
        <v>46029</v>
      </c>
      <c r="D1116" t="inlineStr">
        <is>
          <t>JÄMTLANDS LÄN</t>
        </is>
      </c>
      <c r="E1116" t="inlineStr">
        <is>
          <t>RAGUNDA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16250-2022</t>
        </is>
      </c>
      <c r="B1117" s="1" t="n">
        <v>44670</v>
      </c>
      <c r="C1117" s="1" t="n">
        <v>46029</v>
      </c>
      <c r="D1117" t="inlineStr">
        <is>
          <t>JÄMTLANDS LÄN</t>
        </is>
      </c>
      <c r="E1117" t="inlineStr">
        <is>
          <t>RAGUNDA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13334-2024</t>
        </is>
      </c>
      <c r="B1118" s="1" t="n">
        <v>45386</v>
      </c>
      <c r="C1118" s="1" t="n">
        <v>46029</v>
      </c>
      <c r="D1118" t="inlineStr">
        <is>
          <t>JÄMTLANDS LÄN</t>
        </is>
      </c>
      <c r="E1118" t="inlineStr">
        <is>
          <t>RAGUNDA</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55669-2023</t>
        </is>
      </c>
      <c r="B1119" s="1" t="n">
        <v>45238.96797453704</v>
      </c>
      <c r="C1119" s="1" t="n">
        <v>46029</v>
      </c>
      <c r="D1119" t="inlineStr">
        <is>
          <t>JÄMTLANDS LÄN</t>
        </is>
      </c>
      <c r="E1119" t="inlineStr">
        <is>
          <t>RAGUNDA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51389-2024</t>
        </is>
      </c>
      <c r="B1120" s="1" t="n">
        <v>45604.40540509259</v>
      </c>
      <c r="C1120" s="1" t="n">
        <v>46029</v>
      </c>
      <c r="D1120" t="inlineStr">
        <is>
          <t>JÄMTLANDS LÄN</t>
        </is>
      </c>
      <c r="E1120" t="inlineStr">
        <is>
          <t>RAGUNDA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51393-2024</t>
        </is>
      </c>
      <c r="B1121" s="1" t="n">
        <v>45604.41625</v>
      </c>
      <c r="C1121" s="1" t="n">
        <v>46029</v>
      </c>
      <c r="D1121" t="inlineStr">
        <is>
          <t>JÄMTLANDS LÄN</t>
        </is>
      </c>
      <c r="E1121" t="inlineStr">
        <is>
          <t>RAGUNDA</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43339-2024</t>
        </is>
      </c>
      <c r="B1122" s="1" t="n">
        <v>45568.51075231482</v>
      </c>
      <c r="C1122" s="1" t="n">
        <v>46029</v>
      </c>
      <c r="D1122" t="inlineStr">
        <is>
          <t>JÄMTLANDS LÄN</t>
        </is>
      </c>
      <c r="E1122" t="inlineStr">
        <is>
          <t>RAGUNDA</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38548-2024</t>
        </is>
      </c>
      <c r="B1123" s="1" t="n">
        <v>45546</v>
      </c>
      <c r="C1123" s="1" t="n">
        <v>46029</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26026-2024</t>
        </is>
      </c>
      <c r="B1124" s="1" t="n">
        <v>45467.96207175926</v>
      </c>
      <c r="C1124" s="1" t="n">
        <v>46029</v>
      </c>
      <c r="D1124" t="inlineStr">
        <is>
          <t>JÄMTLANDS LÄN</t>
        </is>
      </c>
      <c r="E1124" t="inlineStr">
        <is>
          <t>RAGUNDA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5971-2025</t>
        </is>
      </c>
      <c r="B1125" s="1" t="n">
        <v>45695.51070601852</v>
      </c>
      <c r="C1125" s="1" t="n">
        <v>46029</v>
      </c>
      <c r="D1125" t="inlineStr">
        <is>
          <t>JÄMTLANDS LÄN</t>
        </is>
      </c>
      <c r="E1125" t="inlineStr">
        <is>
          <t>RAGUNDA</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51537-2022</t>
        </is>
      </c>
      <c r="B1126" s="1" t="n">
        <v>44869</v>
      </c>
      <c r="C1126" s="1" t="n">
        <v>46029</v>
      </c>
      <c r="D1126" t="inlineStr">
        <is>
          <t>JÄMTLANDS LÄN</t>
        </is>
      </c>
      <c r="E1126" t="inlineStr">
        <is>
          <t>RAGUNDA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12995-2023</t>
        </is>
      </c>
      <c r="B1127" s="1" t="n">
        <v>45002.0328125</v>
      </c>
      <c r="C1127" s="1" t="n">
        <v>46029</v>
      </c>
      <c r="D1127" t="inlineStr">
        <is>
          <t>JÄMTLANDS LÄN</t>
        </is>
      </c>
      <c r="E1127" t="inlineStr">
        <is>
          <t>RAGUNDA</t>
        </is>
      </c>
      <c r="F1127" t="inlineStr">
        <is>
          <t>SCA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8800-2025</t>
        </is>
      </c>
      <c r="B1128" s="1" t="n">
        <v>45712.65671296296</v>
      </c>
      <c r="C1128" s="1" t="n">
        <v>46029</v>
      </c>
      <c r="D1128" t="inlineStr">
        <is>
          <t>JÄMTLANDS LÄN</t>
        </is>
      </c>
      <c r="E1128" t="inlineStr">
        <is>
          <t>RAGUNDA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56284-2023</t>
        </is>
      </c>
      <c r="B1129" s="1" t="n">
        <v>45241.95724537037</v>
      </c>
      <c r="C1129" s="1" t="n">
        <v>46029</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18610-2024</t>
        </is>
      </c>
      <c r="B1130" s="1" t="n">
        <v>45425.96230324074</v>
      </c>
      <c r="C1130" s="1" t="n">
        <v>46029</v>
      </c>
      <c r="D1130" t="inlineStr">
        <is>
          <t>JÄMTLANDS LÄN</t>
        </is>
      </c>
      <c r="E1130" t="inlineStr">
        <is>
          <t>RAGUNDA</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30563-2023</t>
        </is>
      </c>
      <c r="B1131" s="1" t="n">
        <v>45111.92793981481</v>
      </c>
      <c r="C1131" s="1" t="n">
        <v>46029</v>
      </c>
      <c r="D1131" t="inlineStr">
        <is>
          <t>JÄMTLANDS LÄN</t>
        </is>
      </c>
      <c r="E1131" t="inlineStr">
        <is>
          <t>RAGUNDA</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8886-2024</t>
        </is>
      </c>
      <c r="B1132" s="1" t="n">
        <v>45357.05300925926</v>
      </c>
      <c r="C1132" s="1" t="n">
        <v>46029</v>
      </c>
      <c r="D1132" t="inlineStr">
        <is>
          <t>JÄMTLANDS LÄN</t>
        </is>
      </c>
      <c r="E1132" t="inlineStr">
        <is>
          <t>RAGUNDA</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18615-2024</t>
        </is>
      </c>
      <c r="B1133" s="1" t="n">
        <v>45425.96275462963</v>
      </c>
      <c r="C1133" s="1" t="n">
        <v>46029</v>
      </c>
      <c r="D1133" t="inlineStr">
        <is>
          <t>JÄMTLANDS LÄN</t>
        </is>
      </c>
      <c r="E1133" t="inlineStr">
        <is>
          <t>RAGUNDA</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23303-2024</t>
        </is>
      </c>
      <c r="B1134" s="1" t="n">
        <v>45453.4444212963</v>
      </c>
      <c r="C1134" s="1" t="n">
        <v>46029</v>
      </c>
      <c r="D1134" t="inlineStr">
        <is>
          <t>JÄMTLANDS LÄN</t>
        </is>
      </c>
      <c r="E1134" t="inlineStr">
        <is>
          <t>RAGUNDA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465-2023</t>
        </is>
      </c>
      <c r="B1135" s="1" t="n">
        <v>44929</v>
      </c>
      <c r="C1135" s="1" t="n">
        <v>46029</v>
      </c>
      <c r="D1135" t="inlineStr">
        <is>
          <t>JÄMTLANDS LÄN</t>
        </is>
      </c>
      <c r="E1135" t="inlineStr">
        <is>
          <t>RAGUNDA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32832-2021</t>
        </is>
      </c>
      <c r="B1136" s="1" t="n">
        <v>44375</v>
      </c>
      <c r="C1136" s="1" t="n">
        <v>46029</v>
      </c>
      <c r="D1136" t="inlineStr">
        <is>
          <t>JÄMTLANDS LÄN</t>
        </is>
      </c>
      <c r="E1136" t="inlineStr">
        <is>
          <t>RAGUNDA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3938-2024</t>
        </is>
      </c>
      <c r="B1137" s="1" t="n">
        <v>45322</v>
      </c>
      <c r="C1137" s="1" t="n">
        <v>46029</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62081-2022</t>
        </is>
      </c>
      <c r="B1138" s="1" t="n">
        <v>44918</v>
      </c>
      <c r="C1138" s="1" t="n">
        <v>46029</v>
      </c>
      <c r="D1138" t="inlineStr">
        <is>
          <t>JÄMTLANDS LÄN</t>
        </is>
      </c>
      <c r="E1138" t="inlineStr">
        <is>
          <t>RAGUNDA</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55508-2024</t>
        </is>
      </c>
      <c r="B1139" s="1" t="n">
        <v>45622.46200231482</v>
      </c>
      <c r="C1139" s="1" t="n">
        <v>46029</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12521-2023</t>
        </is>
      </c>
      <c r="B1140" s="1" t="n">
        <v>45000</v>
      </c>
      <c r="C1140" s="1" t="n">
        <v>46029</v>
      </c>
      <c r="D1140" t="inlineStr">
        <is>
          <t>JÄMTLANDS LÄN</t>
        </is>
      </c>
      <c r="E1140" t="inlineStr">
        <is>
          <t>RAGUNDA</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3720-2025</t>
        </is>
      </c>
      <c r="B1141" s="1" t="n">
        <v>45681.5315625</v>
      </c>
      <c r="C1141" s="1" t="n">
        <v>46029</v>
      </c>
      <c r="D1141" t="inlineStr">
        <is>
          <t>JÄMTLANDS LÄN</t>
        </is>
      </c>
      <c r="E1141" t="inlineStr">
        <is>
          <t>RAGUNDA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2339-2025</t>
        </is>
      </c>
      <c r="B1142" s="1" t="n">
        <v>45673.66358796296</v>
      </c>
      <c r="C1142" s="1" t="n">
        <v>46029</v>
      </c>
      <c r="D1142" t="inlineStr">
        <is>
          <t>JÄMTLANDS LÄN</t>
        </is>
      </c>
      <c r="E1142" t="inlineStr">
        <is>
          <t>RAGUNDA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17742-2022</t>
        </is>
      </c>
      <c r="B1143" s="1" t="n">
        <v>44680.95246527778</v>
      </c>
      <c r="C1143" s="1" t="n">
        <v>46029</v>
      </c>
      <c r="D1143" t="inlineStr">
        <is>
          <t>JÄMTLANDS LÄN</t>
        </is>
      </c>
      <c r="E1143" t="inlineStr">
        <is>
          <t>RAGUNDA</t>
        </is>
      </c>
      <c r="F1143" t="inlineStr">
        <is>
          <t>SCA</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50555-2024</t>
        </is>
      </c>
      <c r="B1144" s="1" t="n">
        <v>45601.59518518519</v>
      </c>
      <c r="C1144" s="1" t="n">
        <v>46029</v>
      </c>
      <c r="D1144" t="inlineStr">
        <is>
          <t>JÄMTLANDS LÄN</t>
        </is>
      </c>
      <c r="E1144" t="inlineStr">
        <is>
          <t>RAGUNDA</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53676-2022</t>
        </is>
      </c>
      <c r="B1145" s="1" t="n">
        <v>44879</v>
      </c>
      <c r="C1145" s="1" t="n">
        <v>46029</v>
      </c>
      <c r="D1145" t="inlineStr">
        <is>
          <t>JÄMTLANDS LÄN</t>
        </is>
      </c>
      <c r="E1145" t="inlineStr">
        <is>
          <t>RAGUNDA</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14212-2023</t>
        </is>
      </c>
      <c r="B1146" s="1" t="n">
        <v>45009</v>
      </c>
      <c r="C1146" s="1" t="n">
        <v>46029</v>
      </c>
      <c r="D1146" t="inlineStr">
        <is>
          <t>JÄMTLANDS LÄN</t>
        </is>
      </c>
      <c r="E1146" t="inlineStr">
        <is>
          <t>RAGUNDA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20772-2024</t>
        </is>
      </c>
      <c r="B1147" s="1" t="n">
        <v>45436.94628472222</v>
      </c>
      <c r="C1147" s="1" t="n">
        <v>46029</v>
      </c>
      <c r="D1147" t="inlineStr">
        <is>
          <t>JÄMTLANDS LÄN</t>
        </is>
      </c>
      <c r="E1147" t="inlineStr">
        <is>
          <t>RAGUNDA</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18614-2024</t>
        </is>
      </c>
      <c r="B1148" s="1" t="n">
        <v>45425.96263888889</v>
      </c>
      <c r="C1148" s="1" t="n">
        <v>46029</v>
      </c>
      <c r="D1148" t="inlineStr">
        <is>
          <t>JÄMTLANDS LÄN</t>
        </is>
      </c>
      <c r="E1148" t="inlineStr">
        <is>
          <t>RAGUNDA</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53757-2024</t>
        </is>
      </c>
      <c r="B1149" s="1" t="n">
        <v>45615.50034722222</v>
      </c>
      <c r="C1149" s="1" t="n">
        <v>46029</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19246-2023</t>
        </is>
      </c>
      <c r="B1150" s="1" t="n">
        <v>45048.94340277778</v>
      </c>
      <c r="C1150" s="1" t="n">
        <v>46029</v>
      </c>
      <c r="D1150" t="inlineStr">
        <is>
          <t>JÄMTLANDS LÄN</t>
        </is>
      </c>
      <c r="E1150" t="inlineStr">
        <is>
          <t>RAGUNDA</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464-2023</t>
        </is>
      </c>
      <c r="B1151" s="1" t="n">
        <v>44929.92489583333</v>
      </c>
      <c r="C1151" s="1" t="n">
        <v>46029</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49649-2024</t>
        </is>
      </c>
      <c r="B1152" s="1" t="n">
        <v>45596.61553240741</v>
      </c>
      <c r="C1152" s="1" t="n">
        <v>46029</v>
      </c>
      <c r="D1152" t="inlineStr">
        <is>
          <t>JÄMTLANDS LÄN</t>
        </is>
      </c>
      <c r="E1152" t="inlineStr">
        <is>
          <t>RAGUNDA</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20426-2024</t>
        </is>
      </c>
      <c r="B1153" s="1" t="n">
        <v>45435</v>
      </c>
      <c r="C1153" s="1" t="n">
        <v>46029</v>
      </c>
      <c r="D1153" t="inlineStr">
        <is>
          <t>JÄMTLANDS LÄN</t>
        </is>
      </c>
      <c r="E1153" t="inlineStr">
        <is>
          <t>RAGUNDA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41344-2024</t>
        </is>
      </c>
      <c r="B1154" s="1" t="n">
        <v>45559.67759259259</v>
      </c>
      <c r="C1154" s="1" t="n">
        <v>46029</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58955-2024</t>
        </is>
      </c>
      <c r="B1155" s="1" t="n">
        <v>45636.57329861111</v>
      </c>
      <c r="C1155" s="1" t="n">
        <v>46029</v>
      </c>
      <c r="D1155" t="inlineStr">
        <is>
          <t>JÄMTLANDS LÄN</t>
        </is>
      </c>
      <c r="E1155" t="inlineStr">
        <is>
          <t>RAGUNDA</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4878-2022</t>
        </is>
      </c>
      <c r="B1156" s="1" t="n">
        <v>44593</v>
      </c>
      <c r="C1156" s="1" t="n">
        <v>46029</v>
      </c>
      <c r="D1156" t="inlineStr">
        <is>
          <t>JÄMTLANDS LÄN</t>
        </is>
      </c>
      <c r="E1156" t="inlineStr">
        <is>
          <t>RAGUNDA</t>
        </is>
      </c>
      <c r="G1156" t="n">
        <v>21.7</v>
      </c>
      <c r="H1156" t="n">
        <v>0</v>
      </c>
      <c r="I1156" t="n">
        <v>0</v>
      </c>
      <c r="J1156" t="n">
        <v>0</v>
      </c>
      <c r="K1156" t="n">
        <v>0</v>
      </c>
      <c r="L1156" t="n">
        <v>0</v>
      </c>
      <c r="M1156" t="n">
        <v>0</v>
      </c>
      <c r="N1156" t="n">
        <v>0</v>
      </c>
      <c r="O1156" t="n">
        <v>0</v>
      </c>
      <c r="P1156" t="n">
        <v>0</v>
      </c>
      <c r="Q1156" t="n">
        <v>0</v>
      </c>
      <c r="R1156" s="2" t="inlineStr"/>
    </row>
    <row r="1157" ht="15" customHeight="1">
      <c r="A1157" t="inlineStr">
        <is>
          <t>A 39489-2023</t>
        </is>
      </c>
      <c r="B1157" s="1" t="n">
        <v>45166</v>
      </c>
      <c r="C1157" s="1" t="n">
        <v>46029</v>
      </c>
      <c r="D1157" t="inlineStr">
        <is>
          <t>JÄMTLANDS LÄN</t>
        </is>
      </c>
      <c r="E1157" t="inlineStr">
        <is>
          <t>RAGUNDA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11058-2025</t>
        </is>
      </c>
      <c r="B1158" s="1" t="n">
        <v>45723.51079861111</v>
      </c>
      <c r="C1158" s="1" t="n">
        <v>46029</v>
      </c>
      <c r="D1158" t="inlineStr">
        <is>
          <t>JÄMTLANDS LÄN</t>
        </is>
      </c>
      <c r="E1158" t="inlineStr">
        <is>
          <t>RAGUNDA</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15554-2025</t>
        </is>
      </c>
      <c r="B1159" s="1" t="n">
        <v>45747.67739583334</v>
      </c>
      <c r="C1159" s="1" t="n">
        <v>46029</v>
      </c>
      <c r="D1159" t="inlineStr">
        <is>
          <t>JÄMTLANDS LÄN</t>
        </is>
      </c>
      <c r="E1159" t="inlineStr">
        <is>
          <t>RAGUNDA</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57170-2024</t>
        </is>
      </c>
      <c r="B1160" s="1" t="n">
        <v>45629.42759259259</v>
      </c>
      <c r="C1160" s="1" t="n">
        <v>46029</v>
      </c>
      <c r="D1160" t="inlineStr">
        <is>
          <t>JÄMTLANDS LÄN</t>
        </is>
      </c>
      <c r="E1160" t="inlineStr">
        <is>
          <t>RAGUNDA</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29940-2023</t>
        </is>
      </c>
      <c r="B1161" s="1" t="n">
        <v>45107</v>
      </c>
      <c r="C1161" s="1" t="n">
        <v>46029</v>
      </c>
      <c r="D1161" t="inlineStr">
        <is>
          <t>JÄMTLANDS LÄN</t>
        </is>
      </c>
      <c r="E1161" t="inlineStr">
        <is>
          <t>RAGUNDA</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66471-2021</t>
        </is>
      </c>
      <c r="B1162" s="1" t="n">
        <v>44518</v>
      </c>
      <c r="C1162" s="1" t="n">
        <v>46029</v>
      </c>
      <c r="D1162" t="inlineStr">
        <is>
          <t>JÄMTLANDS LÄN</t>
        </is>
      </c>
      <c r="E1162" t="inlineStr">
        <is>
          <t>RAGUNDA</t>
        </is>
      </c>
      <c r="G1162" t="n">
        <v>13.4</v>
      </c>
      <c r="H1162" t="n">
        <v>0</v>
      </c>
      <c r="I1162" t="n">
        <v>0</v>
      </c>
      <c r="J1162" t="n">
        <v>0</v>
      </c>
      <c r="K1162" t="n">
        <v>0</v>
      </c>
      <c r="L1162" t="n">
        <v>0</v>
      </c>
      <c r="M1162" t="n">
        <v>0</v>
      </c>
      <c r="N1162" t="n">
        <v>0</v>
      </c>
      <c r="O1162" t="n">
        <v>0</v>
      </c>
      <c r="P1162" t="n">
        <v>0</v>
      </c>
      <c r="Q1162" t="n">
        <v>0</v>
      </c>
      <c r="R1162" s="2" t="inlineStr"/>
    </row>
    <row r="1163" ht="15" customHeight="1">
      <c r="A1163" t="inlineStr">
        <is>
          <t>A 22731-2023</t>
        </is>
      </c>
      <c r="B1163" s="1" t="n">
        <v>45071</v>
      </c>
      <c r="C1163" s="1" t="n">
        <v>46029</v>
      </c>
      <c r="D1163" t="inlineStr">
        <is>
          <t>JÄMTLANDS LÄN</t>
        </is>
      </c>
      <c r="E1163" t="inlineStr">
        <is>
          <t>RAGUNDA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46029</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8775-2025</t>
        </is>
      </c>
      <c r="B1165" s="1" t="n">
        <v>45712.61502314815</v>
      </c>
      <c r="C1165" s="1" t="n">
        <v>46029</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8776-2025</t>
        </is>
      </c>
      <c r="B1166" s="1" t="n">
        <v>45712.61510416667</v>
      </c>
      <c r="C1166" s="1" t="n">
        <v>46029</v>
      </c>
      <c r="D1166" t="inlineStr">
        <is>
          <t>JÄMTLANDS LÄN</t>
        </is>
      </c>
      <c r="E1166" t="inlineStr">
        <is>
          <t>RAGUNDA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57749-2024</t>
        </is>
      </c>
      <c r="B1167" s="1" t="n">
        <v>45630.7862037037</v>
      </c>
      <c r="C1167" s="1" t="n">
        <v>46029</v>
      </c>
      <c r="D1167" t="inlineStr">
        <is>
          <t>JÄMTLANDS LÄN</t>
        </is>
      </c>
      <c r="E1167" t="inlineStr">
        <is>
          <t>RAGUNDA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5067-2024</t>
        </is>
      </c>
      <c r="B1168" s="1" t="n">
        <v>45329.95806712963</v>
      </c>
      <c r="C1168" s="1" t="n">
        <v>46029</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5429-2024</t>
        </is>
      </c>
      <c r="B1169" s="1" t="n">
        <v>45331.92746527777</v>
      </c>
      <c r="C1169" s="1" t="n">
        <v>46029</v>
      </c>
      <c r="D1169" t="inlineStr">
        <is>
          <t>JÄMTLANDS LÄN</t>
        </is>
      </c>
      <c r="E1169" t="inlineStr">
        <is>
          <t>RAGUNDA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28742-2023</t>
        </is>
      </c>
      <c r="B1170" s="1" t="n">
        <v>45103</v>
      </c>
      <c r="C1170" s="1" t="n">
        <v>46029</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22981-2023</t>
        </is>
      </c>
      <c r="B1171" s="1" t="n">
        <v>45072.92737268518</v>
      </c>
      <c r="C1171" s="1" t="n">
        <v>46029</v>
      </c>
      <c r="D1171" t="inlineStr">
        <is>
          <t>JÄMTLANDS LÄN</t>
        </is>
      </c>
      <c r="E1171" t="inlineStr">
        <is>
          <t>RAGUNDA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21726-2023</t>
        </is>
      </c>
      <c r="B1172" s="1" t="n">
        <v>45065.42894675926</v>
      </c>
      <c r="C1172" s="1" t="n">
        <v>46029</v>
      </c>
      <c r="D1172" t="inlineStr">
        <is>
          <t>JÄMTLANDS LÄN</t>
        </is>
      </c>
      <c r="E1172" t="inlineStr">
        <is>
          <t>RAGUNDA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55514-2024</t>
        </is>
      </c>
      <c r="B1173" s="1" t="n">
        <v>45622.46910879629</v>
      </c>
      <c r="C1173" s="1" t="n">
        <v>46029</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24441-2024</t>
        </is>
      </c>
      <c r="B1174" s="1" t="n">
        <v>45457.96372685185</v>
      </c>
      <c r="C1174" s="1" t="n">
        <v>46029</v>
      </c>
      <c r="D1174" t="inlineStr">
        <is>
          <t>JÄMTLANDS LÄN</t>
        </is>
      </c>
      <c r="E1174" t="inlineStr">
        <is>
          <t>RAGUNDA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934-2023</t>
        </is>
      </c>
      <c r="B1175" s="1" t="n">
        <v>44932.93927083333</v>
      </c>
      <c r="C1175" s="1" t="n">
        <v>46029</v>
      </c>
      <c r="D1175" t="inlineStr">
        <is>
          <t>JÄMTLANDS LÄN</t>
        </is>
      </c>
      <c r="E1175" t="inlineStr">
        <is>
          <t>RAGUNDA</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37242-2024</t>
        </is>
      </c>
      <c r="B1176" s="1" t="n">
        <v>45540.34428240741</v>
      </c>
      <c r="C1176" s="1" t="n">
        <v>46029</v>
      </c>
      <c r="D1176" t="inlineStr">
        <is>
          <t>JÄMTLANDS LÄN</t>
        </is>
      </c>
      <c r="E1176" t="inlineStr">
        <is>
          <t>RAGUNDA</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9232-2025</t>
        </is>
      </c>
      <c r="B1177" s="1" t="n">
        <v>45714.55064814815</v>
      </c>
      <c r="C1177" s="1" t="n">
        <v>46029</v>
      </c>
      <c r="D1177" t="inlineStr">
        <is>
          <t>JÄMTLANDS LÄN</t>
        </is>
      </c>
      <c r="E1177" t="inlineStr">
        <is>
          <t>RAGUNDA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41656-2023</t>
        </is>
      </c>
      <c r="B1178" s="1" t="n">
        <v>45175</v>
      </c>
      <c r="C1178" s="1" t="n">
        <v>46029</v>
      </c>
      <c r="D1178" t="inlineStr">
        <is>
          <t>JÄMTLANDS LÄN</t>
        </is>
      </c>
      <c r="E1178" t="inlineStr">
        <is>
          <t>RAGUNDA</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36317-2024</t>
        </is>
      </c>
      <c r="B1179" s="1" t="n">
        <v>45534.63537037037</v>
      </c>
      <c r="C1179" s="1" t="n">
        <v>46029</v>
      </c>
      <c r="D1179" t="inlineStr">
        <is>
          <t>JÄMTLANDS LÄN</t>
        </is>
      </c>
      <c r="E1179" t="inlineStr">
        <is>
          <t>RAGUNDA</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36226-2023</t>
        </is>
      </c>
      <c r="B1180" s="1" t="n">
        <v>45149.95372685185</v>
      </c>
      <c r="C1180" s="1" t="n">
        <v>46029</v>
      </c>
      <c r="D1180" t="inlineStr">
        <is>
          <t>JÄMTLANDS LÄN</t>
        </is>
      </c>
      <c r="E1180" t="inlineStr">
        <is>
          <t>RAGUNDA</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59368-2022</t>
        </is>
      </c>
      <c r="B1181" s="1" t="n">
        <v>44904.94824074074</v>
      </c>
      <c r="C1181" s="1" t="n">
        <v>46029</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893-2025</t>
        </is>
      </c>
      <c r="B1182" s="1" t="n">
        <v>45665.65684027778</v>
      </c>
      <c r="C1182" s="1" t="n">
        <v>46029</v>
      </c>
      <c r="D1182" t="inlineStr">
        <is>
          <t>JÄMTLANDS LÄN</t>
        </is>
      </c>
      <c r="E1182" t="inlineStr">
        <is>
          <t>RAGUNDA</t>
        </is>
      </c>
      <c r="F1182" t="inlineStr">
        <is>
          <t>SCA</t>
        </is>
      </c>
      <c r="G1182" t="n">
        <v>45.1</v>
      </c>
      <c r="H1182" t="n">
        <v>0</v>
      </c>
      <c r="I1182" t="n">
        <v>0</v>
      </c>
      <c r="J1182" t="n">
        <v>0</v>
      </c>
      <c r="K1182" t="n">
        <v>0</v>
      </c>
      <c r="L1182" t="n">
        <v>0</v>
      </c>
      <c r="M1182" t="n">
        <v>0</v>
      </c>
      <c r="N1182" t="n">
        <v>0</v>
      </c>
      <c r="O1182" t="n">
        <v>0</v>
      </c>
      <c r="P1182" t="n">
        <v>0</v>
      </c>
      <c r="Q1182" t="n">
        <v>0</v>
      </c>
      <c r="R1182" s="2" t="inlineStr"/>
    </row>
    <row r="1183" ht="15" customHeight="1">
      <c r="A1183" t="inlineStr">
        <is>
          <t>A 7520-2023</t>
        </is>
      </c>
      <c r="B1183" s="1" t="n">
        <v>44971</v>
      </c>
      <c r="C1183" s="1" t="n">
        <v>46029</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53549-2024</t>
        </is>
      </c>
      <c r="B1184" s="1" t="n">
        <v>45614.63869212963</v>
      </c>
      <c r="C1184" s="1" t="n">
        <v>46029</v>
      </c>
      <c r="D1184" t="inlineStr">
        <is>
          <t>JÄMTLANDS LÄN</t>
        </is>
      </c>
      <c r="E1184" t="inlineStr">
        <is>
          <t>RAGUNDA</t>
        </is>
      </c>
      <c r="F1184" t="inlineStr">
        <is>
          <t>Kyrkan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53955-2022</t>
        </is>
      </c>
      <c r="B1185" s="1" t="n">
        <v>44880.95741898148</v>
      </c>
      <c r="C1185" s="1" t="n">
        <v>46029</v>
      </c>
      <c r="D1185" t="inlineStr">
        <is>
          <t>JÄMTLANDS LÄN</t>
        </is>
      </c>
      <c r="E1185" t="inlineStr">
        <is>
          <t>RAGUNDA</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9567-2025</t>
        </is>
      </c>
      <c r="B1186" s="1" t="n">
        <v>45715.61523148148</v>
      </c>
      <c r="C1186" s="1" t="n">
        <v>46029</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53287-2022</t>
        </is>
      </c>
      <c r="B1187" s="1" t="n">
        <v>44876</v>
      </c>
      <c r="C1187" s="1" t="n">
        <v>46029</v>
      </c>
      <c r="D1187" t="inlineStr">
        <is>
          <t>JÄMTLANDS LÄN</t>
        </is>
      </c>
      <c r="E1187" t="inlineStr">
        <is>
          <t>RAGUNDA</t>
        </is>
      </c>
      <c r="F1187" t="inlineStr">
        <is>
          <t>SCA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51646-2023</t>
        </is>
      </c>
      <c r="B1188" s="1" t="n">
        <v>45215</v>
      </c>
      <c r="C1188" s="1" t="n">
        <v>46029</v>
      </c>
      <c r="D1188" t="inlineStr">
        <is>
          <t>JÄMTLANDS LÄN</t>
        </is>
      </c>
      <c r="E1188" t="inlineStr">
        <is>
          <t>RAGUNDA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29319-2023</t>
        </is>
      </c>
      <c r="B1189" s="1" t="n">
        <v>45105</v>
      </c>
      <c r="C1189" s="1" t="n">
        <v>46029</v>
      </c>
      <c r="D1189" t="inlineStr">
        <is>
          <t>JÄMTLANDS LÄN</t>
        </is>
      </c>
      <c r="E1189" t="inlineStr">
        <is>
          <t>RAGUNDA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17323-2025</t>
        </is>
      </c>
      <c r="B1190" s="1" t="n">
        <v>45756.63601851852</v>
      </c>
      <c r="C1190" s="1" t="n">
        <v>46029</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19486-2024</t>
        </is>
      </c>
      <c r="B1191" s="1" t="n">
        <v>45429</v>
      </c>
      <c r="C1191" s="1" t="n">
        <v>46029</v>
      </c>
      <c r="D1191" t="inlineStr">
        <is>
          <t>JÄMTLANDS LÄN</t>
        </is>
      </c>
      <c r="E1191" t="inlineStr">
        <is>
          <t>RAGUNDA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13941-2025</t>
        </is>
      </c>
      <c r="B1192" s="1" t="n">
        <v>45737.69822916666</v>
      </c>
      <c r="C1192" s="1" t="n">
        <v>46029</v>
      </c>
      <c r="D1192" t="inlineStr">
        <is>
          <t>JÄMTLANDS LÄN</t>
        </is>
      </c>
      <c r="E1192" t="inlineStr">
        <is>
          <t>RAGUNDA</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26646-2023</t>
        </is>
      </c>
      <c r="B1193" s="1" t="n">
        <v>45092</v>
      </c>
      <c r="C1193" s="1" t="n">
        <v>46029</v>
      </c>
      <c r="D1193" t="inlineStr">
        <is>
          <t>JÄMTLANDS LÄN</t>
        </is>
      </c>
      <c r="E1193" t="inlineStr">
        <is>
          <t>RAGUNDA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27291-2022</t>
        </is>
      </c>
      <c r="B1194" s="1" t="n">
        <v>44741.94070601852</v>
      </c>
      <c r="C1194" s="1" t="n">
        <v>46029</v>
      </c>
      <c r="D1194" t="inlineStr">
        <is>
          <t>JÄMTLANDS LÄN</t>
        </is>
      </c>
      <c r="E1194" t="inlineStr">
        <is>
          <t>RAGUNDA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49650-2024</t>
        </is>
      </c>
      <c r="B1195" s="1" t="n">
        <v>45596.61569444444</v>
      </c>
      <c r="C1195" s="1" t="n">
        <v>46029</v>
      </c>
      <c r="D1195" t="inlineStr">
        <is>
          <t>JÄMTLANDS LÄN</t>
        </is>
      </c>
      <c r="E1195" t="inlineStr">
        <is>
          <t>RAGUNDA</t>
        </is>
      </c>
      <c r="F1195" t="inlineStr">
        <is>
          <t>Naturvårdsverket</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49651-2024</t>
        </is>
      </c>
      <c r="B1196" s="1" t="n">
        <v>45596.61582175926</v>
      </c>
      <c r="C1196" s="1" t="n">
        <v>46029</v>
      </c>
      <c r="D1196" t="inlineStr">
        <is>
          <t>JÄMTLANDS LÄN</t>
        </is>
      </c>
      <c r="E1196" t="inlineStr">
        <is>
          <t>RAGUNDA</t>
        </is>
      </c>
      <c r="F1196" t="inlineStr">
        <is>
          <t>SCA</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6477-2024</t>
        </is>
      </c>
      <c r="B1197" s="1" t="n">
        <v>45338.95405092592</v>
      </c>
      <c r="C1197" s="1" t="n">
        <v>46029</v>
      </c>
      <c r="D1197" t="inlineStr">
        <is>
          <t>JÄMTLANDS LÄN</t>
        </is>
      </c>
      <c r="E1197" t="inlineStr">
        <is>
          <t>RAGUNDA</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60443-2023</t>
        </is>
      </c>
      <c r="B1198" s="1" t="n">
        <v>45258</v>
      </c>
      <c r="C1198" s="1" t="n">
        <v>46029</v>
      </c>
      <c r="D1198" t="inlineStr">
        <is>
          <t>JÄMTLANDS LÄN</t>
        </is>
      </c>
      <c r="E1198" t="inlineStr">
        <is>
          <t>RAGUNDA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44759-2024</t>
        </is>
      </c>
      <c r="B1199" s="1" t="n">
        <v>45574.61634259259</v>
      </c>
      <c r="C1199" s="1" t="n">
        <v>46029</v>
      </c>
      <c r="D1199" t="inlineStr">
        <is>
          <t>JÄMTLANDS LÄN</t>
        </is>
      </c>
      <c r="E1199" t="inlineStr">
        <is>
          <t>RAGUNDA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993-2025</t>
        </is>
      </c>
      <c r="B1200" s="1" t="n">
        <v>45666.44943287037</v>
      </c>
      <c r="C1200" s="1" t="n">
        <v>46029</v>
      </c>
      <c r="D1200" t="inlineStr">
        <is>
          <t>JÄMTLANDS LÄN</t>
        </is>
      </c>
      <c r="E1200" t="inlineStr">
        <is>
          <t>RAGUNDA</t>
        </is>
      </c>
      <c r="G1200" t="n">
        <v>11.3</v>
      </c>
      <c r="H1200" t="n">
        <v>0</v>
      </c>
      <c r="I1200" t="n">
        <v>0</v>
      </c>
      <c r="J1200" t="n">
        <v>0</v>
      </c>
      <c r="K1200" t="n">
        <v>0</v>
      </c>
      <c r="L1200" t="n">
        <v>0</v>
      </c>
      <c r="M1200" t="n">
        <v>0</v>
      </c>
      <c r="N1200" t="n">
        <v>0</v>
      </c>
      <c r="O1200" t="n">
        <v>0</v>
      </c>
      <c r="P1200" t="n">
        <v>0</v>
      </c>
      <c r="Q1200" t="n">
        <v>0</v>
      </c>
      <c r="R1200" s="2" t="inlineStr"/>
    </row>
    <row r="1201" ht="15" customHeight="1">
      <c r="A1201" t="inlineStr">
        <is>
          <t>A 57064-2024</t>
        </is>
      </c>
      <c r="B1201" s="1" t="n">
        <v>45629.35326388889</v>
      </c>
      <c r="C1201" s="1" t="n">
        <v>46029</v>
      </c>
      <c r="D1201" t="inlineStr">
        <is>
          <t>JÄMTLANDS LÄN</t>
        </is>
      </c>
      <c r="E1201" t="inlineStr">
        <is>
          <t>RAGUNDA</t>
        </is>
      </c>
      <c r="F1201" t="inlineStr">
        <is>
          <t>Naturvårdsverket</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60936-2024</t>
        </is>
      </c>
      <c r="B1202" s="1" t="n">
        <v>45645.36743055555</v>
      </c>
      <c r="C1202" s="1" t="n">
        <v>46029</v>
      </c>
      <c r="D1202" t="inlineStr">
        <is>
          <t>JÄMTLANDS LÄN</t>
        </is>
      </c>
      <c r="E1202" t="inlineStr">
        <is>
          <t>RAGUNDA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5930-2025</t>
        </is>
      </c>
      <c r="B1203" s="1" t="n">
        <v>45695.44724537037</v>
      </c>
      <c r="C1203" s="1" t="n">
        <v>46029</v>
      </c>
      <c r="D1203" t="inlineStr">
        <is>
          <t>JÄMTLANDS LÄN</t>
        </is>
      </c>
      <c r="E1203" t="inlineStr">
        <is>
          <t>RAGUNDA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58847-2024</t>
        </is>
      </c>
      <c r="B1204" s="1" t="n">
        <v>45636.3864699074</v>
      </c>
      <c r="C1204" s="1" t="n">
        <v>46029</v>
      </c>
      <c r="D1204" t="inlineStr">
        <is>
          <t>JÄMTLANDS LÄN</t>
        </is>
      </c>
      <c r="E1204" t="inlineStr">
        <is>
          <t>RAGUNDA</t>
        </is>
      </c>
      <c r="F1204" t="inlineStr">
        <is>
          <t>SCA</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7722-2023</t>
        </is>
      </c>
      <c r="B1205" s="1" t="n">
        <v>44972.94140046297</v>
      </c>
      <c r="C1205" s="1" t="n">
        <v>46029</v>
      </c>
      <c r="D1205" t="inlineStr">
        <is>
          <t>JÄMTLANDS LÄN</t>
        </is>
      </c>
      <c r="E1205" t="inlineStr">
        <is>
          <t>RAGUNDA</t>
        </is>
      </c>
      <c r="F1205" t="inlineStr">
        <is>
          <t>SCA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20653-2025</t>
        </is>
      </c>
      <c r="B1206" s="1" t="n">
        <v>45776.40311342593</v>
      </c>
      <c r="C1206" s="1" t="n">
        <v>46029</v>
      </c>
      <c r="D1206" t="inlineStr">
        <is>
          <t>JÄMTLANDS LÄN</t>
        </is>
      </c>
      <c r="E1206" t="inlineStr">
        <is>
          <t>RAGUNDA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20777-2025</t>
        </is>
      </c>
      <c r="B1207" s="1" t="n">
        <v>45776.59422453704</v>
      </c>
      <c r="C1207" s="1" t="n">
        <v>46029</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20722-2025</t>
        </is>
      </c>
      <c r="B1208" s="1" t="n">
        <v>45776.50651620371</v>
      </c>
      <c r="C1208" s="1" t="n">
        <v>46029</v>
      </c>
      <c r="D1208" t="inlineStr">
        <is>
          <t>JÄMTLANDS LÄN</t>
        </is>
      </c>
      <c r="E1208" t="inlineStr">
        <is>
          <t>RAGUNDA</t>
        </is>
      </c>
      <c r="F1208" t="inlineStr">
        <is>
          <t>Kommuner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20728-2025</t>
        </is>
      </c>
      <c r="B1209" s="1" t="n">
        <v>45776.51130787037</v>
      </c>
      <c r="C1209" s="1" t="n">
        <v>46029</v>
      </c>
      <c r="D1209" t="inlineStr">
        <is>
          <t>JÄMTLANDS LÄN</t>
        </is>
      </c>
      <c r="E1209" t="inlineStr">
        <is>
          <t>RAGUNDA</t>
        </is>
      </c>
      <c r="F1209" t="inlineStr">
        <is>
          <t>Kommuner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21430-2025</t>
        </is>
      </c>
      <c r="B1210" s="1" t="n">
        <v>45782.51099537037</v>
      </c>
      <c r="C1210" s="1" t="n">
        <v>46029</v>
      </c>
      <c r="D1210" t="inlineStr">
        <is>
          <t>JÄMTLANDS LÄN</t>
        </is>
      </c>
      <c r="E1210" t="inlineStr">
        <is>
          <t>RAGUNDA</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21432-2025</t>
        </is>
      </c>
      <c r="B1211" s="1" t="n">
        <v>45782.51109953703</v>
      </c>
      <c r="C1211" s="1" t="n">
        <v>46029</v>
      </c>
      <c r="D1211" t="inlineStr">
        <is>
          <t>JÄMTLANDS LÄN</t>
        </is>
      </c>
      <c r="E1211" t="inlineStr">
        <is>
          <t>RAGUNDA</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21550-2025</t>
        </is>
      </c>
      <c r="B1212" s="1" t="n">
        <v>45782.67758101852</v>
      </c>
      <c r="C1212" s="1" t="n">
        <v>46029</v>
      </c>
      <c r="D1212" t="inlineStr">
        <is>
          <t>JÄMTLANDS LÄN</t>
        </is>
      </c>
      <c r="E1212" t="inlineStr">
        <is>
          <t>RAGUNDA</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21451-2025</t>
        </is>
      </c>
      <c r="B1213" s="1" t="n">
        <v>45782.55287037037</v>
      </c>
      <c r="C1213" s="1" t="n">
        <v>46029</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21150-2025</t>
        </is>
      </c>
      <c r="B1214" s="1" t="n">
        <v>45779.34417824074</v>
      </c>
      <c r="C1214" s="1" t="n">
        <v>46029</v>
      </c>
      <c r="D1214" t="inlineStr">
        <is>
          <t>JÄMTLANDS LÄN</t>
        </is>
      </c>
      <c r="E1214" t="inlineStr">
        <is>
          <t>RAGUNDA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21331-2025</t>
        </is>
      </c>
      <c r="B1215" s="1" t="n">
        <v>45782.36494212963</v>
      </c>
      <c r="C1215" s="1" t="n">
        <v>46029</v>
      </c>
      <c r="D1215" t="inlineStr">
        <is>
          <t>JÄMTLANDS LÄN</t>
        </is>
      </c>
      <c r="E1215" t="inlineStr">
        <is>
          <t>RAGUNDA</t>
        </is>
      </c>
      <c r="F1215" t="inlineStr">
        <is>
          <t>SCA</t>
        </is>
      </c>
      <c r="G1215" t="n">
        <v>23.1</v>
      </c>
      <c r="H1215" t="n">
        <v>0</v>
      </c>
      <c r="I1215" t="n">
        <v>0</v>
      </c>
      <c r="J1215" t="n">
        <v>0</v>
      </c>
      <c r="K1215" t="n">
        <v>0</v>
      </c>
      <c r="L1215" t="n">
        <v>0</v>
      </c>
      <c r="M1215" t="n">
        <v>0</v>
      </c>
      <c r="N1215" t="n">
        <v>0</v>
      </c>
      <c r="O1215" t="n">
        <v>0</v>
      </c>
      <c r="P1215" t="n">
        <v>0</v>
      </c>
      <c r="Q1215" t="n">
        <v>0</v>
      </c>
      <c r="R1215" s="2" t="inlineStr"/>
      <c r="U1215">
        <f>HYPERLINK("https://klasma.github.io/Logging_2303/knärot/A 21331-2025 karta knärot.png", "A 21331-2025")</f>
        <v/>
      </c>
      <c r="V1215">
        <f>HYPERLINK("https://klasma.github.io/Logging_2303/klagomål/A 21331-2025 FSC-klagomål.docx", "A 21331-2025")</f>
        <v/>
      </c>
      <c r="W1215">
        <f>HYPERLINK("https://klasma.github.io/Logging_2303/klagomålsmail/A 21331-2025 FSC-klagomål mail.docx", "A 21331-2025")</f>
        <v/>
      </c>
      <c r="X1215">
        <f>HYPERLINK("https://klasma.github.io/Logging_2303/tillsyn/A 21331-2025 tillsynsbegäran.docx", "A 21331-2025")</f>
        <v/>
      </c>
      <c r="Y1215">
        <f>HYPERLINK("https://klasma.github.io/Logging_2303/tillsynsmail/A 21331-2025 tillsynsbegäran mail.docx", "A 21331-2025")</f>
        <v/>
      </c>
    </row>
    <row r="1216" ht="15" customHeight="1">
      <c r="A1216" t="inlineStr">
        <is>
          <t>A 21214-2025</t>
        </is>
      </c>
      <c r="B1216" s="1" t="n">
        <v>45779.49025462963</v>
      </c>
      <c r="C1216" s="1" t="n">
        <v>46029</v>
      </c>
      <c r="D1216" t="inlineStr">
        <is>
          <t>JÄMTLANDS LÄN</t>
        </is>
      </c>
      <c r="E1216" t="inlineStr">
        <is>
          <t>RAGUNDA</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22941-2024</t>
        </is>
      </c>
      <c r="B1217" s="1" t="n">
        <v>45448.94520833333</v>
      </c>
      <c r="C1217" s="1" t="n">
        <v>46029</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44881-2023</t>
        </is>
      </c>
      <c r="B1218" s="1" t="n">
        <v>45187</v>
      </c>
      <c r="C1218" s="1" t="n">
        <v>46029</v>
      </c>
      <c r="D1218" t="inlineStr">
        <is>
          <t>JÄMTLANDS LÄN</t>
        </is>
      </c>
      <c r="E1218" t="inlineStr">
        <is>
          <t>RAGUNDA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60629-2023</t>
        </is>
      </c>
      <c r="B1219" s="1" t="n">
        <v>45259</v>
      </c>
      <c r="C1219" s="1" t="n">
        <v>46029</v>
      </c>
      <c r="D1219" t="inlineStr">
        <is>
          <t>JÄMTLANDS LÄN</t>
        </is>
      </c>
      <c r="E1219" t="inlineStr">
        <is>
          <t>RAGUNDA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57889-2024</t>
        </is>
      </c>
      <c r="B1220" s="1" t="n">
        <v>45631.46665509259</v>
      </c>
      <c r="C1220" s="1" t="n">
        <v>46029</v>
      </c>
      <c r="D1220" t="inlineStr">
        <is>
          <t>JÄMTLANDS LÄN</t>
        </is>
      </c>
      <c r="E1220" t="inlineStr">
        <is>
          <t>RAGUNDA</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22388-2025</t>
        </is>
      </c>
      <c r="B1221" s="1" t="n">
        <v>45786.51077546296</v>
      </c>
      <c r="C1221" s="1" t="n">
        <v>46029</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22898-2025</t>
        </is>
      </c>
      <c r="B1222" s="1" t="n">
        <v>45790.40670138889</v>
      </c>
      <c r="C1222" s="1" t="n">
        <v>46029</v>
      </c>
      <c r="D1222" t="inlineStr">
        <is>
          <t>JÄMTLANDS LÄN</t>
        </is>
      </c>
      <c r="E1222" t="inlineStr">
        <is>
          <t>RAGUNDA</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23405-2025</t>
        </is>
      </c>
      <c r="B1223" s="1" t="n">
        <v>45792.34527777778</v>
      </c>
      <c r="C1223" s="1" t="n">
        <v>46029</v>
      </c>
      <c r="D1223" t="inlineStr">
        <is>
          <t>JÄMTLANDS LÄN</t>
        </is>
      </c>
      <c r="E1223" t="inlineStr">
        <is>
          <t>RAGUNDA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23654-2025</t>
        </is>
      </c>
      <c r="B1224" s="1" t="n">
        <v>45792.71905092592</v>
      </c>
      <c r="C1224" s="1" t="n">
        <v>46029</v>
      </c>
      <c r="D1224" t="inlineStr">
        <is>
          <t>JÄMTLANDS LÄN</t>
        </is>
      </c>
      <c r="E1224" t="inlineStr">
        <is>
          <t>RAGUNDA</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23507-2025</t>
        </is>
      </c>
      <c r="B1225" s="1" t="n">
        <v>45792.49023148148</v>
      </c>
      <c r="C1225" s="1" t="n">
        <v>46029</v>
      </c>
      <c r="D1225" t="inlineStr">
        <is>
          <t>JÄMTLANDS LÄN</t>
        </is>
      </c>
      <c r="E1225" t="inlineStr">
        <is>
          <t>RAGUNDA</t>
        </is>
      </c>
      <c r="F1225" t="inlineStr">
        <is>
          <t>SCA</t>
        </is>
      </c>
      <c r="G1225" t="n">
        <v>16.4</v>
      </c>
      <c r="H1225" t="n">
        <v>0</v>
      </c>
      <c r="I1225" t="n">
        <v>0</v>
      </c>
      <c r="J1225" t="n">
        <v>0</v>
      </c>
      <c r="K1225" t="n">
        <v>0</v>
      </c>
      <c r="L1225" t="n">
        <v>0</v>
      </c>
      <c r="M1225" t="n">
        <v>0</v>
      </c>
      <c r="N1225" t="n">
        <v>0</v>
      </c>
      <c r="O1225" t="n">
        <v>0</v>
      </c>
      <c r="P1225" t="n">
        <v>0</v>
      </c>
      <c r="Q1225" t="n">
        <v>0</v>
      </c>
      <c r="R1225" s="2" t="inlineStr"/>
    </row>
    <row r="1226" ht="15" customHeight="1">
      <c r="A1226" t="inlineStr">
        <is>
          <t>A 23586-2025</t>
        </is>
      </c>
      <c r="B1226" s="1" t="n">
        <v>45792.63584490741</v>
      </c>
      <c r="C1226" s="1" t="n">
        <v>46029</v>
      </c>
      <c r="D1226" t="inlineStr">
        <is>
          <t>JÄMTLANDS LÄN</t>
        </is>
      </c>
      <c r="E1226" t="inlineStr">
        <is>
          <t>RAGUNDA</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23413-2025</t>
        </is>
      </c>
      <c r="B1227" s="1" t="n">
        <v>45792.34606481482</v>
      </c>
      <c r="C1227" s="1" t="n">
        <v>46029</v>
      </c>
      <c r="D1227" t="inlineStr">
        <is>
          <t>JÄMTLANDS LÄN</t>
        </is>
      </c>
      <c r="E1227" t="inlineStr">
        <is>
          <t>RAGUNDA</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23253-2025</t>
        </is>
      </c>
      <c r="B1228" s="1" t="n">
        <v>45791.53238425926</v>
      </c>
      <c r="C1228" s="1" t="n">
        <v>46029</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18284-2025</t>
        </is>
      </c>
      <c r="B1229" s="1" t="n">
        <v>45762.39876157408</v>
      </c>
      <c r="C1229" s="1" t="n">
        <v>46029</v>
      </c>
      <c r="D1229" t="inlineStr">
        <is>
          <t>JÄMTLANDS LÄN</t>
        </is>
      </c>
      <c r="E1229" t="inlineStr">
        <is>
          <t>RAGUNDA</t>
        </is>
      </c>
      <c r="G1229" t="n">
        <v>0.2</v>
      </c>
      <c r="H1229" t="n">
        <v>0</v>
      </c>
      <c r="I1229" t="n">
        <v>0</v>
      </c>
      <c r="J1229" t="n">
        <v>0</v>
      </c>
      <c r="K1229" t="n">
        <v>0</v>
      </c>
      <c r="L1229" t="n">
        <v>0</v>
      </c>
      <c r="M1229" t="n">
        <v>0</v>
      </c>
      <c r="N1229" t="n">
        <v>0</v>
      </c>
      <c r="O1229" t="n">
        <v>0</v>
      </c>
      <c r="P1229" t="n">
        <v>0</v>
      </c>
      <c r="Q1229" t="n">
        <v>0</v>
      </c>
      <c r="R1229" s="2" t="inlineStr"/>
      <c r="U1229">
        <f>HYPERLINK("https://klasma.github.io/Logging_2303/knärot/A 18284-2025 karta knärot.png", "A 18284-2025")</f>
        <v/>
      </c>
      <c r="V1229">
        <f>HYPERLINK("https://klasma.github.io/Logging_2303/klagomål/A 18284-2025 FSC-klagomål.docx", "A 18284-2025")</f>
        <v/>
      </c>
      <c r="W1229">
        <f>HYPERLINK("https://klasma.github.io/Logging_2303/klagomålsmail/A 18284-2025 FSC-klagomål mail.docx", "A 18284-2025")</f>
        <v/>
      </c>
      <c r="X1229">
        <f>HYPERLINK("https://klasma.github.io/Logging_2303/tillsyn/A 18284-2025 tillsynsbegäran.docx", "A 18284-2025")</f>
        <v/>
      </c>
      <c r="Y1229">
        <f>HYPERLINK("https://klasma.github.io/Logging_2303/tillsynsmail/A 18284-2025 tillsynsbegäran mail.docx", "A 18284-2025")</f>
        <v/>
      </c>
    </row>
    <row r="1230" ht="15" customHeight="1">
      <c r="A1230" t="inlineStr">
        <is>
          <t>A 19263-2025</t>
        </is>
      </c>
      <c r="B1230" s="1" t="n">
        <v>45769.51075231482</v>
      </c>
      <c r="C1230" s="1" t="n">
        <v>46029</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23840-2025</t>
        </is>
      </c>
      <c r="B1231" s="1" t="n">
        <v>45793</v>
      </c>
      <c r="C1231" s="1" t="n">
        <v>46029</v>
      </c>
      <c r="D1231" t="inlineStr">
        <is>
          <t>JÄMTLANDS LÄN</t>
        </is>
      </c>
      <c r="E1231" t="inlineStr">
        <is>
          <t>RAGUNDA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24158-2025</t>
        </is>
      </c>
      <c r="B1232" s="1" t="n">
        <v>45796</v>
      </c>
      <c r="C1232" s="1" t="n">
        <v>46029</v>
      </c>
      <c r="D1232" t="inlineStr">
        <is>
          <t>JÄMTLANDS LÄN</t>
        </is>
      </c>
      <c r="E1232" t="inlineStr">
        <is>
          <t>RAGUNDA</t>
        </is>
      </c>
      <c r="G1232" t="n">
        <v>2.9</v>
      </c>
      <c r="H1232" t="n">
        <v>0</v>
      </c>
      <c r="I1232" t="n">
        <v>0</v>
      </c>
      <c r="J1232" t="n">
        <v>0</v>
      </c>
      <c r="K1232" t="n">
        <v>0</v>
      </c>
      <c r="L1232" t="n">
        <v>0</v>
      </c>
      <c r="M1232" t="n">
        <v>0</v>
      </c>
      <c r="N1232" t="n">
        <v>0</v>
      </c>
      <c r="O1232" t="n">
        <v>0</v>
      </c>
      <c r="P1232" t="n">
        <v>0</v>
      </c>
      <c r="Q1232" t="n">
        <v>0</v>
      </c>
      <c r="R1232" s="2" t="inlineStr"/>
      <c r="U1232">
        <f>HYPERLINK("https://klasma.github.io/Logging_2303/knärot/A 24158-2025 karta knärot.png", "A 24158-2025")</f>
        <v/>
      </c>
      <c r="V1232">
        <f>HYPERLINK("https://klasma.github.io/Logging_2303/klagomål/A 24158-2025 FSC-klagomål.docx", "A 24158-2025")</f>
        <v/>
      </c>
      <c r="W1232">
        <f>HYPERLINK("https://klasma.github.io/Logging_2303/klagomålsmail/A 24158-2025 FSC-klagomål mail.docx", "A 24158-2025")</f>
        <v/>
      </c>
      <c r="X1232">
        <f>HYPERLINK("https://klasma.github.io/Logging_2303/tillsyn/A 24158-2025 tillsynsbegäran.docx", "A 24158-2025")</f>
        <v/>
      </c>
      <c r="Y1232">
        <f>HYPERLINK("https://klasma.github.io/Logging_2303/tillsynsmail/A 24158-2025 tillsynsbegäran mail.docx", "A 24158-2025")</f>
        <v/>
      </c>
    </row>
    <row r="1233">
      <c r="A1233" t="inlineStr">
        <is>
          <t>A 24161-2025</t>
        </is>
      </c>
      <c r="B1233" s="1" t="n">
        <v>45796</v>
      </c>
      <c r="C1233" s="1" t="n">
        <v>46029</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2026-01-07T10:46:42Z</dcterms:created>
  <dcterms:modified xmlns:dcterms="http://purl.org/dc/terms/" xmlns:xsi="http://www.w3.org/2001/XMLSchema-instance" xsi:type="dcterms:W3CDTF">2026-01-07T10:46:43Z</dcterms:modified>
</cp:coreProperties>
</file>